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fran\OneDrive\Documents\_Guns\"/>
    </mc:Choice>
  </mc:AlternateContent>
  <xr:revisionPtr revIDLastSave="0" documentId="13_ncr:1_{C3415CD2-A7EA-4A30-90DE-E0F8813B22A1}" xr6:coauthVersionLast="47" xr6:coauthVersionMax="47" xr10:uidLastSave="{00000000-0000-0000-0000-000000000000}"/>
  <bookViews>
    <workbookView xWindow="1140" yWindow="390" windowWidth="19180" windowHeight="20020" tabRatio="894" activeTab="2" xr2:uid="{00000000-000D-0000-FFFF-FFFF00000000}"/>
  </bookViews>
  <sheets>
    <sheet name="Resumo" sheetId="4" r:id="rId1"/>
    <sheet name="Armas" sheetId="2" r:id="rId2"/>
    <sheet name="Limpeza" sheetId="3" r:id="rId3"/>
    <sheet name="CRAFs" sheetId="1" r:id="rId4"/>
    <sheet name="BASE" sheetId="5" r:id="rId5"/>
    <sheet name="Modelo_Atire" sheetId="6" r:id="rId6"/>
    <sheet name="Modelo_SH" sheetId="7" r:id="rId7"/>
    <sheet name="Maps" sheetId="8" r:id="rId8"/>
  </sheets>
  <functionGroups builtInGroupCount="19"/>
  <definedNames>
    <definedName name="_xlnm._FilterDatabase" localSheetId="4" hidden="1">BASE!$A$1:$J$4999</definedName>
    <definedName name="_xlnm._FilterDatabase" localSheetId="6" hidden="1">Modelo_SH!$A$1:$V$1500</definedName>
    <definedName name="_xleta.N">#NAME?</definedName>
    <definedName name="_xleta.T">#NAME?</definedName>
    <definedName name="_xleta.TEXT">#NAME?</definedName>
    <definedName name="_xlpm.a">#NAME?</definedName>
    <definedName name="_xlpm.arma">#NAME?</definedName>
    <definedName name="_xlpm.c">#NAME?</definedName>
    <definedName name="_xlpm.cal">#NAME?</definedName>
    <definedName name="_xlpm.na">#NAME?</definedName>
    <definedName name="_xlpm.nc">#NAME?</definedName>
    <definedName name="_xlpm.r">#NAME?</definedName>
    <definedName name="tbAtireEnt">#REF!</definedName>
    <definedName name="tbAtireTipo">#REF!</definedName>
    <definedName name="tbSHen">#REF!</definedName>
    <definedName name="tbSHent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M12" i="1" l="1"/>
  <c r="M11" i="1"/>
  <c r="M10" i="1"/>
  <c r="M9" i="1"/>
  <c r="M8" i="1"/>
  <c r="M7" i="1"/>
  <c r="M6" i="1"/>
  <c r="M5" i="1"/>
  <c r="M4" i="1"/>
  <c r="M3" i="1"/>
  <c r="M2" i="1"/>
  <c r="I1500" i="7"/>
  <c r="H1500" i="7"/>
  <c r="F1500" i="7" a="1"/>
  <c r="F1500" i="7" s="1"/>
  <c r="E1500" i="7"/>
  <c r="D1500" i="7"/>
  <c r="B1500" i="7"/>
  <c r="A1500" i="7" a="1"/>
  <c r="A1500" i="7" s="1"/>
  <c r="I1499" i="7"/>
  <c r="H1499" i="7"/>
  <c r="F1499" i="7" a="1"/>
  <c r="F1499" i="7" s="1"/>
  <c r="E1499" i="7"/>
  <c r="D1499" i="7"/>
  <c r="B1499" i="7"/>
  <c r="A1499" i="7" a="1"/>
  <c r="A1499" i="7" s="1"/>
  <c r="I1498" i="7"/>
  <c r="H1498" i="7"/>
  <c r="F1498" i="7" a="1"/>
  <c r="F1498" i="7" s="1"/>
  <c r="E1498" i="7"/>
  <c r="D1498" i="7"/>
  <c r="B1498" i="7"/>
  <c r="A1498" i="7" a="1"/>
  <c r="A1498" i="7" s="1"/>
  <c r="I1497" i="7"/>
  <c r="H1497" i="7"/>
  <c r="F1497" i="7" a="1"/>
  <c r="F1497" i="7" s="1"/>
  <c r="E1497" i="7"/>
  <c r="D1497" i="7"/>
  <c r="B1497" i="7"/>
  <c r="A1497" i="7" a="1"/>
  <c r="A1497" i="7" s="1"/>
  <c r="I1496" i="7"/>
  <c r="H1496" i="7"/>
  <c r="F1496" i="7" a="1"/>
  <c r="F1496" i="7" s="1"/>
  <c r="E1496" i="7"/>
  <c r="D1496" i="7"/>
  <c r="B1496" i="7"/>
  <c r="A1496" i="7" a="1"/>
  <c r="A1496" i="7" s="1"/>
  <c r="I1495" i="7"/>
  <c r="H1495" i="7"/>
  <c r="F1495" i="7" a="1"/>
  <c r="F1495" i="7" s="1"/>
  <c r="E1495" i="7"/>
  <c r="D1495" i="7"/>
  <c r="B1495" i="7"/>
  <c r="A1495" i="7" a="1"/>
  <c r="A1495" i="7" s="1"/>
  <c r="I1494" i="7"/>
  <c r="H1494" i="7"/>
  <c r="F1494" i="7" a="1"/>
  <c r="F1494" i="7" s="1"/>
  <c r="E1494" i="7"/>
  <c r="D1494" i="7"/>
  <c r="B1494" i="7"/>
  <c r="A1494" i="7" a="1"/>
  <c r="A1494" i="7" s="1"/>
  <c r="I1493" i="7"/>
  <c r="H1493" i="7"/>
  <c r="F1493" i="7" a="1"/>
  <c r="F1493" i="7" s="1"/>
  <c r="E1493" i="7"/>
  <c r="D1493" i="7"/>
  <c r="B1493" i="7"/>
  <c r="A1493" i="7" a="1"/>
  <c r="A1493" i="7" s="1"/>
  <c r="I1492" i="7"/>
  <c r="H1492" i="7"/>
  <c r="F1492" i="7" a="1"/>
  <c r="F1492" i="7" s="1"/>
  <c r="E1492" i="7"/>
  <c r="D1492" i="7"/>
  <c r="B1492" i="7"/>
  <c r="A1492" i="7" a="1"/>
  <c r="A1492" i="7" s="1"/>
  <c r="I1491" i="7"/>
  <c r="H1491" i="7"/>
  <c r="F1491" i="7" a="1"/>
  <c r="F1491" i="7" s="1"/>
  <c r="E1491" i="7"/>
  <c r="D1491" i="7"/>
  <c r="B1491" i="7"/>
  <c r="A1491" i="7" a="1"/>
  <c r="A1491" i="7" s="1"/>
  <c r="I1490" i="7"/>
  <c r="H1490" i="7"/>
  <c r="F1490" i="7" a="1"/>
  <c r="F1490" i="7" s="1"/>
  <c r="E1490" i="7"/>
  <c r="D1490" i="7"/>
  <c r="B1490" i="7"/>
  <c r="A1490" i="7" a="1"/>
  <c r="A1490" i="7" s="1"/>
  <c r="I1489" i="7"/>
  <c r="H1489" i="7"/>
  <c r="F1489" i="7" a="1"/>
  <c r="F1489" i="7" s="1"/>
  <c r="E1489" i="7"/>
  <c r="D1489" i="7"/>
  <c r="B1489" i="7"/>
  <c r="A1489" i="7" a="1"/>
  <c r="A1489" i="7" s="1"/>
  <c r="I1488" i="7"/>
  <c r="H1488" i="7"/>
  <c r="F1488" i="7" a="1"/>
  <c r="F1488" i="7" s="1"/>
  <c r="E1488" i="7"/>
  <c r="D1488" i="7"/>
  <c r="B1488" i="7"/>
  <c r="A1488" i="7" a="1"/>
  <c r="A1488" i="7" s="1"/>
  <c r="I1487" i="7"/>
  <c r="H1487" i="7"/>
  <c r="F1487" i="7" a="1"/>
  <c r="F1487" i="7" s="1"/>
  <c r="E1487" i="7"/>
  <c r="D1487" i="7"/>
  <c r="B1487" i="7"/>
  <c r="A1487" i="7" a="1"/>
  <c r="A1487" i="7" s="1"/>
  <c r="I1486" i="7"/>
  <c r="H1486" i="7"/>
  <c r="F1486" i="7" a="1"/>
  <c r="F1486" i="7" s="1"/>
  <c r="E1486" i="7"/>
  <c r="D1486" i="7"/>
  <c r="B1486" i="7"/>
  <c r="A1486" i="7" a="1"/>
  <c r="A1486" i="7" s="1"/>
  <c r="I1485" i="7"/>
  <c r="H1485" i="7"/>
  <c r="F1485" i="7" a="1"/>
  <c r="F1485" i="7" s="1"/>
  <c r="E1485" i="7"/>
  <c r="D1485" i="7"/>
  <c r="B1485" i="7"/>
  <c r="A1485" i="7" a="1"/>
  <c r="A1485" i="7" s="1"/>
  <c r="I1484" i="7"/>
  <c r="H1484" i="7"/>
  <c r="F1484" i="7" a="1"/>
  <c r="F1484" i="7" s="1"/>
  <c r="E1484" i="7"/>
  <c r="D1484" i="7"/>
  <c r="B1484" i="7"/>
  <c r="A1484" i="7" a="1"/>
  <c r="A1484" i="7" s="1"/>
  <c r="I1483" i="7"/>
  <c r="H1483" i="7"/>
  <c r="F1483" i="7" a="1"/>
  <c r="F1483" i="7" s="1"/>
  <c r="E1483" i="7"/>
  <c r="D1483" i="7"/>
  <c r="B1483" i="7"/>
  <c r="A1483" i="7" a="1"/>
  <c r="A1483" i="7" s="1"/>
  <c r="I1482" i="7"/>
  <c r="H1482" i="7"/>
  <c r="F1482" i="7" a="1"/>
  <c r="F1482" i="7" s="1"/>
  <c r="E1482" i="7"/>
  <c r="D1482" i="7"/>
  <c r="B1482" i="7"/>
  <c r="A1482" i="7" a="1"/>
  <c r="A1482" i="7" s="1"/>
  <c r="I1481" i="7"/>
  <c r="H1481" i="7"/>
  <c r="F1481" i="7" a="1"/>
  <c r="F1481" i="7" s="1"/>
  <c r="E1481" i="7"/>
  <c r="D1481" i="7"/>
  <c r="B1481" i="7"/>
  <c r="A1481" i="7" a="1"/>
  <c r="A1481" i="7" s="1"/>
  <c r="I1480" i="7"/>
  <c r="H1480" i="7"/>
  <c r="F1480" i="7" a="1"/>
  <c r="F1480" i="7" s="1"/>
  <c r="E1480" i="7"/>
  <c r="D1480" i="7"/>
  <c r="B1480" i="7"/>
  <c r="A1480" i="7" a="1"/>
  <c r="A1480" i="7" s="1"/>
  <c r="I1479" i="7"/>
  <c r="H1479" i="7"/>
  <c r="F1479" i="7" a="1"/>
  <c r="F1479" i="7" s="1"/>
  <c r="E1479" i="7"/>
  <c r="D1479" i="7"/>
  <c r="B1479" i="7"/>
  <c r="A1479" i="7" a="1"/>
  <c r="A1479" i="7" s="1"/>
  <c r="I1478" i="7"/>
  <c r="H1478" i="7"/>
  <c r="F1478" i="7" a="1"/>
  <c r="F1478" i="7" s="1"/>
  <c r="E1478" i="7"/>
  <c r="D1478" i="7"/>
  <c r="B1478" i="7"/>
  <c r="A1478" i="7" a="1"/>
  <c r="A1478" i="7" s="1"/>
  <c r="I1477" i="7"/>
  <c r="H1477" i="7"/>
  <c r="F1477" i="7" a="1"/>
  <c r="F1477" i="7" s="1"/>
  <c r="E1477" i="7"/>
  <c r="D1477" i="7"/>
  <c r="B1477" i="7"/>
  <c r="A1477" i="7" a="1"/>
  <c r="A1477" i="7" s="1"/>
  <c r="I1476" i="7"/>
  <c r="H1476" i="7"/>
  <c r="F1476" i="7" a="1"/>
  <c r="F1476" i="7" s="1"/>
  <c r="E1476" i="7"/>
  <c r="D1476" i="7"/>
  <c r="B1476" i="7"/>
  <c r="A1476" i="7" a="1"/>
  <c r="A1476" i="7" s="1"/>
  <c r="I1475" i="7"/>
  <c r="H1475" i="7"/>
  <c r="F1475" i="7" a="1"/>
  <c r="F1475" i="7" s="1"/>
  <c r="E1475" i="7"/>
  <c r="D1475" i="7"/>
  <c r="B1475" i="7"/>
  <c r="A1475" i="7" a="1"/>
  <c r="A1475" i="7" s="1"/>
  <c r="I1474" i="7"/>
  <c r="H1474" i="7"/>
  <c r="F1474" i="7" a="1"/>
  <c r="F1474" i="7" s="1"/>
  <c r="E1474" i="7"/>
  <c r="D1474" i="7"/>
  <c r="B1474" i="7"/>
  <c r="A1474" i="7" a="1"/>
  <c r="A1474" i="7" s="1"/>
  <c r="I1473" i="7"/>
  <c r="H1473" i="7"/>
  <c r="F1473" i="7" a="1"/>
  <c r="F1473" i="7" s="1"/>
  <c r="E1473" i="7"/>
  <c r="D1473" i="7"/>
  <c r="B1473" i="7"/>
  <c r="A1473" i="7" a="1"/>
  <c r="A1473" i="7" s="1"/>
  <c r="I1472" i="7"/>
  <c r="H1472" i="7"/>
  <c r="F1472" i="7" a="1"/>
  <c r="F1472" i="7" s="1"/>
  <c r="E1472" i="7"/>
  <c r="D1472" i="7"/>
  <c r="B1472" i="7"/>
  <c r="A1472" i="7" a="1"/>
  <c r="A1472" i="7" s="1"/>
  <c r="I1471" i="7"/>
  <c r="H1471" i="7"/>
  <c r="F1471" i="7" a="1"/>
  <c r="F1471" i="7" s="1"/>
  <c r="E1471" i="7"/>
  <c r="D1471" i="7"/>
  <c r="B1471" i="7"/>
  <c r="A1471" i="7" a="1"/>
  <c r="A1471" i="7" s="1"/>
  <c r="I1470" i="7"/>
  <c r="H1470" i="7"/>
  <c r="F1470" i="7" a="1"/>
  <c r="F1470" i="7" s="1"/>
  <c r="E1470" i="7"/>
  <c r="D1470" i="7"/>
  <c r="B1470" i="7"/>
  <c r="A1470" i="7" a="1"/>
  <c r="A1470" i="7" s="1"/>
  <c r="I1469" i="7"/>
  <c r="H1469" i="7"/>
  <c r="F1469" i="7" a="1"/>
  <c r="F1469" i="7" s="1"/>
  <c r="E1469" i="7"/>
  <c r="D1469" i="7"/>
  <c r="B1469" i="7"/>
  <c r="A1469" i="7" a="1"/>
  <c r="A1469" i="7" s="1"/>
  <c r="I1468" i="7"/>
  <c r="H1468" i="7"/>
  <c r="F1468" i="7" a="1"/>
  <c r="F1468" i="7" s="1"/>
  <c r="E1468" i="7"/>
  <c r="D1468" i="7"/>
  <c r="B1468" i="7"/>
  <c r="A1468" i="7" a="1"/>
  <c r="A1468" i="7" s="1"/>
  <c r="I1467" i="7"/>
  <c r="H1467" i="7"/>
  <c r="F1467" i="7" a="1"/>
  <c r="F1467" i="7" s="1"/>
  <c r="E1467" i="7"/>
  <c r="D1467" i="7"/>
  <c r="B1467" i="7"/>
  <c r="A1467" i="7" a="1"/>
  <c r="A1467" i="7" s="1"/>
  <c r="I1466" i="7"/>
  <c r="H1466" i="7"/>
  <c r="F1466" i="7" a="1"/>
  <c r="F1466" i="7" s="1"/>
  <c r="E1466" i="7"/>
  <c r="D1466" i="7"/>
  <c r="B1466" i="7"/>
  <c r="A1466" i="7" a="1"/>
  <c r="A1466" i="7" s="1"/>
  <c r="I1465" i="7"/>
  <c r="H1465" i="7"/>
  <c r="F1465" i="7" a="1"/>
  <c r="F1465" i="7" s="1"/>
  <c r="E1465" i="7"/>
  <c r="D1465" i="7"/>
  <c r="B1465" i="7"/>
  <c r="A1465" i="7" a="1"/>
  <c r="A1465" i="7" s="1"/>
  <c r="I1464" i="7"/>
  <c r="H1464" i="7"/>
  <c r="F1464" i="7" a="1"/>
  <c r="F1464" i="7" s="1"/>
  <c r="E1464" i="7"/>
  <c r="D1464" i="7"/>
  <c r="B1464" i="7"/>
  <c r="A1464" i="7" a="1"/>
  <c r="A1464" i="7" s="1"/>
  <c r="I1463" i="7"/>
  <c r="H1463" i="7"/>
  <c r="F1463" i="7" a="1"/>
  <c r="F1463" i="7" s="1"/>
  <c r="E1463" i="7"/>
  <c r="D1463" i="7"/>
  <c r="B1463" i="7"/>
  <c r="A1463" i="7" a="1"/>
  <c r="A1463" i="7" s="1"/>
  <c r="I1462" i="7"/>
  <c r="H1462" i="7"/>
  <c r="F1462" i="7" a="1"/>
  <c r="F1462" i="7" s="1"/>
  <c r="E1462" i="7"/>
  <c r="D1462" i="7"/>
  <c r="B1462" i="7"/>
  <c r="A1462" i="7" a="1"/>
  <c r="A1462" i="7" s="1"/>
  <c r="I1461" i="7"/>
  <c r="H1461" i="7"/>
  <c r="F1461" i="7" a="1"/>
  <c r="F1461" i="7" s="1"/>
  <c r="E1461" i="7"/>
  <c r="D1461" i="7"/>
  <c r="B1461" i="7"/>
  <c r="A1461" i="7" a="1"/>
  <c r="A1461" i="7" s="1"/>
  <c r="I1460" i="7"/>
  <c r="H1460" i="7"/>
  <c r="F1460" i="7" a="1"/>
  <c r="F1460" i="7" s="1"/>
  <c r="E1460" i="7"/>
  <c r="D1460" i="7"/>
  <c r="B1460" i="7"/>
  <c r="A1460" i="7" a="1"/>
  <c r="A1460" i="7" s="1"/>
  <c r="I1459" i="7"/>
  <c r="H1459" i="7"/>
  <c r="F1459" i="7" a="1"/>
  <c r="F1459" i="7" s="1"/>
  <c r="E1459" i="7"/>
  <c r="D1459" i="7"/>
  <c r="B1459" i="7"/>
  <c r="A1459" i="7" a="1"/>
  <c r="A1459" i="7" s="1"/>
  <c r="I1458" i="7"/>
  <c r="H1458" i="7"/>
  <c r="F1458" i="7" a="1"/>
  <c r="F1458" i="7" s="1"/>
  <c r="E1458" i="7"/>
  <c r="D1458" i="7"/>
  <c r="B1458" i="7"/>
  <c r="A1458" i="7" a="1"/>
  <c r="A1458" i="7" s="1"/>
  <c r="I1457" i="7"/>
  <c r="H1457" i="7"/>
  <c r="F1457" i="7" a="1"/>
  <c r="F1457" i="7" s="1"/>
  <c r="E1457" i="7"/>
  <c r="D1457" i="7"/>
  <c r="B1457" i="7"/>
  <c r="A1457" i="7" a="1"/>
  <c r="A1457" i="7" s="1"/>
  <c r="I1456" i="7"/>
  <c r="H1456" i="7"/>
  <c r="F1456" i="7" a="1"/>
  <c r="F1456" i="7" s="1"/>
  <c r="E1456" i="7"/>
  <c r="D1456" i="7"/>
  <c r="B1456" i="7"/>
  <c r="A1456" i="7" a="1"/>
  <c r="A1456" i="7" s="1"/>
  <c r="I1455" i="7"/>
  <c r="H1455" i="7"/>
  <c r="F1455" i="7" a="1"/>
  <c r="F1455" i="7" s="1"/>
  <c r="E1455" i="7"/>
  <c r="D1455" i="7"/>
  <c r="B1455" i="7"/>
  <c r="A1455" i="7" a="1"/>
  <c r="A1455" i="7" s="1"/>
  <c r="I1454" i="7"/>
  <c r="H1454" i="7"/>
  <c r="F1454" i="7" a="1"/>
  <c r="F1454" i="7" s="1"/>
  <c r="E1454" i="7"/>
  <c r="D1454" i="7"/>
  <c r="B1454" i="7"/>
  <c r="A1454" i="7" a="1"/>
  <c r="A1454" i="7" s="1"/>
  <c r="I1453" i="7"/>
  <c r="H1453" i="7"/>
  <c r="F1453" i="7" a="1"/>
  <c r="F1453" i="7" s="1"/>
  <c r="E1453" i="7"/>
  <c r="D1453" i="7"/>
  <c r="B1453" i="7"/>
  <c r="A1453" i="7" a="1"/>
  <c r="A1453" i="7" s="1"/>
  <c r="I1452" i="7"/>
  <c r="H1452" i="7"/>
  <c r="F1452" i="7" a="1"/>
  <c r="F1452" i="7" s="1"/>
  <c r="E1452" i="7"/>
  <c r="D1452" i="7"/>
  <c r="B1452" i="7"/>
  <c r="A1452" i="7" a="1"/>
  <c r="A1452" i="7" s="1"/>
  <c r="I1451" i="7"/>
  <c r="H1451" i="7"/>
  <c r="F1451" i="7" a="1"/>
  <c r="F1451" i="7" s="1"/>
  <c r="E1451" i="7"/>
  <c r="D1451" i="7"/>
  <c r="B1451" i="7"/>
  <c r="A1451" i="7" a="1"/>
  <c r="A1451" i="7" s="1"/>
  <c r="I1450" i="7"/>
  <c r="H1450" i="7"/>
  <c r="F1450" i="7" a="1"/>
  <c r="F1450" i="7" s="1"/>
  <c r="E1450" i="7"/>
  <c r="D1450" i="7"/>
  <c r="B1450" i="7"/>
  <c r="A1450" i="7" a="1"/>
  <c r="A1450" i="7" s="1"/>
  <c r="I1449" i="7"/>
  <c r="H1449" i="7"/>
  <c r="F1449" i="7" a="1"/>
  <c r="F1449" i="7" s="1"/>
  <c r="E1449" i="7"/>
  <c r="D1449" i="7"/>
  <c r="B1449" i="7"/>
  <c r="A1449" i="7" a="1"/>
  <c r="A1449" i="7" s="1"/>
  <c r="I1448" i="7"/>
  <c r="H1448" i="7"/>
  <c r="F1448" i="7" a="1"/>
  <c r="F1448" i="7" s="1"/>
  <c r="E1448" i="7"/>
  <c r="D1448" i="7"/>
  <c r="B1448" i="7"/>
  <c r="A1448" i="7" a="1"/>
  <c r="A1448" i="7" s="1"/>
  <c r="I1447" i="7"/>
  <c r="H1447" i="7"/>
  <c r="F1447" i="7" a="1"/>
  <c r="F1447" i="7" s="1"/>
  <c r="E1447" i="7"/>
  <c r="D1447" i="7"/>
  <c r="B1447" i="7"/>
  <c r="A1447" i="7" a="1"/>
  <c r="A1447" i="7" s="1"/>
  <c r="I1446" i="7"/>
  <c r="H1446" i="7"/>
  <c r="F1446" i="7" a="1"/>
  <c r="F1446" i="7" s="1"/>
  <c r="E1446" i="7"/>
  <c r="D1446" i="7"/>
  <c r="B1446" i="7"/>
  <c r="A1446" i="7" a="1"/>
  <c r="A1446" i="7" s="1"/>
  <c r="I1445" i="7"/>
  <c r="H1445" i="7"/>
  <c r="F1445" i="7" a="1"/>
  <c r="F1445" i="7" s="1"/>
  <c r="E1445" i="7"/>
  <c r="D1445" i="7"/>
  <c r="B1445" i="7"/>
  <c r="A1445" i="7" a="1"/>
  <c r="A1445" i="7" s="1"/>
  <c r="I1444" i="7"/>
  <c r="H1444" i="7"/>
  <c r="F1444" i="7" a="1"/>
  <c r="F1444" i="7" s="1"/>
  <c r="E1444" i="7"/>
  <c r="D1444" i="7"/>
  <c r="B1444" i="7"/>
  <c r="A1444" i="7" a="1"/>
  <c r="A1444" i="7" s="1"/>
  <c r="I1443" i="7"/>
  <c r="H1443" i="7"/>
  <c r="F1443" i="7" a="1"/>
  <c r="F1443" i="7" s="1"/>
  <c r="E1443" i="7"/>
  <c r="D1443" i="7"/>
  <c r="B1443" i="7"/>
  <c r="A1443" i="7" a="1"/>
  <c r="A1443" i="7" s="1"/>
  <c r="I1442" i="7"/>
  <c r="H1442" i="7"/>
  <c r="F1442" i="7" a="1"/>
  <c r="F1442" i="7" s="1"/>
  <c r="E1442" i="7"/>
  <c r="D1442" i="7"/>
  <c r="B1442" i="7"/>
  <c r="A1442" i="7" a="1"/>
  <c r="A1442" i="7" s="1"/>
  <c r="I1441" i="7"/>
  <c r="H1441" i="7"/>
  <c r="F1441" i="7" a="1"/>
  <c r="F1441" i="7" s="1"/>
  <c r="E1441" i="7"/>
  <c r="D1441" i="7"/>
  <c r="B1441" i="7"/>
  <c r="A1441" i="7" a="1"/>
  <c r="A1441" i="7" s="1"/>
  <c r="I1440" i="7"/>
  <c r="H1440" i="7"/>
  <c r="F1440" i="7" a="1"/>
  <c r="F1440" i="7" s="1"/>
  <c r="E1440" i="7"/>
  <c r="D1440" i="7"/>
  <c r="B1440" i="7"/>
  <c r="A1440" i="7" a="1"/>
  <c r="A1440" i="7" s="1"/>
  <c r="I1439" i="7"/>
  <c r="H1439" i="7"/>
  <c r="F1439" i="7" a="1"/>
  <c r="F1439" i="7" s="1"/>
  <c r="E1439" i="7"/>
  <c r="D1439" i="7"/>
  <c r="B1439" i="7"/>
  <c r="A1439" i="7" a="1"/>
  <c r="A1439" i="7" s="1"/>
  <c r="I1438" i="7"/>
  <c r="H1438" i="7"/>
  <c r="F1438" i="7" a="1"/>
  <c r="F1438" i="7" s="1"/>
  <c r="E1438" i="7"/>
  <c r="D1438" i="7"/>
  <c r="B1438" i="7"/>
  <c r="A1438" i="7" a="1"/>
  <c r="A1438" i="7" s="1"/>
  <c r="I1437" i="7"/>
  <c r="H1437" i="7"/>
  <c r="F1437" i="7" a="1"/>
  <c r="F1437" i="7" s="1"/>
  <c r="E1437" i="7"/>
  <c r="D1437" i="7"/>
  <c r="B1437" i="7"/>
  <c r="A1437" i="7" a="1"/>
  <c r="A1437" i="7" s="1"/>
  <c r="I1436" i="7"/>
  <c r="H1436" i="7"/>
  <c r="F1436" i="7" a="1"/>
  <c r="F1436" i="7" s="1"/>
  <c r="E1436" i="7"/>
  <c r="D1436" i="7"/>
  <c r="B1436" i="7"/>
  <c r="A1436" i="7" a="1"/>
  <c r="A1436" i="7" s="1"/>
  <c r="I1435" i="7"/>
  <c r="H1435" i="7"/>
  <c r="F1435" i="7" a="1"/>
  <c r="F1435" i="7" s="1"/>
  <c r="E1435" i="7"/>
  <c r="D1435" i="7"/>
  <c r="B1435" i="7"/>
  <c r="A1435" i="7" a="1"/>
  <c r="A1435" i="7" s="1"/>
  <c r="I1434" i="7"/>
  <c r="H1434" i="7"/>
  <c r="F1434" i="7" a="1"/>
  <c r="F1434" i="7" s="1"/>
  <c r="E1434" i="7"/>
  <c r="D1434" i="7"/>
  <c r="B1434" i="7"/>
  <c r="A1434" i="7" a="1"/>
  <c r="A1434" i="7" s="1"/>
  <c r="I1433" i="7"/>
  <c r="H1433" i="7"/>
  <c r="F1433" i="7" a="1"/>
  <c r="F1433" i="7" s="1"/>
  <c r="E1433" i="7"/>
  <c r="D1433" i="7"/>
  <c r="B1433" i="7"/>
  <c r="A1433" i="7" a="1"/>
  <c r="A1433" i="7" s="1"/>
  <c r="I1432" i="7"/>
  <c r="H1432" i="7"/>
  <c r="F1432" i="7" a="1"/>
  <c r="F1432" i="7" s="1"/>
  <c r="E1432" i="7"/>
  <c r="D1432" i="7"/>
  <c r="B1432" i="7"/>
  <c r="A1432" i="7" a="1"/>
  <c r="A1432" i="7" s="1"/>
  <c r="I1431" i="7"/>
  <c r="H1431" i="7"/>
  <c r="F1431" i="7" a="1"/>
  <c r="F1431" i="7" s="1"/>
  <c r="E1431" i="7"/>
  <c r="D1431" i="7"/>
  <c r="B1431" i="7"/>
  <c r="A1431" i="7" a="1"/>
  <c r="A1431" i="7" s="1"/>
  <c r="I1430" i="7"/>
  <c r="H1430" i="7"/>
  <c r="F1430" i="7" a="1"/>
  <c r="F1430" i="7" s="1"/>
  <c r="E1430" i="7"/>
  <c r="D1430" i="7"/>
  <c r="B1430" i="7"/>
  <c r="A1430" i="7" a="1"/>
  <c r="A1430" i="7" s="1"/>
  <c r="I1429" i="7"/>
  <c r="H1429" i="7"/>
  <c r="F1429" i="7" a="1"/>
  <c r="F1429" i="7" s="1"/>
  <c r="E1429" i="7"/>
  <c r="D1429" i="7"/>
  <c r="B1429" i="7"/>
  <c r="A1429" i="7" a="1"/>
  <c r="A1429" i="7" s="1"/>
  <c r="I1428" i="7"/>
  <c r="H1428" i="7"/>
  <c r="F1428" i="7" a="1"/>
  <c r="F1428" i="7" s="1"/>
  <c r="E1428" i="7"/>
  <c r="D1428" i="7"/>
  <c r="B1428" i="7"/>
  <c r="A1428" i="7" a="1"/>
  <c r="A1428" i="7" s="1"/>
  <c r="I1427" i="7"/>
  <c r="H1427" i="7"/>
  <c r="F1427" i="7" a="1"/>
  <c r="F1427" i="7" s="1"/>
  <c r="E1427" i="7"/>
  <c r="D1427" i="7"/>
  <c r="B1427" i="7"/>
  <c r="A1427" i="7" a="1"/>
  <c r="A1427" i="7" s="1"/>
  <c r="I1426" i="7"/>
  <c r="H1426" i="7"/>
  <c r="F1426" i="7" a="1"/>
  <c r="F1426" i="7" s="1"/>
  <c r="E1426" i="7"/>
  <c r="D1426" i="7"/>
  <c r="B1426" i="7"/>
  <c r="A1426" i="7" a="1"/>
  <c r="A1426" i="7" s="1"/>
  <c r="I1425" i="7"/>
  <c r="H1425" i="7"/>
  <c r="F1425" i="7" a="1"/>
  <c r="F1425" i="7" s="1"/>
  <c r="E1425" i="7"/>
  <c r="D1425" i="7"/>
  <c r="B1425" i="7"/>
  <c r="A1425" i="7" a="1"/>
  <c r="A1425" i="7" s="1"/>
  <c r="I1424" i="7"/>
  <c r="H1424" i="7"/>
  <c r="F1424" i="7" a="1"/>
  <c r="F1424" i="7" s="1"/>
  <c r="E1424" i="7"/>
  <c r="D1424" i="7"/>
  <c r="B1424" i="7"/>
  <c r="A1424" i="7" a="1"/>
  <c r="A1424" i="7" s="1"/>
  <c r="I1423" i="7"/>
  <c r="H1423" i="7"/>
  <c r="F1423" i="7" a="1"/>
  <c r="F1423" i="7" s="1"/>
  <c r="E1423" i="7"/>
  <c r="D1423" i="7"/>
  <c r="B1423" i="7"/>
  <c r="A1423" i="7" a="1"/>
  <c r="A1423" i="7" s="1"/>
  <c r="I1422" i="7"/>
  <c r="H1422" i="7"/>
  <c r="F1422" i="7" a="1"/>
  <c r="F1422" i="7" s="1"/>
  <c r="E1422" i="7"/>
  <c r="D1422" i="7"/>
  <c r="B1422" i="7"/>
  <c r="A1422" i="7" a="1"/>
  <c r="A1422" i="7" s="1"/>
  <c r="I1421" i="7"/>
  <c r="H1421" i="7"/>
  <c r="F1421" i="7" a="1"/>
  <c r="F1421" i="7" s="1"/>
  <c r="E1421" i="7"/>
  <c r="D1421" i="7"/>
  <c r="B1421" i="7"/>
  <c r="A1421" i="7" a="1"/>
  <c r="A1421" i="7" s="1"/>
  <c r="I1420" i="7"/>
  <c r="H1420" i="7"/>
  <c r="F1420" i="7" a="1"/>
  <c r="F1420" i="7" s="1"/>
  <c r="E1420" i="7"/>
  <c r="D1420" i="7"/>
  <c r="B1420" i="7"/>
  <c r="A1420" i="7" a="1"/>
  <c r="A1420" i="7" s="1"/>
  <c r="I1419" i="7"/>
  <c r="H1419" i="7"/>
  <c r="F1419" i="7" a="1"/>
  <c r="F1419" i="7" s="1"/>
  <c r="E1419" i="7"/>
  <c r="D1419" i="7"/>
  <c r="B1419" i="7"/>
  <c r="A1419" i="7" a="1"/>
  <c r="A1419" i="7" s="1"/>
  <c r="I1418" i="7"/>
  <c r="H1418" i="7"/>
  <c r="F1418" i="7" a="1"/>
  <c r="F1418" i="7" s="1"/>
  <c r="E1418" i="7"/>
  <c r="D1418" i="7"/>
  <c r="B1418" i="7"/>
  <c r="A1418" i="7" a="1"/>
  <c r="A1418" i="7" s="1"/>
  <c r="I1417" i="7"/>
  <c r="H1417" i="7"/>
  <c r="F1417" i="7" a="1"/>
  <c r="F1417" i="7" s="1"/>
  <c r="E1417" i="7"/>
  <c r="D1417" i="7"/>
  <c r="B1417" i="7"/>
  <c r="A1417" i="7" a="1"/>
  <c r="A1417" i="7" s="1"/>
  <c r="I1416" i="7"/>
  <c r="H1416" i="7"/>
  <c r="F1416" i="7" a="1"/>
  <c r="F1416" i="7" s="1"/>
  <c r="E1416" i="7"/>
  <c r="D1416" i="7"/>
  <c r="B1416" i="7"/>
  <c r="A1416" i="7" a="1"/>
  <c r="A1416" i="7" s="1"/>
  <c r="I1415" i="7"/>
  <c r="H1415" i="7"/>
  <c r="F1415" i="7" a="1"/>
  <c r="F1415" i="7" s="1"/>
  <c r="E1415" i="7"/>
  <c r="D1415" i="7"/>
  <c r="B1415" i="7"/>
  <c r="A1415" i="7" a="1"/>
  <c r="A1415" i="7" s="1"/>
  <c r="I1414" i="7"/>
  <c r="H1414" i="7"/>
  <c r="F1414" i="7" a="1"/>
  <c r="F1414" i="7" s="1"/>
  <c r="E1414" i="7"/>
  <c r="D1414" i="7"/>
  <c r="B1414" i="7"/>
  <c r="A1414" i="7" a="1"/>
  <c r="A1414" i="7" s="1"/>
  <c r="I1413" i="7"/>
  <c r="H1413" i="7"/>
  <c r="F1413" i="7" a="1"/>
  <c r="F1413" i="7" s="1"/>
  <c r="E1413" i="7"/>
  <c r="D1413" i="7"/>
  <c r="B1413" i="7"/>
  <c r="A1413" i="7" a="1"/>
  <c r="A1413" i="7" s="1"/>
  <c r="I1412" i="7"/>
  <c r="H1412" i="7"/>
  <c r="F1412" i="7" a="1"/>
  <c r="F1412" i="7" s="1"/>
  <c r="E1412" i="7"/>
  <c r="D1412" i="7"/>
  <c r="B1412" i="7"/>
  <c r="A1412" i="7" a="1"/>
  <c r="A1412" i="7" s="1"/>
  <c r="I1411" i="7"/>
  <c r="H1411" i="7"/>
  <c r="F1411" i="7" a="1"/>
  <c r="F1411" i="7" s="1"/>
  <c r="E1411" i="7"/>
  <c r="D1411" i="7"/>
  <c r="B1411" i="7"/>
  <c r="A1411" i="7" a="1"/>
  <c r="A1411" i="7" s="1"/>
  <c r="I1410" i="7"/>
  <c r="H1410" i="7"/>
  <c r="F1410" i="7" a="1"/>
  <c r="F1410" i="7" s="1"/>
  <c r="E1410" i="7"/>
  <c r="D1410" i="7"/>
  <c r="B1410" i="7"/>
  <c r="A1410" i="7" a="1"/>
  <c r="A1410" i="7" s="1"/>
  <c r="I1409" i="7"/>
  <c r="H1409" i="7"/>
  <c r="F1409" i="7" a="1"/>
  <c r="F1409" i="7" s="1"/>
  <c r="E1409" i="7"/>
  <c r="D1409" i="7"/>
  <c r="B1409" i="7"/>
  <c r="A1409" i="7" a="1"/>
  <c r="A1409" i="7" s="1"/>
  <c r="I1408" i="7"/>
  <c r="H1408" i="7"/>
  <c r="F1408" i="7" a="1"/>
  <c r="F1408" i="7" s="1"/>
  <c r="E1408" i="7"/>
  <c r="D1408" i="7"/>
  <c r="B1408" i="7"/>
  <c r="A1408" i="7" a="1"/>
  <c r="A1408" i="7" s="1"/>
  <c r="I1407" i="7"/>
  <c r="H1407" i="7"/>
  <c r="F1407" i="7" a="1"/>
  <c r="F1407" i="7" s="1"/>
  <c r="E1407" i="7"/>
  <c r="D1407" i="7"/>
  <c r="B1407" i="7"/>
  <c r="A1407" i="7" a="1"/>
  <c r="A1407" i="7" s="1"/>
  <c r="I1406" i="7"/>
  <c r="H1406" i="7"/>
  <c r="F1406" i="7" a="1"/>
  <c r="F1406" i="7" s="1"/>
  <c r="E1406" i="7"/>
  <c r="D1406" i="7"/>
  <c r="B1406" i="7"/>
  <c r="A1406" i="7" a="1"/>
  <c r="A1406" i="7" s="1"/>
  <c r="I1405" i="7"/>
  <c r="H1405" i="7"/>
  <c r="F1405" i="7" a="1"/>
  <c r="F1405" i="7" s="1"/>
  <c r="E1405" i="7"/>
  <c r="D1405" i="7"/>
  <c r="B1405" i="7"/>
  <c r="A1405" i="7" a="1"/>
  <c r="A1405" i="7" s="1"/>
  <c r="I1404" i="7"/>
  <c r="H1404" i="7"/>
  <c r="F1404" i="7" a="1"/>
  <c r="F1404" i="7" s="1"/>
  <c r="E1404" i="7"/>
  <c r="D1404" i="7"/>
  <c r="B1404" i="7"/>
  <c r="A1404" i="7" a="1"/>
  <c r="A1404" i="7" s="1"/>
  <c r="I1403" i="7"/>
  <c r="H1403" i="7"/>
  <c r="F1403" i="7" a="1"/>
  <c r="F1403" i="7" s="1"/>
  <c r="E1403" i="7"/>
  <c r="D1403" i="7"/>
  <c r="B1403" i="7"/>
  <c r="A1403" i="7" a="1"/>
  <c r="A1403" i="7" s="1"/>
  <c r="I1402" i="7"/>
  <c r="H1402" i="7"/>
  <c r="F1402" i="7" a="1"/>
  <c r="F1402" i="7" s="1"/>
  <c r="E1402" i="7"/>
  <c r="D1402" i="7"/>
  <c r="B1402" i="7"/>
  <c r="A1402" i="7" a="1"/>
  <c r="A1402" i="7" s="1"/>
  <c r="I1401" i="7"/>
  <c r="H1401" i="7"/>
  <c r="F1401" i="7" a="1"/>
  <c r="F1401" i="7" s="1"/>
  <c r="E1401" i="7"/>
  <c r="D1401" i="7"/>
  <c r="B1401" i="7"/>
  <c r="A1401" i="7" a="1"/>
  <c r="A1401" i="7" s="1"/>
  <c r="I1400" i="7"/>
  <c r="H1400" i="7"/>
  <c r="F1400" i="7" a="1"/>
  <c r="F1400" i="7" s="1"/>
  <c r="E1400" i="7"/>
  <c r="D1400" i="7"/>
  <c r="B1400" i="7"/>
  <c r="A1400" i="7" a="1"/>
  <c r="A1400" i="7" s="1"/>
  <c r="I1399" i="7"/>
  <c r="H1399" i="7"/>
  <c r="F1399" i="7" a="1"/>
  <c r="F1399" i="7" s="1"/>
  <c r="E1399" i="7"/>
  <c r="D1399" i="7"/>
  <c r="B1399" i="7"/>
  <c r="A1399" i="7" a="1"/>
  <c r="A1399" i="7" s="1"/>
  <c r="I1398" i="7"/>
  <c r="H1398" i="7"/>
  <c r="F1398" i="7" a="1"/>
  <c r="F1398" i="7" s="1"/>
  <c r="E1398" i="7"/>
  <c r="D1398" i="7"/>
  <c r="B1398" i="7"/>
  <c r="A1398" i="7" a="1"/>
  <c r="A1398" i="7" s="1"/>
  <c r="I1397" i="7"/>
  <c r="H1397" i="7"/>
  <c r="F1397" i="7" a="1"/>
  <c r="F1397" i="7" s="1"/>
  <c r="E1397" i="7"/>
  <c r="D1397" i="7"/>
  <c r="B1397" i="7"/>
  <c r="A1397" i="7" a="1"/>
  <c r="A1397" i="7" s="1"/>
  <c r="I1396" i="7"/>
  <c r="H1396" i="7"/>
  <c r="F1396" i="7" a="1"/>
  <c r="F1396" i="7" s="1"/>
  <c r="E1396" i="7"/>
  <c r="D1396" i="7"/>
  <c r="B1396" i="7"/>
  <c r="A1396" i="7" a="1"/>
  <c r="A1396" i="7" s="1"/>
  <c r="I1395" i="7"/>
  <c r="H1395" i="7"/>
  <c r="F1395" i="7" a="1"/>
  <c r="F1395" i="7" s="1"/>
  <c r="E1395" i="7"/>
  <c r="D1395" i="7"/>
  <c r="B1395" i="7"/>
  <c r="A1395" i="7" a="1"/>
  <c r="A1395" i="7" s="1"/>
  <c r="I1394" i="7"/>
  <c r="H1394" i="7"/>
  <c r="F1394" i="7" a="1"/>
  <c r="F1394" i="7" s="1"/>
  <c r="E1394" i="7"/>
  <c r="D1394" i="7"/>
  <c r="B1394" i="7"/>
  <c r="A1394" i="7" a="1"/>
  <c r="A1394" i="7" s="1"/>
  <c r="I1393" i="7"/>
  <c r="H1393" i="7"/>
  <c r="F1393" i="7" a="1"/>
  <c r="F1393" i="7" s="1"/>
  <c r="E1393" i="7"/>
  <c r="D1393" i="7"/>
  <c r="B1393" i="7"/>
  <c r="A1393" i="7" a="1"/>
  <c r="A1393" i="7" s="1"/>
  <c r="I1392" i="7"/>
  <c r="H1392" i="7"/>
  <c r="F1392" i="7" a="1"/>
  <c r="F1392" i="7" s="1"/>
  <c r="E1392" i="7"/>
  <c r="D1392" i="7"/>
  <c r="B1392" i="7"/>
  <c r="A1392" i="7" a="1"/>
  <c r="A1392" i="7" s="1"/>
  <c r="I1391" i="7"/>
  <c r="H1391" i="7"/>
  <c r="F1391" i="7" a="1"/>
  <c r="F1391" i="7" s="1"/>
  <c r="E1391" i="7"/>
  <c r="D1391" i="7"/>
  <c r="B1391" i="7"/>
  <c r="A1391" i="7" a="1"/>
  <c r="A1391" i="7" s="1"/>
  <c r="I1390" i="7"/>
  <c r="H1390" i="7"/>
  <c r="F1390" i="7" a="1"/>
  <c r="F1390" i="7" s="1"/>
  <c r="E1390" i="7"/>
  <c r="D1390" i="7"/>
  <c r="B1390" i="7"/>
  <c r="A1390" i="7" a="1"/>
  <c r="A1390" i="7" s="1"/>
  <c r="I1389" i="7"/>
  <c r="H1389" i="7"/>
  <c r="F1389" i="7" a="1"/>
  <c r="F1389" i="7" s="1"/>
  <c r="E1389" i="7"/>
  <c r="D1389" i="7"/>
  <c r="B1389" i="7"/>
  <c r="A1389" i="7" a="1"/>
  <c r="A1389" i="7" s="1"/>
  <c r="I1388" i="7"/>
  <c r="H1388" i="7"/>
  <c r="F1388" i="7" a="1"/>
  <c r="F1388" i="7" s="1"/>
  <c r="E1388" i="7"/>
  <c r="D1388" i="7"/>
  <c r="B1388" i="7"/>
  <c r="A1388" i="7" a="1"/>
  <c r="A1388" i="7" s="1"/>
  <c r="I1387" i="7"/>
  <c r="H1387" i="7"/>
  <c r="F1387" i="7" a="1"/>
  <c r="F1387" i="7" s="1"/>
  <c r="E1387" i="7"/>
  <c r="D1387" i="7"/>
  <c r="B1387" i="7"/>
  <c r="A1387" i="7" a="1"/>
  <c r="A1387" i="7" s="1"/>
  <c r="I1386" i="7"/>
  <c r="H1386" i="7"/>
  <c r="F1386" i="7" a="1"/>
  <c r="F1386" i="7" s="1"/>
  <c r="E1386" i="7"/>
  <c r="D1386" i="7"/>
  <c r="B1386" i="7"/>
  <c r="A1386" i="7" a="1"/>
  <c r="A1386" i="7" s="1"/>
  <c r="I1385" i="7"/>
  <c r="H1385" i="7"/>
  <c r="F1385" i="7" a="1"/>
  <c r="F1385" i="7" s="1"/>
  <c r="E1385" i="7"/>
  <c r="D1385" i="7"/>
  <c r="B1385" i="7"/>
  <c r="A1385" i="7" a="1"/>
  <c r="A1385" i="7" s="1"/>
  <c r="I1384" i="7"/>
  <c r="H1384" i="7"/>
  <c r="F1384" i="7" a="1"/>
  <c r="F1384" i="7" s="1"/>
  <c r="E1384" i="7"/>
  <c r="D1384" i="7"/>
  <c r="B1384" i="7"/>
  <c r="A1384" i="7" a="1"/>
  <c r="A1384" i="7" s="1"/>
  <c r="I1383" i="7"/>
  <c r="H1383" i="7"/>
  <c r="F1383" i="7" a="1"/>
  <c r="F1383" i="7" s="1"/>
  <c r="E1383" i="7"/>
  <c r="D1383" i="7"/>
  <c r="B1383" i="7"/>
  <c r="A1383" i="7" a="1"/>
  <c r="A1383" i="7" s="1"/>
  <c r="I1382" i="7"/>
  <c r="H1382" i="7"/>
  <c r="F1382" i="7" a="1"/>
  <c r="F1382" i="7" s="1"/>
  <c r="E1382" i="7"/>
  <c r="D1382" i="7"/>
  <c r="B1382" i="7"/>
  <c r="A1382" i="7" a="1"/>
  <c r="A1382" i="7" s="1"/>
  <c r="I1381" i="7"/>
  <c r="H1381" i="7"/>
  <c r="F1381" i="7" a="1"/>
  <c r="F1381" i="7" s="1"/>
  <c r="E1381" i="7"/>
  <c r="D1381" i="7"/>
  <c r="B1381" i="7"/>
  <c r="A1381" i="7" a="1"/>
  <c r="A1381" i="7" s="1"/>
  <c r="I1380" i="7"/>
  <c r="H1380" i="7"/>
  <c r="F1380" i="7" a="1"/>
  <c r="F1380" i="7" s="1"/>
  <c r="E1380" i="7"/>
  <c r="D1380" i="7"/>
  <c r="B1380" i="7"/>
  <c r="A1380" i="7" a="1"/>
  <c r="A1380" i="7" s="1"/>
  <c r="I1379" i="7"/>
  <c r="H1379" i="7"/>
  <c r="F1379" i="7" a="1"/>
  <c r="F1379" i="7" s="1"/>
  <c r="E1379" i="7"/>
  <c r="D1379" i="7"/>
  <c r="B1379" i="7"/>
  <c r="A1379" i="7" a="1"/>
  <c r="A1379" i="7" s="1"/>
  <c r="I1378" i="7"/>
  <c r="H1378" i="7"/>
  <c r="F1378" i="7" a="1"/>
  <c r="F1378" i="7" s="1"/>
  <c r="E1378" i="7"/>
  <c r="D1378" i="7"/>
  <c r="B1378" i="7"/>
  <c r="A1378" i="7" a="1"/>
  <c r="A1378" i="7" s="1"/>
  <c r="I1377" i="7"/>
  <c r="H1377" i="7"/>
  <c r="F1377" i="7" a="1"/>
  <c r="F1377" i="7" s="1"/>
  <c r="E1377" i="7"/>
  <c r="D1377" i="7"/>
  <c r="B1377" i="7"/>
  <c r="A1377" i="7" a="1"/>
  <c r="A1377" i="7" s="1"/>
  <c r="I1376" i="7"/>
  <c r="H1376" i="7"/>
  <c r="F1376" i="7" a="1"/>
  <c r="F1376" i="7" s="1"/>
  <c r="E1376" i="7"/>
  <c r="D1376" i="7"/>
  <c r="B1376" i="7"/>
  <c r="A1376" i="7" a="1"/>
  <c r="A1376" i="7" s="1"/>
  <c r="I1375" i="7"/>
  <c r="H1375" i="7"/>
  <c r="F1375" i="7" a="1"/>
  <c r="F1375" i="7" s="1"/>
  <c r="E1375" i="7"/>
  <c r="D1375" i="7"/>
  <c r="B1375" i="7"/>
  <c r="A1375" i="7" a="1"/>
  <c r="A1375" i="7" s="1"/>
  <c r="I1374" i="7"/>
  <c r="H1374" i="7"/>
  <c r="F1374" i="7" a="1"/>
  <c r="F1374" i="7" s="1"/>
  <c r="E1374" i="7"/>
  <c r="D1374" i="7"/>
  <c r="B1374" i="7"/>
  <c r="A1374" i="7" a="1"/>
  <c r="A1374" i="7" s="1"/>
  <c r="I1373" i="7"/>
  <c r="H1373" i="7"/>
  <c r="F1373" i="7" a="1"/>
  <c r="F1373" i="7" s="1"/>
  <c r="E1373" i="7"/>
  <c r="D1373" i="7"/>
  <c r="B1373" i="7"/>
  <c r="A1373" i="7" a="1"/>
  <c r="A1373" i="7" s="1"/>
  <c r="I1372" i="7"/>
  <c r="H1372" i="7"/>
  <c r="F1372" i="7" a="1"/>
  <c r="F1372" i="7" s="1"/>
  <c r="E1372" i="7"/>
  <c r="D1372" i="7"/>
  <c r="B1372" i="7"/>
  <c r="A1372" i="7" a="1"/>
  <c r="A1372" i="7" s="1"/>
  <c r="I1371" i="7"/>
  <c r="H1371" i="7"/>
  <c r="F1371" i="7" a="1"/>
  <c r="F1371" i="7" s="1"/>
  <c r="E1371" i="7"/>
  <c r="D1371" i="7"/>
  <c r="B1371" i="7"/>
  <c r="A1371" i="7" a="1"/>
  <c r="A1371" i="7" s="1"/>
  <c r="I1370" i="7"/>
  <c r="H1370" i="7"/>
  <c r="F1370" i="7" a="1"/>
  <c r="F1370" i="7" s="1"/>
  <c r="E1370" i="7"/>
  <c r="D1370" i="7"/>
  <c r="B1370" i="7"/>
  <c r="A1370" i="7" a="1"/>
  <c r="A1370" i="7" s="1"/>
  <c r="I1369" i="7"/>
  <c r="H1369" i="7"/>
  <c r="F1369" i="7" a="1"/>
  <c r="F1369" i="7" s="1"/>
  <c r="E1369" i="7"/>
  <c r="D1369" i="7"/>
  <c r="B1369" i="7"/>
  <c r="A1369" i="7" a="1"/>
  <c r="A1369" i="7" s="1"/>
  <c r="I1368" i="7"/>
  <c r="H1368" i="7"/>
  <c r="F1368" i="7" a="1"/>
  <c r="F1368" i="7" s="1"/>
  <c r="E1368" i="7"/>
  <c r="D1368" i="7"/>
  <c r="B1368" i="7"/>
  <c r="A1368" i="7" a="1"/>
  <c r="A1368" i="7" s="1"/>
  <c r="I1367" i="7"/>
  <c r="H1367" i="7"/>
  <c r="F1367" i="7" a="1"/>
  <c r="F1367" i="7" s="1"/>
  <c r="E1367" i="7"/>
  <c r="D1367" i="7"/>
  <c r="B1367" i="7"/>
  <c r="A1367" i="7" a="1"/>
  <c r="A1367" i="7" s="1"/>
  <c r="I1366" i="7"/>
  <c r="H1366" i="7"/>
  <c r="F1366" i="7" a="1"/>
  <c r="F1366" i="7" s="1"/>
  <c r="E1366" i="7"/>
  <c r="D1366" i="7"/>
  <c r="B1366" i="7"/>
  <c r="A1366" i="7" a="1"/>
  <c r="A1366" i="7" s="1"/>
  <c r="I1365" i="7"/>
  <c r="H1365" i="7"/>
  <c r="F1365" i="7" a="1"/>
  <c r="F1365" i="7" s="1"/>
  <c r="E1365" i="7"/>
  <c r="D1365" i="7"/>
  <c r="B1365" i="7"/>
  <c r="A1365" i="7" a="1"/>
  <c r="A1365" i="7" s="1"/>
  <c r="I1364" i="7"/>
  <c r="H1364" i="7"/>
  <c r="F1364" i="7" a="1"/>
  <c r="F1364" i="7" s="1"/>
  <c r="E1364" i="7"/>
  <c r="D1364" i="7"/>
  <c r="B1364" i="7"/>
  <c r="A1364" i="7" a="1"/>
  <c r="A1364" i="7" s="1"/>
  <c r="I1363" i="7"/>
  <c r="H1363" i="7"/>
  <c r="F1363" i="7" a="1"/>
  <c r="F1363" i="7" s="1"/>
  <c r="E1363" i="7"/>
  <c r="D1363" i="7"/>
  <c r="B1363" i="7"/>
  <c r="A1363" i="7" a="1"/>
  <c r="A1363" i="7" s="1"/>
  <c r="I1362" i="7"/>
  <c r="H1362" i="7"/>
  <c r="F1362" i="7" a="1"/>
  <c r="F1362" i="7" s="1"/>
  <c r="E1362" i="7"/>
  <c r="D1362" i="7"/>
  <c r="B1362" i="7"/>
  <c r="A1362" i="7" a="1"/>
  <c r="A1362" i="7" s="1"/>
  <c r="I1361" i="7"/>
  <c r="H1361" i="7"/>
  <c r="F1361" i="7" a="1"/>
  <c r="F1361" i="7" s="1"/>
  <c r="E1361" i="7"/>
  <c r="D1361" i="7"/>
  <c r="B1361" i="7"/>
  <c r="A1361" i="7" a="1"/>
  <c r="A1361" i="7" s="1"/>
  <c r="I1360" i="7"/>
  <c r="H1360" i="7"/>
  <c r="F1360" i="7" a="1"/>
  <c r="F1360" i="7" s="1"/>
  <c r="E1360" i="7"/>
  <c r="D1360" i="7"/>
  <c r="B1360" i="7"/>
  <c r="A1360" i="7" a="1"/>
  <c r="A1360" i="7" s="1"/>
  <c r="I1359" i="7"/>
  <c r="H1359" i="7"/>
  <c r="F1359" i="7" a="1"/>
  <c r="F1359" i="7" s="1"/>
  <c r="E1359" i="7"/>
  <c r="D1359" i="7"/>
  <c r="B1359" i="7"/>
  <c r="A1359" i="7" a="1"/>
  <c r="A1359" i="7" s="1"/>
  <c r="I1358" i="7"/>
  <c r="H1358" i="7"/>
  <c r="F1358" i="7" a="1"/>
  <c r="F1358" i="7" s="1"/>
  <c r="E1358" i="7"/>
  <c r="D1358" i="7"/>
  <c r="B1358" i="7"/>
  <c r="A1358" i="7" a="1"/>
  <c r="A1358" i="7" s="1"/>
  <c r="I1357" i="7"/>
  <c r="H1357" i="7"/>
  <c r="F1357" i="7" a="1"/>
  <c r="F1357" i="7" s="1"/>
  <c r="E1357" i="7"/>
  <c r="D1357" i="7"/>
  <c r="B1357" i="7"/>
  <c r="A1357" i="7" a="1"/>
  <c r="A1357" i="7" s="1"/>
  <c r="I1356" i="7"/>
  <c r="H1356" i="7"/>
  <c r="F1356" i="7" a="1"/>
  <c r="F1356" i="7" s="1"/>
  <c r="E1356" i="7"/>
  <c r="D1356" i="7"/>
  <c r="B1356" i="7"/>
  <c r="A1356" i="7" a="1"/>
  <c r="A1356" i="7" s="1"/>
  <c r="I1355" i="7"/>
  <c r="H1355" i="7"/>
  <c r="F1355" i="7" a="1"/>
  <c r="F1355" i="7" s="1"/>
  <c r="E1355" i="7"/>
  <c r="D1355" i="7"/>
  <c r="B1355" i="7"/>
  <c r="A1355" i="7" a="1"/>
  <c r="A1355" i="7" s="1"/>
  <c r="I1354" i="7"/>
  <c r="H1354" i="7"/>
  <c r="F1354" i="7" a="1"/>
  <c r="F1354" i="7" s="1"/>
  <c r="E1354" i="7"/>
  <c r="D1354" i="7"/>
  <c r="B1354" i="7"/>
  <c r="A1354" i="7" a="1"/>
  <c r="A1354" i="7" s="1"/>
  <c r="I1353" i="7"/>
  <c r="H1353" i="7"/>
  <c r="F1353" i="7" a="1"/>
  <c r="F1353" i="7" s="1"/>
  <c r="E1353" i="7"/>
  <c r="D1353" i="7"/>
  <c r="B1353" i="7"/>
  <c r="A1353" i="7" a="1"/>
  <c r="A1353" i="7" s="1"/>
  <c r="I1352" i="7"/>
  <c r="H1352" i="7"/>
  <c r="F1352" i="7" a="1"/>
  <c r="F1352" i="7" s="1"/>
  <c r="E1352" i="7"/>
  <c r="D1352" i="7"/>
  <c r="B1352" i="7"/>
  <c r="A1352" i="7" a="1"/>
  <c r="A1352" i="7" s="1"/>
  <c r="I1351" i="7"/>
  <c r="H1351" i="7"/>
  <c r="F1351" i="7" a="1"/>
  <c r="F1351" i="7" s="1"/>
  <c r="E1351" i="7"/>
  <c r="D1351" i="7"/>
  <c r="B1351" i="7"/>
  <c r="A1351" i="7" a="1"/>
  <c r="A1351" i="7" s="1"/>
  <c r="I1350" i="7"/>
  <c r="H1350" i="7"/>
  <c r="F1350" i="7" a="1"/>
  <c r="F1350" i="7" s="1"/>
  <c r="E1350" i="7"/>
  <c r="D1350" i="7"/>
  <c r="B1350" i="7"/>
  <c r="A1350" i="7" a="1"/>
  <c r="A1350" i="7" s="1"/>
  <c r="I1349" i="7"/>
  <c r="H1349" i="7"/>
  <c r="F1349" i="7" a="1"/>
  <c r="F1349" i="7" s="1"/>
  <c r="E1349" i="7"/>
  <c r="D1349" i="7"/>
  <c r="B1349" i="7"/>
  <c r="A1349" i="7" a="1"/>
  <c r="A1349" i="7" s="1"/>
  <c r="I1348" i="7"/>
  <c r="H1348" i="7"/>
  <c r="F1348" i="7" a="1"/>
  <c r="F1348" i="7" s="1"/>
  <c r="E1348" i="7"/>
  <c r="D1348" i="7"/>
  <c r="B1348" i="7"/>
  <c r="A1348" i="7" a="1"/>
  <c r="A1348" i="7" s="1"/>
  <c r="I1347" i="7"/>
  <c r="H1347" i="7"/>
  <c r="F1347" i="7" a="1"/>
  <c r="F1347" i="7" s="1"/>
  <c r="E1347" i="7"/>
  <c r="D1347" i="7"/>
  <c r="B1347" i="7"/>
  <c r="A1347" i="7" a="1"/>
  <c r="A1347" i="7" s="1"/>
  <c r="I1346" i="7"/>
  <c r="H1346" i="7"/>
  <c r="F1346" i="7" a="1"/>
  <c r="F1346" i="7" s="1"/>
  <c r="E1346" i="7"/>
  <c r="D1346" i="7"/>
  <c r="B1346" i="7"/>
  <c r="A1346" i="7" a="1"/>
  <c r="A1346" i="7" s="1"/>
  <c r="I1345" i="7"/>
  <c r="H1345" i="7"/>
  <c r="F1345" i="7" a="1"/>
  <c r="F1345" i="7" s="1"/>
  <c r="E1345" i="7"/>
  <c r="D1345" i="7"/>
  <c r="B1345" i="7"/>
  <c r="A1345" i="7" a="1"/>
  <c r="A1345" i="7" s="1"/>
  <c r="I1344" i="7"/>
  <c r="H1344" i="7"/>
  <c r="F1344" i="7" a="1"/>
  <c r="F1344" i="7" s="1"/>
  <c r="E1344" i="7"/>
  <c r="D1344" i="7"/>
  <c r="B1344" i="7"/>
  <c r="A1344" i="7" a="1"/>
  <c r="A1344" i="7" s="1"/>
  <c r="I1343" i="7"/>
  <c r="H1343" i="7"/>
  <c r="F1343" i="7" a="1"/>
  <c r="F1343" i="7" s="1"/>
  <c r="E1343" i="7"/>
  <c r="D1343" i="7"/>
  <c r="B1343" i="7"/>
  <c r="A1343" i="7" a="1"/>
  <c r="A1343" i="7" s="1"/>
  <c r="I1342" i="7"/>
  <c r="H1342" i="7"/>
  <c r="F1342" i="7" a="1"/>
  <c r="F1342" i="7" s="1"/>
  <c r="E1342" i="7"/>
  <c r="D1342" i="7"/>
  <c r="B1342" i="7"/>
  <c r="A1342" i="7" a="1"/>
  <c r="A1342" i="7" s="1"/>
  <c r="I1341" i="7"/>
  <c r="H1341" i="7"/>
  <c r="F1341" i="7" a="1"/>
  <c r="F1341" i="7" s="1"/>
  <c r="E1341" i="7"/>
  <c r="D1341" i="7"/>
  <c r="B1341" i="7"/>
  <c r="A1341" i="7" a="1"/>
  <c r="A1341" i="7" s="1"/>
  <c r="I1340" i="7"/>
  <c r="H1340" i="7"/>
  <c r="F1340" i="7" a="1"/>
  <c r="F1340" i="7" s="1"/>
  <c r="E1340" i="7"/>
  <c r="D1340" i="7"/>
  <c r="B1340" i="7"/>
  <c r="A1340" i="7" a="1"/>
  <c r="A1340" i="7" s="1"/>
  <c r="I1339" i="7"/>
  <c r="H1339" i="7"/>
  <c r="F1339" i="7" a="1"/>
  <c r="F1339" i="7" s="1"/>
  <c r="E1339" i="7"/>
  <c r="D1339" i="7"/>
  <c r="B1339" i="7"/>
  <c r="A1339" i="7" a="1"/>
  <c r="A1339" i="7" s="1"/>
  <c r="I1338" i="7"/>
  <c r="H1338" i="7"/>
  <c r="F1338" i="7" a="1"/>
  <c r="F1338" i="7" s="1"/>
  <c r="E1338" i="7"/>
  <c r="D1338" i="7"/>
  <c r="B1338" i="7"/>
  <c r="A1338" i="7" a="1"/>
  <c r="A1338" i="7" s="1"/>
  <c r="I1337" i="7"/>
  <c r="H1337" i="7"/>
  <c r="F1337" i="7" a="1"/>
  <c r="F1337" i="7" s="1"/>
  <c r="E1337" i="7"/>
  <c r="D1337" i="7"/>
  <c r="B1337" i="7"/>
  <c r="A1337" i="7" a="1"/>
  <c r="A1337" i="7" s="1"/>
  <c r="I1336" i="7"/>
  <c r="H1336" i="7"/>
  <c r="F1336" i="7" a="1"/>
  <c r="F1336" i="7" s="1"/>
  <c r="E1336" i="7"/>
  <c r="D1336" i="7"/>
  <c r="B1336" i="7"/>
  <c r="A1336" i="7" a="1"/>
  <c r="A1336" i="7" s="1"/>
  <c r="I1335" i="7"/>
  <c r="H1335" i="7"/>
  <c r="F1335" i="7" a="1"/>
  <c r="F1335" i="7" s="1"/>
  <c r="E1335" i="7"/>
  <c r="D1335" i="7"/>
  <c r="B1335" i="7"/>
  <c r="A1335" i="7" a="1"/>
  <c r="A1335" i="7" s="1"/>
  <c r="I1334" i="7"/>
  <c r="H1334" i="7"/>
  <c r="F1334" i="7" a="1"/>
  <c r="F1334" i="7" s="1"/>
  <c r="E1334" i="7"/>
  <c r="D1334" i="7"/>
  <c r="B1334" i="7"/>
  <c r="A1334" i="7" a="1"/>
  <c r="A1334" i="7" s="1"/>
  <c r="I1333" i="7"/>
  <c r="H1333" i="7"/>
  <c r="F1333" i="7" a="1"/>
  <c r="F1333" i="7" s="1"/>
  <c r="E1333" i="7"/>
  <c r="D1333" i="7"/>
  <c r="B1333" i="7"/>
  <c r="A1333" i="7" a="1"/>
  <c r="A1333" i="7" s="1"/>
  <c r="I1332" i="7"/>
  <c r="H1332" i="7"/>
  <c r="F1332" i="7" a="1"/>
  <c r="F1332" i="7" s="1"/>
  <c r="E1332" i="7"/>
  <c r="D1332" i="7"/>
  <c r="B1332" i="7"/>
  <c r="A1332" i="7" a="1"/>
  <c r="A1332" i="7" s="1"/>
  <c r="I1331" i="7"/>
  <c r="H1331" i="7"/>
  <c r="F1331" i="7" a="1"/>
  <c r="F1331" i="7" s="1"/>
  <c r="E1331" i="7"/>
  <c r="D1331" i="7"/>
  <c r="B1331" i="7"/>
  <c r="A1331" i="7" a="1"/>
  <c r="A1331" i="7" s="1"/>
  <c r="I1330" i="7"/>
  <c r="H1330" i="7"/>
  <c r="F1330" i="7" a="1"/>
  <c r="F1330" i="7" s="1"/>
  <c r="E1330" i="7"/>
  <c r="D1330" i="7"/>
  <c r="B1330" i="7"/>
  <c r="A1330" i="7" a="1"/>
  <c r="A1330" i="7" s="1"/>
  <c r="I1329" i="7"/>
  <c r="H1329" i="7"/>
  <c r="F1329" i="7" a="1"/>
  <c r="F1329" i="7" s="1"/>
  <c r="E1329" i="7"/>
  <c r="D1329" i="7"/>
  <c r="B1329" i="7"/>
  <c r="A1329" i="7" a="1"/>
  <c r="A1329" i="7" s="1"/>
  <c r="I1328" i="7"/>
  <c r="H1328" i="7"/>
  <c r="F1328" i="7" a="1"/>
  <c r="F1328" i="7" s="1"/>
  <c r="E1328" i="7"/>
  <c r="D1328" i="7"/>
  <c r="B1328" i="7"/>
  <c r="A1328" i="7" a="1"/>
  <c r="A1328" i="7" s="1"/>
  <c r="I1327" i="7"/>
  <c r="H1327" i="7"/>
  <c r="F1327" i="7" a="1"/>
  <c r="F1327" i="7" s="1"/>
  <c r="E1327" i="7"/>
  <c r="D1327" i="7"/>
  <c r="B1327" i="7"/>
  <c r="A1327" i="7" a="1"/>
  <c r="A1327" i="7" s="1"/>
  <c r="I1326" i="7"/>
  <c r="H1326" i="7"/>
  <c r="F1326" i="7" a="1"/>
  <c r="F1326" i="7" s="1"/>
  <c r="E1326" i="7"/>
  <c r="D1326" i="7"/>
  <c r="B1326" i="7"/>
  <c r="A1326" i="7" a="1"/>
  <c r="A1326" i="7" s="1"/>
  <c r="I1325" i="7"/>
  <c r="H1325" i="7"/>
  <c r="F1325" i="7" a="1"/>
  <c r="F1325" i="7" s="1"/>
  <c r="E1325" i="7"/>
  <c r="D1325" i="7"/>
  <c r="B1325" i="7"/>
  <c r="A1325" i="7" a="1"/>
  <c r="A1325" i="7" s="1"/>
  <c r="I1324" i="7"/>
  <c r="H1324" i="7"/>
  <c r="F1324" i="7" a="1"/>
  <c r="F1324" i="7" s="1"/>
  <c r="E1324" i="7"/>
  <c r="D1324" i="7"/>
  <c r="B1324" i="7"/>
  <c r="A1324" i="7" a="1"/>
  <c r="A1324" i="7" s="1"/>
  <c r="I1323" i="7"/>
  <c r="H1323" i="7"/>
  <c r="F1323" i="7" a="1"/>
  <c r="F1323" i="7" s="1"/>
  <c r="E1323" i="7"/>
  <c r="D1323" i="7"/>
  <c r="B1323" i="7"/>
  <c r="A1323" i="7" a="1"/>
  <c r="A1323" i="7" s="1"/>
  <c r="I1322" i="7"/>
  <c r="H1322" i="7"/>
  <c r="F1322" i="7" a="1"/>
  <c r="F1322" i="7" s="1"/>
  <c r="E1322" i="7"/>
  <c r="D1322" i="7"/>
  <c r="B1322" i="7"/>
  <c r="A1322" i="7" a="1"/>
  <c r="A1322" i="7" s="1"/>
  <c r="I1321" i="7"/>
  <c r="H1321" i="7"/>
  <c r="F1321" i="7" a="1"/>
  <c r="F1321" i="7" s="1"/>
  <c r="E1321" i="7"/>
  <c r="D1321" i="7"/>
  <c r="B1321" i="7"/>
  <c r="A1321" i="7" a="1"/>
  <c r="A1321" i="7" s="1"/>
  <c r="I1320" i="7"/>
  <c r="H1320" i="7"/>
  <c r="F1320" i="7" a="1"/>
  <c r="F1320" i="7" s="1"/>
  <c r="E1320" i="7"/>
  <c r="D1320" i="7"/>
  <c r="B1320" i="7"/>
  <c r="A1320" i="7" a="1"/>
  <c r="A1320" i="7" s="1"/>
  <c r="I1319" i="7"/>
  <c r="H1319" i="7"/>
  <c r="F1319" i="7" a="1"/>
  <c r="F1319" i="7" s="1"/>
  <c r="E1319" i="7"/>
  <c r="D1319" i="7"/>
  <c r="B1319" i="7"/>
  <c r="A1319" i="7" a="1"/>
  <c r="A1319" i="7" s="1"/>
  <c r="I1318" i="7"/>
  <c r="H1318" i="7"/>
  <c r="F1318" i="7" a="1"/>
  <c r="F1318" i="7" s="1"/>
  <c r="E1318" i="7"/>
  <c r="D1318" i="7"/>
  <c r="B1318" i="7"/>
  <c r="A1318" i="7" a="1"/>
  <c r="A1318" i="7" s="1"/>
  <c r="I1317" i="7"/>
  <c r="H1317" i="7"/>
  <c r="F1317" i="7" a="1"/>
  <c r="F1317" i="7" s="1"/>
  <c r="E1317" i="7"/>
  <c r="D1317" i="7"/>
  <c r="B1317" i="7"/>
  <c r="A1317" i="7" a="1"/>
  <c r="A1317" i="7" s="1"/>
  <c r="I1316" i="7"/>
  <c r="H1316" i="7"/>
  <c r="F1316" i="7" a="1"/>
  <c r="F1316" i="7" s="1"/>
  <c r="E1316" i="7"/>
  <c r="D1316" i="7"/>
  <c r="B1316" i="7"/>
  <c r="A1316" i="7" a="1"/>
  <c r="A1316" i="7" s="1"/>
  <c r="I1315" i="7"/>
  <c r="H1315" i="7"/>
  <c r="F1315" i="7" a="1"/>
  <c r="F1315" i="7" s="1"/>
  <c r="E1315" i="7"/>
  <c r="D1315" i="7"/>
  <c r="B1315" i="7"/>
  <c r="A1315" i="7" a="1"/>
  <c r="A1315" i="7" s="1"/>
  <c r="I1314" i="7"/>
  <c r="H1314" i="7"/>
  <c r="F1314" i="7" a="1"/>
  <c r="F1314" i="7" s="1"/>
  <c r="E1314" i="7"/>
  <c r="D1314" i="7"/>
  <c r="B1314" i="7"/>
  <c r="A1314" i="7" a="1"/>
  <c r="A1314" i="7" s="1"/>
  <c r="I1313" i="7"/>
  <c r="H1313" i="7"/>
  <c r="F1313" i="7" a="1"/>
  <c r="F1313" i="7" s="1"/>
  <c r="E1313" i="7"/>
  <c r="D1313" i="7"/>
  <c r="B1313" i="7"/>
  <c r="A1313" i="7" a="1"/>
  <c r="A1313" i="7" s="1"/>
  <c r="I1312" i="7"/>
  <c r="H1312" i="7"/>
  <c r="F1312" i="7" a="1"/>
  <c r="F1312" i="7" s="1"/>
  <c r="E1312" i="7"/>
  <c r="D1312" i="7"/>
  <c r="B1312" i="7"/>
  <c r="A1312" i="7" a="1"/>
  <c r="A1312" i="7" s="1"/>
  <c r="I1311" i="7"/>
  <c r="H1311" i="7"/>
  <c r="F1311" i="7" a="1"/>
  <c r="F1311" i="7" s="1"/>
  <c r="E1311" i="7"/>
  <c r="D1311" i="7"/>
  <c r="B1311" i="7"/>
  <c r="A1311" i="7" a="1"/>
  <c r="A1311" i="7" s="1"/>
  <c r="I1310" i="7"/>
  <c r="H1310" i="7"/>
  <c r="F1310" i="7" a="1"/>
  <c r="F1310" i="7" s="1"/>
  <c r="E1310" i="7"/>
  <c r="D1310" i="7"/>
  <c r="B1310" i="7"/>
  <c r="A1310" i="7" a="1"/>
  <c r="A1310" i="7" s="1"/>
  <c r="I1309" i="7"/>
  <c r="H1309" i="7"/>
  <c r="F1309" i="7" a="1"/>
  <c r="F1309" i="7" s="1"/>
  <c r="E1309" i="7"/>
  <c r="D1309" i="7"/>
  <c r="B1309" i="7"/>
  <c r="A1309" i="7" a="1"/>
  <c r="A1309" i="7" s="1"/>
  <c r="I1308" i="7"/>
  <c r="H1308" i="7"/>
  <c r="F1308" i="7" a="1"/>
  <c r="F1308" i="7" s="1"/>
  <c r="E1308" i="7"/>
  <c r="D1308" i="7"/>
  <c r="B1308" i="7"/>
  <c r="A1308" i="7" a="1"/>
  <c r="A1308" i="7" s="1"/>
  <c r="I1307" i="7"/>
  <c r="H1307" i="7"/>
  <c r="F1307" i="7" a="1"/>
  <c r="F1307" i="7" s="1"/>
  <c r="E1307" i="7"/>
  <c r="D1307" i="7"/>
  <c r="B1307" i="7"/>
  <c r="A1307" i="7" a="1"/>
  <c r="A1307" i="7" s="1"/>
  <c r="I1306" i="7"/>
  <c r="H1306" i="7"/>
  <c r="F1306" i="7" a="1"/>
  <c r="F1306" i="7" s="1"/>
  <c r="E1306" i="7"/>
  <c r="D1306" i="7"/>
  <c r="B1306" i="7"/>
  <c r="A1306" i="7" a="1"/>
  <c r="A1306" i="7" s="1"/>
  <c r="I1305" i="7"/>
  <c r="H1305" i="7"/>
  <c r="F1305" i="7" a="1"/>
  <c r="F1305" i="7" s="1"/>
  <c r="E1305" i="7"/>
  <c r="D1305" i="7"/>
  <c r="B1305" i="7"/>
  <c r="A1305" i="7" a="1"/>
  <c r="A1305" i="7" s="1"/>
  <c r="I1304" i="7"/>
  <c r="H1304" i="7"/>
  <c r="F1304" i="7" a="1"/>
  <c r="F1304" i="7" s="1"/>
  <c r="E1304" i="7"/>
  <c r="D1304" i="7"/>
  <c r="B1304" i="7"/>
  <c r="A1304" i="7" a="1"/>
  <c r="A1304" i="7" s="1"/>
  <c r="I1303" i="7"/>
  <c r="H1303" i="7"/>
  <c r="F1303" i="7" a="1"/>
  <c r="F1303" i="7" s="1"/>
  <c r="E1303" i="7"/>
  <c r="D1303" i="7"/>
  <c r="B1303" i="7"/>
  <c r="A1303" i="7" a="1"/>
  <c r="A1303" i="7" s="1"/>
  <c r="I1302" i="7"/>
  <c r="H1302" i="7"/>
  <c r="F1302" i="7" a="1"/>
  <c r="F1302" i="7" s="1"/>
  <c r="E1302" i="7"/>
  <c r="D1302" i="7"/>
  <c r="B1302" i="7"/>
  <c r="A1302" i="7" a="1"/>
  <c r="A1302" i="7" s="1"/>
  <c r="I1301" i="7"/>
  <c r="H1301" i="7"/>
  <c r="F1301" i="7" a="1"/>
  <c r="F1301" i="7" s="1"/>
  <c r="E1301" i="7"/>
  <c r="D1301" i="7"/>
  <c r="B1301" i="7"/>
  <c r="A1301" i="7" a="1"/>
  <c r="A1301" i="7" s="1"/>
  <c r="I1300" i="7"/>
  <c r="H1300" i="7"/>
  <c r="F1300" i="7" a="1"/>
  <c r="F1300" i="7" s="1"/>
  <c r="E1300" i="7"/>
  <c r="D1300" i="7"/>
  <c r="B1300" i="7"/>
  <c r="A1300" i="7" a="1"/>
  <c r="A1300" i="7" s="1"/>
  <c r="I1299" i="7"/>
  <c r="H1299" i="7"/>
  <c r="F1299" i="7" a="1"/>
  <c r="F1299" i="7" s="1"/>
  <c r="E1299" i="7"/>
  <c r="D1299" i="7"/>
  <c r="B1299" i="7"/>
  <c r="A1299" i="7" a="1"/>
  <c r="A1299" i="7" s="1"/>
  <c r="I1298" i="7"/>
  <c r="H1298" i="7"/>
  <c r="F1298" i="7" a="1"/>
  <c r="F1298" i="7" s="1"/>
  <c r="E1298" i="7"/>
  <c r="D1298" i="7"/>
  <c r="B1298" i="7"/>
  <c r="A1298" i="7" a="1"/>
  <c r="A1298" i="7" s="1"/>
  <c r="I1297" i="7"/>
  <c r="H1297" i="7"/>
  <c r="F1297" i="7" a="1"/>
  <c r="F1297" i="7" s="1"/>
  <c r="E1297" i="7"/>
  <c r="D1297" i="7"/>
  <c r="B1297" i="7"/>
  <c r="A1297" i="7" a="1"/>
  <c r="A1297" i="7" s="1"/>
  <c r="I1296" i="7"/>
  <c r="H1296" i="7"/>
  <c r="F1296" i="7" a="1"/>
  <c r="F1296" i="7" s="1"/>
  <c r="E1296" i="7"/>
  <c r="D1296" i="7"/>
  <c r="B1296" i="7"/>
  <c r="A1296" i="7" a="1"/>
  <c r="A1296" i="7" s="1"/>
  <c r="I1295" i="7"/>
  <c r="H1295" i="7"/>
  <c r="F1295" i="7" a="1"/>
  <c r="F1295" i="7" s="1"/>
  <c r="E1295" i="7"/>
  <c r="D1295" i="7"/>
  <c r="B1295" i="7"/>
  <c r="A1295" i="7" a="1"/>
  <c r="A1295" i="7" s="1"/>
  <c r="I1294" i="7"/>
  <c r="H1294" i="7"/>
  <c r="F1294" i="7" a="1"/>
  <c r="F1294" i="7" s="1"/>
  <c r="E1294" i="7"/>
  <c r="D1294" i="7"/>
  <c r="B1294" i="7"/>
  <c r="A1294" i="7" a="1"/>
  <c r="A1294" i="7" s="1"/>
  <c r="I1293" i="7"/>
  <c r="H1293" i="7"/>
  <c r="F1293" i="7" a="1"/>
  <c r="F1293" i="7" s="1"/>
  <c r="E1293" i="7"/>
  <c r="D1293" i="7"/>
  <c r="B1293" i="7"/>
  <c r="A1293" i="7" a="1"/>
  <c r="A1293" i="7" s="1"/>
  <c r="I1292" i="7"/>
  <c r="H1292" i="7"/>
  <c r="F1292" i="7" a="1"/>
  <c r="F1292" i="7" s="1"/>
  <c r="E1292" i="7"/>
  <c r="D1292" i="7"/>
  <c r="B1292" i="7"/>
  <c r="A1292" i="7" a="1"/>
  <c r="A1292" i="7" s="1"/>
  <c r="I1291" i="7"/>
  <c r="H1291" i="7"/>
  <c r="F1291" i="7" a="1"/>
  <c r="F1291" i="7" s="1"/>
  <c r="E1291" i="7"/>
  <c r="D1291" i="7"/>
  <c r="B1291" i="7"/>
  <c r="A1291" i="7" a="1"/>
  <c r="A1291" i="7" s="1"/>
  <c r="I1290" i="7"/>
  <c r="H1290" i="7"/>
  <c r="F1290" i="7" a="1"/>
  <c r="F1290" i="7" s="1"/>
  <c r="E1290" i="7"/>
  <c r="D1290" i="7"/>
  <c r="B1290" i="7"/>
  <c r="A1290" i="7" a="1"/>
  <c r="A1290" i="7" s="1"/>
  <c r="I1289" i="7"/>
  <c r="H1289" i="7"/>
  <c r="F1289" i="7" a="1"/>
  <c r="F1289" i="7" s="1"/>
  <c r="E1289" i="7"/>
  <c r="D1289" i="7"/>
  <c r="B1289" i="7"/>
  <c r="A1289" i="7" a="1"/>
  <c r="A1289" i="7" s="1"/>
  <c r="I1288" i="7"/>
  <c r="H1288" i="7"/>
  <c r="F1288" i="7" a="1"/>
  <c r="F1288" i="7" s="1"/>
  <c r="E1288" i="7"/>
  <c r="D1288" i="7"/>
  <c r="B1288" i="7"/>
  <c r="A1288" i="7" a="1"/>
  <c r="A1288" i="7" s="1"/>
  <c r="I1287" i="7"/>
  <c r="H1287" i="7"/>
  <c r="F1287" i="7" a="1"/>
  <c r="F1287" i="7" s="1"/>
  <c r="E1287" i="7"/>
  <c r="D1287" i="7"/>
  <c r="B1287" i="7"/>
  <c r="A1287" i="7" a="1"/>
  <c r="A1287" i="7" s="1"/>
  <c r="I1286" i="7"/>
  <c r="H1286" i="7"/>
  <c r="F1286" i="7" a="1"/>
  <c r="F1286" i="7" s="1"/>
  <c r="E1286" i="7"/>
  <c r="D1286" i="7"/>
  <c r="B1286" i="7"/>
  <c r="A1286" i="7" a="1"/>
  <c r="A1286" i="7" s="1"/>
  <c r="I1285" i="7"/>
  <c r="H1285" i="7"/>
  <c r="F1285" i="7" a="1"/>
  <c r="F1285" i="7" s="1"/>
  <c r="E1285" i="7"/>
  <c r="D1285" i="7"/>
  <c r="B1285" i="7"/>
  <c r="A1285" i="7" a="1"/>
  <c r="A1285" i="7" s="1"/>
  <c r="I1284" i="7"/>
  <c r="H1284" i="7"/>
  <c r="F1284" i="7" a="1"/>
  <c r="F1284" i="7" s="1"/>
  <c r="E1284" i="7"/>
  <c r="D1284" i="7"/>
  <c r="B1284" i="7"/>
  <c r="A1284" i="7" a="1"/>
  <c r="A1284" i="7" s="1"/>
  <c r="I1283" i="7"/>
  <c r="H1283" i="7"/>
  <c r="F1283" i="7" a="1"/>
  <c r="F1283" i="7" s="1"/>
  <c r="E1283" i="7"/>
  <c r="D1283" i="7"/>
  <c r="B1283" i="7"/>
  <c r="A1283" i="7" a="1"/>
  <c r="A1283" i="7" s="1"/>
  <c r="I1282" i="7"/>
  <c r="H1282" i="7"/>
  <c r="F1282" i="7" a="1"/>
  <c r="F1282" i="7" s="1"/>
  <c r="E1282" i="7"/>
  <c r="D1282" i="7"/>
  <c r="B1282" i="7"/>
  <c r="A1282" i="7" a="1"/>
  <c r="A1282" i="7" s="1"/>
  <c r="I1281" i="7"/>
  <c r="H1281" i="7"/>
  <c r="F1281" i="7" a="1"/>
  <c r="F1281" i="7" s="1"/>
  <c r="E1281" i="7"/>
  <c r="D1281" i="7"/>
  <c r="B1281" i="7"/>
  <c r="A1281" i="7" a="1"/>
  <c r="A1281" i="7" s="1"/>
  <c r="I1280" i="7"/>
  <c r="H1280" i="7"/>
  <c r="F1280" i="7" a="1"/>
  <c r="F1280" i="7" s="1"/>
  <c r="E1280" i="7"/>
  <c r="D1280" i="7"/>
  <c r="B1280" i="7"/>
  <c r="A1280" i="7" a="1"/>
  <c r="A1280" i="7" s="1"/>
  <c r="I1279" i="7"/>
  <c r="H1279" i="7"/>
  <c r="F1279" i="7" a="1"/>
  <c r="F1279" i="7" s="1"/>
  <c r="E1279" i="7"/>
  <c r="D1279" i="7"/>
  <c r="B1279" i="7"/>
  <c r="A1279" i="7" a="1"/>
  <c r="A1279" i="7" s="1"/>
  <c r="I1278" i="7"/>
  <c r="H1278" i="7"/>
  <c r="F1278" i="7" a="1"/>
  <c r="F1278" i="7" s="1"/>
  <c r="E1278" i="7"/>
  <c r="D1278" i="7"/>
  <c r="B1278" i="7"/>
  <c r="A1278" i="7" a="1"/>
  <c r="A1278" i="7" s="1"/>
  <c r="I1277" i="7"/>
  <c r="H1277" i="7"/>
  <c r="F1277" i="7" a="1"/>
  <c r="F1277" i="7" s="1"/>
  <c r="E1277" i="7"/>
  <c r="D1277" i="7"/>
  <c r="B1277" i="7"/>
  <c r="A1277" i="7" a="1"/>
  <c r="A1277" i="7" s="1"/>
  <c r="I1276" i="7"/>
  <c r="H1276" i="7"/>
  <c r="F1276" i="7" a="1"/>
  <c r="F1276" i="7" s="1"/>
  <c r="E1276" i="7"/>
  <c r="D1276" i="7"/>
  <c r="B1276" i="7"/>
  <c r="A1276" i="7" a="1"/>
  <c r="A1276" i="7" s="1"/>
  <c r="I1275" i="7"/>
  <c r="H1275" i="7"/>
  <c r="F1275" i="7" a="1"/>
  <c r="F1275" i="7" s="1"/>
  <c r="E1275" i="7"/>
  <c r="D1275" i="7"/>
  <c r="B1275" i="7"/>
  <c r="A1275" i="7" a="1"/>
  <c r="A1275" i="7" s="1"/>
  <c r="I1274" i="7"/>
  <c r="H1274" i="7"/>
  <c r="F1274" i="7" a="1"/>
  <c r="F1274" i="7" s="1"/>
  <c r="E1274" i="7"/>
  <c r="D1274" i="7"/>
  <c r="B1274" i="7"/>
  <c r="A1274" i="7" a="1"/>
  <c r="A1274" i="7" s="1"/>
  <c r="I1273" i="7"/>
  <c r="H1273" i="7"/>
  <c r="F1273" i="7" a="1"/>
  <c r="F1273" i="7" s="1"/>
  <c r="E1273" i="7"/>
  <c r="D1273" i="7"/>
  <c r="B1273" i="7"/>
  <c r="A1273" i="7" a="1"/>
  <c r="A1273" i="7" s="1"/>
  <c r="I1272" i="7"/>
  <c r="H1272" i="7"/>
  <c r="F1272" i="7" a="1"/>
  <c r="F1272" i="7" s="1"/>
  <c r="E1272" i="7"/>
  <c r="D1272" i="7"/>
  <c r="B1272" i="7"/>
  <c r="A1272" i="7" a="1"/>
  <c r="A1272" i="7" s="1"/>
  <c r="I1271" i="7"/>
  <c r="H1271" i="7"/>
  <c r="F1271" i="7" a="1"/>
  <c r="F1271" i="7" s="1"/>
  <c r="E1271" i="7"/>
  <c r="D1271" i="7"/>
  <c r="B1271" i="7"/>
  <c r="A1271" i="7" a="1"/>
  <c r="A1271" i="7" s="1"/>
  <c r="I1270" i="7"/>
  <c r="H1270" i="7"/>
  <c r="F1270" i="7" a="1"/>
  <c r="F1270" i="7" s="1"/>
  <c r="E1270" i="7"/>
  <c r="D1270" i="7"/>
  <c r="B1270" i="7"/>
  <c r="A1270" i="7" a="1"/>
  <c r="A1270" i="7" s="1"/>
  <c r="I1269" i="7"/>
  <c r="H1269" i="7"/>
  <c r="F1269" i="7" a="1"/>
  <c r="F1269" i="7" s="1"/>
  <c r="E1269" i="7"/>
  <c r="D1269" i="7"/>
  <c r="B1269" i="7"/>
  <c r="A1269" i="7" a="1"/>
  <c r="A1269" i="7" s="1"/>
  <c r="I1268" i="7"/>
  <c r="H1268" i="7"/>
  <c r="F1268" i="7" a="1"/>
  <c r="F1268" i="7" s="1"/>
  <c r="E1268" i="7"/>
  <c r="D1268" i="7"/>
  <c r="B1268" i="7"/>
  <c r="A1268" i="7" a="1"/>
  <c r="A1268" i="7" s="1"/>
  <c r="I1267" i="7"/>
  <c r="H1267" i="7"/>
  <c r="F1267" i="7" a="1"/>
  <c r="F1267" i="7" s="1"/>
  <c r="E1267" i="7"/>
  <c r="D1267" i="7"/>
  <c r="B1267" i="7"/>
  <c r="A1267" i="7" a="1"/>
  <c r="A1267" i="7" s="1"/>
  <c r="I1266" i="7"/>
  <c r="H1266" i="7"/>
  <c r="F1266" i="7" a="1"/>
  <c r="F1266" i="7" s="1"/>
  <c r="E1266" i="7"/>
  <c r="D1266" i="7"/>
  <c r="B1266" i="7"/>
  <c r="A1266" i="7" a="1"/>
  <c r="A1266" i="7" s="1"/>
  <c r="I1265" i="7"/>
  <c r="H1265" i="7"/>
  <c r="F1265" i="7" a="1"/>
  <c r="F1265" i="7" s="1"/>
  <c r="E1265" i="7"/>
  <c r="D1265" i="7"/>
  <c r="B1265" i="7"/>
  <c r="A1265" i="7" a="1"/>
  <c r="A1265" i="7" s="1"/>
  <c r="I1264" i="7"/>
  <c r="H1264" i="7"/>
  <c r="F1264" i="7" a="1"/>
  <c r="F1264" i="7" s="1"/>
  <c r="E1264" i="7"/>
  <c r="D1264" i="7"/>
  <c r="B1264" i="7"/>
  <c r="A1264" i="7" a="1"/>
  <c r="A1264" i="7" s="1"/>
  <c r="I1263" i="7"/>
  <c r="H1263" i="7"/>
  <c r="F1263" i="7" a="1"/>
  <c r="F1263" i="7" s="1"/>
  <c r="E1263" i="7"/>
  <c r="D1263" i="7"/>
  <c r="B1263" i="7"/>
  <c r="A1263" i="7" a="1"/>
  <c r="A1263" i="7" s="1"/>
  <c r="I1262" i="7"/>
  <c r="H1262" i="7"/>
  <c r="F1262" i="7" a="1"/>
  <c r="F1262" i="7" s="1"/>
  <c r="E1262" i="7"/>
  <c r="D1262" i="7"/>
  <c r="B1262" i="7"/>
  <c r="A1262" i="7" a="1"/>
  <c r="A1262" i="7" s="1"/>
  <c r="I1261" i="7"/>
  <c r="H1261" i="7"/>
  <c r="F1261" i="7" a="1"/>
  <c r="F1261" i="7" s="1"/>
  <c r="E1261" i="7"/>
  <c r="D1261" i="7"/>
  <c r="B1261" i="7"/>
  <c r="A1261" i="7" a="1"/>
  <c r="A1261" i="7" s="1"/>
  <c r="I1260" i="7"/>
  <c r="H1260" i="7"/>
  <c r="F1260" i="7" a="1"/>
  <c r="F1260" i="7" s="1"/>
  <c r="E1260" i="7"/>
  <c r="D1260" i="7"/>
  <c r="B1260" i="7"/>
  <c r="A1260" i="7" a="1"/>
  <c r="A1260" i="7" s="1"/>
  <c r="I1259" i="7"/>
  <c r="H1259" i="7"/>
  <c r="F1259" i="7" a="1"/>
  <c r="F1259" i="7" s="1"/>
  <c r="E1259" i="7"/>
  <c r="D1259" i="7"/>
  <c r="B1259" i="7"/>
  <c r="A1259" i="7" a="1"/>
  <c r="A1259" i="7" s="1"/>
  <c r="I1258" i="7"/>
  <c r="H1258" i="7"/>
  <c r="F1258" i="7" a="1"/>
  <c r="F1258" i="7" s="1"/>
  <c r="E1258" i="7"/>
  <c r="D1258" i="7"/>
  <c r="B1258" i="7"/>
  <c r="A1258" i="7" a="1"/>
  <c r="A1258" i="7" s="1"/>
  <c r="I1257" i="7"/>
  <c r="H1257" i="7"/>
  <c r="F1257" i="7" a="1"/>
  <c r="F1257" i="7" s="1"/>
  <c r="E1257" i="7"/>
  <c r="D1257" i="7"/>
  <c r="B1257" i="7"/>
  <c r="A1257" i="7" a="1"/>
  <c r="A1257" i="7" s="1"/>
  <c r="I1256" i="7"/>
  <c r="H1256" i="7"/>
  <c r="F1256" i="7" a="1"/>
  <c r="F1256" i="7" s="1"/>
  <c r="E1256" i="7"/>
  <c r="D1256" i="7"/>
  <c r="B1256" i="7"/>
  <c r="A1256" i="7" a="1"/>
  <c r="A1256" i="7" s="1"/>
  <c r="I1255" i="7"/>
  <c r="H1255" i="7"/>
  <c r="F1255" i="7" a="1"/>
  <c r="F1255" i="7" s="1"/>
  <c r="E1255" i="7"/>
  <c r="D1255" i="7"/>
  <c r="B1255" i="7"/>
  <c r="A1255" i="7" a="1"/>
  <c r="A1255" i="7" s="1"/>
  <c r="I1254" i="7"/>
  <c r="H1254" i="7"/>
  <c r="F1254" i="7" a="1"/>
  <c r="F1254" i="7" s="1"/>
  <c r="E1254" i="7"/>
  <c r="D1254" i="7"/>
  <c r="B1254" i="7"/>
  <c r="A1254" i="7" a="1"/>
  <c r="A1254" i="7" s="1"/>
  <c r="I1253" i="7"/>
  <c r="H1253" i="7"/>
  <c r="F1253" i="7" a="1"/>
  <c r="F1253" i="7" s="1"/>
  <c r="E1253" i="7"/>
  <c r="D1253" i="7"/>
  <c r="B1253" i="7"/>
  <c r="A1253" i="7" a="1"/>
  <c r="A1253" i="7" s="1"/>
  <c r="I1252" i="7"/>
  <c r="H1252" i="7"/>
  <c r="F1252" i="7" a="1"/>
  <c r="F1252" i="7" s="1"/>
  <c r="E1252" i="7"/>
  <c r="D1252" i="7"/>
  <c r="B1252" i="7"/>
  <c r="A1252" i="7" a="1"/>
  <c r="A1252" i="7" s="1"/>
  <c r="I1251" i="7"/>
  <c r="H1251" i="7"/>
  <c r="F1251" i="7" a="1"/>
  <c r="F1251" i="7" s="1"/>
  <c r="E1251" i="7"/>
  <c r="D1251" i="7"/>
  <c r="B1251" i="7"/>
  <c r="A1251" i="7" a="1"/>
  <c r="A1251" i="7" s="1"/>
  <c r="I1250" i="7"/>
  <c r="H1250" i="7"/>
  <c r="F1250" i="7" a="1"/>
  <c r="F1250" i="7" s="1"/>
  <c r="E1250" i="7"/>
  <c r="D1250" i="7"/>
  <c r="B1250" i="7"/>
  <c r="A1250" i="7" a="1"/>
  <c r="A1250" i="7" s="1"/>
  <c r="I1249" i="7"/>
  <c r="H1249" i="7"/>
  <c r="F1249" i="7" a="1"/>
  <c r="F1249" i="7" s="1"/>
  <c r="E1249" i="7"/>
  <c r="D1249" i="7"/>
  <c r="B1249" i="7"/>
  <c r="A1249" i="7" a="1"/>
  <c r="A1249" i="7" s="1"/>
  <c r="I1248" i="7"/>
  <c r="H1248" i="7"/>
  <c r="F1248" i="7" a="1"/>
  <c r="F1248" i="7" s="1"/>
  <c r="E1248" i="7"/>
  <c r="D1248" i="7"/>
  <c r="B1248" i="7"/>
  <c r="A1248" i="7" a="1"/>
  <c r="A1248" i="7" s="1"/>
  <c r="I1247" i="7"/>
  <c r="H1247" i="7"/>
  <c r="F1247" i="7" a="1"/>
  <c r="F1247" i="7" s="1"/>
  <c r="E1247" i="7"/>
  <c r="D1247" i="7"/>
  <c r="B1247" i="7"/>
  <c r="A1247" i="7" a="1"/>
  <c r="A1247" i="7" s="1"/>
  <c r="I1246" i="7"/>
  <c r="H1246" i="7"/>
  <c r="F1246" i="7" a="1"/>
  <c r="F1246" i="7" s="1"/>
  <c r="E1246" i="7"/>
  <c r="D1246" i="7"/>
  <c r="B1246" i="7"/>
  <c r="A1246" i="7" a="1"/>
  <c r="A1246" i="7" s="1"/>
  <c r="I1245" i="7"/>
  <c r="H1245" i="7"/>
  <c r="F1245" i="7" a="1"/>
  <c r="F1245" i="7" s="1"/>
  <c r="E1245" i="7"/>
  <c r="D1245" i="7"/>
  <c r="B1245" i="7"/>
  <c r="A1245" i="7" a="1"/>
  <c r="A1245" i="7" s="1"/>
  <c r="I1244" i="7"/>
  <c r="H1244" i="7"/>
  <c r="F1244" i="7" a="1"/>
  <c r="F1244" i="7" s="1"/>
  <c r="E1244" i="7"/>
  <c r="D1244" i="7"/>
  <c r="B1244" i="7"/>
  <c r="A1244" i="7" a="1"/>
  <c r="A1244" i="7" s="1"/>
  <c r="I1243" i="7"/>
  <c r="H1243" i="7"/>
  <c r="F1243" i="7" a="1"/>
  <c r="F1243" i="7" s="1"/>
  <c r="E1243" i="7"/>
  <c r="D1243" i="7"/>
  <c r="B1243" i="7"/>
  <c r="A1243" i="7" a="1"/>
  <c r="A1243" i="7" s="1"/>
  <c r="I1242" i="7"/>
  <c r="H1242" i="7"/>
  <c r="F1242" i="7" a="1"/>
  <c r="F1242" i="7" s="1"/>
  <c r="E1242" i="7"/>
  <c r="D1242" i="7"/>
  <c r="B1242" i="7"/>
  <c r="A1242" i="7" a="1"/>
  <c r="A1242" i="7" s="1"/>
  <c r="I1241" i="7"/>
  <c r="H1241" i="7"/>
  <c r="F1241" i="7" a="1"/>
  <c r="F1241" i="7" s="1"/>
  <c r="E1241" i="7"/>
  <c r="D1241" i="7"/>
  <c r="B1241" i="7"/>
  <c r="A1241" i="7" a="1"/>
  <c r="A1241" i="7" s="1"/>
  <c r="I1240" i="7"/>
  <c r="H1240" i="7"/>
  <c r="F1240" i="7" a="1"/>
  <c r="F1240" i="7" s="1"/>
  <c r="E1240" i="7"/>
  <c r="D1240" i="7"/>
  <c r="B1240" i="7"/>
  <c r="A1240" i="7" a="1"/>
  <c r="A1240" i="7" s="1"/>
  <c r="I1239" i="7"/>
  <c r="H1239" i="7"/>
  <c r="F1239" i="7" a="1"/>
  <c r="F1239" i="7" s="1"/>
  <c r="E1239" i="7"/>
  <c r="D1239" i="7"/>
  <c r="B1239" i="7"/>
  <c r="A1239" i="7" a="1"/>
  <c r="A1239" i="7" s="1"/>
  <c r="I1238" i="7"/>
  <c r="H1238" i="7"/>
  <c r="F1238" i="7" a="1"/>
  <c r="F1238" i="7" s="1"/>
  <c r="E1238" i="7"/>
  <c r="D1238" i="7"/>
  <c r="B1238" i="7"/>
  <c r="A1238" i="7" a="1"/>
  <c r="A1238" i="7" s="1"/>
  <c r="I1237" i="7"/>
  <c r="H1237" i="7"/>
  <c r="F1237" i="7" a="1"/>
  <c r="F1237" i="7" s="1"/>
  <c r="E1237" i="7"/>
  <c r="D1237" i="7"/>
  <c r="B1237" i="7"/>
  <c r="A1237" i="7" a="1"/>
  <c r="A1237" i="7" s="1"/>
  <c r="I1236" i="7"/>
  <c r="H1236" i="7"/>
  <c r="F1236" i="7" a="1"/>
  <c r="F1236" i="7" s="1"/>
  <c r="E1236" i="7"/>
  <c r="D1236" i="7"/>
  <c r="B1236" i="7"/>
  <c r="A1236" i="7" a="1"/>
  <c r="A1236" i="7" s="1"/>
  <c r="I1235" i="7"/>
  <c r="H1235" i="7"/>
  <c r="F1235" i="7" a="1"/>
  <c r="F1235" i="7" s="1"/>
  <c r="E1235" i="7"/>
  <c r="D1235" i="7"/>
  <c r="B1235" i="7"/>
  <c r="A1235" i="7" a="1"/>
  <c r="A1235" i="7" s="1"/>
  <c r="I1234" i="7"/>
  <c r="H1234" i="7"/>
  <c r="F1234" i="7" a="1"/>
  <c r="F1234" i="7" s="1"/>
  <c r="E1234" i="7"/>
  <c r="D1234" i="7"/>
  <c r="B1234" i="7"/>
  <c r="A1234" i="7" a="1"/>
  <c r="A1234" i="7" s="1"/>
  <c r="I1233" i="7"/>
  <c r="H1233" i="7"/>
  <c r="F1233" i="7" a="1"/>
  <c r="F1233" i="7" s="1"/>
  <c r="E1233" i="7"/>
  <c r="D1233" i="7"/>
  <c r="B1233" i="7"/>
  <c r="A1233" i="7" a="1"/>
  <c r="A1233" i="7" s="1"/>
  <c r="I1232" i="7"/>
  <c r="H1232" i="7"/>
  <c r="F1232" i="7" a="1"/>
  <c r="F1232" i="7" s="1"/>
  <c r="E1232" i="7"/>
  <c r="D1232" i="7"/>
  <c r="B1232" i="7"/>
  <c r="A1232" i="7" a="1"/>
  <c r="A1232" i="7" s="1"/>
  <c r="I1231" i="7"/>
  <c r="H1231" i="7"/>
  <c r="F1231" i="7" a="1"/>
  <c r="F1231" i="7" s="1"/>
  <c r="E1231" i="7"/>
  <c r="D1231" i="7"/>
  <c r="B1231" i="7"/>
  <c r="A1231" i="7" a="1"/>
  <c r="A1231" i="7" s="1"/>
  <c r="I1230" i="7"/>
  <c r="H1230" i="7"/>
  <c r="F1230" i="7" a="1"/>
  <c r="F1230" i="7" s="1"/>
  <c r="E1230" i="7"/>
  <c r="D1230" i="7"/>
  <c r="B1230" i="7"/>
  <c r="A1230" i="7" a="1"/>
  <c r="A1230" i="7" s="1"/>
  <c r="I1229" i="7"/>
  <c r="H1229" i="7"/>
  <c r="F1229" i="7" a="1"/>
  <c r="F1229" i="7" s="1"/>
  <c r="E1229" i="7"/>
  <c r="D1229" i="7"/>
  <c r="B1229" i="7"/>
  <c r="A1229" i="7" a="1"/>
  <c r="A1229" i="7" s="1"/>
  <c r="I1228" i="7"/>
  <c r="H1228" i="7"/>
  <c r="F1228" i="7" a="1"/>
  <c r="F1228" i="7" s="1"/>
  <c r="E1228" i="7"/>
  <c r="D1228" i="7"/>
  <c r="B1228" i="7"/>
  <c r="A1228" i="7" a="1"/>
  <c r="A1228" i="7" s="1"/>
  <c r="I1227" i="7"/>
  <c r="H1227" i="7"/>
  <c r="F1227" i="7" a="1"/>
  <c r="F1227" i="7" s="1"/>
  <c r="E1227" i="7"/>
  <c r="D1227" i="7"/>
  <c r="B1227" i="7"/>
  <c r="A1227" i="7" a="1"/>
  <c r="A1227" i="7" s="1"/>
  <c r="I1226" i="7"/>
  <c r="H1226" i="7"/>
  <c r="F1226" i="7" a="1"/>
  <c r="F1226" i="7" s="1"/>
  <c r="E1226" i="7"/>
  <c r="D1226" i="7"/>
  <c r="B1226" i="7"/>
  <c r="A1226" i="7" a="1"/>
  <c r="A1226" i="7" s="1"/>
  <c r="I1225" i="7"/>
  <c r="H1225" i="7"/>
  <c r="F1225" i="7" a="1"/>
  <c r="F1225" i="7" s="1"/>
  <c r="E1225" i="7"/>
  <c r="D1225" i="7"/>
  <c r="B1225" i="7"/>
  <c r="A1225" i="7" a="1"/>
  <c r="A1225" i="7" s="1"/>
  <c r="I1224" i="7"/>
  <c r="H1224" i="7"/>
  <c r="F1224" i="7" a="1"/>
  <c r="F1224" i="7" s="1"/>
  <c r="E1224" i="7"/>
  <c r="D1224" i="7"/>
  <c r="B1224" i="7"/>
  <c r="A1224" i="7" a="1"/>
  <c r="A1224" i="7" s="1"/>
  <c r="I1223" i="7"/>
  <c r="H1223" i="7"/>
  <c r="F1223" i="7" a="1"/>
  <c r="F1223" i="7" s="1"/>
  <c r="E1223" i="7"/>
  <c r="D1223" i="7"/>
  <c r="B1223" i="7"/>
  <c r="A1223" i="7" a="1"/>
  <c r="A1223" i="7" s="1"/>
  <c r="I1222" i="7"/>
  <c r="H1222" i="7"/>
  <c r="F1222" i="7" a="1"/>
  <c r="F1222" i="7" s="1"/>
  <c r="E1222" i="7"/>
  <c r="D1222" i="7"/>
  <c r="B1222" i="7"/>
  <c r="A1222" i="7" a="1"/>
  <c r="A1222" i="7" s="1"/>
  <c r="I1221" i="7"/>
  <c r="H1221" i="7"/>
  <c r="F1221" i="7" a="1"/>
  <c r="F1221" i="7" s="1"/>
  <c r="E1221" i="7"/>
  <c r="D1221" i="7"/>
  <c r="B1221" i="7"/>
  <c r="A1221" i="7" a="1"/>
  <c r="A1221" i="7" s="1"/>
  <c r="I1220" i="7"/>
  <c r="H1220" i="7"/>
  <c r="F1220" i="7" a="1"/>
  <c r="F1220" i="7" s="1"/>
  <c r="E1220" i="7"/>
  <c r="D1220" i="7"/>
  <c r="B1220" i="7"/>
  <c r="A1220" i="7" a="1"/>
  <c r="A1220" i="7" s="1"/>
  <c r="I1219" i="7"/>
  <c r="H1219" i="7"/>
  <c r="F1219" i="7" a="1"/>
  <c r="F1219" i="7" s="1"/>
  <c r="E1219" i="7"/>
  <c r="D1219" i="7"/>
  <c r="B1219" i="7"/>
  <c r="A1219" i="7" a="1"/>
  <c r="A1219" i="7" s="1"/>
  <c r="I1218" i="7"/>
  <c r="H1218" i="7"/>
  <c r="F1218" i="7" a="1"/>
  <c r="F1218" i="7" s="1"/>
  <c r="E1218" i="7"/>
  <c r="D1218" i="7"/>
  <c r="B1218" i="7"/>
  <c r="A1218" i="7" a="1"/>
  <c r="A1218" i="7" s="1"/>
  <c r="I1217" i="7"/>
  <c r="H1217" i="7"/>
  <c r="F1217" i="7" a="1"/>
  <c r="F1217" i="7" s="1"/>
  <c r="E1217" i="7"/>
  <c r="D1217" i="7"/>
  <c r="B1217" i="7"/>
  <c r="A1217" i="7" a="1"/>
  <c r="A1217" i="7" s="1"/>
  <c r="I1216" i="7"/>
  <c r="H1216" i="7"/>
  <c r="F1216" i="7" a="1"/>
  <c r="F1216" i="7" s="1"/>
  <c r="E1216" i="7"/>
  <c r="D1216" i="7"/>
  <c r="B1216" i="7"/>
  <c r="A1216" i="7" a="1"/>
  <c r="A1216" i="7" s="1"/>
  <c r="I1215" i="7"/>
  <c r="H1215" i="7"/>
  <c r="F1215" i="7" a="1"/>
  <c r="F1215" i="7" s="1"/>
  <c r="E1215" i="7"/>
  <c r="D1215" i="7"/>
  <c r="B1215" i="7"/>
  <c r="A1215" i="7" a="1"/>
  <c r="A1215" i="7" s="1"/>
  <c r="I1214" i="7"/>
  <c r="H1214" i="7"/>
  <c r="F1214" i="7" a="1"/>
  <c r="F1214" i="7" s="1"/>
  <c r="E1214" i="7"/>
  <c r="D1214" i="7"/>
  <c r="B1214" i="7"/>
  <c r="A1214" i="7" a="1"/>
  <c r="A1214" i="7" s="1"/>
  <c r="I1213" i="7"/>
  <c r="H1213" i="7"/>
  <c r="F1213" i="7" a="1"/>
  <c r="F1213" i="7" s="1"/>
  <c r="E1213" i="7"/>
  <c r="D1213" i="7"/>
  <c r="B1213" i="7"/>
  <c r="A1213" i="7" a="1"/>
  <c r="A1213" i="7" s="1"/>
  <c r="I1212" i="7"/>
  <c r="H1212" i="7"/>
  <c r="F1212" i="7" a="1"/>
  <c r="F1212" i="7" s="1"/>
  <c r="E1212" i="7"/>
  <c r="D1212" i="7"/>
  <c r="B1212" i="7"/>
  <c r="A1212" i="7" a="1"/>
  <c r="A1212" i="7" s="1"/>
  <c r="I1211" i="7"/>
  <c r="H1211" i="7"/>
  <c r="F1211" i="7" a="1"/>
  <c r="F1211" i="7" s="1"/>
  <c r="E1211" i="7"/>
  <c r="D1211" i="7"/>
  <c r="B1211" i="7"/>
  <c r="A1211" i="7" a="1"/>
  <c r="A1211" i="7" s="1"/>
  <c r="I1210" i="7"/>
  <c r="H1210" i="7"/>
  <c r="F1210" i="7" a="1"/>
  <c r="F1210" i="7" s="1"/>
  <c r="E1210" i="7"/>
  <c r="D1210" i="7"/>
  <c r="B1210" i="7"/>
  <c r="A1210" i="7" a="1"/>
  <c r="A1210" i="7" s="1"/>
  <c r="I1209" i="7"/>
  <c r="H1209" i="7"/>
  <c r="F1209" i="7" a="1"/>
  <c r="F1209" i="7" s="1"/>
  <c r="E1209" i="7"/>
  <c r="D1209" i="7"/>
  <c r="B1209" i="7"/>
  <c r="A1209" i="7" a="1"/>
  <c r="A1209" i="7" s="1"/>
  <c r="I1208" i="7"/>
  <c r="H1208" i="7"/>
  <c r="F1208" i="7" a="1"/>
  <c r="F1208" i="7" s="1"/>
  <c r="E1208" i="7"/>
  <c r="D1208" i="7"/>
  <c r="B1208" i="7"/>
  <c r="A1208" i="7" a="1"/>
  <c r="A1208" i="7" s="1"/>
  <c r="I1207" i="7"/>
  <c r="H1207" i="7"/>
  <c r="F1207" i="7" a="1"/>
  <c r="F1207" i="7" s="1"/>
  <c r="E1207" i="7"/>
  <c r="D1207" i="7"/>
  <c r="B1207" i="7"/>
  <c r="A1207" i="7" a="1"/>
  <c r="A1207" i="7" s="1"/>
  <c r="I1206" i="7"/>
  <c r="H1206" i="7"/>
  <c r="F1206" i="7" a="1"/>
  <c r="F1206" i="7" s="1"/>
  <c r="E1206" i="7"/>
  <c r="D1206" i="7"/>
  <c r="B1206" i="7"/>
  <c r="A1206" i="7" a="1"/>
  <c r="A1206" i="7" s="1"/>
  <c r="I1205" i="7"/>
  <c r="H1205" i="7"/>
  <c r="F1205" i="7" a="1"/>
  <c r="F1205" i="7" s="1"/>
  <c r="E1205" i="7"/>
  <c r="D1205" i="7"/>
  <c r="B1205" i="7"/>
  <c r="A1205" i="7" a="1"/>
  <c r="A1205" i="7" s="1"/>
  <c r="I1204" i="7"/>
  <c r="H1204" i="7"/>
  <c r="F1204" i="7" a="1"/>
  <c r="F1204" i="7" s="1"/>
  <c r="E1204" i="7"/>
  <c r="D1204" i="7"/>
  <c r="B1204" i="7"/>
  <c r="A1204" i="7" a="1"/>
  <c r="A1204" i="7" s="1"/>
  <c r="I1203" i="7"/>
  <c r="H1203" i="7"/>
  <c r="F1203" i="7" a="1"/>
  <c r="F1203" i="7" s="1"/>
  <c r="E1203" i="7"/>
  <c r="D1203" i="7"/>
  <c r="B1203" i="7"/>
  <c r="A1203" i="7" a="1"/>
  <c r="A1203" i="7" s="1"/>
  <c r="I1202" i="7"/>
  <c r="H1202" i="7"/>
  <c r="F1202" i="7" a="1"/>
  <c r="F1202" i="7" s="1"/>
  <c r="E1202" i="7"/>
  <c r="D1202" i="7"/>
  <c r="B1202" i="7"/>
  <c r="A1202" i="7" a="1"/>
  <c r="A1202" i="7" s="1"/>
  <c r="I1201" i="7"/>
  <c r="H1201" i="7"/>
  <c r="F1201" i="7" a="1"/>
  <c r="F1201" i="7" s="1"/>
  <c r="E1201" i="7"/>
  <c r="D1201" i="7"/>
  <c r="B1201" i="7"/>
  <c r="A1201" i="7" a="1"/>
  <c r="A1201" i="7" s="1"/>
  <c r="I1200" i="7"/>
  <c r="H1200" i="7"/>
  <c r="F1200" i="7" a="1"/>
  <c r="F1200" i="7" s="1"/>
  <c r="E1200" i="7"/>
  <c r="D1200" i="7"/>
  <c r="B1200" i="7"/>
  <c r="A1200" i="7" a="1"/>
  <c r="A1200" i="7" s="1"/>
  <c r="I1199" i="7"/>
  <c r="H1199" i="7"/>
  <c r="F1199" i="7" a="1"/>
  <c r="F1199" i="7" s="1"/>
  <c r="E1199" i="7"/>
  <c r="D1199" i="7"/>
  <c r="B1199" i="7"/>
  <c r="A1199" i="7" a="1"/>
  <c r="A1199" i="7" s="1"/>
  <c r="I1198" i="7"/>
  <c r="H1198" i="7"/>
  <c r="F1198" i="7" a="1"/>
  <c r="F1198" i="7" s="1"/>
  <c r="E1198" i="7"/>
  <c r="D1198" i="7"/>
  <c r="B1198" i="7"/>
  <c r="A1198" i="7" a="1"/>
  <c r="A1198" i="7" s="1"/>
  <c r="I1197" i="7"/>
  <c r="H1197" i="7"/>
  <c r="F1197" i="7" a="1"/>
  <c r="F1197" i="7" s="1"/>
  <c r="E1197" i="7"/>
  <c r="D1197" i="7"/>
  <c r="B1197" i="7"/>
  <c r="A1197" i="7" a="1"/>
  <c r="A1197" i="7" s="1"/>
  <c r="I1196" i="7"/>
  <c r="H1196" i="7"/>
  <c r="F1196" i="7" a="1"/>
  <c r="F1196" i="7" s="1"/>
  <c r="E1196" i="7"/>
  <c r="D1196" i="7"/>
  <c r="B1196" i="7"/>
  <c r="A1196" i="7" a="1"/>
  <c r="A1196" i="7" s="1"/>
  <c r="I1195" i="7"/>
  <c r="H1195" i="7"/>
  <c r="F1195" i="7" a="1"/>
  <c r="F1195" i="7" s="1"/>
  <c r="E1195" i="7"/>
  <c r="D1195" i="7"/>
  <c r="B1195" i="7"/>
  <c r="A1195" i="7" a="1"/>
  <c r="A1195" i="7" s="1"/>
  <c r="I1194" i="7"/>
  <c r="H1194" i="7"/>
  <c r="F1194" i="7" a="1"/>
  <c r="F1194" i="7" s="1"/>
  <c r="E1194" i="7"/>
  <c r="D1194" i="7"/>
  <c r="B1194" i="7"/>
  <c r="A1194" i="7" a="1"/>
  <c r="A1194" i="7" s="1"/>
  <c r="I1193" i="7"/>
  <c r="H1193" i="7"/>
  <c r="F1193" i="7" a="1"/>
  <c r="F1193" i="7" s="1"/>
  <c r="E1193" i="7"/>
  <c r="D1193" i="7"/>
  <c r="B1193" i="7"/>
  <c r="A1193" i="7" a="1"/>
  <c r="A1193" i="7" s="1"/>
  <c r="I1192" i="7"/>
  <c r="H1192" i="7"/>
  <c r="F1192" i="7" a="1"/>
  <c r="F1192" i="7" s="1"/>
  <c r="E1192" i="7"/>
  <c r="D1192" i="7"/>
  <c r="B1192" i="7"/>
  <c r="A1192" i="7" a="1"/>
  <c r="A1192" i="7" s="1"/>
  <c r="I1191" i="7"/>
  <c r="H1191" i="7"/>
  <c r="F1191" i="7" a="1"/>
  <c r="F1191" i="7" s="1"/>
  <c r="E1191" i="7"/>
  <c r="D1191" i="7"/>
  <c r="B1191" i="7"/>
  <c r="A1191" i="7" a="1"/>
  <c r="A1191" i="7" s="1"/>
  <c r="I1190" i="7"/>
  <c r="H1190" i="7"/>
  <c r="F1190" i="7" a="1"/>
  <c r="F1190" i="7" s="1"/>
  <c r="E1190" i="7"/>
  <c r="D1190" i="7"/>
  <c r="B1190" i="7"/>
  <c r="A1190" i="7" a="1"/>
  <c r="A1190" i="7" s="1"/>
  <c r="I1189" i="7"/>
  <c r="H1189" i="7"/>
  <c r="F1189" i="7" a="1"/>
  <c r="F1189" i="7" s="1"/>
  <c r="E1189" i="7"/>
  <c r="D1189" i="7"/>
  <c r="B1189" i="7"/>
  <c r="A1189" i="7" a="1"/>
  <c r="A1189" i="7" s="1"/>
  <c r="I1188" i="7"/>
  <c r="H1188" i="7"/>
  <c r="F1188" i="7" a="1"/>
  <c r="F1188" i="7" s="1"/>
  <c r="E1188" i="7"/>
  <c r="D1188" i="7"/>
  <c r="B1188" i="7"/>
  <c r="A1188" i="7" a="1"/>
  <c r="A1188" i="7" s="1"/>
  <c r="I1187" i="7"/>
  <c r="H1187" i="7"/>
  <c r="F1187" i="7" a="1"/>
  <c r="F1187" i="7" s="1"/>
  <c r="E1187" i="7"/>
  <c r="D1187" i="7"/>
  <c r="B1187" i="7"/>
  <c r="A1187" i="7" a="1"/>
  <c r="A1187" i="7" s="1"/>
  <c r="I1186" i="7"/>
  <c r="H1186" i="7"/>
  <c r="F1186" i="7" a="1"/>
  <c r="F1186" i="7" s="1"/>
  <c r="E1186" i="7"/>
  <c r="D1186" i="7"/>
  <c r="B1186" i="7"/>
  <c r="A1186" i="7" a="1"/>
  <c r="A1186" i="7" s="1"/>
  <c r="I1185" i="7"/>
  <c r="H1185" i="7"/>
  <c r="F1185" i="7" a="1"/>
  <c r="F1185" i="7" s="1"/>
  <c r="E1185" i="7"/>
  <c r="D1185" i="7"/>
  <c r="B1185" i="7"/>
  <c r="A1185" i="7" a="1"/>
  <c r="A1185" i="7" s="1"/>
  <c r="I1184" i="7"/>
  <c r="H1184" i="7"/>
  <c r="F1184" i="7" a="1"/>
  <c r="F1184" i="7" s="1"/>
  <c r="E1184" i="7"/>
  <c r="D1184" i="7"/>
  <c r="B1184" i="7"/>
  <c r="A1184" i="7" a="1"/>
  <c r="A1184" i="7" s="1"/>
  <c r="I1183" i="7"/>
  <c r="H1183" i="7"/>
  <c r="F1183" i="7" a="1"/>
  <c r="F1183" i="7" s="1"/>
  <c r="E1183" i="7"/>
  <c r="D1183" i="7"/>
  <c r="B1183" i="7"/>
  <c r="A1183" i="7" a="1"/>
  <c r="A1183" i="7" s="1"/>
  <c r="I1182" i="7"/>
  <c r="H1182" i="7"/>
  <c r="F1182" i="7" a="1"/>
  <c r="F1182" i="7" s="1"/>
  <c r="E1182" i="7"/>
  <c r="D1182" i="7"/>
  <c r="B1182" i="7"/>
  <c r="A1182" i="7" a="1"/>
  <c r="A1182" i="7" s="1"/>
  <c r="I1181" i="7"/>
  <c r="H1181" i="7"/>
  <c r="F1181" i="7" a="1"/>
  <c r="F1181" i="7" s="1"/>
  <c r="E1181" i="7"/>
  <c r="D1181" i="7"/>
  <c r="B1181" i="7"/>
  <c r="A1181" i="7" a="1"/>
  <c r="A1181" i="7" s="1"/>
  <c r="I1180" i="7"/>
  <c r="H1180" i="7"/>
  <c r="F1180" i="7" a="1"/>
  <c r="F1180" i="7" s="1"/>
  <c r="E1180" i="7"/>
  <c r="D1180" i="7"/>
  <c r="B1180" i="7"/>
  <c r="A1180" i="7" a="1"/>
  <c r="A1180" i="7" s="1"/>
  <c r="I1179" i="7"/>
  <c r="H1179" i="7"/>
  <c r="F1179" i="7" a="1"/>
  <c r="F1179" i="7" s="1"/>
  <c r="E1179" i="7"/>
  <c r="D1179" i="7"/>
  <c r="B1179" i="7"/>
  <c r="A1179" i="7" a="1"/>
  <c r="A1179" i="7" s="1"/>
  <c r="I1178" i="7"/>
  <c r="H1178" i="7"/>
  <c r="F1178" i="7" a="1"/>
  <c r="F1178" i="7" s="1"/>
  <c r="E1178" i="7"/>
  <c r="D1178" i="7"/>
  <c r="B1178" i="7"/>
  <c r="A1178" i="7" a="1"/>
  <c r="A1178" i="7" s="1"/>
  <c r="I1177" i="7"/>
  <c r="H1177" i="7"/>
  <c r="F1177" i="7" a="1"/>
  <c r="F1177" i="7" s="1"/>
  <c r="E1177" i="7"/>
  <c r="D1177" i="7"/>
  <c r="B1177" i="7"/>
  <c r="A1177" i="7" a="1"/>
  <c r="A1177" i="7" s="1"/>
  <c r="I1176" i="7"/>
  <c r="H1176" i="7"/>
  <c r="F1176" i="7" a="1"/>
  <c r="F1176" i="7" s="1"/>
  <c r="E1176" i="7"/>
  <c r="D1176" i="7"/>
  <c r="B1176" i="7"/>
  <c r="A1176" i="7" a="1"/>
  <c r="A1176" i="7" s="1"/>
  <c r="I1175" i="7"/>
  <c r="H1175" i="7"/>
  <c r="F1175" i="7" a="1"/>
  <c r="F1175" i="7" s="1"/>
  <c r="E1175" i="7"/>
  <c r="D1175" i="7"/>
  <c r="B1175" i="7"/>
  <c r="A1175" i="7" a="1"/>
  <c r="A1175" i="7" s="1"/>
  <c r="I1174" i="7"/>
  <c r="H1174" i="7"/>
  <c r="F1174" i="7" a="1"/>
  <c r="F1174" i="7" s="1"/>
  <c r="E1174" i="7"/>
  <c r="D1174" i="7"/>
  <c r="B1174" i="7"/>
  <c r="A1174" i="7" a="1"/>
  <c r="A1174" i="7" s="1"/>
  <c r="I1173" i="7"/>
  <c r="H1173" i="7"/>
  <c r="F1173" i="7" a="1"/>
  <c r="F1173" i="7" s="1"/>
  <c r="E1173" i="7"/>
  <c r="D1173" i="7"/>
  <c r="B1173" i="7"/>
  <c r="A1173" i="7" a="1"/>
  <c r="A1173" i="7" s="1"/>
  <c r="I1172" i="7"/>
  <c r="H1172" i="7"/>
  <c r="F1172" i="7" a="1"/>
  <c r="F1172" i="7" s="1"/>
  <c r="E1172" i="7"/>
  <c r="D1172" i="7"/>
  <c r="B1172" i="7"/>
  <c r="A1172" i="7" a="1"/>
  <c r="A1172" i="7" s="1"/>
  <c r="I1171" i="7"/>
  <c r="H1171" i="7"/>
  <c r="F1171" i="7" a="1"/>
  <c r="F1171" i="7" s="1"/>
  <c r="E1171" i="7"/>
  <c r="D1171" i="7"/>
  <c r="B1171" i="7"/>
  <c r="A1171" i="7" a="1"/>
  <c r="A1171" i="7" s="1"/>
  <c r="I1170" i="7"/>
  <c r="H1170" i="7"/>
  <c r="F1170" i="7" a="1"/>
  <c r="F1170" i="7" s="1"/>
  <c r="E1170" i="7"/>
  <c r="D1170" i="7"/>
  <c r="B1170" i="7"/>
  <c r="A1170" i="7" a="1"/>
  <c r="A1170" i="7" s="1"/>
  <c r="I1169" i="7"/>
  <c r="H1169" i="7"/>
  <c r="F1169" i="7" a="1"/>
  <c r="F1169" i="7" s="1"/>
  <c r="E1169" i="7"/>
  <c r="D1169" i="7"/>
  <c r="B1169" i="7"/>
  <c r="A1169" i="7" a="1"/>
  <c r="A1169" i="7" s="1"/>
  <c r="I1168" i="7"/>
  <c r="H1168" i="7"/>
  <c r="F1168" i="7" a="1"/>
  <c r="F1168" i="7" s="1"/>
  <c r="E1168" i="7"/>
  <c r="D1168" i="7"/>
  <c r="B1168" i="7"/>
  <c r="A1168" i="7" a="1"/>
  <c r="A1168" i="7" s="1"/>
  <c r="I1167" i="7"/>
  <c r="H1167" i="7"/>
  <c r="F1167" i="7" a="1"/>
  <c r="F1167" i="7" s="1"/>
  <c r="E1167" i="7"/>
  <c r="D1167" i="7"/>
  <c r="B1167" i="7"/>
  <c r="A1167" i="7" a="1"/>
  <c r="A1167" i="7" s="1"/>
  <c r="I1166" i="7"/>
  <c r="H1166" i="7"/>
  <c r="F1166" i="7" a="1"/>
  <c r="F1166" i="7" s="1"/>
  <c r="E1166" i="7"/>
  <c r="D1166" i="7"/>
  <c r="B1166" i="7"/>
  <c r="A1166" i="7" a="1"/>
  <c r="A1166" i="7" s="1"/>
  <c r="I1165" i="7"/>
  <c r="H1165" i="7"/>
  <c r="F1165" i="7" a="1"/>
  <c r="F1165" i="7" s="1"/>
  <c r="E1165" i="7"/>
  <c r="D1165" i="7"/>
  <c r="B1165" i="7"/>
  <c r="A1165" i="7" a="1"/>
  <c r="A1165" i="7" s="1"/>
  <c r="I1164" i="7"/>
  <c r="H1164" i="7"/>
  <c r="F1164" i="7" a="1"/>
  <c r="F1164" i="7" s="1"/>
  <c r="E1164" i="7"/>
  <c r="D1164" i="7"/>
  <c r="B1164" i="7"/>
  <c r="A1164" i="7" a="1"/>
  <c r="A1164" i="7" s="1"/>
  <c r="I1163" i="7"/>
  <c r="H1163" i="7"/>
  <c r="F1163" i="7" a="1"/>
  <c r="F1163" i="7" s="1"/>
  <c r="E1163" i="7"/>
  <c r="D1163" i="7"/>
  <c r="B1163" i="7"/>
  <c r="A1163" i="7" a="1"/>
  <c r="A1163" i="7" s="1"/>
  <c r="I1162" i="7"/>
  <c r="H1162" i="7"/>
  <c r="F1162" i="7" a="1"/>
  <c r="F1162" i="7" s="1"/>
  <c r="E1162" i="7"/>
  <c r="D1162" i="7"/>
  <c r="B1162" i="7"/>
  <c r="A1162" i="7" a="1"/>
  <c r="A1162" i="7" s="1"/>
  <c r="I1161" i="7"/>
  <c r="H1161" i="7"/>
  <c r="F1161" i="7" a="1"/>
  <c r="F1161" i="7" s="1"/>
  <c r="E1161" i="7"/>
  <c r="D1161" i="7"/>
  <c r="B1161" i="7"/>
  <c r="A1161" i="7" a="1"/>
  <c r="A1161" i="7" s="1"/>
  <c r="I1160" i="7"/>
  <c r="H1160" i="7"/>
  <c r="F1160" i="7" a="1"/>
  <c r="F1160" i="7" s="1"/>
  <c r="E1160" i="7"/>
  <c r="D1160" i="7"/>
  <c r="B1160" i="7"/>
  <c r="A1160" i="7" a="1"/>
  <c r="A1160" i="7" s="1"/>
  <c r="I1159" i="7"/>
  <c r="H1159" i="7"/>
  <c r="F1159" i="7" a="1"/>
  <c r="F1159" i="7" s="1"/>
  <c r="E1159" i="7"/>
  <c r="D1159" i="7"/>
  <c r="B1159" i="7"/>
  <c r="A1159" i="7" a="1"/>
  <c r="A1159" i="7" s="1"/>
  <c r="I1158" i="7"/>
  <c r="H1158" i="7"/>
  <c r="F1158" i="7" a="1"/>
  <c r="F1158" i="7" s="1"/>
  <c r="E1158" i="7"/>
  <c r="D1158" i="7"/>
  <c r="B1158" i="7"/>
  <c r="A1158" i="7" a="1"/>
  <c r="A1158" i="7" s="1"/>
  <c r="I1157" i="7"/>
  <c r="H1157" i="7"/>
  <c r="F1157" i="7" a="1"/>
  <c r="F1157" i="7" s="1"/>
  <c r="E1157" i="7"/>
  <c r="D1157" i="7"/>
  <c r="B1157" i="7"/>
  <c r="A1157" i="7" a="1"/>
  <c r="A1157" i="7" s="1"/>
  <c r="I1156" i="7"/>
  <c r="H1156" i="7"/>
  <c r="F1156" i="7" a="1"/>
  <c r="F1156" i="7" s="1"/>
  <c r="E1156" i="7"/>
  <c r="D1156" i="7"/>
  <c r="B1156" i="7"/>
  <c r="A1156" i="7" a="1"/>
  <c r="A1156" i="7" s="1"/>
  <c r="I1155" i="7"/>
  <c r="H1155" i="7"/>
  <c r="F1155" i="7" a="1"/>
  <c r="F1155" i="7" s="1"/>
  <c r="E1155" i="7"/>
  <c r="D1155" i="7"/>
  <c r="B1155" i="7"/>
  <c r="A1155" i="7" a="1"/>
  <c r="A1155" i="7" s="1"/>
  <c r="I1154" i="7"/>
  <c r="H1154" i="7"/>
  <c r="F1154" i="7" a="1"/>
  <c r="F1154" i="7" s="1"/>
  <c r="E1154" i="7"/>
  <c r="D1154" i="7"/>
  <c r="B1154" i="7"/>
  <c r="A1154" i="7" a="1"/>
  <c r="A1154" i="7" s="1"/>
  <c r="I1153" i="7"/>
  <c r="H1153" i="7"/>
  <c r="F1153" i="7" a="1"/>
  <c r="F1153" i="7" s="1"/>
  <c r="E1153" i="7"/>
  <c r="D1153" i="7"/>
  <c r="B1153" i="7"/>
  <c r="A1153" i="7" a="1"/>
  <c r="A1153" i="7" s="1"/>
  <c r="I1152" i="7"/>
  <c r="H1152" i="7"/>
  <c r="F1152" i="7" a="1"/>
  <c r="F1152" i="7" s="1"/>
  <c r="E1152" i="7"/>
  <c r="D1152" i="7"/>
  <c r="B1152" i="7"/>
  <c r="A1152" i="7" a="1"/>
  <c r="A1152" i="7" s="1"/>
  <c r="I1151" i="7"/>
  <c r="H1151" i="7"/>
  <c r="F1151" i="7" a="1"/>
  <c r="F1151" i="7" s="1"/>
  <c r="E1151" i="7"/>
  <c r="D1151" i="7"/>
  <c r="B1151" i="7"/>
  <c r="A1151" i="7" a="1"/>
  <c r="A1151" i="7" s="1"/>
  <c r="I1150" i="7"/>
  <c r="H1150" i="7"/>
  <c r="F1150" i="7" a="1"/>
  <c r="F1150" i="7" s="1"/>
  <c r="E1150" i="7"/>
  <c r="D1150" i="7"/>
  <c r="B1150" i="7"/>
  <c r="A1150" i="7" a="1"/>
  <c r="A1150" i="7" s="1"/>
  <c r="I1149" i="7"/>
  <c r="H1149" i="7"/>
  <c r="F1149" i="7" a="1"/>
  <c r="F1149" i="7" s="1"/>
  <c r="E1149" i="7"/>
  <c r="D1149" i="7"/>
  <c r="B1149" i="7"/>
  <c r="A1149" i="7" a="1"/>
  <c r="A1149" i="7" s="1"/>
  <c r="I1148" i="7"/>
  <c r="H1148" i="7"/>
  <c r="F1148" i="7" a="1"/>
  <c r="F1148" i="7" s="1"/>
  <c r="E1148" i="7"/>
  <c r="D1148" i="7"/>
  <c r="B1148" i="7"/>
  <c r="A1148" i="7" a="1"/>
  <c r="A1148" i="7" s="1"/>
  <c r="I1147" i="7"/>
  <c r="H1147" i="7"/>
  <c r="F1147" i="7" a="1"/>
  <c r="F1147" i="7" s="1"/>
  <c r="E1147" i="7"/>
  <c r="D1147" i="7"/>
  <c r="B1147" i="7"/>
  <c r="A1147" i="7" a="1"/>
  <c r="A1147" i="7" s="1"/>
  <c r="I1146" i="7"/>
  <c r="H1146" i="7"/>
  <c r="F1146" i="7" a="1"/>
  <c r="F1146" i="7" s="1"/>
  <c r="E1146" i="7"/>
  <c r="D1146" i="7"/>
  <c r="B1146" i="7"/>
  <c r="A1146" i="7" a="1"/>
  <c r="A1146" i="7" s="1"/>
  <c r="I1145" i="7"/>
  <c r="H1145" i="7"/>
  <c r="F1145" i="7" a="1"/>
  <c r="F1145" i="7" s="1"/>
  <c r="E1145" i="7"/>
  <c r="D1145" i="7"/>
  <c r="B1145" i="7"/>
  <c r="A1145" i="7" a="1"/>
  <c r="A1145" i="7" s="1"/>
  <c r="I1144" i="7"/>
  <c r="H1144" i="7"/>
  <c r="F1144" i="7" a="1"/>
  <c r="F1144" i="7" s="1"/>
  <c r="E1144" i="7"/>
  <c r="D1144" i="7"/>
  <c r="B1144" i="7"/>
  <c r="A1144" i="7" a="1"/>
  <c r="A1144" i="7" s="1"/>
  <c r="I1143" i="7"/>
  <c r="H1143" i="7"/>
  <c r="F1143" i="7" a="1"/>
  <c r="F1143" i="7" s="1"/>
  <c r="E1143" i="7"/>
  <c r="D1143" i="7"/>
  <c r="B1143" i="7"/>
  <c r="A1143" i="7" a="1"/>
  <c r="A1143" i="7" s="1"/>
  <c r="I1142" i="7"/>
  <c r="H1142" i="7"/>
  <c r="F1142" i="7" a="1"/>
  <c r="F1142" i="7" s="1"/>
  <c r="E1142" i="7"/>
  <c r="D1142" i="7"/>
  <c r="B1142" i="7"/>
  <c r="A1142" i="7" a="1"/>
  <c r="A1142" i="7" s="1"/>
  <c r="I1141" i="7"/>
  <c r="H1141" i="7"/>
  <c r="F1141" i="7" a="1"/>
  <c r="F1141" i="7" s="1"/>
  <c r="E1141" i="7"/>
  <c r="D1141" i="7"/>
  <c r="B1141" i="7"/>
  <c r="A1141" i="7" a="1"/>
  <c r="A1141" i="7" s="1"/>
  <c r="I1140" i="7"/>
  <c r="H1140" i="7"/>
  <c r="F1140" i="7" a="1"/>
  <c r="F1140" i="7" s="1"/>
  <c r="E1140" i="7"/>
  <c r="D1140" i="7"/>
  <c r="B1140" i="7"/>
  <c r="A1140" i="7" a="1"/>
  <c r="A1140" i="7" s="1"/>
  <c r="I1139" i="7"/>
  <c r="H1139" i="7"/>
  <c r="F1139" i="7" a="1"/>
  <c r="F1139" i="7" s="1"/>
  <c r="E1139" i="7"/>
  <c r="D1139" i="7"/>
  <c r="B1139" i="7"/>
  <c r="A1139" i="7" a="1"/>
  <c r="A1139" i="7" s="1"/>
  <c r="I1138" i="7"/>
  <c r="H1138" i="7"/>
  <c r="F1138" i="7" a="1"/>
  <c r="F1138" i="7" s="1"/>
  <c r="E1138" i="7"/>
  <c r="D1138" i="7"/>
  <c r="B1138" i="7"/>
  <c r="A1138" i="7" a="1"/>
  <c r="A1138" i="7" s="1"/>
  <c r="I1137" i="7"/>
  <c r="H1137" i="7"/>
  <c r="F1137" i="7" a="1"/>
  <c r="F1137" i="7" s="1"/>
  <c r="E1137" i="7"/>
  <c r="D1137" i="7"/>
  <c r="B1137" i="7"/>
  <c r="A1137" i="7" a="1"/>
  <c r="A1137" i="7" s="1"/>
  <c r="I1136" i="7"/>
  <c r="H1136" i="7"/>
  <c r="F1136" i="7" a="1"/>
  <c r="F1136" i="7" s="1"/>
  <c r="E1136" i="7"/>
  <c r="D1136" i="7"/>
  <c r="B1136" i="7"/>
  <c r="A1136" i="7" a="1"/>
  <c r="A1136" i="7" s="1"/>
  <c r="I1135" i="7"/>
  <c r="H1135" i="7"/>
  <c r="F1135" i="7" a="1"/>
  <c r="F1135" i="7" s="1"/>
  <c r="E1135" i="7"/>
  <c r="D1135" i="7"/>
  <c r="B1135" i="7"/>
  <c r="A1135" i="7" a="1"/>
  <c r="A1135" i="7" s="1"/>
  <c r="I1134" i="7"/>
  <c r="H1134" i="7"/>
  <c r="F1134" i="7" a="1"/>
  <c r="F1134" i="7" s="1"/>
  <c r="E1134" i="7"/>
  <c r="D1134" i="7"/>
  <c r="B1134" i="7"/>
  <c r="A1134" i="7" a="1"/>
  <c r="A1134" i="7" s="1"/>
  <c r="I1133" i="7"/>
  <c r="H1133" i="7"/>
  <c r="F1133" i="7" a="1"/>
  <c r="F1133" i="7" s="1"/>
  <c r="E1133" i="7"/>
  <c r="D1133" i="7"/>
  <c r="B1133" i="7"/>
  <c r="A1133" i="7" a="1"/>
  <c r="A1133" i="7" s="1"/>
  <c r="I1132" i="7"/>
  <c r="H1132" i="7"/>
  <c r="F1132" i="7" a="1"/>
  <c r="F1132" i="7" s="1"/>
  <c r="E1132" i="7"/>
  <c r="D1132" i="7"/>
  <c r="B1132" i="7"/>
  <c r="A1132" i="7" a="1"/>
  <c r="A1132" i="7" s="1"/>
  <c r="I1131" i="7"/>
  <c r="H1131" i="7"/>
  <c r="F1131" i="7" a="1"/>
  <c r="F1131" i="7" s="1"/>
  <c r="E1131" i="7"/>
  <c r="D1131" i="7"/>
  <c r="B1131" i="7"/>
  <c r="A1131" i="7" a="1"/>
  <c r="A1131" i="7" s="1"/>
  <c r="I1130" i="7"/>
  <c r="H1130" i="7"/>
  <c r="F1130" i="7" a="1"/>
  <c r="F1130" i="7" s="1"/>
  <c r="E1130" i="7"/>
  <c r="D1130" i="7"/>
  <c r="B1130" i="7"/>
  <c r="A1130" i="7" a="1"/>
  <c r="A1130" i="7" s="1"/>
  <c r="I1129" i="7"/>
  <c r="H1129" i="7"/>
  <c r="F1129" i="7" a="1"/>
  <c r="F1129" i="7" s="1"/>
  <c r="E1129" i="7"/>
  <c r="D1129" i="7"/>
  <c r="B1129" i="7"/>
  <c r="A1129" i="7" a="1"/>
  <c r="A1129" i="7" s="1"/>
  <c r="I1128" i="7"/>
  <c r="H1128" i="7"/>
  <c r="F1128" i="7" a="1"/>
  <c r="F1128" i="7" s="1"/>
  <c r="E1128" i="7"/>
  <c r="D1128" i="7"/>
  <c r="B1128" i="7"/>
  <c r="A1128" i="7" a="1"/>
  <c r="A1128" i="7" s="1"/>
  <c r="I1127" i="7"/>
  <c r="H1127" i="7"/>
  <c r="F1127" i="7" a="1"/>
  <c r="F1127" i="7" s="1"/>
  <c r="E1127" i="7"/>
  <c r="D1127" i="7"/>
  <c r="B1127" i="7"/>
  <c r="A1127" i="7" a="1"/>
  <c r="A1127" i="7" s="1"/>
  <c r="I1126" i="7"/>
  <c r="H1126" i="7"/>
  <c r="F1126" i="7" a="1"/>
  <c r="F1126" i="7" s="1"/>
  <c r="E1126" i="7"/>
  <c r="D1126" i="7"/>
  <c r="B1126" i="7"/>
  <c r="A1126" i="7" a="1"/>
  <c r="A1126" i="7" s="1"/>
  <c r="I1125" i="7"/>
  <c r="H1125" i="7"/>
  <c r="F1125" i="7" a="1"/>
  <c r="F1125" i="7" s="1"/>
  <c r="E1125" i="7"/>
  <c r="D1125" i="7"/>
  <c r="B1125" i="7"/>
  <c r="A1125" i="7" a="1"/>
  <c r="A1125" i="7" s="1"/>
  <c r="I1124" i="7"/>
  <c r="H1124" i="7"/>
  <c r="F1124" i="7" a="1"/>
  <c r="F1124" i="7" s="1"/>
  <c r="E1124" i="7"/>
  <c r="D1124" i="7"/>
  <c r="B1124" i="7"/>
  <c r="A1124" i="7" a="1"/>
  <c r="A1124" i="7" s="1"/>
  <c r="I1123" i="7"/>
  <c r="H1123" i="7"/>
  <c r="F1123" i="7" a="1"/>
  <c r="F1123" i="7" s="1"/>
  <c r="E1123" i="7"/>
  <c r="D1123" i="7"/>
  <c r="B1123" i="7"/>
  <c r="A1123" i="7" a="1"/>
  <c r="A1123" i="7" s="1"/>
  <c r="I1122" i="7"/>
  <c r="H1122" i="7"/>
  <c r="F1122" i="7" a="1"/>
  <c r="F1122" i="7" s="1"/>
  <c r="E1122" i="7"/>
  <c r="D1122" i="7"/>
  <c r="B1122" i="7"/>
  <c r="A1122" i="7" a="1"/>
  <c r="A1122" i="7" s="1"/>
  <c r="I1121" i="7"/>
  <c r="H1121" i="7"/>
  <c r="F1121" i="7" a="1"/>
  <c r="F1121" i="7" s="1"/>
  <c r="E1121" i="7"/>
  <c r="D1121" i="7"/>
  <c r="B1121" i="7"/>
  <c r="A1121" i="7" a="1"/>
  <c r="A1121" i="7" s="1"/>
  <c r="I1120" i="7"/>
  <c r="H1120" i="7"/>
  <c r="F1120" i="7" a="1"/>
  <c r="F1120" i="7" s="1"/>
  <c r="E1120" i="7"/>
  <c r="D1120" i="7"/>
  <c r="B1120" i="7"/>
  <c r="A1120" i="7" a="1"/>
  <c r="A1120" i="7" s="1"/>
  <c r="I1119" i="7"/>
  <c r="H1119" i="7"/>
  <c r="F1119" i="7" a="1"/>
  <c r="F1119" i="7" s="1"/>
  <c r="E1119" i="7"/>
  <c r="D1119" i="7"/>
  <c r="B1119" i="7"/>
  <c r="A1119" i="7" a="1"/>
  <c r="A1119" i="7" s="1"/>
  <c r="I1118" i="7"/>
  <c r="H1118" i="7"/>
  <c r="F1118" i="7" a="1"/>
  <c r="F1118" i="7" s="1"/>
  <c r="E1118" i="7"/>
  <c r="D1118" i="7"/>
  <c r="B1118" i="7"/>
  <c r="A1118" i="7" a="1"/>
  <c r="A1118" i="7" s="1"/>
  <c r="I1117" i="7"/>
  <c r="H1117" i="7"/>
  <c r="F1117" i="7" a="1"/>
  <c r="F1117" i="7" s="1"/>
  <c r="E1117" i="7"/>
  <c r="D1117" i="7"/>
  <c r="B1117" i="7"/>
  <c r="A1117" i="7" a="1"/>
  <c r="A1117" i="7" s="1"/>
  <c r="I1116" i="7"/>
  <c r="H1116" i="7"/>
  <c r="F1116" i="7" a="1"/>
  <c r="F1116" i="7" s="1"/>
  <c r="E1116" i="7"/>
  <c r="D1116" i="7"/>
  <c r="B1116" i="7"/>
  <c r="A1116" i="7" a="1"/>
  <c r="A1116" i="7" s="1"/>
  <c r="I1115" i="7"/>
  <c r="H1115" i="7"/>
  <c r="F1115" i="7" a="1"/>
  <c r="F1115" i="7" s="1"/>
  <c r="E1115" i="7"/>
  <c r="D1115" i="7"/>
  <c r="B1115" i="7"/>
  <c r="A1115" i="7" a="1"/>
  <c r="A1115" i="7" s="1"/>
  <c r="I1114" i="7"/>
  <c r="H1114" i="7"/>
  <c r="F1114" i="7" a="1"/>
  <c r="F1114" i="7" s="1"/>
  <c r="E1114" i="7"/>
  <c r="D1114" i="7"/>
  <c r="B1114" i="7"/>
  <c r="A1114" i="7" a="1"/>
  <c r="A1114" i="7" s="1"/>
  <c r="I1113" i="7"/>
  <c r="H1113" i="7"/>
  <c r="F1113" i="7" a="1"/>
  <c r="F1113" i="7" s="1"/>
  <c r="E1113" i="7"/>
  <c r="D1113" i="7"/>
  <c r="B1113" i="7"/>
  <c r="A1113" i="7" a="1"/>
  <c r="A1113" i="7" s="1"/>
  <c r="I1112" i="7"/>
  <c r="H1112" i="7"/>
  <c r="F1112" i="7" a="1"/>
  <c r="F1112" i="7" s="1"/>
  <c r="E1112" i="7"/>
  <c r="D1112" i="7"/>
  <c r="B1112" i="7"/>
  <c r="A1112" i="7" a="1"/>
  <c r="A1112" i="7" s="1"/>
  <c r="I1111" i="7"/>
  <c r="H1111" i="7"/>
  <c r="F1111" i="7" a="1"/>
  <c r="F1111" i="7" s="1"/>
  <c r="E1111" i="7"/>
  <c r="D1111" i="7"/>
  <c r="B1111" i="7"/>
  <c r="A1111" i="7" a="1"/>
  <c r="A1111" i="7" s="1"/>
  <c r="I1110" i="7"/>
  <c r="H1110" i="7"/>
  <c r="F1110" i="7" a="1"/>
  <c r="F1110" i="7" s="1"/>
  <c r="E1110" i="7"/>
  <c r="D1110" i="7"/>
  <c r="B1110" i="7"/>
  <c r="A1110" i="7" a="1"/>
  <c r="A1110" i="7" s="1"/>
  <c r="I1109" i="7"/>
  <c r="H1109" i="7"/>
  <c r="F1109" i="7" a="1"/>
  <c r="F1109" i="7" s="1"/>
  <c r="E1109" i="7"/>
  <c r="D1109" i="7"/>
  <c r="B1109" i="7"/>
  <c r="A1109" i="7" a="1"/>
  <c r="A1109" i="7" s="1"/>
  <c r="I1108" i="7"/>
  <c r="H1108" i="7"/>
  <c r="F1108" i="7" a="1"/>
  <c r="F1108" i="7" s="1"/>
  <c r="E1108" i="7"/>
  <c r="D1108" i="7"/>
  <c r="B1108" i="7"/>
  <c r="A1108" i="7" a="1"/>
  <c r="A1108" i="7" s="1"/>
  <c r="I1107" i="7"/>
  <c r="H1107" i="7"/>
  <c r="F1107" i="7" a="1"/>
  <c r="F1107" i="7" s="1"/>
  <c r="E1107" i="7"/>
  <c r="D1107" i="7"/>
  <c r="B1107" i="7"/>
  <c r="A1107" i="7" a="1"/>
  <c r="A1107" i="7" s="1"/>
  <c r="I1106" i="7"/>
  <c r="H1106" i="7"/>
  <c r="F1106" i="7" a="1"/>
  <c r="F1106" i="7" s="1"/>
  <c r="E1106" i="7"/>
  <c r="D1106" i="7"/>
  <c r="B1106" i="7"/>
  <c r="A1106" i="7" a="1"/>
  <c r="A1106" i="7" s="1"/>
  <c r="I1105" i="7"/>
  <c r="H1105" i="7"/>
  <c r="F1105" i="7" a="1"/>
  <c r="F1105" i="7" s="1"/>
  <c r="E1105" i="7"/>
  <c r="D1105" i="7"/>
  <c r="B1105" i="7"/>
  <c r="A1105" i="7" a="1"/>
  <c r="A1105" i="7" s="1"/>
  <c r="I1104" i="7"/>
  <c r="H1104" i="7"/>
  <c r="F1104" i="7" a="1"/>
  <c r="F1104" i="7" s="1"/>
  <c r="E1104" i="7"/>
  <c r="D1104" i="7"/>
  <c r="B1104" i="7"/>
  <c r="A1104" i="7" a="1"/>
  <c r="A1104" i="7" s="1"/>
  <c r="I1103" i="7"/>
  <c r="H1103" i="7"/>
  <c r="F1103" i="7" a="1"/>
  <c r="F1103" i="7" s="1"/>
  <c r="E1103" i="7"/>
  <c r="D1103" i="7"/>
  <c r="B1103" i="7"/>
  <c r="A1103" i="7" a="1"/>
  <c r="A1103" i="7" s="1"/>
  <c r="I1102" i="7"/>
  <c r="H1102" i="7"/>
  <c r="F1102" i="7" a="1"/>
  <c r="F1102" i="7" s="1"/>
  <c r="E1102" i="7"/>
  <c r="D1102" i="7"/>
  <c r="B1102" i="7"/>
  <c r="A1102" i="7" a="1"/>
  <c r="A1102" i="7" s="1"/>
  <c r="I1101" i="7"/>
  <c r="H1101" i="7"/>
  <c r="F1101" i="7" a="1"/>
  <c r="F1101" i="7" s="1"/>
  <c r="E1101" i="7"/>
  <c r="D1101" i="7"/>
  <c r="B1101" i="7"/>
  <c r="A1101" i="7" a="1"/>
  <c r="A1101" i="7" s="1"/>
  <c r="I1100" i="7"/>
  <c r="H1100" i="7"/>
  <c r="F1100" i="7" a="1"/>
  <c r="F1100" i="7" s="1"/>
  <c r="E1100" i="7"/>
  <c r="D1100" i="7"/>
  <c r="B1100" i="7"/>
  <c r="A1100" i="7" a="1"/>
  <c r="A1100" i="7" s="1"/>
  <c r="I1099" i="7"/>
  <c r="H1099" i="7"/>
  <c r="F1099" i="7" a="1"/>
  <c r="F1099" i="7" s="1"/>
  <c r="E1099" i="7"/>
  <c r="D1099" i="7"/>
  <c r="B1099" i="7"/>
  <c r="A1099" i="7" a="1"/>
  <c r="A1099" i="7" s="1"/>
  <c r="I1098" i="7"/>
  <c r="H1098" i="7"/>
  <c r="F1098" i="7" a="1"/>
  <c r="F1098" i="7" s="1"/>
  <c r="E1098" i="7"/>
  <c r="D1098" i="7"/>
  <c r="B1098" i="7"/>
  <c r="A1098" i="7" a="1"/>
  <c r="A1098" i="7" s="1"/>
  <c r="I1097" i="7"/>
  <c r="H1097" i="7"/>
  <c r="F1097" i="7" a="1"/>
  <c r="F1097" i="7" s="1"/>
  <c r="E1097" i="7"/>
  <c r="D1097" i="7"/>
  <c r="B1097" i="7"/>
  <c r="A1097" i="7" a="1"/>
  <c r="A1097" i="7" s="1"/>
  <c r="I1096" i="7"/>
  <c r="H1096" i="7"/>
  <c r="F1096" i="7" a="1"/>
  <c r="F1096" i="7" s="1"/>
  <c r="E1096" i="7"/>
  <c r="D1096" i="7"/>
  <c r="B1096" i="7"/>
  <c r="A1096" i="7" a="1"/>
  <c r="A1096" i="7" s="1"/>
  <c r="I1095" i="7"/>
  <c r="H1095" i="7"/>
  <c r="F1095" i="7" a="1"/>
  <c r="F1095" i="7" s="1"/>
  <c r="E1095" i="7"/>
  <c r="D1095" i="7"/>
  <c r="B1095" i="7"/>
  <c r="A1095" i="7" a="1"/>
  <c r="A1095" i="7" s="1"/>
  <c r="I1094" i="7"/>
  <c r="H1094" i="7"/>
  <c r="F1094" i="7" a="1"/>
  <c r="F1094" i="7" s="1"/>
  <c r="E1094" i="7"/>
  <c r="D1094" i="7"/>
  <c r="B1094" i="7"/>
  <c r="A1094" i="7" a="1"/>
  <c r="A1094" i="7" s="1"/>
  <c r="I1093" i="7"/>
  <c r="H1093" i="7"/>
  <c r="F1093" i="7" a="1"/>
  <c r="F1093" i="7" s="1"/>
  <c r="E1093" i="7"/>
  <c r="D1093" i="7"/>
  <c r="B1093" i="7"/>
  <c r="A1093" i="7" a="1"/>
  <c r="A1093" i="7" s="1"/>
  <c r="I1092" i="7"/>
  <c r="H1092" i="7"/>
  <c r="F1092" i="7" a="1"/>
  <c r="F1092" i="7" s="1"/>
  <c r="E1092" i="7"/>
  <c r="D1092" i="7"/>
  <c r="B1092" i="7"/>
  <c r="A1092" i="7" a="1"/>
  <c r="A1092" i="7" s="1"/>
  <c r="I1091" i="7"/>
  <c r="H1091" i="7"/>
  <c r="F1091" i="7" a="1"/>
  <c r="F1091" i="7" s="1"/>
  <c r="E1091" i="7"/>
  <c r="D1091" i="7"/>
  <c r="B1091" i="7"/>
  <c r="A1091" i="7" a="1"/>
  <c r="A1091" i="7" s="1"/>
  <c r="I1090" i="7"/>
  <c r="H1090" i="7"/>
  <c r="F1090" i="7" a="1"/>
  <c r="F1090" i="7" s="1"/>
  <c r="E1090" i="7"/>
  <c r="D1090" i="7"/>
  <c r="B1090" i="7"/>
  <c r="A1090" i="7" a="1"/>
  <c r="A1090" i="7" s="1"/>
  <c r="I1089" i="7"/>
  <c r="H1089" i="7"/>
  <c r="F1089" i="7" a="1"/>
  <c r="F1089" i="7" s="1"/>
  <c r="E1089" i="7"/>
  <c r="D1089" i="7"/>
  <c r="B1089" i="7"/>
  <c r="A1089" i="7" a="1"/>
  <c r="A1089" i="7" s="1"/>
  <c r="I1088" i="7"/>
  <c r="H1088" i="7"/>
  <c r="F1088" i="7" a="1"/>
  <c r="F1088" i="7" s="1"/>
  <c r="E1088" i="7"/>
  <c r="D1088" i="7"/>
  <c r="B1088" i="7"/>
  <c r="A1088" i="7" a="1"/>
  <c r="A1088" i="7" s="1"/>
  <c r="I1087" i="7"/>
  <c r="H1087" i="7"/>
  <c r="F1087" i="7" a="1"/>
  <c r="F1087" i="7" s="1"/>
  <c r="E1087" i="7"/>
  <c r="D1087" i="7"/>
  <c r="B1087" i="7"/>
  <c r="A1087" i="7" a="1"/>
  <c r="A1087" i="7" s="1"/>
  <c r="I1086" i="7"/>
  <c r="H1086" i="7"/>
  <c r="F1086" i="7" a="1"/>
  <c r="F1086" i="7" s="1"/>
  <c r="E1086" i="7"/>
  <c r="D1086" i="7"/>
  <c r="B1086" i="7"/>
  <c r="A1086" i="7" a="1"/>
  <c r="A1086" i="7" s="1"/>
  <c r="I1085" i="7"/>
  <c r="H1085" i="7"/>
  <c r="F1085" i="7" a="1"/>
  <c r="F1085" i="7" s="1"/>
  <c r="E1085" i="7"/>
  <c r="D1085" i="7"/>
  <c r="B1085" i="7"/>
  <c r="A1085" i="7" a="1"/>
  <c r="A1085" i="7" s="1"/>
  <c r="I1084" i="7"/>
  <c r="H1084" i="7"/>
  <c r="F1084" i="7" a="1"/>
  <c r="F1084" i="7" s="1"/>
  <c r="E1084" i="7"/>
  <c r="D1084" i="7"/>
  <c r="B1084" i="7"/>
  <c r="A1084" i="7" a="1"/>
  <c r="A1084" i="7" s="1"/>
  <c r="I1083" i="7"/>
  <c r="H1083" i="7"/>
  <c r="F1083" i="7" a="1"/>
  <c r="F1083" i="7" s="1"/>
  <c r="E1083" i="7"/>
  <c r="D1083" i="7"/>
  <c r="B1083" i="7"/>
  <c r="A1083" i="7" a="1"/>
  <c r="A1083" i="7" s="1"/>
  <c r="I1082" i="7"/>
  <c r="H1082" i="7"/>
  <c r="F1082" i="7" a="1"/>
  <c r="F1082" i="7" s="1"/>
  <c r="E1082" i="7"/>
  <c r="D1082" i="7"/>
  <c r="B1082" i="7"/>
  <c r="A1082" i="7" a="1"/>
  <c r="A1082" i="7" s="1"/>
  <c r="I1081" i="7"/>
  <c r="H1081" i="7"/>
  <c r="F1081" i="7" a="1"/>
  <c r="F1081" i="7" s="1"/>
  <c r="E1081" i="7"/>
  <c r="D1081" i="7"/>
  <c r="B1081" i="7"/>
  <c r="A1081" i="7" a="1"/>
  <c r="A1081" i="7" s="1"/>
  <c r="I1080" i="7"/>
  <c r="H1080" i="7"/>
  <c r="F1080" i="7" a="1"/>
  <c r="F1080" i="7" s="1"/>
  <c r="E1080" i="7"/>
  <c r="D1080" i="7"/>
  <c r="B1080" i="7"/>
  <c r="A1080" i="7" a="1"/>
  <c r="A1080" i="7" s="1"/>
  <c r="I1079" i="7"/>
  <c r="H1079" i="7"/>
  <c r="F1079" i="7" a="1"/>
  <c r="F1079" i="7" s="1"/>
  <c r="E1079" i="7"/>
  <c r="D1079" i="7"/>
  <c r="B1079" i="7"/>
  <c r="A1079" i="7" a="1"/>
  <c r="A1079" i="7" s="1"/>
  <c r="I1078" i="7"/>
  <c r="H1078" i="7"/>
  <c r="F1078" i="7" a="1"/>
  <c r="F1078" i="7" s="1"/>
  <c r="E1078" i="7"/>
  <c r="D1078" i="7"/>
  <c r="B1078" i="7"/>
  <c r="A1078" i="7" a="1"/>
  <c r="A1078" i="7" s="1"/>
  <c r="I1077" i="7"/>
  <c r="H1077" i="7"/>
  <c r="F1077" i="7" a="1"/>
  <c r="F1077" i="7" s="1"/>
  <c r="E1077" i="7"/>
  <c r="D1077" i="7"/>
  <c r="B1077" i="7"/>
  <c r="A1077" i="7" a="1"/>
  <c r="A1077" i="7" s="1"/>
  <c r="I1076" i="7"/>
  <c r="H1076" i="7"/>
  <c r="F1076" i="7" a="1"/>
  <c r="F1076" i="7" s="1"/>
  <c r="E1076" i="7"/>
  <c r="D1076" i="7"/>
  <c r="B1076" i="7"/>
  <c r="A1076" i="7" a="1"/>
  <c r="A1076" i="7" s="1"/>
  <c r="I1075" i="7"/>
  <c r="H1075" i="7"/>
  <c r="F1075" i="7" a="1"/>
  <c r="F1075" i="7" s="1"/>
  <c r="E1075" i="7"/>
  <c r="D1075" i="7"/>
  <c r="B1075" i="7"/>
  <c r="A1075" i="7" a="1"/>
  <c r="A1075" i="7" s="1"/>
  <c r="I1074" i="7"/>
  <c r="H1074" i="7"/>
  <c r="F1074" i="7" a="1"/>
  <c r="F1074" i="7" s="1"/>
  <c r="E1074" i="7"/>
  <c r="D1074" i="7"/>
  <c r="B1074" i="7"/>
  <c r="A1074" i="7" a="1"/>
  <c r="A1074" i="7" s="1"/>
  <c r="I1073" i="7"/>
  <c r="H1073" i="7"/>
  <c r="F1073" i="7" a="1"/>
  <c r="F1073" i="7" s="1"/>
  <c r="E1073" i="7"/>
  <c r="D1073" i="7"/>
  <c r="B1073" i="7"/>
  <c r="A1073" i="7" a="1"/>
  <c r="A1073" i="7" s="1"/>
  <c r="I1072" i="7"/>
  <c r="H1072" i="7"/>
  <c r="F1072" i="7" a="1"/>
  <c r="F1072" i="7" s="1"/>
  <c r="E1072" i="7"/>
  <c r="D1072" i="7"/>
  <c r="B1072" i="7"/>
  <c r="A1072" i="7" a="1"/>
  <c r="A1072" i="7" s="1"/>
  <c r="I1071" i="7"/>
  <c r="H1071" i="7"/>
  <c r="F1071" i="7" a="1"/>
  <c r="F1071" i="7" s="1"/>
  <c r="E1071" i="7"/>
  <c r="D1071" i="7"/>
  <c r="B1071" i="7"/>
  <c r="A1071" i="7" a="1"/>
  <c r="A1071" i="7" s="1"/>
  <c r="I1070" i="7"/>
  <c r="H1070" i="7"/>
  <c r="F1070" i="7" a="1"/>
  <c r="F1070" i="7" s="1"/>
  <c r="E1070" i="7"/>
  <c r="D1070" i="7"/>
  <c r="B1070" i="7"/>
  <c r="A1070" i="7" a="1"/>
  <c r="A1070" i="7" s="1"/>
  <c r="I1069" i="7"/>
  <c r="H1069" i="7"/>
  <c r="F1069" i="7" a="1"/>
  <c r="F1069" i="7" s="1"/>
  <c r="E1069" i="7"/>
  <c r="D1069" i="7"/>
  <c r="B1069" i="7"/>
  <c r="A1069" i="7" a="1"/>
  <c r="A1069" i="7" s="1"/>
  <c r="I1068" i="7"/>
  <c r="H1068" i="7"/>
  <c r="F1068" i="7" a="1"/>
  <c r="F1068" i="7" s="1"/>
  <c r="E1068" i="7"/>
  <c r="D1068" i="7"/>
  <c r="B1068" i="7"/>
  <c r="A1068" i="7" a="1"/>
  <c r="A1068" i="7" s="1"/>
  <c r="I1067" i="7"/>
  <c r="H1067" i="7"/>
  <c r="F1067" i="7" a="1"/>
  <c r="F1067" i="7" s="1"/>
  <c r="E1067" i="7"/>
  <c r="D1067" i="7"/>
  <c r="B1067" i="7"/>
  <c r="A1067" i="7" a="1"/>
  <c r="A1067" i="7" s="1"/>
  <c r="I1066" i="7"/>
  <c r="H1066" i="7"/>
  <c r="F1066" i="7" a="1"/>
  <c r="F1066" i="7" s="1"/>
  <c r="E1066" i="7"/>
  <c r="D1066" i="7"/>
  <c r="B1066" i="7"/>
  <c r="A1066" i="7" a="1"/>
  <c r="A1066" i="7" s="1"/>
  <c r="I1065" i="7"/>
  <c r="H1065" i="7"/>
  <c r="F1065" i="7" a="1"/>
  <c r="F1065" i="7" s="1"/>
  <c r="E1065" i="7"/>
  <c r="D1065" i="7"/>
  <c r="B1065" i="7"/>
  <c r="A1065" i="7" a="1"/>
  <c r="A1065" i="7" s="1"/>
  <c r="I1064" i="7"/>
  <c r="H1064" i="7"/>
  <c r="F1064" i="7" a="1"/>
  <c r="F1064" i="7" s="1"/>
  <c r="E1064" i="7"/>
  <c r="D1064" i="7"/>
  <c r="B1064" i="7"/>
  <c r="A1064" i="7" a="1"/>
  <c r="A1064" i="7" s="1"/>
  <c r="I1063" i="7"/>
  <c r="H1063" i="7"/>
  <c r="F1063" i="7" a="1"/>
  <c r="F1063" i="7" s="1"/>
  <c r="E1063" i="7"/>
  <c r="D1063" i="7"/>
  <c r="B1063" i="7"/>
  <c r="A1063" i="7" a="1"/>
  <c r="A1063" i="7" s="1"/>
  <c r="I1062" i="7"/>
  <c r="H1062" i="7"/>
  <c r="F1062" i="7" a="1"/>
  <c r="F1062" i="7" s="1"/>
  <c r="E1062" i="7"/>
  <c r="D1062" i="7"/>
  <c r="B1062" i="7"/>
  <c r="A1062" i="7" a="1"/>
  <c r="A1062" i="7" s="1"/>
  <c r="I1061" i="7"/>
  <c r="H1061" i="7"/>
  <c r="F1061" i="7" a="1"/>
  <c r="F1061" i="7" s="1"/>
  <c r="E1061" i="7"/>
  <c r="D1061" i="7"/>
  <c r="B1061" i="7"/>
  <c r="A1061" i="7" a="1"/>
  <c r="A1061" i="7" s="1"/>
  <c r="I1060" i="7"/>
  <c r="H1060" i="7"/>
  <c r="F1060" i="7" a="1"/>
  <c r="F1060" i="7" s="1"/>
  <c r="E1060" i="7"/>
  <c r="D1060" i="7"/>
  <c r="B1060" i="7"/>
  <c r="A1060" i="7" a="1"/>
  <c r="A1060" i="7" s="1"/>
  <c r="I1059" i="7"/>
  <c r="H1059" i="7"/>
  <c r="F1059" i="7" a="1"/>
  <c r="F1059" i="7" s="1"/>
  <c r="E1059" i="7"/>
  <c r="D1059" i="7"/>
  <c r="B1059" i="7"/>
  <c r="A1059" i="7" a="1"/>
  <c r="A1059" i="7" s="1"/>
  <c r="I1058" i="7"/>
  <c r="H1058" i="7"/>
  <c r="F1058" i="7" a="1"/>
  <c r="F1058" i="7" s="1"/>
  <c r="E1058" i="7"/>
  <c r="D1058" i="7"/>
  <c r="B1058" i="7"/>
  <c r="A1058" i="7" a="1"/>
  <c r="A1058" i="7" s="1"/>
  <c r="I1057" i="7"/>
  <c r="H1057" i="7"/>
  <c r="F1057" i="7" a="1"/>
  <c r="F1057" i="7" s="1"/>
  <c r="E1057" i="7"/>
  <c r="D1057" i="7"/>
  <c r="B1057" i="7"/>
  <c r="A1057" i="7" a="1"/>
  <c r="A1057" i="7" s="1"/>
  <c r="I1056" i="7"/>
  <c r="H1056" i="7"/>
  <c r="F1056" i="7" a="1"/>
  <c r="F1056" i="7" s="1"/>
  <c r="E1056" i="7"/>
  <c r="D1056" i="7"/>
  <c r="B1056" i="7"/>
  <c r="A1056" i="7" a="1"/>
  <c r="A1056" i="7" s="1"/>
  <c r="I1055" i="7"/>
  <c r="H1055" i="7"/>
  <c r="F1055" i="7" a="1"/>
  <c r="F1055" i="7" s="1"/>
  <c r="E1055" i="7"/>
  <c r="D1055" i="7"/>
  <c r="B1055" i="7"/>
  <c r="A1055" i="7" a="1"/>
  <c r="A1055" i="7" s="1"/>
  <c r="I1054" i="7"/>
  <c r="H1054" i="7"/>
  <c r="F1054" i="7" a="1"/>
  <c r="F1054" i="7" s="1"/>
  <c r="E1054" i="7"/>
  <c r="D1054" i="7"/>
  <c r="B1054" i="7"/>
  <c r="A1054" i="7" a="1"/>
  <c r="A1054" i="7" s="1"/>
  <c r="I1053" i="7"/>
  <c r="H1053" i="7"/>
  <c r="F1053" i="7" a="1"/>
  <c r="F1053" i="7" s="1"/>
  <c r="E1053" i="7"/>
  <c r="D1053" i="7"/>
  <c r="B1053" i="7"/>
  <c r="A1053" i="7" a="1"/>
  <c r="A1053" i="7" s="1"/>
  <c r="I1052" i="7"/>
  <c r="H1052" i="7"/>
  <c r="F1052" i="7" a="1"/>
  <c r="F1052" i="7" s="1"/>
  <c r="E1052" i="7"/>
  <c r="D1052" i="7"/>
  <c r="B1052" i="7"/>
  <c r="A1052" i="7" a="1"/>
  <c r="A1052" i="7" s="1"/>
  <c r="I1051" i="7"/>
  <c r="H1051" i="7"/>
  <c r="F1051" i="7" a="1"/>
  <c r="F1051" i="7" s="1"/>
  <c r="E1051" i="7"/>
  <c r="D1051" i="7"/>
  <c r="B1051" i="7"/>
  <c r="A1051" i="7" a="1"/>
  <c r="A1051" i="7" s="1"/>
  <c r="I1050" i="7"/>
  <c r="H1050" i="7"/>
  <c r="F1050" i="7" a="1"/>
  <c r="F1050" i="7" s="1"/>
  <c r="E1050" i="7"/>
  <c r="D1050" i="7"/>
  <c r="B1050" i="7"/>
  <c r="A1050" i="7" a="1"/>
  <c r="A1050" i="7" s="1"/>
  <c r="I1049" i="7"/>
  <c r="H1049" i="7"/>
  <c r="F1049" i="7" a="1"/>
  <c r="F1049" i="7" s="1"/>
  <c r="E1049" i="7"/>
  <c r="D1049" i="7"/>
  <c r="B1049" i="7"/>
  <c r="A1049" i="7" a="1"/>
  <c r="A1049" i="7" s="1"/>
  <c r="I1048" i="7"/>
  <c r="H1048" i="7"/>
  <c r="F1048" i="7" a="1"/>
  <c r="F1048" i="7" s="1"/>
  <c r="E1048" i="7"/>
  <c r="D1048" i="7"/>
  <c r="B1048" i="7"/>
  <c r="A1048" i="7" a="1"/>
  <c r="A1048" i="7" s="1"/>
  <c r="I1047" i="7"/>
  <c r="H1047" i="7"/>
  <c r="F1047" i="7" a="1"/>
  <c r="F1047" i="7" s="1"/>
  <c r="E1047" i="7"/>
  <c r="D1047" i="7"/>
  <c r="B1047" i="7"/>
  <c r="A1047" i="7" a="1"/>
  <c r="A1047" i="7" s="1"/>
  <c r="I1046" i="7"/>
  <c r="H1046" i="7"/>
  <c r="F1046" i="7" a="1"/>
  <c r="F1046" i="7" s="1"/>
  <c r="E1046" i="7"/>
  <c r="D1046" i="7"/>
  <c r="B1046" i="7"/>
  <c r="A1046" i="7" a="1"/>
  <c r="A1046" i="7" s="1"/>
  <c r="I1045" i="7"/>
  <c r="H1045" i="7"/>
  <c r="F1045" i="7" a="1"/>
  <c r="F1045" i="7" s="1"/>
  <c r="E1045" i="7"/>
  <c r="D1045" i="7"/>
  <c r="B1045" i="7"/>
  <c r="A1045" i="7" a="1"/>
  <c r="A1045" i="7" s="1"/>
  <c r="I1044" i="7"/>
  <c r="H1044" i="7"/>
  <c r="F1044" i="7" a="1"/>
  <c r="F1044" i="7" s="1"/>
  <c r="E1044" i="7"/>
  <c r="D1044" i="7"/>
  <c r="B1044" i="7"/>
  <c r="A1044" i="7" a="1"/>
  <c r="A1044" i="7" s="1"/>
  <c r="I1043" i="7"/>
  <c r="H1043" i="7"/>
  <c r="F1043" i="7" a="1"/>
  <c r="F1043" i="7" s="1"/>
  <c r="E1043" i="7"/>
  <c r="D1043" i="7"/>
  <c r="B1043" i="7"/>
  <c r="A1043" i="7" a="1"/>
  <c r="A1043" i="7" s="1"/>
  <c r="I1042" i="7"/>
  <c r="H1042" i="7"/>
  <c r="F1042" i="7" a="1"/>
  <c r="F1042" i="7" s="1"/>
  <c r="E1042" i="7"/>
  <c r="D1042" i="7"/>
  <c r="B1042" i="7"/>
  <c r="A1042" i="7" a="1"/>
  <c r="A1042" i="7" s="1"/>
  <c r="I1041" i="7"/>
  <c r="H1041" i="7"/>
  <c r="F1041" i="7" a="1"/>
  <c r="F1041" i="7" s="1"/>
  <c r="E1041" i="7"/>
  <c r="D1041" i="7"/>
  <c r="B1041" i="7"/>
  <c r="A1041" i="7" a="1"/>
  <c r="A1041" i="7" s="1"/>
  <c r="I1040" i="7"/>
  <c r="H1040" i="7"/>
  <c r="F1040" i="7" a="1"/>
  <c r="F1040" i="7" s="1"/>
  <c r="E1040" i="7"/>
  <c r="D1040" i="7"/>
  <c r="B1040" i="7"/>
  <c r="A1040" i="7" a="1"/>
  <c r="A1040" i="7" s="1"/>
  <c r="I1039" i="7"/>
  <c r="H1039" i="7"/>
  <c r="F1039" i="7" a="1"/>
  <c r="F1039" i="7" s="1"/>
  <c r="E1039" i="7"/>
  <c r="D1039" i="7"/>
  <c r="B1039" i="7"/>
  <c r="A1039" i="7" a="1"/>
  <c r="A1039" i="7" s="1"/>
  <c r="I1038" i="7"/>
  <c r="H1038" i="7"/>
  <c r="F1038" i="7" a="1"/>
  <c r="F1038" i="7" s="1"/>
  <c r="E1038" i="7"/>
  <c r="D1038" i="7"/>
  <c r="B1038" i="7"/>
  <c r="A1038" i="7" a="1"/>
  <c r="A1038" i="7" s="1"/>
  <c r="I1037" i="7"/>
  <c r="H1037" i="7"/>
  <c r="F1037" i="7" a="1"/>
  <c r="F1037" i="7" s="1"/>
  <c r="E1037" i="7"/>
  <c r="D1037" i="7"/>
  <c r="B1037" i="7"/>
  <c r="A1037" i="7" a="1"/>
  <c r="A1037" i="7" s="1"/>
  <c r="I1036" i="7"/>
  <c r="H1036" i="7"/>
  <c r="F1036" i="7" a="1"/>
  <c r="F1036" i="7" s="1"/>
  <c r="E1036" i="7"/>
  <c r="D1036" i="7"/>
  <c r="B1036" i="7"/>
  <c r="A1036" i="7" a="1"/>
  <c r="A1036" i="7" s="1"/>
  <c r="I1035" i="7"/>
  <c r="H1035" i="7"/>
  <c r="F1035" i="7" a="1"/>
  <c r="F1035" i="7" s="1"/>
  <c r="E1035" i="7"/>
  <c r="D1035" i="7"/>
  <c r="B1035" i="7"/>
  <c r="A1035" i="7" a="1"/>
  <c r="A1035" i="7" s="1"/>
  <c r="I1034" i="7"/>
  <c r="H1034" i="7"/>
  <c r="F1034" i="7" a="1"/>
  <c r="F1034" i="7" s="1"/>
  <c r="E1034" i="7"/>
  <c r="D1034" i="7"/>
  <c r="B1034" i="7"/>
  <c r="A1034" i="7" a="1"/>
  <c r="A1034" i="7" s="1"/>
  <c r="I1033" i="7"/>
  <c r="H1033" i="7"/>
  <c r="F1033" i="7" a="1"/>
  <c r="F1033" i="7" s="1"/>
  <c r="E1033" i="7"/>
  <c r="D1033" i="7"/>
  <c r="B1033" i="7"/>
  <c r="A1033" i="7" a="1"/>
  <c r="A1033" i="7" s="1"/>
  <c r="I1032" i="7"/>
  <c r="H1032" i="7"/>
  <c r="F1032" i="7" a="1"/>
  <c r="F1032" i="7" s="1"/>
  <c r="E1032" i="7"/>
  <c r="D1032" i="7"/>
  <c r="B1032" i="7"/>
  <c r="A1032" i="7" a="1"/>
  <c r="A1032" i="7" s="1"/>
  <c r="I1031" i="7"/>
  <c r="H1031" i="7"/>
  <c r="F1031" i="7" a="1"/>
  <c r="F1031" i="7" s="1"/>
  <c r="E1031" i="7"/>
  <c r="D1031" i="7"/>
  <c r="B1031" i="7"/>
  <c r="A1031" i="7" a="1"/>
  <c r="A1031" i="7" s="1"/>
  <c r="I1030" i="7"/>
  <c r="H1030" i="7"/>
  <c r="F1030" i="7" a="1"/>
  <c r="F1030" i="7" s="1"/>
  <c r="E1030" i="7"/>
  <c r="D1030" i="7"/>
  <c r="B1030" i="7"/>
  <c r="A1030" i="7" a="1"/>
  <c r="A1030" i="7" s="1"/>
  <c r="I1029" i="7"/>
  <c r="H1029" i="7"/>
  <c r="F1029" i="7" a="1"/>
  <c r="F1029" i="7" s="1"/>
  <c r="E1029" i="7"/>
  <c r="D1029" i="7"/>
  <c r="B1029" i="7"/>
  <c r="A1029" i="7" a="1"/>
  <c r="A1029" i="7" s="1"/>
  <c r="I1028" i="7"/>
  <c r="H1028" i="7"/>
  <c r="F1028" i="7" a="1"/>
  <c r="F1028" i="7" s="1"/>
  <c r="E1028" i="7"/>
  <c r="D1028" i="7"/>
  <c r="B1028" i="7"/>
  <c r="A1028" i="7" a="1"/>
  <c r="A1028" i="7" s="1"/>
  <c r="I1027" i="7"/>
  <c r="H1027" i="7"/>
  <c r="F1027" i="7" a="1"/>
  <c r="F1027" i="7" s="1"/>
  <c r="E1027" i="7"/>
  <c r="D1027" i="7"/>
  <c r="B1027" i="7"/>
  <c r="A1027" i="7" a="1"/>
  <c r="A1027" i="7" s="1"/>
  <c r="I1026" i="7"/>
  <c r="H1026" i="7"/>
  <c r="F1026" i="7" a="1"/>
  <c r="F1026" i="7" s="1"/>
  <c r="E1026" i="7"/>
  <c r="D1026" i="7"/>
  <c r="B1026" i="7"/>
  <c r="A1026" i="7" a="1"/>
  <c r="A1026" i="7" s="1"/>
  <c r="I1025" i="7"/>
  <c r="H1025" i="7"/>
  <c r="F1025" i="7" a="1"/>
  <c r="F1025" i="7" s="1"/>
  <c r="E1025" i="7"/>
  <c r="D1025" i="7"/>
  <c r="B1025" i="7"/>
  <c r="A1025" i="7" a="1"/>
  <c r="A1025" i="7" s="1"/>
  <c r="I1024" i="7"/>
  <c r="H1024" i="7"/>
  <c r="F1024" i="7" a="1"/>
  <c r="F1024" i="7" s="1"/>
  <c r="E1024" i="7"/>
  <c r="D1024" i="7"/>
  <c r="B1024" i="7"/>
  <c r="A1024" i="7" a="1"/>
  <c r="A1024" i="7" s="1"/>
  <c r="I1023" i="7"/>
  <c r="H1023" i="7"/>
  <c r="F1023" i="7" a="1"/>
  <c r="F1023" i="7" s="1"/>
  <c r="E1023" i="7"/>
  <c r="D1023" i="7"/>
  <c r="B1023" i="7"/>
  <c r="A1023" i="7" a="1"/>
  <c r="A1023" i="7" s="1"/>
  <c r="I1022" i="7"/>
  <c r="H1022" i="7"/>
  <c r="F1022" i="7" a="1"/>
  <c r="F1022" i="7" s="1"/>
  <c r="E1022" i="7"/>
  <c r="D1022" i="7"/>
  <c r="B1022" i="7"/>
  <c r="A1022" i="7" a="1"/>
  <c r="A1022" i="7" s="1"/>
  <c r="I1021" i="7"/>
  <c r="H1021" i="7"/>
  <c r="F1021" i="7" a="1"/>
  <c r="F1021" i="7" s="1"/>
  <c r="E1021" i="7"/>
  <c r="D1021" i="7"/>
  <c r="B1021" i="7"/>
  <c r="A1021" i="7" a="1"/>
  <c r="A1021" i="7" s="1"/>
  <c r="I1020" i="7"/>
  <c r="H1020" i="7"/>
  <c r="F1020" i="7" a="1"/>
  <c r="F1020" i="7" s="1"/>
  <c r="E1020" i="7"/>
  <c r="D1020" i="7"/>
  <c r="B1020" i="7"/>
  <c r="A1020" i="7" a="1"/>
  <c r="A1020" i="7" s="1"/>
  <c r="I1019" i="7"/>
  <c r="H1019" i="7"/>
  <c r="F1019" i="7" a="1"/>
  <c r="F1019" i="7" s="1"/>
  <c r="E1019" i="7"/>
  <c r="D1019" i="7"/>
  <c r="B1019" i="7"/>
  <c r="A1019" i="7" a="1"/>
  <c r="A1019" i="7" s="1"/>
  <c r="I1018" i="7"/>
  <c r="H1018" i="7"/>
  <c r="F1018" i="7" a="1"/>
  <c r="F1018" i="7" s="1"/>
  <c r="E1018" i="7"/>
  <c r="D1018" i="7"/>
  <c r="B1018" i="7"/>
  <c r="A1018" i="7" a="1"/>
  <c r="A1018" i="7" s="1"/>
  <c r="I1017" i="7"/>
  <c r="H1017" i="7"/>
  <c r="F1017" i="7" a="1"/>
  <c r="F1017" i="7" s="1"/>
  <c r="E1017" i="7"/>
  <c r="D1017" i="7"/>
  <c r="B1017" i="7"/>
  <c r="A1017" i="7" a="1"/>
  <c r="A1017" i="7" s="1"/>
  <c r="I1016" i="7"/>
  <c r="H1016" i="7"/>
  <c r="F1016" i="7" a="1"/>
  <c r="F1016" i="7" s="1"/>
  <c r="E1016" i="7"/>
  <c r="D1016" i="7"/>
  <c r="B1016" i="7"/>
  <c r="A1016" i="7" a="1"/>
  <c r="A1016" i="7" s="1"/>
  <c r="I1015" i="7"/>
  <c r="H1015" i="7"/>
  <c r="F1015" i="7" a="1"/>
  <c r="F1015" i="7" s="1"/>
  <c r="E1015" i="7"/>
  <c r="D1015" i="7"/>
  <c r="B1015" i="7"/>
  <c r="A1015" i="7" a="1"/>
  <c r="A1015" i="7" s="1"/>
  <c r="I1014" i="7"/>
  <c r="H1014" i="7"/>
  <c r="F1014" i="7" a="1"/>
  <c r="F1014" i="7" s="1"/>
  <c r="E1014" i="7"/>
  <c r="D1014" i="7"/>
  <c r="B1014" i="7"/>
  <c r="A1014" i="7" a="1"/>
  <c r="A1014" i="7" s="1"/>
  <c r="I1013" i="7"/>
  <c r="H1013" i="7"/>
  <c r="F1013" i="7" a="1"/>
  <c r="F1013" i="7" s="1"/>
  <c r="E1013" i="7"/>
  <c r="D1013" i="7"/>
  <c r="B1013" i="7"/>
  <c r="A1013" i="7" a="1"/>
  <c r="A1013" i="7" s="1"/>
  <c r="I1012" i="7"/>
  <c r="H1012" i="7"/>
  <c r="F1012" i="7" a="1"/>
  <c r="F1012" i="7" s="1"/>
  <c r="E1012" i="7"/>
  <c r="D1012" i="7"/>
  <c r="B1012" i="7"/>
  <c r="A1012" i="7" a="1"/>
  <c r="A1012" i="7" s="1"/>
  <c r="I1011" i="7"/>
  <c r="H1011" i="7"/>
  <c r="F1011" i="7" a="1"/>
  <c r="F1011" i="7" s="1"/>
  <c r="E1011" i="7"/>
  <c r="D1011" i="7"/>
  <c r="B1011" i="7"/>
  <c r="A1011" i="7" a="1"/>
  <c r="A1011" i="7" s="1"/>
  <c r="I1010" i="7"/>
  <c r="H1010" i="7"/>
  <c r="F1010" i="7" a="1"/>
  <c r="F1010" i="7" s="1"/>
  <c r="E1010" i="7"/>
  <c r="D1010" i="7"/>
  <c r="B1010" i="7"/>
  <c r="A1010" i="7" a="1"/>
  <c r="A1010" i="7" s="1"/>
  <c r="I1009" i="7"/>
  <c r="H1009" i="7"/>
  <c r="F1009" i="7" a="1"/>
  <c r="F1009" i="7" s="1"/>
  <c r="E1009" i="7"/>
  <c r="D1009" i="7"/>
  <c r="B1009" i="7"/>
  <c r="A1009" i="7" a="1"/>
  <c r="A1009" i="7" s="1"/>
  <c r="I1008" i="7"/>
  <c r="H1008" i="7"/>
  <c r="F1008" i="7" a="1"/>
  <c r="F1008" i="7" s="1"/>
  <c r="E1008" i="7"/>
  <c r="D1008" i="7"/>
  <c r="B1008" i="7"/>
  <c r="A1008" i="7" a="1"/>
  <c r="A1008" i="7" s="1"/>
  <c r="I1007" i="7"/>
  <c r="H1007" i="7"/>
  <c r="F1007" i="7" a="1"/>
  <c r="F1007" i="7" s="1"/>
  <c r="E1007" i="7"/>
  <c r="D1007" i="7"/>
  <c r="B1007" i="7"/>
  <c r="A1007" i="7" a="1"/>
  <c r="A1007" i="7" s="1"/>
  <c r="I1006" i="7"/>
  <c r="H1006" i="7"/>
  <c r="F1006" i="7" a="1"/>
  <c r="F1006" i="7" s="1"/>
  <c r="E1006" i="7"/>
  <c r="D1006" i="7"/>
  <c r="B1006" i="7"/>
  <c r="A1006" i="7" a="1"/>
  <c r="A1006" i="7" s="1"/>
  <c r="I1005" i="7"/>
  <c r="H1005" i="7"/>
  <c r="F1005" i="7" a="1"/>
  <c r="F1005" i="7" s="1"/>
  <c r="E1005" i="7"/>
  <c r="D1005" i="7"/>
  <c r="B1005" i="7"/>
  <c r="A1005" i="7" a="1"/>
  <c r="A1005" i="7" s="1"/>
  <c r="I1004" i="7"/>
  <c r="H1004" i="7"/>
  <c r="F1004" i="7" a="1"/>
  <c r="F1004" i="7" s="1"/>
  <c r="E1004" i="7"/>
  <c r="D1004" i="7"/>
  <c r="B1004" i="7"/>
  <c r="A1004" i="7" a="1"/>
  <c r="A1004" i="7" s="1"/>
  <c r="I1003" i="7"/>
  <c r="H1003" i="7"/>
  <c r="F1003" i="7" a="1"/>
  <c r="F1003" i="7" s="1"/>
  <c r="E1003" i="7"/>
  <c r="D1003" i="7"/>
  <c r="B1003" i="7"/>
  <c r="A1003" i="7" a="1"/>
  <c r="A1003" i="7" s="1"/>
  <c r="I1002" i="7"/>
  <c r="H1002" i="7"/>
  <c r="F1002" i="7" a="1"/>
  <c r="F1002" i="7" s="1"/>
  <c r="E1002" i="7"/>
  <c r="D1002" i="7"/>
  <c r="B1002" i="7"/>
  <c r="A1002" i="7" a="1"/>
  <c r="A1002" i="7" s="1"/>
  <c r="I1001" i="7"/>
  <c r="H1001" i="7"/>
  <c r="F1001" i="7" a="1"/>
  <c r="F1001" i="7" s="1"/>
  <c r="E1001" i="7"/>
  <c r="D1001" i="7"/>
  <c r="B1001" i="7"/>
  <c r="A1001" i="7" a="1"/>
  <c r="A1001" i="7" s="1"/>
  <c r="I1000" i="7"/>
  <c r="H1000" i="7"/>
  <c r="F1000" i="7" a="1"/>
  <c r="F1000" i="7" s="1"/>
  <c r="E1000" i="7"/>
  <c r="D1000" i="7"/>
  <c r="B1000" i="7"/>
  <c r="A1000" i="7" a="1"/>
  <c r="A1000" i="7" s="1"/>
  <c r="I999" i="7"/>
  <c r="H999" i="7"/>
  <c r="F999" i="7" a="1"/>
  <c r="F999" i="7" s="1"/>
  <c r="E999" i="7"/>
  <c r="D999" i="7"/>
  <c r="B999" i="7"/>
  <c r="A999" i="7" a="1"/>
  <c r="A999" i="7" s="1"/>
  <c r="I998" i="7"/>
  <c r="H998" i="7"/>
  <c r="F998" i="7" a="1"/>
  <c r="F998" i="7" s="1"/>
  <c r="E998" i="7"/>
  <c r="D998" i="7"/>
  <c r="B998" i="7"/>
  <c r="A998" i="7" a="1"/>
  <c r="A998" i="7" s="1"/>
  <c r="I997" i="7"/>
  <c r="H997" i="7"/>
  <c r="F997" i="7" a="1"/>
  <c r="F997" i="7" s="1"/>
  <c r="E997" i="7"/>
  <c r="D997" i="7"/>
  <c r="B997" i="7"/>
  <c r="A997" i="7" a="1"/>
  <c r="A997" i="7" s="1"/>
  <c r="I996" i="7"/>
  <c r="H996" i="7"/>
  <c r="F996" i="7" a="1"/>
  <c r="F996" i="7" s="1"/>
  <c r="E996" i="7"/>
  <c r="D996" i="7"/>
  <c r="B996" i="7"/>
  <c r="A996" i="7" a="1"/>
  <c r="A996" i="7" s="1"/>
  <c r="I995" i="7"/>
  <c r="H995" i="7"/>
  <c r="F995" i="7" a="1"/>
  <c r="F995" i="7" s="1"/>
  <c r="E995" i="7"/>
  <c r="D995" i="7"/>
  <c r="B995" i="7"/>
  <c r="A995" i="7" a="1"/>
  <c r="A995" i="7" s="1"/>
  <c r="I994" i="7"/>
  <c r="H994" i="7"/>
  <c r="F994" i="7" a="1"/>
  <c r="F994" i="7" s="1"/>
  <c r="E994" i="7"/>
  <c r="D994" i="7"/>
  <c r="B994" i="7"/>
  <c r="A994" i="7" a="1"/>
  <c r="A994" i="7" s="1"/>
  <c r="I993" i="7"/>
  <c r="H993" i="7"/>
  <c r="F993" i="7" a="1"/>
  <c r="F993" i="7" s="1"/>
  <c r="E993" i="7"/>
  <c r="D993" i="7"/>
  <c r="B993" i="7"/>
  <c r="A993" i="7" a="1"/>
  <c r="A993" i="7" s="1"/>
  <c r="I992" i="7"/>
  <c r="H992" i="7"/>
  <c r="F992" i="7" a="1"/>
  <c r="F992" i="7" s="1"/>
  <c r="E992" i="7"/>
  <c r="D992" i="7"/>
  <c r="B992" i="7"/>
  <c r="A992" i="7" a="1"/>
  <c r="A992" i="7" s="1"/>
  <c r="I991" i="7"/>
  <c r="H991" i="7"/>
  <c r="F991" i="7" a="1"/>
  <c r="F991" i="7" s="1"/>
  <c r="E991" i="7"/>
  <c r="D991" i="7"/>
  <c r="B991" i="7"/>
  <c r="A991" i="7" a="1"/>
  <c r="A991" i="7" s="1"/>
  <c r="I990" i="7"/>
  <c r="H990" i="7"/>
  <c r="F990" i="7" a="1"/>
  <c r="F990" i="7" s="1"/>
  <c r="E990" i="7"/>
  <c r="D990" i="7"/>
  <c r="B990" i="7"/>
  <c r="A990" i="7" a="1"/>
  <c r="A990" i="7" s="1"/>
  <c r="I989" i="7"/>
  <c r="H989" i="7"/>
  <c r="F989" i="7" a="1"/>
  <c r="F989" i="7" s="1"/>
  <c r="E989" i="7"/>
  <c r="D989" i="7"/>
  <c r="B989" i="7"/>
  <c r="A989" i="7" a="1"/>
  <c r="A989" i="7" s="1"/>
  <c r="I988" i="7"/>
  <c r="H988" i="7"/>
  <c r="F988" i="7" a="1"/>
  <c r="F988" i="7" s="1"/>
  <c r="E988" i="7"/>
  <c r="D988" i="7"/>
  <c r="B988" i="7"/>
  <c r="A988" i="7" a="1"/>
  <c r="A988" i="7" s="1"/>
  <c r="I987" i="7"/>
  <c r="H987" i="7"/>
  <c r="F987" i="7" a="1"/>
  <c r="F987" i="7" s="1"/>
  <c r="E987" i="7"/>
  <c r="D987" i="7"/>
  <c r="B987" i="7"/>
  <c r="A987" i="7" a="1"/>
  <c r="A987" i="7" s="1"/>
  <c r="I986" i="7"/>
  <c r="H986" i="7"/>
  <c r="F986" i="7" a="1"/>
  <c r="F986" i="7" s="1"/>
  <c r="E986" i="7"/>
  <c r="D986" i="7"/>
  <c r="B986" i="7"/>
  <c r="A986" i="7" a="1"/>
  <c r="A986" i="7" s="1"/>
  <c r="I985" i="7"/>
  <c r="H985" i="7"/>
  <c r="F985" i="7" a="1"/>
  <c r="F985" i="7" s="1"/>
  <c r="E985" i="7"/>
  <c r="D985" i="7"/>
  <c r="B985" i="7"/>
  <c r="A985" i="7" a="1"/>
  <c r="A985" i="7" s="1"/>
  <c r="I984" i="7"/>
  <c r="H984" i="7"/>
  <c r="F984" i="7" a="1"/>
  <c r="F984" i="7" s="1"/>
  <c r="E984" i="7"/>
  <c r="D984" i="7"/>
  <c r="B984" i="7"/>
  <c r="A984" i="7" a="1"/>
  <c r="A984" i="7" s="1"/>
  <c r="I983" i="7"/>
  <c r="H983" i="7"/>
  <c r="F983" i="7" a="1"/>
  <c r="F983" i="7" s="1"/>
  <c r="E983" i="7"/>
  <c r="D983" i="7"/>
  <c r="B983" i="7"/>
  <c r="A983" i="7" a="1"/>
  <c r="A983" i="7" s="1"/>
  <c r="I982" i="7"/>
  <c r="H982" i="7"/>
  <c r="F982" i="7" a="1"/>
  <c r="F982" i="7" s="1"/>
  <c r="E982" i="7"/>
  <c r="D982" i="7"/>
  <c r="B982" i="7"/>
  <c r="A982" i="7" a="1"/>
  <c r="A982" i="7" s="1"/>
  <c r="I981" i="7"/>
  <c r="H981" i="7"/>
  <c r="F981" i="7" a="1"/>
  <c r="F981" i="7" s="1"/>
  <c r="E981" i="7"/>
  <c r="D981" i="7"/>
  <c r="B981" i="7"/>
  <c r="A981" i="7" a="1"/>
  <c r="A981" i="7" s="1"/>
  <c r="I980" i="7"/>
  <c r="H980" i="7"/>
  <c r="F980" i="7" a="1"/>
  <c r="F980" i="7" s="1"/>
  <c r="E980" i="7"/>
  <c r="D980" i="7"/>
  <c r="B980" i="7"/>
  <c r="A980" i="7" a="1"/>
  <c r="A980" i="7" s="1"/>
  <c r="I979" i="7"/>
  <c r="H979" i="7"/>
  <c r="F979" i="7" a="1"/>
  <c r="F979" i="7" s="1"/>
  <c r="E979" i="7"/>
  <c r="D979" i="7"/>
  <c r="B979" i="7"/>
  <c r="A979" i="7" a="1"/>
  <c r="A979" i="7" s="1"/>
  <c r="I978" i="7"/>
  <c r="H978" i="7"/>
  <c r="F978" i="7" a="1"/>
  <c r="F978" i="7" s="1"/>
  <c r="E978" i="7"/>
  <c r="D978" i="7"/>
  <c r="B978" i="7"/>
  <c r="A978" i="7" a="1"/>
  <c r="A978" i="7" s="1"/>
  <c r="I977" i="7"/>
  <c r="H977" i="7"/>
  <c r="F977" i="7" a="1"/>
  <c r="F977" i="7" s="1"/>
  <c r="E977" i="7"/>
  <c r="D977" i="7"/>
  <c r="B977" i="7"/>
  <c r="A977" i="7" a="1"/>
  <c r="A977" i="7" s="1"/>
  <c r="I976" i="7"/>
  <c r="H976" i="7"/>
  <c r="F976" i="7" a="1"/>
  <c r="F976" i="7" s="1"/>
  <c r="E976" i="7"/>
  <c r="D976" i="7"/>
  <c r="B976" i="7"/>
  <c r="A976" i="7" a="1"/>
  <c r="A976" i="7" s="1"/>
  <c r="I975" i="7"/>
  <c r="H975" i="7"/>
  <c r="F975" i="7" a="1"/>
  <c r="F975" i="7" s="1"/>
  <c r="E975" i="7"/>
  <c r="D975" i="7"/>
  <c r="B975" i="7"/>
  <c r="A975" i="7" a="1"/>
  <c r="A975" i="7" s="1"/>
  <c r="I974" i="7"/>
  <c r="H974" i="7"/>
  <c r="F974" i="7" a="1"/>
  <c r="F974" i="7" s="1"/>
  <c r="E974" i="7"/>
  <c r="D974" i="7"/>
  <c r="B974" i="7"/>
  <c r="A974" i="7" a="1"/>
  <c r="A974" i="7" s="1"/>
  <c r="I973" i="7"/>
  <c r="H973" i="7"/>
  <c r="F973" i="7" a="1"/>
  <c r="F973" i="7" s="1"/>
  <c r="E973" i="7"/>
  <c r="D973" i="7"/>
  <c r="B973" i="7"/>
  <c r="A973" i="7" a="1"/>
  <c r="A973" i="7" s="1"/>
  <c r="I972" i="7"/>
  <c r="H972" i="7"/>
  <c r="F972" i="7" a="1"/>
  <c r="F972" i="7" s="1"/>
  <c r="E972" i="7"/>
  <c r="D972" i="7"/>
  <c r="B972" i="7"/>
  <c r="A972" i="7" a="1"/>
  <c r="A972" i="7" s="1"/>
  <c r="I971" i="7"/>
  <c r="H971" i="7"/>
  <c r="F971" i="7" a="1"/>
  <c r="F971" i="7" s="1"/>
  <c r="E971" i="7"/>
  <c r="D971" i="7"/>
  <c r="B971" i="7"/>
  <c r="A971" i="7" a="1"/>
  <c r="A971" i="7" s="1"/>
  <c r="I970" i="7"/>
  <c r="H970" i="7"/>
  <c r="F970" i="7" a="1"/>
  <c r="F970" i="7" s="1"/>
  <c r="E970" i="7"/>
  <c r="D970" i="7"/>
  <c r="B970" i="7"/>
  <c r="A970" i="7" a="1"/>
  <c r="A970" i="7" s="1"/>
  <c r="I969" i="7"/>
  <c r="H969" i="7"/>
  <c r="F969" i="7" a="1"/>
  <c r="F969" i="7" s="1"/>
  <c r="E969" i="7"/>
  <c r="D969" i="7"/>
  <c r="B969" i="7"/>
  <c r="A969" i="7" a="1"/>
  <c r="A969" i="7" s="1"/>
  <c r="I968" i="7"/>
  <c r="H968" i="7"/>
  <c r="F968" i="7" a="1"/>
  <c r="F968" i="7" s="1"/>
  <c r="E968" i="7"/>
  <c r="D968" i="7"/>
  <c r="B968" i="7"/>
  <c r="A968" i="7" a="1"/>
  <c r="A968" i="7" s="1"/>
  <c r="I967" i="7"/>
  <c r="H967" i="7"/>
  <c r="F967" i="7" a="1"/>
  <c r="F967" i="7" s="1"/>
  <c r="E967" i="7"/>
  <c r="D967" i="7"/>
  <c r="B967" i="7"/>
  <c r="A967" i="7" a="1"/>
  <c r="A967" i="7" s="1"/>
  <c r="I966" i="7"/>
  <c r="H966" i="7"/>
  <c r="F966" i="7" a="1"/>
  <c r="F966" i="7" s="1"/>
  <c r="E966" i="7"/>
  <c r="D966" i="7"/>
  <c r="B966" i="7"/>
  <c r="A966" i="7" a="1"/>
  <c r="A966" i="7" s="1"/>
  <c r="I965" i="7"/>
  <c r="H965" i="7"/>
  <c r="F965" i="7" a="1"/>
  <c r="F965" i="7" s="1"/>
  <c r="E965" i="7"/>
  <c r="D965" i="7"/>
  <c r="B965" i="7"/>
  <c r="A965" i="7" a="1"/>
  <c r="A965" i="7" s="1"/>
  <c r="I964" i="7"/>
  <c r="H964" i="7"/>
  <c r="F964" i="7" a="1"/>
  <c r="F964" i="7" s="1"/>
  <c r="E964" i="7"/>
  <c r="D964" i="7"/>
  <c r="B964" i="7"/>
  <c r="A964" i="7" a="1"/>
  <c r="A964" i="7" s="1"/>
  <c r="I963" i="7"/>
  <c r="H963" i="7"/>
  <c r="F963" i="7" a="1"/>
  <c r="F963" i="7" s="1"/>
  <c r="E963" i="7"/>
  <c r="D963" i="7"/>
  <c r="B963" i="7"/>
  <c r="A963" i="7" a="1"/>
  <c r="A963" i="7" s="1"/>
  <c r="I962" i="7"/>
  <c r="H962" i="7"/>
  <c r="F962" i="7" a="1"/>
  <c r="F962" i="7" s="1"/>
  <c r="E962" i="7"/>
  <c r="D962" i="7"/>
  <c r="B962" i="7"/>
  <c r="A962" i="7" a="1"/>
  <c r="A962" i="7" s="1"/>
  <c r="I961" i="7"/>
  <c r="H961" i="7"/>
  <c r="F961" i="7" a="1"/>
  <c r="F961" i="7" s="1"/>
  <c r="E961" i="7"/>
  <c r="D961" i="7"/>
  <c r="B961" i="7"/>
  <c r="A961" i="7" a="1"/>
  <c r="A961" i="7" s="1"/>
  <c r="I960" i="7"/>
  <c r="H960" i="7"/>
  <c r="F960" i="7" a="1"/>
  <c r="F960" i="7" s="1"/>
  <c r="E960" i="7"/>
  <c r="D960" i="7"/>
  <c r="B960" i="7"/>
  <c r="A960" i="7" a="1"/>
  <c r="A960" i="7" s="1"/>
  <c r="I959" i="7"/>
  <c r="H959" i="7"/>
  <c r="F959" i="7" a="1"/>
  <c r="F959" i="7" s="1"/>
  <c r="E959" i="7"/>
  <c r="D959" i="7"/>
  <c r="B959" i="7"/>
  <c r="A959" i="7" a="1"/>
  <c r="A959" i="7" s="1"/>
  <c r="I958" i="7"/>
  <c r="H958" i="7"/>
  <c r="F958" i="7" a="1"/>
  <c r="F958" i="7" s="1"/>
  <c r="E958" i="7"/>
  <c r="D958" i="7"/>
  <c r="B958" i="7"/>
  <c r="A958" i="7" a="1"/>
  <c r="A958" i="7" s="1"/>
  <c r="I957" i="7"/>
  <c r="H957" i="7"/>
  <c r="F957" i="7" a="1"/>
  <c r="F957" i="7" s="1"/>
  <c r="E957" i="7"/>
  <c r="D957" i="7"/>
  <c r="B957" i="7"/>
  <c r="A957" i="7" a="1"/>
  <c r="A957" i="7" s="1"/>
  <c r="I956" i="7"/>
  <c r="H956" i="7"/>
  <c r="F956" i="7" a="1"/>
  <c r="F956" i="7" s="1"/>
  <c r="E956" i="7"/>
  <c r="D956" i="7"/>
  <c r="B956" i="7"/>
  <c r="A956" i="7" a="1"/>
  <c r="A956" i="7" s="1"/>
  <c r="I955" i="7"/>
  <c r="H955" i="7"/>
  <c r="F955" i="7" a="1"/>
  <c r="F955" i="7" s="1"/>
  <c r="E955" i="7"/>
  <c r="D955" i="7"/>
  <c r="B955" i="7"/>
  <c r="A955" i="7" a="1"/>
  <c r="A955" i="7" s="1"/>
  <c r="I954" i="7"/>
  <c r="H954" i="7"/>
  <c r="F954" i="7" a="1"/>
  <c r="F954" i="7" s="1"/>
  <c r="E954" i="7"/>
  <c r="D954" i="7"/>
  <c r="B954" i="7"/>
  <c r="A954" i="7" a="1"/>
  <c r="A954" i="7" s="1"/>
  <c r="I953" i="7"/>
  <c r="H953" i="7"/>
  <c r="F953" i="7" a="1"/>
  <c r="F953" i="7" s="1"/>
  <c r="E953" i="7"/>
  <c r="D953" i="7"/>
  <c r="B953" i="7"/>
  <c r="A953" i="7" a="1"/>
  <c r="A953" i="7" s="1"/>
  <c r="I952" i="7"/>
  <c r="H952" i="7"/>
  <c r="F952" i="7" a="1"/>
  <c r="F952" i="7" s="1"/>
  <c r="E952" i="7"/>
  <c r="D952" i="7"/>
  <c r="B952" i="7"/>
  <c r="A952" i="7" a="1"/>
  <c r="A952" i="7" s="1"/>
  <c r="I951" i="7"/>
  <c r="H951" i="7"/>
  <c r="F951" i="7" a="1"/>
  <c r="F951" i="7" s="1"/>
  <c r="E951" i="7"/>
  <c r="D951" i="7"/>
  <c r="B951" i="7"/>
  <c r="A951" i="7" a="1"/>
  <c r="A951" i="7" s="1"/>
  <c r="I950" i="7"/>
  <c r="H950" i="7"/>
  <c r="F950" i="7" a="1"/>
  <c r="F950" i="7" s="1"/>
  <c r="E950" i="7"/>
  <c r="D950" i="7"/>
  <c r="B950" i="7"/>
  <c r="A950" i="7" a="1"/>
  <c r="A950" i="7" s="1"/>
  <c r="I949" i="7"/>
  <c r="H949" i="7"/>
  <c r="F949" i="7" a="1"/>
  <c r="F949" i="7" s="1"/>
  <c r="E949" i="7"/>
  <c r="D949" i="7"/>
  <c r="B949" i="7"/>
  <c r="A949" i="7" a="1"/>
  <c r="A949" i="7" s="1"/>
  <c r="I948" i="7"/>
  <c r="H948" i="7"/>
  <c r="F948" i="7" a="1"/>
  <c r="F948" i="7" s="1"/>
  <c r="E948" i="7"/>
  <c r="D948" i="7"/>
  <c r="B948" i="7"/>
  <c r="A948" i="7" a="1"/>
  <c r="A948" i="7" s="1"/>
  <c r="I947" i="7"/>
  <c r="H947" i="7"/>
  <c r="F947" i="7" a="1"/>
  <c r="F947" i="7" s="1"/>
  <c r="E947" i="7"/>
  <c r="D947" i="7"/>
  <c r="B947" i="7"/>
  <c r="A947" i="7" a="1"/>
  <c r="A947" i="7" s="1"/>
  <c r="I946" i="7"/>
  <c r="H946" i="7"/>
  <c r="F946" i="7" a="1"/>
  <c r="F946" i="7" s="1"/>
  <c r="E946" i="7"/>
  <c r="D946" i="7"/>
  <c r="B946" i="7"/>
  <c r="A946" i="7" a="1"/>
  <c r="A946" i="7" s="1"/>
  <c r="I945" i="7"/>
  <c r="H945" i="7"/>
  <c r="F945" i="7" a="1"/>
  <c r="F945" i="7" s="1"/>
  <c r="E945" i="7"/>
  <c r="D945" i="7"/>
  <c r="B945" i="7"/>
  <c r="A945" i="7" a="1"/>
  <c r="A945" i="7" s="1"/>
  <c r="I944" i="7"/>
  <c r="H944" i="7"/>
  <c r="F944" i="7" a="1"/>
  <c r="F944" i="7" s="1"/>
  <c r="E944" i="7"/>
  <c r="D944" i="7"/>
  <c r="B944" i="7"/>
  <c r="A944" i="7" a="1"/>
  <c r="A944" i="7" s="1"/>
  <c r="I943" i="7"/>
  <c r="H943" i="7"/>
  <c r="F943" i="7" a="1"/>
  <c r="F943" i="7" s="1"/>
  <c r="E943" i="7"/>
  <c r="D943" i="7"/>
  <c r="B943" i="7"/>
  <c r="A943" i="7" a="1"/>
  <c r="A943" i="7" s="1"/>
  <c r="I942" i="7"/>
  <c r="H942" i="7"/>
  <c r="F942" i="7" a="1"/>
  <c r="F942" i="7" s="1"/>
  <c r="E942" i="7"/>
  <c r="D942" i="7"/>
  <c r="B942" i="7"/>
  <c r="A942" i="7" a="1"/>
  <c r="A942" i="7" s="1"/>
  <c r="I941" i="7"/>
  <c r="H941" i="7"/>
  <c r="F941" i="7" a="1"/>
  <c r="F941" i="7" s="1"/>
  <c r="E941" i="7"/>
  <c r="D941" i="7"/>
  <c r="B941" i="7"/>
  <c r="A941" i="7" a="1"/>
  <c r="A941" i="7" s="1"/>
  <c r="I940" i="7"/>
  <c r="H940" i="7"/>
  <c r="F940" i="7" a="1"/>
  <c r="F940" i="7" s="1"/>
  <c r="E940" i="7"/>
  <c r="D940" i="7"/>
  <c r="B940" i="7"/>
  <c r="A940" i="7" a="1"/>
  <c r="A940" i="7" s="1"/>
  <c r="I939" i="7"/>
  <c r="H939" i="7"/>
  <c r="F939" i="7" a="1"/>
  <c r="F939" i="7" s="1"/>
  <c r="E939" i="7"/>
  <c r="D939" i="7"/>
  <c r="B939" i="7"/>
  <c r="A939" i="7" a="1"/>
  <c r="A939" i="7" s="1"/>
  <c r="I938" i="7"/>
  <c r="H938" i="7"/>
  <c r="F938" i="7" a="1"/>
  <c r="F938" i="7" s="1"/>
  <c r="E938" i="7"/>
  <c r="D938" i="7"/>
  <c r="B938" i="7"/>
  <c r="A938" i="7" a="1"/>
  <c r="A938" i="7" s="1"/>
  <c r="I937" i="7"/>
  <c r="H937" i="7"/>
  <c r="F937" i="7" a="1"/>
  <c r="F937" i="7" s="1"/>
  <c r="E937" i="7"/>
  <c r="D937" i="7"/>
  <c r="B937" i="7"/>
  <c r="A937" i="7" a="1"/>
  <c r="A937" i="7" s="1"/>
  <c r="I936" i="7"/>
  <c r="H936" i="7"/>
  <c r="F936" i="7" a="1"/>
  <c r="F936" i="7" s="1"/>
  <c r="E936" i="7"/>
  <c r="D936" i="7"/>
  <c r="B936" i="7"/>
  <c r="A936" i="7" a="1"/>
  <c r="A936" i="7" s="1"/>
  <c r="I935" i="7"/>
  <c r="H935" i="7"/>
  <c r="F935" i="7" a="1"/>
  <c r="F935" i="7" s="1"/>
  <c r="E935" i="7"/>
  <c r="D935" i="7"/>
  <c r="B935" i="7"/>
  <c r="A935" i="7" a="1"/>
  <c r="A935" i="7" s="1"/>
  <c r="I934" i="7"/>
  <c r="H934" i="7"/>
  <c r="F934" i="7" a="1"/>
  <c r="F934" i="7" s="1"/>
  <c r="E934" i="7"/>
  <c r="D934" i="7"/>
  <c r="B934" i="7"/>
  <c r="A934" i="7" a="1"/>
  <c r="A934" i="7" s="1"/>
  <c r="I933" i="7"/>
  <c r="H933" i="7"/>
  <c r="F933" i="7" a="1"/>
  <c r="F933" i="7" s="1"/>
  <c r="E933" i="7"/>
  <c r="D933" i="7"/>
  <c r="B933" i="7"/>
  <c r="A933" i="7" a="1"/>
  <c r="A933" i="7" s="1"/>
  <c r="I932" i="7"/>
  <c r="H932" i="7"/>
  <c r="F932" i="7" a="1"/>
  <c r="F932" i="7" s="1"/>
  <c r="E932" i="7"/>
  <c r="D932" i="7"/>
  <c r="B932" i="7"/>
  <c r="A932" i="7" a="1"/>
  <c r="A932" i="7" s="1"/>
  <c r="I931" i="7"/>
  <c r="H931" i="7"/>
  <c r="F931" i="7" a="1"/>
  <c r="F931" i="7" s="1"/>
  <c r="E931" i="7"/>
  <c r="D931" i="7"/>
  <c r="B931" i="7"/>
  <c r="A931" i="7" a="1"/>
  <c r="A931" i="7" s="1"/>
  <c r="I930" i="7"/>
  <c r="H930" i="7"/>
  <c r="F930" i="7" a="1"/>
  <c r="F930" i="7" s="1"/>
  <c r="E930" i="7"/>
  <c r="D930" i="7"/>
  <c r="B930" i="7"/>
  <c r="A930" i="7" a="1"/>
  <c r="A930" i="7" s="1"/>
  <c r="I929" i="7"/>
  <c r="H929" i="7"/>
  <c r="F929" i="7" a="1"/>
  <c r="F929" i="7" s="1"/>
  <c r="E929" i="7"/>
  <c r="D929" i="7"/>
  <c r="B929" i="7"/>
  <c r="A929" i="7" a="1"/>
  <c r="A929" i="7" s="1"/>
  <c r="I928" i="7"/>
  <c r="H928" i="7"/>
  <c r="F928" i="7" a="1"/>
  <c r="F928" i="7" s="1"/>
  <c r="E928" i="7"/>
  <c r="D928" i="7"/>
  <c r="B928" i="7"/>
  <c r="A928" i="7" a="1"/>
  <c r="A928" i="7" s="1"/>
  <c r="I927" i="7"/>
  <c r="H927" i="7"/>
  <c r="F927" i="7" a="1"/>
  <c r="F927" i="7" s="1"/>
  <c r="E927" i="7"/>
  <c r="D927" i="7"/>
  <c r="B927" i="7"/>
  <c r="A927" i="7" a="1"/>
  <c r="A927" i="7" s="1"/>
  <c r="I926" i="7"/>
  <c r="H926" i="7"/>
  <c r="F926" i="7" a="1"/>
  <c r="F926" i="7" s="1"/>
  <c r="E926" i="7"/>
  <c r="D926" i="7"/>
  <c r="B926" i="7"/>
  <c r="A926" i="7" a="1"/>
  <c r="A926" i="7" s="1"/>
  <c r="I925" i="7"/>
  <c r="H925" i="7"/>
  <c r="F925" i="7" a="1"/>
  <c r="F925" i="7" s="1"/>
  <c r="E925" i="7"/>
  <c r="D925" i="7"/>
  <c r="B925" i="7"/>
  <c r="A925" i="7" a="1"/>
  <c r="A925" i="7" s="1"/>
  <c r="I924" i="7"/>
  <c r="H924" i="7"/>
  <c r="F924" i="7" a="1"/>
  <c r="F924" i="7" s="1"/>
  <c r="E924" i="7"/>
  <c r="D924" i="7"/>
  <c r="B924" i="7"/>
  <c r="A924" i="7" a="1"/>
  <c r="A924" i="7" s="1"/>
  <c r="I923" i="7"/>
  <c r="H923" i="7"/>
  <c r="F923" i="7" a="1"/>
  <c r="F923" i="7" s="1"/>
  <c r="E923" i="7"/>
  <c r="D923" i="7"/>
  <c r="B923" i="7"/>
  <c r="A923" i="7" a="1"/>
  <c r="A923" i="7" s="1"/>
  <c r="I922" i="7"/>
  <c r="H922" i="7"/>
  <c r="F922" i="7" a="1"/>
  <c r="F922" i="7" s="1"/>
  <c r="E922" i="7"/>
  <c r="D922" i="7"/>
  <c r="B922" i="7"/>
  <c r="A922" i="7" a="1"/>
  <c r="A922" i="7" s="1"/>
  <c r="I921" i="7"/>
  <c r="H921" i="7"/>
  <c r="F921" i="7" a="1"/>
  <c r="F921" i="7" s="1"/>
  <c r="E921" i="7"/>
  <c r="D921" i="7"/>
  <c r="B921" i="7"/>
  <c r="A921" i="7" a="1"/>
  <c r="A921" i="7" s="1"/>
  <c r="I920" i="7"/>
  <c r="H920" i="7"/>
  <c r="F920" i="7" a="1"/>
  <c r="F920" i="7" s="1"/>
  <c r="E920" i="7"/>
  <c r="D920" i="7"/>
  <c r="B920" i="7"/>
  <c r="A920" i="7" a="1"/>
  <c r="A920" i="7" s="1"/>
  <c r="I919" i="7"/>
  <c r="H919" i="7"/>
  <c r="F919" i="7" a="1"/>
  <c r="F919" i="7" s="1"/>
  <c r="E919" i="7"/>
  <c r="D919" i="7"/>
  <c r="B919" i="7"/>
  <c r="A919" i="7" a="1"/>
  <c r="A919" i="7" s="1"/>
  <c r="I918" i="7"/>
  <c r="H918" i="7"/>
  <c r="F918" i="7" a="1"/>
  <c r="F918" i="7" s="1"/>
  <c r="E918" i="7"/>
  <c r="D918" i="7"/>
  <c r="B918" i="7"/>
  <c r="A918" i="7" a="1"/>
  <c r="A918" i="7" s="1"/>
  <c r="I917" i="7"/>
  <c r="H917" i="7"/>
  <c r="F917" i="7" a="1"/>
  <c r="F917" i="7" s="1"/>
  <c r="E917" i="7"/>
  <c r="D917" i="7"/>
  <c r="B917" i="7"/>
  <c r="A917" i="7" a="1"/>
  <c r="A917" i="7" s="1"/>
  <c r="I916" i="7"/>
  <c r="H916" i="7"/>
  <c r="F916" i="7" a="1"/>
  <c r="F916" i="7" s="1"/>
  <c r="E916" i="7"/>
  <c r="D916" i="7"/>
  <c r="B916" i="7"/>
  <c r="A916" i="7" a="1"/>
  <c r="A916" i="7" s="1"/>
  <c r="I915" i="7"/>
  <c r="H915" i="7"/>
  <c r="F915" i="7" a="1"/>
  <c r="F915" i="7" s="1"/>
  <c r="E915" i="7"/>
  <c r="D915" i="7"/>
  <c r="B915" i="7"/>
  <c r="A915" i="7" a="1"/>
  <c r="A915" i="7" s="1"/>
  <c r="I914" i="7"/>
  <c r="H914" i="7"/>
  <c r="F914" i="7" a="1"/>
  <c r="F914" i="7" s="1"/>
  <c r="E914" i="7"/>
  <c r="D914" i="7"/>
  <c r="B914" i="7"/>
  <c r="A914" i="7" a="1"/>
  <c r="A914" i="7" s="1"/>
  <c r="I913" i="7"/>
  <c r="H913" i="7"/>
  <c r="F913" i="7" a="1"/>
  <c r="F913" i="7" s="1"/>
  <c r="E913" i="7"/>
  <c r="D913" i="7"/>
  <c r="B913" i="7"/>
  <c r="A913" i="7" a="1"/>
  <c r="A913" i="7" s="1"/>
  <c r="I912" i="7"/>
  <c r="H912" i="7"/>
  <c r="F912" i="7" a="1"/>
  <c r="F912" i="7" s="1"/>
  <c r="E912" i="7"/>
  <c r="D912" i="7"/>
  <c r="B912" i="7"/>
  <c r="A912" i="7" a="1"/>
  <c r="A912" i="7" s="1"/>
  <c r="I911" i="7"/>
  <c r="H911" i="7"/>
  <c r="F911" i="7" a="1"/>
  <c r="F911" i="7" s="1"/>
  <c r="E911" i="7"/>
  <c r="D911" i="7"/>
  <c r="B911" i="7"/>
  <c r="A911" i="7" a="1"/>
  <c r="A911" i="7" s="1"/>
  <c r="I910" i="7"/>
  <c r="H910" i="7"/>
  <c r="F910" i="7" a="1"/>
  <c r="F910" i="7" s="1"/>
  <c r="E910" i="7"/>
  <c r="D910" i="7"/>
  <c r="B910" i="7"/>
  <c r="A910" i="7" a="1"/>
  <c r="A910" i="7" s="1"/>
  <c r="I909" i="7"/>
  <c r="H909" i="7"/>
  <c r="F909" i="7" a="1"/>
  <c r="F909" i="7" s="1"/>
  <c r="E909" i="7"/>
  <c r="D909" i="7"/>
  <c r="B909" i="7"/>
  <c r="A909" i="7" a="1"/>
  <c r="A909" i="7" s="1"/>
  <c r="I908" i="7"/>
  <c r="H908" i="7"/>
  <c r="F908" i="7" a="1"/>
  <c r="F908" i="7" s="1"/>
  <c r="E908" i="7"/>
  <c r="D908" i="7"/>
  <c r="B908" i="7"/>
  <c r="A908" i="7" a="1"/>
  <c r="A908" i="7" s="1"/>
  <c r="I907" i="7"/>
  <c r="H907" i="7"/>
  <c r="F907" i="7" a="1"/>
  <c r="F907" i="7" s="1"/>
  <c r="E907" i="7"/>
  <c r="D907" i="7"/>
  <c r="B907" i="7"/>
  <c r="A907" i="7" a="1"/>
  <c r="A907" i="7" s="1"/>
  <c r="I906" i="7"/>
  <c r="H906" i="7"/>
  <c r="F906" i="7" a="1"/>
  <c r="F906" i="7" s="1"/>
  <c r="E906" i="7"/>
  <c r="D906" i="7"/>
  <c r="B906" i="7"/>
  <c r="A906" i="7" a="1"/>
  <c r="A906" i="7" s="1"/>
  <c r="I905" i="7"/>
  <c r="H905" i="7"/>
  <c r="F905" i="7" a="1"/>
  <c r="F905" i="7" s="1"/>
  <c r="E905" i="7"/>
  <c r="D905" i="7"/>
  <c r="B905" i="7"/>
  <c r="A905" i="7" a="1"/>
  <c r="A905" i="7" s="1"/>
  <c r="I904" i="7"/>
  <c r="H904" i="7"/>
  <c r="F904" i="7" a="1"/>
  <c r="F904" i="7" s="1"/>
  <c r="E904" i="7"/>
  <c r="D904" i="7"/>
  <c r="B904" i="7"/>
  <c r="A904" i="7" a="1"/>
  <c r="A904" i="7" s="1"/>
  <c r="I903" i="7"/>
  <c r="H903" i="7"/>
  <c r="F903" i="7" a="1"/>
  <c r="F903" i="7" s="1"/>
  <c r="E903" i="7"/>
  <c r="D903" i="7"/>
  <c r="B903" i="7"/>
  <c r="A903" i="7" a="1"/>
  <c r="A903" i="7" s="1"/>
  <c r="I902" i="7"/>
  <c r="H902" i="7"/>
  <c r="F902" i="7" a="1"/>
  <c r="F902" i="7" s="1"/>
  <c r="E902" i="7"/>
  <c r="D902" i="7"/>
  <c r="B902" i="7"/>
  <c r="A902" i="7" a="1"/>
  <c r="A902" i="7" s="1"/>
  <c r="I901" i="7"/>
  <c r="H901" i="7"/>
  <c r="F901" i="7" a="1"/>
  <c r="F901" i="7" s="1"/>
  <c r="E901" i="7"/>
  <c r="D901" i="7"/>
  <c r="B901" i="7"/>
  <c r="A901" i="7" a="1"/>
  <c r="A901" i="7" s="1"/>
  <c r="I900" i="7"/>
  <c r="H900" i="7"/>
  <c r="F900" i="7" a="1"/>
  <c r="F900" i="7" s="1"/>
  <c r="E900" i="7"/>
  <c r="D900" i="7"/>
  <c r="B900" i="7"/>
  <c r="A900" i="7" a="1"/>
  <c r="A900" i="7" s="1"/>
  <c r="I899" i="7"/>
  <c r="H899" i="7"/>
  <c r="F899" i="7" a="1"/>
  <c r="F899" i="7" s="1"/>
  <c r="E899" i="7"/>
  <c r="D899" i="7"/>
  <c r="B899" i="7"/>
  <c r="A899" i="7" a="1"/>
  <c r="A899" i="7" s="1"/>
  <c r="I898" i="7"/>
  <c r="H898" i="7"/>
  <c r="F898" i="7" a="1"/>
  <c r="F898" i="7" s="1"/>
  <c r="E898" i="7"/>
  <c r="D898" i="7"/>
  <c r="B898" i="7"/>
  <c r="A898" i="7" a="1"/>
  <c r="A898" i="7" s="1"/>
  <c r="I897" i="7"/>
  <c r="H897" i="7"/>
  <c r="F897" i="7" a="1"/>
  <c r="F897" i="7" s="1"/>
  <c r="E897" i="7"/>
  <c r="D897" i="7"/>
  <c r="B897" i="7"/>
  <c r="A897" i="7" a="1"/>
  <c r="A897" i="7" s="1"/>
  <c r="I896" i="7"/>
  <c r="H896" i="7"/>
  <c r="F896" i="7" a="1"/>
  <c r="F896" i="7" s="1"/>
  <c r="E896" i="7"/>
  <c r="D896" i="7"/>
  <c r="B896" i="7"/>
  <c r="A896" i="7" a="1"/>
  <c r="A896" i="7" s="1"/>
  <c r="I895" i="7"/>
  <c r="H895" i="7"/>
  <c r="F895" i="7" a="1"/>
  <c r="F895" i="7" s="1"/>
  <c r="E895" i="7"/>
  <c r="D895" i="7"/>
  <c r="B895" i="7"/>
  <c r="A895" i="7" a="1"/>
  <c r="A895" i="7" s="1"/>
  <c r="I894" i="7"/>
  <c r="H894" i="7"/>
  <c r="F894" i="7" a="1"/>
  <c r="F894" i="7" s="1"/>
  <c r="E894" i="7"/>
  <c r="D894" i="7"/>
  <c r="B894" i="7"/>
  <c r="A894" i="7" a="1"/>
  <c r="A894" i="7" s="1"/>
  <c r="I893" i="7"/>
  <c r="H893" i="7"/>
  <c r="F893" i="7" a="1"/>
  <c r="F893" i="7" s="1"/>
  <c r="E893" i="7"/>
  <c r="D893" i="7"/>
  <c r="B893" i="7"/>
  <c r="A893" i="7" a="1"/>
  <c r="A893" i="7" s="1"/>
  <c r="I892" i="7"/>
  <c r="H892" i="7"/>
  <c r="F892" i="7" a="1"/>
  <c r="F892" i="7" s="1"/>
  <c r="E892" i="7"/>
  <c r="D892" i="7"/>
  <c r="B892" i="7"/>
  <c r="A892" i="7" a="1"/>
  <c r="A892" i="7" s="1"/>
  <c r="I891" i="7"/>
  <c r="H891" i="7"/>
  <c r="F891" i="7" a="1"/>
  <c r="F891" i="7" s="1"/>
  <c r="E891" i="7"/>
  <c r="D891" i="7"/>
  <c r="B891" i="7"/>
  <c r="A891" i="7" a="1"/>
  <c r="A891" i="7" s="1"/>
  <c r="I890" i="7"/>
  <c r="H890" i="7"/>
  <c r="F890" i="7" a="1"/>
  <c r="F890" i="7" s="1"/>
  <c r="E890" i="7"/>
  <c r="D890" i="7"/>
  <c r="B890" i="7"/>
  <c r="A890" i="7" a="1"/>
  <c r="A890" i="7" s="1"/>
  <c r="I889" i="7"/>
  <c r="H889" i="7"/>
  <c r="F889" i="7" a="1"/>
  <c r="F889" i="7" s="1"/>
  <c r="E889" i="7"/>
  <c r="D889" i="7"/>
  <c r="B889" i="7"/>
  <c r="A889" i="7" a="1"/>
  <c r="A889" i="7" s="1"/>
  <c r="I888" i="7"/>
  <c r="H888" i="7"/>
  <c r="F888" i="7" a="1"/>
  <c r="F888" i="7" s="1"/>
  <c r="E888" i="7"/>
  <c r="D888" i="7"/>
  <c r="B888" i="7"/>
  <c r="A888" i="7" a="1"/>
  <c r="A888" i="7" s="1"/>
  <c r="I887" i="7"/>
  <c r="H887" i="7"/>
  <c r="F887" i="7" a="1"/>
  <c r="F887" i="7" s="1"/>
  <c r="E887" i="7"/>
  <c r="D887" i="7"/>
  <c r="B887" i="7"/>
  <c r="A887" i="7" a="1"/>
  <c r="A887" i="7" s="1"/>
  <c r="I886" i="7"/>
  <c r="H886" i="7"/>
  <c r="F886" i="7" a="1"/>
  <c r="F886" i="7" s="1"/>
  <c r="E886" i="7"/>
  <c r="D886" i="7"/>
  <c r="B886" i="7"/>
  <c r="A886" i="7" a="1"/>
  <c r="A886" i="7" s="1"/>
  <c r="I885" i="7"/>
  <c r="H885" i="7"/>
  <c r="F885" i="7" a="1"/>
  <c r="F885" i="7" s="1"/>
  <c r="E885" i="7"/>
  <c r="D885" i="7"/>
  <c r="B885" i="7"/>
  <c r="A885" i="7" a="1"/>
  <c r="A885" i="7" s="1"/>
  <c r="I884" i="7"/>
  <c r="H884" i="7"/>
  <c r="F884" i="7" a="1"/>
  <c r="F884" i="7" s="1"/>
  <c r="E884" i="7"/>
  <c r="D884" i="7"/>
  <c r="B884" i="7"/>
  <c r="A884" i="7" a="1"/>
  <c r="A884" i="7" s="1"/>
  <c r="I883" i="7"/>
  <c r="H883" i="7"/>
  <c r="F883" i="7" a="1"/>
  <c r="F883" i="7" s="1"/>
  <c r="E883" i="7"/>
  <c r="D883" i="7"/>
  <c r="B883" i="7"/>
  <c r="A883" i="7" a="1"/>
  <c r="A883" i="7" s="1"/>
  <c r="I882" i="7"/>
  <c r="H882" i="7"/>
  <c r="F882" i="7" a="1"/>
  <c r="F882" i="7" s="1"/>
  <c r="E882" i="7"/>
  <c r="D882" i="7"/>
  <c r="B882" i="7"/>
  <c r="A882" i="7" a="1"/>
  <c r="A882" i="7" s="1"/>
  <c r="I881" i="7"/>
  <c r="H881" i="7"/>
  <c r="F881" i="7" a="1"/>
  <c r="F881" i="7" s="1"/>
  <c r="E881" i="7"/>
  <c r="D881" i="7"/>
  <c r="B881" i="7"/>
  <c r="A881" i="7" a="1"/>
  <c r="A881" i="7" s="1"/>
  <c r="I880" i="7"/>
  <c r="H880" i="7"/>
  <c r="F880" i="7" a="1"/>
  <c r="F880" i="7" s="1"/>
  <c r="E880" i="7"/>
  <c r="D880" i="7"/>
  <c r="B880" i="7"/>
  <c r="A880" i="7" a="1"/>
  <c r="A880" i="7" s="1"/>
  <c r="I879" i="7"/>
  <c r="H879" i="7"/>
  <c r="F879" i="7" a="1"/>
  <c r="F879" i="7" s="1"/>
  <c r="E879" i="7"/>
  <c r="D879" i="7"/>
  <c r="B879" i="7"/>
  <c r="A879" i="7" a="1"/>
  <c r="A879" i="7" s="1"/>
  <c r="I878" i="7"/>
  <c r="H878" i="7"/>
  <c r="F878" i="7" a="1"/>
  <c r="F878" i="7" s="1"/>
  <c r="E878" i="7"/>
  <c r="D878" i="7"/>
  <c r="B878" i="7"/>
  <c r="A878" i="7" a="1"/>
  <c r="A878" i="7" s="1"/>
  <c r="I877" i="7"/>
  <c r="H877" i="7"/>
  <c r="F877" i="7" a="1"/>
  <c r="F877" i="7" s="1"/>
  <c r="E877" i="7"/>
  <c r="D877" i="7"/>
  <c r="B877" i="7"/>
  <c r="A877" i="7" a="1"/>
  <c r="A877" i="7" s="1"/>
  <c r="I876" i="7"/>
  <c r="H876" i="7"/>
  <c r="F876" i="7" a="1"/>
  <c r="F876" i="7" s="1"/>
  <c r="E876" i="7"/>
  <c r="D876" i="7"/>
  <c r="B876" i="7"/>
  <c r="A876" i="7" a="1"/>
  <c r="A876" i="7" s="1"/>
  <c r="I875" i="7"/>
  <c r="H875" i="7"/>
  <c r="F875" i="7" a="1"/>
  <c r="F875" i="7" s="1"/>
  <c r="E875" i="7"/>
  <c r="D875" i="7"/>
  <c r="B875" i="7"/>
  <c r="A875" i="7" a="1"/>
  <c r="A875" i="7" s="1"/>
  <c r="I874" i="7"/>
  <c r="H874" i="7"/>
  <c r="F874" i="7" a="1"/>
  <c r="F874" i="7" s="1"/>
  <c r="E874" i="7"/>
  <c r="D874" i="7"/>
  <c r="B874" i="7"/>
  <c r="A874" i="7" a="1"/>
  <c r="A874" i="7" s="1"/>
  <c r="I873" i="7"/>
  <c r="H873" i="7"/>
  <c r="F873" i="7" a="1"/>
  <c r="F873" i="7" s="1"/>
  <c r="E873" i="7"/>
  <c r="D873" i="7"/>
  <c r="B873" i="7"/>
  <c r="A873" i="7" a="1"/>
  <c r="A873" i="7" s="1"/>
  <c r="I872" i="7"/>
  <c r="H872" i="7"/>
  <c r="F872" i="7" a="1"/>
  <c r="F872" i="7" s="1"/>
  <c r="E872" i="7"/>
  <c r="D872" i="7"/>
  <c r="B872" i="7"/>
  <c r="A872" i="7" a="1"/>
  <c r="A872" i="7" s="1"/>
  <c r="I871" i="7"/>
  <c r="H871" i="7"/>
  <c r="F871" i="7" a="1"/>
  <c r="F871" i="7" s="1"/>
  <c r="E871" i="7"/>
  <c r="D871" i="7"/>
  <c r="B871" i="7"/>
  <c r="A871" i="7" a="1"/>
  <c r="A871" i="7" s="1"/>
  <c r="I870" i="7"/>
  <c r="H870" i="7"/>
  <c r="F870" i="7" a="1"/>
  <c r="F870" i="7" s="1"/>
  <c r="E870" i="7"/>
  <c r="D870" i="7"/>
  <c r="B870" i="7"/>
  <c r="A870" i="7" a="1"/>
  <c r="A870" i="7" s="1"/>
  <c r="I869" i="7"/>
  <c r="H869" i="7"/>
  <c r="F869" i="7" a="1"/>
  <c r="F869" i="7" s="1"/>
  <c r="E869" i="7"/>
  <c r="D869" i="7"/>
  <c r="B869" i="7"/>
  <c r="A869" i="7" a="1"/>
  <c r="A869" i="7" s="1"/>
  <c r="I868" i="7"/>
  <c r="H868" i="7"/>
  <c r="F868" i="7" a="1"/>
  <c r="F868" i="7" s="1"/>
  <c r="E868" i="7"/>
  <c r="D868" i="7"/>
  <c r="B868" i="7"/>
  <c r="A868" i="7" a="1"/>
  <c r="A868" i="7" s="1"/>
  <c r="I867" i="7"/>
  <c r="H867" i="7"/>
  <c r="F867" i="7" a="1"/>
  <c r="F867" i="7" s="1"/>
  <c r="E867" i="7"/>
  <c r="D867" i="7"/>
  <c r="B867" i="7"/>
  <c r="A867" i="7" a="1"/>
  <c r="A867" i="7" s="1"/>
  <c r="I866" i="7"/>
  <c r="H866" i="7"/>
  <c r="F866" i="7" a="1"/>
  <c r="F866" i="7" s="1"/>
  <c r="E866" i="7"/>
  <c r="D866" i="7"/>
  <c r="B866" i="7"/>
  <c r="A866" i="7" a="1"/>
  <c r="A866" i="7" s="1"/>
  <c r="I865" i="7"/>
  <c r="H865" i="7"/>
  <c r="F865" i="7" a="1"/>
  <c r="F865" i="7" s="1"/>
  <c r="E865" i="7"/>
  <c r="D865" i="7"/>
  <c r="B865" i="7"/>
  <c r="A865" i="7" a="1"/>
  <c r="A865" i="7" s="1"/>
  <c r="I864" i="7"/>
  <c r="H864" i="7"/>
  <c r="F864" i="7" a="1"/>
  <c r="F864" i="7" s="1"/>
  <c r="E864" i="7"/>
  <c r="D864" i="7"/>
  <c r="B864" i="7"/>
  <c r="A864" i="7" a="1"/>
  <c r="A864" i="7" s="1"/>
  <c r="I863" i="7"/>
  <c r="H863" i="7"/>
  <c r="F863" i="7" a="1"/>
  <c r="F863" i="7" s="1"/>
  <c r="E863" i="7"/>
  <c r="D863" i="7"/>
  <c r="B863" i="7"/>
  <c r="A863" i="7" a="1"/>
  <c r="A863" i="7" s="1"/>
  <c r="I862" i="7"/>
  <c r="H862" i="7"/>
  <c r="F862" i="7" a="1"/>
  <c r="F862" i="7" s="1"/>
  <c r="E862" i="7"/>
  <c r="D862" i="7"/>
  <c r="B862" i="7"/>
  <c r="A862" i="7" a="1"/>
  <c r="A862" i="7" s="1"/>
  <c r="I861" i="7"/>
  <c r="H861" i="7"/>
  <c r="F861" i="7" a="1"/>
  <c r="F861" i="7" s="1"/>
  <c r="E861" i="7"/>
  <c r="D861" i="7"/>
  <c r="B861" i="7"/>
  <c r="A861" i="7" a="1"/>
  <c r="A861" i="7" s="1"/>
  <c r="I860" i="7"/>
  <c r="H860" i="7"/>
  <c r="F860" i="7" a="1"/>
  <c r="F860" i="7" s="1"/>
  <c r="E860" i="7"/>
  <c r="D860" i="7"/>
  <c r="B860" i="7"/>
  <c r="A860" i="7" a="1"/>
  <c r="A860" i="7" s="1"/>
  <c r="I859" i="7"/>
  <c r="H859" i="7"/>
  <c r="F859" i="7" a="1"/>
  <c r="F859" i="7" s="1"/>
  <c r="E859" i="7"/>
  <c r="D859" i="7"/>
  <c r="B859" i="7"/>
  <c r="A859" i="7" a="1"/>
  <c r="A859" i="7" s="1"/>
  <c r="I858" i="7"/>
  <c r="H858" i="7"/>
  <c r="F858" i="7" a="1"/>
  <c r="F858" i="7" s="1"/>
  <c r="E858" i="7"/>
  <c r="D858" i="7"/>
  <c r="B858" i="7"/>
  <c r="A858" i="7" a="1"/>
  <c r="A858" i="7" s="1"/>
  <c r="I857" i="7"/>
  <c r="H857" i="7"/>
  <c r="F857" i="7" a="1"/>
  <c r="F857" i="7" s="1"/>
  <c r="E857" i="7"/>
  <c r="D857" i="7"/>
  <c r="B857" i="7"/>
  <c r="A857" i="7" a="1"/>
  <c r="A857" i="7" s="1"/>
  <c r="I856" i="7"/>
  <c r="H856" i="7"/>
  <c r="F856" i="7" a="1"/>
  <c r="F856" i="7" s="1"/>
  <c r="E856" i="7"/>
  <c r="D856" i="7"/>
  <c r="B856" i="7"/>
  <c r="A856" i="7" a="1"/>
  <c r="A856" i="7" s="1"/>
  <c r="I855" i="7"/>
  <c r="H855" i="7"/>
  <c r="F855" i="7" a="1"/>
  <c r="F855" i="7" s="1"/>
  <c r="E855" i="7"/>
  <c r="D855" i="7"/>
  <c r="B855" i="7"/>
  <c r="A855" i="7" a="1"/>
  <c r="A855" i="7" s="1"/>
  <c r="I854" i="7"/>
  <c r="H854" i="7"/>
  <c r="F854" i="7" a="1"/>
  <c r="F854" i="7" s="1"/>
  <c r="E854" i="7"/>
  <c r="D854" i="7"/>
  <c r="B854" i="7"/>
  <c r="A854" i="7" a="1"/>
  <c r="A854" i="7" s="1"/>
  <c r="I853" i="7"/>
  <c r="H853" i="7"/>
  <c r="F853" i="7" a="1"/>
  <c r="F853" i="7" s="1"/>
  <c r="E853" i="7"/>
  <c r="D853" i="7"/>
  <c r="B853" i="7"/>
  <c r="A853" i="7" a="1"/>
  <c r="A853" i="7" s="1"/>
  <c r="I852" i="7"/>
  <c r="H852" i="7"/>
  <c r="F852" i="7" a="1"/>
  <c r="F852" i="7" s="1"/>
  <c r="E852" i="7"/>
  <c r="D852" i="7"/>
  <c r="B852" i="7"/>
  <c r="A852" i="7" a="1"/>
  <c r="A852" i="7" s="1"/>
  <c r="I851" i="7"/>
  <c r="H851" i="7"/>
  <c r="F851" i="7" a="1"/>
  <c r="F851" i="7" s="1"/>
  <c r="E851" i="7"/>
  <c r="D851" i="7"/>
  <c r="B851" i="7"/>
  <c r="A851" i="7" a="1"/>
  <c r="A851" i="7" s="1"/>
  <c r="I850" i="7"/>
  <c r="H850" i="7"/>
  <c r="F850" i="7" a="1"/>
  <c r="F850" i="7" s="1"/>
  <c r="E850" i="7"/>
  <c r="D850" i="7"/>
  <c r="B850" i="7"/>
  <c r="A850" i="7" a="1"/>
  <c r="A850" i="7" s="1"/>
  <c r="I849" i="7"/>
  <c r="H849" i="7"/>
  <c r="F849" i="7" a="1"/>
  <c r="F849" i="7" s="1"/>
  <c r="E849" i="7"/>
  <c r="D849" i="7"/>
  <c r="B849" i="7"/>
  <c r="A849" i="7" a="1"/>
  <c r="A849" i="7" s="1"/>
  <c r="I848" i="7"/>
  <c r="H848" i="7"/>
  <c r="F848" i="7" a="1"/>
  <c r="F848" i="7" s="1"/>
  <c r="E848" i="7"/>
  <c r="D848" i="7"/>
  <c r="B848" i="7"/>
  <c r="A848" i="7" a="1"/>
  <c r="A848" i="7" s="1"/>
  <c r="I847" i="7"/>
  <c r="H847" i="7"/>
  <c r="F847" i="7" a="1"/>
  <c r="F847" i="7" s="1"/>
  <c r="E847" i="7"/>
  <c r="D847" i="7"/>
  <c r="B847" i="7"/>
  <c r="A847" i="7" a="1"/>
  <c r="A847" i="7" s="1"/>
  <c r="I846" i="7"/>
  <c r="H846" i="7"/>
  <c r="F846" i="7" a="1"/>
  <c r="F846" i="7" s="1"/>
  <c r="E846" i="7"/>
  <c r="D846" i="7"/>
  <c r="B846" i="7"/>
  <c r="A846" i="7" a="1"/>
  <c r="A846" i="7" s="1"/>
  <c r="I845" i="7"/>
  <c r="H845" i="7"/>
  <c r="F845" i="7" a="1"/>
  <c r="F845" i="7" s="1"/>
  <c r="E845" i="7"/>
  <c r="D845" i="7"/>
  <c r="B845" i="7"/>
  <c r="A845" i="7" a="1"/>
  <c r="A845" i="7" s="1"/>
  <c r="I844" i="7"/>
  <c r="H844" i="7"/>
  <c r="F844" i="7" a="1"/>
  <c r="F844" i="7" s="1"/>
  <c r="E844" i="7"/>
  <c r="D844" i="7"/>
  <c r="B844" i="7"/>
  <c r="A844" i="7" a="1"/>
  <c r="A844" i="7" s="1"/>
  <c r="I843" i="7"/>
  <c r="H843" i="7"/>
  <c r="F843" i="7" a="1"/>
  <c r="F843" i="7" s="1"/>
  <c r="E843" i="7"/>
  <c r="D843" i="7"/>
  <c r="B843" i="7"/>
  <c r="A843" i="7" a="1"/>
  <c r="A843" i="7" s="1"/>
  <c r="I842" i="7"/>
  <c r="H842" i="7"/>
  <c r="F842" i="7" a="1"/>
  <c r="F842" i="7" s="1"/>
  <c r="E842" i="7"/>
  <c r="D842" i="7"/>
  <c r="B842" i="7"/>
  <c r="A842" i="7" a="1"/>
  <c r="A842" i="7" s="1"/>
  <c r="I841" i="7"/>
  <c r="H841" i="7"/>
  <c r="F841" i="7" a="1"/>
  <c r="F841" i="7" s="1"/>
  <c r="E841" i="7"/>
  <c r="D841" i="7"/>
  <c r="B841" i="7"/>
  <c r="A841" i="7" a="1"/>
  <c r="A841" i="7" s="1"/>
  <c r="I840" i="7"/>
  <c r="H840" i="7"/>
  <c r="F840" i="7" a="1"/>
  <c r="F840" i="7" s="1"/>
  <c r="E840" i="7"/>
  <c r="D840" i="7"/>
  <c r="B840" i="7"/>
  <c r="A840" i="7" a="1"/>
  <c r="A840" i="7" s="1"/>
  <c r="I839" i="7"/>
  <c r="H839" i="7"/>
  <c r="F839" i="7" a="1"/>
  <c r="F839" i="7" s="1"/>
  <c r="E839" i="7"/>
  <c r="D839" i="7"/>
  <c r="B839" i="7"/>
  <c r="A839" i="7" a="1"/>
  <c r="A839" i="7" s="1"/>
  <c r="I838" i="7"/>
  <c r="H838" i="7"/>
  <c r="F838" i="7" a="1"/>
  <c r="F838" i="7" s="1"/>
  <c r="E838" i="7"/>
  <c r="D838" i="7"/>
  <c r="B838" i="7"/>
  <c r="A838" i="7" a="1"/>
  <c r="A838" i="7" s="1"/>
  <c r="I837" i="7"/>
  <c r="H837" i="7"/>
  <c r="F837" i="7" a="1"/>
  <c r="F837" i="7" s="1"/>
  <c r="E837" i="7"/>
  <c r="D837" i="7"/>
  <c r="B837" i="7"/>
  <c r="A837" i="7" a="1"/>
  <c r="A837" i="7" s="1"/>
  <c r="I836" i="7"/>
  <c r="H836" i="7"/>
  <c r="F836" i="7" a="1"/>
  <c r="F836" i="7" s="1"/>
  <c r="E836" i="7"/>
  <c r="D836" i="7"/>
  <c r="B836" i="7"/>
  <c r="A836" i="7" a="1"/>
  <c r="A836" i="7" s="1"/>
  <c r="I835" i="7"/>
  <c r="H835" i="7"/>
  <c r="F835" i="7" a="1"/>
  <c r="F835" i="7" s="1"/>
  <c r="E835" i="7"/>
  <c r="D835" i="7"/>
  <c r="B835" i="7"/>
  <c r="A835" i="7" a="1"/>
  <c r="A835" i="7" s="1"/>
  <c r="I834" i="7"/>
  <c r="H834" i="7"/>
  <c r="F834" i="7" a="1"/>
  <c r="F834" i="7" s="1"/>
  <c r="E834" i="7"/>
  <c r="D834" i="7"/>
  <c r="B834" i="7"/>
  <c r="A834" i="7" a="1"/>
  <c r="A834" i="7" s="1"/>
  <c r="I833" i="7"/>
  <c r="H833" i="7"/>
  <c r="F833" i="7" a="1"/>
  <c r="F833" i="7" s="1"/>
  <c r="E833" i="7"/>
  <c r="D833" i="7"/>
  <c r="B833" i="7"/>
  <c r="A833" i="7" a="1"/>
  <c r="A833" i="7" s="1"/>
  <c r="I832" i="7"/>
  <c r="H832" i="7"/>
  <c r="F832" i="7" a="1"/>
  <c r="F832" i="7" s="1"/>
  <c r="E832" i="7"/>
  <c r="D832" i="7"/>
  <c r="B832" i="7"/>
  <c r="A832" i="7" a="1"/>
  <c r="A832" i="7" s="1"/>
  <c r="I831" i="7"/>
  <c r="H831" i="7"/>
  <c r="F831" i="7" a="1"/>
  <c r="F831" i="7" s="1"/>
  <c r="E831" i="7"/>
  <c r="D831" i="7"/>
  <c r="B831" i="7"/>
  <c r="A831" i="7" a="1"/>
  <c r="A831" i="7" s="1"/>
  <c r="I830" i="7"/>
  <c r="H830" i="7"/>
  <c r="F830" i="7" a="1"/>
  <c r="F830" i="7" s="1"/>
  <c r="E830" i="7"/>
  <c r="D830" i="7"/>
  <c r="B830" i="7"/>
  <c r="A830" i="7" a="1"/>
  <c r="A830" i="7" s="1"/>
  <c r="I829" i="7"/>
  <c r="H829" i="7"/>
  <c r="F829" i="7" a="1"/>
  <c r="F829" i="7" s="1"/>
  <c r="E829" i="7"/>
  <c r="D829" i="7"/>
  <c r="B829" i="7"/>
  <c r="A829" i="7" a="1"/>
  <c r="A829" i="7" s="1"/>
  <c r="I828" i="7"/>
  <c r="H828" i="7"/>
  <c r="F828" i="7" a="1"/>
  <c r="F828" i="7" s="1"/>
  <c r="E828" i="7"/>
  <c r="D828" i="7"/>
  <c r="B828" i="7"/>
  <c r="A828" i="7" a="1"/>
  <c r="A828" i="7" s="1"/>
  <c r="I827" i="7"/>
  <c r="H827" i="7"/>
  <c r="F827" i="7" a="1"/>
  <c r="F827" i="7" s="1"/>
  <c r="E827" i="7"/>
  <c r="D827" i="7"/>
  <c r="B827" i="7"/>
  <c r="A827" i="7" a="1"/>
  <c r="A827" i="7" s="1"/>
  <c r="I826" i="7"/>
  <c r="H826" i="7"/>
  <c r="F826" i="7" a="1"/>
  <c r="F826" i="7" s="1"/>
  <c r="E826" i="7"/>
  <c r="D826" i="7"/>
  <c r="B826" i="7"/>
  <c r="A826" i="7" a="1"/>
  <c r="A826" i="7" s="1"/>
  <c r="I825" i="7"/>
  <c r="H825" i="7"/>
  <c r="F825" i="7" a="1"/>
  <c r="F825" i="7" s="1"/>
  <c r="E825" i="7"/>
  <c r="D825" i="7"/>
  <c r="B825" i="7"/>
  <c r="A825" i="7" a="1"/>
  <c r="A825" i="7" s="1"/>
  <c r="I824" i="7"/>
  <c r="H824" i="7"/>
  <c r="F824" i="7" a="1"/>
  <c r="F824" i="7" s="1"/>
  <c r="E824" i="7"/>
  <c r="D824" i="7"/>
  <c r="B824" i="7"/>
  <c r="A824" i="7" a="1"/>
  <c r="A824" i="7" s="1"/>
  <c r="I823" i="7"/>
  <c r="H823" i="7"/>
  <c r="F823" i="7" a="1"/>
  <c r="F823" i="7" s="1"/>
  <c r="E823" i="7"/>
  <c r="D823" i="7"/>
  <c r="B823" i="7"/>
  <c r="A823" i="7" a="1"/>
  <c r="A823" i="7" s="1"/>
  <c r="I822" i="7"/>
  <c r="H822" i="7"/>
  <c r="F822" i="7" a="1"/>
  <c r="F822" i="7" s="1"/>
  <c r="E822" i="7"/>
  <c r="D822" i="7"/>
  <c r="B822" i="7"/>
  <c r="A822" i="7" a="1"/>
  <c r="A822" i="7" s="1"/>
  <c r="I821" i="7"/>
  <c r="H821" i="7"/>
  <c r="F821" i="7" a="1"/>
  <c r="F821" i="7" s="1"/>
  <c r="E821" i="7"/>
  <c r="D821" i="7"/>
  <c r="B821" i="7"/>
  <c r="A821" i="7" a="1"/>
  <c r="A821" i="7" s="1"/>
  <c r="I820" i="7"/>
  <c r="H820" i="7"/>
  <c r="F820" i="7" a="1"/>
  <c r="F820" i="7" s="1"/>
  <c r="E820" i="7"/>
  <c r="D820" i="7"/>
  <c r="B820" i="7"/>
  <c r="A820" i="7" a="1"/>
  <c r="A820" i="7" s="1"/>
  <c r="I819" i="7"/>
  <c r="H819" i="7"/>
  <c r="F819" i="7" a="1"/>
  <c r="F819" i="7" s="1"/>
  <c r="E819" i="7"/>
  <c r="D819" i="7"/>
  <c r="B819" i="7"/>
  <c r="A819" i="7" a="1"/>
  <c r="A819" i="7" s="1"/>
  <c r="I818" i="7"/>
  <c r="H818" i="7"/>
  <c r="F818" i="7" a="1"/>
  <c r="F818" i="7" s="1"/>
  <c r="E818" i="7"/>
  <c r="D818" i="7"/>
  <c r="B818" i="7"/>
  <c r="A818" i="7" a="1"/>
  <c r="A818" i="7" s="1"/>
  <c r="I817" i="7"/>
  <c r="H817" i="7"/>
  <c r="F817" i="7" a="1"/>
  <c r="F817" i="7" s="1"/>
  <c r="E817" i="7"/>
  <c r="D817" i="7"/>
  <c r="B817" i="7"/>
  <c r="A817" i="7" a="1"/>
  <c r="A817" i="7" s="1"/>
  <c r="I816" i="7"/>
  <c r="H816" i="7"/>
  <c r="F816" i="7" a="1"/>
  <c r="F816" i="7" s="1"/>
  <c r="E816" i="7"/>
  <c r="D816" i="7"/>
  <c r="B816" i="7"/>
  <c r="A816" i="7" a="1"/>
  <c r="A816" i="7" s="1"/>
  <c r="I815" i="7"/>
  <c r="H815" i="7"/>
  <c r="F815" i="7" a="1"/>
  <c r="F815" i="7" s="1"/>
  <c r="E815" i="7"/>
  <c r="D815" i="7"/>
  <c r="B815" i="7"/>
  <c r="A815" i="7" a="1"/>
  <c r="A815" i="7" s="1"/>
  <c r="I814" i="7"/>
  <c r="H814" i="7"/>
  <c r="F814" i="7" a="1"/>
  <c r="F814" i="7" s="1"/>
  <c r="E814" i="7"/>
  <c r="D814" i="7"/>
  <c r="B814" i="7"/>
  <c r="A814" i="7" a="1"/>
  <c r="A814" i="7" s="1"/>
  <c r="I813" i="7"/>
  <c r="H813" i="7"/>
  <c r="F813" i="7" a="1"/>
  <c r="F813" i="7" s="1"/>
  <c r="E813" i="7"/>
  <c r="D813" i="7"/>
  <c r="B813" i="7"/>
  <c r="A813" i="7" a="1"/>
  <c r="A813" i="7" s="1"/>
  <c r="I812" i="7"/>
  <c r="H812" i="7"/>
  <c r="F812" i="7" a="1"/>
  <c r="F812" i="7" s="1"/>
  <c r="E812" i="7"/>
  <c r="D812" i="7"/>
  <c r="B812" i="7"/>
  <c r="A812" i="7" a="1"/>
  <c r="A812" i="7" s="1"/>
  <c r="I811" i="7"/>
  <c r="H811" i="7"/>
  <c r="F811" i="7" a="1"/>
  <c r="F811" i="7" s="1"/>
  <c r="E811" i="7"/>
  <c r="D811" i="7"/>
  <c r="B811" i="7"/>
  <c r="A811" i="7" a="1"/>
  <c r="A811" i="7" s="1"/>
  <c r="I810" i="7"/>
  <c r="H810" i="7"/>
  <c r="F810" i="7" a="1"/>
  <c r="F810" i="7" s="1"/>
  <c r="E810" i="7"/>
  <c r="D810" i="7"/>
  <c r="B810" i="7"/>
  <c r="A810" i="7" a="1"/>
  <c r="A810" i="7" s="1"/>
  <c r="I809" i="7"/>
  <c r="H809" i="7"/>
  <c r="F809" i="7" a="1"/>
  <c r="F809" i="7" s="1"/>
  <c r="E809" i="7"/>
  <c r="D809" i="7"/>
  <c r="B809" i="7"/>
  <c r="A809" i="7" a="1"/>
  <c r="A809" i="7" s="1"/>
  <c r="I808" i="7"/>
  <c r="H808" i="7"/>
  <c r="F808" i="7" a="1"/>
  <c r="F808" i="7" s="1"/>
  <c r="E808" i="7"/>
  <c r="D808" i="7"/>
  <c r="B808" i="7"/>
  <c r="A808" i="7" a="1"/>
  <c r="A808" i="7" s="1"/>
  <c r="I807" i="7"/>
  <c r="H807" i="7"/>
  <c r="F807" i="7" a="1"/>
  <c r="F807" i="7" s="1"/>
  <c r="E807" i="7"/>
  <c r="D807" i="7"/>
  <c r="B807" i="7"/>
  <c r="A807" i="7" a="1"/>
  <c r="A807" i="7" s="1"/>
  <c r="I806" i="7"/>
  <c r="H806" i="7"/>
  <c r="F806" i="7" a="1"/>
  <c r="F806" i="7" s="1"/>
  <c r="E806" i="7"/>
  <c r="D806" i="7"/>
  <c r="B806" i="7"/>
  <c r="A806" i="7" a="1"/>
  <c r="A806" i="7" s="1"/>
  <c r="I805" i="7"/>
  <c r="H805" i="7"/>
  <c r="F805" i="7" a="1"/>
  <c r="F805" i="7" s="1"/>
  <c r="E805" i="7"/>
  <c r="D805" i="7"/>
  <c r="B805" i="7"/>
  <c r="A805" i="7" a="1"/>
  <c r="A805" i="7" s="1"/>
  <c r="I804" i="7"/>
  <c r="H804" i="7"/>
  <c r="F804" i="7" a="1"/>
  <c r="F804" i="7" s="1"/>
  <c r="E804" i="7"/>
  <c r="D804" i="7"/>
  <c r="B804" i="7"/>
  <c r="A804" i="7" a="1"/>
  <c r="A804" i="7" s="1"/>
  <c r="I803" i="7"/>
  <c r="H803" i="7"/>
  <c r="F803" i="7" a="1"/>
  <c r="F803" i="7" s="1"/>
  <c r="E803" i="7"/>
  <c r="D803" i="7"/>
  <c r="B803" i="7"/>
  <c r="A803" i="7" a="1"/>
  <c r="A803" i="7" s="1"/>
  <c r="I802" i="7"/>
  <c r="H802" i="7"/>
  <c r="F802" i="7" a="1"/>
  <c r="F802" i="7" s="1"/>
  <c r="E802" i="7"/>
  <c r="D802" i="7"/>
  <c r="B802" i="7"/>
  <c r="A802" i="7" a="1"/>
  <c r="A802" i="7" s="1"/>
  <c r="I801" i="7"/>
  <c r="H801" i="7"/>
  <c r="F801" i="7" a="1"/>
  <c r="F801" i="7" s="1"/>
  <c r="E801" i="7"/>
  <c r="D801" i="7"/>
  <c r="B801" i="7"/>
  <c r="A801" i="7" a="1"/>
  <c r="A801" i="7" s="1"/>
  <c r="I800" i="7"/>
  <c r="H800" i="7"/>
  <c r="F800" i="7" a="1"/>
  <c r="F800" i="7" s="1"/>
  <c r="E800" i="7"/>
  <c r="D800" i="7"/>
  <c r="B800" i="7"/>
  <c r="A800" i="7" a="1"/>
  <c r="A800" i="7" s="1"/>
  <c r="I799" i="7"/>
  <c r="H799" i="7"/>
  <c r="F799" i="7" a="1"/>
  <c r="F799" i="7" s="1"/>
  <c r="E799" i="7"/>
  <c r="D799" i="7"/>
  <c r="B799" i="7"/>
  <c r="A799" i="7" a="1"/>
  <c r="A799" i="7" s="1"/>
  <c r="I798" i="7"/>
  <c r="H798" i="7"/>
  <c r="F798" i="7" a="1"/>
  <c r="F798" i="7" s="1"/>
  <c r="E798" i="7"/>
  <c r="D798" i="7"/>
  <c r="B798" i="7"/>
  <c r="A798" i="7" a="1"/>
  <c r="A798" i="7" s="1"/>
  <c r="I797" i="7"/>
  <c r="H797" i="7"/>
  <c r="F797" i="7" a="1"/>
  <c r="F797" i="7" s="1"/>
  <c r="E797" i="7"/>
  <c r="D797" i="7"/>
  <c r="B797" i="7"/>
  <c r="A797" i="7" a="1"/>
  <c r="A797" i="7" s="1"/>
  <c r="I796" i="7"/>
  <c r="H796" i="7"/>
  <c r="F796" i="7" a="1"/>
  <c r="F796" i="7" s="1"/>
  <c r="E796" i="7"/>
  <c r="D796" i="7"/>
  <c r="B796" i="7"/>
  <c r="A796" i="7" a="1"/>
  <c r="A796" i="7" s="1"/>
  <c r="I795" i="7"/>
  <c r="H795" i="7"/>
  <c r="F795" i="7" a="1"/>
  <c r="F795" i="7" s="1"/>
  <c r="E795" i="7"/>
  <c r="D795" i="7"/>
  <c r="B795" i="7"/>
  <c r="A795" i="7" a="1"/>
  <c r="A795" i="7" s="1"/>
  <c r="I794" i="7"/>
  <c r="H794" i="7"/>
  <c r="F794" i="7" a="1"/>
  <c r="F794" i="7" s="1"/>
  <c r="E794" i="7"/>
  <c r="D794" i="7"/>
  <c r="B794" i="7"/>
  <c r="A794" i="7" a="1"/>
  <c r="A794" i="7" s="1"/>
  <c r="I793" i="7"/>
  <c r="H793" i="7"/>
  <c r="F793" i="7" a="1"/>
  <c r="F793" i="7" s="1"/>
  <c r="E793" i="7"/>
  <c r="D793" i="7"/>
  <c r="B793" i="7"/>
  <c r="A793" i="7" a="1"/>
  <c r="A793" i="7" s="1"/>
  <c r="I792" i="7"/>
  <c r="H792" i="7"/>
  <c r="F792" i="7" a="1"/>
  <c r="F792" i="7" s="1"/>
  <c r="E792" i="7"/>
  <c r="D792" i="7"/>
  <c r="B792" i="7"/>
  <c r="A792" i="7" a="1"/>
  <c r="A792" i="7" s="1"/>
  <c r="I791" i="7"/>
  <c r="H791" i="7"/>
  <c r="F791" i="7" a="1"/>
  <c r="F791" i="7" s="1"/>
  <c r="E791" i="7"/>
  <c r="D791" i="7"/>
  <c r="B791" i="7"/>
  <c r="A791" i="7" a="1"/>
  <c r="A791" i="7" s="1"/>
  <c r="I790" i="7"/>
  <c r="H790" i="7"/>
  <c r="F790" i="7" a="1"/>
  <c r="F790" i="7" s="1"/>
  <c r="E790" i="7"/>
  <c r="D790" i="7"/>
  <c r="B790" i="7"/>
  <c r="A790" i="7" a="1"/>
  <c r="A790" i="7" s="1"/>
  <c r="I789" i="7"/>
  <c r="H789" i="7"/>
  <c r="F789" i="7" a="1"/>
  <c r="F789" i="7" s="1"/>
  <c r="E789" i="7"/>
  <c r="D789" i="7"/>
  <c r="B789" i="7"/>
  <c r="A789" i="7" a="1"/>
  <c r="A789" i="7" s="1"/>
  <c r="I788" i="7"/>
  <c r="H788" i="7"/>
  <c r="F788" i="7" a="1"/>
  <c r="F788" i="7" s="1"/>
  <c r="E788" i="7"/>
  <c r="D788" i="7"/>
  <c r="B788" i="7"/>
  <c r="A788" i="7" a="1"/>
  <c r="A788" i="7" s="1"/>
  <c r="I787" i="7"/>
  <c r="H787" i="7"/>
  <c r="F787" i="7" a="1"/>
  <c r="F787" i="7" s="1"/>
  <c r="E787" i="7"/>
  <c r="D787" i="7"/>
  <c r="B787" i="7"/>
  <c r="A787" i="7" a="1"/>
  <c r="A787" i="7" s="1"/>
  <c r="I786" i="7"/>
  <c r="H786" i="7"/>
  <c r="F786" i="7" a="1"/>
  <c r="F786" i="7" s="1"/>
  <c r="E786" i="7"/>
  <c r="D786" i="7"/>
  <c r="B786" i="7"/>
  <c r="A786" i="7" a="1"/>
  <c r="A786" i="7" s="1"/>
  <c r="I785" i="7"/>
  <c r="H785" i="7"/>
  <c r="F785" i="7" a="1"/>
  <c r="F785" i="7" s="1"/>
  <c r="E785" i="7"/>
  <c r="D785" i="7"/>
  <c r="B785" i="7"/>
  <c r="A785" i="7" a="1"/>
  <c r="A785" i="7" s="1"/>
  <c r="I784" i="7"/>
  <c r="H784" i="7"/>
  <c r="F784" i="7" a="1"/>
  <c r="F784" i="7" s="1"/>
  <c r="E784" i="7"/>
  <c r="D784" i="7"/>
  <c r="B784" i="7"/>
  <c r="A784" i="7" a="1"/>
  <c r="A784" i="7" s="1"/>
  <c r="I783" i="7"/>
  <c r="H783" i="7"/>
  <c r="F783" i="7" a="1"/>
  <c r="F783" i="7" s="1"/>
  <c r="E783" i="7"/>
  <c r="D783" i="7"/>
  <c r="B783" i="7"/>
  <c r="A783" i="7" a="1"/>
  <c r="A783" i="7" s="1"/>
  <c r="I782" i="7"/>
  <c r="H782" i="7"/>
  <c r="F782" i="7" a="1"/>
  <c r="F782" i="7" s="1"/>
  <c r="E782" i="7"/>
  <c r="D782" i="7"/>
  <c r="B782" i="7"/>
  <c r="A782" i="7" a="1"/>
  <c r="A782" i="7" s="1"/>
  <c r="I781" i="7"/>
  <c r="H781" i="7"/>
  <c r="F781" i="7" a="1"/>
  <c r="F781" i="7" s="1"/>
  <c r="E781" i="7"/>
  <c r="D781" i="7"/>
  <c r="B781" i="7"/>
  <c r="A781" i="7" a="1"/>
  <c r="A781" i="7" s="1"/>
  <c r="I780" i="7"/>
  <c r="H780" i="7"/>
  <c r="F780" i="7" a="1"/>
  <c r="F780" i="7" s="1"/>
  <c r="E780" i="7"/>
  <c r="D780" i="7"/>
  <c r="B780" i="7"/>
  <c r="A780" i="7" a="1"/>
  <c r="A780" i="7" s="1"/>
  <c r="I779" i="7"/>
  <c r="H779" i="7"/>
  <c r="F779" i="7" a="1"/>
  <c r="F779" i="7" s="1"/>
  <c r="E779" i="7"/>
  <c r="D779" i="7"/>
  <c r="B779" i="7"/>
  <c r="A779" i="7" a="1"/>
  <c r="A779" i="7" s="1"/>
  <c r="I778" i="7"/>
  <c r="H778" i="7"/>
  <c r="F778" i="7" a="1"/>
  <c r="F778" i="7" s="1"/>
  <c r="E778" i="7"/>
  <c r="D778" i="7"/>
  <c r="B778" i="7"/>
  <c r="A778" i="7" a="1"/>
  <c r="A778" i="7" s="1"/>
  <c r="I777" i="7"/>
  <c r="H777" i="7"/>
  <c r="F777" i="7" a="1"/>
  <c r="F777" i="7" s="1"/>
  <c r="E777" i="7"/>
  <c r="D777" i="7"/>
  <c r="B777" i="7"/>
  <c r="A777" i="7" a="1"/>
  <c r="A777" i="7" s="1"/>
  <c r="I776" i="7"/>
  <c r="H776" i="7"/>
  <c r="F776" i="7" a="1"/>
  <c r="F776" i="7" s="1"/>
  <c r="E776" i="7"/>
  <c r="D776" i="7"/>
  <c r="B776" i="7"/>
  <c r="A776" i="7" a="1"/>
  <c r="A776" i="7" s="1"/>
  <c r="I775" i="7"/>
  <c r="H775" i="7"/>
  <c r="F775" i="7" a="1"/>
  <c r="F775" i="7" s="1"/>
  <c r="E775" i="7"/>
  <c r="D775" i="7"/>
  <c r="B775" i="7"/>
  <c r="A775" i="7" a="1"/>
  <c r="A775" i="7" s="1"/>
  <c r="I774" i="7"/>
  <c r="H774" i="7"/>
  <c r="F774" i="7" a="1"/>
  <c r="F774" i="7" s="1"/>
  <c r="E774" i="7"/>
  <c r="D774" i="7"/>
  <c r="B774" i="7"/>
  <c r="A774" i="7" a="1"/>
  <c r="A774" i="7" s="1"/>
  <c r="I773" i="7"/>
  <c r="H773" i="7"/>
  <c r="F773" i="7" a="1"/>
  <c r="F773" i="7" s="1"/>
  <c r="E773" i="7"/>
  <c r="D773" i="7"/>
  <c r="B773" i="7"/>
  <c r="A773" i="7" a="1"/>
  <c r="A773" i="7" s="1"/>
  <c r="I772" i="7"/>
  <c r="H772" i="7"/>
  <c r="F772" i="7" a="1"/>
  <c r="F772" i="7" s="1"/>
  <c r="E772" i="7"/>
  <c r="D772" i="7"/>
  <c r="B772" i="7"/>
  <c r="A772" i="7" a="1"/>
  <c r="A772" i="7" s="1"/>
  <c r="I771" i="7"/>
  <c r="H771" i="7"/>
  <c r="F771" i="7" a="1"/>
  <c r="F771" i="7" s="1"/>
  <c r="E771" i="7"/>
  <c r="D771" i="7"/>
  <c r="B771" i="7"/>
  <c r="A771" i="7" a="1"/>
  <c r="A771" i="7" s="1"/>
  <c r="I770" i="7"/>
  <c r="H770" i="7"/>
  <c r="F770" i="7" a="1"/>
  <c r="F770" i="7" s="1"/>
  <c r="E770" i="7"/>
  <c r="D770" i="7"/>
  <c r="B770" i="7"/>
  <c r="A770" i="7" a="1"/>
  <c r="A770" i="7" s="1"/>
  <c r="I769" i="7"/>
  <c r="H769" i="7"/>
  <c r="F769" i="7" a="1"/>
  <c r="F769" i="7" s="1"/>
  <c r="E769" i="7"/>
  <c r="D769" i="7"/>
  <c r="B769" i="7"/>
  <c r="A769" i="7" a="1"/>
  <c r="A769" i="7" s="1"/>
  <c r="I768" i="7"/>
  <c r="H768" i="7"/>
  <c r="F768" i="7" a="1"/>
  <c r="F768" i="7" s="1"/>
  <c r="E768" i="7"/>
  <c r="D768" i="7"/>
  <c r="B768" i="7"/>
  <c r="A768" i="7" a="1"/>
  <c r="A768" i="7" s="1"/>
  <c r="I767" i="7"/>
  <c r="H767" i="7"/>
  <c r="F767" i="7" a="1"/>
  <c r="F767" i="7" s="1"/>
  <c r="E767" i="7"/>
  <c r="D767" i="7"/>
  <c r="B767" i="7"/>
  <c r="A767" i="7" a="1"/>
  <c r="A767" i="7" s="1"/>
  <c r="I766" i="7"/>
  <c r="H766" i="7"/>
  <c r="F766" i="7" a="1"/>
  <c r="F766" i="7" s="1"/>
  <c r="E766" i="7"/>
  <c r="D766" i="7"/>
  <c r="B766" i="7"/>
  <c r="A766" i="7" a="1"/>
  <c r="A766" i="7" s="1"/>
  <c r="I765" i="7"/>
  <c r="H765" i="7"/>
  <c r="F765" i="7" a="1"/>
  <c r="F765" i="7" s="1"/>
  <c r="E765" i="7"/>
  <c r="D765" i="7"/>
  <c r="B765" i="7"/>
  <c r="A765" i="7" a="1"/>
  <c r="A765" i="7" s="1"/>
  <c r="I764" i="7"/>
  <c r="H764" i="7"/>
  <c r="F764" i="7" a="1"/>
  <c r="F764" i="7" s="1"/>
  <c r="E764" i="7"/>
  <c r="D764" i="7"/>
  <c r="B764" i="7"/>
  <c r="A764" i="7" a="1"/>
  <c r="A764" i="7" s="1"/>
  <c r="I763" i="7"/>
  <c r="H763" i="7"/>
  <c r="F763" i="7" a="1"/>
  <c r="F763" i="7" s="1"/>
  <c r="E763" i="7"/>
  <c r="D763" i="7"/>
  <c r="B763" i="7"/>
  <c r="A763" i="7" a="1"/>
  <c r="A763" i="7" s="1"/>
  <c r="I762" i="7"/>
  <c r="H762" i="7"/>
  <c r="F762" i="7" a="1"/>
  <c r="F762" i="7" s="1"/>
  <c r="E762" i="7"/>
  <c r="D762" i="7"/>
  <c r="B762" i="7"/>
  <c r="A762" i="7" a="1"/>
  <c r="A762" i="7" s="1"/>
  <c r="I761" i="7"/>
  <c r="H761" i="7"/>
  <c r="F761" i="7" a="1"/>
  <c r="F761" i="7" s="1"/>
  <c r="E761" i="7"/>
  <c r="D761" i="7"/>
  <c r="B761" i="7"/>
  <c r="A761" i="7" a="1"/>
  <c r="A761" i="7" s="1"/>
  <c r="I760" i="7"/>
  <c r="H760" i="7"/>
  <c r="F760" i="7" a="1"/>
  <c r="F760" i="7" s="1"/>
  <c r="E760" i="7"/>
  <c r="D760" i="7"/>
  <c r="B760" i="7"/>
  <c r="A760" i="7" a="1"/>
  <c r="A760" i="7" s="1"/>
  <c r="I759" i="7"/>
  <c r="H759" i="7"/>
  <c r="F759" i="7" a="1"/>
  <c r="F759" i="7" s="1"/>
  <c r="E759" i="7"/>
  <c r="D759" i="7"/>
  <c r="B759" i="7"/>
  <c r="A759" i="7" a="1"/>
  <c r="A759" i="7" s="1"/>
  <c r="I758" i="7"/>
  <c r="H758" i="7"/>
  <c r="F758" i="7" a="1"/>
  <c r="F758" i="7" s="1"/>
  <c r="E758" i="7"/>
  <c r="D758" i="7"/>
  <c r="B758" i="7"/>
  <c r="A758" i="7" a="1"/>
  <c r="A758" i="7" s="1"/>
  <c r="I757" i="7"/>
  <c r="H757" i="7"/>
  <c r="F757" i="7" a="1"/>
  <c r="F757" i="7" s="1"/>
  <c r="E757" i="7"/>
  <c r="D757" i="7"/>
  <c r="B757" i="7"/>
  <c r="A757" i="7" a="1"/>
  <c r="A757" i="7" s="1"/>
  <c r="I756" i="7"/>
  <c r="H756" i="7"/>
  <c r="F756" i="7" a="1"/>
  <c r="F756" i="7" s="1"/>
  <c r="E756" i="7"/>
  <c r="D756" i="7"/>
  <c r="B756" i="7"/>
  <c r="A756" i="7" a="1"/>
  <c r="A756" i="7" s="1"/>
  <c r="I755" i="7"/>
  <c r="H755" i="7"/>
  <c r="F755" i="7" a="1"/>
  <c r="F755" i="7" s="1"/>
  <c r="E755" i="7"/>
  <c r="D755" i="7"/>
  <c r="B755" i="7"/>
  <c r="A755" i="7" a="1"/>
  <c r="A755" i="7" s="1"/>
  <c r="I754" i="7"/>
  <c r="H754" i="7"/>
  <c r="F754" i="7" a="1"/>
  <c r="F754" i="7" s="1"/>
  <c r="E754" i="7"/>
  <c r="D754" i="7"/>
  <c r="B754" i="7"/>
  <c r="A754" i="7" a="1"/>
  <c r="A754" i="7" s="1"/>
  <c r="I753" i="7"/>
  <c r="H753" i="7"/>
  <c r="F753" i="7" a="1"/>
  <c r="F753" i="7" s="1"/>
  <c r="E753" i="7"/>
  <c r="D753" i="7"/>
  <c r="B753" i="7"/>
  <c r="A753" i="7" a="1"/>
  <c r="A753" i="7" s="1"/>
  <c r="I752" i="7"/>
  <c r="H752" i="7"/>
  <c r="F752" i="7" a="1"/>
  <c r="F752" i="7" s="1"/>
  <c r="E752" i="7"/>
  <c r="D752" i="7"/>
  <c r="B752" i="7"/>
  <c r="A752" i="7" a="1"/>
  <c r="A752" i="7" s="1"/>
  <c r="I751" i="7"/>
  <c r="H751" i="7"/>
  <c r="F751" i="7" a="1"/>
  <c r="F751" i="7" s="1"/>
  <c r="E751" i="7"/>
  <c r="D751" i="7"/>
  <c r="B751" i="7"/>
  <c r="A751" i="7" a="1"/>
  <c r="A751" i="7" s="1"/>
  <c r="I750" i="7"/>
  <c r="H750" i="7"/>
  <c r="F750" i="7" a="1"/>
  <c r="F750" i="7" s="1"/>
  <c r="E750" i="7"/>
  <c r="D750" i="7"/>
  <c r="B750" i="7"/>
  <c r="A750" i="7" a="1"/>
  <c r="A750" i="7" s="1"/>
  <c r="I749" i="7"/>
  <c r="H749" i="7"/>
  <c r="F749" i="7" a="1"/>
  <c r="F749" i="7" s="1"/>
  <c r="E749" i="7"/>
  <c r="D749" i="7"/>
  <c r="B749" i="7"/>
  <c r="A749" i="7" a="1"/>
  <c r="A749" i="7" s="1"/>
  <c r="I748" i="7"/>
  <c r="H748" i="7"/>
  <c r="F748" i="7" a="1"/>
  <c r="F748" i="7" s="1"/>
  <c r="E748" i="7"/>
  <c r="D748" i="7"/>
  <c r="B748" i="7"/>
  <c r="A748" i="7" a="1"/>
  <c r="A748" i="7" s="1"/>
  <c r="I747" i="7"/>
  <c r="H747" i="7"/>
  <c r="F747" i="7" a="1"/>
  <c r="F747" i="7" s="1"/>
  <c r="E747" i="7"/>
  <c r="D747" i="7"/>
  <c r="B747" i="7"/>
  <c r="A747" i="7" a="1"/>
  <c r="A747" i="7" s="1"/>
  <c r="I746" i="7"/>
  <c r="H746" i="7"/>
  <c r="F746" i="7" a="1"/>
  <c r="F746" i="7" s="1"/>
  <c r="E746" i="7"/>
  <c r="D746" i="7"/>
  <c r="B746" i="7"/>
  <c r="A746" i="7" a="1"/>
  <c r="A746" i="7" s="1"/>
  <c r="I745" i="7"/>
  <c r="H745" i="7"/>
  <c r="F745" i="7" a="1"/>
  <c r="F745" i="7" s="1"/>
  <c r="E745" i="7"/>
  <c r="D745" i="7"/>
  <c r="B745" i="7"/>
  <c r="A745" i="7" a="1"/>
  <c r="A745" i="7" s="1"/>
  <c r="I744" i="7"/>
  <c r="H744" i="7"/>
  <c r="F744" i="7" a="1"/>
  <c r="F744" i="7" s="1"/>
  <c r="E744" i="7"/>
  <c r="D744" i="7"/>
  <c r="B744" i="7"/>
  <c r="A744" i="7" a="1"/>
  <c r="A744" i="7" s="1"/>
  <c r="I743" i="7"/>
  <c r="H743" i="7"/>
  <c r="F743" i="7" a="1"/>
  <c r="F743" i="7" s="1"/>
  <c r="E743" i="7"/>
  <c r="D743" i="7"/>
  <c r="B743" i="7"/>
  <c r="A743" i="7" a="1"/>
  <c r="A743" i="7" s="1"/>
  <c r="I742" i="7"/>
  <c r="H742" i="7"/>
  <c r="F742" i="7" a="1"/>
  <c r="F742" i="7" s="1"/>
  <c r="E742" i="7"/>
  <c r="D742" i="7"/>
  <c r="B742" i="7"/>
  <c r="A742" i="7" a="1"/>
  <c r="A742" i="7" s="1"/>
  <c r="I741" i="7"/>
  <c r="H741" i="7"/>
  <c r="F741" i="7" a="1"/>
  <c r="F741" i="7" s="1"/>
  <c r="E741" i="7"/>
  <c r="D741" i="7"/>
  <c r="B741" i="7"/>
  <c r="A741" i="7" a="1"/>
  <c r="A741" i="7" s="1"/>
  <c r="I740" i="7"/>
  <c r="H740" i="7"/>
  <c r="F740" i="7" a="1"/>
  <c r="F740" i="7" s="1"/>
  <c r="E740" i="7"/>
  <c r="D740" i="7"/>
  <c r="B740" i="7"/>
  <c r="A740" i="7" a="1"/>
  <c r="A740" i="7" s="1"/>
  <c r="I739" i="7"/>
  <c r="H739" i="7"/>
  <c r="F739" i="7" a="1"/>
  <c r="F739" i="7" s="1"/>
  <c r="E739" i="7"/>
  <c r="D739" i="7"/>
  <c r="B739" i="7"/>
  <c r="A739" i="7" a="1"/>
  <c r="A739" i="7" s="1"/>
  <c r="I738" i="7"/>
  <c r="H738" i="7"/>
  <c r="F738" i="7" a="1"/>
  <c r="F738" i="7" s="1"/>
  <c r="E738" i="7"/>
  <c r="D738" i="7"/>
  <c r="B738" i="7"/>
  <c r="A738" i="7" a="1"/>
  <c r="A738" i="7" s="1"/>
  <c r="I737" i="7"/>
  <c r="H737" i="7"/>
  <c r="F737" i="7" a="1"/>
  <c r="F737" i="7" s="1"/>
  <c r="E737" i="7"/>
  <c r="D737" i="7"/>
  <c r="B737" i="7"/>
  <c r="A737" i="7" a="1"/>
  <c r="A737" i="7" s="1"/>
  <c r="I736" i="7"/>
  <c r="H736" i="7"/>
  <c r="F736" i="7" a="1"/>
  <c r="F736" i="7" s="1"/>
  <c r="E736" i="7"/>
  <c r="D736" i="7"/>
  <c r="B736" i="7"/>
  <c r="A736" i="7" a="1"/>
  <c r="A736" i="7" s="1"/>
  <c r="I735" i="7"/>
  <c r="H735" i="7"/>
  <c r="F735" i="7" a="1"/>
  <c r="F735" i="7" s="1"/>
  <c r="E735" i="7"/>
  <c r="D735" i="7"/>
  <c r="B735" i="7"/>
  <c r="A735" i="7" a="1"/>
  <c r="A735" i="7" s="1"/>
  <c r="I734" i="7"/>
  <c r="H734" i="7"/>
  <c r="F734" i="7" a="1"/>
  <c r="F734" i="7" s="1"/>
  <c r="E734" i="7"/>
  <c r="D734" i="7"/>
  <c r="B734" i="7"/>
  <c r="A734" i="7" a="1"/>
  <c r="A734" i="7" s="1"/>
  <c r="I733" i="7"/>
  <c r="H733" i="7"/>
  <c r="F733" i="7" a="1"/>
  <c r="F733" i="7" s="1"/>
  <c r="E733" i="7"/>
  <c r="D733" i="7"/>
  <c r="B733" i="7"/>
  <c r="A733" i="7" a="1"/>
  <c r="A733" i="7" s="1"/>
  <c r="I732" i="7"/>
  <c r="H732" i="7"/>
  <c r="F732" i="7" a="1"/>
  <c r="F732" i="7" s="1"/>
  <c r="E732" i="7"/>
  <c r="D732" i="7"/>
  <c r="B732" i="7"/>
  <c r="A732" i="7" a="1"/>
  <c r="A732" i="7" s="1"/>
  <c r="I731" i="7"/>
  <c r="H731" i="7"/>
  <c r="F731" i="7" a="1"/>
  <c r="F731" i="7" s="1"/>
  <c r="E731" i="7"/>
  <c r="D731" i="7"/>
  <c r="B731" i="7"/>
  <c r="A731" i="7" a="1"/>
  <c r="A731" i="7" s="1"/>
  <c r="I730" i="7"/>
  <c r="H730" i="7"/>
  <c r="F730" i="7" a="1"/>
  <c r="F730" i="7" s="1"/>
  <c r="E730" i="7"/>
  <c r="D730" i="7"/>
  <c r="B730" i="7"/>
  <c r="A730" i="7" a="1"/>
  <c r="A730" i="7" s="1"/>
  <c r="I729" i="7"/>
  <c r="H729" i="7"/>
  <c r="F729" i="7" a="1"/>
  <c r="F729" i="7" s="1"/>
  <c r="E729" i="7"/>
  <c r="D729" i="7"/>
  <c r="B729" i="7"/>
  <c r="A729" i="7" a="1"/>
  <c r="A729" i="7" s="1"/>
  <c r="I728" i="7"/>
  <c r="H728" i="7"/>
  <c r="F728" i="7" a="1"/>
  <c r="F728" i="7" s="1"/>
  <c r="E728" i="7"/>
  <c r="D728" i="7"/>
  <c r="B728" i="7"/>
  <c r="A728" i="7" a="1"/>
  <c r="A728" i="7" s="1"/>
  <c r="I727" i="7"/>
  <c r="H727" i="7"/>
  <c r="F727" i="7" a="1"/>
  <c r="F727" i="7" s="1"/>
  <c r="E727" i="7"/>
  <c r="D727" i="7"/>
  <c r="B727" i="7"/>
  <c r="A727" i="7" a="1"/>
  <c r="A727" i="7" s="1"/>
  <c r="I726" i="7"/>
  <c r="H726" i="7"/>
  <c r="F726" i="7" a="1"/>
  <c r="F726" i="7" s="1"/>
  <c r="E726" i="7"/>
  <c r="D726" i="7"/>
  <c r="B726" i="7"/>
  <c r="A726" i="7" a="1"/>
  <c r="A726" i="7" s="1"/>
  <c r="I725" i="7"/>
  <c r="H725" i="7"/>
  <c r="F725" i="7" a="1"/>
  <c r="F725" i="7" s="1"/>
  <c r="E725" i="7"/>
  <c r="D725" i="7"/>
  <c r="B725" i="7"/>
  <c r="A725" i="7" a="1"/>
  <c r="A725" i="7" s="1"/>
  <c r="I724" i="7"/>
  <c r="H724" i="7"/>
  <c r="F724" i="7" a="1"/>
  <c r="F724" i="7" s="1"/>
  <c r="E724" i="7"/>
  <c r="D724" i="7"/>
  <c r="B724" i="7"/>
  <c r="A724" i="7" a="1"/>
  <c r="A724" i="7" s="1"/>
  <c r="I723" i="7"/>
  <c r="H723" i="7"/>
  <c r="F723" i="7" a="1"/>
  <c r="F723" i="7" s="1"/>
  <c r="E723" i="7"/>
  <c r="D723" i="7"/>
  <c r="B723" i="7"/>
  <c r="A723" i="7" a="1"/>
  <c r="A723" i="7" s="1"/>
  <c r="I722" i="7"/>
  <c r="H722" i="7"/>
  <c r="F722" i="7" a="1"/>
  <c r="F722" i="7" s="1"/>
  <c r="E722" i="7"/>
  <c r="D722" i="7"/>
  <c r="B722" i="7"/>
  <c r="A722" i="7" a="1"/>
  <c r="A722" i="7" s="1"/>
  <c r="I721" i="7"/>
  <c r="H721" i="7"/>
  <c r="F721" i="7" a="1"/>
  <c r="F721" i="7" s="1"/>
  <c r="E721" i="7"/>
  <c r="D721" i="7"/>
  <c r="B721" i="7"/>
  <c r="A721" i="7" a="1"/>
  <c r="A721" i="7" s="1"/>
  <c r="I720" i="7"/>
  <c r="H720" i="7"/>
  <c r="F720" i="7" a="1"/>
  <c r="F720" i="7" s="1"/>
  <c r="E720" i="7"/>
  <c r="D720" i="7"/>
  <c r="B720" i="7"/>
  <c r="A720" i="7" a="1"/>
  <c r="A720" i="7" s="1"/>
  <c r="I719" i="7"/>
  <c r="H719" i="7"/>
  <c r="F719" i="7" a="1"/>
  <c r="F719" i="7" s="1"/>
  <c r="E719" i="7"/>
  <c r="D719" i="7"/>
  <c r="B719" i="7"/>
  <c r="A719" i="7" a="1"/>
  <c r="A719" i="7" s="1"/>
  <c r="I718" i="7"/>
  <c r="H718" i="7"/>
  <c r="F718" i="7" a="1"/>
  <c r="F718" i="7" s="1"/>
  <c r="E718" i="7"/>
  <c r="D718" i="7"/>
  <c r="B718" i="7"/>
  <c r="A718" i="7" a="1"/>
  <c r="A718" i="7" s="1"/>
  <c r="I717" i="7"/>
  <c r="H717" i="7"/>
  <c r="F717" i="7" a="1"/>
  <c r="F717" i="7" s="1"/>
  <c r="E717" i="7"/>
  <c r="D717" i="7"/>
  <c r="B717" i="7"/>
  <c r="A717" i="7" a="1"/>
  <c r="A717" i="7" s="1"/>
  <c r="I716" i="7"/>
  <c r="H716" i="7"/>
  <c r="F716" i="7" a="1"/>
  <c r="F716" i="7" s="1"/>
  <c r="E716" i="7"/>
  <c r="D716" i="7"/>
  <c r="B716" i="7"/>
  <c r="A716" i="7" a="1"/>
  <c r="A716" i="7" s="1"/>
  <c r="I715" i="7"/>
  <c r="H715" i="7"/>
  <c r="F715" i="7" a="1"/>
  <c r="F715" i="7" s="1"/>
  <c r="E715" i="7"/>
  <c r="D715" i="7"/>
  <c r="B715" i="7"/>
  <c r="A715" i="7" a="1"/>
  <c r="A715" i="7" s="1"/>
  <c r="I714" i="7"/>
  <c r="H714" i="7"/>
  <c r="F714" i="7" a="1"/>
  <c r="F714" i="7" s="1"/>
  <c r="E714" i="7"/>
  <c r="D714" i="7"/>
  <c r="B714" i="7"/>
  <c r="A714" i="7" a="1"/>
  <c r="A714" i="7" s="1"/>
  <c r="I713" i="7"/>
  <c r="H713" i="7"/>
  <c r="F713" i="7" a="1"/>
  <c r="F713" i="7" s="1"/>
  <c r="E713" i="7"/>
  <c r="D713" i="7"/>
  <c r="B713" i="7"/>
  <c r="A713" i="7" a="1"/>
  <c r="A713" i="7" s="1"/>
  <c r="I712" i="7"/>
  <c r="H712" i="7"/>
  <c r="F712" i="7" a="1"/>
  <c r="F712" i="7" s="1"/>
  <c r="E712" i="7"/>
  <c r="D712" i="7"/>
  <c r="B712" i="7"/>
  <c r="A712" i="7" a="1"/>
  <c r="A712" i="7" s="1"/>
  <c r="I711" i="7"/>
  <c r="H711" i="7"/>
  <c r="F711" i="7" a="1"/>
  <c r="F711" i="7" s="1"/>
  <c r="E711" i="7"/>
  <c r="D711" i="7"/>
  <c r="B711" i="7"/>
  <c r="A711" i="7" a="1"/>
  <c r="A711" i="7" s="1"/>
  <c r="I710" i="7"/>
  <c r="H710" i="7"/>
  <c r="F710" i="7" a="1"/>
  <c r="F710" i="7" s="1"/>
  <c r="E710" i="7"/>
  <c r="D710" i="7"/>
  <c r="B710" i="7"/>
  <c r="A710" i="7" a="1"/>
  <c r="A710" i="7" s="1"/>
  <c r="I709" i="7"/>
  <c r="H709" i="7"/>
  <c r="F709" i="7" a="1"/>
  <c r="F709" i="7" s="1"/>
  <c r="E709" i="7"/>
  <c r="D709" i="7"/>
  <c r="B709" i="7"/>
  <c r="A709" i="7" a="1"/>
  <c r="A709" i="7" s="1"/>
  <c r="I708" i="7"/>
  <c r="H708" i="7"/>
  <c r="F708" i="7" a="1"/>
  <c r="F708" i="7" s="1"/>
  <c r="E708" i="7"/>
  <c r="D708" i="7"/>
  <c r="B708" i="7"/>
  <c r="A708" i="7" a="1"/>
  <c r="A708" i="7" s="1"/>
  <c r="I707" i="7"/>
  <c r="H707" i="7"/>
  <c r="F707" i="7" a="1"/>
  <c r="F707" i="7" s="1"/>
  <c r="E707" i="7"/>
  <c r="D707" i="7"/>
  <c r="B707" i="7"/>
  <c r="A707" i="7" a="1"/>
  <c r="A707" i="7" s="1"/>
  <c r="I706" i="7"/>
  <c r="H706" i="7"/>
  <c r="F706" i="7" a="1"/>
  <c r="F706" i="7" s="1"/>
  <c r="E706" i="7"/>
  <c r="D706" i="7"/>
  <c r="B706" i="7"/>
  <c r="A706" i="7" a="1"/>
  <c r="A706" i="7" s="1"/>
  <c r="I705" i="7"/>
  <c r="H705" i="7"/>
  <c r="F705" i="7" a="1"/>
  <c r="F705" i="7" s="1"/>
  <c r="E705" i="7"/>
  <c r="D705" i="7"/>
  <c r="B705" i="7"/>
  <c r="A705" i="7" a="1"/>
  <c r="A705" i="7" s="1"/>
  <c r="I704" i="7"/>
  <c r="H704" i="7"/>
  <c r="F704" i="7" a="1"/>
  <c r="F704" i="7" s="1"/>
  <c r="E704" i="7"/>
  <c r="D704" i="7"/>
  <c r="B704" i="7"/>
  <c r="A704" i="7" a="1"/>
  <c r="A704" i="7" s="1"/>
  <c r="I703" i="7"/>
  <c r="H703" i="7"/>
  <c r="F703" i="7" a="1"/>
  <c r="F703" i="7" s="1"/>
  <c r="E703" i="7"/>
  <c r="D703" i="7"/>
  <c r="B703" i="7"/>
  <c r="A703" i="7" a="1"/>
  <c r="A703" i="7" s="1"/>
  <c r="I702" i="7"/>
  <c r="H702" i="7"/>
  <c r="F702" i="7" a="1"/>
  <c r="F702" i="7" s="1"/>
  <c r="E702" i="7"/>
  <c r="D702" i="7"/>
  <c r="B702" i="7"/>
  <c r="A702" i="7" a="1"/>
  <c r="A702" i="7" s="1"/>
  <c r="I701" i="7"/>
  <c r="H701" i="7"/>
  <c r="F701" i="7" a="1"/>
  <c r="F701" i="7" s="1"/>
  <c r="E701" i="7"/>
  <c r="D701" i="7"/>
  <c r="B701" i="7"/>
  <c r="A701" i="7" a="1"/>
  <c r="A701" i="7" s="1"/>
  <c r="I700" i="7"/>
  <c r="H700" i="7"/>
  <c r="F700" i="7" a="1"/>
  <c r="F700" i="7" s="1"/>
  <c r="E700" i="7"/>
  <c r="D700" i="7"/>
  <c r="B700" i="7"/>
  <c r="A700" i="7" a="1"/>
  <c r="A700" i="7" s="1"/>
  <c r="I699" i="7"/>
  <c r="H699" i="7"/>
  <c r="F699" i="7" a="1"/>
  <c r="F699" i="7" s="1"/>
  <c r="E699" i="7"/>
  <c r="D699" i="7"/>
  <c r="B699" i="7"/>
  <c r="A699" i="7" a="1"/>
  <c r="A699" i="7" s="1"/>
  <c r="I698" i="7"/>
  <c r="H698" i="7"/>
  <c r="F698" i="7" a="1"/>
  <c r="F698" i="7" s="1"/>
  <c r="E698" i="7"/>
  <c r="D698" i="7"/>
  <c r="B698" i="7"/>
  <c r="A698" i="7" a="1"/>
  <c r="A698" i="7" s="1"/>
  <c r="I697" i="7"/>
  <c r="H697" i="7"/>
  <c r="F697" i="7" a="1"/>
  <c r="F697" i="7" s="1"/>
  <c r="E697" i="7"/>
  <c r="D697" i="7"/>
  <c r="B697" i="7"/>
  <c r="A697" i="7" a="1"/>
  <c r="A697" i="7" s="1"/>
  <c r="I696" i="7"/>
  <c r="H696" i="7"/>
  <c r="F696" i="7" a="1"/>
  <c r="F696" i="7" s="1"/>
  <c r="E696" i="7"/>
  <c r="D696" i="7"/>
  <c r="B696" i="7"/>
  <c r="A696" i="7" a="1"/>
  <c r="A696" i="7" s="1"/>
  <c r="I695" i="7"/>
  <c r="H695" i="7"/>
  <c r="F695" i="7" a="1"/>
  <c r="F695" i="7" s="1"/>
  <c r="E695" i="7"/>
  <c r="D695" i="7"/>
  <c r="B695" i="7"/>
  <c r="A695" i="7" a="1"/>
  <c r="A695" i="7" s="1"/>
  <c r="I694" i="7"/>
  <c r="H694" i="7"/>
  <c r="F694" i="7" a="1"/>
  <c r="F694" i="7" s="1"/>
  <c r="E694" i="7"/>
  <c r="D694" i="7"/>
  <c r="B694" i="7"/>
  <c r="A694" i="7" a="1"/>
  <c r="A694" i="7" s="1"/>
  <c r="I693" i="7"/>
  <c r="H693" i="7"/>
  <c r="F693" i="7" a="1"/>
  <c r="F693" i="7" s="1"/>
  <c r="E693" i="7"/>
  <c r="D693" i="7"/>
  <c r="B693" i="7"/>
  <c r="A693" i="7" a="1"/>
  <c r="A693" i="7" s="1"/>
  <c r="I692" i="7"/>
  <c r="H692" i="7"/>
  <c r="F692" i="7" a="1"/>
  <c r="F692" i="7" s="1"/>
  <c r="E692" i="7"/>
  <c r="D692" i="7"/>
  <c r="B692" i="7"/>
  <c r="A692" i="7" a="1"/>
  <c r="A692" i="7" s="1"/>
  <c r="I691" i="7"/>
  <c r="H691" i="7"/>
  <c r="F691" i="7" a="1"/>
  <c r="F691" i="7" s="1"/>
  <c r="E691" i="7"/>
  <c r="D691" i="7"/>
  <c r="B691" i="7"/>
  <c r="A691" i="7" a="1"/>
  <c r="A691" i="7" s="1"/>
  <c r="I690" i="7"/>
  <c r="H690" i="7"/>
  <c r="F690" i="7" a="1"/>
  <c r="F690" i="7" s="1"/>
  <c r="E690" i="7"/>
  <c r="D690" i="7"/>
  <c r="B690" i="7"/>
  <c r="A690" i="7" a="1"/>
  <c r="A690" i="7" s="1"/>
  <c r="I689" i="7"/>
  <c r="H689" i="7"/>
  <c r="F689" i="7" a="1"/>
  <c r="F689" i="7" s="1"/>
  <c r="E689" i="7"/>
  <c r="D689" i="7"/>
  <c r="B689" i="7"/>
  <c r="A689" i="7" a="1"/>
  <c r="A689" i="7" s="1"/>
  <c r="I688" i="7"/>
  <c r="H688" i="7"/>
  <c r="F688" i="7" a="1"/>
  <c r="F688" i="7" s="1"/>
  <c r="E688" i="7"/>
  <c r="D688" i="7"/>
  <c r="B688" i="7"/>
  <c r="A688" i="7" a="1"/>
  <c r="A688" i="7" s="1"/>
  <c r="I687" i="7"/>
  <c r="H687" i="7"/>
  <c r="F687" i="7" a="1"/>
  <c r="F687" i="7" s="1"/>
  <c r="E687" i="7"/>
  <c r="D687" i="7"/>
  <c r="B687" i="7"/>
  <c r="A687" i="7" a="1"/>
  <c r="A687" i="7" s="1"/>
  <c r="I686" i="7"/>
  <c r="H686" i="7"/>
  <c r="F686" i="7" a="1"/>
  <c r="F686" i="7" s="1"/>
  <c r="E686" i="7"/>
  <c r="D686" i="7"/>
  <c r="B686" i="7"/>
  <c r="A686" i="7" a="1"/>
  <c r="A686" i="7" s="1"/>
  <c r="I685" i="7"/>
  <c r="H685" i="7"/>
  <c r="F685" i="7" a="1"/>
  <c r="F685" i="7" s="1"/>
  <c r="E685" i="7"/>
  <c r="D685" i="7"/>
  <c r="B685" i="7"/>
  <c r="A685" i="7" a="1"/>
  <c r="A685" i="7" s="1"/>
  <c r="I684" i="7"/>
  <c r="H684" i="7"/>
  <c r="F684" i="7" a="1"/>
  <c r="F684" i="7" s="1"/>
  <c r="E684" i="7"/>
  <c r="D684" i="7"/>
  <c r="B684" i="7"/>
  <c r="A684" i="7" a="1"/>
  <c r="A684" i="7" s="1"/>
  <c r="I683" i="7"/>
  <c r="H683" i="7"/>
  <c r="F683" i="7" a="1"/>
  <c r="F683" i="7" s="1"/>
  <c r="E683" i="7"/>
  <c r="D683" i="7"/>
  <c r="B683" i="7"/>
  <c r="A683" i="7" a="1"/>
  <c r="A683" i="7" s="1"/>
  <c r="I682" i="7"/>
  <c r="H682" i="7"/>
  <c r="F682" i="7" a="1"/>
  <c r="F682" i="7" s="1"/>
  <c r="E682" i="7"/>
  <c r="D682" i="7"/>
  <c r="B682" i="7"/>
  <c r="A682" i="7" a="1"/>
  <c r="A682" i="7" s="1"/>
  <c r="I681" i="7"/>
  <c r="H681" i="7"/>
  <c r="F681" i="7" a="1"/>
  <c r="F681" i="7" s="1"/>
  <c r="E681" i="7"/>
  <c r="D681" i="7"/>
  <c r="B681" i="7"/>
  <c r="A681" i="7" a="1"/>
  <c r="A681" i="7" s="1"/>
  <c r="I680" i="7"/>
  <c r="H680" i="7"/>
  <c r="F680" i="7" a="1"/>
  <c r="F680" i="7" s="1"/>
  <c r="E680" i="7"/>
  <c r="D680" i="7"/>
  <c r="B680" i="7"/>
  <c r="A680" i="7" a="1"/>
  <c r="A680" i="7" s="1"/>
  <c r="I679" i="7"/>
  <c r="H679" i="7"/>
  <c r="F679" i="7" a="1"/>
  <c r="F679" i="7" s="1"/>
  <c r="E679" i="7"/>
  <c r="D679" i="7"/>
  <c r="B679" i="7"/>
  <c r="A679" i="7" a="1"/>
  <c r="A679" i="7" s="1"/>
  <c r="I678" i="7"/>
  <c r="H678" i="7"/>
  <c r="F678" i="7" a="1"/>
  <c r="F678" i="7" s="1"/>
  <c r="E678" i="7"/>
  <c r="D678" i="7"/>
  <c r="B678" i="7"/>
  <c r="A678" i="7" a="1"/>
  <c r="A678" i="7" s="1"/>
  <c r="I677" i="7"/>
  <c r="H677" i="7"/>
  <c r="F677" i="7" a="1"/>
  <c r="F677" i="7" s="1"/>
  <c r="E677" i="7"/>
  <c r="D677" i="7"/>
  <c r="B677" i="7"/>
  <c r="A677" i="7" a="1"/>
  <c r="A677" i="7" s="1"/>
  <c r="I676" i="7"/>
  <c r="H676" i="7"/>
  <c r="F676" i="7" a="1"/>
  <c r="F676" i="7" s="1"/>
  <c r="E676" i="7"/>
  <c r="D676" i="7"/>
  <c r="B676" i="7"/>
  <c r="A676" i="7" a="1"/>
  <c r="A676" i="7" s="1"/>
  <c r="I675" i="7"/>
  <c r="H675" i="7"/>
  <c r="F675" i="7" a="1"/>
  <c r="F675" i="7" s="1"/>
  <c r="E675" i="7"/>
  <c r="D675" i="7"/>
  <c r="B675" i="7"/>
  <c r="A675" i="7" a="1"/>
  <c r="A675" i="7" s="1"/>
  <c r="I674" i="7"/>
  <c r="H674" i="7"/>
  <c r="F674" i="7" a="1"/>
  <c r="F674" i="7" s="1"/>
  <c r="E674" i="7"/>
  <c r="D674" i="7"/>
  <c r="B674" i="7"/>
  <c r="A674" i="7" a="1"/>
  <c r="A674" i="7" s="1"/>
  <c r="I673" i="7"/>
  <c r="H673" i="7"/>
  <c r="F673" i="7" a="1"/>
  <c r="F673" i="7" s="1"/>
  <c r="E673" i="7"/>
  <c r="D673" i="7"/>
  <c r="B673" i="7"/>
  <c r="A673" i="7" a="1"/>
  <c r="A673" i="7" s="1"/>
  <c r="I672" i="7"/>
  <c r="H672" i="7"/>
  <c r="F672" i="7" a="1"/>
  <c r="F672" i="7" s="1"/>
  <c r="E672" i="7"/>
  <c r="D672" i="7"/>
  <c r="B672" i="7"/>
  <c r="A672" i="7" a="1"/>
  <c r="A672" i="7" s="1"/>
  <c r="I671" i="7"/>
  <c r="H671" i="7"/>
  <c r="F671" i="7" a="1"/>
  <c r="F671" i="7" s="1"/>
  <c r="E671" i="7"/>
  <c r="D671" i="7"/>
  <c r="B671" i="7"/>
  <c r="A671" i="7" a="1"/>
  <c r="A671" i="7" s="1"/>
  <c r="I670" i="7"/>
  <c r="H670" i="7"/>
  <c r="F670" i="7" a="1"/>
  <c r="F670" i="7" s="1"/>
  <c r="E670" i="7"/>
  <c r="D670" i="7"/>
  <c r="B670" i="7"/>
  <c r="A670" i="7" a="1"/>
  <c r="A670" i="7" s="1"/>
  <c r="I669" i="7"/>
  <c r="H669" i="7"/>
  <c r="F669" i="7" a="1"/>
  <c r="F669" i="7" s="1"/>
  <c r="E669" i="7"/>
  <c r="D669" i="7"/>
  <c r="B669" i="7"/>
  <c r="A669" i="7" a="1"/>
  <c r="A669" i="7" s="1"/>
  <c r="I668" i="7"/>
  <c r="H668" i="7"/>
  <c r="F668" i="7" a="1"/>
  <c r="F668" i="7" s="1"/>
  <c r="E668" i="7"/>
  <c r="D668" i="7"/>
  <c r="B668" i="7"/>
  <c r="A668" i="7" a="1"/>
  <c r="A668" i="7" s="1"/>
  <c r="I667" i="7"/>
  <c r="H667" i="7"/>
  <c r="F667" i="7" a="1"/>
  <c r="F667" i="7" s="1"/>
  <c r="E667" i="7"/>
  <c r="D667" i="7"/>
  <c r="B667" i="7"/>
  <c r="A667" i="7" a="1"/>
  <c r="A667" i="7" s="1"/>
  <c r="I666" i="7"/>
  <c r="H666" i="7"/>
  <c r="F666" i="7" a="1"/>
  <c r="F666" i="7" s="1"/>
  <c r="E666" i="7"/>
  <c r="D666" i="7"/>
  <c r="B666" i="7"/>
  <c r="A666" i="7" a="1"/>
  <c r="A666" i="7" s="1"/>
  <c r="I665" i="7"/>
  <c r="H665" i="7"/>
  <c r="F665" i="7" a="1"/>
  <c r="F665" i="7" s="1"/>
  <c r="E665" i="7"/>
  <c r="D665" i="7"/>
  <c r="B665" i="7"/>
  <c r="A665" i="7" a="1"/>
  <c r="A665" i="7" s="1"/>
  <c r="I664" i="7"/>
  <c r="H664" i="7"/>
  <c r="F664" i="7" a="1"/>
  <c r="F664" i="7" s="1"/>
  <c r="E664" i="7"/>
  <c r="D664" i="7"/>
  <c r="B664" i="7"/>
  <c r="A664" i="7" a="1"/>
  <c r="A664" i="7" s="1"/>
  <c r="I663" i="7"/>
  <c r="H663" i="7"/>
  <c r="F663" i="7" a="1"/>
  <c r="F663" i="7" s="1"/>
  <c r="E663" i="7"/>
  <c r="D663" i="7"/>
  <c r="B663" i="7"/>
  <c r="A663" i="7" a="1"/>
  <c r="A663" i="7" s="1"/>
  <c r="I662" i="7"/>
  <c r="H662" i="7"/>
  <c r="F662" i="7" a="1"/>
  <c r="F662" i="7" s="1"/>
  <c r="E662" i="7"/>
  <c r="D662" i="7"/>
  <c r="B662" i="7"/>
  <c r="A662" i="7" a="1"/>
  <c r="A662" i="7" s="1"/>
  <c r="I661" i="7"/>
  <c r="H661" i="7"/>
  <c r="F661" i="7" a="1"/>
  <c r="F661" i="7" s="1"/>
  <c r="E661" i="7"/>
  <c r="D661" i="7"/>
  <c r="B661" i="7"/>
  <c r="A661" i="7" a="1"/>
  <c r="A661" i="7" s="1"/>
  <c r="I660" i="7"/>
  <c r="H660" i="7"/>
  <c r="F660" i="7" a="1"/>
  <c r="F660" i="7" s="1"/>
  <c r="E660" i="7"/>
  <c r="D660" i="7"/>
  <c r="B660" i="7"/>
  <c r="A660" i="7" a="1"/>
  <c r="A660" i="7" s="1"/>
  <c r="I659" i="7"/>
  <c r="H659" i="7"/>
  <c r="F659" i="7" a="1"/>
  <c r="F659" i="7" s="1"/>
  <c r="E659" i="7"/>
  <c r="D659" i="7"/>
  <c r="B659" i="7"/>
  <c r="A659" i="7" a="1"/>
  <c r="A659" i="7" s="1"/>
  <c r="I658" i="7"/>
  <c r="H658" i="7"/>
  <c r="F658" i="7" a="1"/>
  <c r="F658" i="7" s="1"/>
  <c r="E658" i="7"/>
  <c r="D658" i="7"/>
  <c r="B658" i="7"/>
  <c r="A658" i="7" a="1"/>
  <c r="A658" i="7" s="1"/>
  <c r="I657" i="7"/>
  <c r="H657" i="7"/>
  <c r="F657" i="7" a="1"/>
  <c r="F657" i="7" s="1"/>
  <c r="E657" i="7"/>
  <c r="D657" i="7"/>
  <c r="B657" i="7"/>
  <c r="A657" i="7" a="1"/>
  <c r="A657" i="7" s="1"/>
  <c r="I656" i="7"/>
  <c r="H656" i="7"/>
  <c r="F656" i="7" a="1"/>
  <c r="F656" i="7" s="1"/>
  <c r="E656" i="7"/>
  <c r="D656" i="7"/>
  <c r="B656" i="7"/>
  <c r="A656" i="7" a="1"/>
  <c r="A656" i="7" s="1"/>
  <c r="I655" i="7"/>
  <c r="H655" i="7"/>
  <c r="F655" i="7" a="1"/>
  <c r="F655" i="7" s="1"/>
  <c r="E655" i="7"/>
  <c r="D655" i="7"/>
  <c r="B655" i="7"/>
  <c r="A655" i="7" a="1"/>
  <c r="A655" i="7" s="1"/>
  <c r="I654" i="7"/>
  <c r="H654" i="7"/>
  <c r="F654" i="7" a="1"/>
  <c r="F654" i="7" s="1"/>
  <c r="E654" i="7"/>
  <c r="D654" i="7"/>
  <c r="B654" i="7"/>
  <c r="A654" i="7" a="1"/>
  <c r="A654" i="7" s="1"/>
  <c r="I653" i="7"/>
  <c r="H653" i="7"/>
  <c r="F653" i="7" a="1"/>
  <c r="F653" i="7" s="1"/>
  <c r="E653" i="7"/>
  <c r="D653" i="7"/>
  <c r="B653" i="7"/>
  <c r="A653" i="7" a="1"/>
  <c r="A653" i="7" s="1"/>
  <c r="I652" i="7"/>
  <c r="H652" i="7"/>
  <c r="F652" i="7" a="1"/>
  <c r="F652" i="7" s="1"/>
  <c r="E652" i="7"/>
  <c r="D652" i="7"/>
  <c r="B652" i="7"/>
  <c r="A652" i="7" a="1"/>
  <c r="A652" i="7" s="1"/>
  <c r="I651" i="7"/>
  <c r="H651" i="7"/>
  <c r="F651" i="7" a="1"/>
  <c r="F651" i="7" s="1"/>
  <c r="E651" i="7"/>
  <c r="D651" i="7"/>
  <c r="B651" i="7"/>
  <c r="A651" i="7" a="1"/>
  <c r="A651" i="7" s="1"/>
  <c r="I650" i="7"/>
  <c r="H650" i="7"/>
  <c r="F650" i="7" a="1"/>
  <c r="F650" i="7" s="1"/>
  <c r="E650" i="7"/>
  <c r="D650" i="7"/>
  <c r="B650" i="7"/>
  <c r="A650" i="7" a="1"/>
  <c r="A650" i="7" s="1"/>
  <c r="I649" i="7"/>
  <c r="H649" i="7"/>
  <c r="F649" i="7" a="1"/>
  <c r="F649" i="7" s="1"/>
  <c r="E649" i="7"/>
  <c r="D649" i="7"/>
  <c r="B649" i="7"/>
  <c r="A649" i="7" a="1"/>
  <c r="A649" i="7" s="1"/>
  <c r="I648" i="7"/>
  <c r="H648" i="7"/>
  <c r="F648" i="7" a="1"/>
  <c r="F648" i="7" s="1"/>
  <c r="E648" i="7"/>
  <c r="D648" i="7"/>
  <c r="B648" i="7"/>
  <c r="A648" i="7" a="1"/>
  <c r="A648" i="7" s="1"/>
  <c r="I647" i="7"/>
  <c r="H647" i="7"/>
  <c r="F647" i="7" a="1"/>
  <c r="F647" i="7" s="1"/>
  <c r="E647" i="7"/>
  <c r="D647" i="7"/>
  <c r="B647" i="7"/>
  <c r="A647" i="7" a="1"/>
  <c r="A647" i="7" s="1"/>
  <c r="I646" i="7"/>
  <c r="H646" i="7"/>
  <c r="F646" i="7" a="1"/>
  <c r="F646" i="7" s="1"/>
  <c r="E646" i="7"/>
  <c r="D646" i="7"/>
  <c r="B646" i="7"/>
  <c r="A646" i="7" a="1"/>
  <c r="A646" i="7" s="1"/>
  <c r="I645" i="7"/>
  <c r="H645" i="7"/>
  <c r="F645" i="7" a="1"/>
  <c r="F645" i="7" s="1"/>
  <c r="E645" i="7"/>
  <c r="D645" i="7"/>
  <c r="B645" i="7"/>
  <c r="A645" i="7" a="1"/>
  <c r="A645" i="7" s="1"/>
  <c r="I644" i="7"/>
  <c r="H644" i="7"/>
  <c r="F644" i="7" a="1"/>
  <c r="F644" i="7" s="1"/>
  <c r="E644" i="7"/>
  <c r="D644" i="7"/>
  <c r="B644" i="7"/>
  <c r="A644" i="7" a="1"/>
  <c r="A644" i="7" s="1"/>
  <c r="I643" i="7"/>
  <c r="H643" i="7"/>
  <c r="F643" i="7" a="1"/>
  <c r="F643" i="7" s="1"/>
  <c r="E643" i="7"/>
  <c r="D643" i="7"/>
  <c r="B643" i="7"/>
  <c r="A643" i="7" a="1"/>
  <c r="A643" i="7" s="1"/>
  <c r="I642" i="7"/>
  <c r="H642" i="7"/>
  <c r="F642" i="7" a="1"/>
  <c r="F642" i="7" s="1"/>
  <c r="E642" i="7"/>
  <c r="D642" i="7"/>
  <c r="B642" i="7"/>
  <c r="A642" i="7" a="1"/>
  <c r="A642" i="7" s="1"/>
  <c r="I641" i="7"/>
  <c r="H641" i="7"/>
  <c r="F641" i="7" a="1"/>
  <c r="F641" i="7" s="1"/>
  <c r="E641" i="7"/>
  <c r="D641" i="7"/>
  <c r="B641" i="7"/>
  <c r="A641" i="7" a="1"/>
  <c r="A641" i="7" s="1"/>
  <c r="I640" i="7"/>
  <c r="H640" i="7"/>
  <c r="F640" i="7" a="1"/>
  <c r="F640" i="7" s="1"/>
  <c r="E640" i="7"/>
  <c r="D640" i="7"/>
  <c r="B640" i="7"/>
  <c r="A640" i="7" a="1"/>
  <c r="A640" i="7" s="1"/>
  <c r="I639" i="7"/>
  <c r="H639" i="7"/>
  <c r="F639" i="7" a="1"/>
  <c r="F639" i="7" s="1"/>
  <c r="E639" i="7"/>
  <c r="D639" i="7"/>
  <c r="B639" i="7"/>
  <c r="A639" i="7" a="1"/>
  <c r="A639" i="7" s="1"/>
  <c r="I638" i="7"/>
  <c r="H638" i="7"/>
  <c r="F638" i="7" a="1"/>
  <c r="F638" i="7" s="1"/>
  <c r="E638" i="7"/>
  <c r="D638" i="7"/>
  <c r="B638" i="7"/>
  <c r="A638" i="7" a="1"/>
  <c r="A638" i="7" s="1"/>
  <c r="I637" i="7"/>
  <c r="H637" i="7"/>
  <c r="F637" i="7" a="1"/>
  <c r="F637" i="7" s="1"/>
  <c r="E637" i="7"/>
  <c r="D637" i="7"/>
  <c r="B637" i="7"/>
  <c r="A637" i="7" a="1"/>
  <c r="A637" i="7" s="1"/>
  <c r="I636" i="7"/>
  <c r="H636" i="7"/>
  <c r="F636" i="7" a="1"/>
  <c r="F636" i="7" s="1"/>
  <c r="E636" i="7"/>
  <c r="D636" i="7"/>
  <c r="B636" i="7"/>
  <c r="A636" i="7" a="1"/>
  <c r="A636" i="7" s="1"/>
  <c r="I635" i="7"/>
  <c r="H635" i="7"/>
  <c r="F635" i="7" a="1"/>
  <c r="F635" i="7" s="1"/>
  <c r="E635" i="7"/>
  <c r="D635" i="7"/>
  <c r="B635" i="7"/>
  <c r="A635" i="7" a="1"/>
  <c r="A635" i="7" s="1"/>
  <c r="I634" i="7"/>
  <c r="H634" i="7"/>
  <c r="F634" i="7" a="1"/>
  <c r="F634" i="7" s="1"/>
  <c r="E634" i="7"/>
  <c r="D634" i="7"/>
  <c r="B634" i="7"/>
  <c r="A634" i="7" a="1"/>
  <c r="A634" i="7" s="1"/>
  <c r="I633" i="7"/>
  <c r="H633" i="7"/>
  <c r="F633" i="7" a="1"/>
  <c r="F633" i="7" s="1"/>
  <c r="E633" i="7"/>
  <c r="D633" i="7"/>
  <c r="B633" i="7"/>
  <c r="A633" i="7" a="1"/>
  <c r="A633" i="7" s="1"/>
  <c r="I632" i="7"/>
  <c r="H632" i="7"/>
  <c r="F632" i="7" a="1"/>
  <c r="F632" i="7" s="1"/>
  <c r="E632" i="7"/>
  <c r="D632" i="7"/>
  <c r="B632" i="7"/>
  <c r="A632" i="7" a="1"/>
  <c r="A632" i="7" s="1"/>
  <c r="I631" i="7"/>
  <c r="H631" i="7"/>
  <c r="F631" i="7" a="1"/>
  <c r="F631" i="7" s="1"/>
  <c r="E631" i="7"/>
  <c r="D631" i="7"/>
  <c r="B631" i="7"/>
  <c r="A631" i="7" a="1"/>
  <c r="A631" i="7" s="1"/>
  <c r="I630" i="7"/>
  <c r="H630" i="7"/>
  <c r="F630" i="7" a="1"/>
  <c r="F630" i="7" s="1"/>
  <c r="E630" i="7"/>
  <c r="D630" i="7"/>
  <c r="B630" i="7"/>
  <c r="A630" i="7" a="1"/>
  <c r="A630" i="7" s="1"/>
  <c r="I629" i="7"/>
  <c r="H629" i="7"/>
  <c r="F629" i="7" a="1"/>
  <c r="F629" i="7" s="1"/>
  <c r="E629" i="7"/>
  <c r="D629" i="7"/>
  <c r="B629" i="7"/>
  <c r="A629" i="7" a="1"/>
  <c r="A629" i="7" s="1"/>
  <c r="I628" i="7"/>
  <c r="H628" i="7"/>
  <c r="F628" i="7" a="1"/>
  <c r="F628" i="7" s="1"/>
  <c r="E628" i="7"/>
  <c r="D628" i="7"/>
  <c r="B628" i="7"/>
  <c r="A628" i="7" a="1"/>
  <c r="A628" i="7" s="1"/>
  <c r="I627" i="7"/>
  <c r="H627" i="7"/>
  <c r="F627" i="7" a="1"/>
  <c r="F627" i="7" s="1"/>
  <c r="E627" i="7"/>
  <c r="D627" i="7"/>
  <c r="B627" i="7"/>
  <c r="A627" i="7" a="1"/>
  <c r="A627" i="7" s="1"/>
  <c r="I626" i="7"/>
  <c r="H626" i="7"/>
  <c r="F626" i="7" a="1"/>
  <c r="F626" i="7" s="1"/>
  <c r="E626" i="7"/>
  <c r="D626" i="7"/>
  <c r="B626" i="7"/>
  <c r="A626" i="7" a="1"/>
  <c r="A626" i="7" s="1"/>
  <c r="I625" i="7"/>
  <c r="H625" i="7"/>
  <c r="F625" i="7" a="1"/>
  <c r="F625" i="7" s="1"/>
  <c r="E625" i="7"/>
  <c r="D625" i="7"/>
  <c r="B625" i="7"/>
  <c r="A625" i="7" a="1"/>
  <c r="A625" i="7" s="1"/>
  <c r="I624" i="7"/>
  <c r="H624" i="7"/>
  <c r="F624" i="7" a="1"/>
  <c r="F624" i="7" s="1"/>
  <c r="E624" i="7"/>
  <c r="D624" i="7"/>
  <c r="B624" i="7"/>
  <c r="A624" i="7" a="1"/>
  <c r="A624" i="7" s="1"/>
  <c r="I623" i="7"/>
  <c r="H623" i="7"/>
  <c r="F623" i="7" a="1"/>
  <c r="F623" i="7" s="1"/>
  <c r="E623" i="7"/>
  <c r="D623" i="7"/>
  <c r="B623" i="7"/>
  <c r="A623" i="7" a="1"/>
  <c r="A623" i="7" s="1"/>
  <c r="I622" i="7"/>
  <c r="H622" i="7"/>
  <c r="F622" i="7" a="1"/>
  <c r="F622" i="7" s="1"/>
  <c r="E622" i="7"/>
  <c r="D622" i="7"/>
  <c r="B622" i="7"/>
  <c r="A622" i="7" a="1"/>
  <c r="A622" i="7" s="1"/>
  <c r="I621" i="7"/>
  <c r="H621" i="7"/>
  <c r="F621" i="7" a="1"/>
  <c r="F621" i="7" s="1"/>
  <c r="E621" i="7"/>
  <c r="D621" i="7"/>
  <c r="B621" i="7"/>
  <c r="A621" i="7" a="1"/>
  <c r="A621" i="7" s="1"/>
  <c r="I620" i="7"/>
  <c r="H620" i="7"/>
  <c r="F620" i="7" a="1"/>
  <c r="F620" i="7" s="1"/>
  <c r="E620" i="7"/>
  <c r="D620" i="7"/>
  <c r="B620" i="7"/>
  <c r="A620" i="7" a="1"/>
  <c r="A620" i="7" s="1"/>
  <c r="I619" i="7"/>
  <c r="H619" i="7"/>
  <c r="F619" i="7" a="1"/>
  <c r="F619" i="7" s="1"/>
  <c r="E619" i="7"/>
  <c r="D619" i="7"/>
  <c r="B619" i="7"/>
  <c r="A619" i="7" a="1"/>
  <c r="A619" i="7" s="1"/>
  <c r="I618" i="7"/>
  <c r="H618" i="7"/>
  <c r="F618" i="7" a="1"/>
  <c r="F618" i="7" s="1"/>
  <c r="E618" i="7"/>
  <c r="D618" i="7"/>
  <c r="B618" i="7"/>
  <c r="A618" i="7" a="1"/>
  <c r="A618" i="7" s="1"/>
  <c r="I617" i="7"/>
  <c r="H617" i="7"/>
  <c r="F617" i="7" a="1"/>
  <c r="F617" i="7" s="1"/>
  <c r="E617" i="7"/>
  <c r="D617" i="7"/>
  <c r="B617" i="7"/>
  <c r="A617" i="7" a="1"/>
  <c r="A617" i="7" s="1"/>
  <c r="I616" i="7"/>
  <c r="H616" i="7"/>
  <c r="F616" i="7" a="1"/>
  <c r="F616" i="7" s="1"/>
  <c r="E616" i="7"/>
  <c r="D616" i="7"/>
  <c r="B616" i="7"/>
  <c r="A616" i="7" a="1"/>
  <c r="A616" i="7" s="1"/>
  <c r="I615" i="7"/>
  <c r="H615" i="7"/>
  <c r="F615" i="7" a="1"/>
  <c r="F615" i="7" s="1"/>
  <c r="E615" i="7"/>
  <c r="D615" i="7"/>
  <c r="B615" i="7"/>
  <c r="A615" i="7" a="1"/>
  <c r="A615" i="7" s="1"/>
  <c r="I614" i="7"/>
  <c r="H614" i="7"/>
  <c r="F614" i="7" a="1"/>
  <c r="F614" i="7" s="1"/>
  <c r="E614" i="7"/>
  <c r="D614" i="7"/>
  <c r="B614" i="7"/>
  <c r="A614" i="7" a="1"/>
  <c r="A614" i="7" s="1"/>
  <c r="I613" i="7"/>
  <c r="H613" i="7"/>
  <c r="F613" i="7" a="1"/>
  <c r="F613" i="7" s="1"/>
  <c r="E613" i="7"/>
  <c r="D613" i="7"/>
  <c r="B613" i="7"/>
  <c r="A613" i="7" a="1"/>
  <c r="A613" i="7" s="1"/>
  <c r="I612" i="7"/>
  <c r="H612" i="7"/>
  <c r="F612" i="7" a="1"/>
  <c r="F612" i="7" s="1"/>
  <c r="E612" i="7"/>
  <c r="D612" i="7"/>
  <c r="B612" i="7"/>
  <c r="A612" i="7" a="1"/>
  <c r="A612" i="7" s="1"/>
  <c r="I611" i="7"/>
  <c r="H611" i="7"/>
  <c r="F611" i="7" a="1"/>
  <c r="F611" i="7" s="1"/>
  <c r="E611" i="7"/>
  <c r="D611" i="7"/>
  <c r="B611" i="7"/>
  <c r="A611" i="7" a="1"/>
  <c r="A611" i="7" s="1"/>
  <c r="I610" i="7"/>
  <c r="H610" i="7"/>
  <c r="F610" i="7" a="1"/>
  <c r="F610" i="7" s="1"/>
  <c r="E610" i="7"/>
  <c r="D610" i="7"/>
  <c r="B610" i="7"/>
  <c r="A610" i="7" a="1"/>
  <c r="A610" i="7" s="1"/>
  <c r="I609" i="7"/>
  <c r="H609" i="7"/>
  <c r="F609" i="7" a="1"/>
  <c r="F609" i="7" s="1"/>
  <c r="E609" i="7"/>
  <c r="D609" i="7"/>
  <c r="B609" i="7"/>
  <c r="A609" i="7" a="1"/>
  <c r="A609" i="7" s="1"/>
  <c r="I608" i="7"/>
  <c r="H608" i="7"/>
  <c r="F608" i="7" a="1"/>
  <c r="F608" i="7" s="1"/>
  <c r="E608" i="7"/>
  <c r="D608" i="7"/>
  <c r="B608" i="7"/>
  <c r="A608" i="7" a="1"/>
  <c r="A608" i="7" s="1"/>
  <c r="I607" i="7"/>
  <c r="H607" i="7"/>
  <c r="F607" i="7" a="1"/>
  <c r="F607" i="7" s="1"/>
  <c r="E607" i="7"/>
  <c r="D607" i="7"/>
  <c r="B607" i="7"/>
  <c r="A607" i="7" a="1"/>
  <c r="A607" i="7" s="1"/>
  <c r="I606" i="7"/>
  <c r="H606" i="7"/>
  <c r="F606" i="7" a="1"/>
  <c r="F606" i="7" s="1"/>
  <c r="E606" i="7"/>
  <c r="D606" i="7"/>
  <c r="B606" i="7"/>
  <c r="A606" i="7" a="1"/>
  <c r="A606" i="7" s="1"/>
  <c r="I605" i="7"/>
  <c r="H605" i="7"/>
  <c r="F605" i="7" a="1"/>
  <c r="F605" i="7" s="1"/>
  <c r="E605" i="7"/>
  <c r="D605" i="7"/>
  <c r="B605" i="7"/>
  <c r="A605" i="7" a="1"/>
  <c r="A605" i="7" s="1"/>
  <c r="I604" i="7"/>
  <c r="H604" i="7"/>
  <c r="F604" i="7" a="1"/>
  <c r="F604" i="7" s="1"/>
  <c r="E604" i="7"/>
  <c r="D604" i="7"/>
  <c r="B604" i="7"/>
  <c r="A604" i="7" a="1"/>
  <c r="A604" i="7" s="1"/>
  <c r="I603" i="7"/>
  <c r="H603" i="7"/>
  <c r="F603" i="7" a="1"/>
  <c r="F603" i="7" s="1"/>
  <c r="E603" i="7"/>
  <c r="D603" i="7"/>
  <c r="B603" i="7"/>
  <c r="A603" i="7" a="1"/>
  <c r="A603" i="7" s="1"/>
  <c r="I602" i="7"/>
  <c r="H602" i="7"/>
  <c r="F602" i="7" a="1"/>
  <c r="F602" i="7" s="1"/>
  <c r="E602" i="7"/>
  <c r="D602" i="7"/>
  <c r="B602" i="7"/>
  <c r="A602" i="7" a="1"/>
  <c r="A602" i="7" s="1"/>
  <c r="I601" i="7"/>
  <c r="H601" i="7"/>
  <c r="F601" i="7" a="1"/>
  <c r="F601" i="7" s="1"/>
  <c r="E601" i="7"/>
  <c r="D601" i="7"/>
  <c r="B601" i="7"/>
  <c r="A601" i="7" a="1"/>
  <c r="A601" i="7" s="1"/>
  <c r="I600" i="7"/>
  <c r="H600" i="7"/>
  <c r="F600" i="7" a="1"/>
  <c r="F600" i="7" s="1"/>
  <c r="E600" i="7"/>
  <c r="D600" i="7"/>
  <c r="B600" i="7"/>
  <c r="A600" i="7" a="1"/>
  <c r="A600" i="7" s="1"/>
  <c r="I599" i="7"/>
  <c r="H599" i="7"/>
  <c r="F599" i="7" a="1"/>
  <c r="F599" i="7" s="1"/>
  <c r="E599" i="7"/>
  <c r="D599" i="7"/>
  <c r="B599" i="7"/>
  <c r="A599" i="7" a="1"/>
  <c r="A599" i="7" s="1"/>
  <c r="I598" i="7"/>
  <c r="H598" i="7"/>
  <c r="F598" i="7" a="1"/>
  <c r="F598" i="7" s="1"/>
  <c r="E598" i="7"/>
  <c r="D598" i="7"/>
  <c r="B598" i="7"/>
  <c r="A598" i="7" a="1"/>
  <c r="A598" i="7" s="1"/>
  <c r="I597" i="7"/>
  <c r="H597" i="7"/>
  <c r="F597" i="7" a="1"/>
  <c r="F597" i="7" s="1"/>
  <c r="E597" i="7"/>
  <c r="D597" i="7"/>
  <c r="B597" i="7"/>
  <c r="A597" i="7" a="1"/>
  <c r="A597" i="7" s="1"/>
  <c r="I596" i="7"/>
  <c r="H596" i="7"/>
  <c r="F596" i="7" a="1"/>
  <c r="F596" i="7" s="1"/>
  <c r="E596" i="7"/>
  <c r="D596" i="7"/>
  <c r="B596" i="7"/>
  <c r="A596" i="7" a="1"/>
  <c r="A596" i="7" s="1"/>
  <c r="I595" i="7"/>
  <c r="H595" i="7"/>
  <c r="F595" i="7" a="1"/>
  <c r="F595" i="7" s="1"/>
  <c r="E595" i="7"/>
  <c r="D595" i="7"/>
  <c r="B595" i="7"/>
  <c r="A595" i="7" a="1"/>
  <c r="A595" i="7" s="1"/>
  <c r="I594" i="7"/>
  <c r="H594" i="7"/>
  <c r="F594" i="7" a="1"/>
  <c r="F594" i="7" s="1"/>
  <c r="E594" i="7"/>
  <c r="D594" i="7"/>
  <c r="B594" i="7"/>
  <c r="A594" i="7" a="1"/>
  <c r="A594" i="7" s="1"/>
  <c r="I593" i="7"/>
  <c r="H593" i="7"/>
  <c r="F593" i="7" a="1"/>
  <c r="F593" i="7" s="1"/>
  <c r="E593" i="7"/>
  <c r="D593" i="7"/>
  <c r="B593" i="7"/>
  <c r="A593" i="7" a="1"/>
  <c r="A593" i="7" s="1"/>
  <c r="I592" i="7"/>
  <c r="H592" i="7"/>
  <c r="F592" i="7" a="1"/>
  <c r="F592" i="7" s="1"/>
  <c r="E592" i="7"/>
  <c r="D592" i="7"/>
  <c r="B592" i="7"/>
  <c r="A592" i="7" a="1"/>
  <c r="A592" i="7" s="1"/>
  <c r="I591" i="7"/>
  <c r="H591" i="7"/>
  <c r="F591" i="7" a="1"/>
  <c r="F591" i="7" s="1"/>
  <c r="E591" i="7"/>
  <c r="D591" i="7"/>
  <c r="B591" i="7"/>
  <c r="A591" i="7" a="1"/>
  <c r="A591" i="7" s="1"/>
  <c r="I590" i="7"/>
  <c r="H590" i="7"/>
  <c r="F590" i="7" a="1"/>
  <c r="F590" i="7" s="1"/>
  <c r="E590" i="7"/>
  <c r="D590" i="7"/>
  <c r="B590" i="7"/>
  <c r="A590" i="7" a="1"/>
  <c r="A590" i="7" s="1"/>
  <c r="I589" i="7"/>
  <c r="H589" i="7"/>
  <c r="F589" i="7" a="1"/>
  <c r="F589" i="7" s="1"/>
  <c r="E589" i="7"/>
  <c r="D589" i="7"/>
  <c r="B589" i="7"/>
  <c r="A589" i="7" a="1"/>
  <c r="A589" i="7" s="1"/>
  <c r="I588" i="7"/>
  <c r="H588" i="7"/>
  <c r="F588" i="7" a="1"/>
  <c r="F588" i="7" s="1"/>
  <c r="E588" i="7"/>
  <c r="D588" i="7"/>
  <c r="B588" i="7"/>
  <c r="A588" i="7" a="1"/>
  <c r="A588" i="7" s="1"/>
  <c r="I587" i="7"/>
  <c r="H587" i="7"/>
  <c r="F587" i="7" a="1"/>
  <c r="F587" i="7" s="1"/>
  <c r="E587" i="7"/>
  <c r="D587" i="7"/>
  <c r="B587" i="7"/>
  <c r="A587" i="7" a="1"/>
  <c r="A587" i="7" s="1"/>
  <c r="I586" i="7"/>
  <c r="H586" i="7"/>
  <c r="F586" i="7" a="1"/>
  <c r="F586" i="7" s="1"/>
  <c r="E586" i="7"/>
  <c r="D586" i="7"/>
  <c r="B586" i="7"/>
  <c r="A586" i="7" a="1"/>
  <c r="A586" i="7" s="1"/>
  <c r="I585" i="7"/>
  <c r="H585" i="7"/>
  <c r="F585" i="7" a="1"/>
  <c r="F585" i="7" s="1"/>
  <c r="E585" i="7"/>
  <c r="D585" i="7"/>
  <c r="B585" i="7"/>
  <c r="A585" i="7" a="1"/>
  <c r="A585" i="7" s="1"/>
  <c r="I584" i="7"/>
  <c r="H584" i="7"/>
  <c r="F584" i="7" a="1"/>
  <c r="F584" i="7" s="1"/>
  <c r="E584" i="7"/>
  <c r="D584" i="7"/>
  <c r="B584" i="7"/>
  <c r="A584" i="7" a="1"/>
  <c r="A584" i="7" s="1"/>
  <c r="I583" i="7"/>
  <c r="H583" i="7"/>
  <c r="F583" i="7" a="1"/>
  <c r="F583" i="7" s="1"/>
  <c r="E583" i="7"/>
  <c r="D583" i="7"/>
  <c r="B583" i="7"/>
  <c r="A583" i="7" a="1"/>
  <c r="A583" i="7" s="1"/>
  <c r="I582" i="7"/>
  <c r="H582" i="7"/>
  <c r="F582" i="7" a="1"/>
  <c r="F582" i="7" s="1"/>
  <c r="E582" i="7"/>
  <c r="D582" i="7"/>
  <c r="B582" i="7"/>
  <c r="A582" i="7" a="1"/>
  <c r="A582" i="7" s="1"/>
  <c r="I581" i="7"/>
  <c r="H581" i="7"/>
  <c r="F581" i="7" a="1"/>
  <c r="F581" i="7" s="1"/>
  <c r="E581" i="7"/>
  <c r="D581" i="7"/>
  <c r="B581" i="7"/>
  <c r="A581" i="7" a="1"/>
  <c r="A581" i="7" s="1"/>
  <c r="I580" i="7"/>
  <c r="H580" i="7"/>
  <c r="F580" i="7" a="1"/>
  <c r="F580" i="7" s="1"/>
  <c r="E580" i="7"/>
  <c r="D580" i="7"/>
  <c r="B580" i="7"/>
  <c r="A580" i="7" a="1"/>
  <c r="A580" i="7" s="1"/>
  <c r="I579" i="7"/>
  <c r="H579" i="7"/>
  <c r="F579" i="7" a="1"/>
  <c r="F579" i="7" s="1"/>
  <c r="E579" i="7"/>
  <c r="D579" i="7"/>
  <c r="B579" i="7"/>
  <c r="A579" i="7" a="1"/>
  <c r="A579" i="7" s="1"/>
  <c r="I578" i="7"/>
  <c r="H578" i="7"/>
  <c r="F578" i="7" a="1"/>
  <c r="F578" i="7" s="1"/>
  <c r="E578" i="7"/>
  <c r="D578" i="7"/>
  <c r="B578" i="7"/>
  <c r="A578" i="7" a="1"/>
  <c r="A578" i="7" s="1"/>
  <c r="I577" i="7"/>
  <c r="H577" i="7"/>
  <c r="F577" i="7" a="1"/>
  <c r="F577" i="7" s="1"/>
  <c r="E577" i="7"/>
  <c r="D577" i="7"/>
  <c r="B577" i="7"/>
  <c r="A577" i="7" a="1"/>
  <c r="A577" i="7" s="1"/>
  <c r="I576" i="7"/>
  <c r="H576" i="7"/>
  <c r="F576" i="7" a="1"/>
  <c r="F576" i="7" s="1"/>
  <c r="E576" i="7"/>
  <c r="D576" i="7"/>
  <c r="B576" i="7"/>
  <c r="A576" i="7" a="1"/>
  <c r="A576" i="7" s="1"/>
  <c r="I575" i="7"/>
  <c r="H575" i="7"/>
  <c r="F575" i="7" a="1"/>
  <c r="F575" i="7" s="1"/>
  <c r="E575" i="7"/>
  <c r="D575" i="7"/>
  <c r="B575" i="7"/>
  <c r="A575" i="7" a="1"/>
  <c r="A575" i="7" s="1"/>
  <c r="I574" i="7"/>
  <c r="H574" i="7"/>
  <c r="F574" i="7" a="1"/>
  <c r="F574" i="7" s="1"/>
  <c r="E574" i="7"/>
  <c r="D574" i="7"/>
  <c r="B574" i="7"/>
  <c r="A574" i="7" a="1"/>
  <c r="A574" i="7" s="1"/>
  <c r="I573" i="7"/>
  <c r="H573" i="7"/>
  <c r="F573" i="7" a="1"/>
  <c r="F573" i="7" s="1"/>
  <c r="E573" i="7"/>
  <c r="D573" i="7"/>
  <c r="B573" i="7"/>
  <c r="A573" i="7" a="1"/>
  <c r="A573" i="7" s="1"/>
  <c r="I572" i="7"/>
  <c r="H572" i="7"/>
  <c r="F572" i="7" a="1"/>
  <c r="F572" i="7" s="1"/>
  <c r="E572" i="7"/>
  <c r="D572" i="7"/>
  <c r="B572" i="7"/>
  <c r="A572" i="7" a="1"/>
  <c r="A572" i="7" s="1"/>
  <c r="I571" i="7"/>
  <c r="H571" i="7"/>
  <c r="F571" i="7" a="1"/>
  <c r="F571" i="7" s="1"/>
  <c r="E571" i="7"/>
  <c r="D571" i="7"/>
  <c r="B571" i="7"/>
  <c r="A571" i="7" a="1"/>
  <c r="A571" i="7" s="1"/>
  <c r="I570" i="7"/>
  <c r="H570" i="7"/>
  <c r="F570" i="7" a="1"/>
  <c r="F570" i="7" s="1"/>
  <c r="E570" i="7"/>
  <c r="D570" i="7"/>
  <c r="B570" i="7"/>
  <c r="A570" i="7" a="1"/>
  <c r="A570" i="7" s="1"/>
  <c r="I569" i="7"/>
  <c r="H569" i="7"/>
  <c r="F569" i="7" a="1"/>
  <c r="F569" i="7" s="1"/>
  <c r="E569" i="7"/>
  <c r="D569" i="7"/>
  <c r="B569" i="7"/>
  <c r="A569" i="7" a="1"/>
  <c r="A569" i="7" s="1"/>
  <c r="I568" i="7"/>
  <c r="H568" i="7"/>
  <c r="F568" i="7" a="1"/>
  <c r="F568" i="7" s="1"/>
  <c r="E568" i="7"/>
  <c r="D568" i="7"/>
  <c r="B568" i="7"/>
  <c r="A568" i="7" a="1"/>
  <c r="A568" i="7" s="1"/>
  <c r="I567" i="7"/>
  <c r="H567" i="7"/>
  <c r="F567" i="7" a="1"/>
  <c r="F567" i="7" s="1"/>
  <c r="E567" i="7"/>
  <c r="D567" i="7"/>
  <c r="B567" i="7"/>
  <c r="A567" i="7" a="1"/>
  <c r="A567" i="7" s="1"/>
  <c r="I566" i="7"/>
  <c r="H566" i="7"/>
  <c r="F566" i="7" a="1"/>
  <c r="F566" i="7" s="1"/>
  <c r="E566" i="7"/>
  <c r="D566" i="7"/>
  <c r="B566" i="7"/>
  <c r="A566" i="7" a="1"/>
  <c r="A566" i="7" s="1"/>
  <c r="I565" i="7"/>
  <c r="H565" i="7"/>
  <c r="F565" i="7" a="1"/>
  <c r="F565" i="7" s="1"/>
  <c r="E565" i="7"/>
  <c r="D565" i="7"/>
  <c r="B565" i="7"/>
  <c r="A565" i="7" a="1"/>
  <c r="A565" i="7" s="1"/>
  <c r="I564" i="7"/>
  <c r="H564" i="7"/>
  <c r="F564" i="7" a="1"/>
  <c r="F564" i="7" s="1"/>
  <c r="E564" i="7"/>
  <c r="D564" i="7"/>
  <c r="B564" i="7"/>
  <c r="A564" i="7" a="1"/>
  <c r="A564" i="7" s="1"/>
  <c r="I563" i="7"/>
  <c r="H563" i="7"/>
  <c r="F563" i="7" a="1"/>
  <c r="F563" i="7" s="1"/>
  <c r="E563" i="7"/>
  <c r="D563" i="7"/>
  <c r="B563" i="7"/>
  <c r="A563" i="7" a="1"/>
  <c r="A563" i="7" s="1"/>
  <c r="I562" i="7"/>
  <c r="H562" i="7"/>
  <c r="F562" i="7" a="1"/>
  <c r="F562" i="7" s="1"/>
  <c r="E562" i="7"/>
  <c r="D562" i="7"/>
  <c r="B562" i="7"/>
  <c r="A562" i="7" a="1"/>
  <c r="A562" i="7" s="1"/>
  <c r="I561" i="7"/>
  <c r="H561" i="7"/>
  <c r="F561" i="7" a="1"/>
  <c r="F561" i="7" s="1"/>
  <c r="E561" i="7"/>
  <c r="D561" i="7"/>
  <c r="B561" i="7"/>
  <c r="A561" i="7" a="1"/>
  <c r="A561" i="7" s="1"/>
  <c r="I560" i="7"/>
  <c r="H560" i="7"/>
  <c r="F560" i="7" a="1"/>
  <c r="F560" i="7" s="1"/>
  <c r="E560" i="7"/>
  <c r="D560" i="7"/>
  <c r="B560" i="7"/>
  <c r="A560" i="7" a="1"/>
  <c r="A560" i="7" s="1"/>
  <c r="I559" i="7"/>
  <c r="H559" i="7"/>
  <c r="F559" i="7" a="1"/>
  <c r="F559" i="7" s="1"/>
  <c r="E559" i="7"/>
  <c r="D559" i="7"/>
  <c r="B559" i="7"/>
  <c r="A559" i="7" a="1"/>
  <c r="A559" i="7" s="1"/>
  <c r="I558" i="7"/>
  <c r="H558" i="7"/>
  <c r="F558" i="7" a="1"/>
  <c r="F558" i="7" s="1"/>
  <c r="E558" i="7"/>
  <c r="D558" i="7"/>
  <c r="B558" i="7"/>
  <c r="A558" i="7" a="1"/>
  <c r="A558" i="7" s="1"/>
  <c r="I557" i="7"/>
  <c r="H557" i="7"/>
  <c r="F557" i="7" a="1"/>
  <c r="F557" i="7" s="1"/>
  <c r="E557" i="7"/>
  <c r="D557" i="7"/>
  <c r="B557" i="7"/>
  <c r="A557" i="7" a="1"/>
  <c r="A557" i="7" s="1"/>
  <c r="I556" i="7"/>
  <c r="H556" i="7"/>
  <c r="F556" i="7" a="1"/>
  <c r="F556" i="7" s="1"/>
  <c r="E556" i="7"/>
  <c r="D556" i="7"/>
  <c r="B556" i="7"/>
  <c r="A556" i="7" a="1"/>
  <c r="A556" i="7" s="1"/>
  <c r="I555" i="7"/>
  <c r="H555" i="7"/>
  <c r="F555" i="7" a="1"/>
  <c r="F555" i="7" s="1"/>
  <c r="E555" i="7"/>
  <c r="D555" i="7"/>
  <c r="B555" i="7"/>
  <c r="A555" i="7" a="1"/>
  <c r="A555" i="7" s="1"/>
  <c r="I554" i="7"/>
  <c r="H554" i="7"/>
  <c r="F554" i="7" a="1"/>
  <c r="F554" i="7" s="1"/>
  <c r="E554" i="7"/>
  <c r="D554" i="7"/>
  <c r="B554" i="7"/>
  <c r="A554" i="7" a="1"/>
  <c r="A554" i="7" s="1"/>
  <c r="I553" i="7"/>
  <c r="H553" i="7"/>
  <c r="F553" i="7" a="1"/>
  <c r="F553" i="7" s="1"/>
  <c r="E553" i="7"/>
  <c r="D553" i="7"/>
  <c r="B553" i="7"/>
  <c r="A553" i="7" a="1"/>
  <c r="A553" i="7" s="1"/>
  <c r="I552" i="7"/>
  <c r="H552" i="7"/>
  <c r="F552" i="7" a="1"/>
  <c r="F552" i="7" s="1"/>
  <c r="E552" i="7"/>
  <c r="D552" i="7"/>
  <c r="B552" i="7"/>
  <c r="A552" i="7" a="1"/>
  <c r="A552" i="7" s="1"/>
  <c r="I551" i="7"/>
  <c r="H551" i="7"/>
  <c r="F551" i="7" a="1"/>
  <c r="F551" i="7" s="1"/>
  <c r="E551" i="7"/>
  <c r="D551" i="7"/>
  <c r="B551" i="7"/>
  <c r="A551" i="7" a="1"/>
  <c r="A551" i="7" s="1"/>
  <c r="I550" i="7"/>
  <c r="H550" i="7"/>
  <c r="F550" i="7" a="1"/>
  <c r="F550" i="7" s="1"/>
  <c r="E550" i="7"/>
  <c r="D550" i="7"/>
  <c r="B550" i="7"/>
  <c r="A550" i="7" a="1"/>
  <c r="A550" i="7" s="1"/>
  <c r="I549" i="7"/>
  <c r="H549" i="7"/>
  <c r="F549" i="7" a="1"/>
  <c r="F549" i="7" s="1"/>
  <c r="E549" i="7"/>
  <c r="D549" i="7"/>
  <c r="B549" i="7"/>
  <c r="A549" i="7" a="1"/>
  <c r="A549" i="7" s="1"/>
  <c r="I548" i="7"/>
  <c r="H548" i="7"/>
  <c r="F548" i="7" a="1"/>
  <c r="F548" i="7" s="1"/>
  <c r="E548" i="7"/>
  <c r="D548" i="7"/>
  <c r="B548" i="7"/>
  <c r="A548" i="7" a="1"/>
  <c r="A548" i="7" s="1"/>
  <c r="I547" i="7"/>
  <c r="H547" i="7"/>
  <c r="F547" i="7" a="1"/>
  <c r="F547" i="7" s="1"/>
  <c r="E547" i="7"/>
  <c r="D547" i="7"/>
  <c r="B547" i="7"/>
  <c r="A547" i="7" a="1"/>
  <c r="A547" i="7" s="1"/>
  <c r="I546" i="7"/>
  <c r="H546" i="7"/>
  <c r="F546" i="7" a="1"/>
  <c r="F546" i="7" s="1"/>
  <c r="E546" i="7"/>
  <c r="D546" i="7"/>
  <c r="B546" i="7"/>
  <c r="A546" i="7" a="1"/>
  <c r="A546" i="7" s="1"/>
  <c r="I545" i="7"/>
  <c r="H545" i="7"/>
  <c r="F545" i="7" a="1"/>
  <c r="F545" i="7" s="1"/>
  <c r="E545" i="7"/>
  <c r="D545" i="7"/>
  <c r="B545" i="7"/>
  <c r="A545" i="7" a="1"/>
  <c r="A545" i="7" s="1"/>
  <c r="I544" i="7"/>
  <c r="H544" i="7"/>
  <c r="F544" i="7" a="1"/>
  <c r="F544" i="7" s="1"/>
  <c r="E544" i="7"/>
  <c r="D544" i="7"/>
  <c r="B544" i="7"/>
  <c r="A544" i="7" a="1"/>
  <c r="A544" i="7" s="1"/>
  <c r="I543" i="7"/>
  <c r="H543" i="7"/>
  <c r="F543" i="7" a="1"/>
  <c r="F543" i="7" s="1"/>
  <c r="E543" i="7"/>
  <c r="D543" i="7"/>
  <c r="B543" i="7"/>
  <c r="A543" i="7" a="1"/>
  <c r="A543" i="7" s="1"/>
  <c r="I542" i="7"/>
  <c r="H542" i="7"/>
  <c r="F542" i="7" a="1"/>
  <c r="F542" i="7" s="1"/>
  <c r="E542" i="7"/>
  <c r="D542" i="7"/>
  <c r="B542" i="7"/>
  <c r="A542" i="7" a="1"/>
  <c r="A542" i="7" s="1"/>
  <c r="I541" i="7"/>
  <c r="H541" i="7"/>
  <c r="F541" i="7" a="1"/>
  <c r="F541" i="7" s="1"/>
  <c r="E541" i="7"/>
  <c r="D541" i="7"/>
  <c r="B541" i="7"/>
  <c r="A541" i="7" a="1"/>
  <c r="A541" i="7" s="1"/>
  <c r="I540" i="7"/>
  <c r="H540" i="7"/>
  <c r="F540" i="7" a="1"/>
  <c r="F540" i="7" s="1"/>
  <c r="E540" i="7"/>
  <c r="D540" i="7"/>
  <c r="B540" i="7"/>
  <c r="A540" i="7" a="1"/>
  <c r="A540" i="7" s="1"/>
  <c r="I539" i="7"/>
  <c r="H539" i="7"/>
  <c r="F539" i="7" a="1"/>
  <c r="F539" i="7" s="1"/>
  <c r="E539" i="7"/>
  <c r="D539" i="7"/>
  <c r="B539" i="7"/>
  <c r="A539" i="7" a="1"/>
  <c r="A539" i="7" s="1"/>
  <c r="I538" i="7"/>
  <c r="H538" i="7"/>
  <c r="F538" i="7" a="1"/>
  <c r="F538" i="7" s="1"/>
  <c r="E538" i="7"/>
  <c r="D538" i="7"/>
  <c r="B538" i="7"/>
  <c r="A538" i="7" a="1"/>
  <c r="A538" i="7" s="1"/>
  <c r="I537" i="7"/>
  <c r="H537" i="7"/>
  <c r="F537" i="7" a="1"/>
  <c r="F537" i="7" s="1"/>
  <c r="E537" i="7"/>
  <c r="D537" i="7"/>
  <c r="B537" i="7"/>
  <c r="A537" i="7" a="1"/>
  <c r="A537" i="7" s="1"/>
  <c r="I536" i="7"/>
  <c r="H536" i="7"/>
  <c r="F536" i="7" a="1"/>
  <c r="F536" i="7" s="1"/>
  <c r="E536" i="7"/>
  <c r="D536" i="7"/>
  <c r="B536" i="7"/>
  <c r="A536" i="7" a="1"/>
  <c r="A536" i="7" s="1"/>
  <c r="I535" i="7"/>
  <c r="H535" i="7"/>
  <c r="F535" i="7" a="1"/>
  <c r="F535" i="7" s="1"/>
  <c r="E535" i="7"/>
  <c r="D535" i="7"/>
  <c r="B535" i="7"/>
  <c r="A535" i="7" a="1"/>
  <c r="A535" i="7" s="1"/>
  <c r="I534" i="7"/>
  <c r="H534" i="7"/>
  <c r="F534" i="7" a="1"/>
  <c r="F534" i="7" s="1"/>
  <c r="E534" i="7"/>
  <c r="D534" i="7"/>
  <c r="B534" i="7"/>
  <c r="A534" i="7" a="1"/>
  <c r="A534" i="7" s="1"/>
  <c r="I533" i="7"/>
  <c r="H533" i="7"/>
  <c r="F533" i="7" a="1"/>
  <c r="F533" i="7" s="1"/>
  <c r="E533" i="7"/>
  <c r="D533" i="7"/>
  <c r="B533" i="7"/>
  <c r="A533" i="7" a="1"/>
  <c r="A533" i="7" s="1"/>
  <c r="I532" i="7"/>
  <c r="H532" i="7"/>
  <c r="F532" i="7" a="1"/>
  <c r="F532" i="7" s="1"/>
  <c r="E532" i="7"/>
  <c r="D532" i="7"/>
  <c r="B532" i="7"/>
  <c r="A532" i="7" a="1"/>
  <c r="A532" i="7" s="1"/>
  <c r="I531" i="7"/>
  <c r="H531" i="7"/>
  <c r="F531" i="7" a="1"/>
  <c r="F531" i="7" s="1"/>
  <c r="E531" i="7"/>
  <c r="D531" i="7"/>
  <c r="B531" i="7"/>
  <c r="A531" i="7" a="1"/>
  <c r="A531" i="7" s="1"/>
  <c r="I530" i="7"/>
  <c r="H530" i="7"/>
  <c r="F530" i="7" a="1"/>
  <c r="F530" i="7" s="1"/>
  <c r="E530" i="7"/>
  <c r="D530" i="7"/>
  <c r="B530" i="7"/>
  <c r="A530" i="7" a="1"/>
  <c r="A530" i="7" s="1"/>
  <c r="I529" i="7"/>
  <c r="H529" i="7"/>
  <c r="F529" i="7" a="1"/>
  <c r="F529" i="7" s="1"/>
  <c r="E529" i="7"/>
  <c r="D529" i="7"/>
  <c r="B529" i="7"/>
  <c r="A529" i="7" a="1"/>
  <c r="A529" i="7" s="1"/>
  <c r="I528" i="7"/>
  <c r="H528" i="7"/>
  <c r="F528" i="7" a="1"/>
  <c r="F528" i="7" s="1"/>
  <c r="E528" i="7"/>
  <c r="D528" i="7"/>
  <c r="B528" i="7"/>
  <c r="A528" i="7" a="1"/>
  <c r="A528" i="7" s="1"/>
  <c r="I527" i="7"/>
  <c r="H527" i="7"/>
  <c r="F527" i="7" a="1"/>
  <c r="F527" i="7" s="1"/>
  <c r="E527" i="7"/>
  <c r="D527" i="7"/>
  <c r="B527" i="7"/>
  <c r="A527" i="7" a="1"/>
  <c r="A527" i="7" s="1"/>
  <c r="I526" i="7"/>
  <c r="H526" i="7"/>
  <c r="F526" i="7" a="1"/>
  <c r="F526" i="7" s="1"/>
  <c r="E526" i="7"/>
  <c r="D526" i="7"/>
  <c r="B526" i="7"/>
  <c r="A526" i="7" a="1"/>
  <c r="A526" i="7" s="1"/>
  <c r="I525" i="7"/>
  <c r="H525" i="7"/>
  <c r="F525" i="7" a="1"/>
  <c r="F525" i="7" s="1"/>
  <c r="E525" i="7"/>
  <c r="D525" i="7"/>
  <c r="B525" i="7"/>
  <c r="A525" i="7" a="1"/>
  <c r="A525" i="7" s="1"/>
  <c r="I524" i="7"/>
  <c r="H524" i="7"/>
  <c r="F524" i="7" a="1"/>
  <c r="F524" i="7" s="1"/>
  <c r="E524" i="7"/>
  <c r="D524" i="7"/>
  <c r="B524" i="7"/>
  <c r="A524" i="7" a="1"/>
  <c r="A524" i="7" s="1"/>
  <c r="I523" i="7"/>
  <c r="H523" i="7"/>
  <c r="F523" i="7" a="1"/>
  <c r="F523" i="7" s="1"/>
  <c r="E523" i="7"/>
  <c r="D523" i="7"/>
  <c r="B523" i="7"/>
  <c r="A523" i="7" a="1"/>
  <c r="A523" i="7" s="1"/>
  <c r="I522" i="7"/>
  <c r="H522" i="7"/>
  <c r="F522" i="7" a="1"/>
  <c r="F522" i="7" s="1"/>
  <c r="E522" i="7"/>
  <c r="D522" i="7"/>
  <c r="B522" i="7"/>
  <c r="A522" i="7" a="1"/>
  <c r="A522" i="7" s="1"/>
  <c r="I521" i="7"/>
  <c r="H521" i="7"/>
  <c r="F521" i="7" a="1"/>
  <c r="F521" i="7" s="1"/>
  <c r="E521" i="7"/>
  <c r="D521" i="7"/>
  <c r="B521" i="7"/>
  <c r="A521" i="7" a="1"/>
  <c r="A521" i="7" s="1"/>
  <c r="I520" i="7"/>
  <c r="H520" i="7"/>
  <c r="F520" i="7" a="1"/>
  <c r="F520" i="7" s="1"/>
  <c r="E520" i="7"/>
  <c r="D520" i="7"/>
  <c r="B520" i="7"/>
  <c r="A520" i="7" a="1"/>
  <c r="A520" i="7" s="1"/>
  <c r="I519" i="7"/>
  <c r="H519" i="7"/>
  <c r="F519" i="7" a="1"/>
  <c r="F519" i="7" s="1"/>
  <c r="E519" i="7"/>
  <c r="D519" i="7"/>
  <c r="B519" i="7"/>
  <c r="A519" i="7" a="1"/>
  <c r="A519" i="7" s="1"/>
  <c r="I518" i="7"/>
  <c r="H518" i="7"/>
  <c r="F518" i="7" a="1"/>
  <c r="F518" i="7" s="1"/>
  <c r="E518" i="7"/>
  <c r="D518" i="7"/>
  <c r="B518" i="7"/>
  <c r="A518" i="7" a="1"/>
  <c r="A518" i="7" s="1"/>
  <c r="I517" i="7"/>
  <c r="H517" i="7"/>
  <c r="F517" i="7" a="1"/>
  <c r="F517" i="7" s="1"/>
  <c r="E517" i="7"/>
  <c r="D517" i="7"/>
  <c r="B517" i="7"/>
  <c r="A517" i="7" a="1"/>
  <c r="A517" i="7" s="1"/>
  <c r="I516" i="7"/>
  <c r="H516" i="7"/>
  <c r="F516" i="7" a="1"/>
  <c r="F516" i="7" s="1"/>
  <c r="E516" i="7"/>
  <c r="D516" i="7"/>
  <c r="B516" i="7"/>
  <c r="A516" i="7" a="1"/>
  <c r="A516" i="7" s="1"/>
  <c r="I515" i="7"/>
  <c r="H515" i="7"/>
  <c r="F515" i="7" a="1"/>
  <c r="F515" i="7" s="1"/>
  <c r="E515" i="7"/>
  <c r="D515" i="7"/>
  <c r="B515" i="7"/>
  <c r="A515" i="7" a="1"/>
  <c r="A515" i="7" s="1"/>
  <c r="I514" i="7"/>
  <c r="H514" i="7"/>
  <c r="F514" i="7" a="1"/>
  <c r="F514" i="7" s="1"/>
  <c r="E514" i="7"/>
  <c r="D514" i="7"/>
  <c r="B514" i="7"/>
  <c r="A514" i="7" a="1"/>
  <c r="A514" i="7" s="1"/>
  <c r="I513" i="7"/>
  <c r="H513" i="7"/>
  <c r="F513" i="7" a="1"/>
  <c r="F513" i="7" s="1"/>
  <c r="E513" i="7"/>
  <c r="D513" i="7"/>
  <c r="B513" i="7"/>
  <c r="A513" i="7" a="1"/>
  <c r="A513" i="7" s="1"/>
  <c r="I512" i="7"/>
  <c r="H512" i="7"/>
  <c r="F512" i="7" a="1"/>
  <c r="F512" i="7" s="1"/>
  <c r="E512" i="7"/>
  <c r="D512" i="7"/>
  <c r="B512" i="7"/>
  <c r="A512" i="7" a="1"/>
  <c r="A512" i="7" s="1"/>
  <c r="I511" i="7"/>
  <c r="H511" i="7"/>
  <c r="F511" i="7" a="1"/>
  <c r="F511" i="7" s="1"/>
  <c r="E511" i="7"/>
  <c r="D511" i="7"/>
  <c r="B511" i="7"/>
  <c r="A511" i="7" a="1"/>
  <c r="A511" i="7" s="1"/>
  <c r="I510" i="7"/>
  <c r="H510" i="7"/>
  <c r="F510" i="7" a="1"/>
  <c r="F510" i="7" s="1"/>
  <c r="E510" i="7"/>
  <c r="D510" i="7"/>
  <c r="B510" i="7"/>
  <c r="A510" i="7" a="1"/>
  <c r="A510" i="7" s="1"/>
  <c r="I509" i="7"/>
  <c r="H509" i="7"/>
  <c r="F509" i="7" a="1"/>
  <c r="F509" i="7" s="1"/>
  <c r="E509" i="7"/>
  <c r="D509" i="7"/>
  <c r="B509" i="7"/>
  <c r="A509" i="7" a="1"/>
  <c r="A509" i="7" s="1"/>
  <c r="I508" i="7"/>
  <c r="H508" i="7"/>
  <c r="F508" i="7" a="1"/>
  <c r="F508" i="7" s="1"/>
  <c r="E508" i="7"/>
  <c r="D508" i="7"/>
  <c r="B508" i="7"/>
  <c r="A508" i="7" a="1"/>
  <c r="A508" i="7" s="1"/>
  <c r="I507" i="7"/>
  <c r="H507" i="7"/>
  <c r="F507" i="7" a="1"/>
  <c r="F507" i="7" s="1"/>
  <c r="E507" i="7"/>
  <c r="D507" i="7"/>
  <c r="B507" i="7"/>
  <c r="A507" i="7" a="1"/>
  <c r="A507" i="7" s="1"/>
  <c r="I506" i="7"/>
  <c r="H506" i="7"/>
  <c r="F506" i="7" a="1"/>
  <c r="F506" i="7" s="1"/>
  <c r="E506" i="7"/>
  <c r="D506" i="7"/>
  <c r="B506" i="7"/>
  <c r="A506" i="7" a="1"/>
  <c r="A506" i="7" s="1"/>
  <c r="I505" i="7"/>
  <c r="H505" i="7"/>
  <c r="F505" i="7" a="1"/>
  <c r="F505" i="7" s="1"/>
  <c r="E505" i="7"/>
  <c r="D505" i="7"/>
  <c r="B505" i="7"/>
  <c r="A505" i="7" a="1"/>
  <c r="A505" i="7" s="1"/>
  <c r="I504" i="7"/>
  <c r="H504" i="7"/>
  <c r="F504" i="7" a="1"/>
  <c r="F504" i="7" s="1"/>
  <c r="E504" i="7"/>
  <c r="D504" i="7"/>
  <c r="B504" i="7"/>
  <c r="A504" i="7" a="1"/>
  <c r="A504" i="7" s="1"/>
  <c r="I503" i="7"/>
  <c r="H503" i="7"/>
  <c r="F503" i="7" a="1"/>
  <c r="F503" i="7" s="1"/>
  <c r="E503" i="7"/>
  <c r="D503" i="7"/>
  <c r="B503" i="7"/>
  <c r="A503" i="7" a="1"/>
  <c r="A503" i="7" s="1"/>
  <c r="I502" i="7"/>
  <c r="H502" i="7"/>
  <c r="F502" i="7" a="1"/>
  <c r="F502" i="7" s="1"/>
  <c r="E502" i="7"/>
  <c r="D502" i="7"/>
  <c r="B502" i="7"/>
  <c r="A502" i="7" a="1"/>
  <c r="A502" i="7" s="1"/>
  <c r="I501" i="7"/>
  <c r="H501" i="7"/>
  <c r="F501" i="7" a="1"/>
  <c r="F501" i="7" s="1"/>
  <c r="E501" i="7"/>
  <c r="D501" i="7"/>
  <c r="B501" i="7"/>
  <c r="A501" i="7" a="1"/>
  <c r="A501" i="7" s="1"/>
  <c r="I500" i="7"/>
  <c r="H500" i="7"/>
  <c r="F500" i="7" a="1"/>
  <c r="F500" i="7" s="1"/>
  <c r="E500" i="7"/>
  <c r="D500" i="7"/>
  <c r="B500" i="7"/>
  <c r="A500" i="7" a="1"/>
  <c r="A500" i="7" s="1"/>
  <c r="I499" i="7"/>
  <c r="H499" i="7"/>
  <c r="F499" i="7" a="1"/>
  <c r="F499" i="7" s="1"/>
  <c r="E499" i="7"/>
  <c r="D499" i="7"/>
  <c r="B499" i="7"/>
  <c r="A499" i="7" a="1"/>
  <c r="A499" i="7" s="1"/>
  <c r="I498" i="7"/>
  <c r="H498" i="7"/>
  <c r="F498" i="7" a="1"/>
  <c r="F498" i="7" s="1"/>
  <c r="E498" i="7"/>
  <c r="D498" i="7"/>
  <c r="B498" i="7"/>
  <c r="A498" i="7" a="1"/>
  <c r="A498" i="7" s="1"/>
  <c r="I497" i="7"/>
  <c r="H497" i="7"/>
  <c r="F497" i="7" a="1"/>
  <c r="F497" i="7" s="1"/>
  <c r="E497" i="7"/>
  <c r="D497" i="7"/>
  <c r="B497" i="7"/>
  <c r="A497" i="7" a="1"/>
  <c r="A497" i="7" s="1"/>
  <c r="I496" i="7"/>
  <c r="H496" i="7"/>
  <c r="F496" i="7" a="1"/>
  <c r="F496" i="7" s="1"/>
  <c r="E496" i="7"/>
  <c r="D496" i="7"/>
  <c r="B496" i="7"/>
  <c r="A496" i="7" a="1"/>
  <c r="A496" i="7" s="1"/>
  <c r="I495" i="7"/>
  <c r="H495" i="7"/>
  <c r="F495" i="7" a="1"/>
  <c r="F495" i="7" s="1"/>
  <c r="E495" i="7"/>
  <c r="D495" i="7"/>
  <c r="B495" i="7"/>
  <c r="A495" i="7" a="1"/>
  <c r="A495" i="7" s="1"/>
  <c r="I494" i="7"/>
  <c r="H494" i="7"/>
  <c r="F494" i="7" a="1"/>
  <c r="F494" i="7" s="1"/>
  <c r="E494" i="7"/>
  <c r="D494" i="7"/>
  <c r="B494" i="7"/>
  <c r="A494" i="7" a="1"/>
  <c r="A494" i="7" s="1"/>
  <c r="I493" i="7"/>
  <c r="H493" i="7"/>
  <c r="F493" i="7" a="1"/>
  <c r="F493" i="7" s="1"/>
  <c r="E493" i="7"/>
  <c r="D493" i="7"/>
  <c r="B493" i="7"/>
  <c r="A493" i="7" a="1"/>
  <c r="A493" i="7" s="1"/>
  <c r="I492" i="7"/>
  <c r="H492" i="7"/>
  <c r="F492" i="7" a="1"/>
  <c r="F492" i="7" s="1"/>
  <c r="E492" i="7"/>
  <c r="D492" i="7"/>
  <c r="B492" i="7"/>
  <c r="A492" i="7" a="1"/>
  <c r="A492" i="7" s="1"/>
  <c r="I491" i="7"/>
  <c r="H491" i="7"/>
  <c r="F491" i="7" a="1"/>
  <c r="F491" i="7" s="1"/>
  <c r="E491" i="7"/>
  <c r="D491" i="7"/>
  <c r="B491" i="7"/>
  <c r="A491" i="7" a="1"/>
  <c r="A491" i="7" s="1"/>
  <c r="I490" i="7"/>
  <c r="H490" i="7"/>
  <c r="F490" i="7" a="1"/>
  <c r="F490" i="7" s="1"/>
  <c r="E490" i="7"/>
  <c r="D490" i="7"/>
  <c r="B490" i="7"/>
  <c r="A490" i="7" a="1"/>
  <c r="A490" i="7" s="1"/>
  <c r="I489" i="7"/>
  <c r="H489" i="7"/>
  <c r="F489" i="7" a="1"/>
  <c r="F489" i="7" s="1"/>
  <c r="E489" i="7"/>
  <c r="D489" i="7"/>
  <c r="B489" i="7"/>
  <c r="A489" i="7" a="1"/>
  <c r="A489" i="7" s="1"/>
  <c r="I488" i="7"/>
  <c r="H488" i="7"/>
  <c r="F488" i="7" a="1"/>
  <c r="F488" i="7" s="1"/>
  <c r="E488" i="7"/>
  <c r="D488" i="7"/>
  <c r="B488" i="7"/>
  <c r="A488" i="7" a="1"/>
  <c r="A488" i="7" s="1"/>
  <c r="I487" i="7"/>
  <c r="H487" i="7"/>
  <c r="F487" i="7" a="1"/>
  <c r="F487" i="7" s="1"/>
  <c r="E487" i="7"/>
  <c r="D487" i="7"/>
  <c r="B487" i="7"/>
  <c r="A487" i="7" a="1"/>
  <c r="A487" i="7" s="1"/>
  <c r="I486" i="7"/>
  <c r="H486" i="7"/>
  <c r="F486" i="7" a="1"/>
  <c r="F486" i="7" s="1"/>
  <c r="E486" i="7"/>
  <c r="D486" i="7"/>
  <c r="B486" i="7"/>
  <c r="A486" i="7" a="1"/>
  <c r="A486" i="7" s="1"/>
  <c r="I485" i="7"/>
  <c r="H485" i="7"/>
  <c r="F485" i="7" a="1"/>
  <c r="F485" i="7" s="1"/>
  <c r="E485" i="7"/>
  <c r="D485" i="7"/>
  <c r="B485" i="7"/>
  <c r="A485" i="7" a="1"/>
  <c r="A485" i="7" s="1"/>
  <c r="I484" i="7"/>
  <c r="H484" i="7"/>
  <c r="F484" i="7" a="1"/>
  <c r="F484" i="7" s="1"/>
  <c r="E484" i="7"/>
  <c r="D484" i="7"/>
  <c r="B484" i="7"/>
  <c r="A484" i="7" a="1"/>
  <c r="A484" i="7" s="1"/>
  <c r="I483" i="7"/>
  <c r="H483" i="7"/>
  <c r="F483" i="7" a="1"/>
  <c r="F483" i="7" s="1"/>
  <c r="E483" i="7"/>
  <c r="D483" i="7"/>
  <c r="B483" i="7"/>
  <c r="A483" i="7" a="1"/>
  <c r="A483" i="7" s="1"/>
  <c r="I482" i="7"/>
  <c r="H482" i="7"/>
  <c r="F482" i="7" a="1"/>
  <c r="F482" i="7" s="1"/>
  <c r="E482" i="7"/>
  <c r="D482" i="7"/>
  <c r="B482" i="7"/>
  <c r="A482" i="7" a="1"/>
  <c r="A482" i="7" s="1"/>
  <c r="I481" i="7"/>
  <c r="H481" i="7"/>
  <c r="F481" i="7" a="1"/>
  <c r="F481" i="7" s="1"/>
  <c r="E481" i="7"/>
  <c r="D481" i="7"/>
  <c r="B481" i="7"/>
  <c r="A481" i="7" a="1"/>
  <c r="A481" i="7" s="1"/>
  <c r="I480" i="7"/>
  <c r="H480" i="7"/>
  <c r="F480" i="7" a="1"/>
  <c r="F480" i="7" s="1"/>
  <c r="E480" i="7"/>
  <c r="D480" i="7"/>
  <c r="B480" i="7"/>
  <c r="A480" i="7" a="1"/>
  <c r="A480" i="7" s="1"/>
  <c r="I479" i="7"/>
  <c r="H479" i="7"/>
  <c r="F479" i="7" a="1"/>
  <c r="F479" i="7" s="1"/>
  <c r="E479" i="7"/>
  <c r="D479" i="7"/>
  <c r="B479" i="7"/>
  <c r="A479" i="7" a="1"/>
  <c r="A479" i="7" s="1"/>
  <c r="I478" i="7"/>
  <c r="H478" i="7"/>
  <c r="F478" i="7" a="1"/>
  <c r="F478" i="7" s="1"/>
  <c r="E478" i="7"/>
  <c r="D478" i="7"/>
  <c r="B478" i="7"/>
  <c r="A478" i="7" a="1"/>
  <c r="A478" i="7" s="1"/>
  <c r="I477" i="7"/>
  <c r="H477" i="7"/>
  <c r="F477" i="7" a="1"/>
  <c r="F477" i="7" s="1"/>
  <c r="E477" i="7"/>
  <c r="D477" i="7"/>
  <c r="B477" i="7"/>
  <c r="A477" i="7" a="1"/>
  <c r="A477" i="7" s="1"/>
  <c r="I476" i="7"/>
  <c r="H476" i="7"/>
  <c r="F476" i="7" a="1"/>
  <c r="F476" i="7" s="1"/>
  <c r="E476" i="7"/>
  <c r="D476" i="7"/>
  <c r="B476" i="7"/>
  <c r="A476" i="7" a="1"/>
  <c r="A476" i="7" s="1"/>
  <c r="I475" i="7"/>
  <c r="H475" i="7"/>
  <c r="F475" i="7" a="1"/>
  <c r="F475" i="7" s="1"/>
  <c r="E475" i="7"/>
  <c r="D475" i="7"/>
  <c r="B475" i="7"/>
  <c r="A475" i="7" a="1"/>
  <c r="A475" i="7" s="1"/>
  <c r="I474" i="7"/>
  <c r="H474" i="7"/>
  <c r="F474" i="7" a="1"/>
  <c r="F474" i="7" s="1"/>
  <c r="E474" i="7"/>
  <c r="D474" i="7"/>
  <c r="B474" i="7"/>
  <c r="A474" i="7" a="1"/>
  <c r="A474" i="7" s="1"/>
  <c r="I473" i="7"/>
  <c r="H473" i="7"/>
  <c r="F473" i="7" a="1"/>
  <c r="F473" i="7" s="1"/>
  <c r="E473" i="7"/>
  <c r="D473" i="7"/>
  <c r="B473" i="7"/>
  <c r="A473" i="7" a="1"/>
  <c r="A473" i="7" s="1"/>
  <c r="I472" i="7"/>
  <c r="H472" i="7"/>
  <c r="F472" i="7" a="1"/>
  <c r="F472" i="7" s="1"/>
  <c r="E472" i="7"/>
  <c r="D472" i="7"/>
  <c r="B472" i="7"/>
  <c r="A472" i="7" a="1"/>
  <c r="A472" i="7" s="1"/>
  <c r="I471" i="7"/>
  <c r="H471" i="7"/>
  <c r="F471" i="7" a="1"/>
  <c r="F471" i="7" s="1"/>
  <c r="E471" i="7"/>
  <c r="D471" i="7"/>
  <c r="B471" i="7"/>
  <c r="A471" i="7" a="1"/>
  <c r="A471" i="7" s="1"/>
  <c r="I470" i="7"/>
  <c r="H470" i="7"/>
  <c r="F470" i="7" a="1"/>
  <c r="F470" i="7" s="1"/>
  <c r="E470" i="7"/>
  <c r="D470" i="7"/>
  <c r="B470" i="7"/>
  <c r="A470" i="7" a="1"/>
  <c r="A470" i="7" s="1"/>
  <c r="I469" i="7"/>
  <c r="H469" i="7"/>
  <c r="F469" i="7" a="1"/>
  <c r="F469" i="7" s="1"/>
  <c r="E469" i="7"/>
  <c r="D469" i="7"/>
  <c r="B469" i="7"/>
  <c r="A469" i="7" a="1"/>
  <c r="A469" i="7" s="1"/>
  <c r="I468" i="7"/>
  <c r="H468" i="7"/>
  <c r="F468" i="7" a="1"/>
  <c r="F468" i="7" s="1"/>
  <c r="E468" i="7"/>
  <c r="D468" i="7"/>
  <c r="B468" i="7"/>
  <c r="A468" i="7" a="1"/>
  <c r="A468" i="7" s="1"/>
  <c r="I467" i="7"/>
  <c r="H467" i="7"/>
  <c r="F467" i="7" a="1"/>
  <c r="F467" i="7" s="1"/>
  <c r="E467" i="7"/>
  <c r="D467" i="7"/>
  <c r="B467" i="7"/>
  <c r="A467" i="7" a="1"/>
  <c r="A467" i="7" s="1"/>
  <c r="I466" i="7"/>
  <c r="H466" i="7"/>
  <c r="F466" i="7" a="1"/>
  <c r="F466" i="7" s="1"/>
  <c r="E466" i="7"/>
  <c r="D466" i="7"/>
  <c r="B466" i="7"/>
  <c r="A466" i="7" a="1"/>
  <c r="A466" i="7" s="1"/>
  <c r="I465" i="7"/>
  <c r="H465" i="7"/>
  <c r="F465" i="7" a="1"/>
  <c r="F465" i="7" s="1"/>
  <c r="E465" i="7"/>
  <c r="D465" i="7"/>
  <c r="B465" i="7"/>
  <c r="A465" i="7" a="1"/>
  <c r="A465" i="7" s="1"/>
  <c r="I464" i="7"/>
  <c r="H464" i="7"/>
  <c r="F464" i="7" a="1"/>
  <c r="F464" i="7" s="1"/>
  <c r="E464" i="7"/>
  <c r="D464" i="7"/>
  <c r="B464" i="7"/>
  <c r="A464" i="7" a="1"/>
  <c r="A464" i="7" s="1"/>
  <c r="I463" i="7"/>
  <c r="H463" i="7"/>
  <c r="F463" i="7" a="1"/>
  <c r="F463" i="7" s="1"/>
  <c r="E463" i="7"/>
  <c r="D463" i="7"/>
  <c r="B463" i="7"/>
  <c r="A463" i="7" a="1"/>
  <c r="A463" i="7" s="1"/>
  <c r="I462" i="7"/>
  <c r="H462" i="7"/>
  <c r="F462" i="7" a="1"/>
  <c r="F462" i="7" s="1"/>
  <c r="E462" i="7"/>
  <c r="D462" i="7"/>
  <c r="B462" i="7"/>
  <c r="A462" i="7" a="1"/>
  <c r="A462" i="7" s="1"/>
  <c r="I461" i="7"/>
  <c r="H461" i="7"/>
  <c r="F461" i="7" a="1"/>
  <c r="F461" i="7" s="1"/>
  <c r="E461" i="7"/>
  <c r="D461" i="7"/>
  <c r="B461" i="7"/>
  <c r="A461" i="7" a="1"/>
  <c r="A461" i="7" s="1"/>
  <c r="I460" i="7"/>
  <c r="H460" i="7"/>
  <c r="F460" i="7" a="1"/>
  <c r="F460" i="7" s="1"/>
  <c r="E460" i="7"/>
  <c r="D460" i="7"/>
  <c r="B460" i="7"/>
  <c r="A460" i="7" a="1"/>
  <c r="A460" i="7" s="1"/>
  <c r="I459" i="7"/>
  <c r="H459" i="7"/>
  <c r="F459" i="7" a="1"/>
  <c r="F459" i="7" s="1"/>
  <c r="E459" i="7"/>
  <c r="D459" i="7"/>
  <c r="B459" i="7"/>
  <c r="A459" i="7" a="1"/>
  <c r="A459" i="7" s="1"/>
  <c r="I458" i="7"/>
  <c r="H458" i="7"/>
  <c r="F458" i="7" a="1"/>
  <c r="F458" i="7" s="1"/>
  <c r="E458" i="7"/>
  <c r="D458" i="7"/>
  <c r="B458" i="7"/>
  <c r="A458" i="7" a="1"/>
  <c r="A458" i="7" s="1"/>
  <c r="I457" i="7"/>
  <c r="H457" i="7"/>
  <c r="F457" i="7" a="1"/>
  <c r="F457" i="7" s="1"/>
  <c r="E457" i="7"/>
  <c r="D457" i="7"/>
  <c r="B457" i="7"/>
  <c r="A457" i="7" a="1"/>
  <c r="A457" i="7" s="1"/>
  <c r="I456" i="7"/>
  <c r="H456" i="7"/>
  <c r="F456" i="7" a="1"/>
  <c r="F456" i="7" s="1"/>
  <c r="E456" i="7"/>
  <c r="D456" i="7"/>
  <c r="B456" i="7"/>
  <c r="A456" i="7" a="1"/>
  <c r="A456" i="7" s="1"/>
  <c r="I455" i="7"/>
  <c r="H455" i="7"/>
  <c r="F455" i="7" a="1"/>
  <c r="F455" i="7" s="1"/>
  <c r="E455" i="7"/>
  <c r="D455" i="7"/>
  <c r="B455" i="7"/>
  <c r="A455" i="7" a="1"/>
  <c r="A455" i="7" s="1"/>
  <c r="I454" i="7"/>
  <c r="H454" i="7"/>
  <c r="F454" i="7" a="1"/>
  <c r="F454" i="7" s="1"/>
  <c r="E454" i="7"/>
  <c r="D454" i="7"/>
  <c r="B454" i="7"/>
  <c r="A454" i="7" a="1"/>
  <c r="A454" i="7" s="1"/>
  <c r="I453" i="7"/>
  <c r="H453" i="7"/>
  <c r="F453" i="7" a="1"/>
  <c r="F453" i="7" s="1"/>
  <c r="E453" i="7"/>
  <c r="D453" i="7"/>
  <c r="B453" i="7"/>
  <c r="A453" i="7" a="1"/>
  <c r="A453" i="7" s="1"/>
  <c r="I452" i="7"/>
  <c r="H452" i="7"/>
  <c r="F452" i="7" a="1"/>
  <c r="F452" i="7" s="1"/>
  <c r="E452" i="7"/>
  <c r="D452" i="7"/>
  <c r="B452" i="7"/>
  <c r="A452" i="7" a="1"/>
  <c r="A452" i="7" s="1"/>
  <c r="I451" i="7"/>
  <c r="H451" i="7"/>
  <c r="F451" i="7" a="1"/>
  <c r="F451" i="7" s="1"/>
  <c r="E451" i="7"/>
  <c r="D451" i="7"/>
  <c r="B451" i="7"/>
  <c r="A451" i="7" a="1"/>
  <c r="A451" i="7" s="1"/>
  <c r="I450" i="7"/>
  <c r="H450" i="7"/>
  <c r="F450" i="7" a="1"/>
  <c r="F450" i="7" s="1"/>
  <c r="E450" i="7"/>
  <c r="D450" i="7"/>
  <c r="B450" i="7"/>
  <c r="A450" i="7" a="1"/>
  <c r="A450" i="7" s="1"/>
  <c r="I449" i="7"/>
  <c r="H449" i="7"/>
  <c r="F449" i="7" a="1"/>
  <c r="F449" i="7" s="1"/>
  <c r="E449" i="7"/>
  <c r="D449" i="7"/>
  <c r="B449" i="7"/>
  <c r="A449" i="7" a="1"/>
  <c r="A449" i="7" s="1"/>
  <c r="I448" i="7"/>
  <c r="H448" i="7"/>
  <c r="F448" i="7" a="1"/>
  <c r="F448" i="7" s="1"/>
  <c r="E448" i="7"/>
  <c r="D448" i="7"/>
  <c r="B448" i="7"/>
  <c r="A448" i="7" a="1"/>
  <c r="A448" i="7" s="1"/>
  <c r="I447" i="7"/>
  <c r="H447" i="7"/>
  <c r="F447" i="7" a="1"/>
  <c r="F447" i="7" s="1"/>
  <c r="E447" i="7"/>
  <c r="D447" i="7"/>
  <c r="B447" i="7"/>
  <c r="A447" i="7" a="1"/>
  <c r="A447" i="7" s="1"/>
  <c r="I446" i="7"/>
  <c r="H446" i="7"/>
  <c r="F446" i="7" a="1"/>
  <c r="F446" i="7" s="1"/>
  <c r="E446" i="7"/>
  <c r="D446" i="7"/>
  <c r="B446" i="7"/>
  <c r="A446" i="7" a="1"/>
  <c r="A446" i="7" s="1"/>
  <c r="I445" i="7"/>
  <c r="H445" i="7"/>
  <c r="F445" i="7" a="1"/>
  <c r="F445" i="7" s="1"/>
  <c r="E445" i="7"/>
  <c r="D445" i="7"/>
  <c r="B445" i="7"/>
  <c r="A445" i="7" a="1"/>
  <c r="A445" i="7" s="1"/>
  <c r="I444" i="7"/>
  <c r="H444" i="7"/>
  <c r="F444" i="7" a="1"/>
  <c r="F444" i="7" s="1"/>
  <c r="E444" i="7"/>
  <c r="D444" i="7"/>
  <c r="B444" i="7"/>
  <c r="A444" i="7" a="1"/>
  <c r="A444" i="7" s="1"/>
  <c r="I443" i="7"/>
  <c r="H443" i="7"/>
  <c r="F443" i="7" a="1"/>
  <c r="F443" i="7" s="1"/>
  <c r="E443" i="7"/>
  <c r="D443" i="7"/>
  <c r="B443" i="7"/>
  <c r="A443" i="7" a="1"/>
  <c r="A443" i="7" s="1"/>
  <c r="I442" i="7"/>
  <c r="H442" i="7"/>
  <c r="F442" i="7" a="1"/>
  <c r="F442" i="7" s="1"/>
  <c r="E442" i="7"/>
  <c r="D442" i="7"/>
  <c r="B442" i="7"/>
  <c r="A442" i="7" a="1"/>
  <c r="A442" i="7" s="1"/>
  <c r="I441" i="7"/>
  <c r="H441" i="7"/>
  <c r="F441" i="7" a="1"/>
  <c r="F441" i="7" s="1"/>
  <c r="E441" i="7"/>
  <c r="D441" i="7"/>
  <c r="B441" i="7"/>
  <c r="A441" i="7" a="1"/>
  <c r="A441" i="7" s="1"/>
  <c r="I440" i="7"/>
  <c r="H440" i="7"/>
  <c r="F440" i="7" a="1"/>
  <c r="F440" i="7" s="1"/>
  <c r="E440" i="7"/>
  <c r="D440" i="7"/>
  <c r="B440" i="7"/>
  <c r="A440" i="7" a="1"/>
  <c r="A440" i="7" s="1"/>
  <c r="I439" i="7"/>
  <c r="H439" i="7"/>
  <c r="F439" i="7" a="1"/>
  <c r="F439" i="7" s="1"/>
  <c r="E439" i="7"/>
  <c r="D439" i="7"/>
  <c r="B439" i="7"/>
  <c r="A439" i="7" a="1"/>
  <c r="A439" i="7" s="1"/>
  <c r="I438" i="7"/>
  <c r="H438" i="7"/>
  <c r="F438" i="7" a="1"/>
  <c r="F438" i="7" s="1"/>
  <c r="E438" i="7"/>
  <c r="D438" i="7"/>
  <c r="B438" i="7"/>
  <c r="A438" i="7" a="1"/>
  <c r="A438" i="7" s="1"/>
  <c r="I437" i="7"/>
  <c r="H437" i="7"/>
  <c r="F437" i="7" a="1"/>
  <c r="F437" i="7" s="1"/>
  <c r="E437" i="7"/>
  <c r="D437" i="7"/>
  <c r="B437" i="7"/>
  <c r="A437" i="7" a="1"/>
  <c r="A437" i="7" s="1"/>
  <c r="I436" i="7"/>
  <c r="H436" i="7"/>
  <c r="F436" i="7" a="1"/>
  <c r="F436" i="7" s="1"/>
  <c r="E436" i="7"/>
  <c r="D436" i="7"/>
  <c r="B436" i="7"/>
  <c r="A436" i="7" a="1"/>
  <c r="A436" i="7" s="1"/>
  <c r="I435" i="7"/>
  <c r="H435" i="7"/>
  <c r="F435" i="7" a="1"/>
  <c r="F435" i="7" s="1"/>
  <c r="E435" i="7"/>
  <c r="D435" i="7"/>
  <c r="B435" i="7"/>
  <c r="A435" i="7" a="1"/>
  <c r="A435" i="7" s="1"/>
  <c r="I434" i="7"/>
  <c r="H434" i="7"/>
  <c r="F434" i="7" a="1"/>
  <c r="F434" i="7" s="1"/>
  <c r="E434" i="7"/>
  <c r="D434" i="7"/>
  <c r="B434" i="7"/>
  <c r="A434" i="7" a="1"/>
  <c r="A434" i="7" s="1"/>
  <c r="I433" i="7"/>
  <c r="H433" i="7"/>
  <c r="F433" i="7" a="1"/>
  <c r="F433" i="7" s="1"/>
  <c r="E433" i="7"/>
  <c r="D433" i="7"/>
  <c r="B433" i="7"/>
  <c r="A433" i="7" a="1"/>
  <c r="A433" i="7" s="1"/>
  <c r="I432" i="7"/>
  <c r="H432" i="7"/>
  <c r="F432" i="7" a="1"/>
  <c r="F432" i="7" s="1"/>
  <c r="E432" i="7"/>
  <c r="D432" i="7"/>
  <c r="B432" i="7"/>
  <c r="A432" i="7" a="1"/>
  <c r="A432" i="7" s="1"/>
  <c r="I431" i="7"/>
  <c r="H431" i="7"/>
  <c r="F431" i="7" a="1"/>
  <c r="F431" i="7" s="1"/>
  <c r="E431" i="7"/>
  <c r="D431" i="7"/>
  <c r="B431" i="7"/>
  <c r="A431" i="7" a="1"/>
  <c r="A431" i="7" s="1"/>
  <c r="I430" i="7"/>
  <c r="H430" i="7"/>
  <c r="F430" i="7" a="1"/>
  <c r="F430" i="7" s="1"/>
  <c r="E430" i="7"/>
  <c r="D430" i="7"/>
  <c r="B430" i="7"/>
  <c r="A430" i="7" a="1"/>
  <c r="A430" i="7" s="1"/>
  <c r="I429" i="7"/>
  <c r="H429" i="7"/>
  <c r="F429" i="7" a="1"/>
  <c r="F429" i="7" s="1"/>
  <c r="E429" i="7"/>
  <c r="D429" i="7"/>
  <c r="B429" i="7"/>
  <c r="A429" i="7" a="1"/>
  <c r="A429" i="7" s="1"/>
  <c r="I428" i="7"/>
  <c r="H428" i="7"/>
  <c r="F428" i="7" a="1"/>
  <c r="F428" i="7" s="1"/>
  <c r="E428" i="7"/>
  <c r="D428" i="7"/>
  <c r="B428" i="7"/>
  <c r="A428" i="7" a="1"/>
  <c r="A428" i="7" s="1"/>
  <c r="I427" i="7"/>
  <c r="H427" i="7"/>
  <c r="F427" i="7" a="1"/>
  <c r="F427" i="7" s="1"/>
  <c r="E427" i="7"/>
  <c r="D427" i="7"/>
  <c r="B427" i="7"/>
  <c r="A427" i="7" a="1"/>
  <c r="A427" i="7" s="1"/>
  <c r="I426" i="7"/>
  <c r="H426" i="7"/>
  <c r="F426" i="7" a="1"/>
  <c r="F426" i="7" s="1"/>
  <c r="E426" i="7"/>
  <c r="D426" i="7"/>
  <c r="B426" i="7"/>
  <c r="A426" i="7" a="1"/>
  <c r="A426" i="7" s="1"/>
  <c r="I425" i="7"/>
  <c r="H425" i="7"/>
  <c r="F425" i="7" a="1"/>
  <c r="F425" i="7" s="1"/>
  <c r="E425" i="7"/>
  <c r="D425" i="7"/>
  <c r="B425" i="7"/>
  <c r="A425" i="7" a="1"/>
  <c r="A425" i="7" s="1"/>
  <c r="I424" i="7"/>
  <c r="H424" i="7"/>
  <c r="F424" i="7" a="1"/>
  <c r="F424" i="7" s="1"/>
  <c r="E424" i="7"/>
  <c r="D424" i="7"/>
  <c r="B424" i="7"/>
  <c r="A424" i="7" a="1"/>
  <c r="A424" i="7" s="1"/>
  <c r="I423" i="7"/>
  <c r="H423" i="7"/>
  <c r="F423" i="7" a="1"/>
  <c r="F423" i="7" s="1"/>
  <c r="E423" i="7"/>
  <c r="D423" i="7"/>
  <c r="B423" i="7"/>
  <c r="A423" i="7" a="1"/>
  <c r="A423" i="7" s="1"/>
  <c r="I422" i="7"/>
  <c r="H422" i="7"/>
  <c r="F422" i="7" a="1"/>
  <c r="F422" i="7" s="1"/>
  <c r="E422" i="7"/>
  <c r="D422" i="7"/>
  <c r="B422" i="7"/>
  <c r="A422" i="7" a="1"/>
  <c r="A422" i="7" s="1"/>
  <c r="I421" i="7"/>
  <c r="H421" i="7"/>
  <c r="F421" i="7" a="1"/>
  <c r="F421" i="7" s="1"/>
  <c r="E421" i="7"/>
  <c r="D421" i="7"/>
  <c r="B421" i="7"/>
  <c r="A421" i="7" a="1"/>
  <c r="A421" i="7" s="1"/>
  <c r="I420" i="7"/>
  <c r="H420" i="7"/>
  <c r="F420" i="7" a="1"/>
  <c r="F420" i="7" s="1"/>
  <c r="E420" i="7"/>
  <c r="D420" i="7"/>
  <c r="B420" i="7"/>
  <c r="A420" i="7" a="1"/>
  <c r="A420" i="7" s="1"/>
  <c r="I419" i="7"/>
  <c r="H419" i="7"/>
  <c r="F419" i="7" a="1"/>
  <c r="F419" i="7" s="1"/>
  <c r="E419" i="7"/>
  <c r="D419" i="7"/>
  <c r="B419" i="7"/>
  <c r="A419" i="7" a="1"/>
  <c r="A419" i="7" s="1"/>
  <c r="I418" i="7"/>
  <c r="H418" i="7"/>
  <c r="F418" i="7" a="1"/>
  <c r="F418" i="7" s="1"/>
  <c r="E418" i="7"/>
  <c r="D418" i="7"/>
  <c r="B418" i="7"/>
  <c r="A418" i="7" a="1"/>
  <c r="A418" i="7" s="1"/>
  <c r="I417" i="7"/>
  <c r="H417" i="7"/>
  <c r="F417" i="7" a="1"/>
  <c r="F417" i="7" s="1"/>
  <c r="E417" i="7"/>
  <c r="D417" i="7"/>
  <c r="B417" i="7"/>
  <c r="A417" i="7" a="1"/>
  <c r="A417" i="7" s="1"/>
  <c r="I416" i="7"/>
  <c r="H416" i="7"/>
  <c r="F416" i="7" a="1"/>
  <c r="F416" i="7" s="1"/>
  <c r="E416" i="7"/>
  <c r="D416" i="7"/>
  <c r="B416" i="7"/>
  <c r="A416" i="7" a="1"/>
  <c r="A416" i="7" s="1"/>
  <c r="I415" i="7"/>
  <c r="H415" i="7"/>
  <c r="F415" i="7" a="1"/>
  <c r="F415" i="7" s="1"/>
  <c r="E415" i="7"/>
  <c r="D415" i="7"/>
  <c r="B415" i="7"/>
  <c r="A415" i="7" a="1"/>
  <c r="A415" i="7" s="1"/>
  <c r="I414" i="7"/>
  <c r="H414" i="7"/>
  <c r="F414" i="7" a="1"/>
  <c r="F414" i="7" s="1"/>
  <c r="E414" i="7"/>
  <c r="D414" i="7"/>
  <c r="B414" i="7"/>
  <c r="A414" i="7" a="1"/>
  <c r="A414" i="7" s="1"/>
  <c r="I413" i="7"/>
  <c r="H413" i="7"/>
  <c r="F413" i="7" a="1"/>
  <c r="F413" i="7" s="1"/>
  <c r="E413" i="7"/>
  <c r="D413" i="7"/>
  <c r="B413" i="7"/>
  <c r="A413" i="7" a="1"/>
  <c r="A413" i="7" s="1"/>
  <c r="I412" i="7"/>
  <c r="H412" i="7"/>
  <c r="F412" i="7" a="1"/>
  <c r="F412" i="7" s="1"/>
  <c r="E412" i="7"/>
  <c r="D412" i="7"/>
  <c r="B412" i="7"/>
  <c r="A412" i="7" a="1"/>
  <c r="A412" i="7" s="1"/>
  <c r="I411" i="7"/>
  <c r="H411" i="7"/>
  <c r="F411" i="7" a="1"/>
  <c r="F411" i="7" s="1"/>
  <c r="E411" i="7"/>
  <c r="D411" i="7"/>
  <c r="B411" i="7"/>
  <c r="A411" i="7" a="1"/>
  <c r="A411" i="7" s="1"/>
  <c r="I410" i="7"/>
  <c r="H410" i="7"/>
  <c r="F410" i="7" a="1"/>
  <c r="F410" i="7" s="1"/>
  <c r="E410" i="7"/>
  <c r="D410" i="7"/>
  <c r="B410" i="7"/>
  <c r="A410" i="7" a="1"/>
  <c r="A410" i="7" s="1"/>
  <c r="I409" i="7"/>
  <c r="H409" i="7"/>
  <c r="F409" i="7" a="1"/>
  <c r="F409" i="7" s="1"/>
  <c r="E409" i="7"/>
  <c r="D409" i="7"/>
  <c r="B409" i="7"/>
  <c r="A409" i="7" a="1"/>
  <c r="A409" i="7" s="1"/>
  <c r="I408" i="7"/>
  <c r="H408" i="7"/>
  <c r="F408" i="7" a="1"/>
  <c r="F408" i="7" s="1"/>
  <c r="E408" i="7"/>
  <c r="D408" i="7"/>
  <c r="B408" i="7"/>
  <c r="A408" i="7" a="1"/>
  <c r="A408" i="7" s="1"/>
  <c r="I407" i="7"/>
  <c r="H407" i="7"/>
  <c r="F407" i="7" a="1"/>
  <c r="F407" i="7" s="1"/>
  <c r="E407" i="7"/>
  <c r="D407" i="7"/>
  <c r="B407" i="7"/>
  <c r="A407" i="7" a="1"/>
  <c r="A407" i="7" s="1"/>
  <c r="I406" i="7"/>
  <c r="H406" i="7"/>
  <c r="F406" i="7" a="1"/>
  <c r="F406" i="7" s="1"/>
  <c r="E406" i="7"/>
  <c r="D406" i="7"/>
  <c r="B406" i="7"/>
  <c r="A406" i="7" a="1"/>
  <c r="A406" i="7" s="1"/>
  <c r="I405" i="7"/>
  <c r="H405" i="7"/>
  <c r="F405" i="7" a="1"/>
  <c r="F405" i="7" s="1"/>
  <c r="E405" i="7"/>
  <c r="D405" i="7"/>
  <c r="B405" i="7"/>
  <c r="A405" i="7" a="1"/>
  <c r="A405" i="7" s="1"/>
  <c r="I404" i="7"/>
  <c r="H404" i="7"/>
  <c r="F404" i="7" a="1"/>
  <c r="F404" i="7" s="1"/>
  <c r="E404" i="7"/>
  <c r="D404" i="7"/>
  <c r="B404" i="7"/>
  <c r="A404" i="7" a="1"/>
  <c r="A404" i="7" s="1"/>
  <c r="I403" i="7"/>
  <c r="H403" i="7"/>
  <c r="F403" i="7" a="1"/>
  <c r="F403" i="7" s="1"/>
  <c r="E403" i="7"/>
  <c r="D403" i="7"/>
  <c r="B403" i="7"/>
  <c r="A403" i="7" a="1"/>
  <c r="A403" i="7" s="1"/>
  <c r="I402" i="7"/>
  <c r="H402" i="7"/>
  <c r="F402" i="7" a="1"/>
  <c r="F402" i="7" s="1"/>
  <c r="E402" i="7"/>
  <c r="D402" i="7"/>
  <c r="B402" i="7"/>
  <c r="A402" i="7" a="1"/>
  <c r="A402" i="7" s="1"/>
  <c r="I401" i="7"/>
  <c r="H401" i="7"/>
  <c r="F401" i="7" a="1"/>
  <c r="F401" i="7" s="1"/>
  <c r="E401" i="7"/>
  <c r="D401" i="7"/>
  <c r="B401" i="7"/>
  <c r="A401" i="7" a="1"/>
  <c r="A401" i="7" s="1"/>
  <c r="I400" i="7"/>
  <c r="H400" i="7"/>
  <c r="F400" i="7" a="1"/>
  <c r="F400" i="7" s="1"/>
  <c r="E400" i="7"/>
  <c r="D400" i="7"/>
  <c r="B400" i="7"/>
  <c r="A400" i="7" a="1"/>
  <c r="A400" i="7" s="1"/>
  <c r="I399" i="7"/>
  <c r="H399" i="7"/>
  <c r="F399" i="7" a="1"/>
  <c r="F399" i="7" s="1"/>
  <c r="E399" i="7"/>
  <c r="D399" i="7"/>
  <c r="B399" i="7"/>
  <c r="A399" i="7" a="1"/>
  <c r="A399" i="7" s="1"/>
  <c r="I398" i="7"/>
  <c r="H398" i="7"/>
  <c r="F398" i="7" a="1"/>
  <c r="F398" i="7" s="1"/>
  <c r="E398" i="7"/>
  <c r="D398" i="7"/>
  <c r="B398" i="7"/>
  <c r="A398" i="7" a="1"/>
  <c r="A398" i="7" s="1"/>
  <c r="I397" i="7"/>
  <c r="H397" i="7"/>
  <c r="F397" i="7" a="1"/>
  <c r="F397" i="7" s="1"/>
  <c r="E397" i="7"/>
  <c r="D397" i="7"/>
  <c r="B397" i="7"/>
  <c r="A397" i="7" a="1"/>
  <c r="A397" i="7" s="1"/>
  <c r="I396" i="7"/>
  <c r="H396" i="7"/>
  <c r="F396" i="7" a="1"/>
  <c r="F396" i="7" s="1"/>
  <c r="E396" i="7"/>
  <c r="D396" i="7"/>
  <c r="B396" i="7"/>
  <c r="A396" i="7" a="1"/>
  <c r="A396" i="7" s="1"/>
  <c r="I395" i="7"/>
  <c r="H395" i="7"/>
  <c r="F395" i="7" a="1"/>
  <c r="F395" i="7" s="1"/>
  <c r="E395" i="7"/>
  <c r="D395" i="7"/>
  <c r="B395" i="7"/>
  <c r="A395" i="7" a="1"/>
  <c r="A395" i="7" s="1"/>
  <c r="I394" i="7"/>
  <c r="H394" i="7"/>
  <c r="F394" i="7" a="1"/>
  <c r="F394" i="7" s="1"/>
  <c r="E394" i="7"/>
  <c r="D394" i="7"/>
  <c r="B394" i="7"/>
  <c r="A394" i="7" a="1"/>
  <c r="A394" i="7" s="1"/>
  <c r="I393" i="7"/>
  <c r="H393" i="7"/>
  <c r="F393" i="7" a="1"/>
  <c r="F393" i="7" s="1"/>
  <c r="E393" i="7"/>
  <c r="D393" i="7"/>
  <c r="B393" i="7"/>
  <c r="A393" i="7" a="1"/>
  <c r="A393" i="7" s="1"/>
  <c r="I392" i="7"/>
  <c r="H392" i="7"/>
  <c r="F392" i="7" a="1"/>
  <c r="F392" i="7" s="1"/>
  <c r="E392" i="7"/>
  <c r="D392" i="7"/>
  <c r="B392" i="7"/>
  <c r="A392" i="7" a="1"/>
  <c r="A392" i="7" s="1"/>
  <c r="I391" i="7"/>
  <c r="H391" i="7"/>
  <c r="F391" i="7" a="1"/>
  <c r="F391" i="7" s="1"/>
  <c r="E391" i="7"/>
  <c r="D391" i="7"/>
  <c r="B391" i="7"/>
  <c r="A391" i="7" a="1"/>
  <c r="A391" i="7" s="1"/>
  <c r="I390" i="7"/>
  <c r="H390" i="7"/>
  <c r="F390" i="7" a="1"/>
  <c r="F390" i="7" s="1"/>
  <c r="E390" i="7"/>
  <c r="D390" i="7"/>
  <c r="B390" i="7"/>
  <c r="A390" i="7" a="1"/>
  <c r="A390" i="7" s="1"/>
  <c r="I389" i="7"/>
  <c r="H389" i="7"/>
  <c r="F389" i="7" a="1"/>
  <c r="F389" i="7" s="1"/>
  <c r="E389" i="7"/>
  <c r="D389" i="7"/>
  <c r="B389" i="7"/>
  <c r="A389" i="7" a="1"/>
  <c r="A389" i="7" s="1"/>
  <c r="I388" i="7"/>
  <c r="H388" i="7"/>
  <c r="F388" i="7" a="1"/>
  <c r="F388" i="7" s="1"/>
  <c r="E388" i="7"/>
  <c r="D388" i="7"/>
  <c r="B388" i="7"/>
  <c r="A388" i="7" a="1"/>
  <c r="A388" i="7" s="1"/>
  <c r="I387" i="7"/>
  <c r="H387" i="7"/>
  <c r="F387" i="7" a="1"/>
  <c r="F387" i="7" s="1"/>
  <c r="E387" i="7"/>
  <c r="D387" i="7"/>
  <c r="B387" i="7"/>
  <c r="A387" i="7" a="1"/>
  <c r="A387" i="7" s="1"/>
  <c r="I386" i="7"/>
  <c r="H386" i="7"/>
  <c r="F386" i="7" a="1"/>
  <c r="F386" i="7" s="1"/>
  <c r="E386" i="7"/>
  <c r="D386" i="7"/>
  <c r="B386" i="7"/>
  <c r="A386" i="7" a="1"/>
  <c r="A386" i="7" s="1"/>
  <c r="I385" i="7"/>
  <c r="H385" i="7"/>
  <c r="F385" i="7" a="1"/>
  <c r="F385" i="7" s="1"/>
  <c r="E385" i="7"/>
  <c r="D385" i="7"/>
  <c r="B385" i="7"/>
  <c r="A385" i="7" a="1"/>
  <c r="A385" i="7" s="1"/>
  <c r="I384" i="7"/>
  <c r="H384" i="7"/>
  <c r="F384" i="7" a="1"/>
  <c r="F384" i="7" s="1"/>
  <c r="E384" i="7"/>
  <c r="D384" i="7"/>
  <c r="B384" i="7"/>
  <c r="A384" i="7" a="1"/>
  <c r="A384" i="7" s="1"/>
  <c r="I383" i="7"/>
  <c r="H383" i="7"/>
  <c r="F383" i="7" a="1"/>
  <c r="F383" i="7" s="1"/>
  <c r="E383" i="7"/>
  <c r="D383" i="7"/>
  <c r="B383" i="7"/>
  <c r="A383" i="7" a="1"/>
  <c r="A383" i="7" s="1"/>
  <c r="I382" i="7"/>
  <c r="H382" i="7"/>
  <c r="F382" i="7" a="1"/>
  <c r="F382" i="7" s="1"/>
  <c r="E382" i="7"/>
  <c r="D382" i="7"/>
  <c r="B382" i="7"/>
  <c r="A382" i="7" a="1"/>
  <c r="A382" i="7" s="1"/>
  <c r="I381" i="7"/>
  <c r="H381" i="7"/>
  <c r="F381" i="7" a="1"/>
  <c r="F381" i="7" s="1"/>
  <c r="E381" i="7"/>
  <c r="D381" i="7"/>
  <c r="B381" i="7"/>
  <c r="A381" i="7" a="1"/>
  <c r="A381" i="7" s="1"/>
  <c r="I380" i="7"/>
  <c r="H380" i="7"/>
  <c r="F380" i="7" a="1"/>
  <c r="F380" i="7" s="1"/>
  <c r="E380" i="7"/>
  <c r="D380" i="7"/>
  <c r="B380" i="7"/>
  <c r="A380" i="7" a="1"/>
  <c r="A380" i="7" s="1"/>
  <c r="I379" i="7"/>
  <c r="H379" i="7"/>
  <c r="F379" i="7" a="1"/>
  <c r="F379" i="7" s="1"/>
  <c r="E379" i="7"/>
  <c r="D379" i="7"/>
  <c r="B379" i="7"/>
  <c r="A379" i="7" a="1"/>
  <c r="A379" i="7" s="1"/>
  <c r="I378" i="7"/>
  <c r="H378" i="7"/>
  <c r="F378" i="7" a="1"/>
  <c r="F378" i="7" s="1"/>
  <c r="E378" i="7"/>
  <c r="D378" i="7"/>
  <c r="B378" i="7"/>
  <c r="A378" i="7" a="1"/>
  <c r="A378" i="7" s="1"/>
  <c r="I377" i="7"/>
  <c r="H377" i="7"/>
  <c r="F377" i="7" a="1"/>
  <c r="F377" i="7" s="1"/>
  <c r="E377" i="7"/>
  <c r="D377" i="7"/>
  <c r="B377" i="7"/>
  <c r="A377" i="7" a="1"/>
  <c r="A377" i="7" s="1"/>
  <c r="I376" i="7"/>
  <c r="H376" i="7"/>
  <c r="F376" i="7" a="1"/>
  <c r="F376" i="7" s="1"/>
  <c r="E376" i="7"/>
  <c r="D376" i="7"/>
  <c r="B376" i="7"/>
  <c r="A376" i="7" a="1"/>
  <c r="A376" i="7" s="1"/>
  <c r="I375" i="7"/>
  <c r="H375" i="7"/>
  <c r="F375" i="7" a="1"/>
  <c r="F375" i="7" s="1"/>
  <c r="E375" i="7"/>
  <c r="D375" i="7"/>
  <c r="B375" i="7"/>
  <c r="A375" i="7" a="1"/>
  <c r="A375" i="7" s="1"/>
  <c r="I374" i="7"/>
  <c r="H374" i="7"/>
  <c r="F374" i="7" a="1"/>
  <c r="F374" i="7" s="1"/>
  <c r="E374" i="7"/>
  <c r="D374" i="7"/>
  <c r="B374" i="7"/>
  <c r="A374" i="7" a="1"/>
  <c r="A374" i="7" s="1"/>
  <c r="I373" i="7"/>
  <c r="H373" i="7"/>
  <c r="F373" i="7" a="1"/>
  <c r="F373" i="7" s="1"/>
  <c r="E373" i="7"/>
  <c r="D373" i="7"/>
  <c r="B373" i="7"/>
  <c r="A373" i="7" a="1"/>
  <c r="A373" i="7" s="1"/>
  <c r="I372" i="7"/>
  <c r="H372" i="7"/>
  <c r="F372" i="7" a="1"/>
  <c r="F372" i="7" s="1"/>
  <c r="E372" i="7"/>
  <c r="D372" i="7"/>
  <c r="B372" i="7"/>
  <c r="A372" i="7" a="1"/>
  <c r="A372" i="7" s="1"/>
  <c r="I371" i="7"/>
  <c r="H371" i="7"/>
  <c r="F371" i="7" a="1"/>
  <c r="F371" i="7" s="1"/>
  <c r="E371" i="7"/>
  <c r="D371" i="7"/>
  <c r="B371" i="7"/>
  <c r="A371" i="7" a="1"/>
  <c r="A371" i="7" s="1"/>
  <c r="I370" i="7"/>
  <c r="H370" i="7"/>
  <c r="F370" i="7" a="1"/>
  <c r="F370" i="7" s="1"/>
  <c r="E370" i="7"/>
  <c r="D370" i="7"/>
  <c r="B370" i="7"/>
  <c r="A370" i="7" a="1"/>
  <c r="A370" i="7" s="1"/>
  <c r="I369" i="7"/>
  <c r="H369" i="7"/>
  <c r="F369" i="7" a="1"/>
  <c r="F369" i="7" s="1"/>
  <c r="E369" i="7"/>
  <c r="D369" i="7"/>
  <c r="B369" i="7"/>
  <c r="A369" i="7" a="1"/>
  <c r="A369" i="7" s="1"/>
  <c r="I368" i="7"/>
  <c r="H368" i="7"/>
  <c r="F368" i="7" a="1"/>
  <c r="F368" i="7" s="1"/>
  <c r="E368" i="7"/>
  <c r="D368" i="7"/>
  <c r="B368" i="7"/>
  <c r="A368" i="7" a="1"/>
  <c r="A368" i="7" s="1"/>
  <c r="I367" i="7"/>
  <c r="H367" i="7"/>
  <c r="F367" i="7" a="1"/>
  <c r="F367" i="7" s="1"/>
  <c r="E367" i="7"/>
  <c r="D367" i="7"/>
  <c r="B367" i="7"/>
  <c r="A367" i="7" a="1"/>
  <c r="A367" i="7" s="1"/>
  <c r="I366" i="7"/>
  <c r="H366" i="7"/>
  <c r="F366" i="7" a="1"/>
  <c r="F366" i="7" s="1"/>
  <c r="E366" i="7"/>
  <c r="D366" i="7"/>
  <c r="B366" i="7"/>
  <c r="A366" i="7" a="1"/>
  <c r="A366" i="7" s="1"/>
  <c r="I365" i="7"/>
  <c r="H365" i="7"/>
  <c r="F365" i="7" a="1"/>
  <c r="F365" i="7" s="1"/>
  <c r="E365" i="7"/>
  <c r="D365" i="7"/>
  <c r="B365" i="7"/>
  <c r="A365" i="7" a="1"/>
  <c r="A365" i="7" s="1"/>
  <c r="I364" i="7"/>
  <c r="H364" i="7"/>
  <c r="F364" i="7" a="1"/>
  <c r="F364" i="7" s="1"/>
  <c r="E364" i="7"/>
  <c r="D364" i="7"/>
  <c r="B364" i="7"/>
  <c r="A364" i="7" a="1"/>
  <c r="A364" i="7" s="1"/>
  <c r="I363" i="7"/>
  <c r="H363" i="7"/>
  <c r="F363" i="7" a="1"/>
  <c r="F363" i="7" s="1"/>
  <c r="E363" i="7"/>
  <c r="D363" i="7"/>
  <c r="B363" i="7"/>
  <c r="A363" i="7" a="1"/>
  <c r="A363" i="7" s="1"/>
  <c r="I362" i="7"/>
  <c r="H362" i="7"/>
  <c r="F362" i="7" a="1"/>
  <c r="F362" i="7" s="1"/>
  <c r="E362" i="7"/>
  <c r="D362" i="7"/>
  <c r="B362" i="7"/>
  <c r="A362" i="7" a="1"/>
  <c r="A362" i="7" s="1"/>
  <c r="I361" i="7"/>
  <c r="H361" i="7"/>
  <c r="F361" i="7" a="1"/>
  <c r="F361" i="7" s="1"/>
  <c r="E361" i="7"/>
  <c r="D361" i="7"/>
  <c r="B361" i="7"/>
  <c r="A361" i="7" a="1"/>
  <c r="A361" i="7" s="1"/>
  <c r="I360" i="7"/>
  <c r="H360" i="7"/>
  <c r="F360" i="7" a="1"/>
  <c r="F360" i="7" s="1"/>
  <c r="E360" i="7"/>
  <c r="D360" i="7"/>
  <c r="B360" i="7"/>
  <c r="A360" i="7" a="1"/>
  <c r="A360" i="7" s="1"/>
  <c r="I359" i="7"/>
  <c r="H359" i="7"/>
  <c r="F359" i="7" a="1"/>
  <c r="F359" i="7" s="1"/>
  <c r="E359" i="7"/>
  <c r="D359" i="7"/>
  <c r="B359" i="7"/>
  <c r="A359" i="7" a="1"/>
  <c r="A359" i="7" s="1"/>
  <c r="I358" i="7"/>
  <c r="H358" i="7"/>
  <c r="F358" i="7" a="1"/>
  <c r="F358" i="7" s="1"/>
  <c r="E358" i="7"/>
  <c r="D358" i="7"/>
  <c r="B358" i="7"/>
  <c r="A358" i="7" a="1"/>
  <c r="A358" i="7" s="1"/>
  <c r="I357" i="7"/>
  <c r="H357" i="7"/>
  <c r="F357" i="7" a="1"/>
  <c r="F357" i="7" s="1"/>
  <c r="E357" i="7"/>
  <c r="D357" i="7"/>
  <c r="B357" i="7"/>
  <c r="A357" i="7" a="1"/>
  <c r="A357" i="7" s="1"/>
  <c r="I356" i="7"/>
  <c r="H356" i="7"/>
  <c r="F356" i="7" a="1"/>
  <c r="F356" i="7" s="1"/>
  <c r="E356" i="7"/>
  <c r="D356" i="7"/>
  <c r="B356" i="7"/>
  <c r="A356" i="7" a="1"/>
  <c r="A356" i="7" s="1"/>
  <c r="I355" i="7"/>
  <c r="H355" i="7"/>
  <c r="F355" i="7" a="1"/>
  <c r="F355" i="7" s="1"/>
  <c r="E355" i="7"/>
  <c r="D355" i="7"/>
  <c r="B355" i="7"/>
  <c r="A355" i="7" a="1"/>
  <c r="A355" i="7" s="1"/>
  <c r="I354" i="7"/>
  <c r="H354" i="7"/>
  <c r="F354" i="7" a="1"/>
  <c r="F354" i="7" s="1"/>
  <c r="E354" i="7"/>
  <c r="D354" i="7"/>
  <c r="B354" i="7"/>
  <c r="A354" i="7" a="1"/>
  <c r="A354" i="7" s="1"/>
  <c r="I353" i="7"/>
  <c r="H353" i="7"/>
  <c r="F353" i="7" a="1"/>
  <c r="F353" i="7" s="1"/>
  <c r="E353" i="7"/>
  <c r="D353" i="7"/>
  <c r="B353" i="7"/>
  <c r="A353" i="7" a="1"/>
  <c r="A353" i="7" s="1"/>
  <c r="I352" i="7"/>
  <c r="H352" i="7"/>
  <c r="F352" i="7" a="1"/>
  <c r="F352" i="7" s="1"/>
  <c r="E352" i="7"/>
  <c r="D352" i="7"/>
  <c r="C352" i="7"/>
  <c r="B352" i="7"/>
  <c r="A352" i="7" a="1"/>
  <c r="A352" i="7" s="1"/>
  <c r="I351" i="7"/>
  <c r="H351" i="7"/>
  <c r="F351" i="7" a="1"/>
  <c r="F351" i="7" s="1"/>
  <c r="E351" i="7"/>
  <c r="D351" i="7"/>
  <c r="C351" i="7"/>
  <c r="B351" i="7"/>
  <c r="A351" i="7" a="1"/>
  <c r="A351" i="7" s="1"/>
  <c r="I350" i="7"/>
  <c r="H350" i="7"/>
  <c r="F350" i="7" a="1"/>
  <c r="F350" i="7" s="1"/>
  <c r="E350" i="7"/>
  <c r="D350" i="7"/>
  <c r="C350" i="7"/>
  <c r="B350" i="7"/>
  <c r="A350" i="7" a="1"/>
  <c r="A350" i="7" s="1"/>
  <c r="I349" i="7"/>
  <c r="H349" i="7"/>
  <c r="F349" i="7" a="1"/>
  <c r="F349" i="7" s="1"/>
  <c r="E349" i="7"/>
  <c r="D349" i="7"/>
  <c r="C349" i="7"/>
  <c r="B349" i="7"/>
  <c r="A349" i="7" a="1"/>
  <c r="A349" i="7" s="1"/>
  <c r="I348" i="7"/>
  <c r="H348" i="7"/>
  <c r="F348" i="7" a="1"/>
  <c r="F348" i="7" s="1"/>
  <c r="E348" i="7"/>
  <c r="D348" i="7"/>
  <c r="C348" i="7"/>
  <c r="B348" i="7"/>
  <c r="A348" i="7" a="1"/>
  <c r="A348" i="7" s="1"/>
  <c r="I347" i="7"/>
  <c r="H347" i="7"/>
  <c r="F347" i="7" a="1"/>
  <c r="F347" i="7" s="1"/>
  <c r="E347" i="7"/>
  <c r="D347" i="7"/>
  <c r="C347" i="7"/>
  <c r="B347" i="7"/>
  <c r="A347" i="7" a="1"/>
  <c r="A347" i="7" s="1"/>
  <c r="I346" i="7"/>
  <c r="H346" i="7"/>
  <c r="F346" i="7" a="1"/>
  <c r="F346" i="7" s="1"/>
  <c r="E346" i="7"/>
  <c r="D346" i="7"/>
  <c r="C346" i="7"/>
  <c r="B346" i="7"/>
  <c r="A346" i="7" a="1"/>
  <c r="A346" i="7" s="1"/>
  <c r="I345" i="7"/>
  <c r="H345" i="7"/>
  <c r="F345" i="7" a="1"/>
  <c r="F345" i="7" s="1"/>
  <c r="E345" i="7"/>
  <c r="D345" i="7"/>
  <c r="C345" i="7"/>
  <c r="B345" i="7"/>
  <c r="A345" i="7" a="1"/>
  <c r="A345" i="7" s="1"/>
  <c r="I344" i="7"/>
  <c r="H344" i="7"/>
  <c r="F344" i="7" a="1"/>
  <c r="F344" i="7" s="1"/>
  <c r="E344" i="7"/>
  <c r="D344" i="7"/>
  <c r="C344" i="7"/>
  <c r="B344" i="7"/>
  <c r="A344" i="7" a="1"/>
  <c r="A344" i="7" s="1"/>
  <c r="I343" i="7"/>
  <c r="H343" i="7"/>
  <c r="F343" i="7" a="1"/>
  <c r="F343" i="7" s="1"/>
  <c r="E343" i="7"/>
  <c r="D343" i="7"/>
  <c r="C343" i="7"/>
  <c r="B343" i="7"/>
  <c r="A343" i="7" a="1"/>
  <c r="A343" i="7" s="1"/>
  <c r="I342" i="7"/>
  <c r="H342" i="7"/>
  <c r="F342" i="7" a="1"/>
  <c r="F342" i="7" s="1"/>
  <c r="E342" i="7"/>
  <c r="D342" i="7"/>
  <c r="C342" i="7"/>
  <c r="B342" i="7"/>
  <c r="A342" i="7" a="1"/>
  <c r="A342" i="7" s="1"/>
  <c r="I341" i="7"/>
  <c r="H341" i="7"/>
  <c r="F341" i="7" a="1"/>
  <c r="F341" i="7" s="1"/>
  <c r="E341" i="7"/>
  <c r="D341" i="7"/>
  <c r="C341" i="7"/>
  <c r="B341" i="7"/>
  <c r="A341" i="7" a="1"/>
  <c r="A341" i="7" s="1"/>
  <c r="I340" i="7"/>
  <c r="H340" i="7"/>
  <c r="F340" i="7" a="1"/>
  <c r="F340" i="7" s="1"/>
  <c r="E340" i="7"/>
  <c r="D340" i="7"/>
  <c r="C340" i="7"/>
  <c r="B340" i="7"/>
  <c r="A340" i="7" a="1"/>
  <c r="A340" i="7" s="1"/>
  <c r="I339" i="7"/>
  <c r="H339" i="7"/>
  <c r="F339" i="7" a="1"/>
  <c r="F339" i="7" s="1"/>
  <c r="E339" i="7"/>
  <c r="D339" i="7"/>
  <c r="C339" i="7"/>
  <c r="B339" i="7"/>
  <c r="A339" i="7" a="1"/>
  <c r="A339" i="7" s="1"/>
  <c r="I338" i="7"/>
  <c r="H338" i="7"/>
  <c r="F338" i="7" a="1"/>
  <c r="F338" i="7" s="1"/>
  <c r="E338" i="7"/>
  <c r="D338" i="7"/>
  <c r="C338" i="7"/>
  <c r="B338" i="7"/>
  <c r="A338" i="7" a="1"/>
  <c r="A338" i="7" s="1"/>
  <c r="I337" i="7"/>
  <c r="H337" i="7"/>
  <c r="F337" i="7" a="1"/>
  <c r="F337" i="7" s="1"/>
  <c r="E337" i="7"/>
  <c r="D337" i="7"/>
  <c r="C337" i="7"/>
  <c r="B337" i="7"/>
  <c r="A337" i="7" a="1"/>
  <c r="A337" i="7" s="1"/>
  <c r="I336" i="7"/>
  <c r="H336" i="7"/>
  <c r="F336" i="7" a="1"/>
  <c r="F336" i="7" s="1"/>
  <c r="E336" i="7"/>
  <c r="D336" i="7"/>
  <c r="C336" i="7"/>
  <c r="B336" i="7"/>
  <c r="A336" i="7" a="1"/>
  <c r="A336" i="7" s="1"/>
  <c r="I335" i="7"/>
  <c r="H335" i="7"/>
  <c r="F335" i="7" a="1"/>
  <c r="F335" i="7" s="1"/>
  <c r="E335" i="7"/>
  <c r="D335" i="7"/>
  <c r="C335" i="7"/>
  <c r="B335" i="7"/>
  <c r="A335" i="7" a="1"/>
  <c r="A335" i="7" s="1"/>
  <c r="I334" i="7"/>
  <c r="H334" i="7"/>
  <c r="F334" i="7" a="1"/>
  <c r="F334" i="7" s="1"/>
  <c r="E334" i="7"/>
  <c r="D334" i="7"/>
  <c r="C334" i="7"/>
  <c r="B334" i="7"/>
  <c r="A334" i="7" a="1"/>
  <c r="A334" i="7" s="1"/>
  <c r="I333" i="7"/>
  <c r="H333" i="7"/>
  <c r="F333" i="7" a="1"/>
  <c r="F333" i="7" s="1"/>
  <c r="E333" i="7"/>
  <c r="D333" i="7"/>
  <c r="C333" i="7"/>
  <c r="B333" i="7"/>
  <c r="A333" i="7" a="1"/>
  <c r="A333" i="7" s="1"/>
  <c r="I332" i="7"/>
  <c r="H332" i="7"/>
  <c r="F332" i="7" a="1"/>
  <c r="F332" i="7" s="1"/>
  <c r="E332" i="7"/>
  <c r="D332" i="7"/>
  <c r="C332" i="7"/>
  <c r="B332" i="7"/>
  <c r="A332" i="7" a="1"/>
  <c r="A332" i="7" s="1"/>
  <c r="I331" i="7"/>
  <c r="H331" i="7"/>
  <c r="F331" i="7" a="1"/>
  <c r="F331" i="7" s="1"/>
  <c r="E331" i="7"/>
  <c r="D331" i="7"/>
  <c r="C331" i="7"/>
  <c r="B331" i="7"/>
  <c r="A331" i="7" a="1"/>
  <c r="A331" i="7" s="1"/>
  <c r="I330" i="7"/>
  <c r="H330" i="7"/>
  <c r="F330" i="7" a="1"/>
  <c r="F330" i="7" s="1"/>
  <c r="E330" i="7"/>
  <c r="D330" i="7"/>
  <c r="C330" i="7"/>
  <c r="B330" i="7"/>
  <c r="A330" i="7" a="1"/>
  <c r="A330" i="7" s="1"/>
  <c r="I329" i="7"/>
  <c r="H329" i="7"/>
  <c r="F329" i="7" a="1"/>
  <c r="F329" i="7" s="1"/>
  <c r="E329" i="7"/>
  <c r="D329" i="7"/>
  <c r="C329" i="7"/>
  <c r="B329" i="7"/>
  <c r="A329" i="7" a="1"/>
  <c r="A329" i="7" s="1"/>
  <c r="I328" i="7"/>
  <c r="H328" i="7"/>
  <c r="F328" i="7" a="1"/>
  <c r="F328" i="7" s="1"/>
  <c r="E328" i="7"/>
  <c r="D328" i="7"/>
  <c r="C328" i="7"/>
  <c r="B328" i="7"/>
  <c r="A328" i="7" a="1"/>
  <c r="A328" i="7" s="1"/>
  <c r="I327" i="7"/>
  <c r="H327" i="7"/>
  <c r="F327" i="7" a="1"/>
  <c r="F327" i="7" s="1"/>
  <c r="E327" i="7"/>
  <c r="D327" i="7"/>
  <c r="C327" i="7"/>
  <c r="B327" i="7"/>
  <c r="A327" i="7" a="1"/>
  <c r="A327" i="7" s="1"/>
  <c r="I326" i="7"/>
  <c r="H326" i="7"/>
  <c r="F326" i="7" a="1"/>
  <c r="F326" i="7" s="1"/>
  <c r="E326" i="7"/>
  <c r="D326" i="7"/>
  <c r="C326" i="7"/>
  <c r="B326" i="7"/>
  <c r="A326" i="7" a="1"/>
  <c r="A326" i="7" s="1"/>
  <c r="I325" i="7"/>
  <c r="H325" i="7"/>
  <c r="F325" i="7" a="1"/>
  <c r="F325" i="7" s="1"/>
  <c r="E325" i="7"/>
  <c r="D325" i="7"/>
  <c r="C325" i="7"/>
  <c r="B325" i="7"/>
  <c r="A325" i="7" a="1"/>
  <c r="A325" i="7" s="1"/>
  <c r="I324" i="7"/>
  <c r="H324" i="7"/>
  <c r="F324" i="7" a="1"/>
  <c r="F324" i="7" s="1"/>
  <c r="E324" i="7"/>
  <c r="D324" i="7"/>
  <c r="C324" i="7"/>
  <c r="B324" i="7"/>
  <c r="A324" i="7" a="1"/>
  <c r="A324" i="7" s="1"/>
  <c r="I323" i="7"/>
  <c r="H323" i="7"/>
  <c r="F323" i="7" a="1"/>
  <c r="F323" i="7" s="1"/>
  <c r="E323" i="7"/>
  <c r="D323" i="7"/>
  <c r="C323" i="7"/>
  <c r="B323" i="7"/>
  <c r="A323" i="7" a="1"/>
  <c r="A323" i="7" s="1"/>
  <c r="I322" i="7"/>
  <c r="H322" i="7"/>
  <c r="F322" i="7" a="1"/>
  <c r="F322" i="7" s="1"/>
  <c r="E322" i="7"/>
  <c r="D322" i="7"/>
  <c r="C322" i="7"/>
  <c r="B322" i="7"/>
  <c r="A322" i="7" a="1"/>
  <c r="A322" i="7" s="1"/>
  <c r="I321" i="7"/>
  <c r="H321" i="7"/>
  <c r="F321" i="7" a="1"/>
  <c r="F321" i="7" s="1"/>
  <c r="E321" i="7"/>
  <c r="D321" i="7"/>
  <c r="C321" i="7"/>
  <c r="B321" i="7"/>
  <c r="A321" i="7" a="1"/>
  <c r="A321" i="7" s="1"/>
  <c r="I320" i="7"/>
  <c r="H320" i="7"/>
  <c r="F320" i="7" a="1"/>
  <c r="F320" i="7" s="1"/>
  <c r="E320" i="7"/>
  <c r="D320" i="7"/>
  <c r="C320" i="7"/>
  <c r="B320" i="7"/>
  <c r="A320" i="7" a="1"/>
  <c r="A320" i="7" s="1"/>
  <c r="I319" i="7"/>
  <c r="H319" i="7"/>
  <c r="F319" i="7" a="1"/>
  <c r="F319" i="7" s="1"/>
  <c r="E319" i="7"/>
  <c r="D319" i="7"/>
  <c r="C319" i="7"/>
  <c r="B319" i="7"/>
  <c r="A319" i="7" a="1"/>
  <c r="A319" i="7" s="1"/>
  <c r="I318" i="7"/>
  <c r="H318" i="7"/>
  <c r="F318" i="7" a="1"/>
  <c r="F318" i="7" s="1"/>
  <c r="E318" i="7"/>
  <c r="D318" i="7"/>
  <c r="C318" i="7"/>
  <c r="B318" i="7"/>
  <c r="A318" i="7" a="1"/>
  <c r="A318" i="7" s="1"/>
  <c r="I317" i="7"/>
  <c r="H317" i="7"/>
  <c r="F317" i="7" a="1"/>
  <c r="F317" i="7" s="1"/>
  <c r="E317" i="7"/>
  <c r="D317" i="7"/>
  <c r="C317" i="7"/>
  <c r="B317" i="7"/>
  <c r="A317" i="7" a="1"/>
  <c r="A317" i="7" s="1"/>
  <c r="I316" i="7"/>
  <c r="H316" i="7"/>
  <c r="F316" i="7" a="1"/>
  <c r="F316" i="7" s="1"/>
  <c r="E316" i="7"/>
  <c r="D316" i="7"/>
  <c r="C316" i="7"/>
  <c r="B316" i="7"/>
  <c r="A316" i="7" a="1"/>
  <c r="A316" i="7" s="1"/>
  <c r="I315" i="7"/>
  <c r="H315" i="7"/>
  <c r="F315" i="7" a="1"/>
  <c r="F315" i="7" s="1"/>
  <c r="E315" i="7"/>
  <c r="D315" i="7"/>
  <c r="C315" i="7"/>
  <c r="B315" i="7"/>
  <c r="A315" i="7" a="1"/>
  <c r="A315" i="7" s="1"/>
  <c r="I314" i="7"/>
  <c r="H314" i="7"/>
  <c r="F314" i="7" a="1"/>
  <c r="F314" i="7" s="1"/>
  <c r="E314" i="7"/>
  <c r="D314" i="7"/>
  <c r="C314" i="7"/>
  <c r="B314" i="7"/>
  <c r="A314" i="7" a="1"/>
  <c r="A314" i="7" s="1"/>
  <c r="I313" i="7"/>
  <c r="H313" i="7"/>
  <c r="F313" i="7" a="1"/>
  <c r="F313" i="7" s="1"/>
  <c r="E313" i="7"/>
  <c r="D313" i="7"/>
  <c r="C313" i="7"/>
  <c r="B313" i="7"/>
  <c r="A313" i="7" a="1"/>
  <c r="A313" i="7" s="1"/>
  <c r="I312" i="7"/>
  <c r="H312" i="7"/>
  <c r="F312" i="7" a="1"/>
  <c r="F312" i="7" s="1"/>
  <c r="E312" i="7"/>
  <c r="D312" i="7"/>
  <c r="C312" i="7"/>
  <c r="B312" i="7"/>
  <c r="A312" i="7" a="1"/>
  <c r="A312" i="7" s="1"/>
  <c r="I311" i="7"/>
  <c r="H311" i="7"/>
  <c r="F311" i="7" a="1"/>
  <c r="F311" i="7" s="1"/>
  <c r="E311" i="7"/>
  <c r="D311" i="7"/>
  <c r="C311" i="7"/>
  <c r="B311" i="7"/>
  <c r="A311" i="7" a="1"/>
  <c r="A311" i="7" s="1"/>
  <c r="I310" i="7"/>
  <c r="H310" i="7"/>
  <c r="F310" i="7" a="1"/>
  <c r="F310" i="7" s="1"/>
  <c r="E310" i="7"/>
  <c r="D310" i="7"/>
  <c r="C310" i="7"/>
  <c r="B310" i="7"/>
  <c r="A310" i="7" a="1"/>
  <c r="A310" i="7" s="1"/>
  <c r="I309" i="7"/>
  <c r="H309" i="7"/>
  <c r="F309" i="7" a="1"/>
  <c r="F309" i="7" s="1"/>
  <c r="E309" i="7"/>
  <c r="D309" i="7"/>
  <c r="C309" i="7"/>
  <c r="B309" i="7"/>
  <c r="A309" i="7" a="1"/>
  <c r="A309" i="7" s="1"/>
  <c r="I308" i="7"/>
  <c r="H308" i="7"/>
  <c r="F308" i="7" a="1"/>
  <c r="F308" i="7" s="1"/>
  <c r="E308" i="7"/>
  <c r="D308" i="7"/>
  <c r="C308" i="7"/>
  <c r="B308" i="7"/>
  <c r="A308" i="7" a="1"/>
  <c r="A308" i="7" s="1"/>
  <c r="I307" i="7"/>
  <c r="H307" i="7"/>
  <c r="F307" i="7" a="1"/>
  <c r="F307" i="7" s="1"/>
  <c r="E307" i="7"/>
  <c r="D307" i="7"/>
  <c r="C307" i="7"/>
  <c r="B307" i="7"/>
  <c r="A307" i="7" a="1"/>
  <c r="A307" i="7" s="1"/>
  <c r="I306" i="7"/>
  <c r="H306" i="7"/>
  <c r="F306" i="7" a="1"/>
  <c r="F306" i="7" s="1"/>
  <c r="E306" i="7"/>
  <c r="D306" i="7"/>
  <c r="C306" i="7"/>
  <c r="B306" i="7"/>
  <c r="A306" i="7" a="1"/>
  <c r="A306" i="7" s="1"/>
  <c r="I305" i="7"/>
  <c r="H305" i="7"/>
  <c r="F305" i="7" a="1"/>
  <c r="F305" i="7" s="1"/>
  <c r="E305" i="7"/>
  <c r="D305" i="7"/>
  <c r="C305" i="7"/>
  <c r="B305" i="7"/>
  <c r="A305" i="7" a="1"/>
  <c r="A305" i="7" s="1"/>
  <c r="I304" i="7"/>
  <c r="H304" i="7"/>
  <c r="F304" i="7" a="1"/>
  <c r="F304" i="7" s="1"/>
  <c r="E304" i="7"/>
  <c r="D304" i="7"/>
  <c r="C304" i="7"/>
  <c r="B304" i="7"/>
  <c r="A304" i="7" a="1"/>
  <c r="A304" i="7" s="1"/>
  <c r="I303" i="7"/>
  <c r="H303" i="7"/>
  <c r="F303" i="7" a="1"/>
  <c r="F303" i="7" s="1"/>
  <c r="E303" i="7"/>
  <c r="D303" i="7"/>
  <c r="C303" i="7"/>
  <c r="B303" i="7"/>
  <c r="A303" i="7" a="1"/>
  <c r="A303" i="7" s="1"/>
  <c r="I302" i="7"/>
  <c r="H302" i="7"/>
  <c r="F302" i="7" a="1"/>
  <c r="F302" i="7" s="1"/>
  <c r="E302" i="7"/>
  <c r="D302" i="7"/>
  <c r="C302" i="7"/>
  <c r="B302" i="7"/>
  <c r="A302" i="7" a="1"/>
  <c r="A302" i="7" s="1"/>
  <c r="I301" i="7"/>
  <c r="H301" i="7"/>
  <c r="F301" i="7" a="1"/>
  <c r="F301" i="7" s="1"/>
  <c r="E301" i="7"/>
  <c r="D301" i="7"/>
  <c r="C301" i="7"/>
  <c r="B301" i="7"/>
  <c r="A301" i="7" a="1"/>
  <c r="A301" i="7" s="1"/>
  <c r="I300" i="7"/>
  <c r="H300" i="7"/>
  <c r="F300" i="7" a="1"/>
  <c r="F300" i="7" s="1"/>
  <c r="E300" i="7"/>
  <c r="D300" i="7"/>
  <c r="C300" i="7"/>
  <c r="B300" i="7"/>
  <c r="A300" i="7" a="1"/>
  <c r="A300" i="7" s="1"/>
  <c r="I299" i="7"/>
  <c r="H299" i="7"/>
  <c r="F299" i="7" a="1"/>
  <c r="F299" i="7" s="1"/>
  <c r="E299" i="7"/>
  <c r="D299" i="7"/>
  <c r="C299" i="7"/>
  <c r="B299" i="7"/>
  <c r="A299" i="7" a="1"/>
  <c r="A299" i="7" s="1"/>
  <c r="I298" i="7"/>
  <c r="H298" i="7"/>
  <c r="F298" i="7" a="1"/>
  <c r="F298" i="7" s="1"/>
  <c r="E298" i="7"/>
  <c r="D298" i="7"/>
  <c r="C298" i="7"/>
  <c r="B298" i="7"/>
  <c r="A298" i="7" a="1"/>
  <c r="A298" i="7" s="1"/>
  <c r="I297" i="7"/>
  <c r="H297" i="7"/>
  <c r="F297" i="7" a="1"/>
  <c r="F297" i="7" s="1"/>
  <c r="E297" i="7"/>
  <c r="D297" i="7"/>
  <c r="C297" i="7"/>
  <c r="B297" i="7"/>
  <c r="A297" i="7" a="1"/>
  <c r="A297" i="7" s="1"/>
  <c r="I296" i="7"/>
  <c r="H296" i="7"/>
  <c r="F296" i="7" a="1"/>
  <c r="F296" i="7" s="1"/>
  <c r="E296" i="7"/>
  <c r="D296" i="7"/>
  <c r="C296" i="7"/>
  <c r="B296" i="7"/>
  <c r="A296" i="7" a="1"/>
  <c r="A296" i="7" s="1"/>
  <c r="I295" i="7"/>
  <c r="H295" i="7"/>
  <c r="F295" i="7" a="1"/>
  <c r="F295" i="7" s="1"/>
  <c r="E295" i="7"/>
  <c r="D295" i="7"/>
  <c r="C295" i="7"/>
  <c r="B295" i="7"/>
  <c r="A295" i="7" a="1"/>
  <c r="A295" i="7" s="1"/>
  <c r="I294" i="7"/>
  <c r="H294" i="7"/>
  <c r="F294" i="7" a="1"/>
  <c r="F294" i="7" s="1"/>
  <c r="E294" i="7"/>
  <c r="D294" i="7"/>
  <c r="C294" i="7"/>
  <c r="B294" i="7"/>
  <c r="A294" i="7" a="1"/>
  <c r="A294" i="7" s="1"/>
  <c r="I293" i="7"/>
  <c r="H293" i="7"/>
  <c r="F293" i="7" a="1"/>
  <c r="F293" i="7" s="1"/>
  <c r="E293" i="7"/>
  <c r="D293" i="7"/>
  <c r="C293" i="7"/>
  <c r="B293" i="7"/>
  <c r="A293" i="7" a="1"/>
  <c r="A293" i="7" s="1"/>
  <c r="I292" i="7"/>
  <c r="H292" i="7"/>
  <c r="F292" i="7" a="1"/>
  <c r="F292" i="7" s="1"/>
  <c r="E292" i="7"/>
  <c r="D292" i="7"/>
  <c r="C292" i="7"/>
  <c r="B292" i="7"/>
  <c r="A292" i="7" a="1"/>
  <c r="A292" i="7" s="1"/>
  <c r="I291" i="7"/>
  <c r="H291" i="7"/>
  <c r="F291" i="7" a="1"/>
  <c r="F291" i="7" s="1"/>
  <c r="E291" i="7"/>
  <c r="D291" i="7"/>
  <c r="C291" i="7"/>
  <c r="B291" i="7"/>
  <c r="A291" i="7" a="1"/>
  <c r="A291" i="7" s="1"/>
  <c r="I290" i="7"/>
  <c r="H290" i="7"/>
  <c r="F290" i="7" a="1"/>
  <c r="F290" i="7" s="1"/>
  <c r="E290" i="7"/>
  <c r="D290" i="7"/>
  <c r="C290" i="7"/>
  <c r="B290" i="7"/>
  <c r="A290" i="7" a="1"/>
  <c r="A290" i="7" s="1"/>
  <c r="I289" i="7"/>
  <c r="H289" i="7"/>
  <c r="F289" i="7" a="1"/>
  <c r="F289" i="7" s="1"/>
  <c r="E289" i="7"/>
  <c r="D289" i="7"/>
  <c r="C289" i="7"/>
  <c r="B289" i="7"/>
  <c r="A289" i="7" a="1"/>
  <c r="A289" i="7" s="1"/>
  <c r="I288" i="7"/>
  <c r="H288" i="7"/>
  <c r="F288" i="7" a="1"/>
  <c r="F288" i="7" s="1"/>
  <c r="E288" i="7"/>
  <c r="D288" i="7"/>
  <c r="C288" i="7"/>
  <c r="B288" i="7"/>
  <c r="A288" i="7" a="1"/>
  <c r="A288" i="7" s="1"/>
  <c r="I287" i="7"/>
  <c r="H287" i="7"/>
  <c r="F287" i="7" a="1"/>
  <c r="F287" i="7" s="1"/>
  <c r="E287" i="7"/>
  <c r="D287" i="7"/>
  <c r="C287" i="7"/>
  <c r="B287" i="7"/>
  <c r="A287" i="7" a="1"/>
  <c r="A287" i="7" s="1"/>
  <c r="I286" i="7"/>
  <c r="H286" i="7"/>
  <c r="F286" i="7" a="1"/>
  <c r="F286" i="7" s="1"/>
  <c r="E286" i="7"/>
  <c r="D286" i="7"/>
  <c r="C286" i="7"/>
  <c r="B286" i="7"/>
  <c r="A286" i="7" a="1"/>
  <c r="A286" i="7" s="1"/>
  <c r="I285" i="7"/>
  <c r="H285" i="7"/>
  <c r="F285" i="7" a="1"/>
  <c r="F285" i="7" s="1"/>
  <c r="E285" i="7"/>
  <c r="D285" i="7"/>
  <c r="C285" i="7"/>
  <c r="B285" i="7"/>
  <c r="A285" i="7" a="1"/>
  <c r="A285" i="7" s="1"/>
  <c r="I284" i="7"/>
  <c r="H284" i="7"/>
  <c r="F284" i="7" a="1"/>
  <c r="F284" i="7" s="1"/>
  <c r="E284" i="7"/>
  <c r="D284" i="7"/>
  <c r="C284" i="7"/>
  <c r="B284" i="7"/>
  <c r="A284" i="7" a="1"/>
  <c r="A284" i="7" s="1"/>
  <c r="I283" i="7"/>
  <c r="H283" i="7"/>
  <c r="F283" i="7" a="1"/>
  <c r="F283" i="7" s="1"/>
  <c r="E283" i="7"/>
  <c r="D283" i="7"/>
  <c r="C283" i="7"/>
  <c r="B283" i="7"/>
  <c r="A283" i="7" a="1"/>
  <c r="A283" i="7" s="1"/>
  <c r="I282" i="7"/>
  <c r="H282" i="7"/>
  <c r="F282" i="7" a="1"/>
  <c r="F282" i="7" s="1"/>
  <c r="E282" i="7"/>
  <c r="D282" i="7"/>
  <c r="C282" i="7"/>
  <c r="B282" i="7"/>
  <c r="A282" i="7" a="1"/>
  <c r="A282" i="7" s="1"/>
  <c r="I281" i="7"/>
  <c r="H281" i="7"/>
  <c r="F281" i="7" a="1"/>
  <c r="F281" i="7" s="1"/>
  <c r="E281" i="7"/>
  <c r="D281" i="7"/>
  <c r="C281" i="7"/>
  <c r="B281" i="7"/>
  <c r="A281" i="7" a="1"/>
  <c r="A281" i="7" s="1"/>
  <c r="I280" i="7"/>
  <c r="H280" i="7"/>
  <c r="F280" i="7" a="1"/>
  <c r="F280" i="7" s="1"/>
  <c r="E280" i="7"/>
  <c r="D280" i="7"/>
  <c r="C280" i="7"/>
  <c r="B280" i="7"/>
  <c r="A280" i="7" a="1"/>
  <c r="A280" i="7" s="1"/>
  <c r="I279" i="7"/>
  <c r="H279" i="7"/>
  <c r="F279" i="7" a="1"/>
  <c r="F279" i="7" s="1"/>
  <c r="E279" i="7"/>
  <c r="D279" i="7"/>
  <c r="C279" i="7"/>
  <c r="B279" i="7"/>
  <c r="A279" i="7" a="1"/>
  <c r="A279" i="7" s="1"/>
  <c r="I278" i="7"/>
  <c r="H278" i="7"/>
  <c r="F278" i="7" a="1"/>
  <c r="F278" i="7" s="1"/>
  <c r="E278" i="7"/>
  <c r="D278" i="7"/>
  <c r="C278" i="7"/>
  <c r="B278" i="7"/>
  <c r="A278" i="7" a="1"/>
  <c r="A278" i="7" s="1"/>
  <c r="I277" i="7"/>
  <c r="H277" i="7"/>
  <c r="F277" i="7" a="1"/>
  <c r="F277" i="7" s="1"/>
  <c r="E277" i="7"/>
  <c r="D277" i="7"/>
  <c r="C277" i="7"/>
  <c r="B277" i="7"/>
  <c r="A277" i="7" a="1"/>
  <c r="A277" i="7" s="1"/>
  <c r="I276" i="7"/>
  <c r="H276" i="7"/>
  <c r="F276" i="7" a="1"/>
  <c r="F276" i="7" s="1"/>
  <c r="E276" i="7"/>
  <c r="D276" i="7"/>
  <c r="C276" i="7"/>
  <c r="B276" i="7"/>
  <c r="A276" i="7" a="1"/>
  <c r="A276" i="7" s="1"/>
  <c r="I275" i="7"/>
  <c r="H275" i="7"/>
  <c r="F275" i="7" a="1"/>
  <c r="F275" i="7" s="1"/>
  <c r="E275" i="7"/>
  <c r="D275" i="7"/>
  <c r="C275" i="7"/>
  <c r="B275" i="7"/>
  <c r="A275" i="7" a="1"/>
  <c r="A275" i="7" s="1"/>
  <c r="I274" i="7"/>
  <c r="H274" i="7"/>
  <c r="F274" i="7" a="1"/>
  <c r="F274" i="7" s="1"/>
  <c r="E274" i="7"/>
  <c r="D274" i="7"/>
  <c r="C274" i="7"/>
  <c r="B274" i="7"/>
  <c r="A274" i="7" a="1"/>
  <c r="A274" i="7" s="1"/>
  <c r="I273" i="7"/>
  <c r="H273" i="7"/>
  <c r="F273" i="7" a="1"/>
  <c r="F273" i="7" s="1"/>
  <c r="E273" i="7"/>
  <c r="D273" i="7"/>
  <c r="C273" i="7"/>
  <c r="B273" i="7"/>
  <c r="A273" i="7" a="1"/>
  <c r="A273" i="7" s="1"/>
  <c r="I272" i="7"/>
  <c r="H272" i="7"/>
  <c r="F272" i="7" a="1"/>
  <c r="F272" i="7" s="1"/>
  <c r="E272" i="7"/>
  <c r="D272" i="7"/>
  <c r="C272" i="7"/>
  <c r="B272" i="7"/>
  <c r="A272" i="7" a="1"/>
  <c r="A272" i="7" s="1"/>
  <c r="I271" i="7"/>
  <c r="H271" i="7"/>
  <c r="F271" i="7" a="1"/>
  <c r="F271" i="7" s="1"/>
  <c r="E271" i="7"/>
  <c r="D271" i="7"/>
  <c r="C271" i="7"/>
  <c r="B271" i="7"/>
  <c r="A271" i="7" a="1"/>
  <c r="A271" i="7" s="1"/>
  <c r="I270" i="7"/>
  <c r="H270" i="7"/>
  <c r="F270" i="7" a="1"/>
  <c r="F270" i="7" s="1"/>
  <c r="E270" i="7"/>
  <c r="D270" i="7"/>
  <c r="C270" i="7"/>
  <c r="B270" i="7"/>
  <c r="A270" i="7" a="1"/>
  <c r="A270" i="7" s="1"/>
  <c r="I269" i="7"/>
  <c r="H269" i="7"/>
  <c r="F269" i="7" a="1"/>
  <c r="F269" i="7" s="1"/>
  <c r="E269" i="7"/>
  <c r="D269" i="7"/>
  <c r="C269" i="7"/>
  <c r="B269" i="7"/>
  <c r="A269" i="7" a="1"/>
  <c r="A269" i="7" s="1"/>
  <c r="I268" i="7"/>
  <c r="H268" i="7"/>
  <c r="F268" i="7" a="1"/>
  <c r="F268" i="7" s="1"/>
  <c r="E268" i="7"/>
  <c r="D268" i="7"/>
  <c r="C268" i="7"/>
  <c r="B268" i="7"/>
  <c r="A268" i="7" a="1"/>
  <c r="A268" i="7" s="1"/>
  <c r="I267" i="7"/>
  <c r="H267" i="7"/>
  <c r="F267" i="7" a="1"/>
  <c r="F267" i="7" s="1"/>
  <c r="E267" i="7"/>
  <c r="D267" i="7"/>
  <c r="C267" i="7"/>
  <c r="B267" i="7"/>
  <c r="A267" i="7" a="1"/>
  <c r="A267" i="7" s="1"/>
  <c r="I266" i="7"/>
  <c r="H266" i="7"/>
  <c r="F266" i="7" a="1"/>
  <c r="F266" i="7" s="1"/>
  <c r="E266" i="7"/>
  <c r="D266" i="7"/>
  <c r="C266" i="7"/>
  <c r="B266" i="7"/>
  <c r="A266" i="7" a="1"/>
  <c r="A266" i="7" s="1"/>
  <c r="I265" i="7"/>
  <c r="H265" i="7"/>
  <c r="F265" i="7" a="1"/>
  <c r="F265" i="7" s="1"/>
  <c r="E265" i="7"/>
  <c r="D265" i="7"/>
  <c r="C265" i="7"/>
  <c r="B265" i="7"/>
  <c r="A265" i="7" a="1"/>
  <c r="A265" i="7" s="1"/>
  <c r="I264" i="7"/>
  <c r="H264" i="7"/>
  <c r="F264" i="7" a="1"/>
  <c r="F264" i="7" s="1"/>
  <c r="E264" i="7"/>
  <c r="D264" i="7"/>
  <c r="C264" i="7"/>
  <c r="B264" i="7"/>
  <c r="A264" i="7" a="1"/>
  <c r="A264" i="7" s="1"/>
  <c r="I263" i="7"/>
  <c r="H263" i="7"/>
  <c r="F263" i="7" a="1"/>
  <c r="F263" i="7" s="1"/>
  <c r="E263" i="7"/>
  <c r="D263" i="7"/>
  <c r="C263" i="7"/>
  <c r="B263" i="7"/>
  <c r="A263" i="7" a="1"/>
  <c r="A263" i="7" s="1"/>
  <c r="I262" i="7"/>
  <c r="H262" i="7"/>
  <c r="F262" i="7" a="1"/>
  <c r="F262" i="7" s="1"/>
  <c r="E262" i="7"/>
  <c r="D262" i="7"/>
  <c r="C262" i="7"/>
  <c r="B262" i="7"/>
  <c r="A262" i="7" a="1"/>
  <c r="A262" i="7" s="1"/>
  <c r="I261" i="7"/>
  <c r="H261" i="7"/>
  <c r="F261" i="7" a="1"/>
  <c r="F261" i="7" s="1"/>
  <c r="E261" i="7"/>
  <c r="D261" i="7"/>
  <c r="C261" i="7"/>
  <c r="B261" i="7"/>
  <c r="A261" i="7" a="1"/>
  <c r="A261" i="7" s="1"/>
  <c r="I260" i="7"/>
  <c r="H260" i="7"/>
  <c r="F260" i="7" a="1"/>
  <c r="F260" i="7" s="1"/>
  <c r="E260" i="7"/>
  <c r="D260" i="7"/>
  <c r="C260" i="7"/>
  <c r="B260" i="7"/>
  <c r="A260" i="7" a="1"/>
  <c r="A260" i="7" s="1"/>
  <c r="I259" i="7"/>
  <c r="H259" i="7"/>
  <c r="F259" i="7" a="1"/>
  <c r="F259" i="7" s="1"/>
  <c r="E259" i="7"/>
  <c r="D259" i="7"/>
  <c r="C259" i="7"/>
  <c r="B259" i="7"/>
  <c r="A259" i="7" a="1"/>
  <c r="A259" i="7" s="1"/>
  <c r="I258" i="7"/>
  <c r="H258" i="7"/>
  <c r="F258" i="7" a="1"/>
  <c r="F258" i="7" s="1"/>
  <c r="E258" i="7"/>
  <c r="D258" i="7"/>
  <c r="C258" i="7"/>
  <c r="B258" i="7"/>
  <c r="A258" i="7" a="1"/>
  <c r="A258" i="7" s="1"/>
  <c r="I257" i="7"/>
  <c r="H257" i="7"/>
  <c r="F257" i="7" a="1"/>
  <c r="F257" i="7" s="1"/>
  <c r="E257" i="7"/>
  <c r="D257" i="7"/>
  <c r="C257" i="7"/>
  <c r="B257" i="7"/>
  <c r="A257" i="7" a="1"/>
  <c r="A257" i="7" s="1"/>
  <c r="I256" i="7"/>
  <c r="H256" i="7"/>
  <c r="F256" i="7" a="1"/>
  <c r="F256" i="7" s="1"/>
  <c r="E256" i="7"/>
  <c r="D256" i="7"/>
  <c r="C256" i="7"/>
  <c r="B256" i="7"/>
  <c r="A256" i="7" a="1"/>
  <c r="A256" i="7" s="1"/>
  <c r="I255" i="7"/>
  <c r="H255" i="7"/>
  <c r="F255" i="7" a="1"/>
  <c r="F255" i="7" s="1"/>
  <c r="E255" i="7"/>
  <c r="D255" i="7"/>
  <c r="C255" i="7"/>
  <c r="B255" i="7"/>
  <c r="A255" i="7" a="1"/>
  <c r="A255" i="7" s="1"/>
  <c r="I254" i="7"/>
  <c r="H254" i="7"/>
  <c r="F254" i="7" a="1"/>
  <c r="F254" i="7" s="1"/>
  <c r="E254" i="7"/>
  <c r="D254" i="7"/>
  <c r="C254" i="7"/>
  <c r="B254" i="7"/>
  <c r="A254" i="7" a="1"/>
  <c r="A254" i="7" s="1"/>
  <c r="I253" i="7"/>
  <c r="H253" i="7"/>
  <c r="F253" i="7" a="1"/>
  <c r="F253" i="7" s="1"/>
  <c r="E253" i="7"/>
  <c r="D253" i="7"/>
  <c r="C253" i="7"/>
  <c r="B253" i="7"/>
  <c r="A253" i="7" a="1"/>
  <c r="A253" i="7" s="1"/>
  <c r="I252" i="7"/>
  <c r="H252" i="7"/>
  <c r="F252" i="7" a="1"/>
  <c r="F252" i="7" s="1"/>
  <c r="E252" i="7"/>
  <c r="D252" i="7"/>
  <c r="C252" i="7"/>
  <c r="B252" i="7"/>
  <c r="A252" i="7" a="1"/>
  <c r="A252" i="7" s="1"/>
  <c r="I251" i="7"/>
  <c r="H251" i="7"/>
  <c r="F251" i="7" a="1"/>
  <c r="F251" i="7" s="1"/>
  <c r="E251" i="7"/>
  <c r="D251" i="7"/>
  <c r="C251" i="7"/>
  <c r="B251" i="7"/>
  <c r="A251" i="7" a="1"/>
  <c r="A251" i="7" s="1"/>
  <c r="I250" i="7"/>
  <c r="H250" i="7"/>
  <c r="F250" i="7" a="1"/>
  <c r="F250" i="7" s="1"/>
  <c r="E250" i="7"/>
  <c r="D250" i="7"/>
  <c r="C250" i="7"/>
  <c r="B250" i="7"/>
  <c r="A250" i="7" a="1"/>
  <c r="A250" i="7" s="1"/>
  <c r="I249" i="7"/>
  <c r="H249" i="7"/>
  <c r="F249" i="7" a="1"/>
  <c r="F249" i="7" s="1"/>
  <c r="E249" i="7"/>
  <c r="D249" i="7"/>
  <c r="C249" i="7"/>
  <c r="B249" i="7"/>
  <c r="A249" i="7" a="1"/>
  <c r="A249" i="7" s="1"/>
  <c r="I248" i="7"/>
  <c r="H248" i="7"/>
  <c r="F248" i="7" a="1"/>
  <c r="F248" i="7" s="1"/>
  <c r="E248" i="7"/>
  <c r="D248" i="7"/>
  <c r="C248" i="7"/>
  <c r="B248" i="7"/>
  <c r="A248" i="7" a="1"/>
  <c r="A248" i="7" s="1"/>
  <c r="I247" i="7"/>
  <c r="H247" i="7"/>
  <c r="F247" i="7" a="1"/>
  <c r="F247" i="7" s="1"/>
  <c r="E247" i="7"/>
  <c r="D247" i="7"/>
  <c r="C247" i="7"/>
  <c r="B247" i="7"/>
  <c r="A247" i="7" a="1"/>
  <c r="A247" i="7" s="1"/>
  <c r="I246" i="7"/>
  <c r="H246" i="7"/>
  <c r="F246" i="7" a="1"/>
  <c r="F246" i="7" s="1"/>
  <c r="E246" i="7"/>
  <c r="D246" i="7"/>
  <c r="C246" i="7"/>
  <c r="B246" i="7"/>
  <c r="A246" i="7" a="1"/>
  <c r="A246" i="7" s="1"/>
  <c r="I245" i="7"/>
  <c r="H245" i="7"/>
  <c r="F245" i="7" a="1"/>
  <c r="F245" i="7" s="1"/>
  <c r="E245" i="7"/>
  <c r="D245" i="7"/>
  <c r="C245" i="7"/>
  <c r="B245" i="7"/>
  <c r="A245" i="7" a="1"/>
  <c r="A245" i="7" s="1"/>
  <c r="I244" i="7"/>
  <c r="H244" i="7"/>
  <c r="F244" i="7" a="1"/>
  <c r="F244" i="7" s="1"/>
  <c r="E244" i="7"/>
  <c r="D244" i="7"/>
  <c r="C244" i="7"/>
  <c r="B244" i="7"/>
  <c r="A244" i="7" a="1"/>
  <c r="A244" i="7" s="1"/>
  <c r="I243" i="7"/>
  <c r="H243" i="7"/>
  <c r="F243" i="7" a="1"/>
  <c r="F243" i="7" s="1"/>
  <c r="E243" i="7"/>
  <c r="D243" i="7"/>
  <c r="C243" i="7"/>
  <c r="B243" i="7"/>
  <c r="A243" i="7" a="1"/>
  <c r="A243" i="7" s="1"/>
  <c r="I242" i="7"/>
  <c r="H242" i="7"/>
  <c r="F242" i="7" a="1"/>
  <c r="F242" i="7" s="1"/>
  <c r="E242" i="7"/>
  <c r="D242" i="7"/>
  <c r="C242" i="7"/>
  <c r="B242" i="7"/>
  <c r="A242" i="7" a="1"/>
  <c r="A242" i="7" s="1"/>
  <c r="I241" i="7"/>
  <c r="H241" i="7"/>
  <c r="F241" i="7" a="1"/>
  <c r="F241" i="7" s="1"/>
  <c r="E241" i="7"/>
  <c r="D241" i="7"/>
  <c r="C241" i="7"/>
  <c r="B241" i="7"/>
  <c r="A241" i="7" a="1"/>
  <c r="A241" i="7" s="1"/>
  <c r="I240" i="7"/>
  <c r="H240" i="7"/>
  <c r="F240" i="7" a="1"/>
  <c r="F240" i="7" s="1"/>
  <c r="E240" i="7"/>
  <c r="D240" i="7"/>
  <c r="C240" i="7"/>
  <c r="B240" i="7"/>
  <c r="A240" i="7" a="1"/>
  <c r="A240" i="7" s="1"/>
  <c r="I239" i="7"/>
  <c r="H239" i="7"/>
  <c r="F239" i="7" a="1"/>
  <c r="F239" i="7" s="1"/>
  <c r="E239" i="7"/>
  <c r="D239" i="7"/>
  <c r="C239" i="7"/>
  <c r="B239" i="7"/>
  <c r="A239" i="7" a="1"/>
  <c r="A239" i="7" s="1"/>
  <c r="I238" i="7"/>
  <c r="H238" i="7"/>
  <c r="F238" i="7" a="1"/>
  <c r="F238" i="7" s="1"/>
  <c r="E238" i="7"/>
  <c r="D238" i="7"/>
  <c r="C238" i="7"/>
  <c r="B238" i="7"/>
  <c r="A238" i="7" a="1"/>
  <c r="A238" i="7" s="1"/>
  <c r="I237" i="7"/>
  <c r="H237" i="7"/>
  <c r="F237" i="7" a="1"/>
  <c r="F237" i="7" s="1"/>
  <c r="E237" i="7"/>
  <c r="D237" i="7"/>
  <c r="C237" i="7"/>
  <c r="B237" i="7"/>
  <c r="A237" i="7" a="1"/>
  <c r="A237" i="7" s="1"/>
  <c r="I236" i="7"/>
  <c r="H236" i="7"/>
  <c r="F236" i="7" a="1"/>
  <c r="F236" i="7" s="1"/>
  <c r="E236" i="7"/>
  <c r="D236" i="7"/>
  <c r="C236" i="7"/>
  <c r="B236" i="7"/>
  <c r="A236" i="7" a="1"/>
  <c r="A236" i="7" s="1"/>
  <c r="I235" i="7"/>
  <c r="H235" i="7"/>
  <c r="F235" i="7" a="1"/>
  <c r="F235" i="7" s="1"/>
  <c r="E235" i="7"/>
  <c r="D235" i="7"/>
  <c r="C235" i="7"/>
  <c r="B235" i="7"/>
  <c r="A235" i="7" a="1"/>
  <c r="A235" i="7" s="1"/>
  <c r="I234" i="7"/>
  <c r="H234" i="7"/>
  <c r="F234" i="7" a="1"/>
  <c r="F234" i="7" s="1"/>
  <c r="E234" i="7"/>
  <c r="D234" i="7"/>
  <c r="C234" i="7"/>
  <c r="B234" i="7"/>
  <c r="A234" i="7" a="1"/>
  <c r="A234" i="7" s="1"/>
  <c r="I233" i="7"/>
  <c r="H233" i="7"/>
  <c r="F233" i="7" a="1"/>
  <c r="F233" i="7" s="1"/>
  <c r="E233" i="7"/>
  <c r="D233" i="7"/>
  <c r="C233" i="7"/>
  <c r="B233" i="7"/>
  <c r="A233" i="7" a="1"/>
  <c r="A233" i="7" s="1"/>
  <c r="I232" i="7"/>
  <c r="H232" i="7"/>
  <c r="F232" i="7" a="1"/>
  <c r="F232" i="7" s="1"/>
  <c r="E232" i="7"/>
  <c r="D232" i="7"/>
  <c r="C232" i="7"/>
  <c r="B232" i="7"/>
  <c r="A232" i="7" a="1"/>
  <c r="A232" i="7" s="1"/>
  <c r="I231" i="7"/>
  <c r="H231" i="7"/>
  <c r="F231" i="7" a="1"/>
  <c r="F231" i="7" s="1"/>
  <c r="E231" i="7"/>
  <c r="D231" i="7"/>
  <c r="C231" i="7"/>
  <c r="B231" i="7"/>
  <c r="A231" i="7" a="1"/>
  <c r="A231" i="7" s="1"/>
  <c r="I230" i="7"/>
  <c r="H230" i="7"/>
  <c r="F230" i="7" a="1"/>
  <c r="F230" i="7" s="1"/>
  <c r="E230" i="7"/>
  <c r="D230" i="7"/>
  <c r="C230" i="7"/>
  <c r="B230" i="7"/>
  <c r="A230" i="7" a="1"/>
  <c r="A230" i="7" s="1"/>
  <c r="I229" i="7"/>
  <c r="H229" i="7"/>
  <c r="F229" i="7" a="1"/>
  <c r="F229" i="7" s="1"/>
  <c r="E229" i="7"/>
  <c r="D229" i="7"/>
  <c r="C229" i="7"/>
  <c r="B229" i="7"/>
  <c r="A229" i="7" a="1"/>
  <c r="A229" i="7" s="1"/>
  <c r="I228" i="7"/>
  <c r="H228" i="7"/>
  <c r="F228" i="7" a="1"/>
  <c r="F228" i="7" s="1"/>
  <c r="E228" i="7"/>
  <c r="D228" i="7"/>
  <c r="C228" i="7"/>
  <c r="B228" i="7"/>
  <c r="A228" i="7" a="1"/>
  <c r="A228" i="7" s="1"/>
  <c r="I227" i="7"/>
  <c r="H227" i="7"/>
  <c r="F227" i="7" a="1"/>
  <c r="F227" i="7" s="1"/>
  <c r="E227" i="7"/>
  <c r="D227" i="7"/>
  <c r="C227" i="7"/>
  <c r="B227" i="7"/>
  <c r="A227" i="7" a="1"/>
  <c r="A227" i="7" s="1"/>
  <c r="I226" i="7"/>
  <c r="H226" i="7"/>
  <c r="F226" i="7" a="1"/>
  <c r="F226" i="7" s="1"/>
  <c r="E226" i="7"/>
  <c r="D226" i="7"/>
  <c r="C226" i="7"/>
  <c r="B226" i="7"/>
  <c r="A226" i="7" a="1"/>
  <c r="A226" i="7" s="1"/>
  <c r="I225" i="7"/>
  <c r="H225" i="7"/>
  <c r="F225" i="7" a="1"/>
  <c r="F225" i="7" s="1"/>
  <c r="E225" i="7"/>
  <c r="D225" i="7"/>
  <c r="C225" i="7"/>
  <c r="B225" i="7"/>
  <c r="A225" i="7" a="1"/>
  <c r="A225" i="7" s="1"/>
  <c r="I224" i="7"/>
  <c r="H224" i="7"/>
  <c r="F224" i="7" a="1"/>
  <c r="F224" i="7" s="1"/>
  <c r="E224" i="7"/>
  <c r="D224" i="7"/>
  <c r="C224" i="7"/>
  <c r="B224" i="7"/>
  <c r="A224" i="7" a="1"/>
  <c r="A224" i="7" s="1"/>
  <c r="I223" i="7"/>
  <c r="H223" i="7"/>
  <c r="F223" i="7" a="1"/>
  <c r="F223" i="7" s="1"/>
  <c r="E223" i="7"/>
  <c r="D223" i="7"/>
  <c r="C223" i="7"/>
  <c r="B223" i="7"/>
  <c r="A223" i="7" a="1"/>
  <c r="A223" i="7" s="1"/>
  <c r="I222" i="7"/>
  <c r="H222" i="7"/>
  <c r="F222" i="7" a="1"/>
  <c r="F222" i="7" s="1"/>
  <c r="E222" i="7"/>
  <c r="D222" i="7"/>
  <c r="C222" i="7"/>
  <c r="B222" i="7"/>
  <c r="A222" i="7" a="1"/>
  <c r="A222" i="7" s="1"/>
  <c r="I221" i="7"/>
  <c r="H221" i="7"/>
  <c r="F221" i="7" a="1"/>
  <c r="F221" i="7" s="1"/>
  <c r="E221" i="7"/>
  <c r="D221" i="7"/>
  <c r="C221" i="7"/>
  <c r="B221" i="7"/>
  <c r="A221" i="7" a="1"/>
  <c r="A221" i="7" s="1"/>
  <c r="I220" i="7"/>
  <c r="H220" i="7"/>
  <c r="F220" i="7" a="1"/>
  <c r="F220" i="7" s="1"/>
  <c r="E220" i="7"/>
  <c r="D220" i="7"/>
  <c r="C220" i="7"/>
  <c r="B220" i="7"/>
  <c r="A220" i="7" a="1"/>
  <c r="A220" i="7" s="1"/>
  <c r="I219" i="7"/>
  <c r="H219" i="7"/>
  <c r="F219" i="7" a="1"/>
  <c r="F219" i="7" s="1"/>
  <c r="E219" i="7"/>
  <c r="D219" i="7"/>
  <c r="C219" i="7"/>
  <c r="B219" i="7"/>
  <c r="A219" i="7" a="1"/>
  <c r="A219" i="7" s="1"/>
  <c r="I218" i="7"/>
  <c r="H218" i="7"/>
  <c r="F218" i="7" a="1"/>
  <c r="F218" i="7" s="1"/>
  <c r="E218" i="7"/>
  <c r="D218" i="7"/>
  <c r="C218" i="7"/>
  <c r="B218" i="7"/>
  <c r="A218" i="7" a="1"/>
  <c r="A218" i="7" s="1"/>
  <c r="I217" i="7"/>
  <c r="H217" i="7"/>
  <c r="F217" i="7" a="1"/>
  <c r="F217" i="7" s="1"/>
  <c r="E217" i="7"/>
  <c r="D217" i="7"/>
  <c r="C217" i="7"/>
  <c r="B217" i="7"/>
  <c r="A217" i="7" a="1"/>
  <c r="A217" i="7" s="1"/>
  <c r="I216" i="7"/>
  <c r="H216" i="7"/>
  <c r="F216" i="7" a="1"/>
  <c r="F216" i="7" s="1"/>
  <c r="E216" i="7"/>
  <c r="D216" i="7"/>
  <c r="C216" i="7"/>
  <c r="B216" i="7"/>
  <c r="A216" i="7" a="1"/>
  <c r="A216" i="7" s="1"/>
  <c r="I215" i="7"/>
  <c r="H215" i="7"/>
  <c r="F215" i="7" a="1"/>
  <c r="F215" i="7" s="1"/>
  <c r="E215" i="7"/>
  <c r="D215" i="7"/>
  <c r="C215" i="7"/>
  <c r="B215" i="7"/>
  <c r="A215" i="7" a="1"/>
  <c r="A215" i="7" s="1"/>
  <c r="I214" i="7"/>
  <c r="H214" i="7"/>
  <c r="F214" i="7" a="1"/>
  <c r="F214" i="7" s="1"/>
  <c r="E214" i="7"/>
  <c r="D214" i="7"/>
  <c r="C214" i="7"/>
  <c r="B214" i="7"/>
  <c r="A214" i="7" a="1"/>
  <c r="A214" i="7" s="1"/>
  <c r="I213" i="7"/>
  <c r="H213" i="7"/>
  <c r="F213" i="7" a="1"/>
  <c r="F213" i="7" s="1"/>
  <c r="E213" i="7"/>
  <c r="D213" i="7"/>
  <c r="C213" i="7"/>
  <c r="B213" i="7"/>
  <c r="A213" i="7" a="1"/>
  <c r="A213" i="7" s="1"/>
  <c r="I212" i="7"/>
  <c r="H212" i="7"/>
  <c r="F212" i="7" a="1"/>
  <c r="F212" i="7" s="1"/>
  <c r="E212" i="7"/>
  <c r="D212" i="7"/>
  <c r="C212" i="7"/>
  <c r="B212" i="7"/>
  <c r="A212" i="7" a="1"/>
  <c r="A212" i="7" s="1"/>
  <c r="I211" i="7"/>
  <c r="H211" i="7"/>
  <c r="F211" i="7" a="1"/>
  <c r="F211" i="7" s="1"/>
  <c r="E211" i="7"/>
  <c r="D211" i="7"/>
  <c r="C211" i="7"/>
  <c r="B211" i="7"/>
  <c r="A211" i="7" a="1"/>
  <c r="A211" i="7" s="1"/>
  <c r="I210" i="7"/>
  <c r="H210" i="7"/>
  <c r="F210" i="7" a="1"/>
  <c r="F210" i="7" s="1"/>
  <c r="E210" i="7"/>
  <c r="D210" i="7"/>
  <c r="C210" i="7"/>
  <c r="B210" i="7"/>
  <c r="A210" i="7" a="1"/>
  <c r="A210" i="7" s="1"/>
  <c r="I209" i="7"/>
  <c r="H209" i="7"/>
  <c r="F209" i="7" a="1"/>
  <c r="F209" i="7" s="1"/>
  <c r="E209" i="7"/>
  <c r="D209" i="7"/>
  <c r="C209" i="7"/>
  <c r="B209" i="7"/>
  <c r="A209" i="7" a="1"/>
  <c r="A209" i="7" s="1"/>
  <c r="I208" i="7"/>
  <c r="H208" i="7"/>
  <c r="F208" i="7" a="1"/>
  <c r="F208" i="7" s="1"/>
  <c r="E208" i="7"/>
  <c r="D208" i="7"/>
  <c r="C208" i="7"/>
  <c r="B208" i="7"/>
  <c r="A208" i="7" a="1"/>
  <c r="A208" i="7" s="1"/>
  <c r="I207" i="7"/>
  <c r="H207" i="7"/>
  <c r="F207" i="7" a="1"/>
  <c r="F207" i="7" s="1"/>
  <c r="E207" i="7"/>
  <c r="D207" i="7"/>
  <c r="C207" i="7"/>
  <c r="B207" i="7"/>
  <c r="A207" i="7" a="1"/>
  <c r="A207" i="7" s="1"/>
  <c r="I206" i="7"/>
  <c r="H206" i="7"/>
  <c r="F206" i="7" a="1"/>
  <c r="F206" i="7" s="1"/>
  <c r="E206" i="7"/>
  <c r="D206" i="7"/>
  <c r="C206" i="7"/>
  <c r="B206" i="7"/>
  <c r="A206" i="7" a="1"/>
  <c r="A206" i="7" s="1"/>
  <c r="I205" i="7"/>
  <c r="H205" i="7"/>
  <c r="F205" i="7" a="1"/>
  <c r="F205" i="7" s="1"/>
  <c r="E205" i="7"/>
  <c r="D205" i="7"/>
  <c r="C205" i="7"/>
  <c r="B205" i="7"/>
  <c r="A205" i="7" a="1"/>
  <c r="A205" i="7" s="1"/>
  <c r="I204" i="7"/>
  <c r="H204" i="7"/>
  <c r="F204" i="7" a="1"/>
  <c r="F204" i="7" s="1"/>
  <c r="E204" i="7"/>
  <c r="D204" i="7"/>
  <c r="C204" i="7"/>
  <c r="B204" i="7"/>
  <c r="A204" i="7" a="1"/>
  <c r="A204" i="7" s="1"/>
  <c r="I203" i="7"/>
  <c r="H203" i="7"/>
  <c r="F203" i="7" a="1"/>
  <c r="F203" i="7" s="1"/>
  <c r="E203" i="7"/>
  <c r="D203" i="7"/>
  <c r="C203" i="7"/>
  <c r="B203" i="7"/>
  <c r="A203" i="7" a="1"/>
  <c r="A203" i="7" s="1"/>
  <c r="I202" i="7"/>
  <c r="H202" i="7"/>
  <c r="F202" i="7" a="1"/>
  <c r="F202" i="7" s="1"/>
  <c r="E202" i="7"/>
  <c r="D202" i="7"/>
  <c r="C202" i="7"/>
  <c r="B202" i="7"/>
  <c r="A202" i="7" a="1"/>
  <c r="A202" i="7" s="1"/>
  <c r="I201" i="7"/>
  <c r="H201" i="7"/>
  <c r="F201" i="7" a="1"/>
  <c r="F201" i="7" s="1"/>
  <c r="E201" i="7"/>
  <c r="D201" i="7"/>
  <c r="C201" i="7"/>
  <c r="B201" i="7"/>
  <c r="A201" i="7" a="1"/>
  <c r="A201" i="7" s="1"/>
  <c r="I200" i="7"/>
  <c r="H200" i="7"/>
  <c r="F200" i="7" a="1"/>
  <c r="F200" i="7" s="1"/>
  <c r="E200" i="7"/>
  <c r="D200" i="7"/>
  <c r="C200" i="7"/>
  <c r="B200" i="7"/>
  <c r="A200" i="7" a="1"/>
  <c r="A200" i="7" s="1"/>
  <c r="I199" i="7"/>
  <c r="H199" i="7"/>
  <c r="F199" i="7" a="1"/>
  <c r="F199" i="7" s="1"/>
  <c r="E199" i="7"/>
  <c r="D199" i="7"/>
  <c r="C199" i="7"/>
  <c r="B199" i="7"/>
  <c r="A199" i="7" a="1"/>
  <c r="A199" i="7" s="1"/>
  <c r="I198" i="7"/>
  <c r="H198" i="7"/>
  <c r="F198" i="7" a="1"/>
  <c r="F198" i="7" s="1"/>
  <c r="E198" i="7"/>
  <c r="D198" i="7"/>
  <c r="C198" i="7"/>
  <c r="B198" i="7"/>
  <c r="A198" i="7" a="1"/>
  <c r="A198" i="7" s="1"/>
  <c r="I197" i="7"/>
  <c r="H197" i="7"/>
  <c r="F197" i="7" a="1"/>
  <c r="F197" i="7" s="1"/>
  <c r="E197" i="7"/>
  <c r="D197" i="7"/>
  <c r="C197" i="7"/>
  <c r="B197" i="7"/>
  <c r="A197" i="7" a="1"/>
  <c r="A197" i="7" s="1"/>
  <c r="I196" i="7"/>
  <c r="H196" i="7"/>
  <c r="F196" i="7" a="1"/>
  <c r="F196" i="7" s="1"/>
  <c r="E196" i="7"/>
  <c r="D196" i="7"/>
  <c r="C196" i="7"/>
  <c r="B196" i="7"/>
  <c r="A196" i="7" a="1"/>
  <c r="A196" i="7" s="1"/>
  <c r="I195" i="7"/>
  <c r="H195" i="7"/>
  <c r="F195" i="7" a="1"/>
  <c r="F195" i="7" s="1"/>
  <c r="E195" i="7"/>
  <c r="D195" i="7"/>
  <c r="C195" i="7"/>
  <c r="B195" i="7"/>
  <c r="A195" i="7" a="1"/>
  <c r="A195" i="7" s="1"/>
  <c r="I194" i="7"/>
  <c r="H194" i="7"/>
  <c r="F194" i="7" a="1"/>
  <c r="F194" i="7" s="1"/>
  <c r="E194" i="7"/>
  <c r="D194" i="7"/>
  <c r="C194" i="7"/>
  <c r="B194" i="7"/>
  <c r="A194" i="7" a="1"/>
  <c r="A194" i="7" s="1"/>
  <c r="I193" i="7"/>
  <c r="H193" i="7"/>
  <c r="F193" i="7" a="1"/>
  <c r="F193" i="7" s="1"/>
  <c r="E193" i="7"/>
  <c r="D193" i="7"/>
  <c r="C193" i="7"/>
  <c r="B193" i="7"/>
  <c r="A193" i="7" a="1"/>
  <c r="A193" i="7" s="1"/>
  <c r="I192" i="7"/>
  <c r="H192" i="7"/>
  <c r="F192" i="7" a="1"/>
  <c r="F192" i="7" s="1"/>
  <c r="E192" i="7"/>
  <c r="D192" i="7"/>
  <c r="C192" i="7"/>
  <c r="B192" i="7"/>
  <c r="A192" i="7" a="1"/>
  <c r="A192" i="7" s="1"/>
  <c r="I191" i="7"/>
  <c r="H191" i="7"/>
  <c r="F191" i="7" a="1"/>
  <c r="F191" i="7" s="1"/>
  <c r="E191" i="7"/>
  <c r="D191" i="7"/>
  <c r="C191" i="7"/>
  <c r="B191" i="7"/>
  <c r="A191" i="7" a="1"/>
  <c r="A191" i="7" s="1"/>
  <c r="I190" i="7"/>
  <c r="H190" i="7"/>
  <c r="F190" i="7" a="1"/>
  <c r="F190" i="7" s="1"/>
  <c r="E190" i="7"/>
  <c r="D190" i="7"/>
  <c r="C190" i="7"/>
  <c r="B190" i="7"/>
  <c r="A190" i="7" a="1"/>
  <c r="A190" i="7" s="1"/>
  <c r="I189" i="7"/>
  <c r="H189" i="7"/>
  <c r="F189" i="7" a="1"/>
  <c r="F189" i="7" s="1"/>
  <c r="E189" i="7"/>
  <c r="D189" i="7"/>
  <c r="C189" i="7"/>
  <c r="B189" i="7"/>
  <c r="A189" i="7" a="1"/>
  <c r="A189" i="7" s="1"/>
  <c r="I188" i="7"/>
  <c r="H188" i="7"/>
  <c r="F188" i="7" a="1"/>
  <c r="F188" i="7" s="1"/>
  <c r="E188" i="7"/>
  <c r="D188" i="7"/>
  <c r="C188" i="7"/>
  <c r="B188" i="7"/>
  <c r="A188" i="7" a="1"/>
  <c r="A188" i="7" s="1"/>
  <c r="I187" i="7"/>
  <c r="H187" i="7"/>
  <c r="F187" i="7" a="1"/>
  <c r="F187" i="7" s="1"/>
  <c r="E187" i="7"/>
  <c r="D187" i="7"/>
  <c r="C187" i="7"/>
  <c r="B187" i="7"/>
  <c r="A187" i="7" a="1"/>
  <c r="A187" i="7" s="1"/>
  <c r="I186" i="7"/>
  <c r="H186" i="7"/>
  <c r="F186" i="7" a="1"/>
  <c r="F186" i="7" s="1"/>
  <c r="E186" i="7"/>
  <c r="D186" i="7"/>
  <c r="C186" i="7"/>
  <c r="B186" i="7"/>
  <c r="A186" i="7" a="1"/>
  <c r="A186" i="7" s="1"/>
  <c r="I185" i="7"/>
  <c r="H185" i="7"/>
  <c r="F185" i="7" a="1"/>
  <c r="F185" i="7" s="1"/>
  <c r="E185" i="7"/>
  <c r="D185" i="7"/>
  <c r="C185" i="7"/>
  <c r="B185" i="7"/>
  <c r="A185" i="7" a="1"/>
  <c r="A185" i="7" s="1"/>
  <c r="I184" i="7"/>
  <c r="H184" i="7"/>
  <c r="F184" i="7" a="1"/>
  <c r="F184" i="7" s="1"/>
  <c r="E184" i="7"/>
  <c r="D184" i="7"/>
  <c r="C184" i="7"/>
  <c r="B184" i="7"/>
  <c r="A184" i="7" a="1"/>
  <c r="A184" i="7" s="1"/>
  <c r="I183" i="7"/>
  <c r="H183" i="7"/>
  <c r="F183" i="7" a="1"/>
  <c r="F183" i="7" s="1"/>
  <c r="E183" i="7"/>
  <c r="D183" i="7"/>
  <c r="C183" i="7"/>
  <c r="B183" i="7"/>
  <c r="A183" i="7" a="1"/>
  <c r="A183" i="7" s="1"/>
  <c r="I182" i="7"/>
  <c r="H182" i="7"/>
  <c r="F182" i="7" a="1"/>
  <c r="F182" i="7" s="1"/>
  <c r="E182" i="7"/>
  <c r="D182" i="7"/>
  <c r="C182" i="7"/>
  <c r="B182" i="7"/>
  <c r="A182" i="7" a="1"/>
  <c r="A182" i="7" s="1"/>
  <c r="I181" i="7"/>
  <c r="H181" i="7"/>
  <c r="F181" i="7" a="1"/>
  <c r="F181" i="7" s="1"/>
  <c r="E181" i="7"/>
  <c r="D181" i="7"/>
  <c r="C181" i="7"/>
  <c r="B181" i="7"/>
  <c r="A181" i="7" a="1"/>
  <c r="A181" i="7" s="1"/>
  <c r="I180" i="7"/>
  <c r="H180" i="7"/>
  <c r="F180" i="7" a="1"/>
  <c r="F180" i="7" s="1"/>
  <c r="E180" i="7"/>
  <c r="D180" i="7"/>
  <c r="C180" i="7"/>
  <c r="B180" i="7"/>
  <c r="A180" i="7" a="1"/>
  <c r="A180" i="7" s="1"/>
  <c r="I179" i="7"/>
  <c r="H179" i="7"/>
  <c r="F179" i="7" a="1"/>
  <c r="F179" i="7" s="1"/>
  <c r="E179" i="7"/>
  <c r="D179" i="7"/>
  <c r="C179" i="7"/>
  <c r="B179" i="7"/>
  <c r="A179" i="7" a="1"/>
  <c r="A179" i="7" s="1"/>
  <c r="I178" i="7"/>
  <c r="H178" i="7"/>
  <c r="F178" i="7" a="1"/>
  <c r="F178" i="7" s="1"/>
  <c r="E178" i="7"/>
  <c r="D178" i="7"/>
  <c r="C178" i="7"/>
  <c r="B178" i="7"/>
  <c r="A178" i="7" a="1"/>
  <c r="A178" i="7" s="1"/>
  <c r="I177" i="7"/>
  <c r="H177" i="7"/>
  <c r="F177" i="7" a="1"/>
  <c r="F177" i="7" s="1"/>
  <c r="E177" i="7"/>
  <c r="D177" i="7"/>
  <c r="C177" i="7"/>
  <c r="B177" i="7"/>
  <c r="A177" i="7" a="1"/>
  <c r="A177" i="7" s="1"/>
  <c r="I176" i="7"/>
  <c r="H176" i="7"/>
  <c r="F176" i="7" a="1"/>
  <c r="F176" i="7" s="1"/>
  <c r="E176" i="7"/>
  <c r="D176" i="7"/>
  <c r="C176" i="7"/>
  <c r="B176" i="7"/>
  <c r="A176" i="7" a="1"/>
  <c r="A176" i="7" s="1"/>
  <c r="I175" i="7"/>
  <c r="H175" i="7"/>
  <c r="F175" i="7" a="1"/>
  <c r="F175" i="7" s="1"/>
  <c r="E175" i="7"/>
  <c r="D175" i="7"/>
  <c r="C175" i="7"/>
  <c r="B175" i="7"/>
  <c r="A175" i="7" a="1"/>
  <c r="A175" i="7" s="1"/>
  <c r="I174" i="7"/>
  <c r="H174" i="7"/>
  <c r="F174" i="7" a="1"/>
  <c r="F174" i="7" s="1"/>
  <c r="E174" i="7"/>
  <c r="D174" i="7"/>
  <c r="C174" i="7"/>
  <c r="B174" i="7"/>
  <c r="A174" i="7" a="1"/>
  <c r="A174" i="7" s="1"/>
  <c r="I173" i="7"/>
  <c r="H173" i="7"/>
  <c r="F173" i="7" a="1"/>
  <c r="F173" i="7" s="1"/>
  <c r="E173" i="7"/>
  <c r="D173" i="7"/>
  <c r="C173" i="7"/>
  <c r="B173" i="7"/>
  <c r="A173" i="7" a="1"/>
  <c r="A173" i="7" s="1"/>
  <c r="I172" i="7"/>
  <c r="H172" i="7"/>
  <c r="F172" i="7" a="1"/>
  <c r="F172" i="7" s="1"/>
  <c r="E172" i="7"/>
  <c r="D172" i="7"/>
  <c r="C172" i="7"/>
  <c r="B172" i="7"/>
  <c r="A172" i="7" a="1"/>
  <c r="A172" i="7" s="1"/>
  <c r="I171" i="7"/>
  <c r="H171" i="7"/>
  <c r="F171" i="7" a="1"/>
  <c r="F171" i="7" s="1"/>
  <c r="E171" i="7"/>
  <c r="D171" i="7"/>
  <c r="C171" i="7"/>
  <c r="B171" i="7"/>
  <c r="A171" i="7" a="1"/>
  <c r="A171" i="7" s="1"/>
  <c r="I170" i="7"/>
  <c r="H170" i="7"/>
  <c r="F170" i="7" a="1"/>
  <c r="F170" i="7" s="1"/>
  <c r="E170" i="7"/>
  <c r="D170" i="7"/>
  <c r="C170" i="7"/>
  <c r="B170" i="7"/>
  <c r="A170" i="7" a="1"/>
  <c r="A170" i="7" s="1"/>
  <c r="I169" i="7"/>
  <c r="H169" i="7"/>
  <c r="F169" i="7" a="1"/>
  <c r="F169" i="7" s="1"/>
  <c r="E169" i="7"/>
  <c r="D169" i="7"/>
  <c r="C169" i="7"/>
  <c r="B169" i="7"/>
  <c r="A169" i="7" a="1"/>
  <c r="A169" i="7" s="1"/>
  <c r="I168" i="7"/>
  <c r="H168" i="7"/>
  <c r="F168" i="7" a="1"/>
  <c r="F168" i="7" s="1"/>
  <c r="E168" i="7"/>
  <c r="D168" i="7"/>
  <c r="C168" i="7"/>
  <c r="B168" i="7"/>
  <c r="A168" i="7" a="1"/>
  <c r="A168" i="7" s="1"/>
  <c r="I167" i="7"/>
  <c r="H167" i="7"/>
  <c r="F167" i="7" a="1"/>
  <c r="F167" i="7" s="1"/>
  <c r="E167" i="7"/>
  <c r="D167" i="7"/>
  <c r="C167" i="7"/>
  <c r="B167" i="7"/>
  <c r="A167" i="7" a="1"/>
  <c r="A167" i="7" s="1"/>
  <c r="I166" i="7"/>
  <c r="H166" i="7"/>
  <c r="F166" i="7" a="1"/>
  <c r="F166" i="7" s="1"/>
  <c r="E166" i="7"/>
  <c r="D166" i="7"/>
  <c r="C166" i="7"/>
  <c r="B166" i="7"/>
  <c r="A166" i="7" a="1"/>
  <c r="A166" i="7" s="1"/>
  <c r="I165" i="7"/>
  <c r="H165" i="7"/>
  <c r="F165" i="7" a="1"/>
  <c r="F165" i="7" s="1"/>
  <c r="E165" i="7"/>
  <c r="D165" i="7"/>
  <c r="C165" i="7"/>
  <c r="B165" i="7"/>
  <c r="A165" i="7" a="1"/>
  <c r="A165" i="7" s="1"/>
  <c r="I164" i="7"/>
  <c r="H164" i="7"/>
  <c r="F164" i="7" a="1"/>
  <c r="F164" i="7" s="1"/>
  <c r="E164" i="7"/>
  <c r="D164" i="7"/>
  <c r="C164" i="7"/>
  <c r="B164" i="7"/>
  <c r="A164" i="7" a="1"/>
  <c r="A164" i="7" s="1"/>
  <c r="I163" i="7"/>
  <c r="H163" i="7"/>
  <c r="F163" i="7" a="1"/>
  <c r="F163" i="7" s="1"/>
  <c r="E163" i="7"/>
  <c r="D163" i="7"/>
  <c r="C163" i="7"/>
  <c r="B163" i="7"/>
  <c r="A163" i="7" a="1"/>
  <c r="A163" i="7" s="1"/>
  <c r="I162" i="7"/>
  <c r="H162" i="7"/>
  <c r="F162" i="7" a="1"/>
  <c r="F162" i="7" s="1"/>
  <c r="E162" i="7"/>
  <c r="D162" i="7"/>
  <c r="C162" i="7"/>
  <c r="B162" i="7"/>
  <c r="A162" i="7" a="1"/>
  <c r="A162" i="7" s="1"/>
  <c r="I161" i="7"/>
  <c r="H161" i="7"/>
  <c r="F161" i="7" a="1"/>
  <c r="F161" i="7" s="1"/>
  <c r="E161" i="7"/>
  <c r="D161" i="7"/>
  <c r="C161" i="7"/>
  <c r="B161" i="7"/>
  <c r="A161" i="7" a="1"/>
  <c r="A161" i="7" s="1"/>
  <c r="I160" i="7"/>
  <c r="H160" i="7"/>
  <c r="F160" i="7" a="1"/>
  <c r="F160" i="7" s="1"/>
  <c r="E160" i="7"/>
  <c r="D160" i="7"/>
  <c r="C160" i="7"/>
  <c r="B160" i="7"/>
  <c r="A160" i="7" a="1"/>
  <c r="A160" i="7" s="1"/>
  <c r="I159" i="7"/>
  <c r="H159" i="7"/>
  <c r="F159" i="7" a="1"/>
  <c r="F159" i="7" s="1"/>
  <c r="E159" i="7"/>
  <c r="D159" i="7"/>
  <c r="C159" i="7"/>
  <c r="B159" i="7"/>
  <c r="A159" i="7" a="1"/>
  <c r="A159" i="7" s="1"/>
  <c r="I158" i="7"/>
  <c r="H158" i="7"/>
  <c r="F158" i="7" a="1"/>
  <c r="F158" i="7" s="1"/>
  <c r="E158" i="7"/>
  <c r="D158" i="7"/>
  <c r="C158" i="7"/>
  <c r="B158" i="7"/>
  <c r="A158" i="7" a="1"/>
  <c r="A158" i="7" s="1"/>
  <c r="I157" i="7"/>
  <c r="H157" i="7"/>
  <c r="F157" i="7" a="1"/>
  <c r="F157" i="7" s="1"/>
  <c r="E157" i="7"/>
  <c r="D157" i="7"/>
  <c r="C157" i="7"/>
  <c r="B157" i="7"/>
  <c r="A157" i="7" a="1"/>
  <c r="A157" i="7" s="1"/>
  <c r="I156" i="7"/>
  <c r="H156" i="7"/>
  <c r="F156" i="7" a="1"/>
  <c r="F156" i="7" s="1"/>
  <c r="E156" i="7"/>
  <c r="D156" i="7"/>
  <c r="C156" i="7"/>
  <c r="B156" i="7"/>
  <c r="A156" i="7" a="1"/>
  <c r="A156" i="7" s="1"/>
  <c r="I155" i="7"/>
  <c r="H155" i="7"/>
  <c r="F155" i="7" a="1"/>
  <c r="F155" i="7" s="1"/>
  <c r="E155" i="7"/>
  <c r="D155" i="7"/>
  <c r="C155" i="7"/>
  <c r="B155" i="7"/>
  <c r="A155" i="7" a="1"/>
  <c r="A155" i="7" s="1"/>
  <c r="I154" i="7"/>
  <c r="H154" i="7"/>
  <c r="F154" i="7" a="1"/>
  <c r="F154" i="7" s="1"/>
  <c r="E154" i="7"/>
  <c r="D154" i="7"/>
  <c r="C154" i="7"/>
  <c r="B154" i="7"/>
  <c r="A154" i="7" a="1"/>
  <c r="A154" i="7" s="1"/>
  <c r="I153" i="7"/>
  <c r="H153" i="7"/>
  <c r="F153" i="7" a="1"/>
  <c r="F153" i="7" s="1"/>
  <c r="E153" i="7"/>
  <c r="D153" i="7"/>
  <c r="C153" i="7"/>
  <c r="B153" i="7"/>
  <c r="A153" i="7" a="1"/>
  <c r="A153" i="7" s="1"/>
  <c r="I152" i="7"/>
  <c r="H152" i="7"/>
  <c r="F152" i="7" a="1"/>
  <c r="F152" i="7" s="1"/>
  <c r="E152" i="7"/>
  <c r="D152" i="7"/>
  <c r="C152" i="7"/>
  <c r="B152" i="7"/>
  <c r="A152" i="7" a="1"/>
  <c r="A152" i="7" s="1"/>
  <c r="I151" i="7"/>
  <c r="H151" i="7"/>
  <c r="F151" i="7" a="1"/>
  <c r="F151" i="7" s="1"/>
  <c r="E151" i="7"/>
  <c r="D151" i="7"/>
  <c r="C151" i="7"/>
  <c r="B151" i="7"/>
  <c r="A151" i="7" a="1"/>
  <c r="A151" i="7" s="1"/>
  <c r="I150" i="7"/>
  <c r="H150" i="7"/>
  <c r="F150" i="7" a="1"/>
  <c r="F150" i="7" s="1"/>
  <c r="E150" i="7"/>
  <c r="D150" i="7"/>
  <c r="C150" i="7"/>
  <c r="B150" i="7"/>
  <c r="A150" i="7" a="1"/>
  <c r="A150" i="7" s="1"/>
  <c r="I149" i="7"/>
  <c r="H149" i="7"/>
  <c r="F149" i="7" a="1"/>
  <c r="F149" i="7" s="1"/>
  <c r="E149" i="7"/>
  <c r="D149" i="7"/>
  <c r="C149" i="7"/>
  <c r="B149" i="7"/>
  <c r="A149" i="7" a="1"/>
  <c r="A149" i="7" s="1"/>
  <c r="I148" i="7"/>
  <c r="H148" i="7"/>
  <c r="F148" i="7" a="1"/>
  <c r="F148" i="7" s="1"/>
  <c r="E148" i="7"/>
  <c r="D148" i="7"/>
  <c r="C148" i="7"/>
  <c r="B148" i="7"/>
  <c r="A148" i="7" a="1"/>
  <c r="A148" i="7" s="1"/>
  <c r="I147" i="7"/>
  <c r="H147" i="7"/>
  <c r="F147" i="7" a="1"/>
  <c r="F147" i="7" s="1"/>
  <c r="E147" i="7"/>
  <c r="D147" i="7"/>
  <c r="C147" i="7"/>
  <c r="B147" i="7"/>
  <c r="A147" i="7" a="1"/>
  <c r="A147" i="7" s="1"/>
  <c r="I146" i="7"/>
  <c r="H146" i="7"/>
  <c r="F146" i="7" a="1"/>
  <c r="F146" i="7" s="1"/>
  <c r="E146" i="7"/>
  <c r="D146" i="7"/>
  <c r="C146" i="7"/>
  <c r="B146" i="7"/>
  <c r="A146" i="7" a="1"/>
  <c r="A146" i="7" s="1"/>
  <c r="I145" i="7"/>
  <c r="H145" i="7"/>
  <c r="F145" i="7" a="1"/>
  <c r="F145" i="7" s="1"/>
  <c r="E145" i="7"/>
  <c r="D145" i="7"/>
  <c r="C145" i="7"/>
  <c r="B145" i="7"/>
  <c r="A145" i="7" a="1"/>
  <c r="A145" i="7" s="1"/>
  <c r="I144" i="7"/>
  <c r="H144" i="7"/>
  <c r="F144" i="7" a="1"/>
  <c r="F144" i="7" s="1"/>
  <c r="E144" i="7"/>
  <c r="D144" i="7"/>
  <c r="C144" i="7"/>
  <c r="B144" i="7"/>
  <c r="A144" i="7" a="1"/>
  <c r="A144" i="7" s="1"/>
  <c r="I143" i="7"/>
  <c r="H143" i="7"/>
  <c r="F143" i="7" a="1"/>
  <c r="F143" i="7" s="1"/>
  <c r="E143" i="7"/>
  <c r="D143" i="7"/>
  <c r="C143" i="7"/>
  <c r="B143" i="7"/>
  <c r="A143" i="7" a="1"/>
  <c r="A143" i="7" s="1"/>
  <c r="I142" i="7"/>
  <c r="H142" i="7"/>
  <c r="F142" i="7" a="1"/>
  <c r="F142" i="7" s="1"/>
  <c r="E142" i="7"/>
  <c r="D142" i="7"/>
  <c r="C142" i="7"/>
  <c r="B142" i="7"/>
  <c r="A142" i="7" a="1"/>
  <c r="A142" i="7" s="1"/>
  <c r="I141" i="7"/>
  <c r="H141" i="7"/>
  <c r="F141" i="7" a="1"/>
  <c r="F141" i="7" s="1"/>
  <c r="E141" i="7"/>
  <c r="D141" i="7"/>
  <c r="C141" i="7"/>
  <c r="B141" i="7"/>
  <c r="A141" i="7" a="1"/>
  <c r="A141" i="7" s="1"/>
  <c r="I140" i="7"/>
  <c r="H140" i="7"/>
  <c r="F140" i="7" a="1"/>
  <c r="F140" i="7" s="1"/>
  <c r="E140" i="7"/>
  <c r="D140" i="7"/>
  <c r="C140" i="7"/>
  <c r="B140" i="7"/>
  <c r="A140" i="7" a="1"/>
  <c r="A140" i="7" s="1"/>
  <c r="I139" i="7"/>
  <c r="H139" i="7"/>
  <c r="F139" i="7" a="1"/>
  <c r="F139" i="7" s="1"/>
  <c r="E139" i="7"/>
  <c r="D139" i="7"/>
  <c r="C139" i="7"/>
  <c r="B139" i="7"/>
  <c r="A139" i="7" a="1"/>
  <c r="A139" i="7" s="1"/>
  <c r="I138" i="7"/>
  <c r="H138" i="7"/>
  <c r="F138" i="7" a="1"/>
  <c r="F138" i="7" s="1"/>
  <c r="E138" i="7"/>
  <c r="D138" i="7"/>
  <c r="C138" i="7"/>
  <c r="B138" i="7"/>
  <c r="A138" i="7" a="1"/>
  <c r="A138" i="7" s="1"/>
  <c r="I137" i="7"/>
  <c r="H137" i="7"/>
  <c r="F137" i="7" a="1"/>
  <c r="F137" i="7" s="1"/>
  <c r="E137" i="7"/>
  <c r="D137" i="7"/>
  <c r="C137" i="7"/>
  <c r="B137" i="7"/>
  <c r="A137" i="7" a="1"/>
  <c r="A137" i="7" s="1"/>
  <c r="I136" i="7"/>
  <c r="H136" i="7"/>
  <c r="F136" i="7" a="1"/>
  <c r="F136" i="7" s="1"/>
  <c r="E136" i="7"/>
  <c r="D136" i="7"/>
  <c r="C136" i="7"/>
  <c r="B136" i="7"/>
  <c r="A136" i="7" a="1"/>
  <c r="A136" i="7" s="1"/>
  <c r="I135" i="7"/>
  <c r="H135" i="7"/>
  <c r="F135" i="7" a="1"/>
  <c r="F135" i="7" s="1"/>
  <c r="E135" i="7"/>
  <c r="D135" i="7"/>
  <c r="C135" i="7"/>
  <c r="B135" i="7"/>
  <c r="A135" i="7" a="1"/>
  <c r="A135" i="7" s="1"/>
  <c r="I134" i="7"/>
  <c r="H134" i="7"/>
  <c r="F134" i="7" a="1"/>
  <c r="F134" i="7" s="1"/>
  <c r="E134" i="7"/>
  <c r="D134" i="7"/>
  <c r="C134" i="7"/>
  <c r="B134" i="7"/>
  <c r="A134" i="7" a="1"/>
  <c r="A134" i="7" s="1"/>
  <c r="I133" i="7"/>
  <c r="H133" i="7"/>
  <c r="F133" i="7" a="1"/>
  <c r="F133" i="7" s="1"/>
  <c r="E133" i="7"/>
  <c r="D133" i="7"/>
  <c r="C133" i="7"/>
  <c r="B133" i="7"/>
  <c r="A133" i="7" a="1"/>
  <c r="A133" i="7" s="1"/>
  <c r="I132" i="7"/>
  <c r="H132" i="7"/>
  <c r="F132" i="7" a="1"/>
  <c r="F132" i="7" s="1"/>
  <c r="E132" i="7"/>
  <c r="D132" i="7"/>
  <c r="C132" i="7"/>
  <c r="B132" i="7"/>
  <c r="A132" i="7" a="1"/>
  <c r="A132" i="7" s="1"/>
  <c r="I131" i="7"/>
  <c r="H131" i="7"/>
  <c r="F131" i="7" a="1"/>
  <c r="F131" i="7" s="1"/>
  <c r="E131" i="7"/>
  <c r="D131" i="7"/>
  <c r="C131" i="7"/>
  <c r="B131" i="7"/>
  <c r="A131" i="7" a="1"/>
  <c r="A131" i="7" s="1"/>
  <c r="I130" i="7"/>
  <c r="H130" i="7"/>
  <c r="F130" i="7" a="1"/>
  <c r="F130" i="7" s="1"/>
  <c r="E130" i="7"/>
  <c r="D130" i="7"/>
  <c r="C130" i="7"/>
  <c r="B130" i="7"/>
  <c r="A130" i="7" a="1"/>
  <c r="A130" i="7" s="1"/>
  <c r="I129" i="7"/>
  <c r="H129" i="7"/>
  <c r="F129" i="7" a="1"/>
  <c r="F129" i="7" s="1"/>
  <c r="E129" i="7"/>
  <c r="D129" i="7"/>
  <c r="C129" i="7"/>
  <c r="B129" i="7"/>
  <c r="A129" i="7" a="1"/>
  <c r="A129" i="7" s="1"/>
  <c r="I128" i="7"/>
  <c r="H128" i="7"/>
  <c r="F128" i="7" a="1"/>
  <c r="F128" i="7" s="1"/>
  <c r="E128" i="7"/>
  <c r="D128" i="7"/>
  <c r="C128" i="7"/>
  <c r="B128" i="7"/>
  <c r="A128" i="7" a="1"/>
  <c r="A128" i="7" s="1"/>
  <c r="I127" i="7"/>
  <c r="H127" i="7"/>
  <c r="F127" i="7" a="1"/>
  <c r="F127" i="7" s="1"/>
  <c r="E127" i="7"/>
  <c r="D127" i="7"/>
  <c r="C127" i="7"/>
  <c r="B127" i="7"/>
  <c r="A127" i="7" a="1"/>
  <c r="A127" i="7" s="1"/>
  <c r="I126" i="7"/>
  <c r="H126" i="7"/>
  <c r="F126" i="7" a="1"/>
  <c r="F126" i="7" s="1"/>
  <c r="E126" i="7"/>
  <c r="D126" i="7"/>
  <c r="C126" i="7"/>
  <c r="B126" i="7"/>
  <c r="A126" i="7" a="1"/>
  <c r="A126" i="7" s="1"/>
  <c r="I125" i="7"/>
  <c r="H125" i="7"/>
  <c r="F125" i="7" a="1"/>
  <c r="F125" i="7" s="1"/>
  <c r="E125" i="7"/>
  <c r="D125" i="7"/>
  <c r="C125" i="7"/>
  <c r="B125" i="7"/>
  <c r="A125" i="7" a="1"/>
  <c r="A125" i="7" s="1"/>
  <c r="I124" i="7"/>
  <c r="H124" i="7"/>
  <c r="F124" i="7" a="1"/>
  <c r="F124" i="7" s="1"/>
  <c r="E124" i="7"/>
  <c r="D124" i="7"/>
  <c r="C124" i="7"/>
  <c r="B124" i="7"/>
  <c r="A124" i="7" a="1"/>
  <c r="A124" i="7" s="1"/>
  <c r="I123" i="7"/>
  <c r="H123" i="7"/>
  <c r="F123" i="7" a="1"/>
  <c r="F123" i="7" s="1"/>
  <c r="E123" i="7"/>
  <c r="D123" i="7"/>
  <c r="C123" i="7"/>
  <c r="B123" i="7"/>
  <c r="A123" i="7" a="1"/>
  <c r="A123" i="7" s="1"/>
  <c r="I122" i="7"/>
  <c r="H122" i="7"/>
  <c r="F122" i="7" a="1"/>
  <c r="F122" i="7" s="1"/>
  <c r="E122" i="7"/>
  <c r="D122" i="7"/>
  <c r="C122" i="7"/>
  <c r="B122" i="7"/>
  <c r="A122" i="7" a="1"/>
  <c r="A122" i="7" s="1"/>
  <c r="I121" i="7"/>
  <c r="H121" i="7"/>
  <c r="F121" i="7" a="1"/>
  <c r="F121" i="7" s="1"/>
  <c r="E121" i="7"/>
  <c r="D121" i="7"/>
  <c r="C121" i="7"/>
  <c r="B121" i="7"/>
  <c r="A121" i="7" a="1"/>
  <c r="A121" i="7" s="1"/>
  <c r="I120" i="7"/>
  <c r="H120" i="7"/>
  <c r="F120" i="7" a="1"/>
  <c r="F120" i="7" s="1"/>
  <c r="E120" i="7"/>
  <c r="D120" i="7"/>
  <c r="C120" i="7"/>
  <c r="B120" i="7"/>
  <c r="A120" i="7" a="1"/>
  <c r="A120" i="7" s="1"/>
  <c r="I119" i="7"/>
  <c r="H119" i="7"/>
  <c r="F119" i="7" a="1"/>
  <c r="F119" i="7" s="1"/>
  <c r="E119" i="7"/>
  <c r="D119" i="7"/>
  <c r="C119" i="7"/>
  <c r="B119" i="7"/>
  <c r="A119" i="7" a="1"/>
  <c r="A119" i="7" s="1"/>
  <c r="I118" i="7"/>
  <c r="H118" i="7"/>
  <c r="F118" i="7" a="1"/>
  <c r="F118" i="7" s="1"/>
  <c r="E118" i="7"/>
  <c r="D118" i="7"/>
  <c r="C118" i="7"/>
  <c r="B118" i="7"/>
  <c r="A118" i="7" a="1"/>
  <c r="A118" i="7" s="1"/>
  <c r="I117" i="7"/>
  <c r="H117" i="7"/>
  <c r="F117" i="7" a="1"/>
  <c r="F117" i="7" s="1"/>
  <c r="E117" i="7"/>
  <c r="D117" i="7"/>
  <c r="C117" i="7"/>
  <c r="B117" i="7"/>
  <c r="A117" i="7" a="1"/>
  <c r="A117" i="7" s="1"/>
  <c r="I116" i="7"/>
  <c r="H116" i="7"/>
  <c r="F116" i="7" a="1"/>
  <c r="F116" i="7" s="1"/>
  <c r="E116" i="7"/>
  <c r="D116" i="7"/>
  <c r="C116" i="7"/>
  <c r="B116" i="7"/>
  <c r="A116" i="7" a="1"/>
  <c r="A116" i="7" s="1"/>
  <c r="I115" i="7"/>
  <c r="H115" i="7"/>
  <c r="F115" i="7" a="1"/>
  <c r="F115" i="7" s="1"/>
  <c r="E115" i="7"/>
  <c r="D115" i="7"/>
  <c r="C115" i="7"/>
  <c r="B115" i="7"/>
  <c r="A115" i="7" a="1"/>
  <c r="A115" i="7" s="1"/>
  <c r="I114" i="7"/>
  <c r="H114" i="7"/>
  <c r="F114" i="7" a="1"/>
  <c r="F114" i="7" s="1"/>
  <c r="E114" i="7"/>
  <c r="D114" i="7"/>
  <c r="C114" i="7"/>
  <c r="B114" i="7"/>
  <c r="A114" i="7" a="1"/>
  <c r="A114" i="7" s="1"/>
  <c r="I113" i="7"/>
  <c r="H113" i="7"/>
  <c r="F113" i="7" a="1"/>
  <c r="F113" i="7" s="1"/>
  <c r="E113" i="7"/>
  <c r="D113" i="7"/>
  <c r="C113" i="7"/>
  <c r="B113" i="7"/>
  <c r="A113" i="7" a="1"/>
  <c r="A113" i="7" s="1"/>
  <c r="I112" i="7"/>
  <c r="H112" i="7"/>
  <c r="F112" i="7" a="1"/>
  <c r="F112" i="7" s="1"/>
  <c r="E112" i="7"/>
  <c r="D112" i="7"/>
  <c r="C112" i="7"/>
  <c r="B112" i="7"/>
  <c r="A112" i="7" a="1"/>
  <c r="A112" i="7" s="1"/>
  <c r="I111" i="7"/>
  <c r="H111" i="7"/>
  <c r="F111" i="7" a="1"/>
  <c r="F111" i="7" s="1"/>
  <c r="E111" i="7"/>
  <c r="D111" i="7"/>
  <c r="C111" i="7"/>
  <c r="B111" i="7"/>
  <c r="A111" i="7" a="1"/>
  <c r="A111" i="7" s="1"/>
  <c r="I110" i="7"/>
  <c r="H110" i="7"/>
  <c r="F110" i="7" a="1"/>
  <c r="F110" i="7" s="1"/>
  <c r="E110" i="7"/>
  <c r="D110" i="7"/>
  <c r="C110" i="7"/>
  <c r="B110" i="7"/>
  <c r="A110" i="7" a="1"/>
  <c r="A110" i="7" s="1"/>
  <c r="I109" i="7"/>
  <c r="H109" i="7"/>
  <c r="F109" i="7" a="1"/>
  <c r="F109" i="7" s="1"/>
  <c r="E109" i="7"/>
  <c r="D109" i="7"/>
  <c r="C109" i="7"/>
  <c r="B109" i="7"/>
  <c r="A109" i="7" a="1"/>
  <c r="A109" i="7" s="1"/>
  <c r="I108" i="7"/>
  <c r="H108" i="7"/>
  <c r="F108" i="7" a="1"/>
  <c r="F108" i="7" s="1"/>
  <c r="E108" i="7"/>
  <c r="D108" i="7"/>
  <c r="C108" i="7"/>
  <c r="B108" i="7"/>
  <c r="A108" i="7" a="1"/>
  <c r="A108" i="7" s="1"/>
  <c r="I107" i="7"/>
  <c r="H107" i="7"/>
  <c r="F107" i="7" a="1"/>
  <c r="F107" i="7" s="1"/>
  <c r="E107" i="7"/>
  <c r="D107" i="7"/>
  <c r="C107" i="7"/>
  <c r="B107" i="7"/>
  <c r="A107" i="7" a="1"/>
  <c r="A107" i="7" s="1"/>
  <c r="I106" i="7"/>
  <c r="H106" i="7"/>
  <c r="F106" i="7" a="1"/>
  <c r="F106" i="7" s="1"/>
  <c r="E106" i="7"/>
  <c r="D106" i="7"/>
  <c r="C106" i="7"/>
  <c r="B106" i="7"/>
  <c r="A106" i="7" a="1"/>
  <c r="A106" i="7" s="1"/>
  <c r="I105" i="7"/>
  <c r="H105" i="7"/>
  <c r="F105" i="7" a="1"/>
  <c r="F105" i="7" s="1"/>
  <c r="E105" i="7"/>
  <c r="D105" i="7"/>
  <c r="C105" i="7"/>
  <c r="B105" i="7"/>
  <c r="A105" i="7" a="1"/>
  <c r="A105" i="7" s="1"/>
  <c r="I104" i="7"/>
  <c r="H104" i="7"/>
  <c r="F104" i="7" a="1"/>
  <c r="F104" i="7" s="1"/>
  <c r="E104" i="7"/>
  <c r="D104" i="7"/>
  <c r="C104" i="7"/>
  <c r="B104" i="7"/>
  <c r="A104" i="7" a="1"/>
  <c r="A104" i="7" s="1"/>
  <c r="I103" i="7"/>
  <c r="H103" i="7"/>
  <c r="F103" i="7" a="1"/>
  <c r="F103" i="7" s="1"/>
  <c r="E103" i="7"/>
  <c r="D103" i="7"/>
  <c r="C103" i="7"/>
  <c r="B103" i="7"/>
  <c r="A103" i="7" a="1"/>
  <c r="A103" i="7" s="1"/>
  <c r="I102" i="7"/>
  <c r="H102" i="7"/>
  <c r="F102" i="7" a="1"/>
  <c r="F102" i="7" s="1"/>
  <c r="E102" i="7"/>
  <c r="D102" i="7"/>
  <c r="C102" i="7"/>
  <c r="B102" i="7"/>
  <c r="A102" i="7" a="1"/>
  <c r="A102" i="7" s="1"/>
  <c r="I101" i="7"/>
  <c r="H101" i="7"/>
  <c r="F101" i="7" a="1"/>
  <c r="F101" i="7" s="1"/>
  <c r="E101" i="7"/>
  <c r="D101" i="7"/>
  <c r="C101" i="7"/>
  <c r="B101" i="7"/>
  <c r="A101" i="7" a="1"/>
  <c r="A101" i="7" s="1"/>
  <c r="I100" i="7"/>
  <c r="H100" i="7"/>
  <c r="F100" i="7" a="1"/>
  <c r="F100" i="7" s="1"/>
  <c r="E100" i="7"/>
  <c r="D100" i="7"/>
  <c r="C100" i="7"/>
  <c r="B100" i="7"/>
  <c r="A100" i="7" a="1"/>
  <c r="A100" i="7" s="1"/>
  <c r="I99" i="7"/>
  <c r="H99" i="7"/>
  <c r="F99" i="7" a="1"/>
  <c r="F99" i="7" s="1"/>
  <c r="E99" i="7"/>
  <c r="D99" i="7"/>
  <c r="C99" i="7"/>
  <c r="B99" i="7"/>
  <c r="A99" i="7" a="1"/>
  <c r="A99" i="7" s="1"/>
  <c r="I98" i="7"/>
  <c r="H98" i="7"/>
  <c r="F98" i="7" a="1"/>
  <c r="F98" i="7" s="1"/>
  <c r="E98" i="7"/>
  <c r="D98" i="7"/>
  <c r="C98" i="7"/>
  <c r="B98" i="7"/>
  <c r="A98" i="7" a="1"/>
  <c r="A98" i="7" s="1"/>
  <c r="I97" i="7"/>
  <c r="H97" i="7"/>
  <c r="F97" i="7" a="1"/>
  <c r="F97" i="7" s="1"/>
  <c r="E97" i="7"/>
  <c r="D97" i="7"/>
  <c r="C97" i="7"/>
  <c r="B97" i="7"/>
  <c r="A97" i="7" a="1"/>
  <c r="A97" i="7" s="1"/>
  <c r="I96" i="7"/>
  <c r="H96" i="7"/>
  <c r="F96" i="7" a="1"/>
  <c r="F96" i="7" s="1"/>
  <c r="E96" i="7"/>
  <c r="D96" i="7"/>
  <c r="C96" i="7"/>
  <c r="B96" i="7"/>
  <c r="A96" i="7" a="1"/>
  <c r="A96" i="7" s="1"/>
  <c r="I95" i="7"/>
  <c r="H95" i="7"/>
  <c r="F95" i="7" a="1"/>
  <c r="F95" i="7" s="1"/>
  <c r="E95" i="7"/>
  <c r="D95" i="7"/>
  <c r="C95" i="7"/>
  <c r="B95" i="7"/>
  <c r="A95" i="7" a="1"/>
  <c r="A95" i="7" s="1"/>
  <c r="I94" i="7"/>
  <c r="H94" i="7"/>
  <c r="F94" i="7" a="1"/>
  <c r="F94" i="7" s="1"/>
  <c r="E94" i="7"/>
  <c r="D94" i="7"/>
  <c r="C94" i="7"/>
  <c r="B94" i="7"/>
  <c r="A94" i="7" a="1"/>
  <c r="A94" i="7" s="1"/>
  <c r="I93" i="7"/>
  <c r="H93" i="7"/>
  <c r="F93" i="7" a="1"/>
  <c r="F93" i="7" s="1"/>
  <c r="E93" i="7"/>
  <c r="D93" i="7"/>
  <c r="C93" i="7"/>
  <c r="B93" i="7"/>
  <c r="A93" i="7" a="1"/>
  <c r="A93" i="7" s="1"/>
  <c r="I92" i="7"/>
  <c r="H92" i="7"/>
  <c r="F92" i="7" a="1"/>
  <c r="F92" i="7" s="1"/>
  <c r="E92" i="7"/>
  <c r="D92" i="7"/>
  <c r="C92" i="7"/>
  <c r="B92" i="7"/>
  <c r="A92" i="7" a="1"/>
  <c r="A92" i="7" s="1"/>
  <c r="I91" i="7"/>
  <c r="H91" i="7"/>
  <c r="F91" i="7" a="1"/>
  <c r="F91" i="7" s="1"/>
  <c r="E91" i="7"/>
  <c r="D91" i="7"/>
  <c r="C91" i="7"/>
  <c r="B91" i="7"/>
  <c r="A91" i="7" a="1"/>
  <c r="A91" i="7" s="1"/>
  <c r="I90" i="7"/>
  <c r="H90" i="7"/>
  <c r="F90" i="7" a="1"/>
  <c r="F90" i="7" s="1"/>
  <c r="E90" i="7"/>
  <c r="D90" i="7"/>
  <c r="C90" i="7"/>
  <c r="B90" i="7"/>
  <c r="A90" i="7" a="1"/>
  <c r="A90" i="7" s="1"/>
  <c r="I89" i="7"/>
  <c r="H89" i="7"/>
  <c r="F89" i="7" a="1"/>
  <c r="F89" i="7" s="1"/>
  <c r="E89" i="7"/>
  <c r="D89" i="7"/>
  <c r="C89" i="7"/>
  <c r="B89" i="7"/>
  <c r="A89" i="7" a="1"/>
  <c r="A89" i="7" s="1"/>
  <c r="I88" i="7"/>
  <c r="H88" i="7"/>
  <c r="F88" i="7" a="1"/>
  <c r="F88" i="7" s="1"/>
  <c r="E88" i="7"/>
  <c r="D88" i="7"/>
  <c r="C88" i="7"/>
  <c r="B88" i="7"/>
  <c r="A88" i="7" a="1"/>
  <c r="A88" i="7" s="1"/>
  <c r="I87" i="7"/>
  <c r="H87" i="7"/>
  <c r="F87" i="7" a="1"/>
  <c r="F87" i="7" s="1"/>
  <c r="E87" i="7"/>
  <c r="D87" i="7"/>
  <c r="C87" i="7"/>
  <c r="B87" i="7"/>
  <c r="A87" i="7" a="1"/>
  <c r="A87" i="7" s="1"/>
  <c r="I86" i="7"/>
  <c r="H86" i="7"/>
  <c r="F86" i="7" a="1"/>
  <c r="F86" i="7" s="1"/>
  <c r="E86" i="7"/>
  <c r="D86" i="7"/>
  <c r="C86" i="7"/>
  <c r="B86" i="7"/>
  <c r="A86" i="7" a="1"/>
  <c r="A86" i="7" s="1"/>
  <c r="I85" i="7"/>
  <c r="H85" i="7"/>
  <c r="F85" i="7" a="1"/>
  <c r="F85" i="7" s="1"/>
  <c r="E85" i="7"/>
  <c r="D85" i="7"/>
  <c r="C85" i="7"/>
  <c r="B85" i="7"/>
  <c r="A85" i="7" a="1"/>
  <c r="A85" i="7" s="1"/>
  <c r="I84" i="7"/>
  <c r="H84" i="7"/>
  <c r="F84" i="7" a="1"/>
  <c r="F84" i="7" s="1"/>
  <c r="E84" i="7"/>
  <c r="D84" i="7"/>
  <c r="C84" i="7"/>
  <c r="B84" i="7"/>
  <c r="A84" i="7" a="1"/>
  <c r="A84" i="7" s="1"/>
  <c r="I83" i="7"/>
  <c r="H83" i="7"/>
  <c r="F83" i="7" a="1"/>
  <c r="F83" i="7" s="1"/>
  <c r="E83" i="7"/>
  <c r="D83" i="7"/>
  <c r="C83" i="7"/>
  <c r="B83" i="7"/>
  <c r="A83" i="7" a="1"/>
  <c r="A83" i="7" s="1"/>
  <c r="I82" i="7"/>
  <c r="H82" i="7"/>
  <c r="F82" i="7" a="1"/>
  <c r="F82" i="7" s="1"/>
  <c r="E82" i="7"/>
  <c r="D82" i="7"/>
  <c r="C82" i="7"/>
  <c r="B82" i="7"/>
  <c r="A82" i="7" a="1"/>
  <c r="A82" i="7" s="1"/>
  <c r="I81" i="7"/>
  <c r="H81" i="7"/>
  <c r="F81" i="7" a="1"/>
  <c r="F81" i="7" s="1"/>
  <c r="E81" i="7"/>
  <c r="D81" i="7"/>
  <c r="C81" i="7"/>
  <c r="B81" i="7"/>
  <c r="A81" i="7" a="1"/>
  <c r="A81" i="7" s="1"/>
  <c r="I80" i="7"/>
  <c r="H80" i="7"/>
  <c r="F80" i="7" a="1"/>
  <c r="F80" i="7" s="1"/>
  <c r="E80" i="7"/>
  <c r="D80" i="7"/>
  <c r="C80" i="7"/>
  <c r="B80" i="7"/>
  <c r="A80" i="7" a="1"/>
  <c r="A80" i="7" s="1"/>
  <c r="I79" i="7"/>
  <c r="H79" i="7"/>
  <c r="F79" i="7" a="1"/>
  <c r="F79" i="7" s="1"/>
  <c r="E79" i="7"/>
  <c r="D79" i="7"/>
  <c r="C79" i="7"/>
  <c r="B79" i="7"/>
  <c r="A79" i="7" a="1"/>
  <c r="A79" i="7" s="1"/>
  <c r="I78" i="7"/>
  <c r="H78" i="7"/>
  <c r="F78" i="7" a="1"/>
  <c r="F78" i="7" s="1"/>
  <c r="E78" i="7"/>
  <c r="D78" i="7"/>
  <c r="C78" i="7"/>
  <c r="B78" i="7"/>
  <c r="A78" i="7" a="1"/>
  <c r="A78" i="7" s="1"/>
  <c r="I77" i="7"/>
  <c r="H77" i="7"/>
  <c r="F77" i="7" a="1"/>
  <c r="F77" i="7" s="1"/>
  <c r="E77" i="7"/>
  <c r="D77" i="7"/>
  <c r="C77" i="7"/>
  <c r="B77" i="7"/>
  <c r="A77" i="7" a="1"/>
  <c r="A77" i="7" s="1"/>
  <c r="I76" i="7"/>
  <c r="H76" i="7"/>
  <c r="F76" i="7" a="1"/>
  <c r="F76" i="7" s="1"/>
  <c r="E76" i="7"/>
  <c r="D76" i="7"/>
  <c r="C76" i="7"/>
  <c r="B76" i="7"/>
  <c r="A76" i="7" a="1"/>
  <c r="A76" i="7" s="1"/>
  <c r="I75" i="7"/>
  <c r="H75" i="7"/>
  <c r="F75" i="7" a="1"/>
  <c r="F75" i="7" s="1"/>
  <c r="E75" i="7"/>
  <c r="D75" i="7"/>
  <c r="C75" i="7"/>
  <c r="B75" i="7"/>
  <c r="A75" i="7" a="1"/>
  <c r="A75" i="7" s="1"/>
  <c r="I74" i="7"/>
  <c r="H74" i="7"/>
  <c r="F74" i="7" a="1"/>
  <c r="F74" i="7" s="1"/>
  <c r="E74" i="7"/>
  <c r="D74" i="7"/>
  <c r="C74" i="7"/>
  <c r="B74" i="7"/>
  <c r="A74" i="7" a="1"/>
  <c r="A74" i="7" s="1"/>
  <c r="I73" i="7"/>
  <c r="H73" i="7"/>
  <c r="F73" i="7" a="1"/>
  <c r="F73" i="7" s="1"/>
  <c r="E73" i="7"/>
  <c r="D73" i="7"/>
  <c r="C73" i="7"/>
  <c r="B73" i="7"/>
  <c r="A73" i="7" a="1"/>
  <c r="A73" i="7" s="1"/>
  <c r="I72" i="7"/>
  <c r="H72" i="7"/>
  <c r="F72" i="7" a="1"/>
  <c r="F72" i="7" s="1"/>
  <c r="E72" i="7"/>
  <c r="D72" i="7"/>
  <c r="C72" i="7"/>
  <c r="B72" i="7"/>
  <c r="A72" i="7" a="1"/>
  <c r="A72" i="7" s="1"/>
  <c r="I71" i="7"/>
  <c r="H71" i="7"/>
  <c r="F71" i="7" a="1"/>
  <c r="F71" i="7" s="1"/>
  <c r="E71" i="7"/>
  <c r="D71" i="7"/>
  <c r="C71" i="7"/>
  <c r="B71" i="7"/>
  <c r="A71" i="7" a="1"/>
  <c r="A71" i="7" s="1"/>
  <c r="I70" i="7"/>
  <c r="H70" i="7"/>
  <c r="F70" i="7" a="1"/>
  <c r="F70" i="7" s="1"/>
  <c r="E70" i="7"/>
  <c r="D70" i="7"/>
  <c r="C70" i="7"/>
  <c r="B70" i="7"/>
  <c r="A70" i="7" a="1"/>
  <c r="A70" i="7" s="1"/>
  <c r="I69" i="7"/>
  <c r="H69" i="7"/>
  <c r="F69" i="7" a="1"/>
  <c r="F69" i="7" s="1"/>
  <c r="E69" i="7"/>
  <c r="D69" i="7"/>
  <c r="C69" i="7"/>
  <c r="B69" i="7"/>
  <c r="A69" i="7" a="1"/>
  <c r="A69" i="7" s="1"/>
  <c r="I68" i="7"/>
  <c r="H68" i="7"/>
  <c r="F68" i="7" a="1"/>
  <c r="F68" i="7" s="1"/>
  <c r="E68" i="7"/>
  <c r="D68" i="7"/>
  <c r="C68" i="7"/>
  <c r="B68" i="7"/>
  <c r="A68" i="7" a="1"/>
  <c r="A68" i="7" s="1"/>
  <c r="I67" i="7"/>
  <c r="H67" i="7"/>
  <c r="F67" i="7" a="1"/>
  <c r="F67" i="7" s="1"/>
  <c r="E67" i="7"/>
  <c r="D67" i="7"/>
  <c r="C67" i="7"/>
  <c r="B67" i="7"/>
  <c r="A67" i="7" a="1"/>
  <c r="A67" i="7" s="1"/>
  <c r="I66" i="7"/>
  <c r="H66" i="7"/>
  <c r="F66" i="7" a="1"/>
  <c r="F66" i="7" s="1"/>
  <c r="E66" i="7"/>
  <c r="D66" i="7"/>
  <c r="C66" i="7"/>
  <c r="B66" i="7"/>
  <c r="A66" i="7" a="1"/>
  <c r="A66" i="7" s="1"/>
  <c r="I65" i="7"/>
  <c r="H65" i="7"/>
  <c r="F65" i="7" a="1"/>
  <c r="F65" i="7" s="1"/>
  <c r="E65" i="7"/>
  <c r="D65" i="7"/>
  <c r="C65" i="7"/>
  <c r="B65" i="7"/>
  <c r="A65" i="7" a="1"/>
  <c r="A65" i="7" s="1"/>
  <c r="I64" i="7"/>
  <c r="H64" i="7"/>
  <c r="F64" i="7" a="1"/>
  <c r="F64" i="7" s="1"/>
  <c r="E64" i="7"/>
  <c r="D64" i="7"/>
  <c r="C64" i="7"/>
  <c r="B64" i="7"/>
  <c r="A64" i="7" a="1"/>
  <c r="A64" i="7" s="1"/>
  <c r="I63" i="7"/>
  <c r="H63" i="7"/>
  <c r="F63" i="7" a="1"/>
  <c r="F63" i="7" s="1"/>
  <c r="E63" i="7"/>
  <c r="D63" i="7"/>
  <c r="C63" i="7"/>
  <c r="B63" i="7"/>
  <c r="A63" i="7" a="1"/>
  <c r="A63" i="7" s="1"/>
  <c r="I62" i="7"/>
  <c r="H62" i="7"/>
  <c r="F62" i="7" a="1"/>
  <c r="F62" i="7" s="1"/>
  <c r="E62" i="7"/>
  <c r="D62" i="7"/>
  <c r="C62" i="7"/>
  <c r="B62" i="7"/>
  <c r="A62" i="7" a="1"/>
  <c r="A62" i="7" s="1"/>
  <c r="I61" i="7"/>
  <c r="H61" i="7"/>
  <c r="F61" i="7" a="1"/>
  <c r="F61" i="7" s="1"/>
  <c r="E61" i="7"/>
  <c r="D61" i="7"/>
  <c r="C61" i="7"/>
  <c r="B61" i="7"/>
  <c r="A61" i="7" a="1"/>
  <c r="A61" i="7" s="1"/>
  <c r="I60" i="7"/>
  <c r="H60" i="7"/>
  <c r="F60" i="7" a="1"/>
  <c r="F60" i="7" s="1"/>
  <c r="E60" i="7"/>
  <c r="D60" i="7"/>
  <c r="C60" i="7"/>
  <c r="B60" i="7"/>
  <c r="A60" i="7" a="1"/>
  <c r="A60" i="7" s="1"/>
  <c r="I59" i="7"/>
  <c r="H59" i="7"/>
  <c r="F59" i="7" a="1"/>
  <c r="F59" i="7" s="1"/>
  <c r="E59" i="7"/>
  <c r="D59" i="7"/>
  <c r="C59" i="7"/>
  <c r="B59" i="7"/>
  <c r="A59" i="7" a="1"/>
  <c r="A59" i="7" s="1"/>
  <c r="I58" i="7"/>
  <c r="H58" i="7"/>
  <c r="F58" i="7" a="1"/>
  <c r="F58" i="7" s="1"/>
  <c r="E58" i="7"/>
  <c r="D58" i="7"/>
  <c r="C58" i="7"/>
  <c r="B58" i="7"/>
  <c r="A58" i="7" a="1"/>
  <c r="A58" i="7" s="1"/>
  <c r="I57" i="7"/>
  <c r="H57" i="7"/>
  <c r="F57" i="7" a="1"/>
  <c r="F57" i="7" s="1"/>
  <c r="E57" i="7"/>
  <c r="D57" i="7"/>
  <c r="C57" i="7"/>
  <c r="B57" i="7"/>
  <c r="A57" i="7" a="1"/>
  <c r="A57" i="7" s="1"/>
  <c r="I56" i="7"/>
  <c r="H56" i="7"/>
  <c r="F56" i="7" a="1"/>
  <c r="F56" i="7" s="1"/>
  <c r="E56" i="7"/>
  <c r="D56" i="7"/>
  <c r="C56" i="7"/>
  <c r="B56" i="7"/>
  <c r="A56" i="7" a="1"/>
  <c r="A56" i="7" s="1"/>
  <c r="I55" i="7"/>
  <c r="H55" i="7"/>
  <c r="F55" i="7" a="1"/>
  <c r="F55" i="7" s="1"/>
  <c r="E55" i="7"/>
  <c r="D55" i="7"/>
  <c r="C55" i="7"/>
  <c r="B55" i="7"/>
  <c r="A55" i="7" a="1"/>
  <c r="A55" i="7" s="1"/>
  <c r="I54" i="7"/>
  <c r="H54" i="7"/>
  <c r="F54" i="7" a="1"/>
  <c r="F54" i="7" s="1"/>
  <c r="E54" i="7"/>
  <c r="D54" i="7"/>
  <c r="C54" i="7"/>
  <c r="B54" i="7"/>
  <c r="A54" i="7" a="1"/>
  <c r="A54" i="7" s="1"/>
  <c r="I53" i="7"/>
  <c r="H53" i="7"/>
  <c r="F53" i="7" a="1"/>
  <c r="F53" i="7" s="1"/>
  <c r="E53" i="7"/>
  <c r="D53" i="7"/>
  <c r="C53" i="7"/>
  <c r="B53" i="7"/>
  <c r="A53" i="7" a="1"/>
  <c r="A53" i="7" s="1"/>
  <c r="I52" i="7"/>
  <c r="H52" i="7"/>
  <c r="F52" i="7" a="1"/>
  <c r="F52" i="7" s="1"/>
  <c r="E52" i="7"/>
  <c r="D52" i="7"/>
  <c r="C52" i="7"/>
  <c r="B52" i="7"/>
  <c r="A52" i="7" a="1"/>
  <c r="A52" i="7" s="1"/>
  <c r="I51" i="7"/>
  <c r="H51" i="7"/>
  <c r="F51" i="7" a="1"/>
  <c r="F51" i="7" s="1"/>
  <c r="E51" i="7"/>
  <c r="D51" i="7"/>
  <c r="C51" i="7"/>
  <c r="B51" i="7"/>
  <c r="A51" i="7" a="1"/>
  <c r="A51" i="7" s="1"/>
  <c r="I50" i="7"/>
  <c r="H50" i="7"/>
  <c r="F50" i="7" a="1"/>
  <c r="F50" i="7" s="1"/>
  <c r="E50" i="7"/>
  <c r="D50" i="7"/>
  <c r="C50" i="7"/>
  <c r="B50" i="7"/>
  <c r="A50" i="7" a="1"/>
  <c r="A50" i="7" s="1"/>
  <c r="I49" i="7"/>
  <c r="H49" i="7"/>
  <c r="F49" i="7" a="1"/>
  <c r="F49" i="7" s="1"/>
  <c r="E49" i="7"/>
  <c r="D49" i="7"/>
  <c r="C49" i="7"/>
  <c r="B49" i="7"/>
  <c r="A49" i="7" a="1"/>
  <c r="A49" i="7" s="1"/>
  <c r="I48" i="7"/>
  <c r="H48" i="7"/>
  <c r="F48" i="7" a="1"/>
  <c r="F48" i="7" s="1"/>
  <c r="E48" i="7"/>
  <c r="D48" i="7"/>
  <c r="C48" i="7"/>
  <c r="B48" i="7"/>
  <c r="A48" i="7" a="1"/>
  <c r="A48" i="7" s="1"/>
  <c r="I47" i="7"/>
  <c r="H47" i="7"/>
  <c r="F47" i="7" a="1"/>
  <c r="F47" i="7" s="1"/>
  <c r="E47" i="7"/>
  <c r="D47" i="7"/>
  <c r="C47" i="7"/>
  <c r="B47" i="7"/>
  <c r="A47" i="7" a="1"/>
  <c r="A47" i="7" s="1"/>
  <c r="I46" i="7"/>
  <c r="H46" i="7"/>
  <c r="F46" i="7" a="1"/>
  <c r="F46" i="7" s="1"/>
  <c r="E46" i="7"/>
  <c r="D46" i="7"/>
  <c r="C46" i="7"/>
  <c r="B46" i="7"/>
  <c r="A46" i="7" a="1"/>
  <c r="A46" i="7" s="1"/>
  <c r="I45" i="7"/>
  <c r="H45" i="7"/>
  <c r="F45" i="7" a="1"/>
  <c r="F45" i="7" s="1"/>
  <c r="E45" i="7"/>
  <c r="D45" i="7"/>
  <c r="C45" i="7"/>
  <c r="B45" i="7"/>
  <c r="A45" i="7" a="1"/>
  <c r="A45" i="7" s="1"/>
  <c r="I44" i="7"/>
  <c r="H44" i="7"/>
  <c r="F44" i="7" a="1"/>
  <c r="F44" i="7" s="1"/>
  <c r="E44" i="7"/>
  <c r="D44" i="7"/>
  <c r="C44" i="7"/>
  <c r="B44" i="7"/>
  <c r="A44" i="7" a="1"/>
  <c r="A44" i="7" s="1"/>
  <c r="I43" i="7"/>
  <c r="H43" i="7"/>
  <c r="F43" i="7" a="1"/>
  <c r="F43" i="7" s="1"/>
  <c r="E43" i="7"/>
  <c r="D43" i="7"/>
  <c r="C43" i="7"/>
  <c r="B43" i="7"/>
  <c r="A43" i="7" a="1"/>
  <c r="A43" i="7" s="1"/>
  <c r="I42" i="7"/>
  <c r="H42" i="7"/>
  <c r="F42" i="7" a="1"/>
  <c r="F42" i="7" s="1"/>
  <c r="E42" i="7"/>
  <c r="D42" i="7"/>
  <c r="C42" i="7"/>
  <c r="B42" i="7"/>
  <c r="A42" i="7" a="1"/>
  <c r="A42" i="7" s="1"/>
  <c r="I41" i="7"/>
  <c r="H41" i="7"/>
  <c r="F41" i="7" a="1"/>
  <c r="F41" i="7" s="1"/>
  <c r="E41" i="7"/>
  <c r="D41" i="7"/>
  <c r="C41" i="7"/>
  <c r="B41" i="7"/>
  <c r="A41" i="7" a="1"/>
  <c r="A41" i="7" s="1"/>
  <c r="I40" i="7"/>
  <c r="H40" i="7"/>
  <c r="F40" i="7" a="1"/>
  <c r="F40" i="7" s="1"/>
  <c r="E40" i="7"/>
  <c r="D40" i="7"/>
  <c r="C40" i="7"/>
  <c r="B40" i="7"/>
  <c r="A40" i="7" a="1"/>
  <c r="A40" i="7" s="1"/>
  <c r="I39" i="7"/>
  <c r="H39" i="7"/>
  <c r="F39" i="7" a="1"/>
  <c r="F39" i="7" s="1"/>
  <c r="E39" i="7"/>
  <c r="D39" i="7"/>
  <c r="C39" i="7"/>
  <c r="B39" i="7"/>
  <c r="A39" i="7" a="1"/>
  <c r="A39" i="7" s="1"/>
  <c r="I38" i="7"/>
  <c r="H38" i="7"/>
  <c r="F38" i="7" a="1"/>
  <c r="F38" i="7" s="1"/>
  <c r="E38" i="7"/>
  <c r="D38" i="7"/>
  <c r="C38" i="7"/>
  <c r="B38" i="7"/>
  <c r="A38" i="7" a="1"/>
  <c r="A38" i="7" s="1"/>
  <c r="I37" i="7"/>
  <c r="H37" i="7"/>
  <c r="F37" i="7" a="1"/>
  <c r="F37" i="7" s="1"/>
  <c r="E37" i="7"/>
  <c r="D37" i="7"/>
  <c r="C37" i="7"/>
  <c r="B37" i="7"/>
  <c r="A37" i="7" a="1"/>
  <c r="A37" i="7" s="1"/>
  <c r="I36" i="7"/>
  <c r="H36" i="7"/>
  <c r="F36" i="7" a="1"/>
  <c r="F36" i="7" s="1"/>
  <c r="E36" i="7"/>
  <c r="D36" i="7"/>
  <c r="C36" i="7"/>
  <c r="B36" i="7"/>
  <c r="A36" i="7" a="1"/>
  <c r="A36" i="7" s="1"/>
  <c r="I35" i="7"/>
  <c r="H35" i="7"/>
  <c r="F35" i="7" a="1"/>
  <c r="F35" i="7" s="1"/>
  <c r="E35" i="7"/>
  <c r="D35" i="7"/>
  <c r="C35" i="7"/>
  <c r="B35" i="7"/>
  <c r="A35" i="7" a="1"/>
  <c r="A35" i="7" s="1"/>
  <c r="I34" i="7"/>
  <c r="H34" i="7"/>
  <c r="F34" i="7" a="1"/>
  <c r="F34" i="7" s="1"/>
  <c r="E34" i="7"/>
  <c r="D34" i="7"/>
  <c r="C34" i="7"/>
  <c r="B34" i="7"/>
  <c r="A34" i="7" a="1"/>
  <c r="A34" i="7" s="1"/>
  <c r="I33" i="7"/>
  <c r="H33" i="7"/>
  <c r="F33" i="7" a="1"/>
  <c r="F33" i="7" s="1"/>
  <c r="E33" i="7"/>
  <c r="D33" i="7"/>
  <c r="C33" i="7"/>
  <c r="B33" i="7"/>
  <c r="A33" i="7" a="1"/>
  <c r="A33" i="7" s="1"/>
  <c r="I32" i="7"/>
  <c r="H32" i="7"/>
  <c r="F32" i="7" a="1"/>
  <c r="F32" i="7" s="1"/>
  <c r="E32" i="7"/>
  <c r="D32" i="7"/>
  <c r="C32" i="7"/>
  <c r="B32" i="7"/>
  <c r="A32" i="7" a="1"/>
  <c r="A32" i="7" s="1"/>
  <c r="I31" i="7"/>
  <c r="H31" i="7"/>
  <c r="F31" i="7" a="1"/>
  <c r="F31" i="7" s="1"/>
  <c r="E31" i="7"/>
  <c r="D31" i="7"/>
  <c r="C31" i="7"/>
  <c r="B31" i="7"/>
  <c r="A31" i="7" a="1"/>
  <c r="A31" i="7" s="1"/>
  <c r="I30" i="7"/>
  <c r="H30" i="7"/>
  <c r="F30" i="7" a="1"/>
  <c r="F30" i="7" s="1"/>
  <c r="E30" i="7"/>
  <c r="D30" i="7"/>
  <c r="C30" i="7"/>
  <c r="B30" i="7"/>
  <c r="A30" i="7" a="1"/>
  <c r="A30" i="7" s="1"/>
  <c r="I29" i="7"/>
  <c r="H29" i="7"/>
  <c r="F29" i="7" a="1"/>
  <c r="F29" i="7" s="1"/>
  <c r="E29" i="7"/>
  <c r="D29" i="7"/>
  <c r="C29" i="7"/>
  <c r="B29" i="7"/>
  <c r="A29" i="7" a="1"/>
  <c r="A29" i="7" s="1"/>
  <c r="I28" i="7"/>
  <c r="H28" i="7"/>
  <c r="F28" i="7" a="1"/>
  <c r="F28" i="7" s="1"/>
  <c r="E28" i="7"/>
  <c r="D28" i="7"/>
  <c r="C28" i="7"/>
  <c r="B28" i="7"/>
  <c r="A28" i="7" a="1"/>
  <c r="A28" i="7" s="1"/>
  <c r="I27" i="7"/>
  <c r="H27" i="7"/>
  <c r="F27" i="7" a="1"/>
  <c r="F27" i="7" s="1"/>
  <c r="E27" i="7"/>
  <c r="D27" i="7"/>
  <c r="C27" i="7"/>
  <c r="B27" i="7"/>
  <c r="A27" i="7" a="1"/>
  <c r="A27" i="7" s="1"/>
  <c r="I26" i="7"/>
  <c r="H26" i="7"/>
  <c r="F26" i="7" a="1"/>
  <c r="F26" i="7" s="1"/>
  <c r="E26" i="7"/>
  <c r="D26" i="7"/>
  <c r="C26" i="7"/>
  <c r="B26" i="7"/>
  <c r="A26" i="7" a="1"/>
  <c r="A26" i="7" s="1"/>
  <c r="I25" i="7"/>
  <c r="H25" i="7"/>
  <c r="F25" i="7" a="1"/>
  <c r="F25" i="7" s="1"/>
  <c r="E25" i="7"/>
  <c r="D25" i="7"/>
  <c r="C25" i="7"/>
  <c r="B25" i="7"/>
  <c r="A25" i="7" a="1"/>
  <c r="A25" i="7" s="1"/>
  <c r="I24" i="7"/>
  <c r="H24" i="7"/>
  <c r="F24" i="7" a="1"/>
  <c r="F24" i="7" s="1"/>
  <c r="E24" i="7"/>
  <c r="D24" i="7"/>
  <c r="C24" i="7"/>
  <c r="B24" i="7"/>
  <c r="A24" i="7" a="1"/>
  <c r="A24" i="7" s="1"/>
  <c r="I23" i="7"/>
  <c r="H23" i="7"/>
  <c r="F23" i="7" a="1"/>
  <c r="F23" i="7" s="1"/>
  <c r="E23" i="7"/>
  <c r="D23" i="7"/>
  <c r="C23" i="7"/>
  <c r="B23" i="7"/>
  <c r="A23" i="7" a="1"/>
  <c r="A23" i="7" s="1"/>
  <c r="I22" i="7"/>
  <c r="H22" i="7"/>
  <c r="F22" i="7" a="1"/>
  <c r="F22" i="7" s="1"/>
  <c r="E22" i="7"/>
  <c r="D22" i="7"/>
  <c r="C22" i="7"/>
  <c r="B22" i="7"/>
  <c r="A22" i="7" a="1"/>
  <c r="A22" i="7" s="1"/>
  <c r="I21" i="7"/>
  <c r="H21" i="7"/>
  <c r="F21" i="7" a="1"/>
  <c r="F21" i="7" s="1"/>
  <c r="E21" i="7"/>
  <c r="D21" i="7"/>
  <c r="C21" i="7"/>
  <c r="B21" i="7"/>
  <c r="A21" i="7" a="1"/>
  <c r="A21" i="7" s="1"/>
  <c r="I20" i="7"/>
  <c r="H20" i="7"/>
  <c r="F20" i="7" a="1"/>
  <c r="F20" i="7" s="1"/>
  <c r="E20" i="7"/>
  <c r="D20" i="7"/>
  <c r="C20" i="7"/>
  <c r="B20" i="7"/>
  <c r="A20" i="7" a="1"/>
  <c r="A20" i="7" s="1"/>
  <c r="I19" i="7"/>
  <c r="H19" i="7"/>
  <c r="F19" i="7" a="1"/>
  <c r="F19" i="7" s="1"/>
  <c r="E19" i="7"/>
  <c r="D19" i="7"/>
  <c r="C19" i="7"/>
  <c r="B19" i="7"/>
  <c r="A19" i="7" a="1"/>
  <c r="A19" i="7" s="1"/>
  <c r="I18" i="7"/>
  <c r="H18" i="7"/>
  <c r="F18" i="7" a="1"/>
  <c r="F18" i="7" s="1"/>
  <c r="E18" i="7"/>
  <c r="D18" i="7"/>
  <c r="C18" i="7"/>
  <c r="B18" i="7"/>
  <c r="A18" i="7" a="1"/>
  <c r="A18" i="7" s="1"/>
  <c r="I17" i="7"/>
  <c r="H17" i="7"/>
  <c r="F17" i="7" a="1"/>
  <c r="F17" i="7" s="1"/>
  <c r="E17" i="7"/>
  <c r="D17" i="7"/>
  <c r="C17" i="7"/>
  <c r="B17" i="7"/>
  <c r="A17" i="7" a="1"/>
  <c r="A17" i="7" s="1"/>
  <c r="I16" i="7"/>
  <c r="H16" i="7"/>
  <c r="F16" i="7" a="1"/>
  <c r="F16" i="7" s="1"/>
  <c r="E16" i="7"/>
  <c r="D16" i="7"/>
  <c r="C16" i="7"/>
  <c r="B16" i="7"/>
  <c r="A16" i="7" a="1"/>
  <c r="A16" i="7" s="1"/>
  <c r="I15" i="7"/>
  <c r="H15" i="7"/>
  <c r="F15" i="7" a="1"/>
  <c r="F15" i="7" s="1"/>
  <c r="E15" i="7"/>
  <c r="D15" i="7"/>
  <c r="C15" i="7"/>
  <c r="B15" i="7"/>
  <c r="A15" i="7" a="1"/>
  <c r="A15" i="7" s="1"/>
  <c r="I14" i="7"/>
  <c r="H14" i="7"/>
  <c r="F14" i="7" a="1"/>
  <c r="F14" i="7" s="1"/>
  <c r="E14" i="7"/>
  <c r="D14" i="7"/>
  <c r="C14" i="7"/>
  <c r="B14" i="7"/>
  <c r="A14" i="7" a="1"/>
  <c r="A14" i="7" s="1"/>
  <c r="I13" i="7"/>
  <c r="H13" i="7"/>
  <c r="F13" i="7" a="1"/>
  <c r="F13" i="7" s="1"/>
  <c r="E13" i="7"/>
  <c r="D13" i="7"/>
  <c r="C13" i="7"/>
  <c r="B13" i="7"/>
  <c r="A13" i="7" a="1"/>
  <c r="A13" i="7" s="1"/>
  <c r="I12" i="7"/>
  <c r="H12" i="7"/>
  <c r="F12" i="7" a="1"/>
  <c r="F12" i="7" s="1"/>
  <c r="E12" i="7"/>
  <c r="D12" i="7"/>
  <c r="C12" i="7"/>
  <c r="B12" i="7"/>
  <c r="A12" i="7" a="1"/>
  <c r="A12" i="7" s="1"/>
  <c r="I11" i="7"/>
  <c r="H11" i="7"/>
  <c r="F11" i="7" a="1"/>
  <c r="F11" i="7" s="1"/>
  <c r="E11" i="7"/>
  <c r="D11" i="7"/>
  <c r="C11" i="7"/>
  <c r="B11" i="7"/>
  <c r="A11" i="7" a="1"/>
  <c r="A11" i="7" s="1"/>
  <c r="I10" i="7"/>
  <c r="H10" i="7"/>
  <c r="F10" i="7" a="1"/>
  <c r="F10" i="7" s="1"/>
  <c r="E10" i="7"/>
  <c r="D10" i="7"/>
  <c r="C10" i="7"/>
  <c r="B10" i="7"/>
  <c r="A10" i="7" a="1"/>
  <c r="A10" i="7" s="1"/>
  <c r="I9" i="7"/>
  <c r="H9" i="7"/>
  <c r="F9" i="7" a="1"/>
  <c r="F9" i="7" s="1"/>
  <c r="E9" i="7"/>
  <c r="D9" i="7"/>
  <c r="C9" i="7"/>
  <c r="B9" i="7"/>
  <c r="A9" i="7" a="1"/>
  <c r="A9" i="7" s="1"/>
  <c r="I8" i="7"/>
  <c r="H8" i="7"/>
  <c r="F8" i="7" a="1"/>
  <c r="F8" i="7" s="1"/>
  <c r="E8" i="7"/>
  <c r="D8" i="7"/>
  <c r="C8" i="7"/>
  <c r="B8" i="7"/>
  <c r="A8" i="7" a="1"/>
  <c r="A8" i="7" s="1"/>
  <c r="I7" i="7"/>
  <c r="H7" i="7"/>
  <c r="F7" i="7" a="1"/>
  <c r="F7" i="7" s="1"/>
  <c r="E7" i="7"/>
  <c r="D7" i="7"/>
  <c r="C7" i="7"/>
  <c r="B7" i="7"/>
  <c r="A7" i="7" a="1"/>
  <c r="A7" i="7" s="1"/>
  <c r="I6" i="7"/>
  <c r="H6" i="7"/>
  <c r="F6" i="7" a="1"/>
  <c r="F6" i="7" s="1"/>
  <c r="E6" i="7"/>
  <c r="D6" i="7"/>
  <c r="C6" i="7"/>
  <c r="B6" i="7"/>
  <c r="A6" i="7" a="1"/>
  <c r="A6" i="7" s="1"/>
  <c r="I5" i="7"/>
  <c r="H5" i="7"/>
  <c r="F5" i="7" a="1"/>
  <c r="F5" i="7" s="1"/>
  <c r="E5" i="7"/>
  <c r="D5" i="7"/>
  <c r="C5" i="7"/>
  <c r="B5" i="7"/>
  <c r="A5" i="7" a="1"/>
  <c r="A5" i="7" s="1"/>
  <c r="I4" i="7"/>
  <c r="H4" i="7"/>
  <c r="F4" i="7" a="1"/>
  <c r="F4" i="7" s="1"/>
  <c r="E4" i="7"/>
  <c r="D4" i="7"/>
  <c r="C4" i="7"/>
  <c r="B4" i="7"/>
  <c r="A4" i="7" a="1"/>
  <c r="A4" i="7" s="1"/>
  <c r="I3" i="7"/>
  <c r="H3" i="7"/>
  <c r="F3" i="7" a="1"/>
  <c r="F3" i="7" s="1"/>
  <c r="E3" i="7"/>
  <c r="D3" i="7"/>
  <c r="C3" i="7"/>
  <c r="B3" i="7"/>
  <c r="A3" i="7" a="1"/>
  <c r="A3" i="7" s="1"/>
  <c r="I2" i="7"/>
  <c r="H2" i="7"/>
  <c r="F2" i="7" a="1"/>
  <c r="F2" i="7" s="1"/>
  <c r="E2" i="7"/>
  <c r="D2" i="7"/>
  <c r="C2" i="7"/>
  <c r="B2" i="7"/>
  <c r="A2" i="7" a="1"/>
  <c r="A2" i="7" s="1"/>
  <c r="I1191" i="6" a="1"/>
  <c r="I1191" i="6" s="1"/>
  <c r="F1191" i="6" s="1" a="1"/>
  <c r="F1191" i="6" s="1"/>
  <c r="H1191" i="6" a="1"/>
  <c r="H1191" i="6" s="1"/>
  <c r="E1191" i="6"/>
  <c r="D1191" i="6"/>
  <c r="C1191" i="6"/>
  <c r="B1191" i="6"/>
  <c r="A1191" i="6" a="1"/>
  <c r="A1191" i="6" s="1"/>
  <c r="I1190" i="6" a="1"/>
  <c r="I1190" i="6" s="1"/>
  <c r="F1190" i="6" s="1" a="1"/>
  <c r="F1190" i="6" s="1"/>
  <c r="H1190" i="6" a="1"/>
  <c r="H1190" i="6" s="1"/>
  <c r="E1190" i="6"/>
  <c r="D1190" i="6"/>
  <c r="C1190" i="6"/>
  <c r="B1190" i="6"/>
  <c r="A1190" i="6" a="1"/>
  <c r="A1190" i="6" s="1"/>
  <c r="I1189" i="6" a="1"/>
  <c r="I1189" i="6" s="1"/>
  <c r="F1189" i="6" s="1" a="1"/>
  <c r="F1189" i="6" s="1"/>
  <c r="H1189" i="6" a="1"/>
  <c r="H1189" i="6" s="1"/>
  <c r="E1189" i="6"/>
  <c r="D1189" i="6"/>
  <c r="C1189" i="6"/>
  <c r="B1189" i="6"/>
  <c r="A1189" i="6" a="1"/>
  <c r="A1189" i="6" s="1"/>
  <c r="I1188" i="6" a="1"/>
  <c r="I1188" i="6" s="1"/>
  <c r="F1188" i="6" s="1" a="1"/>
  <c r="F1188" i="6" s="1"/>
  <c r="H1188" i="6" a="1"/>
  <c r="H1188" i="6" s="1"/>
  <c r="E1188" i="6"/>
  <c r="D1188" i="6"/>
  <c r="C1188" i="6"/>
  <c r="B1188" i="6"/>
  <c r="A1188" i="6" a="1"/>
  <c r="A1188" i="6" s="1"/>
  <c r="I1187" i="6" a="1"/>
  <c r="I1187" i="6" s="1"/>
  <c r="F1187" i="6" s="1" a="1"/>
  <c r="F1187" i="6" s="1"/>
  <c r="H1187" i="6" a="1"/>
  <c r="H1187" i="6" s="1"/>
  <c r="E1187" i="6"/>
  <c r="D1187" i="6"/>
  <c r="C1187" i="6"/>
  <c r="B1187" i="6"/>
  <c r="A1187" i="6" a="1"/>
  <c r="A1187" i="6" s="1"/>
  <c r="I1186" i="6" a="1"/>
  <c r="I1186" i="6" s="1"/>
  <c r="F1186" i="6" s="1" a="1"/>
  <c r="F1186" i="6" s="1"/>
  <c r="H1186" i="6" a="1"/>
  <c r="H1186" i="6" s="1"/>
  <c r="E1186" i="6"/>
  <c r="D1186" i="6"/>
  <c r="C1186" i="6"/>
  <c r="B1186" i="6"/>
  <c r="A1186" i="6" a="1"/>
  <c r="A1186" i="6" s="1"/>
  <c r="I1185" i="6" a="1"/>
  <c r="I1185" i="6" s="1"/>
  <c r="F1185" i="6" s="1" a="1"/>
  <c r="F1185" i="6" s="1"/>
  <c r="H1185" i="6" a="1"/>
  <c r="H1185" i="6" s="1"/>
  <c r="E1185" i="6"/>
  <c r="D1185" i="6"/>
  <c r="C1185" i="6"/>
  <c r="B1185" i="6"/>
  <c r="A1185" i="6" a="1"/>
  <c r="A1185" i="6" s="1"/>
  <c r="I1184" i="6" a="1"/>
  <c r="I1184" i="6" s="1"/>
  <c r="F1184" i="6" s="1" a="1"/>
  <c r="F1184" i="6" s="1"/>
  <c r="H1184" i="6" a="1"/>
  <c r="H1184" i="6" s="1"/>
  <c r="E1184" i="6"/>
  <c r="D1184" i="6"/>
  <c r="C1184" i="6"/>
  <c r="B1184" i="6"/>
  <c r="A1184" i="6" a="1"/>
  <c r="A1184" i="6" s="1"/>
  <c r="I1183" i="6" a="1"/>
  <c r="I1183" i="6" s="1"/>
  <c r="F1183" i="6" s="1" a="1"/>
  <c r="F1183" i="6" s="1"/>
  <c r="H1183" i="6" a="1"/>
  <c r="H1183" i="6" s="1"/>
  <c r="E1183" i="6"/>
  <c r="D1183" i="6"/>
  <c r="C1183" i="6"/>
  <c r="B1183" i="6"/>
  <c r="A1183" i="6" a="1"/>
  <c r="A1183" i="6" s="1"/>
  <c r="I1182" i="6" a="1"/>
  <c r="I1182" i="6" s="1"/>
  <c r="F1182" i="6" s="1" a="1"/>
  <c r="F1182" i="6" s="1"/>
  <c r="H1182" i="6" a="1"/>
  <c r="H1182" i="6" s="1"/>
  <c r="E1182" i="6"/>
  <c r="D1182" i="6"/>
  <c r="C1182" i="6"/>
  <c r="B1182" i="6"/>
  <c r="A1182" i="6" a="1"/>
  <c r="A1182" i="6" s="1"/>
  <c r="I1181" i="6" a="1"/>
  <c r="I1181" i="6" s="1"/>
  <c r="F1181" i="6" s="1" a="1"/>
  <c r="F1181" i="6" s="1"/>
  <c r="H1181" i="6" a="1"/>
  <c r="H1181" i="6" s="1"/>
  <c r="E1181" i="6"/>
  <c r="D1181" i="6"/>
  <c r="C1181" i="6"/>
  <c r="B1181" i="6"/>
  <c r="A1181" i="6" a="1"/>
  <c r="A1181" i="6" s="1"/>
  <c r="I1180" i="6" a="1"/>
  <c r="I1180" i="6" s="1"/>
  <c r="F1180" i="6" s="1" a="1"/>
  <c r="F1180" i="6" s="1"/>
  <c r="H1180" i="6" a="1"/>
  <c r="H1180" i="6" s="1"/>
  <c r="E1180" i="6"/>
  <c r="D1180" i="6"/>
  <c r="C1180" i="6"/>
  <c r="B1180" i="6"/>
  <c r="A1180" i="6" a="1"/>
  <c r="A1180" i="6" s="1"/>
  <c r="I1179" i="6" a="1"/>
  <c r="I1179" i="6" s="1"/>
  <c r="F1179" i="6" s="1" a="1"/>
  <c r="F1179" i="6" s="1"/>
  <c r="H1179" i="6" a="1"/>
  <c r="H1179" i="6" s="1"/>
  <c r="E1179" i="6"/>
  <c r="D1179" i="6"/>
  <c r="C1179" i="6"/>
  <c r="B1179" i="6"/>
  <c r="A1179" i="6" a="1"/>
  <c r="A1179" i="6" s="1"/>
  <c r="I1178" i="6" a="1"/>
  <c r="I1178" i="6" s="1"/>
  <c r="F1178" i="6" s="1" a="1"/>
  <c r="F1178" i="6" s="1"/>
  <c r="H1178" i="6" a="1"/>
  <c r="H1178" i="6" s="1"/>
  <c r="E1178" i="6"/>
  <c r="D1178" i="6"/>
  <c r="C1178" i="6"/>
  <c r="B1178" i="6"/>
  <c r="A1178" i="6" a="1"/>
  <c r="A1178" i="6" s="1"/>
  <c r="I1177" i="6" a="1"/>
  <c r="I1177" i="6" s="1"/>
  <c r="F1177" i="6" s="1" a="1"/>
  <c r="F1177" i="6" s="1"/>
  <c r="H1177" i="6" a="1"/>
  <c r="H1177" i="6" s="1"/>
  <c r="E1177" i="6"/>
  <c r="D1177" i="6"/>
  <c r="C1177" i="6"/>
  <c r="B1177" i="6"/>
  <c r="A1177" i="6" a="1"/>
  <c r="A1177" i="6" s="1"/>
  <c r="I1176" i="6" a="1"/>
  <c r="I1176" i="6" s="1"/>
  <c r="F1176" i="6" s="1" a="1"/>
  <c r="F1176" i="6" s="1"/>
  <c r="H1176" i="6" a="1"/>
  <c r="H1176" i="6" s="1"/>
  <c r="E1176" i="6"/>
  <c r="D1176" i="6"/>
  <c r="C1176" i="6"/>
  <c r="B1176" i="6"/>
  <c r="A1176" i="6" a="1"/>
  <c r="A1176" i="6" s="1"/>
  <c r="I1175" i="6" a="1"/>
  <c r="I1175" i="6" s="1"/>
  <c r="F1175" i="6" s="1" a="1"/>
  <c r="F1175" i="6" s="1"/>
  <c r="H1175" i="6" a="1"/>
  <c r="H1175" i="6" s="1"/>
  <c r="E1175" i="6"/>
  <c r="D1175" i="6"/>
  <c r="C1175" i="6"/>
  <c r="B1175" i="6"/>
  <c r="A1175" i="6" a="1"/>
  <c r="A1175" i="6" s="1"/>
  <c r="I1174" i="6" a="1"/>
  <c r="I1174" i="6" s="1"/>
  <c r="F1174" i="6" s="1" a="1"/>
  <c r="F1174" i="6" s="1"/>
  <c r="H1174" i="6" a="1"/>
  <c r="H1174" i="6" s="1"/>
  <c r="E1174" i="6"/>
  <c r="D1174" i="6"/>
  <c r="C1174" i="6"/>
  <c r="B1174" i="6"/>
  <c r="A1174" i="6" a="1"/>
  <c r="A1174" i="6" s="1"/>
  <c r="I1173" i="6" a="1"/>
  <c r="I1173" i="6" s="1"/>
  <c r="F1173" i="6" s="1" a="1"/>
  <c r="F1173" i="6" s="1"/>
  <c r="H1173" i="6" a="1"/>
  <c r="H1173" i="6" s="1"/>
  <c r="E1173" i="6"/>
  <c r="D1173" i="6"/>
  <c r="C1173" i="6"/>
  <c r="B1173" i="6"/>
  <c r="A1173" i="6" a="1"/>
  <c r="A1173" i="6" s="1"/>
  <c r="I1172" i="6" a="1"/>
  <c r="I1172" i="6" s="1"/>
  <c r="F1172" i="6" s="1" a="1"/>
  <c r="F1172" i="6" s="1"/>
  <c r="H1172" i="6" a="1"/>
  <c r="H1172" i="6" s="1"/>
  <c r="E1172" i="6"/>
  <c r="D1172" i="6"/>
  <c r="C1172" i="6"/>
  <c r="B1172" i="6"/>
  <c r="A1172" i="6" a="1"/>
  <c r="A1172" i="6" s="1"/>
  <c r="I1171" i="6" a="1"/>
  <c r="I1171" i="6" s="1"/>
  <c r="F1171" i="6" s="1" a="1"/>
  <c r="F1171" i="6" s="1"/>
  <c r="H1171" i="6" a="1"/>
  <c r="H1171" i="6" s="1"/>
  <c r="E1171" i="6"/>
  <c r="D1171" i="6"/>
  <c r="C1171" i="6"/>
  <c r="B1171" i="6"/>
  <c r="A1171" i="6" a="1"/>
  <c r="A1171" i="6" s="1"/>
  <c r="I1170" i="6" a="1"/>
  <c r="I1170" i="6" s="1"/>
  <c r="F1170" i="6" s="1" a="1"/>
  <c r="F1170" i="6" s="1"/>
  <c r="H1170" i="6" a="1"/>
  <c r="H1170" i="6" s="1"/>
  <c r="E1170" i="6"/>
  <c r="D1170" i="6"/>
  <c r="C1170" i="6"/>
  <c r="B1170" i="6"/>
  <c r="A1170" i="6" a="1"/>
  <c r="A1170" i="6" s="1"/>
  <c r="I1169" i="6" a="1"/>
  <c r="I1169" i="6" s="1"/>
  <c r="F1169" i="6" s="1" a="1"/>
  <c r="F1169" i="6" s="1"/>
  <c r="H1169" i="6" a="1"/>
  <c r="H1169" i="6" s="1"/>
  <c r="E1169" i="6"/>
  <c r="D1169" i="6"/>
  <c r="C1169" i="6"/>
  <c r="B1169" i="6"/>
  <c r="A1169" i="6" a="1"/>
  <c r="A1169" i="6" s="1"/>
  <c r="I1168" i="6" a="1"/>
  <c r="I1168" i="6" s="1"/>
  <c r="F1168" i="6" s="1" a="1"/>
  <c r="F1168" i="6" s="1"/>
  <c r="H1168" i="6" a="1"/>
  <c r="H1168" i="6" s="1"/>
  <c r="E1168" i="6"/>
  <c r="D1168" i="6"/>
  <c r="C1168" i="6"/>
  <c r="B1168" i="6"/>
  <c r="A1168" i="6" a="1"/>
  <c r="A1168" i="6" s="1"/>
  <c r="I1167" i="6" a="1"/>
  <c r="I1167" i="6" s="1"/>
  <c r="F1167" i="6" s="1" a="1"/>
  <c r="F1167" i="6" s="1"/>
  <c r="H1167" i="6" a="1"/>
  <c r="H1167" i="6" s="1"/>
  <c r="E1167" i="6"/>
  <c r="D1167" i="6"/>
  <c r="C1167" i="6"/>
  <c r="B1167" i="6"/>
  <c r="A1167" i="6" a="1"/>
  <c r="A1167" i="6" s="1"/>
  <c r="I1166" i="6" a="1"/>
  <c r="I1166" i="6" s="1"/>
  <c r="F1166" i="6" s="1" a="1"/>
  <c r="F1166" i="6" s="1"/>
  <c r="H1166" i="6" a="1"/>
  <c r="H1166" i="6" s="1"/>
  <c r="E1166" i="6"/>
  <c r="D1166" i="6"/>
  <c r="C1166" i="6"/>
  <c r="B1166" i="6"/>
  <c r="A1166" i="6" a="1"/>
  <c r="A1166" i="6" s="1"/>
  <c r="I1165" i="6" a="1"/>
  <c r="I1165" i="6" s="1"/>
  <c r="F1165" i="6" s="1" a="1"/>
  <c r="F1165" i="6" s="1"/>
  <c r="H1165" i="6" a="1"/>
  <c r="H1165" i="6" s="1"/>
  <c r="E1165" i="6"/>
  <c r="D1165" i="6"/>
  <c r="C1165" i="6"/>
  <c r="B1165" i="6"/>
  <c r="A1165" i="6" a="1"/>
  <c r="A1165" i="6" s="1"/>
  <c r="I1164" i="6" a="1"/>
  <c r="I1164" i="6" s="1"/>
  <c r="F1164" i="6" s="1" a="1"/>
  <c r="F1164" i="6" s="1"/>
  <c r="H1164" i="6" a="1"/>
  <c r="H1164" i="6" s="1"/>
  <c r="E1164" i="6"/>
  <c r="D1164" i="6"/>
  <c r="C1164" i="6"/>
  <c r="B1164" i="6"/>
  <c r="A1164" i="6" a="1"/>
  <c r="A1164" i="6" s="1"/>
  <c r="I1163" i="6" a="1"/>
  <c r="I1163" i="6" s="1"/>
  <c r="F1163" i="6" s="1" a="1"/>
  <c r="F1163" i="6" s="1"/>
  <c r="H1163" i="6" a="1"/>
  <c r="H1163" i="6" s="1"/>
  <c r="E1163" i="6"/>
  <c r="D1163" i="6"/>
  <c r="C1163" i="6"/>
  <c r="B1163" i="6"/>
  <c r="A1163" i="6" a="1"/>
  <c r="A1163" i="6" s="1"/>
  <c r="I1162" i="6" a="1"/>
  <c r="I1162" i="6" s="1"/>
  <c r="F1162" i="6" s="1" a="1"/>
  <c r="F1162" i="6" s="1"/>
  <c r="H1162" i="6" a="1"/>
  <c r="H1162" i="6" s="1"/>
  <c r="E1162" i="6"/>
  <c r="D1162" i="6"/>
  <c r="C1162" i="6"/>
  <c r="B1162" i="6"/>
  <c r="A1162" i="6" a="1"/>
  <c r="A1162" i="6" s="1"/>
  <c r="I1161" i="6" a="1"/>
  <c r="I1161" i="6" s="1"/>
  <c r="F1161" i="6" s="1" a="1"/>
  <c r="F1161" i="6" s="1"/>
  <c r="H1161" i="6" a="1"/>
  <c r="H1161" i="6" s="1"/>
  <c r="E1161" i="6"/>
  <c r="D1161" i="6"/>
  <c r="C1161" i="6"/>
  <c r="B1161" i="6"/>
  <c r="A1161" i="6" a="1"/>
  <c r="A1161" i="6" s="1"/>
  <c r="I1160" i="6" a="1"/>
  <c r="I1160" i="6" s="1"/>
  <c r="F1160" i="6" s="1" a="1"/>
  <c r="F1160" i="6" s="1"/>
  <c r="H1160" i="6" a="1"/>
  <c r="H1160" i="6" s="1"/>
  <c r="E1160" i="6"/>
  <c r="D1160" i="6"/>
  <c r="C1160" i="6"/>
  <c r="B1160" i="6"/>
  <c r="A1160" i="6" a="1"/>
  <c r="A1160" i="6" s="1"/>
  <c r="I1159" i="6" a="1"/>
  <c r="I1159" i="6" s="1"/>
  <c r="F1159" i="6" s="1" a="1"/>
  <c r="F1159" i="6" s="1"/>
  <c r="H1159" i="6" a="1"/>
  <c r="H1159" i="6" s="1"/>
  <c r="E1159" i="6"/>
  <c r="D1159" i="6"/>
  <c r="C1159" i="6"/>
  <c r="B1159" i="6"/>
  <c r="A1159" i="6" a="1"/>
  <c r="A1159" i="6" s="1"/>
  <c r="I1158" i="6" a="1"/>
  <c r="I1158" i="6" s="1"/>
  <c r="F1158" i="6" s="1" a="1"/>
  <c r="F1158" i="6" s="1"/>
  <c r="H1158" i="6" a="1"/>
  <c r="H1158" i="6" s="1"/>
  <c r="E1158" i="6"/>
  <c r="D1158" i="6"/>
  <c r="C1158" i="6"/>
  <c r="B1158" i="6"/>
  <c r="A1158" i="6" a="1"/>
  <c r="A1158" i="6" s="1"/>
  <c r="I1157" i="6" a="1"/>
  <c r="I1157" i="6" s="1"/>
  <c r="F1157" i="6" s="1" a="1"/>
  <c r="F1157" i="6" s="1"/>
  <c r="H1157" i="6" a="1"/>
  <c r="H1157" i="6" s="1"/>
  <c r="E1157" i="6"/>
  <c r="D1157" i="6"/>
  <c r="C1157" i="6"/>
  <c r="B1157" i="6"/>
  <c r="A1157" i="6" a="1"/>
  <c r="A1157" i="6" s="1"/>
  <c r="I1156" i="6" a="1"/>
  <c r="I1156" i="6" s="1"/>
  <c r="F1156" i="6" s="1" a="1"/>
  <c r="F1156" i="6" s="1"/>
  <c r="H1156" i="6" a="1"/>
  <c r="H1156" i="6" s="1"/>
  <c r="E1156" i="6"/>
  <c r="D1156" i="6"/>
  <c r="C1156" i="6"/>
  <c r="B1156" i="6"/>
  <c r="A1156" i="6" a="1"/>
  <c r="A1156" i="6" s="1"/>
  <c r="I1155" i="6" a="1"/>
  <c r="I1155" i="6" s="1"/>
  <c r="F1155" i="6" s="1" a="1"/>
  <c r="F1155" i="6" s="1"/>
  <c r="H1155" i="6" a="1"/>
  <c r="H1155" i="6" s="1"/>
  <c r="E1155" i="6"/>
  <c r="D1155" i="6"/>
  <c r="C1155" i="6"/>
  <c r="B1155" i="6"/>
  <c r="A1155" i="6" a="1"/>
  <c r="A1155" i="6" s="1"/>
  <c r="I1154" i="6" a="1"/>
  <c r="I1154" i="6" s="1"/>
  <c r="F1154" i="6" s="1" a="1"/>
  <c r="F1154" i="6" s="1"/>
  <c r="H1154" i="6" a="1"/>
  <c r="H1154" i="6" s="1"/>
  <c r="E1154" i="6"/>
  <c r="D1154" i="6"/>
  <c r="C1154" i="6"/>
  <c r="B1154" i="6"/>
  <c r="A1154" i="6" a="1"/>
  <c r="A1154" i="6" s="1"/>
  <c r="I1153" i="6" a="1"/>
  <c r="I1153" i="6" s="1"/>
  <c r="F1153" i="6" s="1" a="1"/>
  <c r="F1153" i="6" s="1"/>
  <c r="H1153" i="6" a="1"/>
  <c r="H1153" i="6" s="1"/>
  <c r="E1153" i="6"/>
  <c r="D1153" i="6"/>
  <c r="C1153" i="6"/>
  <c r="B1153" i="6"/>
  <c r="A1153" i="6" a="1"/>
  <c r="A1153" i="6" s="1"/>
  <c r="I1152" i="6" a="1"/>
  <c r="I1152" i="6" s="1"/>
  <c r="F1152" i="6" s="1" a="1"/>
  <c r="F1152" i="6" s="1"/>
  <c r="H1152" i="6" a="1"/>
  <c r="H1152" i="6" s="1"/>
  <c r="E1152" i="6"/>
  <c r="D1152" i="6"/>
  <c r="C1152" i="6"/>
  <c r="B1152" i="6"/>
  <c r="A1152" i="6" a="1"/>
  <c r="A1152" i="6" s="1"/>
  <c r="I1151" i="6" a="1"/>
  <c r="I1151" i="6" s="1"/>
  <c r="F1151" i="6" s="1" a="1"/>
  <c r="F1151" i="6" s="1"/>
  <c r="H1151" i="6" a="1"/>
  <c r="H1151" i="6" s="1"/>
  <c r="E1151" i="6"/>
  <c r="D1151" i="6"/>
  <c r="C1151" i="6"/>
  <c r="B1151" i="6"/>
  <c r="A1151" i="6" a="1"/>
  <c r="A1151" i="6" s="1"/>
  <c r="I1150" i="6" a="1"/>
  <c r="I1150" i="6" s="1"/>
  <c r="F1150" i="6" s="1" a="1"/>
  <c r="F1150" i="6" s="1"/>
  <c r="H1150" i="6" a="1"/>
  <c r="H1150" i="6" s="1"/>
  <c r="E1150" i="6"/>
  <c r="D1150" i="6"/>
  <c r="C1150" i="6"/>
  <c r="B1150" i="6"/>
  <c r="A1150" i="6" a="1"/>
  <c r="A1150" i="6" s="1"/>
  <c r="I1149" i="6" a="1"/>
  <c r="I1149" i="6" s="1"/>
  <c r="F1149" i="6" s="1" a="1"/>
  <c r="F1149" i="6" s="1"/>
  <c r="H1149" i="6" a="1"/>
  <c r="H1149" i="6" s="1"/>
  <c r="E1149" i="6"/>
  <c r="D1149" i="6"/>
  <c r="C1149" i="6"/>
  <c r="B1149" i="6"/>
  <c r="A1149" i="6" a="1"/>
  <c r="A1149" i="6" s="1"/>
  <c r="I1148" i="6" a="1"/>
  <c r="I1148" i="6" s="1"/>
  <c r="F1148" i="6" s="1" a="1"/>
  <c r="F1148" i="6" s="1"/>
  <c r="H1148" i="6" a="1"/>
  <c r="H1148" i="6" s="1"/>
  <c r="E1148" i="6"/>
  <c r="D1148" i="6"/>
  <c r="C1148" i="6"/>
  <c r="B1148" i="6"/>
  <c r="A1148" i="6" a="1"/>
  <c r="A1148" i="6" s="1"/>
  <c r="I1147" i="6" a="1"/>
  <c r="I1147" i="6" s="1"/>
  <c r="F1147" i="6" s="1" a="1"/>
  <c r="F1147" i="6" s="1"/>
  <c r="H1147" i="6" a="1"/>
  <c r="H1147" i="6" s="1"/>
  <c r="E1147" i="6"/>
  <c r="D1147" i="6"/>
  <c r="C1147" i="6"/>
  <c r="B1147" i="6"/>
  <c r="A1147" i="6" a="1"/>
  <c r="A1147" i="6" s="1"/>
  <c r="I1146" i="6" a="1"/>
  <c r="I1146" i="6" s="1"/>
  <c r="F1146" i="6" s="1" a="1"/>
  <c r="F1146" i="6" s="1"/>
  <c r="H1146" i="6" a="1"/>
  <c r="H1146" i="6" s="1"/>
  <c r="E1146" i="6"/>
  <c r="D1146" i="6"/>
  <c r="C1146" i="6"/>
  <c r="B1146" i="6"/>
  <c r="A1146" i="6" a="1"/>
  <c r="A1146" i="6" s="1"/>
  <c r="I1145" i="6" a="1"/>
  <c r="I1145" i="6" s="1"/>
  <c r="F1145" i="6" s="1" a="1"/>
  <c r="F1145" i="6" s="1"/>
  <c r="H1145" i="6" a="1"/>
  <c r="H1145" i="6" s="1"/>
  <c r="E1145" i="6"/>
  <c r="D1145" i="6"/>
  <c r="C1145" i="6"/>
  <c r="B1145" i="6"/>
  <c r="A1145" i="6" a="1"/>
  <c r="A1145" i="6" s="1"/>
  <c r="I1144" i="6" a="1"/>
  <c r="I1144" i="6" s="1"/>
  <c r="F1144" i="6" s="1" a="1"/>
  <c r="F1144" i="6" s="1"/>
  <c r="H1144" i="6" a="1"/>
  <c r="H1144" i="6" s="1"/>
  <c r="E1144" i="6"/>
  <c r="D1144" i="6"/>
  <c r="C1144" i="6"/>
  <c r="B1144" i="6"/>
  <c r="A1144" i="6" a="1"/>
  <c r="A1144" i="6" s="1"/>
  <c r="I1143" i="6" a="1"/>
  <c r="I1143" i="6" s="1"/>
  <c r="F1143" i="6" s="1" a="1"/>
  <c r="F1143" i="6" s="1"/>
  <c r="H1143" i="6" a="1"/>
  <c r="H1143" i="6" s="1"/>
  <c r="E1143" i="6"/>
  <c r="D1143" i="6"/>
  <c r="C1143" i="6"/>
  <c r="B1143" i="6"/>
  <c r="A1143" i="6" a="1"/>
  <c r="A1143" i="6" s="1"/>
  <c r="I1142" i="6" a="1"/>
  <c r="I1142" i="6" s="1"/>
  <c r="F1142" i="6" s="1" a="1"/>
  <c r="F1142" i="6" s="1"/>
  <c r="H1142" i="6" a="1"/>
  <c r="H1142" i="6" s="1"/>
  <c r="E1142" i="6"/>
  <c r="D1142" i="6"/>
  <c r="C1142" i="6"/>
  <c r="B1142" i="6"/>
  <c r="A1142" i="6" a="1"/>
  <c r="A1142" i="6" s="1"/>
  <c r="I1141" i="6" a="1"/>
  <c r="I1141" i="6" s="1"/>
  <c r="F1141" i="6" s="1" a="1"/>
  <c r="F1141" i="6" s="1"/>
  <c r="H1141" i="6" a="1"/>
  <c r="H1141" i="6" s="1"/>
  <c r="E1141" i="6"/>
  <c r="D1141" i="6"/>
  <c r="C1141" i="6"/>
  <c r="B1141" i="6"/>
  <c r="A1141" i="6" a="1"/>
  <c r="A1141" i="6" s="1"/>
  <c r="I1140" i="6" a="1"/>
  <c r="I1140" i="6" s="1"/>
  <c r="F1140" i="6" s="1" a="1"/>
  <c r="F1140" i="6" s="1"/>
  <c r="H1140" i="6" a="1"/>
  <c r="H1140" i="6" s="1"/>
  <c r="E1140" i="6"/>
  <c r="D1140" i="6"/>
  <c r="C1140" i="6"/>
  <c r="B1140" i="6"/>
  <c r="A1140" i="6" a="1"/>
  <c r="A1140" i="6" s="1"/>
  <c r="I1139" i="6" a="1"/>
  <c r="I1139" i="6" s="1"/>
  <c r="F1139" i="6" s="1" a="1"/>
  <c r="F1139" i="6" s="1"/>
  <c r="H1139" i="6" a="1"/>
  <c r="H1139" i="6" s="1"/>
  <c r="E1139" i="6"/>
  <c r="D1139" i="6"/>
  <c r="C1139" i="6"/>
  <c r="B1139" i="6"/>
  <c r="A1139" i="6" a="1"/>
  <c r="A1139" i="6" s="1"/>
  <c r="I1138" i="6" a="1"/>
  <c r="I1138" i="6" s="1"/>
  <c r="F1138" i="6" s="1" a="1"/>
  <c r="F1138" i="6" s="1"/>
  <c r="H1138" i="6" a="1"/>
  <c r="H1138" i="6" s="1"/>
  <c r="E1138" i="6"/>
  <c r="D1138" i="6"/>
  <c r="C1138" i="6"/>
  <c r="B1138" i="6"/>
  <c r="A1138" i="6" a="1"/>
  <c r="A1138" i="6" s="1"/>
  <c r="I1137" i="6" a="1"/>
  <c r="I1137" i="6" s="1"/>
  <c r="F1137" i="6" s="1" a="1"/>
  <c r="F1137" i="6" s="1"/>
  <c r="H1137" i="6" a="1"/>
  <c r="H1137" i="6" s="1"/>
  <c r="E1137" i="6"/>
  <c r="D1137" i="6"/>
  <c r="C1137" i="6"/>
  <c r="B1137" i="6"/>
  <c r="A1137" i="6" a="1"/>
  <c r="A1137" i="6" s="1"/>
  <c r="I1136" i="6" a="1"/>
  <c r="I1136" i="6" s="1"/>
  <c r="F1136" i="6" s="1" a="1"/>
  <c r="F1136" i="6" s="1"/>
  <c r="H1136" i="6" a="1"/>
  <c r="H1136" i="6" s="1"/>
  <c r="E1136" i="6"/>
  <c r="D1136" i="6"/>
  <c r="C1136" i="6"/>
  <c r="B1136" i="6"/>
  <c r="A1136" i="6" a="1"/>
  <c r="A1136" i="6" s="1"/>
  <c r="I1135" i="6" a="1"/>
  <c r="I1135" i="6" s="1"/>
  <c r="F1135" i="6" s="1" a="1"/>
  <c r="F1135" i="6" s="1"/>
  <c r="H1135" i="6" a="1"/>
  <c r="H1135" i="6" s="1"/>
  <c r="E1135" i="6"/>
  <c r="D1135" i="6"/>
  <c r="C1135" i="6"/>
  <c r="B1135" i="6"/>
  <c r="A1135" i="6" a="1"/>
  <c r="A1135" i="6" s="1"/>
  <c r="I1134" i="6" a="1"/>
  <c r="I1134" i="6" s="1"/>
  <c r="F1134" i="6" s="1" a="1"/>
  <c r="F1134" i="6" s="1"/>
  <c r="H1134" i="6" a="1"/>
  <c r="H1134" i="6" s="1"/>
  <c r="E1134" i="6"/>
  <c r="D1134" i="6"/>
  <c r="C1134" i="6"/>
  <c r="B1134" i="6"/>
  <c r="A1134" i="6" a="1"/>
  <c r="A1134" i="6" s="1"/>
  <c r="I1133" i="6" a="1"/>
  <c r="I1133" i="6" s="1"/>
  <c r="F1133" i="6" s="1" a="1"/>
  <c r="F1133" i="6" s="1"/>
  <c r="H1133" i="6" a="1"/>
  <c r="H1133" i="6" s="1"/>
  <c r="E1133" i="6"/>
  <c r="D1133" i="6"/>
  <c r="C1133" i="6"/>
  <c r="B1133" i="6"/>
  <c r="A1133" i="6" a="1"/>
  <c r="A1133" i="6" s="1"/>
  <c r="I1132" i="6" a="1"/>
  <c r="I1132" i="6" s="1"/>
  <c r="F1132" i="6" s="1" a="1"/>
  <c r="F1132" i="6" s="1"/>
  <c r="H1132" i="6" a="1"/>
  <c r="H1132" i="6" s="1"/>
  <c r="E1132" i="6"/>
  <c r="D1132" i="6"/>
  <c r="C1132" i="6"/>
  <c r="B1132" i="6"/>
  <c r="A1132" i="6" a="1"/>
  <c r="A1132" i="6" s="1"/>
  <c r="I1131" i="6" a="1"/>
  <c r="I1131" i="6" s="1"/>
  <c r="F1131" i="6" s="1" a="1"/>
  <c r="F1131" i="6" s="1"/>
  <c r="H1131" i="6" a="1"/>
  <c r="H1131" i="6" s="1"/>
  <c r="E1131" i="6"/>
  <c r="D1131" i="6"/>
  <c r="C1131" i="6"/>
  <c r="B1131" i="6"/>
  <c r="A1131" i="6" a="1"/>
  <c r="A1131" i="6" s="1"/>
  <c r="I1130" i="6" a="1"/>
  <c r="I1130" i="6" s="1"/>
  <c r="F1130" i="6" s="1" a="1"/>
  <c r="F1130" i="6" s="1"/>
  <c r="H1130" i="6" a="1"/>
  <c r="H1130" i="6" s="1"/>
  <c r="E1130" i="6"/>
  <c r="D1130" i="6"/>
  <c r="C1130" i="6"/>
  <c r="B1130" i="6"/>
  <c r="A1130" i="6" a="1"/>
  <c r="A1130" i="6" s="1"/>
  <c r="I1129" i="6" a="1"/>
  <c r="I1129" i="6" s="1"/>
  <c r="F1129" i="6" s="1" a="1"/>
  <c r="F1129" i="6" s="1"/>
  <c r="H1129" i="6" a="1"/>
  <c r="H1129" i="6" s="1"/>
  <c r="E1129" i="6"/>
  <c r="D1129" i="6"/>
  <c r="C1129" i="6"/>
  <c r="B1129" i="6"/>
  <c r="A1129" i="6" a="1"/>
  <c r="A1129" i="6" s="1"/>
  <c r="I1128" i="6" a="1"/>
  <c r="I1128" i="6" s="1"/>
  <c r="F1128" i="6" s="1" a="1"/>
  <c r="F1128" i="6" s="1"/>
  <c r="H1128" i="6" a="1"/>
  <c r="H1128" i="6" s="1"/>
  <c r="E1128" i="6"/>
  <c r="D1128" i="6"/>
  <c r="C1128" i="6"/>
  <c r="B1128" i="6"/>
  <c r="A1128" i="6" a="1"/>
  <c r="A1128" i="6" s="1"/>
  <c r="I1127" i="6" a="1"/>
  <c r="I1127" i="6" s="1"/>
  <c r="F1127" i="6" s="1" a="1"/>
  <c r="F1127" i="6" s="1"/>
  <c r="H1127" i="6" a="1"/>
  <c r="H1127" i="6" s="1"/>
  <c r="E1127" i="6"/>
  <c r="D1127" i="6"/>
  <c r="C1127" i="6"/>
  <c r="B1127" i="6"/>
  <c r="A1127" i="6" a="1"/>
  <c r="A1127" i="6" s="1"/>
  <c r="I1126" i="6" a="1"/>
  <c r="I1126" i="6" s="1"/>
  <c r="F1126" i="6" s="1" a="1"/>
  <c r="F1126" i="6" s="1"/>
  <c r="H1126" i="6" a="1"/>
  <c r="H1126" i="6" s="1"/>
  <c r="E1126" i="6"/>
  <c r="D1126" i="6"/>
  <c r="C1126" i="6"/>
  <c r="B1126" i="6"/>
  <c r="A1126" i="6" a="1"/>
  <c r="A1126" i="6" s="1"/>
  <c r="I1125" i="6" a="1"/>
  <c r="I1125" i="6" s="1"/>
  <c r="F1125" i="6" s="1" a="1"/>
  <c r="F1125" i="6" s="1"/>
  <c r="H1125" i="6" a="1"/>
  <c r="H1125" i="6" s="1"/>
  <c r="E1125" i="6"/>
  <c r="D1125" i="6"/>
  <c r="C1125" i="6"/>
  <c r="B1125" i="6"/>
  <c r="A1125" i="6" a="1"/>
  <c r="A1125" i="6" s="1"/>
  <c r="I1124" i="6" a="1"/>
  <c r="I1124" i="6" s="1"/>
  <c r="F1124" i="6" s="1" a="1"/>
  <c r="F1124" i="6" s="1"/>
  <c r="H1124" i="6" a="1"/>
  <c r="H1124" i="6" s="1"/>
  <c r="E1124" i="6"/>
  <c r="D1124" i="6"/>
  <c r="C1124" i="6"/>
  <c r="B1124" i="6"/>
  <c r="A1124" i="6" a="1"/>
  <c r="A1124" i="6" s="1"/>
  <c r="I1123" i="6" a="1"/>
  <c r="I1123" i="6" s="1"/>
  <c r="F1123" i="6" s="1" a="1"/>
  <c r="F1123" i="6" s="1"/>
  <c r="H1123" i="6" a="1"/>
  <c r="H1123" i="6" s="1"/>
  <c r="E1123" i="6"/>
  <c r="D1123" i="6"/>
  <c r="C1123" i="6"/>
  <c r="B1123" i="6"/>
  <c r="A1123" i="6" a="1"/>
  <c r="A1123" i="6" s="1"/>
  <c r="I1122" i="6" a="1"/>
  <c r="I1122" i="6" s="1"/>
  <c r="F1122" i="6" s="1" a="1"/>
  <c r="F1122" i="6" s="1"/>
  <c r="H1122" i="6" a="1"/>
  <c r="H1122" i="6" s="1"/>
  <c r="E1122" i="6"/>
  <c r="D1122" i="6"/>
  <c r="C1122" i="6"/>
  <c r="B1122" i="6"/>
  <c r="A1122" i="6" a="1"/>
  <c r="A1122" i="6" s="1"/>
  <c r="I1121" i="6" a="1"/>
  <c r="I1121" i="6" s="1"/>
  <c r="F1121" i="6" s="1" a="1"/>
  <c r="F1121" i="6" s="1"/>
  <c r="H1121" i="6" a="1"/>
  <c r="H1121" i="6" s="1"/>
  <c r="E1121" i="6"/>
  <c r="D1121" i="6"/>
  <c r="C1121" i="6"/>
  <c r="B1121" i="6"/>
  <c r="A1121" i="6" a="1"/>
  <c r="A1121" i="6" s="1"/>
  <c r="I1120" i="6" a="1"/>
  <c r="I1120" i="6" s="1"/>
  <c r="F1120" i="6" s="1" a="1"/>
  <c r="F1120" i="6" s="1"/>
  <c r="H1120" i="6" a="1"/>
  <c r="H1120" i="6" s="1"/>
  <c r="E1120" i="6"/>
  <c r="D1120" i="6"/>
  <c r="C1120" i="6"/>
  <c r="B1120" i="6"/>
  <c r="A1120" i="6" a="1"/>
  <c r="A1120" i="6" s="1"/>
  <c r="I1119" i="6" a="1"/>
  <c r="I1119" i="6" s="1"/>
  <c r="F1119" i="6" s="1" a="1"/>
  <c r="F1119" i="6" s="1"/>
  <c r="H1119" i="6" a="1"/>
  <c r="H1119" i="6" s="1"/>
  <c r="E1119" i="6"/>
  <c r="D1119" i="6"/>
  <c r="C1119" i="6"/>
  <c r="B1119" i="6"/>
  <c r="A1119" i="6" a="1"/>
  <c r="A1119" i="6" s="1"/>
  <c r="I1118" i="6" a="1"/>
  <c r="I1118" i="6" s="1"/>
  <c r="F1118" i="6" s="1" a="1"/>
  <c r="F1118" i="6" s="1"/>
  <c r="H1118" i="6" a="1"/>
  <c r="H1118" i="6" s="1"/>
  <c r="E1118" i="6"/>
  <c r="D1118" i="6"/>
  <c r="C1118" i="6"/>
  <c r="B1118" i="6"/>
  <c r="A1118" i="6" a="1"/>
  <c r="A1118" i="6" s="1"/>
  <c r="I1117" i="6" a="1"/>
  <c r="I1117" i="6" s="1"/>
  <c r="F1117" i="6" s="1" a="1"/>
  <c r="F1117" i="6" s="1"/>
  <c r="H1117" i="6" a="1"/>
  <c r="H1117" i="6" s="1"/>
  <c r="E1117" i="6"/>
  <c r="D1117" i="6"/>
  <c r="C1117" i="6"/>
  <c r="B1117" i="6"/>
  <c r="A1117" i="6" a="1"/>
  <c r="A1117" i="6" s="1"/>
  <c r="I1116" i="6" a="1"/>
  <c r="I1116" i="6" s="1"/>
  <c r="F1116" i="6" s="1" a="1"/>
  <c r="F1116" i="6" s="1"/>
  <c r="H1116" i="6" a="1"/>
  <c r="H1116" i="6" s="1"/>
  <c r="E1116" i="6"/>
  <c r="D1116" i="6"/>
  <c r="C1116" i="6"/>
  <c r="B1116" i="6"/>
  <c r="A1116" i="6" a="1"/>
  <c r="A1116" i="6" s="1"/>
  <c r="I1115" i="6" a="1"/>
  <c r="I1115" i="6" s="1"/>
  <c r="F1115" i="6" s="1" a="1"/>
  <c r="F1115" i="6" s="1"/>
  <c r="H1115" i="6" a="1"/>
  <c r="H1115" i="6" s="1"/>
  <c r="E1115" i="6"/>
  <c r="D1115" i="6"/>
  <c r="C1115" i="6"/>
  <c r="B1115" i="6"/>
  <c r="A1115" i="6" a="1"/>
  <c r="A1115" i="6" s="1"/>
  <c r="I1114" i="6" a="1"/>
  <c r="I1114" i="6" s="1"/>
  <c r="F1114" i="6" s="1" a="1"/>
  <c r="F1114" i="6" s="1"/>
  <c r="H1114" i="6" a="1"/>
  <c r="H1114" i="6" s="1"/>
  <c r="E1114" i="6"/>
  <c r="D1114" i="6"/>
  <c r="C1114" i="6"/>
  <c r="B1114" i="6"/>
  <c r="A1114" i="6" a="1"/>
  <c r="A1114" i="6" s="1"/>
  <c r="I1113" i="6" a="1"/>
  <c r="I1113" i="6" s="1"/>
  <c r="F1113" i="6" s="1" a="1"/>
  <c r="F1113" i="6" s="1"/>
  <c r="H1113" i="6" a="1"/>
  <c r="H1113" i="6" s="1"/>
  <c r="E1113" i="6"/>
  <c r="D1113" i="6"/>
  <c r="C1113" i="6"/>
  <c r="B1113" i="6"/>
  <c r="A1113" i="6" a="1"/>
  <c r="A1113" i="6" s="1"/>
  <c r="I1112" i="6" a="1"/>
  <c r="I1112" i="6" s="1"/>
  <c r="F1112" i="6" s="1" a="1"/>
  <c r="F1112" i="6" s="1"/>
  <c r="H1112" i="6" a="1"/>
  <c r="H1112" i="6" s="1"/>
  <c r="E1112" i="6"/>
  <c r="D1112" i="6"/>
  <c r="C1112" i="6"/>
  <c r="B1112" i="6"/>
  <c r="A1112" i="6" a="1"/>
  <c r="A1112" i="6" s="1"/>
  <c r="I1111" i="6" a="1"/>
  <c r="I1111" i="6" s="1"/>
  <c r="F1111" i="6" s="1" a="1"/>
  <c r="F1111" i="6" s="1"/>
  <c r="H1111" i="6" a="1"/>
  <c r="H1111" i="6" s="1"/>
  <c r="E1111" i="6"/>
  <c r="D1111" i="6"/>
  <c r="C1111" i="6"/>
  <c r="B1111" i="6"/>
  <c r="A1111" i="6" a="1"/>
  <c r="A1111" i="6" s="1"/>
  <c r="I1110" i="6" a="1"/>
  <c r="I1110" i="6" s="1"/>
  <c r="F1110" i="6" s="1" a="1"/>
  <c r="F1110" i="6" s="1"/>
  <c r="H1110" i="6" a="1"/>
  <c r="H1110" i="6" s="1"/>
  <c r="E1110" i="6"/>
  <c r="D1110" i="6"/>
  <c r="C1110" i="6"/>
  <c r="B1110" i="6"/>
  <c r="A1110" i="6" a="1"/>
  <c r="A1110" i="6" s="1"/>
  <c r="I1109" i="6" a="1"/>
  <c r="I1109" i="6" s="1"/>
  <c r="F1109" i="6" s="1" a="1"/>
  <c r="F1109" i="6" s="1"/>
  <c r="H1109" i="6" a="1"/>
  <c r="H1109" i="6" s="1"/>
  <c r="E1109" i="6"/>
  <c r="D1109" i="6"/>
  <c r="C1109" i="6"/>
  <c r="B1109" i="6"/>
  <c r="A1109" i="6" a="1"/>
  <c r="A1109" i="6" s="1"/>
  <c r="I1108" i="6" a="1"/>
  <c r="I1108" i="6" s="1"/>
  <c r="F1108" i="6" s="1" a="1"/>
  <c r="F1108" i="6" s="1"/>
  <c r="H1108" i="6" a="1"/>
  <c r="H1108" i="6" s="1"/>
  <c r="E1108" i="6"/>
  <c r="D1108" i="6"/>
  <c r="C1108" i="6"/>
  <c r="B1108" i="6"/>
  <c r="A1108" i="6" a="1"/>
  <c r="A1108" i="6" s="1"/>
  <c r="I1107" i="6" a="1"/>
  <c r="I1107" i="6" s="1"/>
  <c r="F1107" i="6" s="1" a="1"/>
  <c r="F1107" i="6" s="1"/>
  <c r="H1107" i="6" a="1"/>
  <c r="H1107" i="6" s="1"/>
  <c r="E1107" i="6"/>
  <c r="D1107" i="6"/>
  <c r="C1107" i="6"/>
  <c r="B1107" i="6"/>
  <c r="A1107" i="6" a="1"/>
  <c r="A1107" i="6" s="1"/>
  <c r="I1106" i="6" a="1"/>
  <c r="I1106" i="6" s="1"/>
  <c r="F1106" i="6" s="1" a="1"/>
  <c r="F1106" i="6" s="1"/>
  <c r="H1106" i="6" a="1"/>
  <c r="H1106" i="6" s="1"/>
  <c r="E1106" i="6"/>
  <c r="D1106" i="6"/>
  <c r="C1106" i="6"/>
  <c r="B1106" i="6"/>
  <c r="A1106" i="6" a="1"/>
  <c r="A1106" i="6" s="1"/>
  <c r="I1105" i="6" a="1"/>
  <c r="I1105" i="6" s="1"/>
  <c r="F1105" i="6" s="1" a="1"/>
  <c r="F1105" i="6" s="1"/>
  <c r="H1105" i="6" a="1"/>
  <c r="H1105" i="6" s="1"/>
  <c r="E1105" i="6"/>
  <c r="D1105" i="6"/>
  <c r="C1105" i="6"/>
  <c r="B1105" i="6"/>
  <c r="A1105" i="6" a="1"/>
  <c r="A1105" i="6" s="1"/>
  <c r="I1104" i="6" a="1"/>
  <c r="I1104" i="6" s="1"/>
  <c r="F1104" i="6" s="1" a="1"/>
  <c r="F1104" i="6" s="1"/>
  <c r="H1104" i="6" a="1"/>
  <c r="H1104" i="6" s="1"/>
  <c r="E1104" i="6"/>
  <c r="D1104" i="6"/>
  <c r="C1104" i="6"/>
  <c r="B1104" i="6"/>
  <c r="A1104" i="6" a="1"/>
  <c r="A1104" i="6" s="1"/>
  <c r="I1103" i="6" a="1"/>
  <c r="I1103" i="6" s="1"/>
  <c r="F1103" i="6" s="1" a="1"/>
  <c r="F1103" i="6" s="1"/>
  <c r="H1103" i="6" a="1"/>
  <c r="H1103" i="6" s="1"/>
  <c r="E1103" i="6"/>
  <c r="D1103" i="6"/>
  <c r="C1103" i="6"/>
  <c r="B1103" i="6"/>
  <c r="A1103" i="6" a="1"/>
  <c r="A1103" i="6" s="1"/>
  <c r="I1102" i="6" a="1"/>
  <c r="I1102" i="6" s="1"/>
  <c r="F1102" i="6" s="1" a="1"/>
  <c r="F1102" i="6" s="1"/>
  <c r="H1102" i="6" a="1"/>
  <c r="H1102" i="6" s="1"/>
  <c r="E1102" i="6"/>
  <c r="D1102" i="6"/>
  <c r="C1102" i="6"/>
  <c r="B1102" i="6"/>
  <c r="A1102" i="6" a="1"/>
  <c r="A1102" i="6" s="1"/>
  <c r="I1101" i="6" a="1"/>
  <c r="I1101" i="6" s="1"/>
  <c r="F1101" i="6" s="1" a="1"/>
  <c r="F1101" i="6" s="1"/>
  <c r="H1101" i="6" a="1"/>
  <c r="H1101" i="6" s="1"/>
  <c r="E1101" i="6"/>
  <c r="D1101" i="6"/>
  <c r="C1101" i="6"/>
  <c r="B1101" i="6"/>
  <c r="A1101" i="6" a="1"/>
  <c r="A1101" i="6" s="1"/>
  <c r="I1100" i="6" a="1"/>
  <c r="I1100" i="6" s="1"/>
  <c r="F1100" i="6" s="1" a="1"/>
  <c r="F1100" i="6" s="1"/>
  <c r="H1100" i="6" a="1"/>
  <c r="H1100" i="6" s="1"/>
  <c r="E1100" i="6"/>
  <c r="D1100" i="6"/>
  <c r="C1100" i="6"/>
  <c r="B1100" i="6"/>
  <c r="A1100" i="6" a="1"/>
  <c r="A1100" i="6" s="1"/>
  <c r="I1099" i="6" a="1"/>
  <c r="I1099" i="6" s="1"/>
  <c r="F1099" i="6" s="1" a="1"/>
  <c r="F1099" i="6" s="1"/>
  <c r="H1099" i="6" a="1"/>
  <c r="H1099" i="6" s="1"/>
  <c r="E1099" i="6"/>
  <c r="D1099" i="6"/>
  <c r="C1099" i="6"/>
  <c r="B1099" i="6"/>
  <c r="A1099" i="6" a="1"/>
  <c r="A1099" i="6" s="1"/>
  <c r="I1098" i="6" a="1"/>
  <c r="I1098" i="6" s="1"/>
  <c r="F1098" i="6" s="1" a="1"/>
  <c r="F1098" i="6" s="1"/>
  <c r="H1098" i="6" a="1"/>
  <c r="H1098" i="6" s="1"/>
  <c r="E1098" i="6"/>
  <c r="D1098" i="6"/>
  <c r="C1098" i="6"/>
  <c r="B1098" i="6"/>
  <c r="A1098" i="6" a="1"/>
  <c r="A1098" i="6" s="1"/>
  <c r="I1097" i="6" a="1"/>
  <c r="I1097" i="6" s="1"/>
  <c r="F1097" i="6" s="1" a="1"/>
  <c r="F1097" i="6" s="1"/>
  <c r="H1097" i="6" a="1"/>
  <c r="H1097" i="6" s="1"/>
  <c r="E1097" i="6"/>
  <c r="D1097" i="6"/>
  <c r="C1097" i="6"/>
  <c r="B1097" i="6"/>
  <c r="A1097" i="6" a="1"/>
  <c r="A1097" i="6" s="1"/>
  <c r="I1096" i="6" a="1"/>
  <c r="I1096" i="6" s="1"/>
  <c r="F1096" i="6" s="1" a="1"/>
  <c r="F1096" i="6" s="1"/>
  <c r="H1096" i="6" a="1"/>
  <c r="H1096" i="6" s="1"/>
  <c r="E1096" i="6"/>
  <c r="D1096" i="6"/>
  <c r="C1096" i="6"/>
  <c r="B1096" i="6"/>
  <c r="A1096" i="6" a="1"/>
  <c r="A1096" i="6" s="1"/>
  <c r="I1095" i="6" a="1"/>
  <c r="I1095" i="6" s="1"/>
  <c r="F1095" i="6" s="1" a="1"/>
  <c r="F1095" i="6" s="1"/>
  <c r="H1095" i="6" a="1"/>
  <c r="H1095" i="6" s="1"/>
  <c r="E1095" i="6"/>
  <c r="D1095" i="6"/>
  <c r="C1095" i="6"/>
  <c r="B1095" i="6"/>
  <c r="A1095" i="6" a="1"/>
  <c r="A1095" i="6" s="1"/>
  <c r="I1094" i="6" a="1"/>
  <c r="I1094" i="6" s="1"/>
  <c r="F1094" i="6" s="1" a="1"/>
  <c r="F1094" i="6" s="1"/>
  <c r="H1094" i="6" a="1"/>
  <c r="H1094" i="6" s="1"/>
  <c r="E1094" i="6"/>
  <c r="D1094" i="6"/>
  <c r="C1094" i="6"/>
  <c r="B1094" i="6"/>
  <c r="A1094" i="6" a="1"/>
  <c r="A1094" i="6" s="1"/>
  <c r="I1093" i="6" a="1"/>
  <c r="I1093" i="6" s="1"/>
  <c r="F1093" i="6" s="1" a="1"/>
  <c r="F1093" i="6" s="1"/>
  <c r="H1093" i="6" a="1"/>
  <c r="H1093" i="6" s="1"/>
  <c r="E1093" i="6"/>
  <c r="D1093" i="6"/>
  <c r="C1093" i="6"/>
  <c r="B1093" i="6"/>
  <c r="A1093" i="6" a="1"/>
  <c r="A1093" i="6" s="1"/>
  <c r="I1092" i="6" a="1"/>
  <c r="I1092" i="6" s="1"/>
  <c r="F1092" i="6" s="1" a="1"/>
  <c r="F1092" i="6" s="1"/>
  <c r="H1092" i="6" a="1"/>
  <c r="H1092" i="6" s="1"/>
  <c r="E1092" i="6"/>
  <c r="D1092" i="6"/>
  <c r="C1092" i="6"/>
  <c r="B1092" i="6"/>
  <c r="A1092" i="6" a="1"/>
  <c r="A1092" i="6" s="1"/>
  <c r="I1091" i="6" a="1"/>
  <c r="I1091" i="6" s="1"/>
  <c r="F1091" i="6" s="1" a="1"/>
  <c r="F1091" i="6" s="1"/>
  <c r="H1091" i="6" a="1"/>
  <c r="H1091" i="6" s="1"/>
  <c r="E1091" i="6"/>
  <c r="D1091" i="6"/>
  <c r="C1091" i="6"/>
  <c r="B1091" i="6"/>
  <c r="A1091" i="6" a="1"/>
  <c r="A1091" i="6" s="1"/>
  <c r="I1090" i="6" a="1"/>
  <c r="I1090" i="6" s="1"/>
  <c r="F1090" i="6" s="1" a="1"/>
  <c r="F1090" i="6" s="1"/>
  <c r="H1090" i="6" a="1"/>
  <c r="H1090" i="6" s="1"/>
  <c r="E1090" i="6"/>
  <c r="D1090" i="6"/>
  <c r="C1090" i="6"/>
  <c r="B1090" i="6"/>
  <c r="A1090" i="6" a="1"/>
  <c r="A1090" i="6" s="1"/>
  <c r="I1089" i="6" a="1"/>
  <c r="I1089" i="6" s="1"/>
  <c r="F1089" i="6" s="1" a="1"/>
  <c r="F1089" i="6" s="1"/>
  <c r="H1089" i="6" a="1"/>
  <c r="H1089" i="6" s="1"/>
  <c r="E1089" i="6"/>
  <c r="D1089" i="6"/>
  <c r="C1089" i="6"/>
  <c r="B1089" i="6"/>
  <c r="A1089" i="6" a="1"/>
  <c r="A1089" i="6" s="1"/>
  <c r="I1088" i="6" a="1"/>
  <c r="I1088" i="6" s="1"/>
  <c r="F1088" i="6" s="1" a="1"/>
  <c r="F1088" i="6" s="1"/>
  <c r="H1088" i="6" a="1"/>
  <c r="H1088" i="6" s="1"/>
  <c r="E1088" i="6"/>
  <c r="D1088" i="6"/>
  <c r="C1088" i="6"/>
  <c r="B1088" i="6"/>
  <c r="A1088" i="6" a="1"/>
  <c r="A1088" i="6" s="1"/>
  <c r="I1087" i="6" a="1"/>
  <c r="I1087" i="6" s="1"/>
  <c r="F1087" i="6" s="1" a="1"/>
  <c r="F1087" i="6" s="1"/>
  <c r="H1087" i="6" a="1"/>
  <c r="H1087" i="6" s="1"/>
  <c r="E1087" i="6"/>
  <c r="D1087" i="6"/>
  <c r="C1087" i="6"/>
  <c r="B1087" i="6"/>
  <c r="A1087" i="6" a="1"/>
  <c r="A1087" i="6" s="1"/>
  <c r="I1086" i="6" a="1"/>
  <c r="I1086" i="6" s="1"/>
  <c r="F1086" i="6" s="1" a="1"/>
  <c r="F1086" i="6" s="1"/>
  <c r="H1086" i="6" a="1"/>
  <c r="H1086" i="6" s="1"/>
  <c r="E1086" i="6"/>
  <c r="D1086" i="6"/>
  <c r="C1086" i="6"/>
  <c r="B1086" i="6"/>
  <c r="A1086" i="6" a="1"/>
  <c r="A1086" i="6" s="1"/>
  <c r="I1085" i="6" a="1"/>
  <c r="I1085" i="6" s="1"/>
  <c r="F1085" i="6" s="1" a="1"/>
  <c r="F1085" i="6" s="1"/>
  <c r="H1085" i="6" a="1"/>
  <c r="H1085" i="6" s="1"/>
  <c r="E1085" i="6"/>
  <c r="D1085" i="6"/>
  <c r="C1085" i="6"/>
  <c r="B1085" i="6"/>
  <c r="A1085" i="6" a="1"/>
  <c r="A1085" i="6" s="1"/>
  <c r="I1084" i="6" a="1"/>
  <c r="I1084" i="6" s="1"/>
  <c r="F1084" i="6" s="1" a="1"/>
  <c r="F1084" i="6" s="1"/>
  <c r="H1084" i="6" a="1"/>
  <c r="H1084" i="6" s="1"/>
  <c r="E1084" i="6"/>
  <c r="D1084" i="6"/>
  <c r="C1084" i="6"/>
  <c r="B1084" i="6"/>
  <c r="A1084" i="6" a="1"/>
  <c r="A1084" i="6" s="1"/>
  <c r="I1083" i="6" a="1"/>
  <c r="I1083" i="6" s="1"/>
  <c r="F1083" i="6" s="1" a="1"/>
  <c r="F1083" i="6" s="1"/>
  <c r="H1083" i="6" a="1"/>
  <c r="H1083" i="6" s="1"/>
  <c r="E1083" i="6"/>
  <c r="D1083" i="6"/>
  <c r="C1083" i="6"/>
  <c r="B1083" i="6"/>
  <c r="A1083" i="6" a="1"/>
  <c r="A1083" i="6" s="1"/>
  <c r="I1082" i="6" a="1"/>
  <c r="I1082" i="6" s="1"/>
  <c r="F1082" i="6" s="1" a="1"/>
  <c r="F1082" i="6" s="1"/>
  <c r="H1082" i="6" a="1"/>
  <c r="H1082" i="6" s="1"/>
  <c r="E1082" i="6"/>
  <c r="D1082" i="6"/>
  <c r="C1082" i="6"/>
  <c r="B1082" i="6"/>
  <c r="A1082" i="6" a="1"/>
  <c r="A1082" i="6" s="1"/>
  <c r="I1081" i="6" a="1"/>
  <c r="I1081" i="6" s="1"/>
  <c r="F1081" i="6" s="1" a="1"/>
  <c r="F1081" i="6" s="1"/>
  <c r="H1081" i="6" a="1"/>
  <c r="H1081" i="6" s="1"/>
  <c r="E1081" i="6"/>
  <c r="D1081" i="6"/>
  <c r="C1081" i="6"/>
  <c r="B1081" i="6"/>
  <c r="A1081" i="6" a="1"/>
  <c r="A1081" i="6" s="1"/>
  <c r="I1080" i="6" a="1"/>
  <c r="I1080" i="6" s="1"/>
  <c r="F1080" i="6" s="1" a="1"/>
  <c r="F1080" i="6" s="1"/>
  <c r="H1080" i="6" a="1"/>
  <c r="H1080" i="6" s="1"/>
  <c r="E1080" i="6"/>
  <c r="D1080" i="6"/>
  <c r="C1080" i="6"/>
  <c r="B1080" i="6"/>
  <c r="A1080" i="6" a="1"/>
  <c r="A1080" i="6" s="1"/>
  <c r="I1079" i="6" a="1"/>
  <c r="I1079" i="6" s="1"/>
  <c r="F1079" i="6" s="1" a="1"/>
  <c r="F1079" i="6" s="1"/>
  <c r="H1079" i="6" a="1"/>
  <c r="H1079" i="6" s="1"/>
  <c r="E1079" i="6"/>
  <c r="D1079" i="6"/>
  <c r="C1079" i="6"/>
  <c r="B1079" i="6"/>
  <c r="A1079" i="6" a="1"/>
  <c r="A1079" i="6" s="1"/>
  <c r="I1078" i="6" a="1"/>
  <c r="I1078" i="6" s="1"/>
  <c r="F1078" i="6" s="1" a="1"/>
  <c r="F1078" i="6" s="1"/>
  <c r="H1078" i="6" a="1"/>
  <c r="H1078" i="6" s="1"/>
  <c r="E1078" i="6"/>
  <c r="D1078" i="6"/>
  <c r="C1078" i="6"/>
  <c r="B1078" i="6"/>
  <c r="A1078" i="6" a="1"/>
  <c r="A1078" i="6" s="1"/>
  <c r="I1077" i="6" a="1"/>
  <c r="I1077" i="6" s="1"/>
  <c r="F1077" i="6" s="1" a="1"/>
  <c r="F1077" i="6" s="1"/>
  <c r="H1077" i="6" a="1"/>
  <c r="H1077" i="6" s="1"/>
  <c r="E1077" i="6"/>
  <c r="D1077" i="6"/>
  <c r="C1077" i="6"/>
  <c r="B1077" i="6"/>
  <c r="A1077" i="6" a="1"/>
  <c r="A1077" i="6" s="1"/>
  <c r="I1076" i="6" a="1"/>
  <c r="I1076" i="6" s="1"/>
  <c r="F1076" i="6" s="1" a="1"/>
  <c r="F1076" i="6" s="1"/>
  <c r="H1076" i="6" a="1"/>
  <c r="H1076" i="6" s="1"/>
  <c r="E1076" i="6"/>
  <c r="D1076" i="6"/>
  <c r="C1076" i="6"/>
  <c r="B1076" i="6"/>
  <c r="A1076" i="6" a="1"/>
  <c r="A1076" i="6" s="1"/>
  <c r="I1075" i="6" a="1"/>
  <c r="I1075" i="6" s="1"/>
  <c r="F1075" i="6" s="1" a="1"/>
  <c r="F1075" i="6" s="1"/>
  <c r="H1075" i="6" a="1"/>
  <c r="H1075" i="6" s="1"/>
  <c r="E1075" i="6"/>
  <c r="D1075" i="6"/>
  <c r="C1075" i="6"/>
  <c r="B1075" i="6"/>
  <c r="A1075" i="6" a="1"/>
  <c r="A1075" i="6" s="1"/>
  <c r="I1074" i="6" a="1"/>
  <c r="I1074" i="6" s="1"/>
  <c r="F1074" i="6" s="1" a="1"/>
  <c r="F1074" i="6" s="1"/>
  <c r="H1074" i="6" a="1"/>
  <c r="H1074" i="6" s="1"/>
  <c r="E1074" i="6"/>
  <c r="D1074" i="6"/>
  <c r="C1074" i="6"/>
  <c r="B1074" i="6"/>
  <c r="A1074" i="6" a="1"/>
  <c r="A1074" i="6" s="1"/>
  <c r="I1073" i="6" a="1"/>
  <c r="I1073" i="6" s="1"/>
  <c r="F1073" i="6" s="1" a="1"/>
  <c r="F1073" i="6" s="1"/>
  <c r="H1073" i="6" a="1"/>
  <c r="H1073" i="6" s="1"/>
  <c r="E1073" i="6"/>
  <c r="D1073" i="6"/>
  <c r="C1073" i="6"/>
  <c r="B1073" i="6"/>
  <c r="A1073" i="6" a="1"/>
  <c r="A1073" i="6" s="1"/>
  <c r="I1072" i="6" a="1"/>
  <c r="I1072" i="6" s="1"/>
  <c r="F1072" i="6" s="1" a="1"/>
  <c r="F1072" i="6" s="1"/>
  <c r="H1072" i="6" a="1"/>
  <c r="H1072" i="6" s="1"/>
  <c r="E1072" i="6"/>
  <c r="D1072" i="6"/>
  <c r="C1072" i="6"/>
  <c r="B1072" i="6"/>
  <c r="A1072" i="6" a="1"/>
  <c r="A1072" i="6" s="1"/>
  <c r="I1071" i="6" a="1"/>
  <c r="I1071" i="6" s="1"/>
  <c r="F1071" i="6" s="1" a="1"/>
  <c r="F1071" i="6" s="1"/>
  <c r="H1071" i="6" a="1"/>
  <c r="H1071" i="6" s="1"/>
  <c r="E1071" i="6"/>
  <c r="D1071" i="6"/>
  <c r="C1071" i="6"/>
  <c r="B1071" i="6"/>
  <c r="A1071" i="6" a="1"/>
  <c r="A1071" i="6" s="1"/>
  <c r="I1070" i="6" a="1"/>
  <c r="I1070" i="6" s="1"/>
  <c r="F1070" i="6" s="1" a="1"/>
  <c r="F1070" i="6" s="1"/>
  <c r="H1070" i="6" a="1"/>
  <c r="H1070" i="6" s="1"/>
  <c r="E1070" i="6"/>
  <c r="D1070" i="6"/>
  <c r="C1070" i="6"/>
  <c r="B1070" i="6"/>
  <c r="A1070" i="6" a="1"/>
  <c r="A1070" i="6" s="1"/>
  <c r="I1069" i="6" a="1"/>
  <c r="I1069" i="6" s="1"/>
  <c r="F1069" i="6" s="1" a="1"/>
  <c r="F1069" i="6" s="1"/>
  <c r="H1069" i="6" a="1"/>
  <c r="H1069" i="6" s="1"/>
  <c r="E1069" i="6"/>
  <c r="D1069" i="6"/>
  <c r="C1069" i="6"/>
  <c r="B1069" i="6"/>
  <c r="A1069" i="6" a="1"/>
  <c r="A1069" i="6" s="1"/>
  <c r="I1068" i="6" a="1"/>
  <c r="I1068" i="6" s="1"/>
  <c r="F1068" i="6" s="1" a="1"/>
  <c r="F1068" i="6" s="1"/>
  <c r="H1068" i="6" a="1"/>
  <c r="H1068" i="6" s="1"/>
  <c r="E1068" i="6"/>
  <c r="D1068" i="6"/>
  <c r="C1068" i="6"/>
  <c r="B1068" i="6"/>
  <c r="A1068" i="6" a="1"/>
  <c r="A1068" i="6" s="1"/>
  <c r="I1067" i="6" a="1"/>
  <c r="I1067" i="6" s="1"/>
  <c r="F1067" i="6" s="1" a="1"/>
  <c r="F1067" i="6" s="1"/>
  <c r="H1067" i="6" a="1"/>
  <c r="H1067" i="6" s="1"/>
  <c r="E1067" i="6"/>
  <c r="D1067" i="6"/>
  <c r="C1067" i="6"/>
  <c r="B1067" i="6"/>
  <c r="A1067" i="6" a="1"/>
  <c r="A1067" i="6" s="1"/>
  <c r="I1066" i="6" a="1"/>
  <c r="I1066" i="6" s="1"/>
  <c r="F1066" i="6" s="1" a="1"/>
  <c r="F1066" i="6" s="1"/>
  <c r="H1066" i="6" a="1"/>
  <c r="H1066" i="6" s="1"/>
  <c r="E1066" i="6"/>
  <c r="D1066" i="6"/>
  <c r="C1066" i="6"/>
  <c r="B1066" i="6"/>
  <c r="A1066" i="6" a="1"/>
  <c r="A1066" i="6" s="1"/>
  <c r="I1065" i="6" a="1"/>
  <c r="I1065" i="6" s="1"/>
  <c r="F1065" i="6" s="1" a="1"/>
  <c r="F1065" i="6" s="1"/>
  <c r="H1065" i="6" a="1"/>
  <c r="H1065" i="6" s="1"/>
  <c r="E1065" i="6"/>
  <c r="D1065" i="6"/>
  <c r="C1065" i="6"/>
  <c r="B1065" i="6"/>
  <c r="A1065" i="6" a="1"/>
  <c r="A1065" i="6" s="1"/>
  <c r="I1064" i="6" a="1"/>
  <c r="I1064" i="6" s="1"/>
  <c r="F1064" i="6" s="1" a="1"/>
  <c r="F1064" i="6" s="1"/>
  <c r="H1064" i="6" a="1"/>
  <c r="H1064" i="6" s="1"/>
  <c r="E1064" i="6"/>
  <c r="D1064" i="6"/>
  <c r="C1064" i="6"/>
  <c r="B1064" i="6"/>
  <c r="A1064" i="6" a="1"/>
  <c r="A1064" i="6" s="1"/>
  <c r="I1063" i="6" a="1"/>
  <c r="I1063" i="6" s="1"/>
  <c r="F1063" i="6" s="1" a="1"/>
  <c r="F1063" i="6" s="1"/>
  <c r="H1063" i="6" a="1"/>
  <c r="H1063" i="6" s="1"/>
  <c r="E1063" i="6"/>
  <c r="D1063" i="6"/>
  <c r="C1063" i="6"/>
  <c r="B1063" i="6"/>
  <c r="A1063" i="6" a="1"/>
  <c r="A1063" i="6" s="1"/>
  <c r="I1062" i="6" a="1"/>
  <c r="I1062" i="6" s="1"/>
  <c r="F1062" i="6" s="1" a="1"/>
  <c r="F1062" i="6" s="1"/>
  <c r="H1062" i="6" a="1"/>
  <c r="H1062" i="6" s="1"/>
  <c r="E1062" i="6"/>
  <c r="D1062" i="6"/>
  <c r="C1062" i="6"/>
  <c r="B1062" i="6"/>
  <c r="A1062" i="6" a="1"/>
  <c r="A1062" i="6" s="1"/>
  <c r="I1061" i="6" a="1"/>
  <c r="I1061" i="6" s="1"/>
  <c r="F1061" i="6" s="1" a="1"/>
  <c r="F1061" i="6" s="1"/>
  <c r="H1061" i="6" a="1"/>
  <c r="H1061" i="6" s="1"/>
  <c r="E1061" i="6"/>
  <c r="D1061" i="6"/>
  <c r="C1061" i="6"/>
  <c r="B1061" i="6"/>
  <c r="A1061" i="6" a="1"/>
  <c r="A1061" i="6" s="1"/>
  <c r="I1060" i="6" a="1"/>
  <c r="I1060" i="6" s="1"/>
  <c r="F1060" i="6" s="1" a="1"/>
  <c r="F1060" i="6" s="1"/>
  <c r="H1060" i="6" a="1"/>
  <c r="H1060" i="6" s="1"/>
  <c r="E1060" i="6"/>
  <c r="D1060" i="6"/>
  <c r="C1060" i="6"/>
  <c r="B1060" i="6"/>
  <c r="A1060" i="6" a="1"/>
  <c r="A1060" i="6" s="1"/>
  <c r="I1059" i="6" a="1"/>
  <c r="I1059" i="6" s="1"/>
  <c r="F1059" i="6" s="1" a="1"/>
  <c r="F1059" i="6" s="1"/>
  <c r="H1059" i="6" a="1"/>
  <c r="H1059" i="6" s="1"/>
  <c r="E1059" i="6"/>
  <c r="D1059" i="6"/>
  <c r="C1059" i="6"/>
  <c r="B1059" i="6"/>
  <c r="A1059" i="6" a="1"/>
  <c r="A1059" i="6" s="1"/>
  <c r="I1058" i="6" a="1"/>
  <c r="I1058" i="6" s="1"/>
  <c r="F1058" i="6" s="1" a="1"/>
  <c r="F1058" i="6" s="1"/>
  <c r="H1058" i="6" a="1"/>
  <c r="H1058" i="6" s="1"/>
  <c r="E1058" i="6"/>
  <c r="D1058" i="6"/>
  <c r="C1058" i="6"/>
  <c r="B1058" i="6"/>
  <c r="A1058" i="6" a="1"/>
  <c r="A1058" i="6" s="1"/>
  <c r="I1057" i="6" a="1"/>
  <c r="I1057" i="6" s="1"/>
  <c r="F1057" i="6" s="1" a="1"/>
  <c r="F1057" i="6" s="1"/>
  <c r="H1057" i="6" a="1"/>
  <c r="H1057" i="6" s="1"/>
  <c r="E1057" i="6"/>
  <c r="D1057" i="6"/>
  <c r="C1057" i="6"/>
  <c r="B1057" i="6"/>
  <c r="A1057" i="6" a="1"/>
  <c r="A1057" i="6" s="1"/>
  <c r="I1056" i="6" a="1"/>
  <c r="I1056" i="6" s="1"/>
  <c r="F1056" i="6" s="1" a="1"/>
  <c r="F1056" i="6" s="1"/>
  <c r="H1056" i="6" a="1"/>
  <c r="H1056" i="6" s="1"/>
  <c r="E1056" i="6"/>
  <c r="D1056" i="6"/>
  <c r="C1056" i="6"/>
  <c r="B1056" i="6"/>
  <c r="A1056" i="6" a="1"/>
  <c r="A1056" i="6" s="1"/>
  <c r="I1055" i="6" a="1"/>
  <c r="I1055" i="6" s="1"/>
  <c r="F1055" i="6" s="1" a="1"/>
  <c r="F1055" i="6" s="1"/>
  <c r="H1055" i="6" a="1"/>
  <c r="H1055" i="6" s="1"/>
  <c r="E1055" i="6"/>
  <c r="D1055" i="6"/>
  <c r="C1055" i="6"/>
  <c r="B1055" i="6"/>
  <c r="A1055" i="6" a="1"/>
  <c r="A1055" i="6" s="1"/>
  <c r="I1054" i="6" a="1"/>
  <c r="I1054" i="6" s="1"/>
  <c r="F1054" i="6" s="1" a="1"/>
  <c r="F1054" i="6" s="1"/>
  <c r="H1054" i="6" a="1"/>
  <c r="H1054" i="6" s="1"/>
  <c r="E1054" i="6"/>
  <c r="D1054" i="6"/>
  <c r="C1054" i="6"/>
  <c r="B1054" i="6"/>
  <c r="A1054" i="6" a="1"/>
  <c r="A1054" i="6" s="1"/>
  <c r="I1053" i="6" a="1"/>
  <c r="I1053" i="6" s="1"/>
  <c r="F1053" i="6" s="1" a="1"/>
  <c r="F1053" i="6" s="1"/>
  <c r="H1053" i="6" a="1"/>
  <c r="H1053" i="6" s="1"/>
  <c r="E1053" i="6"/>
  <c r="D1053" i="6"/>
  <c r="C1053" i="6"/>
  <c r="B1053" i="6"/>
  <c r="A1053" i="6" a="1"/>
  <c r="A1053" i="6" s="1"/>
  <c r="I1052" i="6" a="1"/>
  <c r="I1052" i="6" s="1"/>
  <c r="F1052" i="6" s="1" a="1"/>
  <c r="F1052" i="6" s="1"/>
  <c r="H1052" i="6" a="1"/>
  <c r="H1052" i="6" s="1"/>
  <c r="E1052" i="6"/>
  <c r="D1052" i="6"/>
  <c r="C1052" i="6"/>
  <c r="B1052" i="6"/>
  <c r="A1052" i="6" a="1"/>
  <c r="A1052" i="6" s="1"/>
  <c r="I1051" i="6" a="1"/>
  <c r="I1051" i="6" s="1"/>
  <c r="F1051" i="6" s="1" a="1"/>
  <c r="F1051" i="6" s="1"/>
  <c r="H1051" i="6" a="1"/>
  <c r="H1051" i="6" s="1"/>
  <c r="E1051" i="6"/>
  <c r="D1051" i="6"/>
  <c r="C1051" i="6"/>
  <c r="B1051" i="6"/>
  <c r="A1051" i="6" a="1"/>
  <c r="A1051" i="6" s="1"/>
  <c r="I1050" i="6" a="1"/>
  <c r="I1050" i="6" s="1"/>
  <c r="F1050" i="6" s="1" a="1"/>
  <c r="F1050" i="6" s="1"/>
  <c r="H1050" i="6" a="1"/>
  <c r="H1050" i="6" s="1"/>
  <c r="E1050" i="6"/>
  <c r="D1050" i="6"/>
  <c r="C1050" i="6"/>
  <c r="B1050" i="6"/>
  <c r="A1050" i="6" a="1"/>
  <c r="A1050" i="6" s="1"/>
  <c r="I1049" i="6" a="1"/>
  <c r="I1049" i="6" s="1"/>
  <c r="F1049" i="6" s="1" a="1"/>
  <c r="F1049" i="6" s="1"/>
  <c r="H1049" i="6" a="1"/>
  <c r="H1049" i="6" s="1"/>
  <c r="E1049" i="6"/>
  <c r="D1049" i="6"/>
  <c r="C1049" i="6"/>
  <c r="B1049" i="6"/>
  <c r="A1049" i="6" a="1"/>
  <c r="A1049" i="6" s="1"/>
  <c r="I1048" i="6" a="1"/>
  <c r="I1048" i="6" s="1"/>
  <c r="F1048" i="6" s="1" a="1"/>
  <c r="F1048" i="6" s="1"/>
  <c r="H1048" i="6" a="1"/>
  <c r="H1048" i="6" s="1"/>
  <c r="E1048" i="6"/>
  <c r="D1048" i="6"/>
  <c r="C1048" i="6"/>
  <c r="B1048" i="6"/>
  <c r="A1048" i="6" a="1"/>
  <c r="A1048" i="6" s="1"/>
  <c r="I1047" i="6" a="1"/>
  <c r="I1047" i="6" s="1"/>
  <c r="F1047" i="6" s="1" a="1"/>
  <c r="F1047" i="6" s="1"/>
  <c r="H1047" i="6" a="1"/>
  <c r="H1047" i="6" s="1"/>
  <c r="E1047" i="6"/>
  <c r="D1047" i="6"/>
  <c r="C1047" i="6"/>
  <c r="B1047" i="6"/>
  <c r="A1047" i="6" a="1"/>
  <c r="A1047" i="6" s="1"/>
  <c r="I1046" i="6" a="1"/>
  <c r="I1046" i="6" s="1"/>
  <c r="F1046" i="6" s="1" a="1"/>
  <c r="F1046" i="6" s="1"/>
  <c r="H1046" i="6" a="1"/>
  <c r="H1046" i="6" s="1"/>
  <c r="E1046" i="6"/>
  <c r="D1046" i="6"/>
  <c r="C1046" i="6"/>
  <c r="B1046" i="6"/>
  <c r="A1046" i="6" a="1"/>
  <c r="A1046" i="6" s="1"/>
  <c r="I1045" i="6" a="1"/>
  <c r="I1045" i="6" s="1"/>
  <c r="F1045" i="6" s="1" a="1"/>
  <c r="F1045" i="6" s="1"/>
  <c r="H1045" i="6" a="1"/>
  <c r="H1045" i="6" s="1"/>
  <c r="E1045" i="6"/>
  <c r="D1045" i="6"/>
  <c r="C1045" i="6"/>
  <c r="B1045" i="6"/>
  <c r="A1045" i="6" a="1"/>
  <c r="A1045" i="6" s="1"/>
  <c r="I1044" i="6" a="1"/>
  <c r="I1044" i="6" s="1"/>
  <c r="F1044" i="6" s="1" a="1"/>
  <c r="F1044" i="6" s="1"/>
  <c r="H1044" i="6" a="1"/>
  <c r="H1044" i="6" s="1"/>
  <c r="E1044" i="6"/>
  <c r="D1044" i="6"/>
  <c r="C1044" i="6"/>
  <c r="B1044" i="6"/>
  <c r="A1044" i="6" a="1"/>
  <c r="A1044" i="6" s="1"/>
  <c r="I1043" i="6" a="1"/>
  <c r="I1043" i="6" s="1"/>
  <c r="F1043" i="6" s="1" a="1"/>
  <c r="F1043" i="6" s="1"/>
  <c r="H1043" i="6" a="1"/>
  <c r="H1043" i="6" s="1"/>
  <c r="E1043" i="6"/>
  <c r="D1043" i="6"/>
  <c r="C1043" i="6"/>
  <c r="B1043" i="6"/>
  <c r="A1043" i="6" a="1"/>
  <c r="A1043" i="6" s="1"/>
  <c r="I1042" i="6" a="1"/>
  <c r="I1042" i="6" s="1"/>
  <c r="F1042" i="6" s="1" a="1"/>
  <c r="F1042" i="6" s="1"/>
  <c r="H1042" i="6" a="1"/>
  <c r="H1042" i="6" s="1"/>
  <c r="E1042" i="6"/>
  <c r="D1042" i="6"/>
  <c r="C1042" i="6"/>
  <c r="B1042" i="6"/>
  <c r="A1042" i="6" a="1"/>
  <c r="A1042" i="6" s="1"/>
  <c r="I1041" i="6" a="1"/>
  <c r="I1041" i="6" s="1"/>
  <c r="F1041" i="6" s="1" a="1"/>
  <c r="F1041" i="6" s="1"/>
  <c r="H1041" i="6" a="1"/>
  <c r="H1041" i="6" s="1"/>
  <c r="E1041" i="6"/>
  <c r="D1041" i="6"/>
  <c r="C1041" i="6"/>
  <c r="B1041" i="6"/>
  <c r="A1041" i="6" a="1"/>
  <c r="A1041" i="6" s="1"/>
  <c r="I1040" i="6" a="1"/>
  <c r="I1040" i="6" s="1"/>
  <c r="F1040" i="6" s="1" a="1"/>
  <c r="F1040" i="6" s="1"/>
  <c r="H1040" i="6" a="1"/>
  <c r="H1040" i="6" s="1"/>
  <c r="E1040" i="6"/>
  <c r="D1040" i="6"/>
  <c r="C1040" i="6"/>
  <c r="B1040" i="6"/>
  <c r="A1040" i="6" a="1"/>
  <c r="A1040" i="6" s="1"/>
  <c r="I1039" i="6" a="1"/>
  <c r="I1039" i="6" s="1"/>
  <c r="F1039" i="6" s="1" a="1"/>
  <c r="F1039" i="6" s="1"/>
  <c r="H1039" i="6" a="1"/>
  <c r="H1039" i="6" s="1"/>
  <c r="E1039" i="6"/>
  <c r="D1039" i="6"/>
  <c r="C1039" i="6"/>
  <c r="B1039" i="6"/>
  <c r="A1039" i="6" a="1"/>
  <c r="A1039" i="6" s="1"/>
  <c r="I1038" i="6" a="1"/>
  <c r="I1038" i="6" s="1"/>
  <c r="F1038" i="6" s="1" a="1"/>
  <c r="F1038" i="6" s="1"/>
  <c r="H1038" i="6" a="1"/>
  <c r="H1038" i="6" s="1"/>
  <c r="E1038" i="6"/>
  <c r="D1038" i="6"/>
  <c r="C1038" i="6"/>
  <c r="B1038" i="6"/>
  <c r="A1038" i="6" a="1"/>
  <c r="A1038" i="6" s="1"/>
  <c r="I1037" i="6" a="1"/>
  <c r="I1037" i="6" s="1"/>
  <c r="F1037" i="6" s="1" a="1"/>
  <c r="F1037" i="6" s="1"/>
  <c r="H1037" i="6" a="1"/>
  <c r="H1037" i="6" s="1"/>
  <c r="E1037" i="6"/>
  <c r="D1037" i="6"/>
  <c r="C1037" i="6"/>
  <c r="B1037" i="6"/>
  <c r="A1037" i="6" a="1"/>
  <c r="A1037" i="6" s="1"/>
  <c r="I1036" i="6" a="1"/>
  <c r="I1036" i="6" s="1"/>
  <c r="F1036" i="6" s="1" a="1"/>
  <c r="F1036" i="6" s="1"/>
  <c r="H1036" i="6" a="1"/>
  <c r="H1036" i="6" s="1"/>
  <c r="E1036" i="6"/>
  <c r="D1036" i="6"/>
  <c r="C1036" i="6"/>
  <c r="B1036" i="6"/>
  <c r="A1036" i="6" a="1"/>
  <c r="A1036" i="6" s="1"/>
  <c r="I1035" i="6" a="1"/>
  <c r="I1035" i="6" s="1"/>
  <c r="F1035" i="6" s="1" a="1"/>
  <c r="F1035" i="6" s="1"/>
  <c r="H1035" i="6" a="1"/>
  <c r="H1035" i="6" s="1"/>
  <c r="E1035" i="6"/>
  <c r="D1035" i="6"/>
  <c r="C1035" i="6"/>
  <c r="B1035" i="6"/>
  <c r="A1035" i="6" a="1"/>
  <c r="A1035" i="6" s="1"/>
  <c r="I1034" i="6" a="1"/>
  <c r="I1034" i="6" s="1"/>
  <c r="F1034" i="6" s="1" a="1"/>
  <c r="F1034" i="6" s="1"/>
  <c r="H1034" i="6" a="1"/>
  <c r="H1034" i="6" s="1"/>
  <c r="E1034" i="6"/>
  <c r="D1034" i="6"/>
  <c r="C1034" i="6"/>
  <c r="B1034" i="6"/>
  <c r="A1034" i="6" a="1"/>
  <c r="A1034" i="6" s="1"/>
  <c r="I1033" i="6" a="1"/>
  <c r="I1033" i="6" s="1"/>
  <c r="F1033" i="6" s="1" a="1"/>
  <c r="F1033" i="6" s="1"/>
  <c r="H1033" i="6" a="1"/>
  <c r="H1033" i="6" s="1"/>
  <c r="E1033" i="6"/>
  <c r="D1033" i="6"/>
  <c r="C1033" i="6"/>
  <c r="B1033" i="6"/>
  <c r="A1033" i="6" a="1"/>
  <c r="A1033" i="6" s="1"/>
  <c r="I1032" i="6" a="1"/>
  <c r="I1032" i="6" s="1"/>
  <c r="F1032" i="6" s="1" a="1"/>
  <c r="F1032" i="6" s="1"/>
  <c r="H1032" i="6" a="1"/>
  <c r="H1032" i="6" s="1"/>
  <c r="E1032" i="6"/>
  <c r="D1032" i="6"/>
  <c r="C1032" i="6"/>
  <c r="B1032" i="6"/>
  <c r="A1032" i="6" a="1"/>
  <c r="A1032" i="6" s="1"/>
  <c r="I1031" i="6" a="1"/>
  <c r="I1031" i="6" s="1"/>
  <c r="F1031" i="6" s="1" a="1"/>
  <c r="F1031" i="6" s="1"/>
  <c r="H1031" i="6" a="1"/>
  <c r="H1031" i="6" s="1"/>
  <c r="E1031" i="6"/>
  <c r="D1031" i="6"/>
  <c r="C1031" i="6"/>
  <c r="B1031" i="6"/>
  <c r="A1031" i="6" a="1"/>
  <c r="A1031" i="6" s="1"/>
  <c r="I1030" i="6" a="1"/>
  <c r="I1030" i="6" s="1"/>
  <c r="F1030" i="6" s="1" a="1"/>
  <c r="F1030" i="6" s="1"/>
  <c r="H1030" i="6" a="1"/>
  <c r="H1030" i="6" s="1"/>
  <c r="E1030" i="6"/>
  <c r="D1030" i="6"/>
  <c r="C1030" i="6"/>
  <c r="B1030" i="6"/>
  <c r="A1030" i="6" a="1"/>
  <c r="A1030" i="6" s="1"/>
  <c r="I1029" i="6" a="1"/>
  <c r="I1029" i="6" s="1"/>
  <c r="F1029" i="6" s="1" a="1"/>
  <c r="F1029" i="6" s="1"/>
  <c r="H1029" i="6" a="1"/>
  <c r="H1029" i="6" s="1"/>
  <c r="E1029" i="6"/>
  <c r="D1029" i="6"/>
  <c r="C1029" i="6"/>
  <c r="B1029" i="6"/>
  <c r="A1029" i="6" a="1"/>
  <c r="A1029" i="6" s="1"/>
  <c r="I1028" i="6" a="1"/>
  <c r="I1028" i="6" s="1"/>
  <c r="F1028" i="6" s="1" a="1"/>
  <c r="F1028" i="6" s="1"/>
  <c r="H1028" i="6" a="1"/>
  <c r="H1028" i="6" s="1"/>
  <c r="E1028" i="6"/>
  <c r="D1028" i="6"/>
  <c r="C1028" i="6"/>
  <c r="B1028" i="6"/>
  <c r="A1028" i="6" a="1"/>
  <c r="A1028" i="6" s="1"/>
  <c r="I1027" i="6" a="1"/>
  <c r="I1027" i="6" s="1"/>
  <c r="F1027" i="6" s="1" a="1"/>
  <c r="F1027" i="6" s="1"/>
  <c r="H1027" i="6" a="1"/>
  <c r="H1027" i="6" s="1"/>
  <c r="E1027" i="6"/>
  <c r="D1027" i="6"/>
  <c r="C1027" i="6"/>
  <c r="B1027" i="6"/>
  <c r="A1027" i="6" a="1"/>
  <c r="A1027" i="6" s="1"/>
  <c r="I1026" i="6" a="1"/>
  <c r="I1026" i="6" s="1"/>
  <c r="F1026" i="6" s="1" a="1"/>
  <c r="F1026" i="6" s="1"/>
  <c r="H1026" i="6" a="1"/>
  <c r="H1026" i="6" s="1"/>
  <c r="E1026" i="6"/>
  <c r="D1026" i="6"/>
  <c r="C1026" i="6"/>
  <c r="B1026" i="6"/>
  <c r="A1026" i="6" a="1"/>
  <c r="A1026" i="6" s="1"/>
  <c r="I1025" i="6" a="1"/>
  <c r="I1025" i="6" s="1"/>
  <c r="F1025" i="6" s="1" a="1"/>
  <c r="F1025" i="6" s="1"/>
  <c r="H1025" i="6" a="1"/>
  <c r="H1025" i="6" s="1"/>
  <c r="E1025" i="6"/>
  <c r="D1025" i="6"/>
  <c r="C1025" i="6"/>
  <c r="B1025" i="6"/>
  <c r="A1025" i="6" a="1"/>
  <c r="A1025" i="6" s="1"/>
  <c r="I1024" i="6" a="1"/>
  <c r="I1024" i="6" s="1"/>
  <c r="F1024" i="6" s="1" a="1"/>
  <c r="F1024" i="6" s="1"/>
  <c r="H1024" i="6" a="1"/>
  <c r="H1024" i="6" s="1"/>
  <c r="E1024" i="6"/>
  <c r="D1024" i="6"/>
  <c r="C1024" i="6"/>
  <c r="B1024" i="6"/>
  <c r="A1024" i="6" a="1"/>
  <c r="A1024" i="6" s="1"/>
  <c r="I1023" i="6" a="1"/>
  <c r="I1023" i="6" s="1"/>
  <c r="F1023" i="6" s="1" a="1"/>
  <c r="F1023" i="6" s="1"/>
  <c r="H1023" i="6" a="1"/>
  <c r="H1023" i="6" s="1"/>
  <c r="E1023" i="6"/>
  <c r="D1023" i="6"/>
  <c r="C1023" i="6"/>
  <c r="B1023" i="6"/>
  <c r="A1023" i="6" a="1"/>
  <c r="A1023" i="6" s="1"/>
  <c r="I1022" i="6" a="1"/>
  <c r="I1022" i="6" s="1"/>
  <c r="F1022" i="6" s="1" a="1"/>
  <c r="F1022" i="6" s="1"/>
  <c r="H1022" i="6" a="1"/>
  <c r="H1022" i="6" s="1"/>
  <c r="E1022" i="6"/>
  <c r="D1022" i="6"/>
  <c r="C1022" i="6"/>
  <c r="B1022" i="6"/>
  <c r="A1022" i="6" a="1"/>
  <c r="A1022" i="6" s="1"/>
  <c r="I1021" i="6" a="1"/>
  <c r="I1021" i="6" s="1"/>
  <c r="F1021" i="6" s="1" a="1"/>
  <c r="F1021" i="6" s="1"/>
  <c r="H1021" i="6" a="1"/>
  <c r="H1021" i="6" s="1"/>
  <c r="E1021" i="6"/>
  <c r="D1021" i="6"/>
  <c r="C1021" i="6"/>
  <c r="B1021" i="6"/>
  <c r="A1021" i="6" a="1"/>
  <c r="A1021" i="6" s="1"/>
  <c r="I1020" i="6" a="1"/>
  <c r="I1020" i="6" s="1"/>
  <c r="F1020" i="6" s="1" a="1"/>
  <c r="F1020" i="6" s="1"/>
  <c r="H1020" i="6" a="1"/>
  <c r="H1020" i="6" s="1"/>
  <c r="E1020" i="6"/>
  <c r="D1020" i="6"/>
  <c r="C1020" i="6"/>
  <c r="B1020" i="6"/>
  <c r="A1020" i="6" a="1"/>
  <c r="A1020" i="6" s="1"/>
  <c r="I1019" i="6" a="1"/>
  <c r="I1019" i="6" s="1"/>
  <c r="F1019" i="6" s="1" a="1"/>
  <c r="F1019" i="6" s="1"/>
  <c r="H1019" i="6" a="1"/>
  <c r="H1019" i="6" s="1"/>
  <c r="E1019" i="6"/>
  <c r="D1019" i="6"/>
  <c r="C1019" i="6"/>
  <c r="B1019" i="6"/>
  <c r="A1019" i="6" a="1"/>
  <c r="A1019" i="6" s="1"/>
  <c r="I1018" i="6" a="1"/>
  <c r="I1018" i="6" s="1"/>
  <c r="F1018" i="6" s="1" a="1"/>
  <c r="F1018" i="6" s="1"/>
  <c r="H1018" i="6" a="1"/>
  <c r="H1018" i="6" s="1"/>
  <c r="E1018" i="6"/>
  <c r="D1018" i="6"/>
  <c r="C1018" i="6"/>
  <c r="B1018" i="6"/>
  <c r="A1018" i="6" a="1"/>
  <c r="A1018" i="6" s="1"/>
  <c r="I1017" i="6" a="1"/>
  <c r="I1017" i="6" s="1"/>
  <c r="F1017" i="6" s="1" a="1"/>
  <c r="F1017" i="6" s="1"/>
  <c r="H1017" i="6" a="1"/>
  <c r="H1017" i="6" s="1"/>
  <c r="E1017" i="6"/>
  <c r="D1017" i="6"/>
  <c r="C1017" i="6"/>
  <c r="B1017" i="6"/>
  <c r="A1017" i="6" a="1"/>
  <c r="A1017" i="6" s="1"/>
  <c r="I1016" i="6" a="1"/>
  <c r="I1016" i="6" s="1"/>
  <c r="F1016" i="6" s="1" a="1"/>
  <c r="F1016" i="6" s="1"/>
  <c r="H1016" i="6" a="1"/>
  <c r="H1016" i="6" s="1"/>
  <c r="E1016" i="6"/>
  <c r="D1016" i="6"/>
  <c r="C1016" i="6"/>
  <c r="B1016" i="6"/>
  <c r="A1016" i="6" a="1"/>
  <c r="A1016" i="6" s="1"/>
  <c r="I1015" i="6" a="1"/>
  <c r="I1015" i="6" s="1"/>
  <c r="F1015" i="6" s="1" a="1"/>
  <c r="F1015" i="6" s="1"/>
  <c r="H1015" i="6" a="1"/>
  <c r="H1015" i="6" s="1"/>
  <c r="E1015" i="6"/>
  <c r="D1015" i="6"/>
  <c r="C1015" i="6"/>
  <c r="B1015" i="6"/>
  <c r="A1015" i="6" a="1"/>
  <c r="A1015" i="6" s="1"/>
  <c r="I1014" i="6" a="1"/>
  <c r="I1014" i="6" s="1"/>
  <c r="F1014" i="6" s="1" a="1"/>
  <c r="F1014" i="6" s="1"/>
  <c r="H1014" i="6" a="1"/>
  <c r="H1014" i="6" s="1"/>
  <c r="E1014" i="6"/>
  <c r="D1014" i="6"/>
  <c r="C1014" i="6"/>
  <c r="B1014" i="6"/>
  <c r="A1014" i="6" a="1"/>
  <c r="A1014" i="6" s="1"/>
  <c r="I1013" i="6" a="1"/>
  <c r="I1013" i="6" s="1"/>
  <c r="F1013" i="6" s="1" a="1"/>
  <c r="F1013" i="6" s="1"/>
  <c r="H1013" i="6" a="1"/>
  <c r="H1013" i="6" s="1"/>
  <c r="E1013" i="6"/>
  <c r="D1013" i="6"/>
  <c r="C1013" i="6"/>
  <c r="B1013" i="6"/>
  <c r="A1013" i="6" a="1"/>
  <c r="A1013" i="6" s="1"/>
  <c r="I1012" i="6" a="1"/>
  <c r="I1012" i="6" s="1"/>
  <c r="F1012" i="6" s="1" a="1"/>
  <c r="F1012" i="6" s="1"/>
  <c r="H1012" i="6" a="1"/>
  <c r="H1012" i="6" s="1"/>
  <c r="E1012" i="6"/>
  <c r="D1012" i="6"/>
  <c r="C1012" i="6"/>
  <c r="B1012" i="6"/>
  <c r="A1012" i="6" a="1"/>
  <c r="A1012" i="6" s="1"/>
  <c r="I1011" i="6" a="1"/>
  <c r="I1011" i="6" s="1"/>
  <c r="F1011" i="6" s="1" a="1"/>
  <c r="F1011" i="6" s="1"/>
  <c r="H1011" i="6" a="1"/>
  <c r="H1011" i="6" s="1"/>
  <c r="E1011" i="6"/>
  <c r="D1011" i="6"/>
  <c r="C1011" i="6"/>
  <c r="B1011" i="6"/>
  <c r="A1011" i="6" a="1"/>
  <c r="A1011" i="6" s="1"/>
  <c r="I1010" i="6" a="1"/>
  <c r="I1010" i="6" s="1"/>
  <c r="F1010" i="6" s="1" a="1"/>
  <c r="F1010" i="6" s="1"/>
  <c r="H1010" i="6" a="1"/>
  <c r="H1010" i="6" s="1"/>
  <c r="E1010" i="6"/>
  <c r="D1010" i="6"/>
  <c r="C1010" i="6"/>
  <c r="B1010" i="6"/>
  <c r="A1010" i="6" a="1"/>
  <c r="A1010" i="6" s="1"/>
  <c r="I1009" i="6" a="1"/>
  <c r="I1009" i="6" s="1"/>
  <c r="F1009" i="6" s="1" a="1"/>
  <c r="F1009" i="6" s="1"/>
  <c r="H1009" i="6" a="1"/>
  <c r="H1009" i="6" s="1"/>
  <c r="E1009" i="6"/>
  <c r="D1009" i="6"/>
  <c r="C1009" i="6"/>
  <c r="B1009" i="6"/>
  <c r="A1009" i="6" a="1"/>
  <c r="A1009" i="6" s="1"/>
  <c r="I1008" i="6" a="1"/>
  <c r="I1008" i="6" s="1"/>
  <c r="F1008" i="6" s="1" a="1"/>
  <c r="F1008" i="6" s="1"/>
  <c r="H1008" i="6" a="1"/>
  <c r="H1008" i="6" s="1"/>
  <c r="E1008" i="6"/>
  <c r="D1008" i="6"/>
  <c r="C1008" i="6"/>
  <c r="B1008" i="6"/>
  <c r="A1008" i="6" a="1"/>
  <c r="A1008" i="6" s="1"/>
  <c r="I1007" i="6" a="1"/>
  <c r="I1007" i="6" s="1"/>
  <c r="F1007" i="6" s="1" a="1"/>
  <c r="F1007" i="6" s="1"/>
  <c r="H1007" i="6" a="1"/>
  <c r="H1007" i="6" s="1"/>
  <c r="E1007" i="6"/>
  <c r="D1007" i="6"/>
  <c r="C1007" i="6"/>
  <c r="B1007" i="6"/>
  <c r="A1007" i="6" a="1"/>
  <c r="A1007" i="6" s="1"/>
  <c r="I1006" i="6" a="1"/>
  <c r="I1006" i="6" s="1"/>
  <c r="F1006" i="6" s="1" a="1"/>
  <c r="F1006" i="6" s="1"/>
  <c r="H1006" i="6" a="1"/>
  <c r="H1006" i="6" s="1"/>
  <c r="E1006" i="6"/>
  <c r="D1006" i="6"/>
  <c r="C1006" i="6"/>
  <c r="B1006" i="6"/>
  <c r="A1006" i="6" a="1"/>
  <c r="A1006" i="6" s="1"/>
  <c r="I1005" i="6" a="1"/>
  <c r="I1005" i="6" s="1"/>
  <c r="F1005" i="6" s="1" a="1"/>
  <c r="F1005" i="6" s="1"/>
  <c r="H1005" i="6" a="1"/>
  <c r="H1005" i="6" s="1"/>
  <c r="E1005" i="6"/>
  <c r="D1005" i="6"/>
  <c r="C1005" i="6"/>
  <c r="B1005" i="6"/>
  <c r="A1005" i="6" a="1"/>
  <c r="A1005" i="6" s="1"/>
  <c r="I1004" i="6" a="1"/>
  <c r="I1004" i="6" s="1"/>
  <c r="F1004" i="6" s="1" a="1"/>
  <c r="F1004" i="6" s="1"/>
  <c r="H1004" i="6" a="1"/>
  <c r="H1004" i="6" s="1"/>
  <c r="E1004" i="6"/>
  <c r="D1004" i="6"/>
  <c r="C1004" i="6"/>
  <c r="B1004" i="6"/>
  <c r="A1004" i="6" a="1"/>
  <c r="A1004" i="6" s="1"/>
  <c r="I1003" i="6" a="1"/>
  <c r="I1003" i="6" s="1"/>
  <c r="F1003" i="6" s="1" a="1"/>
  <c r="F1003" i="6" s="1"/>
  <c r="H1003" i="6" a="1"/>
  <c r="H1003" i="6" s="1"/>
  <c r="E1003" i="6"/>
  <c r="D1003" i="6"/>
  <c r="C1003" i="6"/>
  <c r="B1003" i="6"/>
  <c r="A1003" i="6" a="1"/>
  <c r="A1003" i="6" s="1"/>
  <c r="I1002" i="6" a="1"/>
  <c r="I1002" i="6" s="1"/>
  <c r="F1002" i="6" s="1" a="1"/>
  <c r="F1002" i="6" s="1"/>
  <c r="H1002" i="6" a="1"/>
  <c r="H1002" i="6" s="1"/>
  <c r="E1002" i="6"/>
  <c r="D1002" i="6"/>
  <c r="C1002" i="6"/>
  <c r="B1002" i="6"/>
  <c r="A1002" i="6" a="1"/>
  <c r="A1002" i="6" s="1"/>
  <c r="I1001" i="6" a="1"/>
  <c r="I1001" i="6" s="1"/>
  <c r="F1001" i="6" s="1" a="1"/>
  <c r="F1001" i="6" s="1"/>
  <c r="H1001" i="6" a="1"/>
  <c r="H1001" i="6" s="1"/>
  <c r="E1001" i="6"/>
  <c r="D1001" i="6"/>
  <c r="C1001" i="6"/>
  <c r="B1001" i="6"/>
  <c r="A1001" i="6" a="1"/>
  <c r="A1001" i="6" s="1"/>
  <c r="I1000" i="6" a="1"/>
  <c r="I1000" i="6" s="1"/>
  <c r="F1000" i="6" s="1" a="1"/>
  <c r="F1000" i="6" s="1"/>
  <c r="H1000" i="6" a="1"/>
  <c r="H1000" i="6" s="1"/>
  <c r="E1000" i="6"/>
  <c r="D1000" i="6"/>
  <c r="C1000" i="6"/>
  <c r="B1000" i="6"/>
  <c r="A1000" i="6" a="1"/>
  <c r="A1000" i="6" s="1"/>
  <c r="I999" i="6" a="1"/>
  <c r="I999" i="6" s="1"/>
  <c r="F999" i="6" s="1" a="1"/>
  <c r="F999" i="6" s="1"/>
  <c r="H999" i="6" a="1"/>
  <c r="H999" i="6" s="1"/>
  <c r="E999" i="6"/>
  <c r="D999" i="6"/>
  <c r="C999" i="6"/>
  <c r="B999" i="6"/>
  <c r="A999" i="6" a="1"/>
  <c r="A999" i="6" s="1"/>
  <c r="I998" i="6" a="1"/>
  <c r="I998" i="6" s="1"/>
  <c r="F998" i="6" s="1" a="1"/>
  <c r="F998" i="6" s="1"/>
  <c r="H998" i="6" a="1"/>
  <c r="H998" i="6" s="1"/>
  <c r="E998" i="6"/>
  <c r="D998" i="6"/>
  <c r="C998" i="6"/>
  <c r="B998" i="6"/>
  <c r="A998" i="6" a="1"/>
  <c r="A998" i="6" s="1"/>
  <c r="I997" i="6" a="1"/>
  <c r="I997" i="6" s="1"/>
  <c r="F997" i="6" s="1" a="1"/>
  <c r="F997" i="6" s="1"/>
  <c r="H997" i="6" a="1"/>
  <c r="H997" i="6" s="1"/>
  <c r="E997" i="6"/>
  <c r="D997" i="6"/>
  <c r="C997" i="6"/>
  <c r="B997" i="6"/>
  <c r="A997" i="6" a="1"/>
  <c r="A997" i="6" s="1"/>
  <c r="I996" i="6" a="1"/>
  <c r="I996" i="6" s="1"/>
  <c r="F996" i="6" s="1" a="1"/>
  <c r="F996" i="6" s="1"/>
  <c r="H996" i="6" a="1"/>
  <c r="H996" i="6" s="1"/>
  <c r="E996" i="6"/>
  <c r="D996" i="6"/>
  <c r="C996" i="6"/>
  <c r="B996" i="6"/>
  <c r="A996" i="6" a="1"/>
  <c r="A996" i="6" s="1"/>
  <c r="I995" i="6" a="1"/>
  <c r="I995" i="6" s="1"/>
  <c r="F995" i="6" s="1" a="1"/>
  <c r="F995" i="6" s="1"/>
  <c r="H995" i="6" a="1"/>
  <c r="H995" i="6" s="1"/>
  <c r="E995" i="6"/>
  <c r="D995" i="6"/>
  <c r="C995" i="6"/>
  <c r="B995" i="6"/>
  <c r="A995" i="6" a="1"/>
  <c r="A995" i="6" s="1"/>
  <c r="I994" i="6" a="1"/>
  <c r="I994" i="6" s="1"/>
  <c r="F994" i="6" s="1" a="1"/>
  <c r="F994" i="6" s="1"/>
  <c r="H994" i="6" a="1"/>
  <c r="H994" i="6" s="1"/>
  <c r="E994" i="6"/>
  <c r="D994" i="6"/>
  <c r="C994" i="6"/>
  <c r="B994" i="6"/>
  <c r="A994" i="6" a="1"/>
  <c r="A994" i="6" s="1"/>
  <c r="I993" i="6" a="1"/>
  <c r="I993" i="6" s="1"/>
  <c r="F993" i="6" s="1" a="1"/>
  <c r="F993" i="6" s="1"/>
  <c r="H993" i="6" a="1"/>
  <c r="H993" i="6" s="1"/>
  <c r="E993" i="6"/>
  <c r="D993" i="6"/>
  <c r="C993" i="6"/>
  <c r="B993" i="6"/>
  <c r="A993" i="6" a="1"/>
  <c r="A993" i="6" s="1"/>
  <c r="I992" i="6" a="1"/>
  <c r="I992" i="6" s="1"/>
  <c r="F992" i="6" s="1" a="1"/>
  <c r="F992" i="6" s="1"/>
  <c r="H992" i="6" a="1"/>
  <c r="H992" i="6" s="1"/>
  <c r="E992" i="6"/>
  <c r="D992" i="6"/>
  <c r="C992" i="6"/>
  <c r="B992" i="6"/>
  <c r="A992" i="6" a="1"/>
  <c r="A992" i="6" s="1"/>
  <c r="I991" i="6" a="1"/>
  <c r="I991" i="6" s="1"/>
  <c r="F991" i="6" s="1" a="1"/>
  <c r="F991" i="6" s="1"/>
  <c r="H991" i="6" a="1"/>
  <c r="H991" i="6" s="1"/>
  <c r="E991" i="6"/>
  <c r="D991" i="6"/>
  <c r="C991" i="6"/>
  <c r="B991" i="6"/>
  <c r="A991" i="6" a="1"/>
  <c r="A991" i="6" s="1"/>
  <c r="I990" i="6" a="1"/>
  <c r="I990" i="6" s="1"/>
  <c r="F990" i="6" s="1" a="1"/>
  <c r="F990" i="6" s="1"/>
  <c r="H990" i="6" a="1"/>
  <c r="H990" i="6" s="1"/>
  <c r="E990" i="6"/>
  <c r="D990" i="6"/>
  <c r="C990" i="6"/>
  <c r="B990" i="6"/>
  <c r="A990" i="6" a="1"/>
  <c r="A990" i="6" s="1"/>
  <c r="I989" i="6" a="1"/>
  <c r="I989" i="6" s="1"/>
  <c r="F989" i="6" s="1" a="1"/>
  <c r="F989" i="6" s="1"/>
  <c r="H989" i="6" a="1"/>
  <c r="H989" i="6" s="1"/>
  <c r="E989" i="6"/>
  <c r="D989" i="6"/>
  <c r="C989" i="6"/>
  <c r="B989" i="6"/>
  <c r="A989" i="6" a="1"/>
  <c r="A989" i="6" s="1"/>
  <c r="I988" i="6" a="1"/>
  <c r="I988" i="6" s="1"/>
  <c r="F988" i="6" s="1" a="1"/>
  <c r="F988" i="6" s="1"/>
  <c r="H988" i="6" a="1"/>
  <c r="H988" i="6" s="1"/>
  <c r="E988" i="6"/>
  <c r="D988" i="6"/>
  <c r="C988" i="6"/>
  <c r="B988" i="6"/>
  <c r="A988" i="6" a="1"/>
  <c r="A988" i="6" s="1"/>
  <c r="I987" i="6" a="1"/>
  <c r="I987" i="6" s="1"/>
  <c r="F987" i="6" s="1" a="1"/>
  <c r="F987" i="6" s="1"/>
  <c r="H987" i="6" a="1"/>
  <c r="H987" i="6" s="1"/>
  <c r="E987" i="6"/>
  <c r="D987" i="6"/>
  <c r="C987" i="6"/>
  <c r="B987" i="6"/>
  <c r="A987" i="6" a="1"/>
  <c r="A987" i="6" s="1"/>
  <c r="I986" i="6" a="1"/>
  <c r="I986" i="6" s="1"/>
  <c r="F986" i="6" s="1" a="1"/>
  <c r="F986" i="6" s="1"/>
  <c r="H986" i="6" a="1"/>
  <c r="H986" i="6" s="1"/>
  <c r="E986" i="6"/>
  <c r="D986" i="6"/>
  <c r="C986" i="6"/>
  <c r="B986" i="6"/>
  <c r="A986" i="6" a="1"/>
  <c r="A986" i="6" s="1"/>
  <c r="I985" i="6" a="1"/>
  <c r="I985" i="6" s="1"/>
  <c r="F985" i="6" s="1" a="1"/>
  <c r="F985" i="6" s="1"/>
  <c r="H985" i="6" a="1"/>
  <c r="H985" i="6" s="1"/>
  <c r="E985" i="6"/>
  <c r="D985" i="6"/>
  <c r="C985" i="6"/>
  <c r="B985" i="6"/>
  <c r="A985" i="6" a="1"/>
  <c r="A985" i="6" s="1"/>
  <c r="I984" i="6" a="1"/>
  <c r="I984" i="6" s="1"/>
  <c r="F984" i="6" s="1" a="1"/>
  <c r="F984" i="6" s="1"/>
  <c r="H984" i="6" a="1"/>
  <c r="H984" i="6" s="1"/>
  <c r="E984" i="6"/>
  <c r="D984" i="6"/>
  <c r="C984" i="6"/>
  <c r="B984" i="6"/>
  <c r="A984" i="6" a="1"/>
  <c r="A984" i="6" s="1"/>
  <c r="I983" i="6" a="1"/>
  <c r="I983" i="6" s="1"/>
  <c r="F983" i="6" s="1" a="1"/>
  <c r="F983" i="6" s="1"/>
  <c r="H983" i="6" a="1"/>
  <c r="H983" i="6" s="1"/>
  <c r="E983" i="6"/>
  <c r="D983" i="6"/>
  <c r="C983" i="6"/>
  <c r="B983" i="6"/>
  <c r="A983" i="6" a="1"/>
  <c r="A983" i="6" s="1"/>
  <c r="I982" i="6" a="1"/>
  <c r="I982" i="6" s="1"/>
  <c r="F982" i="6" s="1" a="1"/>
  <c r="F982" i="6" s="1"/>
  <c r="H982" i="6" a="1"/>
  <c r="H982" i="6" s="1"/>
  <c r="E982" i="6"/>
  <c r="D982" i="6"/>
  <c r="C982" i="6"/>
  <c r="B982" i="6"/>
  <c r="A982" i="6" a="1"/>
  <c r="A982" i="6" s="1"/>
  <c r="I981" i="6" a="1"/>
  <c r="I981" i="6" s="1"/>
  <c r="F981" i="6" s="1" a="1"/>
  <c r="F981" i="6" s="1"/>
  <c r="H981" i="6" a="1"/>
  <c r="H981" i="6" s="1"/>
  <c r="E981" i="6"/>
  <c r="D981" i="6"/>
  <c r="C981" i="6"/>
  <c r="B981" i="6"/>
  <c r="A981" i="6" a="1"/>
  <c r="A981" i="6" s="1"/>
  <c r="I980" i="6" a="1"/>
  <c r="I980" i="6" s="1"/>
  <c r="F980" i="6" s="1" a="1"/>
  <c r="F980" i="6" s="1"/>
  <c r="H980" i="6" a="1"/>
  <c r="H980" i="6" s="1"/>
  <c r="E980" i="6"/>
  <c r="D980" i="6"/>
  <c r="C980" i="6"/>
  <c r="B980" i="6"/>
  <c r="A980" i="6" a="1"/>
  <c r="A980" i="6" s="1"/>
  <c r="I979" i="6" a="1"/>
  <c r="I979" i="6" s="1"/>
  <c r="F979" i="6" s="1" a="1"/>
  <c r="F979" i="6" s="1"/>
  <c r="H979" i="6" a="1"/>
  <c r="H979" i="6" s="1"/>
  <c r="E979" i="6"/>
  <c r="D979" i="6"/>
  <c r="C979" i="6"/>
  <c r="B979" i="6"/>
  <c r="A979" i="6" a="1"/>
  <c r="A979" i="6" s="1"/>
  <c r="I978" i="6" a="1"/>
  <c r="I978" i="6" s="1"/>
  <c r="F978" i="6" s="1" a="1"/>
  <c r="F978" i="6" s="1"/>
  <c r="H978" i="6" a="1"/>
  <c r="H978" i="6" s="1"/>
  <c r="E978" i="6"/>
  <c r="D978" i="6"/>
  <c r="C978" i="6"/>
  <c r="B978" i="6"/>
  <c r="A978" i="6" a="1"/>
  <c r="A978" i="6" s="1"/>
  <c r="I977" i="6" a="1"/>
  <c r="I977" i="6" s="1"/>
  <c r="F977" i="6" s="1" a="1"/>
  <c r="F977" i="6" s="1"/>
  <c r="H977" i="6" a="1"/>
  <c r="H977" i="6" s="1"/>
  <c r="E977" i="6"/>
  <c r="D977" i="6"/>
  <c r="C977" i="6"/>
  <c r="B977" i="6"/>
  <c r="A977" i="6" a="1"/>
  <c r="A977" i="6" s="1"/>
  <c r="I976" i="6" a="1"/>
  <c r="I976" i="6" s="1"/>
  <c r="F976" i="6" s="1" a="1"/>
  <c r="F976" i="6" s="1"/>
  <c r="H976" i="6" a="1"/>
  <c r="H976" i="6" s="1"/>
  <c r="E976" i="6"/>
  <c r="D976" i="6"/>
  <c r="C976" i="6"/>
  <c r="B976" i="6"/>
  <c r="A976" i="6" a="1"/>
  <c r="A976" i="6" s="1"/>
  <c r="I975" i="6" a="1"/>
  <c r="I975" i="6" s="1"/>
  <c r="F975" i="6" s="1" a="1"/>
  <c r="F975" i="6" s="1"/>
  <c r="H975" i="6" a="1"/>
  <c r="H975" i="6" s="1"/>
  <c r="E975" i="6"/>
  <c r="D975" i="6"/>
  <c r="C975" i="6"/>
  <c r="B975" i="6"/>
  <c r="A975" i="6" a="1"/>
  <c r="A975" i="6" s="1"/>
  <c r="I974" i="6" a="1"/>
  <c r="I974" i="6" s="1"/>
  <c r="F974" i="6" s="1" a="1"/>
  <c r="F974" i="6" s="1"/>
  <c r="H974" i="6" a="1"/>
  <c r="H974" i="6" s="1"/>
  <c r="E974" i="6"/>
  <c r="D974" i="6"/>
  <c r="C974" i="6"/>
  <c r="B974" i="6"/>
  <c r="A974" i="6" a="1"/>
  <c r="A974" i="6" s="1"/>
  <c r="I973" i="6" a="1"/>
  <c r="I973" i="6" s="1"/>
  <c r="F973" i="6" s="1" a="1"/>
  <c r="F973" i="6" s="1"/>
  <c r="H973" i="6" a="1"/>
  <c r="H973" i="6" s="1"/>
  <c r="E973" i="6"/>
  <c r="D973" i="6"/>
  <c r="C973" i="6"/>
  <c r="B973" i="6"/>
  <c r="A973" i="6" a="1"/>
  <c r="A973" i="6" s="1"/>
  <c r="I972" i="6" a="1"/>
  <c r="I972" i="6" s="1"/>
  <c r="F972" i="6" s="1" a="1"/>
  <c r="F972" i="6" s="1"/>
  <c r="H972" i="6" a="1"/>
  <c r="H972" i="6" s="1"/>
  <c r="E972" i="6"/>
  <c r="D972" i="6"/>
  <c r="C972" i="6"/>
  <c r="B972" i="6"/>
  <c r="A972" i="6" a="1"/>
  <c r="A972" i="6" s="1"/>
  <c r="I971" i="6" a="1"/>
  <c r="I971" i="6" s="1"/>
  <c r="F971" i="6" s="1" a="1"/>
  <c r="F971" i="6" s="1"/>
  <c r="H971" i="6" a="1"/>
  <c r="H971" i="6" s="1"/>
  <c r="E971" i="6"/>
  <c r="D971" i="6"/>
  <c r="C971" i="6"/>
  <c r="B971" i="6"/>
  <c r="A971" i="6" a="1"/>
  <c r="A971" i="6" s="1"/>
  <c r="I970" i="6" a="1"/>
  <c r="I970" i="6" s="1"/>
  <c r="F970" i="6" s="1" a="1"/>
  <c r="F970" i="6" s="1"/>
  <c r="H970" i="6" a="1"/>
  <c r="H970" i="6" s="1"/>
  <c r="E970" i="6"/>
  <c r="D970" i="6"/>
  <c r="C970" i="6"/>
  <c r="B970" i="6"/>
  <c r="A970" i="6" a="1"/>
  <c r="A970" i="6" s="1"/>
  <c r="I969" i="6" a="1"/>
  <c r="I969" i="6" s="1"/>
  <c r="F969" i="6" s="1" a="1"/>
  <c r="F969" i="6" s="1"/>
  <c r="H969" i="6" a="1"/>
  <c r="H969" i="6" s="1"/>
  <c r="E969" i="6"/>
  <c r="D969" i="6"/>
  <c r="C969" i="6"/>
  <c r="B969" i="6"/>
  <c r="A969" i="6" a="1"/>
  <c r="A969" i="6" s="1"/>
  <c r="I968" i="6" a="1"/>
  <c r="I968" i="6" s="1"/>
  <c r="F968" i="6" s="1" a="1"/>
  <c r="F968" i="6" s="1"/>
  <c r="H968" i="6" a="1"/>
  <c r="H968" i="6" s="1"/>
  <c r="E968" i="6"/>
  <c r="D968" i="6"/>
  <c r="C968" i="6"/>
  <c r="B968" i="6"/>
  <c r="A968" i="6" a="1"/>
  <c r="A968" i="6" s="1"/>
  <c r="I967" i="6" a="1"/>
  <c r="I967" i="6" s="1"/>
  <c r="F967" i="6" s="1" a="1"/>
  <c r="F967" i="6" s="1"/>
  <c r="H967" i="6" a="1"/>
  <c r="H967" i="6" s="1"/>
  <c r="E967" i="6"/>
  <c r="D967" i="6"/>
  <c r="C967" i="6"/>
  <c r="B967" i="6"/>
  <c r="A967" i="6" a="1"/>
  <c r="A967" i="6" s="1"/>
  <c r="I966" i="6" a="1"/>
  <c r="I966" i="6" s="1"/>
  <c r="F966" i="6" s="1" a="1"/>
  <c r="F966" i="6" s="1"/>
  <c r="H966" i="6" a="1"/>
  <c r="H966" i="6" s="1"/>
  <c r="E966" i="6"/>
  <c r="D966" i="6"/>
  <c r="C966" i="6"/>
  <c r="B966" i="6"/>
  <c r="A966" i="6" a="1"/>
  <c r="A966" i="6" s="1"/>
  <c r="I965" i="6" a="1"/>
  <c r="I965" i="6" s="1"/>
  <c r="F965" i="6" s="1" a="1"/>
  <c r="F965" i="6" s="1"/>
  <c r="H965" i="6" a="1"/>
  <c r="H965" i="6" s="1"/>
  <c r="E965" i="6"/>
  <c r="D965" i="6"/>
  <c r="C965" i="6"/>
  <c r="B965" i="6"/>
  <c r="A965" i="6" a="1"/>
  <c r="A965" i="6" s="1"/>
  <c r="I964" i="6" a="1"/>
  <c r="I964" i="6" s="1"/>
  <c r="F964" i="6" s="1" a="1"/>
  <c r="F964" i="6" s="1"/>
  <c r="H964" i="6" a="1"/>
  <c r="H964" i="6" s="1"/>
  <c r="E964" i="6"/>
  <c r="D964" i="6"/>
  <c r="C964" i="6"/>
  <c r="B964" i="6"/>
  <c r="A964" i="6" a="1"/>
  <c r="A964" i="6" s="1"/>
  <c r="I963" i="6" a="1"/>
  <c r="I963" i="6" s="1"/>
  <c r="F963" i="6" s="1" a="1"/>
  <c r="F963" i="6" s="1"/>
  <c r="H963" i="6" a="1"/>
  <c r="H963" i="6" s="1"/>
  <c r="E963" i="6"/>
  <c r="D963" i="6"/>
  <c r="C963" i="6"/>
  <c r="B963" i="6"/>
  <c r="A963" i="6" a="1"/>
  <c r="A963" i="6" s="1"/>
  <c r="I962" i="6" a="1"/>
  <c r="I962" i="6" s="1"/>
  <c r="F962" i="6" s="1" a="1"/>
  <c r="F962" i="6" s="1"/>
  <c r="H962" i="6" a="1"/>
  <c r="H962" i="6" s="1"/>
  <c r="E962" i="6"/>
  <c r="D962" i="6"/>
  <c r="C962" i="6"/>
  <c r="B962" i="6"/>
  <c r="A962" i="6" a="1"/>
  <c r="A962" i="6" s="1"/>
  <c r="I961" i="6" a="1"/>
  <c r="I961" i="6" s="1"/>
  <c r="F961" i="6" s="1" a="1"/>
  <c r="F961" i="6" s="1"/>
  <c r="H961" i="6" a="1"/>
  <c r="H961" i="6" s="1"/>
  <c r="E961" i="6"/>
  <c r="D961" i="6"/>
  <c r="C961" i="6"/>
  <c r="B961" i="6"/>
  <c r="A961" i="6" a="1"/>
  <c r="A961" i="6" s="1"/>
  <c r="I960" i="6" a="1"/>
  <c r="I960" i="6" s="1"/>
  <c r="F960" i="6" s="1" a="1"/>
  <c r="F960" i="6" s="1"/>
  <c r="H960" i="6" a="1"/>
  <c r="H960" i="6" s="1"/>
  <c r="E960" i="6"/>
  <c r="D960" i="6"/>
  <c r="C960" i="6"/>
  <c r="B960" i="6"/>
  <c r="A960" i="6" a="1"/>
  <c r="A960" i="6" s="1"/>
  <c r="I959" i="6" a="1"/>
  <c r="I959" i="6" s="1"/>
  <c r="F959" i="6" s="1" a="1"/>
  <c r="F959" i="6" s="1"/>
  <c r="H959" i="6" a="1"/>
  <c r="H959" i="6" s="1"/>
  <c r="E959" i="6"/>
  <c r="D959" i="6"/>
  <c r="C959" i="6"/>
  <c r="B959" i="6"/>
  <c r="A959" i="6" a="1"/>
  <c r="A959" i="6" s="1"/>
  <c r="I958" i="6" a="1"/>
  <c r="I958" i="6" s="1"/>
  <c r="F958" i="6" s="1" a="1"/>
  <c r="F958" i="6" s="1"/>
  <c r="H958" i="6" a="1"/>
  <c r="H958" i="6" s="1"/>
  <c r="E958" i="6"/>
  <c r="D958" i="6"/>
  <c r="C958" i="6"/>
  <c r="B958" i="6"/>
  <c r="A958" i="6" a="1"/>
  <c r="A958" i="6" s="1"/>
  <c r="I957" i="6" a="1"/>
  <c r="I957" i="6" s="1"/>
  <c r="F957" i="6" s="1" a="1"/>
  <c r="F957" i="6" s="1"/>
  <c r="H957" i="6" a="1"/>
  <c r="H957" i="6" s="1"/>
  <c r="E957" i="6"/>
  <c r="D957" i="6"/>
  <c r="C957" i="6"/>
  <c r="B957" i="6"/>
  <c r="A957" i="6" a="1"/>
  <c r="A957" i="6" s="1"/>
  <c r="I956" i="6" a="1"/>
  <c r="I956" i="6" s="1"/>
  <c r="F956" i="6" s="1" a="1"/>
  <c r="F956" i="6" s="1"/>
  <c r="H956" i="6" a="1"/>
  <c r="H956" i="6" s="1"/>
  <c r="E956" i="6"/>
  <c r="D956" i="6"/>
  <c r="C956" i="6"/>
  <c r="B956" i="6"/>
  <c r="A956" i="6" a="1"/>
  <c r="A956" i="6" s="1"/>
  <c r="I955" i="6" a="1"/>
  <c r="I955" i="6" s="1"/>
  <c r="F955" i="6" s="1" a="1"/>
  <c r="F955" i="6" s="1"/>
  <c r="H955" i="6" a="1"/>
  <c r="H955" i="6" s="1"/>
  <c r="E955" i="6"/>
  <c r="D955" i="6"/>
  <c r="C955" i="6"/>
  <c r="B955" i="6"/>
  <c r="A955" i="6" a="1"/>
  <c r="A955" i="6" s="1"/>
  <c r="I954" i="6" a="1"/>
  <c r="I954" i="6" s="1"/>
  <c r="F954" i="6" s="1" a="1"/>
  <c r="F954" i="6" s="1"/>
  <c r="H954" i="6" a="1"/>
  <c r="H954" i="6" s="1"/>
  <c r="E954" i="6"/>
  <c r="D954" i="6"/>
  <c r="C954" i="6"/>
  <c r="B954" i="6"/>
  <c r="A954" i="6" a="1"/>
  <c r="A954" i="6" s="1"/>
  <c r="I953" i="6" a="1"/>
  <c r="I953" i="6" s="1"/>
  <c r="F953" i="6" s="1" a="1"/>
  <c r="F953" i="6" s="1"/>
  <c r="H953" i="6" a="1"/>
  <c r="H953" i="6" s="1"/>
  <c r="E953" i="6"/>
  <c r="D953" i="6"/>
  <c r="C953" i="6"/>
  <c r="B953" i="6"/>
  <c r="A953" i="6" a="1"/>
  <c r="A953" i="6" s="1"/>
  <c r="I952" i="6" a="1"/>
  <c r="I952" i="6" s="1"/>
  <c r="F952" i="6" s="1" a="1"/>
  <c r="F952" i="6" s="1"/>
  <c r="H952" i="6" a="1"/>
  <c r="H952" i="6" s="1"/>
  <c r="E952" i="6"/>
  <c r="D952" i="6"/>
  <c r="C952" i="6"/>
  <c r="B952" i="6"/>
  <c r="A952" i="6" a="1"/>
  <c r="A952" i="6" s="1"/>
  <c r="I951" i="6" a="1"/>
  <c r="I951" i="6" s="1"/>
  <c r="F951" i="6" s="1" a="1"/>
  <c r="F951" i="6" s="1"/>
  <c r="H951" i="6" a="1"/>
  <c r="H951" i="6" s="1"/>
  <c r="E951" i="6"/>
  <c r="D951" i="6"/>
  <c r="C951" i="6"/>
  <c r="B951" i="6"/>
  <c r="A951" i="6" a="1"/>
  <c r="A951" i="6" s="1"/>
  <c r="I950" i="6" a="1"/>
  <c r="I950" i="6" s="1"/>
  <c r="F950" i="6" s="1" a="1"/>
  <c r="F950" i="6" s="1"/>
  <c r="H950" i="6" a="1"/>
  <c r="H950" i="6" s="1"/>
  <c r="E950" i="6"/>
  <c r="D950" i="6"/>
  <c r="C950" i="6"/>
  <c r="B950" i="6"/>
  <c r="A950" i="6" a="1"/>
  <c r="A950" i="6" s="1"/>
  <c r="I949" i="6" a="1"/>
  <c r="I949" i="6" s="1"/>
  <c r="F949" i="6" s="1" a="1"/>
  <c r="F949" i="6" s="1"/>
  <c r="H949" i="6" a="1"/>
  <c r="H949" i="6" s="1"/>
  <c r="E949" i="6"/>
  <c r="D949" i="6"/>
  <c r="C949" i="6"/>
  <c r="B949" i="6"/>
  <c r="A949" i="6" a="1"/>
  <c r="A949" i="6" s="1"/>
  <c r="I948" i="6" a="1"/>
  <c r="I948" i="6" s="1"/>
  <c r="F948" i="6" s="1" a="1"/>
  <c r="F948" i="6" s="1"/>
  <c r="H948" i="6" a="1"/>
  <c r="H948" i="6" s="1"/>
  <c r="E948" i="6"/>
  <c r="D948" i="6"/>
  <c r="C948" i="6"/>
  <c r="B948" i="6"/>
  <c r="A948" i="6" a="1"/>
  <c r="A948" i="6" s="1"/>
  <c r="I947" i="6" a="1"/>
  <c r="I947" i="6" s="1"/>
  <c r="F947" i="6" s="1" a="1"/>
  <c r="F947" i="6" s="1"/>
  <c r="H947" i="6" a="1"/>
  <c r="H947" i="6" s="1"/>
  <c r="E947" i="6"/>
  <c r="D947" i="6"/>
  <c r="C947" i="6"/>
  <c r="B947" i="6"/>
  <c r="A947" i="6" a="1"/>
  <c r="A947" i="6" s="1"/>
  <c r="I946" i="6" a="1"/>
  <c r="I946" i="6" s="1"/>
  <c r="F946" i="6" s="1" a="1"/>
  <c r="F946" i="6" s="1"/>
  <c r="H946" i="6" a="1"/>
  <c r="H946" i="6" s="1"/>
  <c r="E946" i="6"/>
  <c r="D946" i="6"/>
  <c r="C946" i="6"/>
  <c r="B946" i="6"/>
  <c r="A946" i="6" a="1"/>
  <c r="A946" i="6" s="1"/>
  <c r="I945" i="6" a="1"/>
  <c r="I945" i="6" s="1"/>
  <c r="F945" i="6" s="1" a="1"/>
  <c r="F945" i="6" s="1"/>
  <c r="H945" i="6" a="1"/>
  <c r="H945" i="6" s="1"/>
  <c r="E945" i="6"/>
  <c r="D945" i="6"/>
  <c r="C945" i="6"/>
  <c r="B945" i="6"/>
  <c r="A945" i="6" a="1"/>
  <c r="A945" i="6" s="1"/>
  <c r="I944" i="6" a="1"/>
  <c r="I944" i="6" s="1"/>
  <c r="F944" i="6" s="1" a="1"/>
  <c r="F944" i="6" s="1"/>
  <c r="H944" i="6" a="1"/>
  <c r="H944" i="6" s="1"/>
  <c r="E944" i="6"/>
  <c r="D944" i="6"/>
  <c r="C944" i="6"/>
  <c r="B944" i="6"/>
  <c r="A944" i="6" a="1"/>
  <c r="A944" i="6" s="1"/>
  <c r="I943" i="6" a="1"/>
  <c r="I943" i="6" s="1"/>
  <c r="F943" i="6" s="1" a="1"/>
  <c r="F943" i="6" s="1"/>
  <c r="H943" i="6" a="1"/>
  <c r="H943" i="6" s="1"/>
  <c r="E943" i="6"/>
  <c r="D943" i="6"/>
  <c r="C943" i="6"/>
  <c r="B943" i="6"/>
  <c r="A943" i="6" a="1"/>
  <c r="A943" i="6" s="1"/>
  <c r="I942" i="6" a="1"/>
  <c r="I942" i="6" s="1"/>
  <c r="F942" i="6" s="1" a="1"/>
  <c r="F942" i="6" s="1"/>
  <c r="H942" i="6" a="1"/>
  <c r="H942" i="6" s="1"/>
  <c r="E942" i="6"/>
  <c r="D942" i="6"/>
  <c r="C942" i="6"/>
  <c r="B942" i="6"/>
  <c r="A942" i="6" a="1"/>
  <c r="A942" i="6" s="1"/>
  <c r="I941" i="6" a="1"/>
  <c r="I941" i="6" s="1"/>
  <c r="F941" i="6" s="1" a="1"/>
  <c r="F941" i="6" s="1"/>
  <c r="H941" i="6" a="1"/>
  <c r="H941" i="6" s="1"/>
  <c r="E941" i="6"/>
  <c r="D941" i="6"/>
  <c r="C941" i="6"/>
  <c r="B941" i="6"/>
  <c r="A941" i="6" a="1"/>
  <c r="A941" i="6" s="1"/>
  <c r="I940" i="6" a="1"/>
  <c r="I940" i="6" s="1"/>
  <c r="F940" i="6" s="1" a="1"/>
  <c r="F940" i="6" s="1"/>
  <c r="H940" i="6" a="1"/>
  <c r="H940" i="6" s="1"/>
  <c r="E940" i="6"/>
  <c r="D940" i="6"/>
  <c r="C940" i="6"/>
  <c r="B940" i="6"/>
  <c r="A940" i="6" a="1"/>
  <c r="A940" i="6" s="1"/>
  <c r="I939" i="6" a="1"/>
  <c r="I939" i="6" s="1"/>
  <c r="F939" i="6" s="1" a="1"/>
  <c r="F939" i="6" s="1"/>
  <c r="H939" i="6" a="1"/>
  <c r="H939" i="6" s="1"/>
  <c r="E939" i="6"/>
  <c r="D939" i="6"/>
  <c r="C939" i="6"/>
  <c r="B939" i="6"/>
  <c r="A939" i="6" a="1"/>
  <c r="A939" i="6" s="1"/>
  <c r="I938" i="6" a="1"/>
  <c r="I938" i="6" s="1"/>
  <c r="F938" i="6" s="1" a="1"/>
  <c r="F938" i="6" s="1"/>
  <c r="H938" i="6" a="1"/>
  <c r="H938" i="6" s="1"/>
  <c r="E938" i="6"/>
  <c r="D938" i="6"/>
  <c r="C938" i="6"/>
  <c r="B938" i="6"/>
  <c r="A938" i="6" a="1"/>
  <c r="A938" i="6" s="1"/>
  <c r="I937" i="6" a="1"/>
  <c r="I937" i="6" s="1"/>
  <c r="F937" i="6" s="1" a="1"/>
  <c r="F937" i="6" s="1"/>
  <c r="H937" i="6" a="1"/>
  <c r="H937" i="6" s="1"/>
  <c r="E937" i="6"/>
  <c r="D937" i="6"/>
  <c r="C937" i="6"/>
  <c r="B937" i="6"/>
  <c r="A937" i="6" a="1"/>
  <c r="A937" i="6" s="1"/>
  <c r="I936" i="6" a="1"/>
  <c r="I936" i="6" s="1"/>
  <c r="F936" i="6" s="1" a="1"/>
  <c r="F936" i="6" s="1"/>
  <c r="H936" i="6" a="1"/>
  <c r="H936" i="6" s="1"/>
  <c r="E936" i="6"/>
  <c r="D936" i="6"/>
  <c r="C936" i="6"/>
  <c r="B936" i="6"/>
  <c r="A936" i="6" a="1"/>
  <c r="A936" i="6" s="1"/>
  <c r="I935" i="6" a="1"/>
  <c r="I935" i="6" s="1"/>
  <c r="F935" i="6" s="1" a="1"/>
  <c r="F935" i="6" s="1"/>
  <c r="H935" i="6" a="1"/>
  <c r="H935" i="6" s="1"/>
  <c r="E935" i="6"/>
  <c r="D935" i="6"/>
  <c r="C935" i="6"/>
  <c r="B935" i="6"/>
  <c r="A935" i="6" a="1"/>
  <c r="A935" i="6" s="1"/>
  <c r="I934" i="6" a="1"/>
  <c r="I934" i="6" s="1"/>
  <c r="F934" i="6" s="1" a="1"/>
  <c r="F934" i="6" s="1"/>
  <c r="H934" i="6" a="1"/>
  <c r="H934" i="6" s="1"/>
  <c r="E934" i="6"/>
  <c r="D934" i="6"/>
  <c r="C934" i="6"/>
  <c r="B934" i="6"/>
  <c r="A934" i="6" a="1"/>
  <c r="A934" i="6" s="1"/>
  <c r="I933" i="6" a="1"/>
  <c r="I933" i="6" s="1"/>
  <c r="F933" i="6" s="1" a="1"/>
  <c r="F933" i="6" s="1"/>
  <c r="H933" i="6" a="1"/>
  <c r="H933" i="6" s="1"/>
  <c r="E933" i="6"/>
  <c r="D933" i="6"/>
  <c r="C933" i="6"/>
  <c r="B933" i="6"/>
  <c r="A933" i="6" a="1"/>
  <c r="A933" i="6" s="1"/>
  <c r="I932" i="6" a="1"/>
  <c r="I932" i="6" s="1"/>
  <c r="F932" i="6" s="1" a="1"/>
  <c r="F932" i="6" s="1"/>
  <c r="H932" i="6" a="1"/>
  <c r="H932" i="6" s="1"/>
  <c r="E932" i="6"/>
  <c r="D932" i="6"/>
  <c r="C932" i="6"/>
  <c r="B932" i="6"/>
  <c r="A932" i="6" a="1"/>
  <c r="A932" i="6" s="1"/>
  <c r="I931" i="6" a="1"/>
  <c r="I931" i="6" s="1"/>
  <c r="F931" i="6" s="1" a="1"/>
  <c r="F931" i="6" s="1"/>
  <c r="H931" i="6" a="1"/>
  <c r="H931" i="6" s="1"/>
  <c r="E931" i="6"/>
  <c r="D931" i="6"/>
  <c r="C931" i="6"/>
  <c r="B931" i="6"/>
  <c r="A931" i="6" a="1"/>
  <c r="A931" i="6" s="1"/>
  <c r="I930" i="6" a="1"/>
  <c r="I930" i="6" s="1"/>
  <c r="F930" i="6" s="1" a="1"/>
  <c r="F930" i="6" s="1"/>
  <c r="H930" i="6" a="1"/>
  <c r="H930" i="6" s="1"/>
  <c r="E930" i="6"/>
  <c r="D930" i="6"/>
  <c r="C930" i="6"/>
  <c r="B930" i="6"/>
  <c r="A930" i="6" a="1"/>
  <c r="A930" i="6" s="1"/>
  <c r="I929" i="6" a="1"/>
  <c r="I929" i="6" s="1"/>
  <c r="F929" i="6" s="1" a="1"/>
  <c r="F929" i="6" s="1"/>
  <c r="H929" i="6" a="1"/>
  <c r="H929" i="6" s="1"/>
  <c r="E929" i="6"/>
  <c r="D929" i="6"/>
  <c r="C929" i="6"/>
  <c r="B929" i="6"/>
  <c r="A929" i="6" a="1"/>
  <c r="A929" i="6" s="1"/>
  <c r="I928" i="6" a="1"/>
  <c r="I928" i="6" s="1"/>
  <c r="F928" i="6" s="1" a="1"/>
  <c r="F928" i="6" s="1"/>
  <c r="H928" i="6" a="1"/>
  <c r="H928" i="6" s="1"/>
  <c r="E928" i="6"/>
  <c r="D928" i="6"/>
  <c r="C928" i="6"/>
  <c r="B928" i="6"/>
  <c r="A928" i="6" a="1"/>
  <c r="A928" i="6" s="1"/>
  <c r="I927" i="6" a="1"/>
  <c r="I927" i="6" s="1"/>
  <c r="F927" i="6" s="1" a="1"/>
  <c r="F927" i="6" s="1"/>
  <c r="H927" i="6" a="1"/>
  <c r="H927" i="6" s="1"/>
  <c r="E927" i="6"/>
  <c r="D927" i="6"/>
  <c r="C927" i="6"/>
  <c r="B927" i="6"/>
  <c r="A927" i="6" a="1"/>
  <c r="A927" i="6" s="1"/>
  <c r="I926" i="6" a="1"/>
  <c r="I926" i="6" s="1"/>
  <c r="F926" i="6" s="1" a="1"/>
  <c r="F926" i="6" s="1"/>
  <c r="H926" i="6" a="1"/>
  <c r="H926" i="6" s="1"/>
  <c r="E926" i="6"/>
  <c r="D926" i="6"/>
  <c r="C926" i="6"/>
  <c r="B926" i="6"/>
  <c r="A926" i="6" a="1"/>
  <c r="A926" i="6" s="1"/>
  <c r="I925" i="6" a="1"/>
  <c r="I925" i="6" s="1"/>
  <c r="F925" i="6" s="1" a="1"/>
  <c r="F925" i="6" s="1"/>
  <c r="H925" i="6" a="1"/>
  <c r="H925" i="6" s="1"/>
  <c r="E925" i="6"/>
  <c r="D925" i="6"/>
  <c r="C925" i="6"/>
  <c r="B925" i="6"/>
  <c r="A925" i="6" a="1"/>
  <c r="A925" i="6" s="1"/>
  <c r="I924" i="6" a="1"/>
  <c r="I924" i="6" s="1"/>
  <c r="F924" i="6" s="1" a="1"/>
  <c r="F924" i="6" s="1"/>
  <c r="H924" i="6" a="1"/>
  <c r="H924" i="6" s="1"/>
  <c r="E924" i="6"/>
  <c r="D924" i="6"/>
  <c r="C924" i="6"/>
  <c r="B924" i="6"/>
  <c r="A924" i="6" a="1"/>
  <c r="A924" i="6" s="1"/>
  <c r="I923" i="6" a="1"/>
  <c r="I923" i="6" s="1"/>
  <c r="F923" i="6" s="1" a="1"/>
  <c r="F923" i="6" s="1"/>
  <c r="H923" i="6" a="1"/>
  <c r="H923" i="6" s="1"/>
  <c r="E923" i="6"/>
  <c r="D923" i="6"/>
  <c r="C923" i="6"/>
  <c r="B923" i="6"/>
  <c r="A923" i="6" a="1"/>
  <c r="A923" i="6" s="1"/>
  <c r="I922" i="6" a="1"/>
  <c r="I922" i="6" s="1"/>
  <c r="F922" i="6" s="1" a="1"/>
  <c r="F922" i="6" s="1"/>
  <c r="H922" i="6" a="1"/>
  <c r="H922" i="6" s="1"/>
  <c r="E922" i="6"/>
  <c r="D922" i="6"/>
  <c r="C922" i="6"/>
  <c r="B922" i="6"/>
  <c r="A922" i="6" a="1"/>
  <c r="A922" i="6" s="1"/>
  <c r="I921" i="6" a="1"/>
  <c r="I921" i="6" s="1"/>
  <c r="F921" i="6" s="1" a="1"/>
  <c r="F921" i="6" s="1"/>
  <c r="H921" i="6" a="1"/>
  <c r="H921" i="6" s="1"/>
  <c r="E921" i="6"/>
  <c r="D921" i="6"/>
  <c r="C921" i="6"/>
  <c r="B921" i="6"/>
  <c r="A921" i="6" a="1"/>
  <c r="A921" i="6" s="1"/>
  <c r="I920" i="6" a="1"/>
  <c r="I920" i="6" s="1"/>
  <c r="F920" i="6" s="1" a="1"/>
  <c r="F920" i="6" s="1"/>
  <c r="H920" i="6" a="1"/>
  <c r="H920" i="6" s="1"/>
  <c r="E920" i="6"/>
  <c r="D920" i="6"/>
  <c r="C920" i="6"/>
  <c r="B920" i="6"/>
  <c r="A920" i="6" a="1"/>
  <c r="A920" i="6" s="1"/>
  <c r="I919" i="6" a="1"/>
  <c r="I919" i="6" s="1"/>
  <c r="F919" i="6" s="1" a="1"/>
  <c r="F919" i="6" s="1"/>
  <c r="H919" i="6" a="1"/>
  <c r="H919" i="6" s="1"/>
  <c r="E919" i="6"/>
  <c r="D919" i="6"/>
  <c r="C919" i="6"/>
  <c r="B919" i="6"/>
  <c r="A919" i="6" a="1"/>
  <c r="A919" i="6" s="1"/>
  <c r="I918" i="6" a="1"/>
  <c r="I918" i="6" s="1"/>
  <c r="F918" i="6" s="1" a="1"/>
  <c r="F918" i="6" s="1"/>
  <c r="H918" i="6" a="1"/>
  <c r="H918" i="6" s="1"/>
  <c r="E918" i="6"/>
  <c r="D918" i="6"/>
  <c r="C918" i="6"/>
  <c r="B918" i="6"/>
  <c r="A918" i="6" a="1"/>
  <c r="A918" i="6" s="1"/>
  <c r="I917" i="6" a="1"/>
  <c r="I917" i="6" s="1"/>
  <c r="F917" i="6" s="1" a="1"/>
  <c r="F917" i="6" s="1"/>
  <c r="H917" i="6" a="1"/>
  <c r="H917" i="6" s="1"/>
  <c r="E917" i="6"/>
  <c r="D917" i="6"/>
  <c r="C917" i="6"/>
  <c r="B917" i="6"/>
  <c r="A917" i="6" a="1"/>
  <c r="A917" i="6" s="1"/>
  <c r="I916" i="6" a="1"/>
  <c r="I916" i="6" s="1"/>
  <c r="F916" i="6" s="1" a="1"/>
  <c r="F916" i="6" s="1"/>
  <c r="H916" i="6" a="1"/>
  <c r="H916" i="6" s="1"/>
  <c r="E916" i="6"/>
  <c r="D916" i="6"/>
  <c r="C916" i="6"/>
  <c r="B916" i="6"/>
  <c r="A916" i="6" a="1"/>
  <c r="A916" i="6" s="1"/>
  <c r="I915" i="6" a="1"/>
  <c r="I915" i="6" s="1"/>
  <c r="F915" i="6" s="1" a="1"/>
  <c r="F915" i="6" s="1"/>
  <c r="H915" i="6" a="1"/>
  <c r="H915" i="6" s="1"/>
  <c r="E915" i="6"/>
  <c r="D915" i="6"/>
  <c r="C915" i="6"/>
  <c r="B915" i="6"/>
  <c r="A915" i="6" a="1"/>
  <c r="A915" i="6" s="1"/>
  <c r="I914" i="6" a="1"/>
  <c r="I914" i="6" s="1"/>
  <c r="F914" i="6" s="1" a="1"/>
  <c r="F914" i="6" s="1"/>
  <c r="H914" i="6" a="1"/>
  <c r="H914" i="6" s="1"/>
  <c r="E914" i="6"/>
  <c r="D914" i="6"/>
  <c r="C914" i="6"/>
  <c r="B914" i="6"/>
  <c r="A914" i="6" a="1"/>
  <c r="A914" i="6" s="1"/>
  <c r="I913" i="6" a="1"/>
  <c r="I913" i="6" s="1"/>
  <c r="F913" i="6" s="1" a="1"/>
  <c r="F913" i="6" s="1"/>
  <c r="H913" i="6" a="1"/>
  <c r="H913" i="6" s="1"/>
  <c r="E913" i="6"/>
  <c r="D913" i="6"/>
  <c r="C913" i="6"/>
  <c r="B913" i="6"/>
  <c r="A913" i="6" a="1"/>
  <c r="A913" i="6" s="1"/>
  <c r="I912" i="6" a="1"/>
  <c r="I912" i="6" s="1"/>
  <c r="F912" i="6" s="1" a="1"/>
  <c r="F912" i="6" s="1"/>
  <c r="H912" i="6" a="1"/>
  <c r="H912" i="6" s="1"/>
  <c r="E912" i="6"/>
  <c r="D912" i="6"/>
  <c r="C912" i="6"/>
  <c r="B912" i="6"/>
  <c r="A912" i="6" a="1"/>
  <c r="A912" i="6" s="1"/>
  <c r="I911" i="6" a="1"/>
  <c r="I911" i="6" s="1"/>
  <c r="F911" i="6" s="1" a="1"/>
  <c r="F911" i="6" s="1"/>
  <c r="H911" i="6" a="1"/>
  <c r="H911" i="6" s="1"/>
  <c r="E911" i="6"/>
  <c r="D911" i="6"/>
  <c r="C911" i="6"/>
  <c r="B911" i="6"/>
  <c r="A911" i="6" a="1"/>
  <c r="A911" i="6" s="1"/>
  <c r="I910" i="6" a="1"/>
  <c r="I910" i="6" s="1"/>
  <c r="F910" i="6" s="1" a="1"/>
  <c r="F910" i="6" s="1"/>
  <c r="H910" i="6" a="1"/>
  <c r="H910" i="6" s="1"/>
  <c r="E910" i="6"/>
  <c r="D910" i="6"/>
  <c r="C910" i="6"/>
  <c r="B910" i="6"/>
  <c r="A910" i="6" a="1"/>
  <c r="A910" i="6" s="1"/>
  <c r="I909" i="6" a="1"/>
  <c r="I909" i="6" s="1"/>
  <c r="F909" i="6" s="1" a="1"/>
  <c r="F909" i="6" s="1"/>
  <c r="H909" i="6" a="1"/>
  <c r="H909" i="6" s="1"/>
  <c r="E909" i="6"/>
  <c r="D909" i="6"/>
  <c r="C909" i="6"/>
  <c r="B909" i="6"/>
  <c r="A909" i="6" a="1"/>
  <c r="A909" i="6" s="1"/>
  <c r="I908" i="6" a="1"/>
  <c r="I908" i="6" s="1"/>
  <c r="F908" i="6" s="1" a="1"/>
  <c r="F908" i="6" s="1"/>
  <c r="H908" i="6" a="1"/>
  <c r="H908" i="6" s="1"/>
  <c r="E908" i="6"/>
  <c r="D908" i="6"/>
  <c r="C908" i="6"/>
  <c r="B908" i="6"/>
  <c r="A908" i="6" a="1"/>
  <c r="A908" i="6" s="1"/>
  <c r="I907" i="6" a="1"/>
  <c r="I907" i="6" s="1"/>
  <c r="F907" i="6" s="1" a="1"/>
  <c r="F907" i="6" s="1"/>
  <c r="H907" i="6" a="1"/>
  <c r="H907" i="6" s="1"/>
  <c r="E907" i="6"/>
  <c r="D907" i="6"/>
  <c r="C907" i="6"/>
  <c r="B907" i="6"/>
  <c r="A907" i="6" a="1"/>
  <c r="A907" i="6" s="1"/>
  <c r="I906" i="6" a="1"/>
  <c r="I906" i="6" s="1"/>
  <c r="F906" i="6" s="1" a="1"/>
  <c r="F906" i="6" s="1"/>
  <c r="H906" i="6" a="1"/>
  <c r="H906" i="6" s="1"/>
  <c r="E906" i="6"/>
  <c r="D906" i="6"/>
  <c r="C906" i="6"/>
  <c r="B906" i="6"/>
  <c r="A906" i="6" a="1"/>
  <c r="A906" i="6" s="1"/>
  <c r="I905" i="6" a="1"/>
  <c r="I905" i="6" s="1"/>
  <c r="F905" i="6" s="1" a="1"/>
  <c r="F905" i="6" s="1"/>
  <c r="H905" i="6" a="1"/>
  <c r="H905" i="6" s="1"/>
  <c r="E905" i="6"/>
  <c r="D905" i="6"/>
  <c r="C905" i="6"/>
  <c r="B905" i="6"/>
  <c r="A905" i="6" a="1"/>
  <c r="A905" i="6" s="1"/>
  <c r="I904" i="6" a="1"/>
  <c r="I904" i="6" s="1"/>
  <c r="F904" i="6" s="1" a="1"/>
  <c r="F904" i="6" s="1"/>
  <c r="H904" i="6" a="1"/>
  <c r="H904" i="6" s="1"/>
  <c r="E904" i="6"/>
  <c r="D904" i="6"/>
  <c r="C904" i="6"/>
  <c r="B904" i="6"/>
  <c r="A904" i="6" a="1"/>
  <c r="A904" i="6" s="1"/>
  <c r="I903" i="6" a="1"/>
  <c r="I903" i="6" s="1"/>
  <c r="F903" i="6" s="1" a="1"/>
  <c r="F903" i="6" s="1"/>
  <c r="H903" i="6" a="1"/>
  <c r="H903" i="6" s="1"/>
  <c r="E903" i="6"/>
  <c r="D903" i="6"/>
  <c r="C903" i="6"/>
  <c r="B903" i="6"/>
  <c r="A903" i="6" a="1"/>
  <c r="A903" i="6" s="1"/>
  <c r="I902" i="6" a="1"/>
  <c r="I902" i="6" s="1"/>
  <c r="F902" i="6" s="1" a="1"/>
  <c r="F902" i="6" s="1"/>
  <c r="H902" i="6" a="1"/>
  <c r="H902" i="6" s="1"/>
  <c r="E902" i="6"/>
  <c r="D902" i="6"/>
  <c r="C902" i="6"/>
  <c r="B902" i="6"/>
  <c r="A902" i="6" a="1"/>
  <c r="A902" i="6" s="1"/>
  <c r="I901" i="6" a="1"/>
  <c r="I901" i="6" s="1"/>
  <c r="F901" i="6" s="1" a="1"/>
  <c r="F901" i="6" s="1"/>
  <c r="H901" i="6" a="1"/>
  <c r="H901" i="6" s="1"/>
  <c r="E901" i="6"/>
  <c r="D901" i="6"/>
  <c r="C901" i="6"/>
  <c r="B901" i="6"/>
  <c r="A901" i="6" a="1"/>
  <c r="A901" i="6" s="1"/>
  <c r="I900" i="6" a="1"/>
  <c r="I900" i="6" s="1"/>
  <c r="F900" i="6" s="1" a="1"/>
  <c r="F900" i="6" s="1"/>
  <c r="H900" i="6" a="1"/>
  <c r="H900" i="6" s="1"/>
  <c r="E900" i="6"/>
  <c r="D900" i="6"/>
  <c r="C900" i="6"/>
  <c r="B900" i="6"/>
  <c r="A900" i="6" a="1"/>
  <c r="A900" i="6" s="1"/>
  <c r="I899" i="6" a="1"/>
  <c r="I899" i="6" s="1"/>
  <c r="F899" i="6" s="1" a="1"/>
  <c r="F899" i="6" s="1"/>
  <c r="H899" i="6" a="1"/>
  <c r="H899" i="6" s="1"/>
  <c r="E899" i="6"/>
  <c r="D899" i="6"/>
  <c r="C899" i="6"/>
  <c r="B899" i="6"/>
  <c r="A899" i="6" a="1"/>
  <c r="A899" i="6" s="1"/>
  <c r="I898" i="6" a="1"/>
  <c r="I898" i="6" s="1"/>
  <c r="F898" i="6" s="1" a="1"/>
  <c r="F898" i="6" s="1"/>
  <c r="H898" i="6" a="1"/>
  <c r="H898" i="6" s="1"/>
  <c r="E898" i="6"/>
  <c r="D898" i="6"/>
  <c r="C898" i="6"/>
  <c r="B898" i="6"/>
  <c r="A898" i="6" a="1"/>
  <c r="A898" i="6" s="1"/>
  <c r="I897" i="6" a="1"/>
  <c r="I897" i="6" s="1"/>
  <c r="F897" i="6" s="1" a="1"/>
  <c r="F897" i="6" s="1"/>
  <c r="H897" i="6" a="1"/>
  <c r="H897" i="6" s="1"/>
  <c r="E897" i="6"/>
  <c r="D897" i="6"/>
  <c r="C897" i="6"/>
  <c r="B897" i="6"/>
  <c r="A897" i="6" a="1"/>
  <c r="A897" i="6" s="1"/>
  <c r="I896" i="6" a="1"/>
  <c r="I896" i="6" s="1"/>
  <c r="F896" i="6" s="1" a="1"/>
  <c r="F896" i="6" s="1"/>
  <c r="H896" i="6" a="1"/>
  <c r="H896" i="6" s="1"/>
  <c r="E896" i="6"/>
  <c r="D896" i="6"/>
  <c r="C896" i="6"/>
  <c r="B896" i="6"/>
  <c r="A896" i="6" a="1"/>
  <c r="A896" i="6" s="1"/>
  <c r="I895" i="6" a="1"/>
  <c r="I895" i="6" s="1"/>
  <c r="F895" i="6" s="1" a="1"/>
  <c r="F895" i="6" s="1"/>
  <c r="H895" i="6" a="1"/>
  <c r="H895" i="6" s="1"/>
  <c r="E895" i="6"/>
  <c r="D895" i="6"/>
  <c r="C895" i="6"/>
  <c r="B895" i="6"/>
  <c r="A895" i="6" a="1"/>
  <c r="A895" i="6" s="1"/>
  <c r="I894" i="6" a="1"/>
  <c r="I894" i="6" s="1"/>
  <c r="F894" i="6" s="1" a="1"/>
  <c r="F894" i="6" s="1"/>
  <c r="H894" i="6" a="1"/>
  <c r="H894" i="6" s="1"/>
  <c r="E894" i="6"/>
  <c r="D894" i="6"/>
  <c r="C894" i="6"/>
  <c r="B894" i="6"/>
  <c r="A894" i="6" a="1"/>
  <c r="A894" i="6" s="1"/>
  <c r="I893" i="6" a="1"/>
  <c r="I893" i="6" s="1"/>
  <c r="F893" i="6" s="1" a="1"/>
  <c r="F893" i="6" s="1"/>
  <c r="H893" i="6" a="1"/>
  <c r="H893" i="6" s="1"/>
  <c r="E893" i="6"/>
  <c r="D893" i="6"/>
  <c r="C893" i="6"/>
  <c r="B893" i="6"/>
  <c r="A893" i="6" a="1"/>
  <c r="A893" i="6" s="1"/>
  <c r="I892" i="6" a="1"/>
  <c r="I892" i="6" s="1"/>
  <c r="F892" i="6" s="1" a="1"/>
  <c r="F892" i="6" s="1"/>
  <c r="H892" i="6" a="1"/>
  <c r="H892" i="6" s="1"/>
  <c r="E892" i="6"/>
  <c r="D892" i="6"/>
  <c r="C892" i="6"/>
  <c r="B892" i="6"/>
  <c r="A892" i="6" a="1"/>
  <c r="A892" i="6" s="1"/>
  <c r="I891" i="6" a="1"/>
  <c r="I891" i="6" s="1"/>
  <c r="F891" i="6" s="1" a="1"/>
  <c r="F891" i="6" s="1"/>
  <c r="H891" i="6" a="1"/>
  <c r="H891" i="6" s="1"/>
  <c r="E891" i="6"/>
  <c r="D891" i="6"/>
  <c r="C891" i="6"/>
  <c r="B891" i="6"/>
  <c r="A891" i="6" a="1"/>
  <c r="A891" i="6" s="1"/>
  <c r="I890" i="6" a="1"/>
  <c r="I890" i="6" s="1"/>
  <c r="F890" i="6" s="1" a="1"/>
  <c r="F890" i="6" s="1"/>
  <c r="H890" i="6" a="1"/>
  <c r="H890" i="6" s="1"/>
  <c r="E890" i="6"/>
  <c r="D890" i="6"/>
  <c r="C890" i="6"/>
  <c r="B890" i="6"/>
  <c r="A890" i="6" a="1"/>
  <c r="A890" i="6" s="1"/>
  <c r="I889" i="6" a="1"/>
  <c r="I889" i="6" s="1"/>
  <c r="F889" i="6" s="1" a="1"/>
  <c r="F889" i="6" s="1"/>
  <c r="H889" i="6" a="1"/>
  <c r="H889" i="6" s="1"/>
  <c r="E889" i="6"/>
  <c r="D889" i="6"/>
  <c r="C889" i="6"/>
  <c r="B889" i="6"/>
  <c r="A889" i="6" a="1"/>
  <c r="A889" i="6" s="1"/>
  <c r="I888" i="6" a="1"/>
  <c r="I888" i="6" s="1"/>
  <c r="F888" i="6" s="1" a="1"/>
  <c r="F888" i="6" s="1"/>
  <c r="H888" i="6" a="1"/>
  <c r="H888" i="6" s="1"/>
  <c r="E888" i="6"/>
  <c r="D888" i="6"/>
  <c r="C888" i="6"/>
  <c r="B888" i="6"/>
  <c r="A888" i="6" a="1"/>
  <c r="A888" i="6" s="1"/>
  <c r="I887" i="6" a="1"/>
  <c r="I887" i="6" s="1"/>
  <c r="F887" i="6" s="1" a="1"/>
  <c r="F887" i="6" s="1"/>
  <c r="H887" i="6" a="1"/>
  <c r="H887" i="6" s="1"/>
  <c r="E887" i="6"/>
  <c r="D887" i="6"/>
  <c r="C887" i="6"/>
  <c r="B887" i="6"/>
  <c r="A887" i="6" a="1"/>
  <c r="A887" i="6" s="1"/>
  <c r="I886" i="6" a="1"/>
  <c r="I886" i="6" s="1"/>
  <c r="F886" i="6" s="1" a="1"/>
  <c r="F886" i="6" s="1"/>
  <c r="H886" i="6" a="1"/>
  <c r="H886" i="6" s="1"/>
  <c r="E886" i="6"/>
  <c r="D886" i="6"/>
  <c r="C886" i="6"/>
  <c r="B886" i="6"/>
  <c r="A886" i="6" a="1"/>
  <c r="A886" i="6" s="1"/>
  <c r="I885" i="6" a="1"/>
  <c r="I885" i="6" s="1"/>
  <c r="F885" i="6" s="1" a="1"/>
  <c r="F885" i="6" s="1"/>
  <c r="H885" i="6" a="1"/>
  <c r="H885" i="6" s="1"/>
  <c r="E885" i="6"/>
  <c r="D885" i="6"/>
  <c r="C885" i="6"/>
  <c r="B885" i="6"/>
  <c r="A885" i="6" a="1"/>
  <c r="A885" i="6" s="1"/>
  <c r="I884" i="6" a="1"/>
  <c r="I884" i="6" s="1"/>
  <c r="F884" i="6" s="1" a="1"/>
  <c r="F884" i="6" s="1"/>
  <c r="H884" i="6" a="1"/>
  <c r="H884" i="6" s="1"/>
  <c r="E884" i="6"/>
  <c r="D884" i="6"/>
  <c r="C884" i="6"/>
  <c r="B884" i="6"/>
  <c r="A884" i="6" a="1"/>
  <c r="A884" i="6" s="1"/>
  <c r="I883" i="6" a="1"/>
  <c r="I883" i="6" s="1"/>
  <c r="F883" i="6" s="1" a="1"/>
  <c r="F883" i="6" s="1"/>
  <c r="H883" i="6" a="1"/>
  <c r="H883" i="6" s="1"/>
  <c r="E883" i="6"/>
  <c r="D883" i="6"/>
  <c r="C883" i="6"/>
  <c r="B883" i="6"/>
  <c r="A883" i="6" a="1"/>
  <c r="A883" i="6" s="1"/>
  <c r="I882" i="6" a="1"/>
  <c r="I882" i="6" s="1"/>
  <c r="F882" i="6" s="1" a="1"/>
  <c r="F882" i="6" s="1"/>
  <c r="H882" i="6" a="1"/>
  <c r="H882" i="6" s="1"/>
  <c r="E882" i="6"/>
  <c r="D882" i="6"/>
  <c r="C882" i="6"/>
  <c r="B882" i="6"/>
  <c r="A882" i="6" a="1"/>
  <c r="A882" i="6" s="1"/>
  <c r="I881" i="6" a="1"/>
  <c r="I881" i="6" s="1"/>
  <c r="F881" i="6" s="1" a="1"/>
  <c r="F881" i="6" s="1"/>
  <c r="H881" i="6" a="1"/>
  <c r="H881" i="6" s="1"/>
  <c r="E881" i="6"/>
  <c r="D881" i="6"/>
  <c r="C881" i="6"/>
  <c r="B881" i="6"/>
  <c r="A881" i="6" a="1"/>
  <c r="A881" i="6" s="1"/>
  <c r="I880" i="6" a="1"/>
  <c r="I880" i="6" s="1"/>
  <c r="F880" i="6" s="1" a="1"/>
  <c r="F880" i="6" s="1"/>
  <c r="H880" i="6" a="1"/>
  <c r="H880" i="6" s="1"/>
  <c r="E880" i="6"/>
  <c r="D880" i="6"/>
  <c r="C880" i="6"/>
  <c r="B880" i="6"/>
  <c r="A880" i="6" a="1"/>
  <c r="A880" i="6" s="1"/>
  <c r="I879" i="6" a="1"/>
  <c r="I879" i="6" s="1"/>
  <c r="F879" i="6" s="1" a="1"/>
  <c r="F879" i="6" s="1"/>
  <c r="H879" i="6" a="1"/>
  <c r="H879" i="6" s="1"/>
  <c r="E879" i="6"/>
  <c r="D879" i="6"/>
  <c r="C879" i="6"/>
  <c r="B879" i="6"/>
  <c r="A879" i="6" a="1"/>
  <c r="A879" i="6" s="1"/>
  <c r="I878" i="6" a="1"/>
  <c r="I878" i="6" s="1"/>
  <c r="F878" i="6" s="1" a="1"/>
  <c r="F878" i="6" s="1"/>
  <c r="H878" i="6" a="1"/>
  <c r="H878" i="6" s="1"/>
  <c r="E878" i="6"/>
  <c r="D878" i="6"/>
  <c r="C878" i="6"/>
  <c r="B878" i="6"/>
  <c r="A878" i="6" a="1"/>
  <c r="A878" i="6" s="1"/>
  <c r="I877" i="6" a="1"/>
  <c r="I877" i="6" s="1"/>
  <c r="F877" i="6" s="1" a="1"/>
  <c r="F877" i="6" s="1"/>
  <c r="H877" i="6" a="1"/>
  <c r="H877" i="6" s="1"/>
  <c r="E877" i="6"/>
  <c r="D877" i="6"/>
  <c r="C877" i="6"/>
  <c r="B877" i="6"/>
  <c r="A877" i="6" a="1"/>
  <c r="A877" i="6" s="1"/>
  <c r="I876" i="6" a="1"/>
  <c r="I876" i="6" s="1"/>
  <c r="F876" i="6" s="1" a="1"/>
  <c r="F876" i="6" s="1"/>
  <c r="H876" i="6" a="1"/>
  <c r="H876" i="6" s="1"/>
  <c r="E876" i="6"/>
  <c r="D876" i="6"/>
  <c r="C876" i="6"/>
  <c r="B876" i="6"/>
  <c r="A876" i="6" a="1"/>
  <c r="A876" i="6" s="1"/>
  <c r="I875" i="6" a="1"/>
  <c r="I875" i="6" s="1"/>
  <c r="F875" i="6" s="1" a="1"/>
  <c r="F875" i="6" s="1"/>
  <c r="H875" i="6" a="1"/>
  <c r="H875" i="6" s="1"/>
  <c r="E875" i="6"/>
  <c r="D875" i="6"/>
  <c r="C875" i="6"/>
  <c r="B875" i="6"/>
  <c r="A875" i="6" a="1"/>
  <c r="A875" i="6" s="1"/>
  <c r="I874" i="6" a="1"/>
  <c r="I874" i="6" s="1"/>
  <c r="F874" i="6" s="1" a="1"/>
  <c r="F874" i="6" s="1"/>
  <c r="H874" i="6" a="1"/>
  <c r="H874" i="6" s="1"/>
  <c r="E874" i="6"/>
  <c r="D874" i="6"/>
  <c r="C874" i="6"/>
  <c r="B874" i="6"/>
  <c r="A874" i="6" a="1"/>
  <c r="A874" i="6" s="1"/>
  <c r="I873" i="6" a="1"/>
  <c r="I873" i="6" s="1"/>
  <c r="F873" i="6" s="1" a="1"/>
  <c r="F873" i="6" s="1"/>
  <c r="H873" i="6" a="1"/>
  <c r="H873" i="6" s="1"/>
  <c r="E873" i="6"/>
  <c r="D873" i="6"/>
  <c r="C873" i="6"/>
  <c r="B873" i="6"/>
  <c r="A873" i="6" a="1"/>
  <c r="A873" i="6" s="1"/>
  <c r="I872" i="6" a="1"/>
  <c r="I872" i="6" s="1"/>
  <c r="F872" i="6" s="1" a="1"/>
  <c r="F872" i="6" s="1"/>
  <c r="H872" i="6" a="1"/>
  <c r="H872" i="6" s="1"/>
  <c r="E872" i="6"/>
  <c r="D872" i="6"/>
  <c r="C872" i="6"/>
  <c r="B872" i="6"/>
  <c r="A872" i="6" a="1"/>
  <c r="A872" i="6" s="1"/>
  <c r="I871" i="6" a="1"/>
  <c r="I871" i="6" s="1"/>
  <c r="F871" i="6" s="1" a="1"/>
  <c r="F871" i="6" s="1"/>
  <c r="H871" i="6" a="1"/>
  <c r="H871" i="6" s="1"/>
  <c r="E871" i="6"/>
  <c r="D871" i="6"/>
  <c r="C871" i="6"/>
  <c r="B871" i="6"/>
  <c r="A871" i="6" a="1"/>
  <c r="A871" i="6" s="1"/>
  <c r="I870" i="6" a="1"/>
  <c r="I870" i="6" s="1"/>
  <c r="F870" i="6" s="1" a="1"/>
  <c r="F870" i="6" s="1"/>
  <c r="H870" i="6" a="1"/>
  <c r="H870" i="6" s="1"/>
  <c r="E870" i="6"/>
  <c r="D870" i="6"/>
  <c r="C870" i="6"/>
  <c r="B870" i="6"/>
  <c r="A870" i="6" a="1"/>
  <c r="A870" i="6" s="1"/>
  <c r="I869" i="6" a="1"/>
  <c r="I869" i="6" s="1"/>
  <c r="F869" i="6" s="1" a="1"/>
  <c r="F869" i="6" s="1"/>
  <c r="H869" i="6" a="1"/>
  <c r="H869" i="6" s="1"/>
  <c r="E869" i="6"/>
  <c r="D869" i="6"/>
  <c r="C869" i="6"/>
  <c r="B869" i="6"/>
  <c r="A869" i="6" a="1"/>
  <c r="A869" i="6" s="1"/>
  <c r="I868" i="6" a="1"/>
  <c r="I868" i="6" s="1"/>
  <c r="F868" i="6" s="1" a="1"/>
  <c r="F868" i="6" s="1"/>
  <c r="H868" i="6" a="1"/>
  <c r="H868" i="6" s="1"/>
  <c r="E868" i="6"/>
  <c r="D868" i="6"/>
  <c r="C868" i="6"/>
  <c r="B868" i="6"/>
  <c r="A868" i="6" a="1"/>
  <c r="A868" i="6" s="1"/>
  <c r="I867" i="6" a="1"/>
  <c r="I867" i="6" s="1"/>
  <c r="F867" i="6" s="1" a="1"/>
  <c r="F867" i="6" s="1"/>
  <c r="H867" i="6" a="1"/>
  <c r="H867" i="6" s="1"/>
  <c r="E867" i="6"/>
  <c r="D867" i="6"/>
  <c r="C867" i="6"/>
  <c r="B867" i="6"/>
  <c r="A867" i="6" a="1"/>
  <c r="A867" i="6" s="1"/>
  <c r="I866" i="6" a="1"/>
  <c r="I866" i="6" s="1"/>
  <c r="F866" i="6" s="1" a="1"/>
  <c r="F866" i="6" s="1"/>
  <c r="H866" i="6" a="1"/>
  <c r="H866" i="6" s="1"/>
  <c r="E866" i="6"/>
  <c r="D866" i="6"/>
  <c r="C866" i="6"/>
  <c r="B866" i="6"/>
  <c r="A866" i="6" a="1"/>
  <c r="A866" i="6" s="1"/>
  <c r="I865" i="6" a="1"/>
  <c r="I865" i="6" s="1"/>
  <c r="F865" i="6" s="1" a="1"/>
  <c r="F865" i="6" s="1"/>
  <c r="H865" i="6" a="1"/>
  <c r="H865" i="6" s="1"/>
  <c r="E865" i="6"/>
  <c r="D865" i="6"/>
  <c r="C865" i="6"/>
  <c r="B865" i="6"/>
  <c r="A865" i="6" a="1"/>
  <c r="A865" i="6" s="1"/>
  <c r="I864" i="6" a="1"/>
  <c r="I864" i="6" s="1"/>
  <c r="F864" i="6" s="1" a="1"/>
  <c r="F864" i="6" s="1"/>
  <c r="H864" i="6" a="1"/>
  <c r="H864" i="6" s="1"/>
  <c r="E864" i="6"/>
  <c r="D864" i="6"/>
  <c r="C864" i="6"/>
  <c r="B864" i="6"/>
  <c r="A864" i="6" a="1"/>
  <c r="A864" i="6" s="1"/>
  <c r="I863" i="6" a="1"/>
  <c r="I863" i="6" s="1"/>
  <c r="F863" i="6" s="1" a="1"/>
  <c r="F863" i="6" s="1"/>
  <c r="H863" i="6" a="1"/>
  <c r="H863" i="6" s="1"/>
  <c r="E863" i="6"/>
  <c r="D863" i="6"/>
  <c r="C863" i="6"/>
  <c r="B863" i="6"/>
  <c r="A863" i="6" a="1"/>
  <c r="A863" i="6" s="1"/>
  <c r="I862" i="6" a="1"/>
  <c r="I862" i="6" s="1"/>
  <c r="F862" i="6" s="1" a="1"/>
  <c r="F862" i="6" s="1"/>
  <c r="H862" i="6" a="1"/>
  <c r="H862" i="6" s="1"/>
  <c r="E862" i="6"/>
  <c r="D862" i="6"/>
  <c r="C862" i="6"/>
  <c r="B862" i="6"/>
  <c r="A862" i="6" a="1"/>
  <c r="A862" i="6" s="1"/>
  <c r="I861" i="6" a="1"/>
  <c r="I861" i="6" s="1"/>
  <c r="F861" i="6" s="1" a="1"/>
  <c r="F861" i="6" s="1"/>
  <c r="H861" i="6" a="1"/>
  <c r="H861" i="6" s="1"/>
  <c r="E861" i="6"/>
  <c r="D861" i="6"/>
  <c r="C861" i="6"/>
  <c r="B861" i="6"/>
  <c r="A861" i="6" a="1"/>
  <c r="A861" i="6" s="1"/>
  <c r="I860" i="6" a="1"/>
  <c r="I860" i="6" s="1"/>
  <c r="F860" i="6" s="1" a="1"/>
  <c r="F860" i="6" s="1"/>
  <c r="H860" i="6" a="1"/>
  <c r="H860" i="6" s="1"/>
  <c r="E860" i="6"/>
  <c r="D860" i="6"/>
  <c r="C860" i="6"/>
  <c r="B860" i="6"/>
  <c r="A860" i="6" a="1"/>
  <c r="A860" i="6" s="1"/>
  <c r="I859" i="6" a="1"/>
  <c r="I859" i="6" s="1"/>
  <c r="F859" i="6" s="1" a="1"/>
  <c r="F859" i="6" s="1"/>
  <c r="H859" i="6" a="1"/>
  <c r="H859" i="6" s="1"/>
  <c r="E859" i="6"/>
  <c r="D859" i="6"/>
  <c r="C859" i="6"/>
  <c r="B859" i="6"/>
  <c r="A859" i="6" a="1"/>
  <c r="A859" i="6" s="1"/>
  <c r="I858" i="6" a="1"/>
  <c r="I858" i="6" s="1"/>
  <c r="F858" i="6" s="1" a="1"/>
  <c r="F858" i="6" s="1"/>
  <c r="H858" i="6" a="1"/>
  <c r="H858" i="6" s="1"/>
  <c r="E858" i="6"/>
  <c r="D858" i="6"/>
  <c r="C858" i="6"/>
  <c r="B858" i="6"/>
  <c r="A858" i="6" a="1"/>
  <c r="A858" i="6" s="1"/>
  <c r="I857" i="6" a="1"/>
  <c r="I857" i="6" s="1"/>
  <c r="F857" i="6" s="1" a="1"/>
  <c r="F857" i="6" s="1"/>
  <c r="H857" i="6" a="1"/>
  <c r="H857" i="6" s="1"/>
  <c r="E857" i="6"/>
  <c r="D857" i="6"/>
  <c r="C857" i="6"/>
  <c r="B857" i="6"/>
  <c r="A857" i="6" a="1"/>
  <c r="A857" i="6" s="1"/>
  <c r="I856" i="6" a="1"/>
  <c r="I856" i="6" s="1"/>
  <c r="F856" i="6" s="1" a="1"/>
  <c r="F856" i="6" s="1"/>
  <c r="H856" i="6" a="1"/>
  <c r="H856" i="6" s="1"/>
  <c r="E856" i="6"/>
  <c r="D856" i="6"/>
  <c r="C856" i="6"/>
  <c r="B856" i="6"/>
  <c r="A856" i="6" a="1"/>
  <c r="A856" i="6" s="1"/>
  <c r="I855" i="6" a="1"/>
  <c r="I855" i="6" s="1"/>
  <c r="F855" i="6" s="1" a="1"/>
  <c r="F855" i="6" s="1"/>
  <c r="H855" i="6" a="1"/>
  <c r="H855" i="6" s="1"/>
  <c r="E855" i="6"/>
  <c r="D855" i="6"/>
  <c r="C855" i="6"/>
  <c r="B855" i="6"/>
  <c r="A855" i="6" a="1"/>
  <c r="A855" i="6" s="1"/>
  <c r="I854" i="6" a="1"/>
  <c r="I854" i="6" s="1"/>
  <c r="F854" i="6" s="1" a="1"/>
  <c r="F854" i="6" s="1"/>
  <c r="H854" i="6" a="1"/>
  <c r="H854" i="6" s="1"/>
  <c r="E854" i="6"/>
  <c r="D854" i="6"/>
  <c r="C854" i="6"/>
  <c r="B854" i="6"/>
  <c r="A854" i="6" a="1"/>
  <c r="A854" i="6" s="1"/>
  <c r="I853" i="6" a="1"/>
  <c r="I853" i="6" s="1"/>
  <c r="F853" i="6" s="1" a="1"/>
  <c r="F853" i="6" s="1"/>
  <c r="H853" i="6" a="1"/>
  <c r="H853" i="6" s="1"/>
  <c r="E853" i="6"/>
  <c r="D853" i="6"/>
  <c r="C853" i="6"/>
  <c r="B853" i="6"/>
  <c r="A853" i="6" a="1"/>
  <c r="A853" i="6" s="1"/>
  <c r="I852" i="6" a="1"/>
  <c r="I852" i="6" s="1"/>
  <c r="F852" i="6" s="1" a="1"/>
  <c r="F852" i="6" s="1"/>
  <c r="H852" i="6" a="1"/>
  <c r="H852" i="6" s="1"/>
  <c r="E852" i="6"/>
  <c r="D852" i="6"/>
  <c r="C852" i="6"/>
  <c r="B852" i="6"/>
  <c r="A852" i="6" a="1"/>
  <c r="A852" i="6" s="1"/>
  <c r="I851" i="6" a="1"/>
  <c r="I851" i="6" s="1"/>
  <c r="F851" i="6" s="1" a="1"/>
  <c r="F851" i="6" s="1"/>
  <c r="H851" i="6" a="1"/>
  <c r="H851" i="6" s="1"/>
  <c r="E851" i="6"/>
  <c r="D851" i="6"/>
  <c r="C851" i="6"/>
  <c r="B851" i="6"/>
  <c r="A851" i="6" a="1"/>
  <c r="A851" i="6" s="1"/>
  <c r="I850" i="6" a="1"/>
  <c r="I850" i="6" s="1"/>
  <c r="F850" i="6" s="1" a="1"/>
  <c r="F850" i="6" s="1"/>
  <c r="H850" i="6" a="1"/>
  <c r="H850" i="6" s="1"/>
  <c r="E850" i="6"/>
  <c r="D850" i="6"/>
  <c r="C850" i="6"/>
  <c r="B850" i="6"/>
  <c r="A850" i="6" a="1"/>
  <c r="A850" i="6" s="1"/>
  <c r="I849" i="6" a="1"/>
  <c r="I849" i="6" s="1"/>
  <c r="F849" i="6" s="1" a="1"/>
  <c r="F849" i="6" s="1"/>
  <c r="H849" i="6" a="1"/>
  <c r="H849" i="6" s="1"/>
  <c r="E849" i="6"/>
  <c r="D849" i="6"/>
  <c r="C849" i="6"/>
  <c r="B849" i="6"/>
  <c r="A849" i="6" a="1"/>
  <c r="A849" i="6" s="1"/>
  <c r="I848" i="6" a="1"/>
  <c r="I848" i="6" s="1"/>
  <c r="F848" i="6" s="1" a="1"/>
  <c r="F848" i="6" s="1"/>
  <c r="H848" i="6" a="1"/>
  <c r="H848" i="6" s="1"/>
  <c r="E848" i="6"/>
  <c r="D848" i="6"/>
  <c r="C848" i="6"/>
  <c r="B848" i="6"/>
  <c r="A848" i="6" a="1"/>
  <c r="A848" i="6" s="1"/>
  <c r="I847" i="6" a="1"/>
  <c r="I847" i="6" s="1"/>
  <c r="F847" i="6" s="1" a="1"/>
  <c r="F847" i="6" s="1"/>
  <c r="H847" i="6" a="1"/>
  <c r="H847" i="6" s="1"/>
  <c r="E847" i="6"/>
  <c r="D847" i="6"/>
  <c r="C847" i="6"/>
  <c r="B847" i="6"/>
  <c r="A847" i="6" a="1"/>
  <c r="A847" i="6" s="1"/>
  <c r="I846" i="6" a="1"/>
  <c r="I846" i="6" s="1"/>
  <c r="F846" i="6" s="1" a="1"/>
  <c r="F846" i="6" s="1"/>
  <c r="H846" i="6" a="1"/>
  <c r="H846" i="6" s="1"/>
  <c r="E846" i="6"/>
  <c r="D846" i="6"/>
  <c r="C846" i="6"/>
  <c r="B846" i="6"/>
  <c r="A846" i="6" a="1"/>
  <c r="A846" i="6" s="1"/>
  <c r="I845" i="6" a="1"/>
  <c r="I845" i="6" s="1"/>
  <c r="F845" i="6" s="1" a="1"/>
  <c r="F845" i="6" s="1"/>
  <c r="H845" i="6" a="1"/>
  <c r="H845" i="6" s="1"/>
  <c r="E845" i="6"/>
  <c r="D845" i="6"/>
  <c r="C845" i="6"/>
  <c r="B845" i="6"/>
  <c r="A845" i="6" a="1"/>
  <c r="A845" i="6" s="1"/>
  <c r="I844" i="6" a="1"/>
  <c r="I844" i="6" s="1"/>
  <c r="F844" i="6" s="1" a="1"/>
  <c r="F844" i="6" s="1"/>
  <c r="H844" i="6" a="1"/>
  <c r="H844" i="6" s="1"/>
  <c r="E844" i="6"/>
  <c r="D844" i="6"/>
  <c r="C844" i="6"/>
  <c r="B844" i="6"/>
  <c r="A844" i="6" a="1"/>
  <c r="A844" i="6" s="1"/>
  <c r="I843" i="6" a="1"/>
  <c r="I843" i="6" s="1"/>
  <c r="F843" i="6" s="1" a="1"/>
  <c r="F843" i="6" s="1"/>
  <c r="H843" i="6" a="1"/>
  <c r="H843" i="6" s="1"/>
  <c r="E843" i="6"/>
  <c r="D843" i="6"/>
  <c r="C843" i="6"/>
  <c r="B843" i="6"/>
  <c r="A843" i="6" a="1"/>
  <c r="A843" i="6" s="1"/>
  <c r="I842" i="6" a="1"/>
  <c r="I842" i="6" s="1"/>
  <c r="F842" i="6" s="1" a="1"/>
  <c r="F842" i="6" s="1"/>
  <c r="H842" i="6" a="1"/>
  <c r="H842" i="6" s="1"/>
  <c r="E842" i="6"/>
  <c r="D842" i="6"/>
  <c r="C842" i="6"/>
  <c r="B842" i="6"/>
  <c r="A842" i="6" a="1"/>
  <c r="A842" i="6" s="1"/>
  <c r="I841" i="6" a="1"/>
  <c r="I841" i="6" s="1"/>
  <c r="F841" i="6" s="1" a="1"/>
  <c r="F841" i="6" s="1"/>
  <c r="H841" i="6" a="1"/>
  <c r="H841" i="6" s="1"/>
  <c r="E841" i="6"/>
  <c r="D841" i="6"/>
  <c r="C841" i="6"/>
  <c r="B841" i="6"/>
  <c r="A841" i="6" a="1"/>
  <c r="A841" i="6" s="1"/>
  <c r="I840" i="6" a="1"/>
  <c r="I840" i="6" s="1"/>
  <c r="F840" i="6" s="1" a="1"/>
  <c r="F840" i="6" s="1"/>
  <c r="H840" i="6" a="1"/>
  <c r="H840" i="6" s="1"/>
  <c r="E840" i="6"/>
  <c r="D840" i="6"/>
  <c r="C840" i="6"/>
  <c r="B840" i="6"/>
  <c r="A840" i="6" a="1"/>
  <c r="A840" i="6" s="1"/>
  <c r="I839" i="6" a="1"/>
  <c r="I839" i="6" s="1"/>
  <c r="F839" i="6" s="1" a="1"/>
  <c r="F839" i="6" s="1"/>
  <c r="H839" i="6" a="1"/>
  <c r="H839" i="6" s="1"/>
  <c r="E839" i="6"/>
  <c r="D839" i="6"/>
  <c r="C839" i="6"/>
  <c r="B839" i="6"/>
  <c r="A839" i="6" a="1"/>
  <c r="A839" i="6" s="1"/>
  <c r="I838" i="6" a="1"/>
  <c r="I838" i="6" s="1"/>
  <c r="F838" i="6" s="1" a="1"/>
  <c r="F838" i="6" s="1"/>
  <c r="H838" i="6" a="1"/>
  <c r="H838" i="6" s="1"/>
  <c r="E838" i="6"/>
  <c r="D838" i="6"/>
  <c r="C838" i="6"/>
  <c r="B838" i="6"/>
  <c r="A838" i="6" a="1"/>
  <c r="A838" i="6" s="1"/>
  <c r="I837" i="6" a="1"/>
  <c r="I837" i="6" s="1"/>
  <c r="F837" i="6" s="1" a="1"/>
  <c r="F837" i="6" s="1"/>
  <c r="H837" i="6" a="1"/>
  <c r="H837" i="6" s="1"/>
  <c r="E837" i="6"/>
  <c r="D837" i="6"/>
  <c r="C837" i="6"/>
  <c r="B837" i="6"/>
  <c r="A837" i="6" a="1"/>
  <c r="A837" i="6" s="1"/>
  <c r="I836" i="6" a="1"/>
  <c r="I836" i="6" s="1"/>
  <c r="F836" i="6" s="1" a="1"/>
  <c r="F836" i="6" s="1"/>
  <c r="H836" i="6" a="1"/>
  <c r="H836" i="6" s="1"/>
  <c r="E836" i="6"/>
  <c r="D836" i="6"/>
  <c r="C836" i="6"/>
  <c r="B836" i="6"/>
  <c r="A836" i="6" a="1"/>
  <c r="A836" i="6" s="1"/>
  <c r="I835" i="6" a="1"/>
  <c r="I835" i="6" s="1"/>
  <c r="F835" i="6" s="1" a="1"/>
  <c r="F835" i="6" s="1"/>
  <c r="H835" i="6" a="1"/>
  <c r="H835" i="6" s="1"/>
  <c r="E835" i="6"/>
  <c r="D835" i="6"/>
  <c r="C835" i="6"/>
  <c r="B835" i="6"/>
  <c r="A835" i="6" a="1"/>
  <c r="A835" i="6" s="1"/>
  <c r="I834" i="6" a="1"/>
  <c r="I834" i="6" s="1"/>
  <c r="F834" i="6" s="1" a="1"/>
  <c r="F834" i="6" s="1"/>
  <c r="H834" i="6" a="1"/>
  <c r="H834" i="6" s="1"/>
  <c r="E834" i="6"/>
  <c r="D834" i="6"/>
  <c r="C834" i="6"/>
  <c r="B834" i="6"/>
  <c r="A834" i="6" a="1"/>
  <c r="A834" i="6" s="1"/>
  <c r="I833" i="6" a="1"/>
  <c r="I833" i="6" s="1"/>
  <c r="F833" i="6" s="1" a="1"/>
  <c r="F833" i="6" s="1"/>
  <c r="H833" i="6" a="1"/>
  <c r="H833" i="6" s="1"/>
  <c r="E833" i="6"/>
  <c r="D833" i="6"/>
  <c r="C833" i="6"/>
  <c r="B833" i="6"/>
  <c r="A833" i="6" a="1"/>
  <c r="A833" i="6" s="1"/>
  <c r="I832" i="6" a="1"/>
  <c r="I832" i="6" s="1"/>
  <c r="F832" i="6" s="1" a="1"/>
  <c r="F832" i="6" s="1"/>
  <c r="H832" i="6" a="1"/>
  <c r="H832" i="6" s="1"/>
  <c r="E832" i="6"/>
  <c r="D832" i="6"/>
  <c r="C832" i="6"/>
  <c r="B832" i="6"/>
  <c r="A832" i="6" a="1"/>
  <c r="A832" i="6" s="1"/>
  <c r="I831" i="6" a="1"/>
  <c r="I831" i="6" s="1"/>
  <c r="F831" i="6" s="1" a="1"/>
  <c r="F831" i="6" s="1"/>
  <c r="H831" i="6" a="1"/>
  <c r="H831" i="6" s="1"/>
  <c r="E831" i="6"/>
  <c r="D831" i="6"/>
  <c r="C831" i="6"/>
  <c r="B831" i="6"/>
  <c r="A831" i="6" a="1"/>
  <c r="A831" i="6" s="1"/>
  <c r="I830" i="6" a="1"/>
  <c r="I830" i="6" s="1"/>
  <c r="F830" i="6" s="1" a="1"/>
  <c r="F830" i="6" s="1"/>
  <c r="H830" i="6" a="1"/>
  <c r="H830" i="6" s="1"/>
  <c r="E830" i="6"/>
  <c r="D830" i="6"/>
  <c r="C830" i="6"/>
  <c r="B830" i="6"/>
  <c r="A830" i="6" a="1"/>
  <c r="A830" i="6" s="1"/>
  <c r="I829" i="6" a="1"/>
  <c r="I829" i="6" s="1"/>
  <c r="F829" i="6" s="1" a="1"/>
  <c r="F829" i="6" s="1"/>
  <c r="H829" i="6" a="1"/>
  <c r="H829" i="6" s="1"/>
  <c r="E829" i="6"/>
  <c r="D829" i="6"/>
  <c r="C829" i="6"/>
  <c r="B829" i="6"/>
  <c r="A829" i="6" a="1"/>
  <c r="A829" i="6" s="1"/>
  <c r="I828" i="6" a="1"/>
  <c r="I828" i="6" s="1"/>
  <c r="F828" i="6" s="1" a="1"/>
  <c r="F828" i="6" s="1"/>
  <c r="H828" i="6" a="1"/>
  <c r="H828" i="6" s="1"/>
  <c r="E828" i="6"/>
  <c r="D828" i="6"/>
  <c r="C828" i="6"/>
  <c r="B828" i="6"/>
  <c r="A828" i="6" a="1"/>
  <c r="A828" i="6" s="1"/>
  <c r="I827" i="6" a="1"/>
  <c r="I827" i="6" s="1"/>
  <c r="F827" i="6" s="1" a="1"/>
  <c r="F827" i="6" s="1"/>
  <c r="H827" i="6" a="1"/>
  <c r="H827" i="6" s="1"/>
  <c r="E827" i="6"/>
  <c r="D827" i="6"/>
  <c r="C827" i="6"/>
  <c r="B827" i="6"/>
  <c r="A827" i="6" a="1"/>
  <c r="A827" i="6" s="1"/>
  <c r="I826" i="6" a="1"/>
  <c r="I826" i="6" s="1"/>
  <c r="F826" i="6" s="1" a="1"/>
  <c r="F826" i="6" s="1"/>
  <c r="H826" i="6" a="1"/>
  <c r="H826" i="6" s="1"/>
  <c r="E826" i="6"/>
  <c r="D826" i="6"/>
  <c r="C826" i="6"/>
  <c r="B826" i="6"/>
  <c r="A826" i="6" a="1"/>
  <c r="A826" i="6" s="1"/>
  <c r="I825" i="6" a="1"/>
  <c r="I825" i="6" s="1"/>
  <c r="F825" i="6" s="1" a="1"/>
  <c r="F825" i="6" s="1"/>
  <c r="H825" i="6" a="1"/>
  <c r="H825" i="6" s="1"/>
  <c r="E825" i="6"/>
  <c r="D825" i="6"/>
  <c r="C825" i="6"/>
  <c r="B825" i="6"/>
  <c r="A825" i="6" a="1"/>
  <c r="A825" i="6" s="1"/>
  <c r="I824" i="6" a="1"/>
  <c r="I824" i="6" s="1"/>
  <c r="F824" i="6" s="1" a="1"/>
  <c r="F824" i="6" s="1"/>
  <c r="H824" i="6" a="1"/>
  <c r="H824" i="6" s="1"/>
  <c r="E824" i="6"/>
  <c r="D824" i="6"/>
  <c r="C824" i="6"/>
  <c r="B824" i="6"/>
  <c r="A824" i="6" a="1"/>
  <c r="A824" i="6" s="1"/>
  <c r="I823" i="6" a="1"/>
  <c r="I823" i="6" s="1"/>
  <c r="F823" i="6" s="1" a="1"/>
  <c r="F823" i="6" s="1"/>
  <c r="H823" i="6" a="1"/>
  <c r="H823" i="6" s="1"/>
  <c r="E823" i="6"/>
  <c r="D823" i="6"/>
  <c r="C823" i="6"/>
  <c r="B823" i="6"/>
  <c r="A823" i="6" a="1"/>
  <c r="A823" i="6" s="1"/>
  <c r="I822" i="6" a="1"/>
  <c r="I822" i="6" s="1"/>
  <c r="F822" i="6" s="1" a="1"/>
  <c r="F822" i="6" s="1"/>
  <c r="H822" i="6" a="1"/>
  <c r="H822" i="6" s="1"/>
  <c r="E822" i="6"/>
  <c r="D822" i="6"/>
  <c r="C822" i="6"/>
  <c r="B822" i="6"/>
  <c r="A822" i="6" a="1"/>
  <c r="A822" i="6" s="1"/>
  <c r="I821" i="6" a="1"/>
  <c r="I821" i="6" s="1"/>
  <c r="F821" i="6" s="1" a="1"/>
  <c r="F821" i="6" s="1"/>
  <c r="H821" i="6" a="1"/>
  <c r="H821" i="6" s="1"/>
  <c r="E821" i="6"/>
  <c r="D821" i="6"/>
  <c r="C821" i="6"/>
  <c r="B821" i="6"/>
  <c r="A821" i="6" a="1"/>
  <c r="A821" i="6" s="1"/>
  <c r="I820" i="6" a="1"/>
  <c r="I820" i="6" s="1"/>
  <c r="F820" i="6" s="1" a="1"/>
  <c r="F820" i="6" s="1"/>
  <c r="H820" i="6" a="1"/>
  <c r="H820" i="6" s="1"/>
  <c r="E820" i="6"/>
  <c r="D820" i="6"/>
  <c r="C820" i="6"/>
  <c r="B820" i="6"/>
  <c r="A820" i="6" a="1"/>
  <c r="A820" i="6" s="1"/>
  <c r="I819" i="6" a="1"/>
  <c r="I819" i="6" s="1"/>
  <c r="F819" i="6" s="1" a="1"/>
  <c r="F819" i="6" s="1"/>
  <c r="H819" i="6" a="1"/>
  <c r="H819" i="6" s="1"/>
  <c r="E819" i="6"/>
  <c r="D819" i="6"/>
  <c r="C819" i="6"/>
  <c r="B819" i="6"/>
  <c r="A819" i="6" a="1"/>
  <c r="A819" i="6" s="1"/>
  <c r="I818" i="6" a="1"/>
  <c r="I818" i="6" s="1"/>
  <c r="F818" i="6" s="1" a="1"/>
  <c r="F818" i="6" s="1"/>
  <c r="H818" i="6" a="1"/>
  <c r="H818" i="6" s="1"/>
  <c r="E818" i="6"/>
  <c r="D818" i="6"/>
  <c r="C818" i="6"/>
  <c r="B818" i="6"/>
  <c r="A818" i="6" a="1"/>
  <c r="A818" i="6" s="1"/>
  <c r="I817" i="6" a="1"/>
  <c r="I817" i="6" s="1"/>
  <c r="F817" i="6" s="1" a="1"/>
  <c r="F817" i="6" s="1"/>
  <c r="H817" i="6" a="1"/>
  <c r="H817" i="6" s="1"/>
  <c r="E817" i="6"/>
  <c r="D817" i="6"/>
  <c r="C817" i="6"/>
  <c r="B817" i="6"/>
  <c r="A817" i="6" a="1"/>
  <c r="A817" i="6" s="1"/>
  <c r="I816" i="6" a="1"/>
  <c r="I816" i="6" s="1"/>
  <c r="F816" i="6" s="1" a="1"/>
  <c r="F816" i="6" s="1"/>
  <c r="H816" i="6" a="1"/>
  <c r="H816" i="6" s="1"/>
  <c r="E816" i="6"/>
  <c r="D816" i="6"/>
  <c r="C816" i="6"/>
  <c r="B816" i="6"/>
  <c r="A816" i="6" a="1"/>
  <c r="A816" i="6" s="1"/>
  <c r="I815" i="6" a="1"/>
  <c r="I815" i="6" s="1"/>
  <c r="F815" i="6" s="1" a="1"/>
  <c r="F815" i="6" s="1"/>
  <c r="H815" i="6" a="1"/>
  <c r="H815" i="6" s="1"/>
  <c r="E815" i="6"/>
  <c r="D815" i="6"/>
  <c r="C815" i="6"/>
  <c r="B815" i="6"/>
  <c r="A815" i="6" a="1"/>
  <c r="A815" i="6" s="1"/>
  <c r="I814" i="6" a="1"/>
  <c r="I814" i="6" s="1"/>
  <c r="F814" i="6" s="1" a="1"/>
  <c r="F814" i="6" s="1"/>
  <c r="H814" i="6" a="1"/>
  <c r="H814" i="6" s="1"/>
  <c r="E814" i="6"/>
  <c r="D814" i="6"/>
  <c r="C814" i="6"/>
  <c r="B814" i="6"/>
  <c r="A814" i="6" a="1"/>
  <c r="A814" i="6" s="1"/>
  <c r="I813" i="6" a="1"/>
  <c r="I813" i="6" s="1"/>
  <c r="F813" i="6" s="1" a="1"/>
  <c r="F813" i="6" s="1"/>
  <c r="H813" i="6" a="1"/>
  <c r="H813" i="6" s="1"/>
  <c r="E813" i="6"/>
  <c r="D813" i="6"/>
  <c r="C813" i="6"/>
  <c r="B813" i="6"/>
  <c r="A813" i="6" a="1"/>
  <c r="A813" i="6" s="1"/>
  <c r="I812" i="6" a="1"/>
  <c r="I812" i="6" s="1"/>
  <c r="F812" i="6" s="1" a="1"/>
  <c r="F812" i="6" s="1"/>
  <c r="H812" i="6" a="1"/>
  <c r="H812" i="6" s="1"/>
  <c r="E812" i="6"/>
  <c r="D812" i="6"/>
  <c r="C812" i="6"/>
  <c r="B812" i="6"/>
  <c r="A812" i="6" a="1"/>
  <c r="A812" i="6" s="1"/>
  <c r="I811" i="6" a="1"/>
  <c r="I811" i="6" s="1"/>
  <c r="F811" i="6" s="1" a="1"/>
  <c r="F811" i="6" s="1"/>
  <c r="H811" i="6" a="1"/>
  <c r="H811" i="6" s="1"/>
  <c r="E811" i="6"/>
  <c r="D811" i="6"/>
  <c r="C811" i="6"/>
  <c r="B811" i="6"/>
  <c r="A811" i="6" a="1"/>
  <c r="A811" i="6" s="1"/>
  <c r="I810" i="6" a="1"/>
  <c r="I810" i="6" s="1"/>
  <c r="F810" i="6" s="1" a="1"/>
  <c r="F810" i="6" s="1"/>
  <c r="H810" i="6" a="1"/>
  <c r="H810" i="6" s="1"/>
  <c r="E810" i="6"/>
  <c r="D810" i="6"/>
  <c r="C810" i="6"/>
  <c r="B810" i="6"/>
  <c r="A810" i="6" a="1"/>
  <c r="A810" i="6" s="1"/>
  <c r="I809" i="6" a="1"/>
  <c r="I809" i="6" s="1"/>
  <c r="F809" i="6" s="1" a="1"/>
  <c r="F809" i="6" s="1"/>
  <c r="H809" i="6" a="1"/>
  <c r="H809" i="6" s="1"/>
  <c r="E809" i="6"/>
  <c r="D809" i="6"/>
  <c r="C809" i="6"/>
  <c r="B809" i="6"/>
  <c r="A809" i="6" a="1"/>
  <c r="A809" i="6" s="1"/>
  <c r="I808" i="6" a="1"/>
  <c r="I808" i="6" s="1"/>
  <c r="F808" i="6" s="1" a="1"/>
  <c r="F808" i="6" s="1"/>
  <c r="H808" i="6" a="1"/>
  <c r="H808" i="6" s="1"/>
  <c r="E808" i="6"/>
  <c r="D808" i="6"/>
  <c r="C808" i="6"/>
  <c r="B808" i="6"/>
  <c r="A808" i="6" a="1"/>
  <c r="A808" i="6" s="1"/>
  <c r="I807" i="6" a="1"/>
  <c r="I807" i="6" s="1"/>
  <c r="F807" i="6" s="1" a="1"/>
  <c r="F807" i="6" s="1"/>
  <c r="H807" i="6" a="1"/>
  <c r="H807" i="6" s="1"/>
  <c r="E807" i="6"/>
  <c r="D807" i="6"/>
  <c r="C807" i="6"/>
  <c r="B807" i="6"/>
  <c r="A807" i="6" a="1"/>
  <c r="A807" i="6" s="1"/>
  <c r="I806" i="6" a="1"/>
  <c r="I806" i="6" s="1"/>
  <c r="F806" i="6" s="1" a="1"/>
  <c r="F806" i="6" s="1"/>
  <c r="H806" i="6" a="1"/>
  <c r="H806" i="6" s="1"/>
  <c r="E806" i="6"/>
  <c r="D806" i="6"/>
  <c r="C806" i="6"/>
  <c r="B806" i="6"/>
  <c r="A806" i="6" a="1"/>
  <c r="A806" i="6" s="1"/>
  <c r="I805" i="6" a="1"/>
  <c r="I805" i="6" s="1"/>
  <c r="F805" i="6" s="1" a="1"/>
  <c r="F805" i="6" s="1"/>
  <c r="H805" i="6" a="1"/>
  <c r="H805" i="6" s="1"/>
  <c r="E805" i="6"/>
  <c r="D805" i="6"/>
  <c r="C805" i="6"/>
  <c r="B805" i="6"/>
  <c r="A805" i="6" a="1"/>
  <c r="A805" i="6" s="1"/>
  <c r="I804" i="6" a="1"/>
  <c r="I804" i="6" s="1"/>
  <c r="F804" i="6" s="1" a="1"/>
  <c r="F804" i="6" s="1"/>
  <c r="H804" i="6" a="1"/>
  <c r="H804" i="6" s="1"/>
  <c r="E804" i="6"/>
  <c r="D804" i="6"/>
  <c r="C804" i="6"/>
  <c r="B804" i="6"/>
  <c r="A804" i="6" a="1"/>
  <c r="A804" i="6" s="1"/>
  <c r="I803" i="6" a="1"/>
  <c r="I803" i="6" s="1"/>
  <c r="F803" i="6" s="1" a="1"/>
  <c r="F803" i="6" s="1"/>
  <c r="H803" i="6" a="1"/>
  <c r="H803" i="6" s="1"/>
  <c r="E803" i="6"/>
  <c r="D803" i="6"/>
  <c r="C803" i="6"/>
  <c r="B803" i="6"/>
  <c r="A803" i="6" a="1"/>
  <c r="A803" i="6" s="1"/>
  <c r="I802" i="6" a="1"/>
  <c r="I802" i="6" s="1"/>
  <c r="F802" i="6" s="1" a="1"/>
  <c r="F802" i="6" s="1"/>
  <c r="H802" i="6" a="1"/>
  <c r="H802" i="6" s="1"/>
  <c r="E802" i="6"/>
  <c r="D802" i="6"/>
  <c r="C802" i="6"/>
  <c r="B802" i="6"/>
  <c r="A802" i="6" a="1"/>
  <c r="A802" i="6" s="1"/>
  <c r="I801" i="6" a="1"/>
  <c r="I801" i="6" s="1"/>
  <c r="F801" i="6" s="1" a="1"/>
  <c r="F801" i="6" s="1"/>
  <c r="H801" i="6" a="1"/>
  <c r="H801" i="6" s="1"/>
  <c r="E801" i="6"/>
  <c r="D801" i="6"/>
  <c r="C801" i="6"/>
  <c r="B801" i="6"/>
  <c r="A801" i="6" a="1"/>
  <c r="A801" i="6" s="1"/>
  <c r="I800" i="6" a="1"/>
  <c r="I800" i="6" s="1"/>
  <c r="F800" i="6" s="1" a="1"/>
  <c r="F800" i="6" s="1"/>
  <c r="H800" i="6" a="1"/>
  <c r="H800" i="6" s="1"/>
  <c r="E800" i="6"/>
  <c r="D800" i="6"/>
  <c r="C800" i="6"/>
  <c r="B800" i="6"/>
  <c r="A800" i="6" a="1"/>
  <c r="A800" i="6" s="1"/>
  <c r="I799" i="6" a="1"/>
  <c r="I799" i="6" s="1"/>
  <c r="F799" i="6" s="1" a="1"/>
  <c r="F799" i="6" s="1"/>
  <c r="H799" i="6" a="1"/>
  <c r="H799" i="6" s="1"/>
  <c r="E799" i="6"/>
  <c r="D799" i="6"/>
  <c r="C799" i="6"/>
  <c r="B799" i="6"/>
  <c r="A799" i="6" a="1"/>
  <c r="A799" i="6" s="1"/>
  <c r="I798" i="6" a="1"/>
  <c r="I798" i="6" s="1"/>
  <c r="F798" i="6" s="1" a="1"/>
  <c r="F798" i="6" s="1"/>
  <c r="H798" i="6" a="1"/>
  <c r="H798" i="6" s="1"/>
  <c r="E798" i="6"/>
  <c r="D798" i="6"/>
  <c r="C798" i="6"/>
  <c r="B798" i="6"/>
  <c r="A798" i="6" a="1"/>
  <c r="A798" i="6" s="1"/>
  <c r="I797" i="6" a="1"/>
  <c r="I797" i="6" s="1"/>
  <c r="F797" i="6" s="1" a="1"/>
  <c r="F797" i="6" s="1"/>
  <c r="H797" i="6" a="1"/>
  <c r="H797" i="6" s="1"/>
  <c r="E797" i="6"/>
  <c r="D797" i="6"/>
  <c r="C797" i="6"/>
  <c r="B797" i="6"/>
  <c r="A797" i="6" a="1"/>
  <c r="A797" i="6" s="1"/>
  <c r="I796" i="6" a="1"/>
  <c r="I796" i="6" s="1"/>
  <c r="F796" i="6" s="1" a="1"/>
  <c r="F796" i="6" s="1"/>
  <c r="H796" i="6" a="1"/>
  <c r="H796" i="6" s="1"/>
  <c r="E796" i="6"/>
  <c r="D796" i="6"/>
  <c r="C796" i="6"/>
  <c r="B796" i="6"/>
  <c r="A796" i="6" a="1"/>
  <c r="A796" i="6" s="1"/>
  <c r="I795" i="6" a="1"/>
  <c r="I795" i="6" s="1"/>
  <c r="F795" i="6" s="1" a="1"/>
  <c r="F795" i="6" s="1"/>
  <c r="H795" i="6" a="1"/>
  <c r="H795" i="6" s="1"/>
  <c r="E795" i="6"/>
  <c r="D795" i="6"/>
  <c r="C795" i="6"/>
  <c r="B795" i="6"/>
  <c r="A795" i="6" a="1"/>
  <c r="A795" i="6" s="1"/>
  <c r="I794" i="6" a="1"/>
  <c r="I794" i="6" s="1"/>
  <c r="F794" i="6" s="1" a="1"/>
  <c r="F794" i="6" s="1"/>
  <c r="H794" i="6" a="1"/>
  <c r="H794" i="6" s="1"/>
  <c r="E794" i="6"/>
  <c r="D794" i="6"/>
  <c r="C794" i="6"/>
  <c r="B794" i="6"/>
  <c r="A794" i="6" a="1"/>
  <c r="A794" i="6" s="1"/>
  <c r="I793" i="6" a="1"/>
  <c r="I793" i="6" s="1"/>
  <c r="F793" i="6" s="1" a="1"/>
  <c r="F793" i="6" s="1"/>
  <c r="H793" i="6" a="1"/>
  <c r="H793" i="6" s="1"/>
  <c r="E793" i="6"/>
  <c r="D793" i="6"/>
  <c r="C793" i="6"/>
  <c r="B793" i="6"/>
  <c r="A793" i="6" a="1"/>
  <c r="A793" i="6" s="1"/>
  <c r="I792" i="6" a="1"/>
  <c r="I792" i="6" s="1"/>
  <c r="F792" i="6" s="1" a="1"/>
  <c r="F792" i="6" s="1"/>
  <c r="H792" i="6" a="1"/>
  <c r="H792" i="6" s="1"/>
  <c r="E792" i="6"/>
  <c r="D792" i="6"/>
  <c r="C792" i="6"/>
  <c r="B792" i="6"/>
  <c r="A792" i="6" a="1"/>
  <c r="A792" i="6" s="1"/>
  <c r="I791" i="6" a="1"/>
  <c r="I791" i="6" s="1"/>
  <c r="F791" i="6" s="1" a="1"/>
  <c r="F791" i="6" s="1"/>
  <c r="H791" i="6" a="1"/>
  <c r="H791" i="6" s="1"/>
  <c r="E791" i="6"/>
  <c r="D791" i="6"/>
  <c r="C791" i="6"/>
  <c r="B791" i="6"/>
  <c r="A791" i="6" a="1"/>
  <c r="A791" i="6" s="1"/>
  <c r="I790" i="6" a="1"/>
  <c r="I790" i="6" s="1"/>
  <c r="F790" i="6" s="1" a="1"/>
  <c r="F790" i="6" s="1"/>
  <c r="H790" i="6" a="1"/>
  <c r="H790" i="6" s="1"/>
  <c r="E790" i="6"/>
  <c r="D790" i="6"/>
  <c r="C790" i="6"/>
  <c r="B790" i="6"/>
  <c r="A790" i="6" a="1"/>
  <c r="A790" i="6" s="1"/>
  <c r="I789" i="6" a="1"/>
  <c r="I789" i="6" s="1"/>
  <c r="F789" i="6" s="1" a="1"/>
  <c r="F789" i="6" s="1"/>
  <c r="H789" i="6" a="1"/>
  <c r="H789" i="6" s="1"/>
  <c r="E789" i="6"/>
  <c r="D789" i="6"/>
  <c r="C789" i="6"/>
  <c r="B789" i="6"/>
  <c r="A789" i="6" a="1"/>
  <c r="A789" i="6" s="1"/>
  <c r="I788" i="6" a="1"/>
  <c r="I788" i="6" s="1"/>
  <c r="F788" i="6" s="1" a="1"/>
  <c r="F788" i="6" s="1"/>
  <c r="H788" i="6" a="1"/>
  <c r="H788" i="6" s="1"/>
  <c r="E788" i="6"/>
  <c r="D788" i="6"/>
  <c r="C788" i="6"/>
  <c r="B788" i="6"/>
  <c r="A788" i="6" a="1"/>
  <c r="A788" i="6" s="1"/>
  <c r="I787" i="6" a="1"/>
  <c r="I787" i="6" s="1"/>
  <c r="F787" i="6" s="1" a="1"/>
  <c r="F787" i="6" s="1"/>
  <c r="H787" i="6" a="1"/>
  <c r="H787" i="6" s="1"/>
  <c r="E787" i="6"/>
  <c r="D787" i="6"/>
  <c r="C787" i="6"/>
  <c r="B787" i="6"/>
  <c r="A787" i="6" a="1"/>
  <c r="A787" i="6" s="1"/>
  <c r="I786" i="6" a="1"/>
  <c r="I786" i="6" s="1"/>
  <c r="F786" i="6" s="1" a="1"/>
  <c r="F786" i="6" s="1"/>
  <c r="H786" i="6" a="1"/>
  <c r="H786" i="6" s="1"/>
  <c r="E786" i="6"/>
  <c r="D786" i="6"/>
  <c r="C786" i="6"/>
  <c r="B786" i="6"/>
  <c r="A786" i="6" a="1"/>
  <c r="A786" i="6" s="1"/>
  <c r="I785" i="6" a="1"/>
  <c r="I785" i="6" s="1"/>
  <c r="F785" i="6" s="1" a="1"/>
  <c r="F785" i="6" s="1"/>
  <c r="H785" i="6" a="1"/>
  <c r="H785" i="6" s="1"/>
  <c r="E785" i="6"/>
  <c r="D785" i="6"/>
  <c r="C785" i="6"/>
  <c r="B785" i="6"/>
  <c r="A785" i="6" a="1"/>
  <c r="A785" i="6" s="1"/>
  <c r="I784" i="6" a="1"/>
  <c r="I784" i="6" s="1"/>
  <c r="F784" i="6" s="1" a="1"/>
  <c r="F784" i="6" s="1"/>
  <c r="H784" i="6" a="1"/>
  <c r="H784" i="6" s="1"/>
  <c r="E784" i="6"/>
  <c r="D784" i="6"/>
  <c r="C784" i="6"/>
  <c r="B784" i="6"/>
  <c r="A784" i="6" a="1"/>
  <c r="A784" i="6" s="1"/>
  <c r="I783" i="6" a="1"/>
  <c r="I783" i="6" s="1"/>
  <c r="F783" i="6" s="1" a="1"/>
  <c r="F783" i="6" s="1"/>
  <c r="H783" i="6" a="1"/>
  <c r="H783" i="6" s="1"/>
  <c r="E783" i="6"/>
  <c r="D783" i="6"/>
  <c r="C783" i="6"/>
  <c r="B783" i="6"/>
  <c r="A783" i="6" a="1"/>
  <c r="A783" i="6" s="1"/>
  <c r="I782" i="6" a="1"/>
  <c r="I782" i="6" s="1"/>
  <c r="F782" i="6" s="1" a="1"/>
  <c r="F782" i="6" s="1"/>
  <c r="H782" i="6" a="1"/>
  <c r="H782" i="6" s="1"/>
  <c r="E782" i="6"/>
  <c r="D782" i="6"/>
  <c r="C782" i="6"/>
  <c r="B782" i="6"/>
  <c r="A782" i="6" a="1"/>
  <c r="A782" i="6" s="1"/>
  <c r="I781" i="6" a="1"/>
  <c r="I781" i="6" s="1"/>
  <c r="F781" i="6" s="1" a="1"/>
  <c r="F781" i="6" s="1"/>
  <c r="H781" i="6" a="1"/>
  <c r="H781" i="6" s="1"/>
  <c r="E781" i="6"/>
  <c r="D781" i="6"/>
  <c r="C781" i="6"/>
  <c r="B781" i="6"/>
  <c r="A781" i="6" a="1"/>
  <c r="A781" i="6" s="1"/>
  <c r="I780" i="6" a="1"/>
  <c r="I780" i="6" s="1"/>
  <c r="F780" i="6" s="1" a="1"/>
  <c r="F780" i="6" s="1"/>
  <c r="H780" i="6" a="1"/>
  <c r="H780" i="6" s="1"/>
  <c r="E780" i="6"/>
  <c r="D780" i="6"/>
  <c r="C780" i="6"/>
  <c r="B780" i="6"/>
  <c r="A780" i="6" a="1"/>
  <c r="A780" i="6" s="1"/>
  <c r="I779" i="6" a="1"/>
  <c r="I779" i="6" s="1"/>
  <c r="F779" i="6" s="1" a="1"/>
  <c r="F779" i="6" s="1"/>
  <c r="H779" i="6" a="1"/>
  <c r="H779" i="6" s="1"/>
  <c r="E779" i="6"/>
  <c r="D779" i="6"/>
  <c r="C779" i="6"/>
  <c r="B779" i="6"/>
  <c r="A779" i="6" a="1"/>
  <c r="A779" i="6" s="1"/>
  <c r="I778" i="6" a="1"/>
  <c r="I778" i="6" s="1"/>
  <c r="F778" i="6" s="1" a="1"/>
  <c r="F778" i="6" s="1"/>
  <c r="H778" i="6" a="1"/>
  <c r="H778" i="6" s="1"/>
  <c r="E778" i="6"/>
  <c r="D778" i="6"/>
  <c r="C778" i="6"/>
  <c r="B778" i="6"/>
  <c r="A778" i="6" a="1"/>
  <c r="A778" i="6" s="1"/>
  <c r="I777" i="6" a="1"/>
  <c r="I777" i="6" s="1"/>
  <c r="F777" i="6" s="1" a="1"/>
  <c r="F777" i="6" s="1"/>
  <c r="H777" i="6" a="1"/>
  <c r="H777" i="6" s="1"/>
  <c r="E777" i="6"/>
  <c r="D777" i="6"/>
  <c r="C777" i="6"/>
  <c r="B777" i="6"/>
  <c r="A777" i="6" a="1"/>
  <c r="A777" i="6" s="1"/>
  <c r="I776" i="6" a="1"/>
  <c r="I776" i="6" s="1"/>
  <c r="F776" i="6" s="1" a="1"/>
  <c r="F776" i="6" s="1"/>
  <c r="H776" i="6" a="1"/>
  <c r="H776" i="6" s="1"/>
  <c r="E776" i="6"/>
  <c r="D776" i="6"/>
  <c r="C776" i="6"/>
  <c r="B776" i="6"/>
  <c r="A776" i="6" a="1"/>
  <c r="A776" i="6" s="1"/>
  <c r="I775" i="6" a="1"/>
  <c r="I775" i="6" s="1"/>
  <c r="F775" i="6" s="1" a="1"/>
  <c r="F775" i="6" s="1"/>
  <c r="H775" i="6" a="1"/>
  <c r="H775" i="6" s="1"/>
  <c r="E775" i="6"/>
  <c r="D775" i="6"/>
  <c r="C775" i="6"/>
  <c r="B775" i="6"/>
  <c r="A775" i="6" a="1"/>
  <c r="A775" i="6" s="1"/>
  <c r="I774" i="6" a="1"/>
  <c r="I774" i="6" s="1"/>
  <c r="F774" i="6" s="1" a="1"/>
  <c r="F774" i="6" s="1"/>
  <c r="H774" i="6" a="1"/>
  <c r="H774" i="6" s="1"/>
  <c r="E774" i="6"/>
  <c r="D774" i="6"/>
  <c r="C774" i="6"/>
  <c r="B774" i="6"/>
  <c r="A774" i="6" a="1"/>
  <c r="A774" i="6" s="1"/>
  <c r="I773" i="6" a="1"/>
  <c r="I773" i="6" s="1"/>
  <c r="F773" i="6" s="1" a="1"/>
  <c r="F773" i="6" s="1"/>
  <c r="H773" i="6" a="1"/>
  <c r="H773" i="6" s="1"/>
  <c r="E773" i="6"/>
  <c r="D773" i="6"/>
  <c r="C773" i="6"/>
  <c r="B773" i="6"/>
  <c r="A773" i="6" a="1"/>
  <c r="A773" i="6" s="1"/>
  <c r="I772" i="6" a="1"/>
  <c r="I772" i="6" s="1"/>
  <c r="F772" i="6" s="1" a="1"/>
  <c r="F772" i="6" s="1"/>
  <c r="H772" i="6" a="1"/>
  <c r="H772" i="6" s="1"/>
  <c r="E772" i="6"/>
  <c r="D772" i="6"/>
  <c r="C772" i="6"/>
  <c r="B772" i="6"/>
  <c r="A772" i="6" a="1"/>
  <c r="A772" i="6" s="1"/>
  <c r="I771" i="6" a="1"/>
  <c r="I771" i="6" s="1"/>
  <c r="F771" i="6" s="1" a="1"/>
  <c r="F771" i="6" s="1"/>
  <c r="H771" i="6" a="1"/>
  <c r="H771" i="6" s="1"/>
  <c r="E771" i="6"/>
  <c r="D771" i="6"/>
  <c r="C771" i="6"/>
  <c r="B771" i="6"/>
  <c r="A771" i="6" a="1"/>
  <c r="A771" i="6" s="1"/>
  <c r="I770" i="6" a="1"/>
  <c r="I770" i="6" s="1"/>
  <c r="F770" i="6" s="1" a="1"/>
  <c r="F770" i="6" s="1"/>
  <c r="H770" i="6" a="1"/>
  <c r="H770" i="6" s="1"/>
  <c r="E770" i="6"/>
  <c r="D770" i="6"/>
  <c r="C770" i="6"/>
  <c r="B770" i="6"/>
  <c r="A770" i="6" a="1"/>
  <c r="A770" i="6" s="1"/>
  <c r="I769" i="6" a="1"/>
  <c r="I769" i="6" s="1"/>
  <c r="F769" i="6" s="1" a="1"/>
  <c r="F769" i="6" s="1"/>
  <c r="H769" i="6" a="1"/>
  <c r="H769" i="6" s="1"/>
  <c r="E769" i="6"/>
  <c r="D769" i="6"/>
  <c r="C769" i="6"/>
  <c r="B769" i="6"/>
  <c r="A769" i="6" a="1"/>
  <c r="A769" i="6" s="1"/>
  <c r="I768" i="6" a="1"/>
  <c r="I768" i="6" s="1"/>
  <c r="F768" i="6" s="1" a="1"/>
  <c r="F768" i="6" s="1"/>
  <c r="H768" i="6" a="1"/>
  <c r="H768" i="6" s="1"/>
  <c r="E768" i="6"/>
  <c r="D768" i="6"/>
  <c r="C768" i="6"/>
  <c r="B768" i="6"/>
  <c r="A768" i="6" a="1"/>
  <c r="A768" i="6" s="1"/>
  <c r="I767" i="6" a="1"/>
  <c r="I767" i="6" s="1"/>
  <c r="F767" i="6" s="1" a="1"/>
  <c r="F767" i="6" s="1"/>
  <c r="H767" i="6" a="1"/>
  <c r="H767" i="6" s="1"/>
  <c r="E767" i="6"/>
  <c r="D767" i="6"/>
  <c r="C767" i="6"/>
  <c r="B767" i="6"/>
  <c r="A767" i="6" a="1"/>
  <c r="A767" i="6" s="1"/>
  <c r="I766" i="6" a="1"/>
  <c r="I766" i="6" s="1"/>
  <c r="F766" i="6" s="1" a="1"/>
  <c r="F766" i="6" s="1"/>
  <c r="H766" i="6" a="1"/>
  <c r="H766" i="6" s="1"/>
  <c r="E766" i="6"/>
  <c r="D766" i="6"/>
  <c r="C766" i="6"/>
  <c r="B766" i="6"/>
  <c r="A766" i="6" a="1"/>
  <c r="A766" i="6" s="1"/>
  <c r="I765" i="6" a="1"/>
  <c r="I765" i="6" s="1"/>
  <c r="F765" i="6" s="1" a="1"/>
  <c r="F765" i="6" s="1"/>
  <c r="H765" i="6" a="1"/>
  <c r="H765" i="6" s="1"/>
  <c r="E765" i="6"/>
  <c r="D765" i="6"/>
  <c r="C765" i="6"/>
  <c r="B765" i="6"/>
  <c r="A765" i="6" a="1"/>
  <c r="A765" i="6" s="1"/>
  <c r="I764" i="6" a="1"/>
  <c r="I764" i="6" s="1"/>
  <c r="F764" i="6" s="1" a="1"/>
  <c r="F764" i="6" s="1"/>
  <c r="H764" i="6" a="1"/>
  <c r="H764" i="6" s="1"/>
  <c r="E764" i="6"/>
  <c r="D764" i="6"/>
  <c r="C764" i="6"/>
  <c r="B764" i="6"/>
  <c r="A764" i="6" a="1"/>
  <c r="A764" i="6" s="1"/>
  <c r="I763" i="6" a="1"/>
  <c r="I763" i="6" s="1"/>
  <c r="F763" i="6" s="1" a="1"/>
  <c r="F763" i="6" s="1"/>
  <c r="H763" i="6" a="1"/>
  <c r="H763" i="6" s="1"/>
  <c r="E763" i="6"/>
  <c r="D763" i="6"/>
  <c r="C763" i="6"/>
  <c r="B763" i="6"/>
  <c r="A763" i="6" a="1"/>
  <c r="A763" i="6" s="1"/>
  <c r="I762" i="6" a="1"/>
  <c r="I762" i="6" s="1"/>
  <c r="F762" i="6" s="1" a="1"/>
  <c r="F762" i="6" s="1"/>
  <c r="H762" i="6" a="1"/>
  <c r="H762" i="6" s="1"/>
  <c r="E762" i="6"/>
  <c r="D762" i="6"/>
  <c r="C762" i="6"/>
  <c r="B762" i="6"/>
  <c r="A762" i="6" a="1"/>
  <c r="A762" i="6" s="1"/>
  <c r="I761" i="6" a="1"/>
  <c r="I761" i="6" s="1"/>
  <c r="F761" i="6" s="1" a="1"/>
  <c r="F761" i="6" s="1"/>
  <c r="H761" i="6" a="1"/>
  <c r="H761" i="6" s="1"/>
  <c r="E761" i="6"/>
  <c r="D761" i="6"/>
  <c r="C761" i="6"/>
  <c r="B761" i="6"/>
  <c r="A761" i="6" a="1"/>
  <c r="A761" i="6" s="1"/>
  <c r="I760" i="6" a="1"/>
  <c r="I760" i="6" s="1"/>
  <c r="F760" i="6" s="1" a="1"/>
  <c r="F760" i="6" s="1"/>
  <c r="H760" i="6" a="1"/>
  <c r="H760" i="6" s="1"/>
  <c r="E760" i="6"/>
  <c r="D760" i="6"/>
  <c r="C760" i="6"/>
  <c r="B760" i="6"/>
  <c r="A760" i="6" a="1"/>
  <c r="A760" i="6" s="1"/>
  <c r="I759" i="6" a="1"/>
  <c r="I759" i="6" s="1"/>
  <c r="F759" i="6" s="1" a="1"/>
  <c r="F759" i="6" s="1"/>
  <c r="H759" i="6" a="1"/>
  <c r="H759" i="6" s="1"/>
  <c r="E759" i="6"/>
  <c r="D759" i="6"/>
  <c r="C759" i="6"/>
  <c r="B759" i="6"/>
  <c r="A759" i="6" a="1"/>
  <c r="A759" i="6" s="1"/>
  <c r="I758" i="6" a="1"/>
  <c r="I758" i="6" s="1"/>
  <c r="F758" i="6" s="1" a="1"/>
  <c r="F758" i="6" s="1"/>
  <c r="H758" i="6" a="1"/>
  <c r="H758" i="6" s="1"/>
  <c r="E758" i="6"/>
  <c r="D758" i="6"/>
  <c r="C758" i="6"/>
  <c r="B758" i="6"/>
  <c r="A758" i="6" a="1"/>
  <c r="A758" i="6" s="1"/>
  <c r="I757" i="6" a="1"/>
  <c r="I757" i="6" s="1"/>
  <c r="F757" i="6" s="1" a="1"/>
  <c r="F757" i="6" s="1"/>
  <c r="H757" i="6" a="1"/>
  <c r="H757" i="6" s="1"/>
  <c r="E757" i="6"/>
  <c r="D757" i="6"/>
  <c r="C757" i="6"/>
  <c r="B757" i="6"/>
  <c r="A757" i="6" a="1"/>
  <c r="A757" i="6" s="1"/>
  <c r="I756" i="6" a="1"/>
  <c r="I756" i="6" s="1"/>
  <c r="F756" i="6" s="1" a="1"/>
  <c r="F756" i="6" s="1"/>
  <c r="H756" i="6" a="1"/>
  <c r="H756" i="6" s="1"/>
  <c r="E756" i="6"/>
  <c r="D756" i="6"/>
  <c r="C756" i="6"/>
  <c r="B756" i="6"/>
  <c r="A756" i="6" a="1"/>
  <c r="A756" i="6" s="1"/>
  <c r="I755" i="6" a="1"/>
  <c r="I755" i="6" s="1"/>
  <c r="F755" i="6" s="1" a="1"/>
  <c r="F755" i="6" s="1"/>
  <c r="H755" i="6" a="1"/>
  <c r="H755" i="6" s="1"/>
  <c r="E755" i="6"/>
  <c r="D755" i="6"/>
  <c r="C755" i="6"/>
  <c r="B755" i="6"/>
  <c r="A755" i="6" a="1"/>
  <c r="A755" i="6" s="1"/>
  <c r="I754" i="6" a="1"/>
  <c r="I754" i="6" s="1"/>
  <c r="F754" i="6" s="1" a="1"/>
  <c r="F754" i="6" s="1"/>
  <c r="H754" i="6" a="1"/>
  <c r="H754" i="6" s="1"/>
  <c r="E754" i="6"/>
  <c r="D754" i="6"/>
  <c r="C754" i="6"/>
  <c r="B754" i="6"/>
  <c r="A754" i="6" a="1"/>
  <c r="A754" i="6" s="1"/>
  <c r="I753" i="6" a="1"/>
  <c r="I753" i="6" s="1"/>
  <c r="F753" i="6" s="1" a="1"/>
  <c r="F753" i="6" s="1"/>
  <c r="H753" i="6" a="1"/>
  <c r="H753" i="6" s="1"/>
  <c r="E753" i="6"/>
  <c r="D753" i="6"/>
  <c r="C753" i="6"/>
  <c r="B753" i="6"/>
  <c r="A753" i="6" a="1"/>
  <c r="A753" i="6" s="1"/>
  <c r="I752" i="6" a="1"/>
  <c r="I752" i="6" s="1"/>
  <c r="F752" i="6" s="1" a="1"/>
  <c r="F752" i="6" s="1"/>
  <c r="H752" i="6" a="1"/>
  <c r="H752" i="6" s="1"/>
  <c r="E752" i="6"/>
  <c r="D752" i="6"/>
  <c r="C752" i="6"/>
  <c r="B752" i="6"/>
  <c r="A752" i="6" a="1"/>
  <c r="A752" i="6" s="1"/>
  <c r="I751" i="6" a="1"/>
  <c r="I751" i="6" s="1"/>
  <c r="F751" i="6" s="1" a="1"/>
  <c r="F751" i="6" s="1"/>
  <c r="H751" i="6" a="1"/>
  <c r="H751" i="6" s="1"/>
  <c r="E751" i="6"/>
  <c r="D751" i="6"/>
  <c r="C751" i="6"/>
  <c r="B751" i="6"/>
  <c r="A751" i="6" a="1"/>
  <c r="A751" i="6" s="1"/>
  <c r="I750" i="6" a="1"/>
  <c r="I750" i="6" s="1"/>
  <c r="F750" i="6" s="1" a="1"/>
  <c r="F750" i="6" s="1"/>
  <c r="H750" i="6" a="1"/>
  <c r="H750" i="6" s="1"/>
  <c r="E750" i="6"/>
  <c r="D750" i="6"/>
  <c r="C750" i="6"/>
  <c r="B750" i="6"/>
  <c r="A750" i="6" a="1"/>
  <c r="A750" i="6" s="1"/>
  <c r="I749" i="6" a="1"/>
  <c r="I749" i="6" s="1"/>
  <c r="F749" i="6" s="1" a="1"/>
  <c r="F749" i="6" s="1"/>
  <c r="H749" i="6" a="1"/>
  <c r="H749" i="6" s="1"/>
  <c r="E749" i="6"/>
  <c r="D749" i="6"/>
  <c r="C749" i="6"/>
  <c r="B749" i="6"/>
  <c r="A749" i="6" a="1"/>
  <c r="A749" i="6" s="1"/>
  <c r="I748" i="6" a="1"/>
  <c r="I748" i="6" s="1"/>
  <c r="F748" i="6" s="1" a="1"/>
  <c r="F748" i="6" s="1"/>
  <c r="H748" i="6" a="1"/>
  <c r="H748" i="6" s="1"/>
  <c r="E748" i="6"/>
  <c r="D748" i="6"/>
  <c r="C748" i="6"/>
  <c r="B748" i="6"/>
  <c r="A748" i="6" a="1"/>
  <c r="A748" i="6" s="1"/>
  <c r="I747" i="6" a="1"/>
  <c r="I747" i="6" s="1"/>
  <c r="F747" i="6" s="1" a="1"/>
  <c r="F747" i="6" s="1"/>
  <c r="H747" i="6" a="1"/>
  <c r="H747" i="6" s="1"/>
  <c r="E747" i="6"/>
  <c r="D747" i="6"/>
  <c r="C747" i="6"/>
  <c r="B747" i="6"/>
  <c r="A747" i="6" a="1"/>
  <c r="A747" i="6" s="1"/>
  <c r="I746" i="6" a="1"/>
  <c r="I746" i="6" s="1"/>
  <c r="F746" i="6" s="1" a="1"/>
  <c r="F746" i="6" s="1"/>
  <c r="H746" i="6" a="1"/>
  <c r="H746" i="6" s="1"/>
  <c r="E746" i="6"/>
  <c r="D746" i="6"/>
  <c r="C746" i="6"/>
  <c r="B746" i="6"/>
  <c r="A746" i="6" a="1"/>
  <c r="A746" i="6" s="1"/>
  <c r="I745" i="6" a="1"/>
  <c r="I745" i="6" s="1"/>
  <c r="F745" i="6" s="1" a="1"/>
  <c r="F745" i="6" s="1"/>
  <c r="H745" i="6" a="1"/>
  <c r="H745" i="6" s="1"/>
  <c r="E745" i="6"/>
  <c r="D745" i="6"/>
  <c r="C745" i="6"/>
  <c r="B745" i="6"/>
  <c r="A745" i="6" a="1"/>
  <c r="A745" i="6" s="1"/>
  <c r="I744" i="6" a="1"/>
  <c r="I744" i="6" s="1"/>
  <c r="F744" i="6" s="1" a="1"/>
  <c r="F744" i="6" s="1"/>
  <c r="H744" i="6" a="1"/>
  <c r="H744" i="6" s="1"/>
  <c r="E744" i="6"/>
  <c r="D744" i="6"/>
  <c r="C744" i="6"/>
  <c r="B744" i="6"/>
  <c r="A744" i="6" a="1"/>
  <c r="A744" i="6" s="1"/>
  <c r="I743" i="6" a="1"/>
  <c r="I743" i="6" s="1"/>
  <c r="F743" i="6" s="1" a="1"/>
  <c r="F743" i="6" s="1"/>
  <c r="H743" i="6" a="1"/>
  <c r="H743" i="6" s="1"/>
  <c r="E743" i="6"/>
  <c r="D743" i="6"/>
  <c r="C743" i="6"/>
  <c r="B743" i="6"/>
  <c r="A743" i="6" a="1"/>
  <c r="A743" i="6" s="1"/>
  <c r="I742" i="6" a="1"/>
  <c r="I742" i="6" s="1"/>
  <c r="F742" i="6" s="1" a="1"/>
  <c r="F742" i="6" s="1"/>
  <c r="H742" i="6" a="1"/>
  <c r="H742" i="6" s="1"/>
  <c r="E742" i="6"/>
  <c r="D742" i="6"/>
  <c r="C742" i="6"/>
  <c r="B742" i="6"/>
  <c r="A742" i="6" a="1"/>
  <c r="A742" i="6" s="1"/>
  <c r="I741" i="6" a="1"/>
  <c r="I741" i="6" s="1"/>
  <c r="F741" i="6" s="1" a="1"/>
  <c r="F741" i="6" s="1"/>
  <c r="H741" i="6" a="1"/>
  <c r="H741" i="6" s="1"/>
  <c r="E741" i="6"/>
  <c r="D741" i="6"/>
  <c r="C741" i="6"/>
  <c r="B741" i="6"/>
  <c r="A741" i="6" a="1"/>
  <c r="A741" i="6" s="1"/>
  <c r="I740" i="6" a="1"/>
  <c r="I740" i="6" s="1"/>
  <c r="F740" i="6" s="1" a="1"/>
  <c r="F740" i="6" s="1"/>
  <c r="H740" i="6" a="1"/>
  <c r="H740" i="6" s="1"/>
  <c r="E740" i="6"/>
  <c r="D740" i="6"/>
  <c r="C740" i="6"/>
  <c r="B740" i="6"/>
  <c r="A740" i="6" a="1"/>
  <c r="A740" i="6" s="1"/>
  <c r="I739" i="6" a="1"/>
  <c r="I739" i="6" s="1"/>
  <c r="F739" i="6" s="1" a="1"/>
  <c r="F739" i="6" s="1"/>
  <c r="H739" i="6" a="1"/>
  <c r="H739" i="6" s="1"/>
  <c r="E739" i="6"/>
  <c r="D739" i="6"/>
  <c r="C739" i="6"/>
  <c r="B739" i="6"/>
  <c r="A739" i="6" a="1"/>
  <c r="A739" i="6" s="1"/>
  <c r="I738" i="6" a="1"/>
  <c r="I738" i="6" s="1"/>
  <c r="F738" i="6" s="1" a="1"/>
  <c r="F738" i="6" s="1"/>
  <c r="H738" i="6" a="1"/>
  <c r="H738" i="6" s="1"/>
  <c r="E738" i="6"/>
  <c r="D738" i="6"/>
  <c r="C738" i="6"/>
  <c r="B738" i="6"/>
  <c r="A738" i="6" a="1"/>
  <c r="A738" i="6" s="1"/>
  <c r="I737" i="6" a="1"/>
  <c r="I737" i="6" s="1"/>
  <c r="F737" i="6" s="1" a="1"/>
  <c r="F737" i="6" s="1"/>
  <c r="H737" i="6" a="1"/>
  <c r="H737" i="6" s="1"/>
  <c r="E737" i="6"/>
  <c r="D737" i="6"/>
  <c r="C737" i="6"/>
  <c r="B737" i="6"/>
  <c r="A737" i="6" a="1"/>
  <c r="A737" i="6" s="1"/>
  <c r="I736" i="6" a="1"/>
  <c r="I736" i="6" s="1"/>
  <c r="F736" i="6" s="1" a="1"/>
  <c r="F736" i="6" s="1"/>
  <c r="H736" i="6" a="1"/>
  <c r="H736" i="6" s="1"/>
  <c r="E736" i="6"/>
  <c r="D736" i="6"/>
  <c r="C736" i="6"/>
  <c r="B736" i="6"/>
  <c r="A736" i="6" a="1"/>
  <c r="A736" i="6" s="1"/>
  <c r="I735" i="6" a="1"/>
  <c r="I735" i="6" s="1"/>
  <c r="F735" i="6" s="1" a="1"/>
  <c r="F735" i="6" s="1"/>
  <c r="H735" i="6" a="1"/>
  <c r="H735" i="6" s="1"/>
  <c r="E735" i="6"/>
  <c r="D735" i="6"/>
  <c r="C735" i="6"/>
  <c r="B735" i="6"/>
  <c r="A735" i="6" a="1"/>
  <c r="A735" i="6" s="1"/>
  <c r="I734" i="6" a="1"/>
  <c r="I734" i="6" s="1"/>
  <c r="F734" i="6" s="1" a="1"/>
  <c r="F734" i="6" s="1"/>
  <c r="H734" i="6" a="1"/>
  <c r="H734" i="6" s="1"/>
  <c r="E734" i="6"/>
  <c r="D734" i="6"/>
  <c r="C734" i="6"/>
  <c r="B734" i="6"/>
  <c r="A734" i="6" a="1"/>
  <c r="A734" i="6" s="1"/>
  <c r="I733" i="6" a="1"/>
  <c r="I733" i="6" s="1"/>
  <c r="F733" i="6" s="1" a="1"/>
  <c r="F733" i="6" s="1"/>
  <c r="H733" i="6" a="1"/>
  <c r="H733" i="6" s="1"/>
  <c r="E733" i="6"/>
  <c r="D733" i="6"/>
  <c r="C733" i="6"/>
  <c r="B733" i="6"/>
  <c r="A733" i="6" a="1"/>
  <c r="A733" i="6" s="1"/>
  <c r="I732" i="6" a="1"/>
  <c r="I732" i="6" s="1"/>
  <c r="F732" i="6" s="1" a="1"/>
  <c r="F732" i="6" s="1"/>
  <c r="H732" i="6" a="1"/>
  <c r="H732" i="6" s="1"/>
  <c r="E732" i="6"/>
  <c r="D732" i="6"/>
  <c r="C732" i="6"/>
  <c r="B732" i="6"/>
  <c r="A732" i="6" a="1"/>
  <c r="A732" i="6" s="1"/>
  <c r="I731" i="6" a="1"/>
  <c r="I731" i="6" s="1"/>
  <c r="F731" i="6" s="1" a="1"/>
  <c r="F731" i="6" s="1"/>
  <c r="H731" i="6" a="1"/>
  <c r="H731" i="6" s="1"/>
  <c r="E731" i="6"/>
  <c r="D731" i="6"/>
  <c r="C731" i="6"/>
  <c r="B731" i="6"/>
  <c r="A731" i="6" a="1"/>
  <c r="A731" i="6" s="1"/>
  <c r="I730" i="6" a="1"/>
  <c r="I730" i="6" s="1"/>
  <c r="F730" i="6" s="1" a="1"/>
  <c r="F730" i="6" s="1"/>
  <c r="H730" i="6" a="1"/>
  <c r="H730" i="6" s="1"/>
  <c r="E730" i="6"/>
  <c r="D730" i="6"/>
  <c r="C730" i="6"/>
  <c r="B730" i="6"/>
  <c r="A730" i="6" a="1"/>
  <c r="A730" i="6" s="1"/>
  <c r="I729" i="6" a="1"/>
  <c r="I729" i="6" s="1"/>
  <c r="F729" i="6" s="1" a="1"/>
  <c r="F729" i="6" s="1"/>
  <c r="H729" i="6" a="1"/>
  <c r="H729" i="6" s="1"/>
  <c r="E729" i="6"/>
  <c r="D729" i="6"/>
  <c r="C729" i="6"/>
  <c r="B729" i="6"/>
  <c r="A729" i="6" a="1"/>
  <c r="A729" i="6" s="1"/>
  <c r="I728" i="6" a="1"/>
  <c r="I728" i="6" s="1"/>
  <c r="F728" i="6" s="1" a="1"/>
  <c r="F728" i="6" s="1"/>
  <c r="H728" i="6" a="1"/>
  <c r="H728" i="6" s="1"/>
  <c r="E728" i="6"/>
  <c r="D728" i="6"/>
  <c r="C728" i="6"/>
  <c r="B728" i="6"/>
  <c r="A728" i="6" a="1"/>
  <c r="A728" i="6" s="1"/>
  <c r="I727" i="6" a="1"/>
  <c r="I727" i="6" s="1"/>
  <c r="F727" i="6" s="1" a="1"/>
  <c r="F727" i="6" s="1"/>
  <c r="H727" i="6" a="1"/>
  <c r="H727" i="6" s="1"/>
  <c r="E727" i="6"/>
  <c r="D727" i="6"/>
  <c r="C727" i="6"/>
  <c r="B727" i="6"/>
  <c r="A727" i="6" a="1"/>
  <c r="A727" i="6" s="1"/>
  <c r="I726" i="6" a="1"/>
  <c r="I726" i="6" s="1"/>
  <c r="F726" i="6" s="1" a="1"/>
  <c r="F726" i="6" s="1"/>
  <c r="H726" i="6" a="1"/>
  <c r="H726" i="6" s="1"/>
  <c r="E726" i="6"/>
  <c r="D726" i="6"/>
  <c r="C726" i="6"/>
  <c r="B726" i="6"/>
  <c r="A726" i="6" a="1"/>
  <c r="A726" i="6" s="1"/>
  <c r="I725" i="6" a="1"/>
  <c r="I725" i="6" s="1"/>
  <c r="F725" i="6" s="1" a="1"/>
  <c r="F725" i="6" s="1"/>
  <c r="H725" i="6" a="1"/>
  <c r="H725" i="6" s="1"/>
  <c r="E725" i="6"/>
  <c r="D725" i="6"/>
  <c r="C725" i="6"/>
  <c r="B725" i="6"/>
  <c r="A725" i="6" a="1"/>
  <c r="A725" i="6" s="1"/>
  <c r="I724" i="6" a="1"/>
  <c r="I724" i="6" s="1"/>
  <c r="F724" i="6" s="1" a="1"/>
  <c r="F724" i="6" s="1"/>
  <c r="H724" i="6" a="1"/>
  <c r="H724" i="6" s="1"/>
  <c r="E724" i="6"/>
  <c r="D724" i="6"/>
  <c r="C724" i="6"/>
  <c r="B724" i="6"/>
  <c r="A724" i="6" a="1"/>
  <c r="A724" i="6" s="1"/>
  <c r="I723" i="6" a="1"/>
  <c r="I723" i="6" s="1"/>
  <c r="F723" i="6" s="1" a="1"/>
  <c r="F723" i="6" s="1"/>
  <c r="H723" i="6" a="1"/>
  <c r="H723" i="6" s="1"/>
  <c r="E723" i="6"/>
  <c r="D723" i="6"/>
  <c r="C723" i="6"/>
  <c r="B723" i="6"/>
  <c r="A723" i="6" a="1"/>
  <c r="A723" i="6" s="1"/>
  <c r="I722" i="6" a="1"/>
  <c r="I722" i="6" s="1"/>
  <c r="F722" i="6" s="1" a="1"/>
  <c r="F722" i="6" s="1"/>
  <c r="H722" i="6" a="1"/>
  <c r="H722" i="6" s="1"/>
  <c r="E722" i="6"/>
  <c r="D722" i="6"/>
  <c r="C722" i="6"/>
  <c r="B722" i="6"/>
  <c r="A722" i="6" a="1"/>
  <c r="A722" i="6" s="1"/>
  <c r="I721" i="6" a="1"/>
  <c r="I721" i="6" s="1"/>
  <c r="F721" i="6" s="1" a="1"/>
  <c r="F721" i="6" s="1"/>
  <c r="H721" i="6" a="1"/>
  <c r="H721" i="6" s="1"/>
  <c r="E721" i="6"/>
  <c r="D721" i="6"/>
  <c r="C721" i="6"/>
  <c r="B721" i="6"/>
  <c r="A721" i="6" a="1"/>
  <c r="A721" i="6" s="1"/>
  <c r="I720" i="6" a="1"/>
  <c r="I720" i="6" s="1"/>
  <c r="F720" i="6" s="1" a="1"/>
  <c r="F720" i="6" s="1"/>
  <c r="H720" i="6" a="1"/>
  <c r="H720" i="6" s="1"/>
  <c r="E720" i="6"/>
  <c r="D720" i="6"/>
  <c r="C720" i="6"/>
  <c r="B720" i="6"/>
  <c r="A720" i="6" a="1"/>
  <c r="A720" i="6" s="1"/>
  <c r="I719" i="6" a="1"/>
  <c r="I719" i="6" s="1"/>
  <c r="F719" i="6" s="1" a="1"/>
  <c r="F719" i="6" s="1"/>
  <c r="H719" i="6" a="1"/>
  <c r="H719" i="6" s="1"/>
  <c r="E719" i="6"/>
  <c r="D719" i="6"/>
  <c r="C719" i="6"/>
  <c r="B719" i="6"/>
  <c r="A719" i="6" a="1"/>
  <c r="A719" i="6" s="1"/>
  <c r="I718" i="6" a="1"/>
  <c r="I718" i="6" s="1"/>
  <c r="F718" i="6" s="1" a="1"/>
  <c r="F718" i="6" s="1"/>
  <c r="H718" i="6" a="1"/>
  <c r="H718" i="6" s="1"/>
  <c r="E718" i="6"/>
  <c r="D718" i="6"/>
  <c r="C718" i="6"/>
  <c r="B718" i="6"/>
  <c r="A718" i="6" a="1"/>
  <c r="A718" i="6" s="1"/>
  <c r="I717" i="6" a="1"/>
  <c r="I717" i="6" s="1"/>
  <c r="F717" i="6" s="1" a="1"/>
  <c r="F717" i="6" s="1"/>
  <c r="H717" i="6" a="1"/>
  <c r="H717" i="6" s="1"/>
  <c r="E717" i="6"/>
  <c r="D717" i="6"/>
  <c r="C717" i="6"/>
  <c r="B717" i="6"/>
  <c r="A717" i="6" a="1"/>
  <c r="A717" i="6" s="1"/>
  <c r="I716" i="6" a="1"/>
  <c r="I716" i="6" s="1"/>
  <c r="F716" i="6" s="1" a="1"/>
  <c r="F716" i="6" s="1"/>
  <c r="H716" i="6" a="1"/>
  <c r="H716" i="6" s="1"/>
  <c r="E716" i="6"/>
  <c r="D716" i="6"/>
  <c r="C716" i="6"/>
  <c r="B716" i="6"/>
  <c r="A716" i="6" a="1"/>
  <c r="A716" i="6" s="1"/>
  <c r="I715" i="6" a="1"/>
  <c r="I715" i="6" s="1"/>
  <c r="F715" i="6" s="1" a="1"/>
  <c r="F715" i="6" s="1"/>
  <c r="H715" i="6" a="1"/>
  <c r="H715" i="6" s="1"/>
  <c r="E715" i="6"/>
  <c r="D715" i="6"/>
  <c r="C715" i="6"/>
  <c r="B715" i="6"/>
  <c r="A715" i="6" a="1"/>
  <c r="A715" i="6" s="1"/>
  <c r="I714" i="6" a="1"/>
  <c r="I714" i="6" s="1"/>
  <c r="F714" i="6" s="1" a="1"/>
  <c r="F714" i="6" s="1"/>
  <c r="H714" i="6" a="1"/>
  <c r="H714" i="6" s="1"/>
  <c r="E714" i="6"/>
  <c r="D714" i="6"/>
  <c r="C714" i="6"/>
  <c r="B714" i="6"/>
  <c r="A714" i="6" a="1"/>
  <c r="A714" i="6" s="1"/>
  <c r="I713" i="6" a="1"/>
  <c r="I713" i="6" s="1"/>
  <c r="F713" i="6" s="1" a="1"/>
  <c r="F713" i="6" s="1"/>
  <c r="H713" i="6" a="1"/>
  <c r="H713" i="6" s="1"/>
  <c r="E713" i="6"/>
  <c r="D713" i="6"/>
  <c r="C713" i="6"/>
  <c r="B713" i="6"/>
  <c r="A713" i="6" a="1"/>
  <c r="A713" i="6" s="1"/>
  <c r="I712" i="6" a="1"/>
  <c r="I712" i="6" s="1"/>
  <c r="F712" i="6" s="1" a="1"/>
  <c r="F712" i="6" s="1"/>
  <c r="H712" i="6" a="1"/>
  <c r="H712" i="6" s="1"/>
  <c r="E712" i="6"/>
  <c r="D712" i="6"/>
  <c r="C712" i="6"/>
  <c r="B712" i="6"/>
  <c r="A712" i="6" a="1"/>
  <c r="A712" i="6" s="1"/>
  <c r="I711" i="6" a="1"/>
  <c r="I711" i="6" s="1"/>
  <c r="F711" i="6" s="1" a="1"/>
  <c r="F711" i="6" s="1"/>
  <c r="H711" i="6" a="1"/>
  <c r="H711" i="6" s="1"/>
  <c r="E711" i="6"/>
  <c r="D711" i="6"/>
  <c r="C711" i="6"/>
  <c r="B711" i="6"/>
  <c r="A711" i="6" a="1"/>
  <c r="A711" i="6" s="1"/>
  <c r="I710" i="6" a="1"/>
  <c r="I710" i="6" s="1"/>
  <c r="F710" i="6" s="1" a="1"/>
  <c r="F710" i="6" s="1"/>
  <c r="H710" i="6" a="1"/>
  <c r="H710" i="6" s="1"/>
  <c r="E710" i="6"/>
  <c r="D710" i="6"/>
  <c r="C710" i="6"/>
  <c r="B710" i="6"/>
  <c r="A710" i="6" a="1"/>
  <c r="A710" i="6" s="1"/>
  <c r="I709" i="6" a="1"/>
  <c r="I709" i="6" s="1"/>
  <c r="F709" i="6" s="1" a="1"/>
  <c r="F709" i="6" s="1"/>
  <c r="H709" i="6" a="1"/>
  <c r="H709" i="6" s="1"/>
  <c r="E709" i="6"/>
  <c r="D709" i="6"/>
  <c r="C709" i="6"/>
  <c r="B709" i="6"/>
  <c r="A709" i="6" a="1"/>
  <c r="A709" i="6" s="1"/>
  <c r="I708" i="6" a="1"/>
  <c r="I708" i="6" s="1"/>
  <c r="F708" i="6" s="1" a="1"/>
  <c r="F708" i="6" s="1"/>
  <c r="H708" i="6" a="1"/>
  <c r="H708" i="6" s="1"/>
  <c r="E708" i="6"/>
  <c r="D708" i="6"/>
  <c r="C708" i="6"/>
  <c r="B708" i="6"/>
  <c r="A708" i="6" a="1"/>
  <c r="A708" i="6" s="1"/>
  <c r="I707" i="6" a="1"/>
  <c r="I707" i="6" s="1"/>
  <c r="F707" i="6" s="1" a="1"/>
  <c r="F707" i="6" s="1"/>
  <c r="H707" i="6" a="1"/>
  <c r="H707" i="6" s="1"/>
  <c r="E707" i="6"/>
  <c r="D707" i="6"/>
  <c r="C707" i="6"/>
  <c r="B707" i="6"/>
  <c r="A707" i="6" a="1"/>
  <c r="A707" i="6" s="1"/>
  <c r="I706" i="6" a="1"/>
  <c r="I706" i="6" s="1"/>
  <c r="F706" i="6" s="1" a="1"/>
  <c r="F706" i="6" s="1"/>
  <c r="H706" i="6" a="1"/>
  <c r="H706" i="6" s="1"/>
  <c r="E706" i="6"/>
  <c r="D706" i="6"/>
  <c r="C706" i="6"/>
  <c r="B706" i="6"/>
  <c r="A706" i="6" a="1"/>
  <c r="A706" i="6" s="1"/>
  <c r="I705" i="6" a="1"/>
  <c r="I705" i="6" s="1"/>
  <c r="F705" i="6" s="1" a="1"/>
  <c r="F705" i="6" s="1"/>
  <c r="H705" i="6" a="1"/>
  <c r="H705" i="6" s="1"/>
  <c r="E705" i="6"/>
  <c r="D705" i="6"/>
  <c r="C705" i="6"/>
  <c r="B705" i="6"/>
  <c r="A705" i="6" a="1"/>
  <c r="A705" i="6" s="1"/>
  <c r="I704" i="6" a="1"/>
  <c r="I704" i="6" s="1"/>
  <c r="F704" i="6" s="1" a="1"/>
  <c r="F704" i="6" s="1"/>
  <c r="H704" i="6" a="1"/>
  <c r="H704" i="6" s="1"/>
  <c r="E704" i="6"/>
  <c r="D704" i="6"/>
  <c r="C704" i="6"/>
  <c r="B704" i="6"/>
  <c r="A704" i="6" a="1"/>
  <c r="A704" i="6" s="1"/>
  <c r="I703" i="6" a="1"/>
  <c r="I703" i="6" s="1"/>
  <c r="F703" i="6" s="1" a="1"/>
  <c r="F703" i="6" s="1"/>
  <c r="H703" i="6" a="1"/>
  <c r="H703" i="6" s="1"/>
  <c r="E703" i="6"/>
  <c r="D703" i="6"/>
  <c r="C703" i="6"/>
  <c r="B703" i="6"/>
  <c r="A703" i="6" a="1"/>
  <c r="A703" i="6" s="1"/>
  <c r="I702" i="6" a="1"/>
  <c r="I702" i="6" s="1"/>
  <c r="F702" i="6" s="1" a="1"/>
  <c r="F702" i="6" s="1"/>
  <c r="H702" i="6" a="1"/>
  <c r="H702" i="6" s="1"/>
  <c r="E702" i="6"/>
  <c r="D702" i="6"/>
  <c r="C702" i="6"/>
  <c r="B702" i="6"/>
  <c r="A702" i="6" a="1"/>
  <c r="A702" i="6" s="1"/>
  <c r="I701" i="6" a="1"/>
  <c r="I701" i="6" s="1"/>
  <c r="F701" i="6" s="1" a="1"/>
  <c r="F701" i="6" s="1"/>
  <c r="H701" i="6" a="1"/>
  <c r="H701" i="6" s="1"/>
  <c r="E701" i="6"/>
  <c r="D701" i="6"/>
  <c r="C701" i="6"/>
  <c r="B701" i="6"/>
  <c r="A701" i="6" a="1"/>
  <c r="A701" i="6" s="1"/>
  <c r="I700" i="6" a="1"/>
  <c r="I700" i="6" s="1"/>
  <c r="F700" i="6" s="1" a="1"/>
  <c r="F700" i="6" s="1"/>
  <c r="H700" i="6" a="1"/>
  <c r="H700" i="6" s="1"/>
  <c r="E700" i="6"/>
  <c r="D700" i="6"/>
  <c r="C700" i="6"/>
  <c r="B700" i="6"/>
  <c r="A700" i="6" a="1"/>
  <c r="A700" i="6" s="1"/>
  <c r="I699" i="6" a="1"/>
  <c r="I699" i="6" s="1"/>
  <c r="F699" i="6" s="1" a="1"/>
  <c r="F699" i="6" s="1"/>
  <c r="H699" i="6" a="1"/>
  <c r="H699" i="6" s="1"/>
  <c r="E699" i="6"/>
  <c r="D699" i="6"/>
  <c r="C699" i="6"/>
  <c r="B699" i="6"/>
  <c r="A699" i="6" a="1"/>
  <c r="A699" i="6" s="1"/>
  <c r="I698" i="6" a="1"/>
  <c r="I698" i="6" s="1"/>
  <c r="F698" i="6" s="1" a="1"/>
  <c r="F698" i="6" s="1"/>
  <c r="H698" i="6" a="1"/>
  <c r="H698" i="6" s="1"/>
  <c r="E698" i="6"/>
  <c r="D698" i="6"/>
  <c r="C698" i="6"/>
  <c r="B698" i="6"/>
  <c r="A698" i="6" a="1"/>
  <c r="A698" i="6" s="1"/>
  <c r="I697" i="6" a="1"/>
  <c r="I697" i="6" s="1"/>
  <c r="F697" i="6" s="1" a="1"/>
  <c r="F697" i="6" s="1"/>
  <c r="H697" i="6" a="1"/>
  <c r="H697" i="6" s="1"/>
  <c r="E697" i="6"/>
  <c r="D697" i="6"/>
  <c r="C697" i="6"/>
  <c r="B697" i="6"/>
  <c r="A697" i="6" a="1"/>
  <c r="A697" i="6" s="1"/>
  <c r="I696" i="6" a="1"/>
  <c r="I696" i="6" s="1"/>
  <c r="F696" i="6" s="1" a="1"/>
  <c r="F696" i="6" s="1"/>
  <c r="H696" i="6" a="1"/>
  <c r="H696" i="6" s="1"/>
  <c r="E696" i="6"/>
  <c r="D696" i="6"/>
  <c r="C696" i="6"/>
  <c r="B696" i="6"/>
  <c r="A696" i="6" a="1"/>
  <c r="A696" i="6" s="1"/>
  <c r="I695" i="6" a="1"/>
  <c r="I695" i="6" s="1"/>
  <c r="F695" i="6" s="1" a="1"/>
  <c r="F695" i="6" s="1"/>
  <c r="H695" i="6" a="1"/>
  <c r="H695" i="6" s="1"/>
  <c r="E695" i="6"/>
  <c r="D695" i="6"/>
  <c r="C695" i="6"/>
  <c r="B695" i="6"/>
  <c r="A695" i="6" a="1"/>
  <c r="A695" i="6" s="1"/>
  <c r="I694" i="6" a="1"/>
  <c r="I694" i="6" s="1"/>
  <c r="F694" i="6" s="1" a="1"/>
  <c r="F694" i="6" s="1"/>
  <c r="H694" i="6" a="1"/>
  <c r="H694" i="6" s="1"/>
  <c r="E694" i="6"/>
  <c r="D694" i="6"/>
  <c r="C694" i="6"/>
  <c r="B694" i="6"/>
  <c r="A694" i="6" a="1"/>
  <c r="A694" i="6" s="1"/>
  <c r="I693" i="6" a="1"/>
  <c r="I693" i="6" s="1"/>
  <c r="F693" i="6" s="1" a="1"/>
  <c r="F693" i="6" s="1"/>
  <c r="H693" i="6" a="1"/>
  <c r="H693" i="6" s="1"/>
  <c r="E693" i="6"/>
  <c r="D693" i="6"/>
  <c r="C693" i="6"/>
  <c r="B693" i="6"/>
  <c r="A693" i="6" a="1"/>
  <c r="A693" i="6" s="1"/>
  <c r="I692" i="6" a="1"/>
  <c r="I692" i="6" s="1"/>
  <c r="F692" i="6" s="1" a="1"/>
  <c r="F692" i="6" s="1"/>
  <c r="H692" i="6" a="1"/>
  <c r="H692" i="6" s="1"/>
  <c r="E692" i="6"/>
  <c r="D692" i="6"/>
  <c r="C692" i="6"/>
  <c r="B692" i="6"/>
  <c r="A692" i="6" a="1"/>
  <c r="A692" i="6" s="1"/>
  <c r="I691" i="6" a="1"/>
  <c r="I691" i="6" s="1"/>
  <c r="F691" i="6" s="1" a="1"/>
  <c r="F691" i="6" s="1"/>
  <c r="H691" i="6" a="1"/>
  <c r="H691" i="6" s="1"/>
  <c r="E691" i="6"/>
  <c r="D691" i="6"/>
  <c r="C691" i="6"/>
  <c r="B691" i="6"/>
  <c r="A691" i="6" a="1"/>
  <c r="A691" i="6" s="1"/>
  <c r="I690" i="6" a="1"/>
  <c r="I690" i="6" s="1"/>
  <c r="F690" i="6" s="1" a="1"/>
  <c r="F690" i="6" s="1"/>
  <c r="H690" i="6" a="1"/>
  <c r="H690" i="6" s="1"/>
  <c r="E690" i="6"/>
  <c r="D690" i="6"/>
  <c r="C690" i="6"/>
  <c r="B690" i="6"/>
  <c r="A690" i="6" a="1"/>
  <c r="A690" i="6" s="1"/>
  <c r="I689" i="6" a="1"/>
  <c r="I689" i="6" s="1"/>
  <c r="F689" i="6" s="1" a="1"/>
  <c r="F689" i="6" s="1"/>
  <c r="H689" i="6" a="1"/>
  <c r="H689" i="6" s="1"/>
  <c r="E689" i="6"/>
  <c r="D689" i="6"/>
  <c r="C689" i="6"/>
  <c r="B689" i="6"/>
  <c r="A689" i="6" a="1"/>
  <c r="A689" i="6" s="1"/>
  <c r="I688" i="6" a="1"/>
  <c r="I688" i="6" s="1"/>
  <c r="F688" i="6" s="1" a="1"/>
  <c r="F688" i="6" s="1"/>
  <c r="H688" i="6" a="1"/>
  <c r="H688" i="6" s="1"/>
  <c r="E688" i="6"/>
  <c r="D688" i="6"/>
  <c r="C688" i="6"/>
  <c r="B688" i="6"/>
  <c r="A688" i="6" a="1"/>
  <c r="A688" i="6" s="1"/>
  <c r="I687" i="6" a="1"/>
  <c r="I687" i="6" s="1"/>
  <c r="F687" i="6" s="1" a="1"/>
  <c r="F687" i="6" s="1"/>
  <c r="H687" i="6" a="1"/>
  <c r="H687" i="6" s="1"/>
  <c r="E687" i="6"/>
  <c r="D687" i="6"/>
  <c r="C687" i="6"/>
  <c r="B687" i="6"/>
  <c r="A687" i="6" a="1"/>
  <c r="A687" i="6" s="1"/>
  <c r="I686" i="6" a="1"/>
  <c r="I686" i="6" s="1"/>
  <c r="F686" i="6" s="1" a="1"/>
  <c r="F686" i="6" s="1"/>
  <c r="H686" i="6" a="1"/>
  <c r="H686" i="6" s="1"/>
  <c r="E686" i="6"/>
  <c r="D686" i="6"/>
  <c r="C686" i="6"/>
  <c r="B686" i="6"/>
  <c r="A686" i="6" a="1"/>
  <c r="A686" i="6" s="1"/>
  <c r="I685" i="6" a="1"/>
  <c r="I685" i="6" s="1"/>
  <c r="F685" i="6" s="1" a="1"/>
  <c r="F685" i="6" s="1"/>
  <c r="H685" i="6" a="1"/>
  <c r="H685" i="6" s="1"/>
  <c r="E685" i="6"/>
  <c r="D685" i="6"/>
  <c r="C685" i="6"/>
  <c r="B685" i="6"/>
  <c r="A685" i="6" a="1"/>
  <c r="A685" i="6" s="1"/>
  <c r="I684" i="6" a="1"/>
  <c r="I684" i="6" s="1"/>
  <c r="F684" i="6" s="1" a="1"/>
  <c r="F684" i="6" s="1"/>
  <c r="H684" i="6" a="1"/>
  <c r="H684" i="6" s="1"/>
  <c r="E684" i="6"/>
  <c r="D684" i="6"/>
  <c r="C684" i="6"/>
  <c r="B684" i="6"/>
  <c r="A684" i="6" a="1"/>
  <c r="A684" i="6" s="1"/>
  <c r="I683" i="6" a="1"/>
  <c r="I683" i="6" s="1"/>
  <c r="F683" i="6" s="1" a="1"/>
  <c r="F683" i="6" s="1"/>
  <c r="H683" i="6" a="1"/>
  <c r="H683" i="6" s="1"/>
  <c r="E683" i="6"/>
  <c r="D683" i="6"/>
  <c r="C683" i="6"/>
  <c r="B683" i="6"/>
  <c r="A683" i="6" a="1"/>
  <c r="A683" i="6" s="1"/>
  <c r="I682" i="6" a="1"/>
  <c r="I682" i="6" s="1"/>
  <c r="F682" i="6" s="1" a="1"/>
  <c r="F682" i="6" s="1"/>
  <c r="H682" i="6" a="1"/>
  <c r="H682" i="6" s="1"/>
  <c r="E682" i="6"/>
  <c r="D682" i="6"/>
  <c r="C682" i="6"/>
  <c r="B682" i="6"/>
  <c r="A682" i="6" a="1"/>
  <c r="A682" i="6" s="1"/>
  <c r="I681" i="6" a="1"/>
  <c r="I681" i="6" s="1"/>
  <c r="F681" i="6" s="1" a="1"/>
  <c r="F681" i="6" s="1"/>
  <c r="H681" i="6" a="1"/>
  <c r="H681" i="6" s="1"/>
  <c r="E681" i="6"/>
  <c r="D681" i="6"/>
  <c r="C681" i="6"/>
  <c r="B681" i="6"/>
  <c r="A681" i="6" a="1"/>
  <c r="A681" i="6" s="1"/>
  <c r="I680" i="6" a="1"/>
  <c r="I680" i="6" s="1"/>
  <c r="F680" i="6" s="1" a="1"/>
  <c r="F680" i="6" s="1"/>
  <c r="H680" i="6" a="1"/>
  <c r="H680" i="6" s="1"/>
  <c r="E680" i="6"/>
  <c r="D680" i="6"/>
  <c r="C680" i="6"/>
  <c r="B680" i="6"/>
  <c r="A680" i="6" a="1"/>
  <c r="A680" i="6" s="1"/>
  <c r="I679" i="6" a="1"/>
  <c r="I679" i="6" s="1"/>
  <c r="F679" i="6" s="1" a="1"/>
  <c r="F679" i="6" s="1"/>
  <c r="H679" i="6" a="1"/>
  <c r="H679" i="6" s="1"/>
  <c r="E679" i="6"/>
  <c r="D679" i="6"/>
  <c r="C679" i="6"/>
  <c r="B679" i="6"/>
  <c r="A679" i="6" a="1"/>
  <c r="A679" i="6" s="1"/>
  <c r="I678" i="6" a="1"/>
  <c r="I678" i="6" s="1"/>
  <c r="F678" i="6" s="1" a="1"/>
  <c r="F678" i="6" s="1"/>
  <c r="H678" i="6" a="1"/>
  <c r="H678" i="6" s="1"/>
  <c r="E678" i="6"/>
  <c r="D678" i="6"/>
  <c r="C678" i="6"/>
  <c r="B678" i="6"/>
  <c r="A678" i="6" a="1"/>
  <c r="A678" i="6" s="1"/>
  <c r="I677" i="6" a="1"/>
  <c r="I677" i="6" s="1"/>
  <c r="F677" i="6" s="1" a="1"/>
  <c r="F677" i="6" s="1"/>
  <c r="H677" i="6" a="1"/>
  <c r="H677" i="6" s="1"/>
  <c r="E677" i="6"/>
  <c r="D677" i="6"/>
  <c r="C677" i="6"/>
  <c r="B677" i="6"/>
  <c r="A677" i="6" a="1"/>
  <c r="A677" i="6" s="1"/>
  <c r="I676" i="6" a="1"/>
  <c r="I676" i="6" s="1"/>
  <c r="F676" i="6" s="1" a="1"/>
  <c r="F676" i="6" s="1"/>
  <c r="H676" i="6" a="1"/>
  <c r="H676" i="6" s="1"/>
  <c r="E676" i="6"/>
  <c r="D676" i="6"/>
  <c r="C676" i="6"/>
  <c r="B676" i="6"/>
  <c r="A676" i="6" a="1"/>
  <c r="A676" i="6" s="1"/>
  <c r="I675" i="6" a="1"/>
  <c r="I675" i="6" s="1"/>
  <c r="F675" i="6" s="1" a="1"/>
  <c r="F675" i="6" s="1"/>
  <c r="H675" i="6" a="1"/>
  <c r="H675" i="6" s="1"/>
  <c r="E675" i="6"/>
  <c r="D675" i="6"/>
  <c r="C675" i="6"/>
  <c r="B675" i="6"/>
  <c r="A675" i="6" a="1"/>
  <c r="A675" i="6" s="1"/>
  <c r="I674" i="6" a="1"/>
  <c r="I674" i="6" s="1"/>
  <c r="F674" i="6" s="1" a="1"/>
  <c r="F674" i="6" s="1"/>
  <c r="H674" i="6" a="1"/>
  <c r="H674" i="6" s="1"/>
  <c r="E674" i="6"/>
  <c r="D674" i="6"/>
  <c r="C674" i="6"/>
  <c r="B674" i="6"/>
  <c r="A674" i="6" a="1"/>
  <c r="A674" i="6" s="1"/>
  <c r="I673" i="6" a="1"/>
  <c r="I673" i="6" s="1"/>
  <c r="F673" i="6" s="1" a="1"/>
  <c r="F673" i="6" s="1"/>
  <c r="H673" i="6" a="1"/>
  <c r="H673" i="6" s="1"/>
  <c r="E673" i="6"/>
  <c r="D673" i="6"/>
  <c r="C673" i="6"/>
  <c r="B673" i="6"/>
  <c r="A673" i="6" a="1"/>
  <c r="A673" i="6" s="1"/>
  <c r="I672" i="6" a="1"/>
  <c r="I672" i="6" s="1"/>
  <c r="F672" i="6" s="1" a="1"/>
  <c r="F672" i="6" s="1"/>
  <c r="H672" i="6" a="1"/>
  <c r="H672" i="6" s="1"/>
  <c r="E672" i="6"/>
  <c r="D672" i="6"/>
  <c r="C672" i="6"/>
  <c r="B672" i="6"/>
  <c r="A672" i="6" a="1"/>
  <c r="A672" i="6" s="1"/>
  <c r="I671" i="6" a="1"/>
  <c r="I671" i="6" s="1"/>
  <c r="F671" i="6" s="1" a="1"/>
  <c r="F671" i="6" s="1"/>
  <c r="H671" i="6" a="1"/>
  <c r="H671" i="6" s="1"/>
  <c r="E671" i="6"/>
  <c r="D671" i="6"/>
  <c r="C671" i="6"/>
  <c r="B671" i="6"/>
  <c r="A671" i="6" a="1"/>
  <c r="A671" i="6" s="1"/>
  <c r="I670" i="6" a="1"/>
  <c r="I670" i="6" s="1"/>
  <c r="F670" i="6" s="1" a="1"/>
  <c r="F670" i="6" s="1"/>
  <c r="H670" i="6" a="1"/>
  <c r="H670" i="6" s="1"/>
  <c r="E670" i="6"/>
  <c r="D670" i="6"/>
  <c r="C670" i="6"/>
  <c r="B670" i="6"/>
  <c r="A670" i="6" a="1"/>
  <c r="A670" i="6" s="1"/>
  <c r="I669" i="6" a="1"/>
  <c r="I669" i="6" s="1"/>
  <c r="F669" i="6" s="1" a="1"/>
  <c r="F669" i="6" s="1"/>
  <c r="H669" i="6" a="1"/>
  <c r="H669" i="6" s="1"/>
  <c r="E669" i="6"/>
  <c r="D669" i="6"/>
  <c r="C669" i="6"/>
  <c r="B669" i="6"/>
  <c r="A669" i="6" a="1"/>
  <c r="A669" i="6" s="1"/>
  <c r="I668" i="6" a="1"/>
  <c r="I668" i="6" s="1"/>
  <c r="F668" i="6" s="1" a="1"/>
  <c r="F668" i="6" s="1"/>
  <c r="H668" i="6" a="1"/>
  <c r="H668" i="6" s="1"/>
  <c r="E668" i="6"/>
  <c r="D668" i="6"/>
  <c r="C668" i="6"/>
  <c r="B668" i="6"/>
  <c r="A668" i="6" a="1"/>
  <c r="A668" i="6" s="1"/>
  <c r="I667" i="6" a="1"/>
  <c r="I667" i="6" s="1"/>
  <c r="F667" i="6" s="1" a="1"/>
  <c r="F667" i="6" s="1"/>
  <c r="H667" i="6" a="1"/>
  <c r="H667" i="6" s="1"/>
  <c r="E667" i="6"/>
  <c r="D667" i="6"/>
  <c r="C667" i="6"/>
  <c r="B667" i="6"/>
  <c r="A667" i="6" a="1"/>
  <c r="A667" i="6" s="1"/>
  <c r="I666" i="6" a="1"/>
  <c r="I666" i="6" s="1"/>
  <c r="F666" i="6" s="1" a="1"/>
  <c r="F666" i="6" s="1"/>
  <c r="H666" i="6" a="1"/>
  <c r="H666" i="6" s="1"/>
  <c r="E666" i="6"/>
  <c r="D666" i="6"/>
  <c r="C666" i="6"/>
  <c r="B666" i="6"/>
  <c r="A666" i="6" a="1"/>
  <c r="A666" i="6" s="1"/>
  <c r="I665" i="6" a="1"/>
  <c r="I665" i="6" s="1"/>
  <c r="F665" i="6" s="1" a="1"/>
  <c r="F665" i="6" s="1"/>
  <c r="H665" i="6" a="1"/>
  <c r="H665" i="6" s="1"/>
  <c r="E665" i="6"/>
  <c r="D665" i="6"/>
  <c r="C665" i="6"/>
  <c r="B665" i="6"/>
  <c r="A665" i="6" a="1"/>
  <c r="A665" i="6" s="1"/>
  <c r="I664" i="6" a="1"/>
  <c r="I664" i="6" s="1"/>
  <c r="F664" i="6" s="1" a="1"/>
  <c r="F664" i="6" s="1"/>
  <c r="H664" i="6" a="1"/>
  <c r="H664" i="6" s="1"/>
  <c r="E664" i="6"/>
  <c r="D664" i="6"/>
  <c r="C664" i="6"/>
  <c r="B664" i="6"/>
  <c r="A664" i="6" a="1"/>
  <c r="A664" i="6" s="1"/>
  <c r="I663" i="6" a="1"/>
  <c r="I663" i="6" s="1"/>
  <c r="F663" i="6" s="1" a="1"/>
  <c r="F663" i="6" s="1"/>
  <c r="H663" i="6" a="1"/>
  <c r="H663" i="6" s="1"/>
  <c r="E663" i="6"/>
  <c r="D663" i="6"/>
  <c r="C663" i="6"/>
  <c r="B663" i="6"/>
  <c r="A663" i="6" a="1"/>
  <c r="A663" i="6" s="1"/>
  <c r="I662" i="6" a="1"/>
  <c r="I662" i="6" s="1"/>
  <c r="F662" i="6" s="1" a="1"/>
  <c r="F662" i="6" s="1"/>
  <c r="H662" i="6" a="1"/>
  <c r="H662" i="6" s="1"/>
  <c r="E662" i="6"/>
  <c r="D662" i="6"/>
  <c r="C662" i="6"/>
  <c r="B662" i="6"/>
  <c r="A662" i="6" a="1"/>
  <c r="A662" i="6" s="1"/>
  <c r="I661" i="6" a="1"/>
  <c r="I661" i="6" s="1"/>
  <c r="F661" i="6" s="1" a="1"/>
  <c r="F661" i="6" s="1"/>
  <c r="H661" i="6" a="1"/>
  <c r="H661" i="6" s="1"/>
  <c r="E661" i="6"/>
  <c r="D661" i="6"/>
  <c r="C661" i="6"/>
  <c r="B661" i="6"/>
  <c r="A661" i="6" a="1"/>
  <c r="A661" i="6" s="1"/>
  <c r="I660" i="6" a="1"/>
  <c r="I660" i="6" s="1"/>
  <c r="F660" i="6" s="1" a="1"/>
  <c r="F660" i="6" s="1"/>
  <c r="H660" i="6" a="1"/>
  <c r="H660" i="6" s="1"/>
  <c r="E660" i="6"/>
  <c r="D660" i="6"/>
  <c r="C660" i="6"/>
  <c r="B660" i="6"/>
  <c r="A660" i="6" a="1"/>
  <c r="A660" i="6" s="1"/>
  <c r="I659" i="6" a="1"/>
  <c r="I659" i="6" s="1"/>
  <c r="F659" i="6" s="1" a="1"/>
  <c r="F659" i="6" s="1"/>
  <c r="H659" i="6" a="1"/>
  <c r="H659" i="6" s="1"/>
  <c r="E659" i="6"/>
  <c r="D659" i="6"/>
  <c r="C659" i="6"/>
  <c r="B659" i="6"/>
  <c r="A659" i="6" a="1"/>
  <c r="A659" i="6" s="1"/>
  <c r="I658" i="6" a="1"/>
  <c r="I658" i="6" s="1"/>
  <c r="F658" i="6" s="1" a="1"/>
  <c r="F658" i="6" s="1"/>
  <c r="H658" i="6" a="1"/>
  <c r="H658" i="6" s="1"/>
  <c r="E658" i="6"/>
  <c r="D658" i="6"/>
  <c r="C658" i="6"/>
  <c r="B658" i="6"/>
  <c r="A658" i="6" a="1"/>
  <c r="A658" i="6" s="1"/>
  <c r="I657" i="6" a="1"/>
  <c r="I657" i="6" s="1"/>
  <c r="F657" i="6" s="1" a="1"/>
  <c r="F657" i="6" s="1"/>
  <c r="H657" i="6" a="1"/>
  <c r="H657" i="6" s="1"/>
  <c r="E657" i="6"/>
  <c r="D657" i="6"/>
  <c r="C657" i="6"/>
  <c r="B657" i="6"/>
  <c r="A657" i="6" a="1"/>
  <c r="A657" i="6" s="1"/>
  <c r="I656" i="6" a="1"/>
  <c r="I656" i="6" s="1"/>
  <c r="F656" i="6" s="1" a="1"/>
  <c r="F656" i="6" s="1"/>
  <c r="H656" i="6" a="1"/>
  <c r="H656" i="6" s="1"/>
  <c r="E656" i="6"/>
  <c r="D656" i="6"/>
  <c r="C656" i="6"/>
  <c r="B656" i="6"/>
  <c r="A656" i="6" a="1"/>
  <c r="A656" i="6" s="1"/>
  <c r="I655" i="6" a="1"/>
  <c r="I655" i="6" s="1"/>
  <c r="F655" i="6" s="1" a="1"/>
  <c r="F655" i="6" s="1"/>
  <c r="H655" i="6" a="1"/>
  <c r="H655" i="6" s="1"/>
  <c r="E655" i="6"/>
  <c r="D655" i="6"/>
  <c r="C655" i="6"/>
  <c r="B655" i="6"/>
  <c r="A655" i="6" a="1"/>
  <c r="A655" i="6" s="1"/>
  <c r="I654" i="6" a="1"/>
  <c r="I654" i="6" s="1"/>
  <c r="F654" i="6" s="1" a="1"/>
  <c r="F654" i="6" s="1"/>
  <c r="H654" i="6" a="1"/>
  <c r="H654" i="6" s="1"/>
  <c r="E654" i="6"/>
  <c r="D654" i="6"/>
  <c r="C654" i="6"/>
  <c r="B654" i="6"/>
  <c r="A654" i="6" a="1"/>
  <c r="A654" i="6" s="1"/>
  <c r="I653" i="6" a="1"/>
  <c r="I653" i="6" s="1"/>
  <c r="F653" i="6" s="1" a="1"/>
  <c r="F653" i="6" s="1"/>
  <c r="H653" i="6" a="1"/>
  <c r="H653" i="6" s="1"/>
  <c r="E653" i="6"/>
  <c r="D653" i="6"/>
  <c r="C653" i="6"/>
  <c r="B653" i="6"/>
  <c r="A653" i="6" a="1"/>
  <c r="A653" i="6" s="1"/>
  <c r="I652" i="6" a="1"/>
  <c r="I652" i="6" s="1"/>
  <c r="F652" i="6" s="1" a="1"/>
  <c r="F652" i="6" s="1"/>
  <c r="H652" i="6" a="1"/>
  <c r="H652" i="6" s="1"/>
  <c r="E652" i="6"/>
  <c r="D652" i="6"/>
  <c r="C652" i="6"/>
  <c r="B652" i="6"/>
  <c r="A652" i="6" a="1"/>
  <c r="A652" i="6" s="1"/>
  <c r="I651" i="6" a="1"/>
  <c r="I651" i="6" s="1"/>
  <c r="F651" i="6" s="1" a="1"/>
  <c r="F651" i="6" s="1"/>
  <c r="H651" i="6" a="1"/>
  <c r="H651" i="6" s="1"/>
  <c r="E651" i="6"/>
  <c r="D651" i="6"/>
  <c r="C651" i="6"/>
  <c r="B651" i="6"/>
  <c r="A651" i="6" a="1"/>
  <c r="A651" i="6" s="1"/>
  <c r="I650" i="6" a="1"/>
  <c r="I650" i="6" s="1"/>
  <c r="F650" i="6" s="1" a="1"/>
  <c r="F650" i="6" s="1"/>
  <c r="H650" i="6" a="1"/>
  <c r="H650" i="6" s="1"/>
  <c r="E650" i="6"/>
  <c r="D650" i="6"/>
  <c r="C650" i="6"/>
  <c r="B650" i="6"/>
  <c r="A650" i="6" a="1"/>
  <c r="A650" i="6" s="1"/>
  <c r="I649" i="6" a="1"/>
  <c r="I649" i="6" s="1"/>
  <c r="F649" i="6" s="1" a="1"/>
  <c r="F649" i="6" s="1"/>
  <c r="H649" i="6" a="1"/>
  <c r="H649" i="6" s="1"/>
  <c r="E649" i="6"/>
  <c r="D649" i="6"/>
  <c r="C649" i="6"/>
  <c r="B649" i="6"/>
  <c r="A649" i="6" a="1"/>
  <c r="A649" i="6" s="1"/>
  <c r="I648" i="6" a="1"/>
  <c r="I648" i="6" s="1"/>
  <c r="F648" i="6" s="1" a="1"/>
  <c r="F648" i="6" s="1"/>
  <c r="H648" i="6" a="1"/>
  <c r="H648" i="6" s="1"/>
  <c r="E648" i="6"/>
  <c r="D648" i="6"/>
  <c r="C648" i="6"/>
  <c r="B648" i="6"/>
  <c r="A648" i="6" a="1"/>
  <c r="A648" i="6" s="1"/>
  <c r="I647" i="6" a="1"/>
  <c r="I647" i="6" s="1"/>
  <c r="F647" i="6" s="1" a="1"/>
  <c r="F647" i="6" s="1"/>
  <c r="H647" i="6" a="1"/>
  <c r="H647" i="6" s="1"/>
  <c r="E647" i="6"/>
  <c r="D647" i="6"/>
  <c r="C647" i="6"/>
  <c r="B647" i="6"/>
  <c r="A647" i="6" a="1"/>
  <c r="A647" i="6" s="1"/>
  <c r="I646" i="6" a="1"/>
  <c r="I646" i="6" s="1"/>
  <c r="F646" i="6" s="1" a="1"/>
  <c r="F646" i="6" s="1"/>
  <c r="H646" i="6" a="1"/>
  <c r="H646" i="6" s="1"/>
  <c r="E646" i="6"/>
  <c r="D646" i="6"/>
  <c r="C646" i="6"/>
  <c r="B646" i="6"/>
  <c r="A646" i="6" a="1"/>
  <c r="A646" i="6" s="1"/>
  <c r="I645" i="6" a="1"/>
  <c r="I645" i="6" s="1"/>
  <c r="F645" i="6" s="1" a="1"/>
  <c r="F645" i="6" s="1"/>
  <c r="H645" i="6" a="1"/>
  <c r="H645" i="6" s="1"/>
  <c r="E645" i="6"/>
  <c r="D645" i="6"/>
  <c r="C645" i="6"/>
  <c r="B645" i="6"/>
  <c r="A645" i="6" a="1"/>
  <c r="A645" i="6" s="1"/>
  <c r="I644" i="6" a="1"/>
  <c r="I644" i="6" s="1"/>
  <c r="F644" i="6" s="1" a="1"/>
  <c r="F644" i="6" s="1"/>
  <c r="H644" i="6" a="1"/>
  <c r="H644" i="6" s="1"/>
  <c r="E644" i="6"/>
  <c r="D644" i="6"/>
  <c r="C644" i="6"/>
  <c r="B644" i="6"/>
  <c r="A644" i="6" a="1"/>
  <c r="A644" i="6" s="1"/>
  <c r="I643" i="6" a="1"/>
  <c r="I643" i="6" s="1"/>
  <c r="F643" i="6" s="1" a="1"/>
  <c r="F643" i="6" s="1"/>
  <c r="H643" i="6" a="1"/>
  <c r="H643" i="6" s="1"/>
  <c r="E643" i="6"/>
  <c r="D643" i="6"/>
  <c r="C643" i="6"/>
  <c r="B643" i="6"/>
  <c r="A643" i="6" a="1"/>
  <c r="A643" i="6" s="1"/>
  <c r="I642" i="6" a="1"/>
  <c r="I642" i="6" s="1"/>
  <c r="F642" i="6" s="1" a="1"/>
  <c r="F642" i="6" s="1"/>
  <c r="H642" i="6" a="1"/>
  <c r="H642" i="6" s="1"/>
  <c r="E642" i="6"/>
  <c r="D642" i="6"/>
  <c r="C642" i="6"/>
  <c r="B642" i="6"/>
  <c r="A642" i="6" a="1"/>
  <c r="A642" i="6" s="1"/>
  <c r="I641" i="6" a="1"/>
  <c r="I641" i="6" s="1"/>
  <c r="F641" i="6" s="1" a="1"/>
  <c r="F641" i="6" s="1"/>
  <c r="H641" i="6" a="1"/>
  <c r="H641" i="6" s="1"/>
  <c r="E641" i="6"/>
  <c r="D641" i="6"/>
  <c r="C641" i="6"/>
  <c r="B641" i="6"/>
  <c r="A641" i="6" a="1"/>
  <c r="A641" i="6" s="1"/>
  <c r="I640" i="6" a="1"/>
  <c r="I640" i="6" s="1"/>
  <c r="F640" i="6" s="1" a="1"/>
  <c r="F640" i="6" s="1"/>
  <c r="H640" i="6" a="1"/>
  <c r="H640" i="6" s="1"/>
  <c r="E640" i="6"/>
  <c r="D640" i="6"/>
  <c r="C640" i="6"/>
  <c r="B640" i="6"/>
  <c r="A640" i="6" a="1"/>
  <c r="A640" i="6" s="1"/>
  <c r="I639" i="6" a="1"/>
  <c r="I639" i="6" s="1"/>
  <c r="F639" i="6" s="1" a="1"/>
  <c r="F639" i="6" s="1"/>
  <c r="H639" i="6" a="1"/>
  <c r="H639" i="6" s="1"/>
  <c r="E639" i="6"/>
  <c r="D639" i="6"/>
  <c r="C639" i="6"/>
  <c r="B639" i="6"/>
  <c r="A639" i="6" a="1"/>
  <c r="A639" i="6" s="1"/>
  <c r="I638" i="6" a="1"/>
  <c r="I638" i="6" s="1"/>
  <c r="F638" i="6" s="1" a="1"/>
  <c r="F638" i="6" s="1"/>
  <c r="H638" i="6" a="1"/>
  <c r="H638" i="6" s="1"/>
  <c r="E638" i="6"/>
  <c r="D638" i="6"/>
  <c r="C638" i="6"/>
  <c r="B638" i="6"/>
  <c r="A638" i="6" a="1"/>
  <c r="A638" i="6" s="1"/>
  <c r="I637" i="6" a="1"/>
  <c r="I637" i="6" s="1"/>
  <c r="F637" i="6" s="1" a="1"/>
  <c r="F637" i="6" s="1"/>
  <c r="H637" i="6" a="1"/>
  <c r="H637" i="6" s="1"/>
  <c r="E637" i="6"/>
  <c r="D637" i="6"/>
  <c r="C637" i="6"/>
  <c r="B637" i="6"/>
  <c r="A637" i="6" a="1"/>
  <c r="A637" i="6" s="1"/>
  <c r="I636" i="6" a="1"/>
  <c r="I636" i="6" s="1"/>
  <c r="F636" i="6" s="1" a="1"/>
  <c r="F636" i="6" s="1"/>
  <c r="H636" i="6" a="1"/>
  <c r="H636" i="6" s="1"/>
  <c r="E636" i="6"/>
  <c r="D636" i="6"/>
  <c r="C636" i="6"/>
  <c r="B636" i="6"/>
  <c r="A636" i="6" a="1"/>
  <c r="A636" i="6" s="1"/>
  <c r="I635" i="6" a="1"/>
  <c r="I635" i="6" s="1"/>
  <c r="F635" i="6" s="1" a="1"/>
  <c r="F635" i="6" s="1"/>
  <c r="H635" i="6" a="1"/>
  <c r="H635" i="6" s="1"/>
  <c r="E635" i="6"/>
  <c r="D635" i="6"/>
  <c r="C635" i="6"/>
  <c r="B635" i="6"/>
  <c r="A635" i="6" a="1"/>
  <c r="A635" i="6" s="1"/>
  <c r="I634" i="6" a="1"/>
  <c r="I634" i="6" s="1"/>
  <c r="F634" i="6" s="1" a="1"/>
  <c r="F634" i="6" s="1"/>
  <c r="H634" i="6" a="1"/>
  <c r="H634" i="6" s="1"/>
  <c r="E634" i="6"/>
  <c r="D634" i="6"/>
  <c r="C634" i="6"/>
  <c r="B634" i="6"/>
  <c r="A634" i="6" a="1"/>
  <c r="A634" i="6" s="1"/>
  <c r="I633" i="6" a="1"/>
  <c r="I633" i="6" s="1"/>
  <c r="F633" i="6" s="1" a="1"/>
  <c r="F633" i="6" s="1"/>
  <c r="H633" i="6" a="1"/>
  <c r="H633" i="6" s="1"/>
  <c r="E633" i="6"/>
  <c r="D633" i="6"/>
  <c r="C633" i="6"/>
  <c r="B633" i="6"/>
  <c r="A633" i="6" a="1"/>
  <c r="A633" i="6" s="1"/>
  <c r="I632" i="6" a="1"/>
  <c r="I632" i="6" s="1"/>
  <c r="F632" i="6" s="1" a="1"/>
  <c r="F632" i="6" s="1"/>
  <c r="H632" i="6" a="1"/>
  <c r="H632" i="6" s="1"/>
  <c r="E632" i="6"/>
  <c r="D632" i="6"/>
  <c r="C632" i="6"/>
  <c r="B632" i="6"/>
  <c r="A632" i="6" a="1"/>
  <c r="A632" i="6" s="1"/>
  <c r="I631" i="6" a="1"/>
  <c r="I631" i="6" s="1"/>
  <c r="F631" i="6" s="1" a="1"/>
  <c r="F631" i="6" s="1"/>
  <c r="H631" i="6" a="1"/>
  <c r="H631" i="6" s="1"/>
  <c r="E631" i="6"/>
  <c r="D631" i="6"/>
  <c r="C631" i="6"/>
  <c r="B631" i="6"/>
  <c r="A631" i="6" a="1"/>
  <c r="A631" i="6" s="1"/>
  <c r="I630" i="6" a="1"/>
  <c r="I630" i="6" s="1"/>
  <c r="F630" i="6" s="1" a="1"/>
  <c r="F630" i="6" s="1"/>
  <c r="H630" i="6" a="1"/>
  <c r="H630" i="6" s="1"/>
  <c r="E630" i="6"/>
  <c r="D630" i="6"/>
  <c r="C630" i="6"/>
  <c r="B630" i="6"/>
  <c r="A630" i="6" a="1"/>
  <c r="A630" i="6" s="1"/>
  <c r="I629" i="6" a="1"/>
  <c r="I629" i="6" s="1"/>
  <c r="F629" i="6" s="1" a="1"/>
  <c r="F629" i="6" s="1"/>
  <c r="H629" i="6" a="1"/>
  <c r="H629" i="6" s="1"/>
  <c r="E629" i="6"/>
  <c r="D629" i="6"/>
  <c r="C629" i="6"/>
  <c r="B629" i="6"/>
  <c r="A629" i="6" a="1"/>
  <c r="A629" i="6" s="1"/>
  <c r="I628" i="6" a="1"/>
  <c r="I628" i="6" s="1"/>
  <c r="F628" i="6" s="1" a="1"/>
  <c r="F628" i="6" s="1"/>
  <c r="H628" i="6" a="1"/>
  <c r="H628" i="6" s="1"/>
  <c r="E628" i="6"/>
  <c r="D628" i="6"/>
  <c r="C628" i="6"/>
  <c r="B628" i="6"/>
  <c r="A628" i="6" a="1"/>
  <c r="A628" i="6" s="1"/>
  <c r="I627" i="6" a="1"/>
  <c r="I627" i="6" s="1"/>
  <c r="F627" i="6" s="1" a="1"/>
  <c r="F627" i="6" s="1"/>
  <c r="H627" i="6" a="1"/>
  <c r="H627" i="6" s="1"/>
  <c r="E627" i="6"/>
  <c r="D627" i="6"/>
  <c r="C627" i="6"/>
  <c r="B627" i="6"/>
  <c r="A627" i="6" a="1"/>
  <c r="A627" i="6" s="1"/>
  <c r="I626" i="6" a="1"/>
  <c r="I626" i="6" s="1"/>
  <c r="F626" i="6" s="1" a="1"/>
  <c r="F626" i="6" s="1"/>
  <c r="H626" i="6" a="1"/>
  <c r="H626" i="6" s="1"/>
  <c r="E626" i="6"/>
  <c r="D626" i="6"/>
  <c r="C626" i="6"/>
  <c r="B626" i="6"/>
  <c r="A626" i="6" a="1"/>
  <c r="A626" i="6" s="1"/>
  <c r="I625" i="6" a="1"/>
  <c r="I625" i="6" s="1"/>
  <c r="F625" i="6" s="1" a="1"/>
  <c r="F625" i="6" s="1"/>
  <c r="H625" i="6" a="1"/>
  <c r="H625" i="6" s="1"/>
  <c r="E625" i="6"/>
  <c r="D625" i="6"/>
  <c r="C625" i="6"/>
  <c r="B625" i="6"/>
  <c r="A625" i="6" a="1"/>
  <c r="A625" i="6" s="1"/>
  <c r="I624" i="6" a="1"/>
  <c r="I624" i="6" s="1"/>
  <c r="F624" i="6" s="1" a="1"/>
  <c r="F624" i="6" s="1"/>
  <c r="H624" i="6" a="1"/>
  <c r="H624" i="6" s="1"/>
  <c r="E624" i="6"/>
  <c r="D624" i="6"/>
  <c r="C624" i="6"/>
  <c r="B624" i="6"/>
  <c r="A624" i="6" a="1"/>
  <c r="A624" i="6" s="1"/>
  <c r="I623" i="6" a="1"/>
  <c r="I623" i="6" s="1"/>
  <c r="F623" i="6" s="1" a="1"/>
  <c r="F623" i="6" s="1"/>
  <c r="H623" i="6" a="1"/>
  <c r="H623" i="6" s="1"/>
  <c r="E623" i="6"/>
  <c r="D623" i="6"/>
  <c r="C623" i="6"/>
  <c r="B623" i="6"/>
  <c r="A623" i="6" a="1"/>
  <c r="A623" i="6" s="1"/>
  <c r="I622" i="6" a="1"/>
  <c r="I622" i="6" s="1"/>
  <c r="F622" i="6" s="1" a="1"/>
  <c r="F622" i="6" s="1"/>
  <c r="H622" i="6" a="1"/>
  <c r="H622" i="6" s="1"/>
  <c r="E622" i="6"/>
  <c r="D622" i="6"/>
  <c r="C622" i="6"/>
  <c r="B622" i="6"/>
  <c r="A622" i="6" a="1"/>
  <c r="A622" i="6" s="1"/>
  <c r="I621" i="6" a="1"/>
  <c r="I621" i="6" s="1"/>
  <c r="F621" i="6" s="1" a="1"/>
  <c r="F621" i="6" s="1"/>
  <c r="H621" i="6" a="1"/>
  <c r="H621" i="6" s="1"/>
  <c r="E621" i="6"/>
  <c r="D621" i="6"/>
  <c r="C621" i="6"/>
  <c r="B621" i="6"/>
  <c r="A621" i="6" a="1"/>
  <c r="A621" i="6" s="1"/>
  <c r="I620" i="6" a="1"/>
  <c r="I620" i="6" s="1"/>
  <c r="F620" i="6" s="1" a="1"/>
  <c r="F620" i="6" s="1"/>
  <c r="H620" i="6" a="1"/>
  <c r="H620" i="6" s="1"/>
  <c r="E620" i="6"/>
  <c r="D620" i="6"/>
  <c r="C620" i="6"/>
  <c r="B620" i="6"/>
  <c r="A620" i="6" a="1"/>
  <c r="A620" i="6" s="1"/>
  <c r="I619" i="6" a="1"/>
  <c r="I619" i="6" s="1"/>
  <c r="F619" i="6" s="1" a="1"/>
  <c r="F619" i="6" s="1"/>
  <c r="H619" i="6" a="1"/>
  <c r="H619" i="6" s="1"/>
  <c r="E619" i="6"/>
  <c r="D619" i="6"/>
  <c r="C619" i="6"/>
  <c r="B619" i="6"/>
  <c r="A619" i="6" a="1"/>
  <c r="A619" i="6" s="1"/>
  <c r="I618" i="6" a="1"/>
  <c r="I618" i="6" s="1"/>
  <c r="F618" i="6" s="1" a="1"/>
  <c r="F618" i="6" s="1"/>
  <c r="H618" i="6" a="1"/>
  <c r="H618" i="6" s="1"/>
  <c r="E618" i="6"/>
  <c r="D618" i="6"/>
  <c r="C618" i="6"/>
  <c r="B618" i="6"/>
  <c r="A618" i="6" a="1"/>
  <c r="A618" i="6" s="1"/>
  <c r="I617" i="6" a="1"/>
  <c r="I617" i="6" s="1"/>
  <c r="F617" i="6" s="1" a="1"/>
  <c r="F617" i="6" s="1"/>
  <c r="H617" i="6" a="1"/>
  <c r="H617" i="6" s="1"/>
  <c r="E617" i="6"/>
  <c r="D617" i="6"/>
  <c r="C617" i="6"/>
  <c r="B617" i="6"/>
  <c r="A617" i="6" a="1"/>
  <c r="A617" i="6" s="1"/>
  <c r="I616" i="6" a="1"/>
  <c r="I616" i="6" s="1"/>
  <c r="F616" i="6" s="1" a="1"/>
  <c r="F616" i="6" s="1"/>
  <c r="H616" i="6" a="1"/>
  <c r="H616" i="6" s="1"/>
  <c r="E616" i="6"/>
  <c r="D616" i="6"/>
  <c r="C616" i="6"/>
  <c r="B616" i="6"/>
  <c r="A616" i="6" a="1"/>
  <c r="A616" i="6" s="1"/>
  <c r="I615" i="6" a="1"/>
  <c r="I615" i="6" s="1"/>
  <c r="F615" i="6" s="1" a="1"/>
  <c r="F615" i="6" s="1"/>
  <c r="H615" i="6" a="1"/>
  <c r="H615" i="6" s="1"/>
  <c r="E615" i="6"/>
  <c r="D615" i="6"/>
  <c r="C615" i="6"/>
  <c r="B615" i="6"/>
  <c r="A615" i="6" a="1"/>
  <c r="A615" i="6" s="1"/>
  <c r="I614" i="6" a="1"/>
  <c r="I614" i="6" s="1"/>
  <c r="F614" i="6" s="1" a="1"/>
  <c r="F614" i="6" s="1"/>
  <c r="H614" i="6" a="1"/>
  <c r="H614" i="6" s="1"/>
  <c r="E614" i="6"/>
  <c r="D614" i="6"/>
  <c r="C614" i="6"/>
  <c r="B614" i="6"/>
  <c r="A614" i="6" a="1"/>
  <c r="A614" i="6" s="1"/>
  <c r="I613" i="6" a="1"/>
  <c r="I613" i="6" s="1"/>
  <c r="F613" i="6" s="1" a="1"/>
  <c r="F613" i="6" s="1"/>
  <c r="H613" i="6" a="1"/>
  <c r="H613" i="6" s="1"/>
  <c r="E613" i="6"/>
  <c r="D613" i="6"/>
  <c r="C613" i="6"/>
  <c r="B613" i="6"/>
  <c r="A613" i="6" a="1"/>
  <c r="A613" i="6" s="1"/>
  <c r="I612" i="6" a="1"/>
  <c r="I612" i="6" s="1"/>
  <c r="F612" i="6" s="1" a="1"/>
  <c r="F612" i="6" s="1"/>
  <c r="H612" i="6" a="1"/>
  <c r="H612" i="6" s="1"/>
  <c r="E612" i="6"/>
  <c r="D612" i="6"/>
  <c r="C612" i="6"/>
  <c r="B612" i="6"/>
  <c r="A612" i="6" a="1"/>
  <c r="A612" i="6" s="1"/>
  <c r="I611" i="6" a="1"/>
  <c r="I611" i="6" s="1"/>
  <c r="F611" i="6" s="1" a="1"/>
  <c r="F611" i="6" s="1"/>
  <c r="H611" i="6" a="1"/>
  <c r="H611" i="6" s="1"/>
  <c r="E611" i="6"/>
  <c r="D611" i="6"/>
  <c r="C611" i="6"/>
  <c r="B611" i="6"/>
  <c r="A611" i="6" a="1"/>
  <c r="A611" i="6" s="1"/>
  <c r="I610" i="6" a="1"/>
  <c r="I610" i="6" s="1"/>
  <c r="F610" i="6" s="1" a="1"/>
  <c r="F610" i="6" s="1"/>
  <c r="H610" i="6" a="1"/>
  <c r="H610" i="6" s="1"/>
  <c r="E610" i="6"/>
  <c r="D610" i="6"/>
  <c r="C610" i="6"/>
  <c r="B610" i="6"/>
  <c r="A610" i="6" a="1"/>
  <c r="A610" i="6" s="1"/>
  <c r="I609" i="6" a="1"/>
  <c r="I609" i="6" s="1"/>
  <c r="F609" i="6" s="1" a="1"/>
  <c r="F609" i="6" s="1"/>
  <c r="H609" i="6" a="1"/>
  <c r="H609" i="6" s="1"/>
  <c r="E609" i="6"/>
  <c r="D609" i="6"/>
  <c r="C609" i="6"/>
  <c r="B609" i="6"/>
  <c r="A609" i="6" a="1"/>
  <c r="A609" i="6" s="1"/>
  <c r="I608" i="6" a="1"/>
  <c r="I608" i="6" s="1"/>
  <c r="F608" i="6" s="1" a="1"/>
  <c r="F608" i="6" s="1"/>
  <c r="H608" i="6" a="1"/>
  <c r="H608" i="6" s="1"/>
  <c r="E608" i="6"/>
  <c r="D608" i="6"/>
  <c r="C608" i="6"/>
  <c r="B608" i="6"/>
  <c r="A608" i="6" a="1"/>
  <c r="A608" i="6" s="1"/>
  <c r="I607" i="6" a="1"/>
  <c r="I607" i="6" s="1"/>
  <c r="F607" i="6" s="1" a="1"/>
  <c r="F607" i="6" s="1"/>
  <c r="H607" i="6" a="1"/>
  <c r="H607" i="6" s="1"/>
  <c r="E607" i="6"/>
  <c r="D607" i="6"/>
  <c r="C607" i="6"/>
  <c r="B607" i="6"/>
  <c r="A607" i="6" a="1"/>
  <c r="A607" i="6" s="1"/>
  <c r="I606" i="6" a="1"/>
  <c r="I606" i="6" s="1"/>
  <c r="F606" i="6" s="1" a="1"/>
  <c r="F606" i="6" s="1"/>
  <c r="H606" i="6" a="1"/>
  <c r="H606" i="6" s="1"/>
  <c r="E606" i="6"/>
  <c r="D606" i="6"/>
  <c r="C606" i="6"/>
  <c r="B606" i="6"/>
  <c r="A606" i="6" a="1"/>
  <c r="A606" i="6" s="1"/>
  <c r="I605" i="6" a="1"/>
  <c r="I605" i="6" s="1"/>
  <c r="F605" i="6" s="1" a="1"/>
  <c r="F605" i="6" s="1"/>
  <c r="H605" i="6" a="1"/>
  <c r="H605" i="6" s="1"/>
  <c r="E605" i="6"/>
  <c r="D605" i="6"/>
  <c r="C605" i="6"/>
  <c r="B605" i="6"/>
  <c r="A605" i="6" a="1"/>
  <c r="A605" i="6" s="1"/>
  <c r="I604" i="6" a="1"/>
  <c r="I604" i="6" s="1"/>
  <c r="F604" i="6" s="1" a="1"/>
  <c r="F604" i="6" s="1"/>
  <c r="H604" i="6" a="1"/>
  <c r="H604" i="6" s="1"/>
  <c r="E604" i="6"/>
  <c r="D604" i="6"/>
  <c r="C604" i="6"/>
  <c r="B604" i="6"/>
  <c r="A604" i="6" a="1"/>
  <c r="A604" i="6" s="1"/>
  <c r="I603" i="6" a="1"/>
  <c r="I603" i="6" s="1"/>
  <c r="F603" i="6" s="1" a="1"/>
  <c r="F603" i="6" s="1"/>
  <c r="H603" i="6" a="1"/>
  <c r="H603" i="6" s="1"/>
  <c r="E603" i="6"/>
  <c r="D603" i="6"/>
  <c r="C603" i="6"/>
  <c r="B603" i="6"/>
  <c r="A603" i="6" a="1"/>
  <c r="A603" i="6" s="1"/>
  <c r="I602" i="6" a="1"/>
  <c r="I602" i="6" s="1"/>
  <c r="F602" i="6" s="1" a="1"/>
  <c r="F602" i="6" s="1"/>
  <c r="H602" i="6" a="1"/>
  <c r="H602" i="6" s="1"/>
  <c r="E602" i="6"/>
  <c r="D602" i="6"/>
  <c r="C602" i="6"/>
  <c r="B602" i="6"/>
  <c r="A602" i="6" a="1"/>
  <c r="A602" i="6" s="1"/>
  <c r="I601" i="6" a="1"/>
  <c r="I601" i="6" s="1"/>
  <c r="F601" i="6" s="1" a="1"/>
  <c r="F601" i="6" s="1"/>
  <c r="H601" i="6" a="1"/>
  <c r="H601" i="6" s="1"/>
  <c r="E601" i="6"/>
  <c r="D601" i="6"/>
  <c r="C601" i="6"/>
  <c r="B601" i="6"/>
  <c r="A601" i="6" a="1"/>
  <c r="A601" i="6" s="1"/>
  <c r="I600" i="6" a="1"/>
  <c r="I600" i="6" s="1"/>
  <c r="F600" i="6" s="1" a="1"/>
  <c r="F600" i="6" s="1"/>
  <c r="H600" i="6" a="1"/>
  <c r="H600" i="6" s="1"/>
  <c r="E600" i="6"/>
  <c r="D600" i="6"/>
  <c r="C600" i="6"/>
  <c r="B600" i="6"/>
  <c r="A600" i="6" a="1"/>
  <c r="A600" i="6" s="1"/>
  <c r="I599" i="6" a="1"/>
  <c r="I599" i="6" s="1"/>
  <c r="F599" i="6" s="1" a="1"/>
  <c r="F599" i="6" s="1"/>
  <c r="H599" i="6" a="1"/>
  <c r="H599" i="6" s="1"/>
  <c r="E599" i="6"/>
  <c r="D599" i="6"/>
  <c r="C599" i="6"/>
  <c r="B599" i="6"/>
  <c r="A599" i="6" a="1"/>
  <c r="A599" i="6" s="1"/>
  <c r="I598" i="6" a="1"/>
  <c r="I598" i="6" s="1"/>
  <c r="F598" i="6" s="1" a="1"/>
  <c r="F598" i="6" s="1"/>
  <c r="H598" i="6" a="1"/>
  <c r="H598" i="6" s="1"/>
  <c r="E598" i="6"/>
  <c r="D598" i="6"/>
  <c r="C598" i="6"/>
  <c r="B598" i="6"/>
  <c r="A598" i="6" a="1"/>
  <c r="A598" i="6" s="1"/>
  <c r="I597" i="6" a="1"/>
  <c r="I597" i="6" s="1"/>
  <c r="F597" i="6" s="1" a="1"/>
  <c r="F597" i="6" s="1"/>
  <c r="H597" i="6" a="1"/>
  <c r="H597" i="6" s="1"/>
  <c r="E597" i="6"/>
  <c r="D597" i="6"/>
  <c r="C597" i="6"/>
  <c r="B597" i="6"/>
  <c r="A597" i="6" a="1"/>
  <c r="A597" i="6" s="1"/>
  <c r="I596" i="6" a="1"/>
  <c r="I596" i="6" s="1"/>
  <c r="F596" i="6" s="1" a="1"/>
  <c r="F596" i="6" s="1"/>
  <c r="H596" i="6" a="1"/>
  <c r="H596" i="6" s="1"/>
  <c r="E596" i="6"/>
  <c r="D596" i="6"/>
  <c r="C596" i="6"/>
  <c r="B596" i="6"/>
  <c r="A596" i="6" a="1"/>
  <c r="A596" i="6" s="1"/>
  <c r="I595" i="6" a="1"/>
  <c r="I595" i="6" s="1"/>
  <c r="F595" i="6" s="1" a="1"/>
  <c r="F595" i="6" s="1"/>
  <c r="H595" i="6" a="1"/>
  <c r="H595" i="6" s="1"/>
  <c r="E595" i="6"/>
  <c r="D595" i="6"/>
  <c r="C595" i="6"/>
  <c r="B595" i="6"/>
  <c r="A595" i="6" a="1"/>
  <c r="A595" i="6" s="1"/>
  <c r="I594" i="6" a="1"/>
  <c r="I594" i="6" s="1"/>
  <c r="F594" i="6" s="1" a="1"/>
  <c r="F594" i="6" s="1"/>
  <c r="H594" i="6" a="1"/>
  <c r="H594" i="6" s="1"/>
  <c r="E594" i="6"/>
  <c r="D594" i="6"/>
  <c r="C594" i="6"/>
  <c r="B594" i="6"/>
  <c r="A594" i="6" a="1"/>
  <c r="A594" i="6" s="1"/>
  <c r="I593" i="6" a="1"/>
  <c r="I593" i="6" s="1"/>
  <c r="F593" i="6" s="1" a="1"/>
  <c r="F593" i="6" s="1"/>
  <c r="H593" i="6" a="1"/>
  <c r="H593" i="6" s="1"/>
  <c r="E593" i="6"/>
  <c r="D593" i="6"/>
  <c r="C593" i="6"/>
  <c r="B593" i="6"/>
  <c r="A593" i="6" a="1"/>
  <c r="A593" i="6" s="1"/>
  <c r="I592" i="6" a="1"/>
  <c r="I592" i="6" s="1"/>
  <c r="F592" i="6" s="1" a="1"/>
  <c r="F592" i="6" s="1"/>
  <c r="H592" i="6" a="1"/>
  <c r="H592" i="6" s="1"/>
  <c r="E592" i="6"/>
  <c r="D592" i="6"/>
  <c r="C592" i="6"/>
  <c r="B592" i="6"/>
  <c r="A592" i="6" a="1"/>
  <c r="A592" i="6" s="1"/>
  <c r="I591" i="6" a="1"/>
  <c r="I591" i="6" s="1"/>
  <c r="F591" i="6" s="1" a="1"/>
  <c r="F591" i="6" s="1"/>
  <c r="H591" i="6" a="1"/>
  <c r="H591" i="6" s="1"/>
  <c r="E591" i="6"/>
  <c r="D591" i="6"/>
  <c r="C591" i="6"/>
  <c r="B591" i="6"/>
  <c r="A591" i="6" a="1"/>
  <c r="A591" i="6" s="1"/>
  <c r="I590" i="6" a="1"/>
  <c r="I590" i="6" s="1"/>
  <c r="F590" i="6" s="1" a="1"/>
  <c r="F590" i="6" s="1"/>
  <c r="H590" i="6" a="1"/>
  <c r="H590" i="6" s="1"/>
  <c r="E590" i="6"/>
  <c r="D590" i="6"/>
  <c r="C590" i="6"/>
  <c r="B590" i="6"/>
  <c r="A590" i="6" a="1"/>
  <c r="A590" i="6" s="1"/>
  <c r="I589" i="6" a="1"/>
  <c r="I589" i="6" s="1"/>
  <c r="F589" i="6" s="1" a="1"/>
  <c r="F589" i="6" s="1"/>
  <c r="H589" i="6" a="1"/>
  <c r="H589" i="6" s="1"/>
  <c r="E589" i="6"/>
  <c r="D589" i="6"/>
  <c r="C589" i="6"/>
  <c r="B589" i="6"/>
  <c r="A589" i="6" a="1"/>
  <c r="A589" i="6" s="1"/>
  <c r="I588" i="6" a="1"/>
  <c r="I588" i="6" s="1"/>
  <c r="F588" i="6" s="1" a="1"/>
  <c r="F588" i="6" s="1"/>
  <c r="H588" i="6" a="1"/>
  <c r="H588" i="6" s="1"/>
  <c r="E588" i="6"/>
  <c r="D588" i="6"/>
  <c r="C588" i="6"/>
  <c r="B588" i="6"/>
  <c r="A588" i="6" a="1"/>
  <c r="A588" i="6" s="1"/>
  <c r="I587" i="6" a="1"/>
  <c r="I587" i="6" s="1"/>
  <c r="F587" i="6" s="1" a="1"/>
  <c r="F587" i="6" s="1"/>
  <c r="H587" i="6" a="1"/>
  <c r="H587" i="6" s="1"/>
  <c r="E587" i="6"/>
  <c r="D587" i="6"/>
  <c r="C587" i="6"/>
  <c r="B587" i="6"/>
  <c r="A587" i="6" a="1"/>
  <c r="A587" i="6" s="1"/>
  <c r="I586" i="6" a="1"/>
  <c r="I586" i="6" s="1"/>
  <c r="F586" i="6" s="1" a="1"/>
  <c r="F586" i="6" s="1"/>
  <c r="H586" i="6" a="1"/>
  <c r="H586" i="6" s="1"/>
  <c r="E586" i="6"/>
  <c r="D586" i="6"/>
  <c r="C586" i="6"/>
  <c r="B586" i="6"/>
  <c r="A586" i="6" a="1"/>
  <c r="A586" i="6" s="1"/>
  <c r="I585" i="6" a="1"/>
  <c r="I585" i="6" s="1"/>
  <c r="F585" i="6" s="1" a="1"/>
  <c r="F585" i="6" s="1"/>
  <c r="H585" i="6" a="1"/>
  <c r="H585" i="6" s="1"/>
  <c r="E585" i="6"/>
  <c r="D585" i="6"/>
  <c r="C585" i="6"/>
  <c r="B585" i="6"/>
  <c r="A585" i="6" a="1"/>
  <c r="A585" i="6" s="1"/>
  <c r="I584" i="6" a="1"/>
  <c r="I584" i="6" s="1"/>
  <c r="F584" i="6" s="1" a="1"/>
  <c r="F584" i="6" s="1"/>
  <c r="H584" i="6" a="1"/>
  <c r="H584" i="6" s="1"/>
  <c r="E584" i="6"/>
  <c r="D584" i="6"/>
  <c r="C584" i="6"/>
  <c r="B584" i="6"/>
  <c r="A584" i="6" a="1"/>
  <c r="A584" i="6" s="1"/>
  <c r="I583" i="6" a="1"/>
  <c r="I583" i="6" s="1"/>
  <c r="F583" i="6" s="1" a="1"/>
  <c r="F583" i="6" s="1"/>
  <c r="H583" i="6" a="1"/>
  <c r="H583" i="6" s="1"/>
  <c r="E583" i="6"/>
  <c r="D583" i="6"/>
  <c r="C583" i="6"/>
  <c r="B583" i="6"/>
  <c r="A583" i="6" a="1"/>
  <c r="A583" i="6" s="1"/>
  <c r="I582" i="6" a="1"/>
  <c r="I582" i="6" s="1"/>
  <c r="F582" i="6" s="1" a="1"/>
  <c r="F582" i="6" s="1"/>
  <c r="H582" i="6" a="1"/>
  <c r="H582" i="6" s="1"/>
  <c r="E582" i="6"/>
  <c r="D582" i="6"/>
  <c r="C582" i="6"/>
  <c r="B582" i="6"/>
  <c r="A582" i="6" a="1"/>
  <c r="A582" i="6" s="1"/>
  <c r="I581" i="6" a="1"/>
  <c r="I581" i="6" s="1"/>
  <c r="F581" i="6" s="1" a="1"/>
  <c r="F581" i="6" s="1"/>
  <c r="H581" i="6" a="1"/>
  <c r="H581" i="6" s="1"/>
  <c r="E581" i="6"/>
  <c r="D581" i="6"/>
  <c r="C581" i="6"/>
  <c r="B581" i="6"/>
  <c r="A581" i="6" a="1"/>
  <c r="A581" i="6" s="1"/>
  <c r="I580" i="6" a="1"/>
  <c r="I580" i="6" s="1"/>
  <c r="F580" i="6" s="1" a="1"/>
  <c r="F580" i="6" s="1"/>
  <c r="H580" i="6" a="1"/>
  <c r="H580" i="6" s="1"/>
  <c r="E580" i="6"/>
  <c r="D580" i="6"/>
  <c r="C580" i="6"/>
  <c r="B580" i="6"/>
  <c r="A580" i="6" a="1"/>
  <c r="A580" i="6" s="1"/>
  <c r="I579" i="6" a="1"/>
  <c r="I579" i="6" s="1"/>
  <c r="F579" i="6" s="1" a="1"/>
  <c r="F579" i="6" s="1"/>
  <c r="H579" i="6" a="1"/>
  <c r="H579" i="6" s="1"/>
  <c r="E579" i="6"/>
  <c r="D579" i="6"/>
  <c r="C579" i="6"/>
  <c r="B579" i="6"/>
  <c r="A579" i="6" a="1"/>
  <c r="A579" i="6" s="1"/>
  <c r="I578" i="6" a="1"/>
  <c r="I578" i="6" s="1"/>
  <c r="F578" i="6" s="1" a="1"/>
  <c r="F578" i="6" s="1"/>
  <c r="H578" i="6" a="1"/>
  <c r="H578" i="6" s="1"/>
  <c r="E578" i="6"/>
  <c r="D578" i="6"/>
  <c r="C578" i="6"/>
  <c r="B578" i="6"/>
  <c r="A578" i="6" a="1"/>
  <c r="A578" i="6" s="1"/>
  <c r="I577" i="6" a="1"/>
  <c r="I577" i="6" s="1"/>
  <c r="F577" i="6" s="1" a="1"/>
  <c r="F577" i="6" s="1"/>
  <c r="H577" i="6" a="1"/>
  <c r="H577" i="6" s="1"/>
  <c r="E577" i="6"/>
  <c r="D577" i="6"/>
  <c r="C577" i="6"/>
  <c r="B577" i="6"/>
  <c r="A577" i="6" a="1"/>
  <c r="A577" i="6" s="1"/>
  <c r="I576" i="6" a="1"/>
  <c r="I576" i="6" s="1"/>
  <c r="F576" i="6" s="1" a="1"/>
  <c r="F576" i="6" s="1"/>
  <c r="H576" i="6" a="1"/>
  <c r="H576" i="6" s="1"/>
  <c r="E576" i="6"/>
  <c r="D576" i="6"/>
  <c r="C576" i="6"/>
  <c r="B576" i="6"/>
  <c r="A576" i="6" a="1"/>
  <c r="A576" i="6" s="1"/>
  <c r="I575" i="6" a="1"/>
  <c r="I575" i="6" s="1"/>
  <c r="F575" i="6" s="1" a="1"/>
  <c r="F575" i="6" s="1"/>
  <c r="H575" i="6" a="1"/>
  <c r="H575" i="6" s="1"/>
  <c r="E575" i="6"/>
  <c r="D575" i="6"/>
  <c r="C575" i="6"/>
  <c r="B575" i="6"/>
  <c r="A575" i="6" a="1"/>
  <c r="A575" i="6" s="1"/>
  <c r="I574" i="6" a="1"/>
  <c r="I574" i="6" s="1"/>
  <c r="F574" i="6" s="1" a="1"/>
  <c r="F574" i="6" s="1"/>
  <c r="H574" i="6" a="1"/>
  <c r="H574" i="6" s="1"/>
  <c r="E574" i="6"/>
  <c r="D574" i="6"/>
  <c r="C574" i="6"/>
  <c r="B574" i="6"/>
  <c r="A574" i="6" a="1"/>
  <c r="A574" i="6" s="1"/>
  <c r="I573" i="6" a="1"/>
  <c r="I573" i="6" s="1"/>
  <c r="F573" i="6" s="1" a="1"/>
  <c r="F573" i="6" s="1"/>
  <c r="H573" i="6" a="1"/>
  <c r="H573" i="6" s="1"/>
  <c r="E573" i="6"/>
  <c r="D573" i="6"/>
  <c r="C573" i="6"/>
  <c r="B573" i="6"/>
  <c r="A573" i="6" a="1"/>
  <c r="A573" i="6" s="1"/>
  <c r="I572" i="6" a="1"/>
  <c r="I572" i="6" s="1"/>
  <c r="F572" i="6" s="1" a="1"/>
  <c r="F572" i="6" s="1"/>
  <c r="H572" i="6" a="1"/>
  <c r="H572" i="6" s="1"/>
  <c r="E572" i="6"/>
  <c r="D572" i="6"/>
  <c r="C572" i="6"/>
  <c r="B572" i="6"/>
  <c r="A572" i="6" a="1"/>
  <c r="A572" i="6" s="1"/>
  <c r="I571" i="6" a="1"/>
  <c r="I571" i="6" s="1"/>
  <c r="F571" i="6" s="1" a="1"/>
  <c r="F571" i="6" s="1"/>
  <c r="H571" i="6" a="1"/>
  <c r="H571" i="6" s="1"/>
  <c r="E571" i="6"/>
  <c r="D571" i="6"/>
  <c r="C571" i="6"/>
  <c r="B571" i="6"/>
  <c r="A571" i="6" a="1"/>
  <c r="A571" i="6" s="1"/>
  <c r="I570" i="6" a="1"/>
  <c r="I570" i="6" s="1"/>
  <c r="F570" i="6" s="1" a="1"/>
  <c r="F570" i="6" s="1"/>
  <c r="H570" i="6" a="1"/>
  <c r="H570" i="6" s="1"/>
  <c r="E570" i="6"/>
  <c r="D570" i="6"/>
  <c r="C570" i="6"/>
  <c r="B570" i="6"/>
  <c r="A570" i="6" a="1"/>
  <c r="A570" i="6" s="1"/>
  <c r="I569" i="6" a="1"/>
  <c r="I569" i="6" s="1"/>
  <c r="F569" i="6" s="1" a="1"/>
  <c r="F569" i="6" s="1"/>
  <c r="H569" i="6" a="1"/>
  <c r="H569" i="6" s="1"/>
  <c r="E569" i="6"/>
  <c r="D569" i="6"/>
  <c r="C569" i="6"/>
  <c r="B569" i="6"/>
  <c r="A569" i="6" a="1"/>
  <c r="A569" i="6" s="1"/>
  <c r="I568" i="6" a="1"/>
  <c r="I568" i="6" s="1"/>
  <c r="F568" i="6" s="1" a="1"/>
  <c r="F568" i="6" s="1"/>
  <c r="H568" i="6" a="1"/>
  <c r="H568" i="6" s="1"/>
  <c r="E568" i="6"/>
  <c r="D568" i="6"/>
  <c r="C568" i="6"/>
  <c r="B568" i="6"/>
  <c r="A568" i="6" a="1"/>
  <c r="A568" i="6" s="1"/>
  <c r="I567" i="6" a="1"/>
  <c r="I567" i="6" s="1"/>
  <c r="F567" i="6" s="1" a="1"/>
  <c r="F567" i="6" s="1"/>
  <c r="H567" i="6" a="1"/>
  <c r="H567" i="6" s="1"/>
  <c r="E567" i="6"/>
  <c r="D567" i="6"/>
  <c r="C567" i="6"/>
  <c r="B567" i="6"/>
  <c r="A567" i="6" a="1"/>
  <c r="A567" i="6" s="1"/>
  <c r="I566" i="6" a="1"/>
  <c r="I566" i="6" s="1"/>
  <c r="F566" i="6" s="1" a="1"/>
  <c r="F566" i="6" s="1"/>
  <c r="H566" i="6" a="1"/>
  <c r="H566" i="6" s="1"/>
  <c r="E566" i="6"/>
  <c r="D566" i="6"/>
  <c r="C566" i="6"/>
  <c r="B566" i="6"/>
  <c r="A566" i="6" a="1"/>
  <c r="A566" i="6" s="1"/>
  <c r="I565" i="6" a="1"/>
  <c r="I565" i="6" s="1"/>
  <c r="F565" i="6" s="1" a="1"/>
  <c r="F565" i="6" s="1"/>
  <c r="H565" i="6" a="1"/>
  <c r="H565" i="6" s="1"/>
  <c r="E565" i="6"/>
  <c r="D565" i="6"/>
  <c r="C565" i="6"/>
  <c r="B565" i="6"/>
  <c r="A565" i="6" a="1"/>
  <c r="A565" i="6" s="1"/>
  <c r="I564" i="6" a="1"/>
  <c r="I564" i="6" s="1"/>
  <c r="F564" i="6" s="1" a="1"/>
  <c r="F564" i="6" s="1"/>
  <c r="H564" i="6" a="1"/>
  <c r="H564" i="6" s="1"/>
  <c r="E564" i="6"/>
  <c r="D564" i="6"/>
  <c r="C564" i="6"/>
  <c r="B564" i="6"/>
  <c r="A564" i="6" a="1"/>
  <c r="A564" i="6" s="1"/>
  <c r="I563" i="6" a="1"/>
  <c r="I563" i="6" s="1"/>
  <c r="F563" i="6" s="1" a="1"/>
  <c r="F563" i="6" s="1"/>
  <c r="H563" i="6" a="1"/>
  <c r="H563" i="6" s="1"/>
  <c r="E563" i="6"/>
  <c r="D563" i="6"/>
  <c r="C563" i="6"/>
  <c r="B563" i="6"/>
  <c r="A563" i="6" a="1"/>
  <c r="A563" i="6" s="1"/>
  <c r="I562" i="6" a="1"/>
  <c r="I562" i="6" s="1"/>
  <c r="F562" i="6" s="1" a="1"/>
  <c r="F562" i="6" s="1"/>
  <c r="H562" i="6" a="1"/>
  <c r="H562" i="6" s="1"/>
  <c r="E562" i="6"/>
  <c r="D562" i="6"/>
  <c r="C562" i="6"/>
  <c r="B562" i="6"/>
  <c r="A562" i="6" a="1"/>
  <c r="A562" i="6" s="1"/>
  <c r="I561" i="6" a="1"/>
  <c r="I561" i="6" s="1"/>
  <c r="F561" i="6" s="1" a="1"/>
  <c r="F561" i="6" s="1"/>
  <c r="H561" i="6" a="1"/>
  <c r="H561" i="6" s="1"/>
  <c r="E561" i="6"/>
  <c r="D561" i="6"/>
  <c r="C561" i="6"/>
  <c r="B561" i="6"/>
  <c r="A561" i="6" a="1"/>
  <c r="A561" i="6" s="1"/>
  <c r="I560" i="6" a="1"/>
  <c r="I560" i="6" s="1"/>
  <c r="F560" i="6" s="1" a="1"/>
  <c r="F560" i="6" s="1"/>
  <c r="H560" i="6" a="1"/>
  <c r="H560" i="6" s="1"/>
  <c r="E560" i="6"/>
  <c r="D560" i="6"/>
  <c r="C560" i="6"/>
  <c r="B560" i="6"/>
  <c r="A560" i="6" a="1"/>
  <c r="A560" i="6" s="1"/>
  <c r="I559" i="6" a="1"/>
  <c r="I559" i="6" s="1"/>
  <c r="F559" i="6" s="1" a="1"/>
  <c r="F559" i="6" s="1"/>
  <c r="H559" i="6" a="1"/>
  <c r="H559" i="6" s="1"/>
  <c r="E559" i="6"/>
  <c r="D559" i="6"/>
  <c r="C559" i="6"/>
  <c r="B559" i="6"/>
  <c r="A559" i="6" a="1"/>
  <c r="A559" i="6" s="1"/>
  <c r="I558" i="6" a="1"/>
  <c r="I558" i="6" s="1"/>
  <c r="F558" i="6" s="1" a="1"/>
  <c r="F558" i="6" s="1"/>
  <c r="H558" i="6" a="1"/>
  <c r="H558" i="6" s="1"/>
  <c r="E558" i="6"/>
  <c r="D558" i="6"/>
  <c r="C558" i="6"/>
  <c r="B558" i="6"/>
  <c r="A558" i="6" a="1"/>
  <c r="A558" i="6" s="1"/>
  <c r="I557" i="6" a="1"/>
  <c r="I557" i="6" s="1"/>
  <c r="F557" i="6" s="1" a="1"/>
  <c r="F557" i="6" s="1"/>
  <c r="H557" i="6" a="1"/>
  <c r="H557" i="6" s="1"/>
  <c r="E557" i="6"/>
  <c r="D557" i="6"/>
  <c r="C557" i="6"/>
  <c r="B557" i="6"/>
  <c r="A557" i="6" a="1"/>
  <c r="A557" i="6" s="1"/>
  <c r="I556" i="6" a="1"/>
  <c r="I556" i="6" s="1"/>
  <c r="F556" i="6" s="1" a="1"/>
  <c r="F556" i="6" s="1"/>
  <c r="H556" i="6" a="1"/>
  <c r="H556" i="6" s="1"/>
  <c r="E556" i="6"/>
  <c r="D556" i="6"/>
  <c r="C556" i="6"/>
  <c r="B556" i="6"/>
  <c r="A556" i="6" a="1"/>
  <c r="A556" i="6" s="1"/>
  <c r="I555" i="6" a="1"/>
  <c r="I555" i="6" s="1"/>
  <c r="F555" i="6" s="1" a="1"/>
  <c r="F555" i="6" s="1"/>
  <c r="H555" i="6" a="1"/>
  <c r="H555" i="6" s="1"/>
  <c r="E555" i="6"/>
  <c r="D555" i="6"/>
  <c r="C555" i="6"/>
  <c r="B555" i="6"/>
  <c r="A555" i="6" a="1"/>
  <c r="A555" i="6" s="1"/>
  <c r="I554" i="6" a="1"/>
  <c r="I554" i="6" s="1"/>
  <c r="F554" i="6" s="1" a="1"/>
  <c r="F554" i="6" s="1"/>
  <c r="H554" i="6" a="1"/>
  <c r="H554" i="6" s="1"/>
  <c r="E554" i="6"/>
  <c r="D554" i="6"/>
  <c r="C554" i="6"/>
  <c r="B554" i="6"/>
  <c r="A554" i="6" a="1"/>
  <c r="A554" i="6" s="1"/>
  <c r="I553" i="6" a="1"/>
  <c r="I553" i="6" s="1"/>
  <c r="F553" i="6" s="1" a="1"/>
  <c r="F553" i="6" s="1"/>
  <c r="H553" i="6" a="1"/>
  <c r="H553" i="6" s="1"/>
  <c r="E553" i="6"/>
  <c r="D553" i="6"/>
  <c r="C553" i="6"/>
  <c r="B553" i="6"/>
  <c r="A553" i="6" a="1"/>
  <c r="A553" i="6" s="1"/>
  <c r="I552" i="6" a="1"/>
  <c r="I552" i="6" s="1"/>
  <c r="F552" i="6" s="1" a="1"/>
  <c r="F552" i="6" s="1"/>
  <c r="H552" i="6" a="1"/>
  <c r="H552" i="6" s="1"/>
  <c r="E552" i="6"/>
  <c r="D552" i="6"/>
  <c r="C552" i="6"/>
  <c r="B552" i="6"/>
  <c r="A552" i="6" a="1"/>
  <c r="A552" i="6" s="1"/>
  <c r="I551" i="6" a="1"/>
  <c r="I551" i="6" s="1"/>
  <c r="F551" i="6" s="1" a="1"/>
  <c r="F551" i="6" s="1"/>
  <c r="H551" i="6" a="1"/>
  <c r="H551" i="6" s="1"/>
  <c r="E551" i="6"/>
  <c r="D551" i="6"/>
  <c r="C551" i="6"/>
  <c r="B551" i="6"/>
  <c r="A551" i="6" a="1"/>
  <c r="A551" i="6" s="1"/>
  <c r="I550" i="6" a="1"/>
  <c r="I550" i="6" s="1"/>
  <c r="F550" i="6" s="1" a="1"/>
  <c r="F550" i="6" s="1"/>
  <c r="H550" i="6" a="1"/>
  <c r="H550" i="6" s="1"/>
  <c r="E550" i="6"/>
  <c r="D550" i="6"/>
  <c r="C550" i="6"/>
  <c r="B550" i="6"/>
  <c r="A550" i="6" a="1"/>
  <c r="A550" i="6" s="1"/>
  <c r="I549" i="6" a="1"/>
  <c r="I549" i="6" s="1"/>
  <c r="F549" i="6" s="1" a="1"/>
  <c r="F549" i="6" s="1"/>
  <c r="H549" i="6" a="1"/>
  <c r="H549" i="6" s="1"/>
  <c r="E549" i="6"/>
  <c r="D549" i="6"/>
  <c r="C549" i="6"/>
  <c r="B549" i="6"/>
  <c r="A549" i="6" a="1"/>
  <c r="A549" i="6" s="1"/>
  <c r="I548" i="6" a="1"/>
  <c r="I548" i="6" s="1"/>
  <c r="F548" i="6" s="1" a="1"/>
  <c r="F548" i="6" s="1"/>
  <c r="H548" i="6" a="1"/>
  <c r="H548" i="6" s="1"/>
  <c r="E548" i="6"/>
  <c r="D548" i="6"/>
  <c r="C548" i="6"/>
  <c r="B548" i="6"/>
  <c r="A548" i="6" a="1"/>
  <c r="A548" i="6" s="1"/>
  <c r="I547" i="6" a="1"/>
  <c r="I547" i="6" s="1"/>
  <c r="F547" i="6" s="1" a="1"/>
  <c r="F547" i="6" s="1"/>
  <c r="H547" i="6" a="1"/>
  <c r="H547" i="6" s="1"/>
  <c r="E547" i="6"/>
  <c r="D547" i="6"/>
  <c r="C547" i="6"/>
  <c r="B547" i="6"/>
  <c r="A547" i="6" a="1"/>
  <c r="A547" i="6" s="1"/>
  <c r="I546" i="6" a="1"/>
  <c r="I546" i="6" s="1"/>
  <c r="F546" i="6" s="1" a="1"/>
  <c r="F546" i="6" s="1"/>
  <c r="H546" i="6" a="1"/>
  <c r="H546" i="6" s="1"/>
  <c r="E546" i="6"/>
  <c r="D546" i="6"/>
  <c r="C546" i="6"/>
  <c r="B546" i="6"/>
  <c r="A546" i="6" a="1"/>
  <c r="A546" i="6" s="1"/>
  <c r="I545" i="6" a="1"/>
  <c r="I545" i="6" s="1"/>
  <c r="F545" i="6" s="1" a="1"/>
  <c r="F545" i="6" s="1"/>
  <c r="H545" i="6" a="1"/>
  <c r="H545" i="6" s="1"/>
  <c r="E545" i="6"/>
  <c r="D545" i="6"/>
  <c r="C545" i="6"/>
  <c r="B545" i="6"/>
  <c r="A545" i="6" a="1"/>
  <c r="A545" i="6" s="1"/>
  <c r="I544" i="6" a="1"/>
  <c r="I544" i="6" s="1"/>
  <c r="F544" i="6" s="1" a="1"/>
  <c r="F544" i="6" s="1"/>
  <c r="H544" i="6" a="1"/>
  <c r="H544" i="6" s="1"/>
  <c r="E544" i="6"/>
  <c r="D544" i="6"/>
  <c r="C544" i="6"/>
  <c r="B544" i="6"/>
  <c r="A544" i="6" a="1"/>
  <c r="A544" i="6" s="1"/>
  <c r="I543" i="6" a="1"/>
  <c r="I543" i="6" s="1"/>
  <c r="F543" i="6" s="1" a="1"/>
  <c r="F543" i="6" s="1"/>
  <c r="H543" i="6" a="1"/>
  <c r="H543" i="6" s="1"/>
  <c r="E543" i="6"/>
  <c r="D543" i="6"/>
  <c r="C543" i="6"/>
  <c r="B543" i="6"/>
  <c r="A543" i="6" a="1"/>
  <c r="A543" i="6" s="1"/>
  <c r="I542" i="6" a="1"/>
  <c r="I542" i="6" s="1"/>
  <c r="F542" i="6" s="1" a="1"/>
  <c r="F542" i="6" s="1"/>
  <c r="H542" i="6" a="1"/>
  <c r="H542" i="6" s="1"/>
  <c r="E542" i="6"/>
  <c r="D542" i="6"/>
  <c r="C542" i="6"/>
  <c r="B542" i="6"/>
  <c r="A542" i="6" a="1"/>
  <c r="A542" i="6" s="1"/>
  <c r="I541" i="6" a="1"/>
  <c r="I541" i="6" s="1"/>
  <c r="F541" i="6" s="1" a="1"/>
  <c r="F541" i="6" s="1"/>
  <c r="H541" i="6" a="1"/>
  <c r="H541" i="6" s="1"/>
  <c r="E541" i="6"/>
  <c r="D541" i="6"/>
  <c r="C541" i="6"/>
  <c r="B541" i="6"/>
  <c r="A541" i="6" a="1"/>
  <c r="A541" i="6" s="1"/>
  <c r="I540" i="6" a="1"/>
  <c r="I540" i="6" s="1"/>
  <c r="F540" i="6" s="1" a="1"/>
  <c r="F540" i="6" s="1"/>
  <c r="H540" i="6" a="1"/>
  <c r="H540" i="6" s="1"/>
  <c r="E540" i="6"/>
  <c r="D540" i="6"/>
  <c r="C540" i="6"/>
  <c r="B540" i="6"/>
  <c r="A540" i="6" a="1"/>
  <c r="A540" i="6" s="1"/>
  <c r="I539" i="6" a="1"/>
  <c r="I539" i="6" s="1"/>
  <c r="F539" i="6" s="1" a="1"/>
  <c r="F539" i="6" s="1"/>
  <c r="H539" i="6" a="1"/>
  <c r="H539" i="6" s="1"/>
  <c r="E539" i="6"/>
  <c r="D539" i="6"/>
  <c r="C539" i="6"/>
  <c r="B539" i="6"/>
  <c r="A539" i="6" a="1"/>
  <c r="A539" i="6" s="1"/>
  <c r="I538" i="6" a="1"/>
  <c r="I538" i="6" s="1"/>
  <c r="F538" i="6" s="1" a="1"/>
  <c r="F538" i="6" s="1"/>
  <c r="H538" i="6" a="1"/>
  <c r="H538" i="6" s="1"/>
  <c r="E538" i="6"/>
  <c r="D538" i="6"/>
  <c r="C538" i="6"/>
  <c r="B538" i="6"/>
  <c r="A538" i="6" a="1"/>
  <c r="A538" i="6" s="1"/>
  <c r="I537" i="6" a="1"/>
  <c r="I537" i="6" s="1"/>
  <c r="F537" i="6" s="1" a="1"/>
  <c r="F537" i="6" s="1"/>
  <c r="H537" i="6" a="1"/>
  <c r="H537" i="6" s="1"/>
  <c r="E537" i="6"/>
  <c r="D537" i="6"/>
  <c r="C537" i="6"/>
  <c r="B537" i="6"/>
  <c r="A537" i="6" a="1"/>
  <c r="A537" i="6" s="1"/>
  <c r="I536" i="6" a="1"/>
  <c r="I536" i="6" s="1"/>
  <c r="F536" i="6" s="1" a="1"/>
  <c r="F536" i="6" s="1"/>
  <c r="H536" i="6" a="1"/>
  <c r="H536" i="6" s="1"/>
  <c r="E536" i="6"/>
  <c r="D536" i="6"/>
  <c r="C536" i="6"/>
  <c r="B536" i="6"/>
  <c r="A536" i="6" a="1"/>
  <c r="A536" i="6" s="1"/>
  <c r="I535" i="6" a="1"/>
  <c r="I535" i="6" s="1"/>
  <c r="F535" i="6" s="1" a="1"/>
  <c r="F535" i="6" s="1"/>
  <c r="H535" i="6" a="1"/>
  <c r="H535" i="6" s="1"/>
  <c r="E535" i="6"/>
  <c r="D535" i="6"/>
  <c r="C535" i="6"/>
  <c r="B535" i="6"/>
  <c r="A535" i="6" a="1"/>
  <c r="A535" i="6" s="1"/>
  <c r="I534" i="6" a="1"/>
  <c r="I534" i="6" s="1"/>
  <c r="F534" i="6" s="1" a="1"/>
  <c r="F534" i="6" s="1"/>
  <c r="H534" i="6" a="1"/>
  <c r="H534" i="6" s="1"/>
  <c r="E534" i="6"/>
  <c r="D534" i="6"/>
  <c r="C534" i="6"/>
  <c r="B534" i="6"/>
  <c r="A534" i="6" a="1"/>
  <c r="A534" i="6" s="1"/>
  <c r="I533" i="6" a="1"/>
  <c r="I533" i="6" s="1"/>
  <c r="F533" i="6" s="1" a="1"/>
  <c r="F533" i="6" s="1"/>
  <c r="H533" i="6" a="1"/>
  <c r="H533" i="6" s="1"/>
  <c r="E533" i="6"/>
  <c r="D533" i="6"/>
  <c r="C533" i="6"/>
  <c r="B533" i="6"/>
  <c r="A533" i="6" a="1"/>
  <c r="A533" i="6" s="1"/>
  <c r="I532" i="6" a="1"/>
  <c r="I532" i="6" s="1"/>
  <c r="F532" i="6" s="1" a="1"/>
  <c r="F532" i="6" s="1"/>
  <c r="H532" i="6" a="1"/>
  <c r="H532" i="6" s="1"/>
  <c r="E532" i="6"/>
  <c r="D532" i="6"/>
  <c r="C532" i="6"/>
  <c r="B532" i="6"/>
  <c r="A532" i="6" a="1"/>
  <c r="A532" i="6" s="1"/>
  <c r="I531" i="6" a="1"/>
  <c r="I531" i="6" s="1"/>
  <c r="F531" i="6" s="1" a="1"/>
  <c r="F531" i="6" s="1"/>
  <c r="H531" i="6" a="1"/>
  <c r="H531" i="6" s="1"/>
  <c r="E531" i="6"/>
  <c r="D531" i="6"/>
  <c r="C531" i="6"/>
  <c r="B531" i="6"/>
  <c r="A531" i="6" a="1"/>
  <c r="A531" i="6" s="1"/>
  <c r="I530" i="6" a="1"/>
  <c r="I530" i="6" s="1"/>
  <c r="F530" i="6" s="1" a="1"/>
  <c r="F530" i="6" s="1"/>
  <c r="H530" i="6" a="1"/>
  <c r="H530" i="6" s="1"/>
  <c r="E530" i="6"/>
  <c r="D530" i="6"/>
  <c r="C530" i="6"/>
  <c r="B530" i="6"/>
  <c r="A530" i="6" a="1"/>
  <c r="A530" i="6" s="1"/>
  <c r="I529" i="6" a="1"/>
  <c r="I529" i="6" s="1"/>
  <c r="F529" i="6" s="1" a="1"/>
  <c r="F529" i="6" s="1"/>
  <c r="H529" i="6" a="1"/>
  <c r="H529" i="6" s="1"/>
  <c r="E529" i="6"/>
  <c r="D529" i="6"/>
  <c r="C529" i="6"/>
  <c r="B529" i="6"/>
  <c r="A529" i="6" a="1"/>
  <c r="A529" i="6" s="1"/>
  <c r="I528" i="6" a="1"/>
  <c r="I528" i="6" s="1"/>
  <c r="F528" i="6" s="1" a="1"/>
  <c r="F528" i="6" s="1"/>
  <c r="H528" i="6" a="1"/>
  <c r="H528" i="6" s="1"/>
  <c r="E528" i="6"/>
  <c r="D528" i="6"/>
  <c r="C528" i="6"/>
  <c r="B528" i="6"/>
  <c r="A528" i="6" a="1"/>
  <c r="A528" i="6" s="1"/>
  <c r="I527" i="6" a="1"/>
  <c r="I527" i="6" s="1"/>
  <c r="F527" i="6" s="1" a="1"/>
  <c r="F527" i="6" s="1"/>
  <c r="H527" i="6" a="1"/>
  <c r="H527" i="6" s="1"/>
  <c r="E527" i="6"/>
  <c r="D527" i="6"/>
  <c r="C527" i="6"/>
  <c r="B527" i="6"/>
  <c r="A527" i="6" a="1"/>
  <c r="A527" i="6" s="1"/>
  <c r="I526" i="6" a="1"/>
  <c r="I526" i="6" s="1"/>
  <c r="F526" i="6" s="1" a="1"/>
  <c r="F526" i="6" s="1"/>
  <c r="H526" i="6" a="1"/>
  <c r="H526" i="6" s="1"/>
  <c r="E526" i="6"/>
  <c r="D526" i="6"/>
  <c r="C526" i="6"/>
  <c r="B526" i="6"/>
  <c r="A526" i="6" a="1"/>
  <c r="A526" i="6" s="1"/>
  <c r="I525" i="6" a="1"/>
  <c r="I525" i="6" s="1"/>
  <c r="F525" i="6" s="1" a="1"/>
  <c r="F525" i="6" s="1"/>
  <c r="H525" i="6" a="1"/>
  <c r="H525" i="6" s="1"/>
  <c r="E525" i="6"/>
  <c r="D525" i="6"/>
  <c r="C525" i="6"/>
  <c r="B525" i="6"/>
  <c r="A525" i="6" a="1"/>
  <c r="A525" i="6" s="1"/>
  <c r="I524" i="6" a="1"/>
  <c r="I524" i="6" s="1"/>
  <c r="F524" i="6" s="1" a="1"/>
  <c r="F524" i="6" s="1"/>
  <c r="H524" i="6" a="1"/>
  <c r="H524" i="6" s="1"/>
  <c r="E524" i="6"/>
  <c r="D524" i="6"/>
  <c r="C524" i="6"/>
  <c r="B524" i="6"/>
  <c r="A524" i="6" a="1"/>
  <c r="A524" i="6" s="1"/>
  <c r="I523" i="6" a="1"/>
  <c r="I523" i="6" s="1"/>
  <c r="F523" i="6" s="1" a="1"/>
  <c r="F523" i="6" s="1"/>
  <c r="H523" i="6" a="1"/>
  <c r="H523" i="6" s="1"/>
  <c r="E523" i="6"/>
  <c r="D523" i="6"/>
  <c r="C523" i="6"/>
  <c r="B523" i="6"/>
  <c r="A523" i="6" a="1"/>
  <c r="A523" i="6" s="1"/>
  <c r="I522" i="6" a="1"/>
  <c r="I522" i="6" s="1"/>
  <c r="F522" i="6" s="1" a="1"/>
  <c r="F522" i="6" s="1"/>
  <c r="H522" i="6" a="1"/>
  <c r="H522" i="6" s="1"/>
  <c r="E522" i="6"/>
  <c r="D522" i="6"/>
  <c r="C522" i="6"/>
  <c r="B522" i="6"/>
  <c r="A522" i="6" a="1"/>
  <c r="A522" i="6" s="1"/>
  <c r="I521" i="6" a="1"/>
  <c r="I521" i="6" s="1"/>
  <c r="F521" i="6" s="1" a="1"/>
  <c r="F521" i="6" s="1"/>
  <c r="H521" i="6" a="1"/>
  <c r="H521" i="6" s="1"/>
  <c r="E521" i="6"/>
  <c r="D521" i="6"/>
  <c r="C521" i="6"/>
  <c r="B521" i="6"/>
  <c r="A521" i="6" a="1"/>
  <c r="A521" i="6" s="1"/>
  <c r="I520" i="6" a="1"/>
  <c r="I520" i="6" s="1"/>
  <c r="F520" i="6" s="1" a="1"/>
  <c r="F520" i="6" s="1"/>
  <c r="H520" i="6" a="1"/>
  <c r="H520" i="6" s="1"/>
  <c r="E520" i="6"/>
  <c r="D520" i="6"/>
  <c r="C520" i="6"/>
  <c r="B520" i="6"/>
  <c r="A520" i="6" a="1"/>
  <c r="A520" i="6" s="1"/>
  <c r="I519" i="6" a="1"/>
  <c r="I519" i="6" s="1"/>
  <c r="F519" i="6" s="1" a="1"/>
  <c r="F519" i="6" s="1"/>
  <c r="H519" i="6" a="1"/>
  <c r="H519" i="6" s="1"/>
  <c r="E519" i="6"/>
  <c r="D519" i="6"/>
  <c r="C519" i="6"/>
  <c r="B519" i="6"/>
  <c r="A519" i="6" a="1"/>
  <c r="A519" i="6" s="1"/>
  <c r="I518" i="6" a="1"/>
  <c r="I518" i="6" s="1"/>
  <c r="F518" i="6" s="1" a="1"/>
  <c r="F518" i="6" s="1"/>
  <c r="H518" i="6" a="1"/>
  <c r="H518" i="6" s="1"/>
  <c r="E518" i="6"/>
  <c r="D518" i="6"/>
  <c r="C518" i="6"/>
  <c r="B518" i="6"/>
  <c r="A518" i="6" a="1"/>
  <c r="A518" i="6" s="1"/>
  <c r="I517" i="6" a="1"/>
  <c r="I517" i="6" s="1"/>
  <c r="F517" i="6" s="1" a="1"/>
  <c r="F517" i="6" s="1"/>
  <c r="H517" i="6" a="1"/>
  <c r="H517" i="6" s="1"/>
  <c r="E517" i="6"/>
  <c r="D517" i="6"/>
  <c r="C517" i="6"/>
  <c r="B517" i="6"/>
  <c r="A517" i="6" a="1"/>
  <c r="A517" i="6" s="1"/>
  <c r="I516" i="6" a="1"/>
  <c r="I516" i="6" s="1"/>
  <c r="F516" i="6" s="1" a="1"/>
  <c r="F516" i="6" s="1"/>
  <c r="H516" i="6" a="1"/>
  <c r="H516" i="6" s="1"/>
  <c r="E516" i="6"/>
  <c r="D516" i="6"/>
  <c r="C516" i="6"/>
  <c r="B516" i="6"/>
  <c r="A516" i="6" a="1"/>
  <c r="A516" i="6" s="1"/>
  <c r="I515" i="6" a="1"/>
  <c r="I515" i="6" s="1"/>
  <c r="F515" i="6" s="1" a="1"/>
  <c r="F515" i="6" s="1"/>
  <c r="H515" i="6" a="1"/>
  <c r="H515" i="6" s="1"/>
  <c r="E515" i="6"/>
  <c r="D515" i="6"/>
  <c r="C515" i="6"/>
  <c r="B515" i="6"/>
  <c r="A515" i="6" a="1"/>
  <c r="A515" i="6" s="1"/>
  <c r="I514" i="6" a="1"/>
  <c r="I514" i="6" s="1"/>
  <c r="F514" i="6" s="1" a="1"/>
  <c r="F514" i="6" s="1"/>
  <c r="H514" i="6" a="1"/>
  <c r="H514" i="6" s="1"/>
  <c r="E514" i="6"/>
  <c r="D514" i="6"/>
  <c r="C514" i="6"/>
  <c r="B514" i="6"/>
  <c r="A514" i="6" a="1"/>
  <c r="A514" i="6" s="1"/>
  <c r="I513" i="6" a="1"/>
  <c r="I513" i="6" s="1"/>
  <c r="F513" i="6" s="1" a="1"/>
  <c r="F513" i="6" s="1"/>
  <c r="H513" i="6" a="1"/>
  <c r="H513" i="6" s="1"/>
  <c r="E513" i="6"/>
  <c r="D513" i="6"/>
  <c r="C513" i="6"/>
  <c r="B513" i="6"/>
  <c r="A513" i="6" a="1"/>
  <c r="A513" i="6" s="1"/>
  <c r="I512" i="6" a="1"/>
  <c r="I512" i="6" s="1"/>
  <c r="F512" i="6" s="1" a="1"/>
  <c r="F512" i="6" s="1"/>
  <c r="H512" i="6" a="1"/>
  <c r="H512" i="6" s="1"/>
  <c r="E512" i="6"/>
  <c r="D512" i="6"/>
  <c r="C512" i="6"/>
  <c r="B512" i="6"/>
  <c r="A512" i="6" a="1"/>
  <c r="A512" i="6" s="1"/>
  <c r="I511" i="6" a="1"/>
  <c r="I511" i="6" s="1"/>
  <c r="F511" i="6" s="1" a="1"/>
  <c r="F511" i="6" s="1"/>
  <c r="H511" i="6" a="1"/>
  <c r="H511" i="6" s="1"/>
  <c r="E511" i="6"/>
  <c r="D511" i="6"/>
  <c r="C511" i="6"/>
  <c r="B511" i="6"/>
  <c r="A511" i="6" a="1"/>
  <c r="A511" i="6" s="1"/>
  <c r="I510" i="6" a="1"/>
  <c r="I510" i="6" s="1"/>
  <c r="F510" i="6" s="1" a="1"/>
  <c r="F510" i="6" s="1"/>
  <c r="H510" i="6" a="1"/>
  <c r="H510" i="6" s="1"/>
  <c r="E510" i="6"/>
  <c r="D510" i="6"/>
  <c r="C510" i="6"/>
  <c r="B510" i="6"/>
  <c r="A510" i="6" a="1"/>
  <c r="A510" i="6" s="1"/>
  <c r="I509" i="6" a="1"/>
  <c r="I509" i="6" s="1"/>
  <c r="F509" i="6" s="1" a="1"/>
  <c r="F509" i="6" s="1"/>
  <c r="H509" i="6" a="1"/>
  <c r="H509" i="6" s="1"/>
  <c r="E509" i="6"/>
  <c r="D509" i="6"/>
  <c r="C509" i="6"/>
  <c r="B509" i="6"/>
  <c r="A509" i="6" a="1"/>
  <c r="A509" i="6" s="1"/>
  <c r="I508" i="6" a="1"/>
  <c r="I508" i="6" s="1"/>
  <c r="F508" i="6" s="1" a="1"/>
  <c r="F508" i="6" s="1"/>
  <c r="H508" i="6" a="1"/>
  <c r="H508" i="6" s="1"/>
  <c r="E508" i="6"/>
  <c r="D508" i="6"/>
  <c r="C508" i="6"/>
  <c r="B508" i="6"/>
  <c r="A508" i="6" a="1"/>
  <c r="A508" i="6" s="1"/>
  <c r="I507" i="6" a="1"/>
  <c r="I507" i="6" s="1"/>
  <c r="F507" i="6" s="1" a="1"/>
  <c r="F507" i="6" s="1"/>
  <c r="H507" i="6" a="1"/>
  <c r="H507" i="6" s="1"/>
  <c r="E507" i="6"/>
  <c r="D507" i="6"/>
  <c r="C507" i="6"/>
  <c r="B507" i="6"/>
  <c r="A507" i="6" a="1"/>
  <c r="A507" i="6" s="1"/>
  <c r="I506" i="6" a="1"/>
  <c r="I506" i="6" s="1"/>
  <c r="F506" i="6" s="1" a="1"/>
  <c r="F506" i="6" s="1"/>
  <c r="H506" i="6" a="1"/>
  <c r="H506" i="6" s="1"/>
  <c r="E506" i="6"/>
  <c r="D506" i="6"/>
  <c r="C506" i="6"/>
  <c r="B506" i="6"/>
  <c r="A506" i="6" a="1"/>
  <c r="A506" i="6" s="1"/>
  <c r="I505" i="6" a="1"/>
  <c r="I505" i="6" s="1"/>
  <c r="F505" i="6" s="1" a="1"/>
  <c r="F505" i="6" s="1"/>
  <c r="H505" i="6" a="1"/>
  <c r="H505" i="6" s="1"/>
  <c r="E505" i="6"/>
  <c r="D505" i="6"/>
  <c r="C505" i="6"/>
  <c r="B505" i="6"/>
  <c r="A505" i="6" a="1"/>
  <c r="A505" i="6" s="1"/>
  <c r="I504" i="6" a="1"/>
  <c r="I504" i="6" s="1"/>
  <c r="F504" i="6" s="1" a="1"/>
  <c r="F504" i="6" s="1"/>
  <c r="H504" i="6" a="1"/>
  <c r="H504" i="6" s="1"/>
  <c r="E504" i="6"/>
  <c r="D504" i="6"/>
  <c r="C504" i="6"/>
  <c r="B504" i="6"/>
  <c r="A504" i="6" a="1"/>
  <c r="A504" i="6" s="1"/>
  <c r="I503" i="6" a="1"/>
  <c r="I503" i="6" s="1"/>
  <c r="F503" i="6" s="1" a="1"/>
  <c r="F503" i="6" s="1"/>
  <c r="H503" i="6" a="1"/>
  <c r="H503" i="6" s="1"/>
  <c r="E503" i="6"/>
  <c r="D503" i="6"/>
  <c r="C503" i="6"/>
  <c r="B503" i="6"/>
  <c r="A503" i="6" a="1"/>
  <c r="A503" i="6" s="1"/>
  <c r="I502" i="6" a="1"/>
  <c r="I502" i="6" s="1"/>
  <c r="F502" i="6" s="1" a="1"/>
  <c r="F502" i="6" s="1"/>
  <c r="H502" i="6" a="1"/>
  <c r="H502" i="6" s="1"/>
  <c r="E502" i="6"/>
  <c r="D502" i="6"/>
  <c r="C502" i="6"/>
  <c r="B502" i="6"/>
  <c r="A502" i="6" a="1"/>
  <c r="A502" i="6" s="1"/>
  <c r="I501" i="6" a="1"/>
  <c r="I501" i="6" s="1"/>
  <c r="F501" i="6" s="1" a="1"/>
  <c r="F501" i="6" s="1"/>
  <c r="H501" i="6" a="1"/>
  <c r="H501" i="6" s="1"/>
  <c r="E501" i="6"/>
  <c r="D501" i="6"/>
  <c r="C501" i="6"/>
  <c r="B501" i="6"/>
  <c r="A501" i="6" a="1"/>
  <c r="A501" i="6" s="1"/>
  <c r="I500" i="6" a="1"/>
  <c r="I500" i="6" s="1"/>
  <c r="F500" i="6" s="1" a="1"/>
  <c r="F500" i="6" s="1"/>
  <c r="H500" i="6" a="1"/>
  <c r="H500" i="6" s="1"/>
  <c r="E500" i="6"/>
  <c r="D500" i="6"/>
  <c r="C500" i="6"/>
  <c r="B500" i="6"/>
  <c r="A500" i="6" a="1"/>
  <c r="A500" i="6" s="1"/>
  <c r="I499" i="6" a="1"/>
  <c r="I499" i="6" s="1"/>
  <c r="F499" i="6" s="1" a="1"/>
  <c r="F499" i="6" s="1"/>
  <c r="H499" i="6" a="1"/>
  <c r="H499" i="6" s="1"/>
  <c r="E499" i="6"/>
  <c r="D499" i="6"/>
  <c r="C499" i="6"/>
  <c r="B499" i="6"/>
  <c r="A499" i="6" a="1"/>
  <c r="A499" i="6" s="1"/>
  <c r="I498" i="6" a="1"/>
  <c r="I498" i="6" s="1"/>
  <c r="F498" i="6" s="1" a="1"/>
  <c r="F498" i="6" s="1"/>
  <c r="H498" i="6" a="1"/>
  <c r="H498" i="6" s="1"/>
  <c r="E498" i="6"/>
  <c r="D498" i="6"/>
  <c r="C498" i="6"/>
  <c r="B498" i="6"/>
  <c r="A498" i="6" a="1"/>
  <c r="A498" i="6" s="1"/>
  <c r="I497" i="6" a="1"/>
  <c r="I497" i="6" s="1"/>
  <c r="F497" i="6" s="1" a="1"/>
  <c r="F497" i="6" s="1"/>
  <c r="H497" i="6" a="1"/>
  <c r="H497" i="6" s="1"/>
  <c r="E497" i="6"/>
  <c r="D497" i="6"/>
  <c r="C497" i="6"/>
  <c r="B497" i="6"/>
  <c r="A497" i="6" a="1"/>
  <c r="A497" i="6" s="1"/>
  <c r="I496" i="6" a="1"/>
  <c r="I496" i="6" s="1"/>
  <c r="F496" i="6" s="1" a="1"/>
  <c r="F496" i="6" s="1"/>
  <c r="H496" i="6" a="1"/>
  <c r="H496" i="6" s="1"/>
  <c r="E496" i="6"/>
  <c r="D496" i="6"/>
  <c r="C496" i="6"/>
  <c r="B496" i="6"/>
  <c r="A496" i="6" a="1"/>
  <c r="A496" i="6" s="1"/>
  <c r="I495" i="6" a="1"/>
  <c r="I495" i="6" s="1"/>
  <c r="F495" i="6" s="1" a="1"/>
  <c r="F495" i="6" s="1"/>
  <c r="H495" i="6" a="1"/>
  <c r="H495" i="6" s="1"/>
  <c r="E495" i="6"/>
  <c r="D495" i="6"/>
  <c r="C495" i="6"/>
  <c r="B495" i="6"/>
  <c r="A495" i="6" a="1"/>
  <c r="A495" i="6" s="1"/>
  <c r="I494" i="6" a="1"/>
  <c r="I494" i="6" s="1"/>
  <c r="F494" i="6" s="1" a="1"/>
  <c r="F494" i="6" s="1"/>
  <c r="H494" i="6" a="1"/>
  <c r="H494" i="6" s="1"/>
  <c r="E494" i="6"/>
  <c r="D494" i="6"/>
  <c r="C494" i="6"/>
  <c r="B494" i="6"/>
  <c r="A494" i="6" a="1"/>
  <c r="A494" i="6" s="1"/>
  <c r="I493" i="6" a="1"/>
  <c r="I493" i="6" s="1"/>
  <c r="F493" i="6" s="1" a="1"/>
  <c r="F493" i="6" s="1"/>
  <c r="H493" i="6" a="1"/>
  <c r="H493" i="6" s="1"/>
  <c r="E493" i="6"/>
  <c r="D493" i="6"/>
  <c r="C493" i="6"/>
  <c r="B493" i="6"/>
  <c r="A493" i="6" a="1"/>
  <c r="A493" i="6" s="1"/>
  <c r="I492" i="6" a="1"/>
  <c r="I492" i="6" s="1"/>
  <c r="F492" i="6" s="1" a="1"/>
  <c r="F492" i="6" s="1"/>
  <c r="H492" i="6" a="1"/>
  <c r="H492" i="6" s="1"/>
  <c r="E492" i="6"/>
  <c r="D492" i="6"/>
  <c r="C492" i="6"/>
  <c r="B492" i="6"/>
  <c r="A492" i="6" a="1"/>
  <c r="A492" i="6" s="1"/>
  <c r="I491" i="6" a="1"/>
  <c r="I491" i="6" s="1"/>
  <c r="F491" i="6" s="1" a="1"/>
  <c r="F491" i="6" s="1"/>
  <c r="H491" i="6" a="1"/>
  <c r="H491" i="6" s="1"/>
  <c r="E491" i="6"/>
  <c r="D491" i="6"/>
  <c r="C491" i="6"/>
  <c r="B491" i="6"/>
  <c r="A491" i="6" a="1"/>
  <c r="A491" i="6" s="1"/>
  <c r="I490" i="6" a="1"/>
  <c r="I490" i="6" s="1"/>
  <c r="F490" i="6" s="1" a="1"/>
  <c r="F490" i="6" s="1"/>
  <c r="H490" i="6" a="1"/>
  <c r="H490" i="6" s="1"/>
  <c r="E490" i="6"/>
  <c r="D490" i="6"/>
  <c r="C490" i="6"/>
  <c r="B490" i="6"/>
  <c r="A490" i="6" a="1"/>
  <c r="A490" i="6" s="1"/>
  <c r="I489" i="6" a="1"/>
  <c r="I489" i="6" s="1"/>
  <c r="F489" i="6" s="1" a="1"/>
  <c r="F489" i="6" s="1"/>
  <c r="H489" i="6" a="1"/>
  <c r="H489" i="6" s="1"/>
  <c r="E489" i="6"/>
  <c r="D489" i="6"/>
  <c r="C489" i="6"/>
  <c r="B489" i="6"/>
  <c r="A489" i="6" a="1"/>
  <c r="A489" i="6" s="1"/>
  <c r="I488" i="6" a="1"/>
  <c r="I488" i="6" s="1"/>
  <c r="F488" i="6" s="1" a="1"/>
  <c r="F488" i="6" s="1"/>
  <c r="H488" i="6" a="1"/>
  <c r="H488" i="6" s="1"/>
  <c r="E488" i="6"/>
  <c r="D488" i="6"/>
  <c r="C488" i="6"/>
  <c r="B488" i="6"/>
  <c r="A488" i="6" a="1"/>
  <c r="A488" i="6" s="1"/>
  <c r="I487" i="6" a="1"/>
  <c r="I487" i="6" s="1"/>
  <c r="F487" i="6" s="1" a="1"/>
  <c r="F487" i="6" s="1"/>
  <c r="H487" i="6" a="1"/>
  <c r="H487" i="6" s="1"/>
  <c r="E487" i="6"/>
  <c r="D487" i="6"/>
  <c r="C487" i="6"/>
  <c r="B487" i="6"/>
  <c r="A487" i="6" a="1"/>
  <c r="A487" i="6" s="1"/>
  <c r="I486" i="6" a="1"/>
  <c r="I486" i="6" s="1"/>
  <c r="F486" i="6" s="1" a="1"/>
  <c r="F486" i="6" s="1"/>
  <c r="H486" i="6" a="1"/>
  <c r="H486" i="6" s="1"/>
  <c r="E486" i="6"/>
  <c r="D486" i="6"/>
  <c r="C486" i="6"/>
  <c r="B486" i="6"/>
  <c r="A486" i="6" a="1"/>
  <c r="A486" i="6" s="1"/>
  <c r="I485" i="6" a="1"/>
  <c r="I485" i="6" s="1"/>
  <c r="F485" i="6" s="1" a="1"/>
  <c r="F485" i="6" s="1"/>
  <c r="H485" i="6" a="1"/>
  <c r="H485" i="6" s="1"/>
  <c r="E485" i="6"/>
  <c r="D485" i="6"/>
  <c r="C485" i="6"/>
  <c r="B485" i="6"/>
  <c r="A485" i="6" a="1"/>
  <c r="A485" i="6" s="1"/>
  <c r="I484" i="6" a="1"/>
  <c r="I484" i="6" s="1"/>
  <c r="F484" i="6" s="1" a="1"/>
  <c r="F484" i="6" s="1"/>
  <c r="H484" i="6" a="1"/>
  <c r="H484" i="6" s="1"/>
  <c r="E484" i="6"/>
  <c r="D484" i="6"/>
  <c r="C484" i="6"/>
  <c r="B484" i="6"/>
  <c r="A484" i="6" a="1"/>
  <c r="A484" i="6" s="1"/>
  <c r="I483" i="6" a="1"/>
  <c r="I483" i="6" s="1"/>
  <c r="F483" i="6" s="1" a="1"/>
  <c r="F483" i="6" s="1"/>
  <c r="H483" i="6" a="1"/>
  <c r="H483" i="6" s="1"/>
  <c r="E483" i="6"/>
  <c r="D483" i="6"/>
  <c r="C483" i="6"/>
  <c r="B483" i="6"/>
  <c r="A483" i="6" a="1"/>
  <c r="A483" i="6" s="1"/>
  <c r="I482" i="6" a="1"/>
  <c r="I482" i="6" s="1"/>
  <c r="F482" i="6" s="1" a="1"/>
  <c r="F482" i="6" s="1"/>
  <c r="H482" i="6" a="1"/>
  <c r="H482" i="6" s="1"/>
  <c r="E482" i="6"/>
  <c r="D482" i="6"/>
  <c r="C482" i="6"/>
  <c r="B482" i="6"/>
  <c r="A482" i="6" a="1"/>
  <c r="A482" i="6" s="1"/>
  <c r="I481" i="6" a="1"/>
  <c r="I481" i="6" s="1"/>
  <c r="F481" i="6" s="1" a="1"/>
  <c r="F481" i="6" s="1"/>
  <c r="H481" i="6" a="1"/>
  <c r="H481" i="6" s="1"/>
  <c r="E481" i="6"/>
  <c r="D481" i="6"/>
  <c r="C481" i="6"/>
  <c r="B481" i="6"/>
  <c r="A481" i="6" a="1"/>
  <c r="A481" i="6" s="1"/>
  <c r="I480" i="6" a="1"/>
  <c r="I480" i="6" s="1"/>
  <c r="F480" i="6" s="1" a="1"/>
  <c r="F480" i="6" s="1"/>
  <c r="H480" i="6" a="1"/>
  <c r="H480" i="6" s="1"/>
  <c r="E480" i="6"/>
  <c r="D480" i="6"/>
  <c r="C480" i="6"/>
  <c r="B480" i="6"/>
  <c r="A480" i="6" a="1"/>
  <c r="A480" i="6" s="1"/>
  <c r="I479" i="6" a="1"/>
  <c r="I479" i="6" s="1"/>
  <c r="F479" i="6" s="1" a="1"/>
  <c r="F479" i="6" s="1"/>
  <c r="H479" i="6" a="1"/>
  <c r="H479" i="6" s="1"/>
  <c r="E479" i="6"/>
  <c r="D479" i="6"/>
  <c r="C479" i="6"/>
  <c r="B479" i="6"/>
  <c r="A479" i="6" a="1"/>
  <c r="A479" i="6" s="1"/>
  <c r="I478" i="6" a="1"/>
  <c r="I478" i="6" s="1"/>
  <c r="F478" i="6" s="1" a="1"/>
  <c r="F478" i="6" s="1"/>
  <c r="H478" i="6" a="1"/>
  <c r="H478" i="6" s="1"/>
  <c r="E478" i="6"/>
  <c r="D478" i="6"/>
  <c r="C478" i="6"/>
  <c r="B478" i="6"/>
  <c r="A478" i="6" a="1"/>
  <c r="A478" i="6" s="1"/>
  <c r="I477" i="6" a="1"/>
  <c r="I477" i="6" s="1"/>
  <c r="F477" i="6" s="1" a="1"/>
  <c r="F477" i="6" s="1"/>
  <c r="H477" i="6" a="1"/>
  <c r="H477" i="6" s="1"/>
  <c r="E477" i="6"/>
  <c r="D477" i="6"/>
  <c r="C477" i="6"/>
  <c r="B477" i="6"/>
  <c r="A477" i="6" a="1"/>
  <c r="A477" i="6" s="1"/>
  <c r="I476" i="6" a="1"/>
  <c r="I476" i="6" s="1"/>
  <c r="F476" i="6" s="1" a="1"/>
  <c r="F476" i="6" s="1"/>
  <c r="H476" i="6" a="1"/>
  <c r="H476" i="6" s="1"/>
  <c r="E476" i="6"/>
  <c r="D476" i="6"/>
  <c r="C476" i="6"/>
  <c r="B476" i="6"/>
  <c r="A476" i="6" a="1"/>
  <c r="A476" i="6" s="1"/>
  <c r="I475" i="6" a="1"/>
  <c r="I475" i="6" s="1"/>
  <c r="F475" i="6" s="1" a="1"/>
  <c r="F475" i="6" s="1"/>
  <c r="H475" i="6" a="1"/>
  <c r="H475" i="6" s="1"/>
  <c r="E475" i="6"/>
  <c r="D475" i="6"/>
  <c r="C475" i="6"/>
  <c r="B475" i="6"/>
  <c r="A475" i="6" a="1"/>
  <c r="A475" i="6" s="1"/>
  <c r="I474" i="6" a="1"/>
  <c r="I474" i="6" s="1"/>
  <c r="F474" i="6" s="1" a="1"/>
  <c r="F474" i="6" s="1"/>
  <c r="H474" i="6" a="1"/>
  <c r="H474" i="6" s="1"/>
  <c r="E474" i="6"/>
  <c r="D474" i="6"/>
  <c r="C474" i="6"/>
  <c r="B474" i="6"/>
  <c r="A474" i="6" a="1"/>
  <c r="A474" i="6" s="1"/>
  <c r="I473" i="6" a="1"/>
  <c r="I473" i="6" s="1"/>
  <c r="F473" i="6" s="1" a="1"/>
  <c r="F473" i="6" s="1"/>
  <c r="H473" i="6" a="1"/>
  <c r="H473" i="6" s="1"/>
  <c r="E473" i="6"/>
  <c r="D473" i="6"/>
  <c r="C473" i="6"/>
  <c r="B473" i="6"/>
  <c r="A473" i="6" a="1"/>
  <c r="A473" i="6" s="1"/>
  <c r="I472" i="6" a="1"/>
  <c r="I472" i="6" s="1"/>
  <c r="F472" i="6" s="1" a="1"/>
  <c r="F472" i="6" s="1"/>
  <c r="H472" i="6" a="1"/>
  <c r="H472" i="6" s="1"/>
  <c r="E472" i="6"/>
  <c r="D472" i="6"/>
  <c r="C472" i="6"/>
  <c r="B472" i="6"/>
  <c r="A472" i="6" a="1"/>
  <c r="A472" i="6" s="1"/>
  <c r="I471" i="6" a="1"/>
  <c r="I471" i="6" s="1"/>
  <c r="F471" i="6" s="1" a="1"/>
  <c r="F471" i="6" s="1"/>
  <c r="H471" i="6" a="1"/>
  <c r="H471" i="6" s="1"/>
  <c r="E471" i="6"/>
  <c r="D471" i="6"/>
  <c r="C471" i="6"/>
  <c r="B471" i="6"/>
  <c r="A471" i="6" a="1"/>
  <c r="A471" i="6" s="1"/>
  <c r="I470" i="6" a="1"/>
  <c r="I470" i="6" s="1"/>
  <c r="F470" i="6" s="1" a="1"/>
  <c r="F470" i="6" s="1"/>
  <c r="H470" i="6" a="1"/>
  <c r="H470" i="6" s="1"/>
  <c r="E470" i="6"/>
  <c r="D470" i="6"/>
  <c r="C470" i="6"/>
  <c r="B470" i="6"/>
  <c r="A470" i="6" a="1"/>
  <c r="A470" i="6" s="1"/>
  <c r="I469" i="6" a="1"/>
  <c r="I469" i="6" s="1"/>
  <c r="F469" i="6" s="1" a="1"/>
  <c r="F469" i="6" s="1"/>
  <c r="H469" i="6" a="1"/>
  <c r="H469" i="6" s="1"/>
  <c r="E469" i="6"/>
  <c r="D469" i="6"/>
  <c r="C469" i="6"/>
  <c r="B469" i="6"/>
  <c r="A469" i="6" a="1"/>
  <c r="A469" i="6" s="1"/>
  <c r="I468" i="6" a="1"/>
  <c r="I468" i="6" s="1"/>
  <c r="F468" i="6" s="1" a="1"/>
  <c r="F468" i="6" s="1"/>
  <c r="H468" i="6" a="1"/>
  <c r="H468" i="6" s="1"/>
  <c r="E468" i="6"/>
  <c r="D468" i="6"/>
  <c r="C468" i="6"/>
  <c r="B468" i="6"/>
  <c r="A468" i="6" a="1"/>
  <c r="A468" i="6" s="1"/>
  <c r="I467" i="6" a="1"/>
  <c r="I467" i="6" s="1"/>
  <c r="F467" i="6" s="1" a="1"/>
  <c r="F467" i="6" s="1"/>
  <c r="H467" i="6" a="1"/>
  <c r="H467" i="6" s="1"/>
  <c r="E467" i="6"/>
  <c r="D467" i="6"/>
  <c r="C467" i="6"/>
  <c r="B467" i="6"/>
  <c r="A467" i="6" a="1"/>
  <c r="A467" i="6" s="1"/>
  <c r="I466" i="6" a="1"/>
  <c r="I466" i="6" s="1"/>
  <c r="F466" i="6" s="1" a="1"/>
  <c r="F466" i="6" s="1"/>
  <c r="H466" i="6" a="1"/>
  <c r="H466" i="6" s="1"/>
  <c r="E466" i="6"/>
  <c r="D466" i="6"/>
  <c r="C466" i="6"/>
  <c r="B466" i="6"/>
  <c r="A466" i="6" a="1"/>
  <c r="A466" i="6" s="1"/>
  <c r="I465" i="6" a="1"/>
  <c r="I465" i="6" s="1"/>
  <c r="F465" i="6" s="1" a="1"/>
  <c r="F465" i="6" s="1"/>
  <c r="H465" i="6" a="1"/>
  <c r="H465" i="6" s="1"/>
  <c r="E465" i="6"/>
  <c r="D465" i="6"/>
  <c r="C465" i="6"/>
  <c r="B465" i="6"/>
  <c r="A465" i="6" a="1"/>
  <c r="A465" i="6" s="1"/>
  <c r="I464" i="6" a="1"/>
  <c r="I464" i="6" s="1"/>
  <c r="F464" i="6" s="1" a="1"/>
  <c r="F464" i="6" s="1"/>
  <c r="H464" i="6" a="1"/>
  <c r="H464" i="6" s="1"/>
  <c r="E464" i="6"/>
  <c r="D464" i="6"/>
  <c r="C464" i="6"/>
  <c r="B464" i="6"/>
  <c r="A464" i="6" a="1"/>
  <c r="A464" i="6" s="1"/>
  <c r="I463" i="6" a="1"/>
  <c r="I463" i="6" s="1"/>
  <c r="F463" i="6" s="1" a="1"/>
  <c r="F463" i="6" s="1"/>
  <c r="H463" i="6" a="1"/>
  <c r="H463" i="6" s="1"/>
  <c r="E463" i="6"/>
  <c r="D463" i="6"/>
  <c r="C463" i="6"/>
  <c r="B463" i="6"/>
  <c r="A463" i="6" a="1"/>
  <c r="A463" i="6" s="1"/>
  <c r="I462" i="6" a="1"/>
  <c r="I462" i="6" s="1"/>
  <c r="F462" i="6" s="1" a="1"/>
  <c r="F462" i="6" s="1"/>
  <c r="H462" i="6" a="1"/>
  <c r="H462" i="6" s="1"/>
  <c r="E462" i="6"/>
  <c r="D462" i="6"/>
  <c r="C462" i="6"/>
  <c r="B462" i="6"/>
  <c r="A462" i="6" a="1"/>
  <c r="A462" i="6" s="1"/>
  <c r="I461" i="6" a="1"/>
  <c r="I461" i="6" s="1"/>
  <c r="F461" i="6" s="1" a="1"/>
  <c r="F461" i="6" s="1"/>
  <c r="H461" i="6" a="1"/>
  <c r="H461" i="6" s="1"/>
  <c r="E461" i="6"/>
  <c r="D461" i="6"/>
  <c r="C461" i="6"/>
  <c r="B461" i="6"/>
  <c r="A461" i="6" a="1"/>
  <c r="A461" i="6" s="1"/>
  <c r="I460" i="6" a="1"/>
  <c r="I460" i="6" s="1"/>
  <c r="F460" i="6" s="1" a="1"/>
  <c r="F460" i="6" s="1"/>
  <c r="H460" i="6" a="1"/>
  <c r="H460" i="6" s="1"/>
  <c r="E460" i="6"/>
  <c r="D460" i="6"/>
  <c r="C460" i="6"/>
  <c r="B460" i="6"/>
  <c r="A460" i="6" a="1"/>
  <c r="A460" i="6" s="1"/>
  <c r="I459" i="6" a="1"/>
  <c r="I459" i="6" s="1"/>
  <c r="F459" i="6" s="1" a="1"/>
  <c r="F459" i="6" s="1"/>
  <c r="H459" i="6" a="1"/>
  <c r="H459" i="6" s="1"/>
  <c r="E459" i="6"/>
  <c r="D459" i="6"/>
  <c r="C459" i="6"/>
  <c r="B459" i="6"/>
  <c r="A459" i="6" a="1"/>
  <c r="A459" i="6" s="1"/>
  <c r="I458" i="6" a="1"/>
  <c r="I458" i="6" s="1"/>
  <c r="F458" i="6" s="1" a="1"/>
  <c r="F458" i="6" s="1"/>
  <c r="H458" i="6" a="1"/>
  <c r="H458" i="6" s="1"/>
  <c r="E458" i="6"/>
  <c r="D458" i="6"/>
  <c r="C458" i="6"/>
  <c r="B458" i="6"/>
  <c r="A458" i="6" a="1"/>
  <c r="A458" i="6" s="1"/>
  <c r="I457" i="6" a="1"/>
  <c r="I457" i="6" s="1"/>
  <c r="F457" i="6" s="1" a="1"/>
  <c r="F457" i="6" s="1"/>
  <c r="H457" i="6" a="1"/>
  <c r="H457" i="6" s="1"/>
  <c r="E457" i="6"/>
  <c r="D457" i="6"/>
  <c r="C457" i="6"/>
  <c r="B457" i="6"/>
  <c r="A457" i="6" a="1"/>
  <c r="A457" i="6" s="1"/>
  <c r="I456" i="6" a="1"/>
  <c r="I456" i="6" s="1"/>
  <c r="F456" i="6" s="1" a="1"/>
  <c r="F456" i="6" s="1"/>
  <c r="H456" i="6" a="1"/>
  <c r="H456" i="6" s="1"/>
  <c r="E456" i="6"/>
  <c r="D456" i="6"/>
  <c r="C456" i="6"/>
  <c r="B456" i="6"/>
  <c r="A456" i="6" a="1"/>
  <c r="A456" i="6" s="1"/>
  <c r="I455" i="6" a="1"/>
  <c r="I455" i="6" s="1"/>
  <c r="F455" i="6" s="1" a="1"/>
  <c r="F455" i="6" s="1"/>
  <c r="H455" i="6" a="1"/>
  <c r="H455" i="6" s="1"/>
  <c r="E455" i="6"/>
  <c r="D455" i="6"/>
  <c r="C455" i="6"/>
  <c r="B455" i="6"/>
  <c r="A455" i="6" a="1"/>
  <c r="A455" i="6" s="1"/>
  <c r="I454" i="6" a="1"/>
  <c r="I454" i="6" s="1"/>
  <c r="F454" i="6" s="1" a="1"/>
  <c r="F454" i="6" s="1"/>
  <c r="H454" i="6" a="1"/>
  <c r="H454" i="6" s="1"/>
  <c r="E454" i="6"/>
  <c r="D454" i="6"/>
  <c r="C454" i="6"/>
  <c r="B454" i="6"/>
  <c r="A454" i="6" a="1"/>
  <c r="A454" i="6" s="1"/>
  <c r="I453" i="6" a="1"/>
  <c r="I453" i="6" s="1"/>
  <c r="F453" i="6" s="1" a="1"/>
  <c r="F453" i="6" s="1"/>
  <c r="H453" i="6" a="1"/>
  <c r="H453" i="6" s="1"/>
  <c r="E453" i="6"/>
  <c r="D453" i="6"/>
  <c r="C453" i="6"/>
  <c r="B453" i="6"/>
  <c r="A453" i="6" a="1"/>
  <c r="A453" i="6" s="1"/>
  <c r="I452" i="6" a="1"/>
  <c r="I452" i="6" s="1"/>
  <c r="F452" i="6" s="1" a="1"/>
  <c r="F452" i="6" s="1"/>
  <c r="H452" i="6" a="1"/>
  <c r="H452" i="6" s="1"/>
  <c r="E452" i="6"/>
  <c r="D452" i="6"/>
  <c r="C452" i="6"/>
  <c r="B452" i="6"/>
  <c r="A452" i="6" a="1"/>
  <c r="A452" i="6" s="1"/>
  <c r="I451" i="6" a="1"/>
  <c r="I451" i="6" s="1"/>
  <c r="F451" i="6" s="1" a="1"/>
  <c r="F451" i="6" s="1"/>
  <c r="H451" i="6" a="1"/>
  <c r="H451" i="6" s="1"/>
  <c r="E451" i="6"/>
  <c r="D451" i="6"/>
  <c r="C451" i="6"/>
  <c r="B451" i="6"/>
  <c r="A451" i="6" a="1"/>
  <c r="A451" i="6" s="1"/>
  <c r="I450" i="6" a="1"/>
  <c r="I450" i="6" s="1"/>
  <c r="F450" i="6" s="1" a="1"/>
  <c r="F450" i="6" s="1"/>
  <c r="H450" i="6" a="1"/>
  <c r="H450" i="6" s="1"/>
  <c r="E450" i="6"/>
  <c r="D450" i="6"/>
  <c r="C450" i="6"/>
  <c r="B450" i="6"/>
  <c r="A450" i="6" a="1"/>
  <c r="A450" i="6" s="1"/>
  <c r="I449" i="6" a="1"/>
  <c r="I449" i="6" s="1"/>
  <c r="F449" i="6" s="1" a="1"/>
  <c r="F449" i="6" s="1"/>
  <c r="H449" i="6" a="1"/>
  <c r="H449" i="6" s="1"/>
  <c r="E449" i="6"/>
  <c r="D449" i="6"/>
  <c r="C449" i="6"/>
  <c r="B449" i="6"/>
  <c r="A449" i="6" a="1"/>
  <c r="A449" i="6" s="1"/>
  <c r="I448" i="6" a="1"/>
  <c r="I448" i="6" s="1"/>
  <c r="F448" i="6" s="1" a="1"/>
  <c r="F448" i="6" s="1"/>
  <c r="H448" i="6" a="1"/>
  <c r="H448" i="6" s="1"/>
  <c r="E448" i="6"/>
  <c r="D448" i="6"/>
  <c r="C448" i="6"/>
  <c r="B448" i="6"/>
  <c r="A448" i="6" a="1"/>
  <c r="A448" i="6" s="1"/>
  <c r="I447" i="6" a="1"/>
  <c r="I447" i="6" s="1"/>
  <c r="F447" i="6" s="1" a="1"/>
  <c r="F447" i="6" s="1"/>
  <c r="H447" i="6" a="1"/>
  <c r="H447" i="6" s="1"/>
  <c r="E447" i="6"/>
  <c r="D447" i="6"/>
  <c r="C447" i="6"/>
  <c r="B447" i="6"/>
  <c r="A447" i="6" a="1"/>
  <c r="A447" i="6" s="1"/>
  <c r="I446" i="6" a="1"/>
  <c r="I446" i="6" s="1"/>
  <c r="F446" i="6" s="1" a="1"/>
  <c r="F446" i="6" s="1"/>
  <c r="H446" i="6" a="1"/>
  <c r="H446" i="6" s="1"/>
  <c r="E446" i="6"/>
  <c r="D446" i="6"/>
  <c r="C446" i="6"/>
  <c r="B446" i="6"/>
  <c r="A446" i="6" a="1"/>
  <c r="A446" i="6" s="1"/>
  <c r="I445" i="6" a="1"/>
  <c r="I445" i="6" s="1"/>
  <c r="F445" i="6" s="1" a="1"/>
  <c r="F445" i="6" s="1"/>
  <c r="H445" i="6" a="1"/>
  <c r="H445" i="6" s="1"/>
  <c r="E445" i="6"/>
  <c r="D445" i="6"/>
  <c r="C445" i="6"/>
  <c r="B445" i="6"/>
  <c r="A445" i="6" a="1"/>
  <c r="A445" i="6" s="1"/>
  <c r="I444" i="6" a="1"/>
  <c r="I444" i="6" s="1"/>
  <c r="F444" i="6" s="1" a="1"/>
  <c r="F444" i="6" s="1"/>
  <c r="H444" i="6" a="1"/>
  <c r="H444" i="6" s="1"/>
  <c r="E444" i="6"/>
  <c r="D444" i="6"/>
  <c r="C444" i="6"/>
  <c r="B444" i="6"/>
  <c r="A444" i="6" a="1"/>
  <c r="A444" i="6" s="1"/>
  <c r="I443" i="6" a="1"/>
  <c r="I443" i="6" s="1"/>
  <c r="F443" i="6" s="1" a="1"/>
  <c r="F443" i="6" s="1"/>
  <c r="H443" i="6" a="1"/>
  <c r="H443" i="6" s="1"/>
  <c r="E443" i="6"/>
  <c r="D443" i="6"/>
  <c r="C443" i="6"/>
  <c r="B443" i="6"/>
  <c r="A443" i="6" a="1"/>
  <c r="A443" i="6" s="1"/>
  <c r="I442" i="6" a="1"/>
  <c r="I442" i="6" s="1"/>
  <c r="F442" i="6" s="1" a="1"/>
  <c r="F442" i="6" s="1"/>
  <c r="H442" i="6" a="1"/>
  <c r="H442" i="6" s="1"/>
  <c r="E442" i="6"/>
  <c r="D442" i="6"/>
  <c r="C442" i="6"/>
  <c r="B442" i="6"/>
  <c r="A442" i="6" a="1"/>
  <c r="A442" i="6" s="1"/>
  <c r="I441" i="6" a="1"/>
  <c r="I441" i="6" s="1"/>
  <c r="F441" i="6" s="1" a="1"/>
  <c r="F441" i="6" s="1"/>
  <c r="H441" i="6" a="1"/>
  <c r="H441" i="6" s="1"/>
  <c r="E441" i="6"/>
  <c r="D441" i="6"/>
  <c r="C441" i="6"/>
  <c r="B441" i="6"/>
  <c r="A441" i="6" a="1"/>
  <c r="A441" i="6" s="1"/>
  <c r="I440" i="6" a="1"/>
  <c r="I440" i="6" s="1"/>
  <c r="F440" i="6" s="1" a="1"/>
  <c r="F440" i="6" s="1"/>
  <c r="H440" i="6" a="1"/>
  <c r="H440" i="6" s="1"/>
  <c r="E440" i="6"/>
  <c r="D440" i="6"/>
  <c r="C440" i="6"/>
  <c r="B440" i="6"/>
  <c r="A440" i="6" a="1"/>
  <c r="A440" i="6" s="1"/>
  <c r="I439" i="6" a="1"/>
  <c r="I439" i="6" s="1"/>
  <c r="F439" i="6" s="1" a="1"/>
  <c r="F439" i="6" s="1"/>
  <c r="H439" i="6" a="1"/>
  <c r="H439" i="6" s="1"/>
  <c r="E439" i="6"/>
  <c r="D439" i="6"/>
  <c r="C439" i="6"/>
  <c r="B439" i="6"/>
  <c r="A439" i="6" a="1"/>
  <c r="A439" i="6" s="1"/>
  <c r="I438" i="6" a="1"/>
  <c r="I438" i="6" s="1"/>
  <c r="F438" i="6" s="1" a="1"/>
  <c r="F438" i="6" s="1"/>
  <c r="H438" i="6" a="1"/>
  <c r="H438" i="6" s="1"/>
  <c r="E438" i="6"/>
  <c r="D438" i="6"/>
  <c r="C438" i="6"/>
  <c r="B438" i="6"/>
  <c r="A438" i="6" a="1"/>
  <c r="A438" i="6" s="1"/>
  <c r="I437" i="6" a="1"/>
  <c r="I437" i="6" s="1"/>
  <c r="F437" i="6" s="1" a="1"/>
  <c r="F437" i="6" s="1"/>
  <c r="H437" i="6" a="1"/>
  <c r="H437" i="6" s="1"/>
  <c r="E437" i="6"/>
  <c r="D437" i="6"/>
  <c r="C437" i="6"/>
  <c r="B437" i="6"/>
  <c r="A437" i="6" a="1"/>
  <c r="A437" i="6" s="1"/>
  <c r="I436" i="6" a="1"/>
  <c r="I436" i="6" s="1"/>
  <c r="F436" i="6" s="1" a="1"/>
  <c r="F436" i="6" s="1"/>
  <c r="H436" i="6" a="1"/>
  <c r="H436" i="6" s="1"/>
  <c r="E436" i="6"/>
  <c r="D436" i="6"/>
  <c r="C436" i="6"/>
  <c r="B436" i="6"/>
  <c r="A436" i="6" a="1"/>
  <c r="A436" i="6" s="1"/>
  <c r="I435" i="6" a="1"/>
  <c r="I435" i="6" s="1"/>
  <c r="F435" i="6" s="1" a="1"/>
  <c r="F435" i="6" s="1"/>
  <c r="H435" i="6" a="1"/>
  <c r="H435" i="6" s="1"/>
  <c r="E435" i="6"/>
  <c r="D435" i="6"/>
  <c r="C435" i="6"/>
  <c r="B435" i="6"/>
  <c r="A435" i="6" a="1"/>
  <c r="A435" i="6" s="1"/>
  <c r="I434" i="6" a="1"/>
  <c r="I434" i="6" s="1"/>
  <c r="F434" i="6" s="1" a="1"/>
  <c r="F434" i="6" s="1"/>
  <c r="H434" i="6" a="1"/>
  <c r="H434" i="6" s="1"/>
  <c r="E434" i="6"/>
  <c r="D434" i="6"/>
  <c r="C434" i="6"/>
  <c r="B434" i="6"/>
  <c r="A434" i="6" a="1"/>
  <c r="A434" i="6" s="1"/>
  <c r="I433" i="6" a="1"/>
  <c r="I433" i="6" s="1"/>
  <c r="F433" i="6" s="1" a="1"/>
  <c r="F433" i="6" s="1"/>
  <c r="H433" i="6" a="1"/>
  <c r="H433" i="6" s="1"/>
  <c r="E433" i="6"/>
  <c r="D433" i="6"/>
  <c r="C433" i="6"/>
  <c r="B433" i="6"/>
  <c r="A433" i="6" a="1"/>
  <c r="A433" i="6" s="1"/>
  <c r="I432" i="6" a="1"/>
  <c r="I432" i="6" s="1"/>
  <c r="F432" i="6" s="1" a="1"/>
  <c r="F432" i="6" s="1"/>
  <c r="H432" i="6" a="1"/>
  <c r="H432" i="6" s="1"/>
  <c r="E432" i="6"/>
  <c r="D432" i="6"/>
  <c r="C432" i="6"/>
  <c r="B432" i="6"/>
  <c r="A432" i="6" a="1"/>
  <c r="A432" i="6" s="1"/>
  <c r="I431" i="6" a="1"/>
  <c r="I431" i="6" s="1"/>
  <c r="F431" i="6" s="1" a="1"/>
  <c r="F431" i="6" s="1"/>
  <c r="H431" i="6" a="1"/>
  <c r="H431" i="6" s="1"/>
  <c r="E431" i="6"/>
  <c r="D431" i="6"/>
  <c r="C431" i="6"/>
  <c r="B431" i="6"/>
  <c r="A431" i="6" a="1"/>
  <c r="A431" i="6" s="1"/>
  <c r="I430" i="6" a="1"/>
  <c r="I430" i="6" s="1"/>
  <c r="F430" i="6" s="1" a="1"/>
  <c r="F430" i="6" s="1"/>
  <c r="H430" i="6" a="1"/>
  <c r="H430" i="6" s="1"/>
  <c r="E430" i="6"/>
  <c r="D430" i="6"/>
  <c r="C430" i="6"/>
  <c r="B430" i="6"/>
  <c r="A430" i="6" a="1"/>
  <c r="A430" i="6" s="1"/>
  <c r="I429" i="6" a="1"/>
  <c r="I429" i="6" s="1"/>
  <c r="F429" i="6" s="1" a="1"/>
  <c r="F429" i="6" s="1"/>
  <c r="H429" i="6" a="1"/>
  <c r="H429" i="6" s="1"/>
  <c r="E429" i="6"/>
  <c r="D429" i="6"/>
  <c r="C429" i="6"/>
  <c r="B429" i="6"/>
  <c r="A429" i="6" a="1"/>
  <c r="A429" i="6" s="1"/>
  <c r="I428" i="6" a="1"/>
  <c r="I428" i="6" s="1"/>
  <c r="F428" i="6" s="1" a="1"/>
  <c r="F428" i="6" s="1"/>
  <c r="H428" i="6" a="1"/>
  <c r="H428" i="6" s="1"/>
  <c r="E428" i="6"/>
  <c r="D428" i="6"/>
  <c r="C428" i="6"/>
  <c r="B428" i="6"/>
  <c r="A428" i="6" a="1"/>
  <c r="A428" i="6" s="1"/>
  <c r="I427" i="6" a="1"/>
  <c r="I427" i="6" s="1"/>
  <c r="F427" i="6" s="1" a="1"/>
  <c r="F427" i="6" s="1"/>
  <c r="H427" i="6" a="1"/>
  <c r="H427" i="6" s="1"/>
  <c r="E427" i="6"/>
  <c r="D427" i="6"/>
  <c r="C427" i="6"/>
  <c r="B427" i="6"/>
  <c r="A427" i="6" a="1"/>
  <c r="A427" i="6" s="1"/>
  <c r="I426" i="6" a="1"/>
  <c r="I426" i="6" s="1"/>
  <c r="F426" i="6" s="1" a="1"/>
  <c r="F426" i="6" s="1"/>
  <c r="H426" i="6" a="1"/>
  <c r="H426" i="6" s="1"/>
  <c r="E426" i="6"/>
  <c r="D426" i="6"/>
  <c r="C426" i="6"/>
  <c r="B426" i="6"/>
  <c r="A426" i="6" a="1"/>
  <c r="A426" i="6" s="1"/>
  <c r="I425" i="6" a="1"/>
  <c r="I425" i="6" s="1"/>
  <c r="F425" i="6" s="1" a="1"/>
  <c r="F425" i="6" s="1"/>
  <c r="H425" i="6" a="1"/>
  <c r="H425" i="6" s="1"/>
  <c r="E425" i="6"/>
  <c r="D425" i="6"/>
  <c r="C425" i="6"/>
  <c r="B425" i="6"/>
  <c r="A425" i="6" a="1"/>
  <c r="A425" i="6" s="1"/>
  <c r="I424" i="6" a="1"/>
  <c r="I424" i="6" s="1"/>
  <c r="F424" i="6" s="1" a="1"/>
  <c r="F424" i="6" s="1"/>
  <c r="H424" i="6" a="1"/>
  <c r="H424" i="6" s="1"/>
  <c r="E424" i="6"/>
  <c r="D424" i="6"/>
  <c r="C424" i="6"/>
  <c r="B424" i="6"/>
  <c r="A424" i="6" a="1"/>
  <c r="A424" i="6" s="1"/>
  <c r="I423" i="6" a="1"/>
  <c r="I423" i="6" s="1"/>
  <c r="F423" i="6" s="1" a="1"/>
  <c r="F423" i="6" s="1"/>
  <c r="H423" i="6" a="1"/>
  <c r="H423" i="6" s="1"/>
  <c r="E423" i="6"/>
  <c r="D423" i="6"/>
  <c r="C423" i="6"/>
  <c r="B423" i="6"/>
  <c r="A423" i="6" a="1"/>
  <c r="A423" i="6" s="1"/>
  <c r="I422" i="6" a="1"/>
  <c r="I422" i="6" s="1"/>
  <c r="F422" i="6" s="1" a="1"/>
  <c r="F422" i="6" s="1"/>
  <c r="H422" i="6" a="1"/>
  <c r="H422" i="6" s="1"/>
  <c r="E422" i="6"/>
  <c r="D422" i="6"/>
  <c r="C422" i="6"/>
  <c r="B422" i="6"/>
  <c r="A422" i="6" a="1"/>
  <c r="A422" i="6" s="1"/>
  <c r="I421" i="6" a="1"/>
  <c r="I421" i="6" s="1"/>
  <c r="F421" i="6" s="1" a="1"/>
  <c r="F421" i="6" s="1"/>
  <c r="H421" i="6" a="1"/>
  <c r="H421" i="6" s="1"/>
  <c r="E421" i="6"/>
  <c r="D421" i="6"/>
  <c r="C421" i="6"/>
  <c r="B421" i="6"/>
  <c r="A421" i="6" a="1"/>
  <c r="A421" i="6" s="1"/>
  <c r="I420" i="6" a="1"/>
  <c r="I420" i="6" s="1"/>
  <c r="F420" i="6" s="1" a="1"/>
  <c r="F420" i="6" s="1"/>
  <c r="H420" i="6" a="1"/>
  <c r="H420" i="6" s="1"/>
  <c r="E420" i="6"/>
  <c r="D420" i="6"/>
  <c r="C420" i="6"/>
  <c r="B420" i="6"/>
  <c r="A420" i="6" a="1"/>
  <c r="A420" i="6" s="1"/>
  <c r="I419" i="6" a="1"/>
  <c r="I419" i="6" s="1"/>
  <c r="F419" i="6" s="1" a="1"/>
  <c r="F419" i="6" s="1"/>
  <c r="H419" i="6" a="1"/>
  <c r="H419" i="6" s="1"/>
  <c r="E419" i="6"/>
  <c r="D419" i="6"/>
  <c r="C419" i="6"/>
  <c r="B419" i="6"/>
  <c r="A419" i="6" a="1"/>
  <c r="A419" i="6" s="1"/>
  <c r="I418" i="6" a="1"/>
  <c r="I418" i="6" s="1"/>
  <c r="F418" i="6" s="1" a="1"/>
  <c r="F418" i="6" s="1"/>
  <c r="H418" i="6" a="1"/>
  <c r="H418" i="6" s="1"/>
  <c r="E418" i="6"/>
  <c r="D418" i="6"/>
  <c r="C418" i="6"/>
  <c r="B418" i="6"/>
  <c r="A418" i="6" a="1"/>
  <c r="A418" i="6" s="1"/>
  <c r="I417" i="6" a="1"/>
  <c r="I417" i="6" s="1"/>
  <c r="F417" i="6" s="1" a="1"/>
  <c r="F417" i="6" s="1"/>
  <c r="H417" i="6" a="1"/>
  <c r="H417" i="6" s="1"/>
  <c r="E417" i="6"/>
  <c r="D417" i="6"/>
  <c r="C417" i="6"/>
  <c r="B417" i="6"/>
  <c r="A417" i="6" a="1"/>
  <c r="A417" i="6" s="1"/>
  <c r="I416" i="6" a="1"/>
  <c r="I416" i="6" s="1"/>
  <c r="F416" i="6" s="1" a="1"/>
  <c r="F416" i="6" s="1"/>
  <c r="H416" i="6" a="1"/>
  <c r="H416" i="6" s="1"/>
  <c r="E416" i="6"/>
  <c r="D416" i="6"/>
  <c r="C416" i="6"/>
  <c r="B416" i="6"/>
  <c r="A416" i="6" a="1"/>
  <c r="A416" i="6" s="1"/>
  <c r="I415" i="6" a="1"/>
  <c r="I415" i="6" s="1"/>
  <c r="F415" i="6" s="1" a="1"/>
  <c r="F415" i="6" s="1"/>
  <c r="H415" i="6" a="1"/>
  <c r="H415" i="6" s="1"/>
  <c r="E415" i="6"/>
  <c r="D415" i="6"/>
  <c r="C415" i="6"/>
  <c r="B415" i="6"/>
  <c r="A415" i="6" a="1"/>
  <c r="A415" i="6" s="1"/>
  <c r="I414" i="6" a="1"/>
  <c r="I414" i="6" s="1"/>
  <c r="F414" i="6" s="1" a="1"/>
  <c r="F414" i="6" s="1"/>
  <c r="H414" i="6" a="1"/>
  <c r="H414" i="6" s="1"/>
  <c r="E414" i="6"/>
  <c r="D414" i="6"/>
  <c r="C414" i="6"/>
  <c r="B414" i="6"/>
  <c r="A414" i="6" a="1"/>
  <c r="A414" i="6" s="1"/>
  <c r="I413" i="6" a="1"/>
  <c r="I413" i="6" s="1"/>
  <c r="F413" i="6" s="1" a="1"/>
  <c r="F413" i="6" s="1"/>
  <c r="H413" i="6" a="1"/>
  <c r="H413" i="6" s="1"/>
  <c r="E413" i="6"/>
  <c r="D413" i="6"/>
  <c r="C413" i="6"/>
  <c r="B413" i="6"/>
  <c r="A413" i="6" a="1"/>
  <c r="A413" i="6" s="1"/>
  <c r="I412" i="6" a="1"/>
  <c r="I412" i="6" s="1"/>
  <c r="F412" i="6" s="1" a="1"/>
  <c r="F412" i="6" s="1"/>
  <c r="H412" i="6" a="1"/>
  <c r="H412" i="6" s="1"/>
  <c r="E412" i="6"/>
  <c r="D412" i="6"/>
  <c r="C412" i="6"/>
  <c r="B412" i="6"/>
  <c r="A412" i="6" a="1"/>
  <c r="A412" i="6" s="1"/>
  <c r="I411" i="6" a="1"/>
  <c r="I411" i="6" s="1"/>
  <c r="F411" i="6" s="1" a="1"/>
  <c r="F411" i="6" s="1"/>
  <c r="H411" i="6" a="1"/>
  <c r="H411" i="6" s="1"/>
  <c r="E411" i="6"/>
  <c r="D411" i="6"/>
  <c r="C411" i="6"/>
  <c r="B411" i="6"/>
  <c r="A411" i="6" a="1"/>
  <c r="A411" i="6" s="1"/>
  <c r="I410" i="6" a="1"/>
  <c r="I410" i="6" s="1"/>
  <c r="F410" i="6" s="1" a="1"/>
  <c r="F410" i="6" s="1"/>
  <c r="H410" i="6" a="1"/>
  <c r="H410" i="6" s="1"/>
  <c r="E410" i="6"/>
  <c r="D410" i="6"/>
  <c r="C410" i="6"/>
  <c r="B410" i="6"/>
  <c r="A410" i="6" a="1"/>
  <c r="A410" i="6" s="1"/>
  <c r="I409" i="6" a="1"/>
  <c r="I409" i="6" s="1"/>
  <c r="F409" i="6" s="1" a="1"/>
  <c r="F409" i="6" s="1"/>
  <c r="H409" i="6" a="1"/>
  <c r="H409" i="6" s="1"/>
  <c r="E409" i="6"/>
  <c r="D409" i="6"/>
  <c r="C409" i="6"/>
  <c r="B409" i="6"/>
  <c r="A409" i="6" a="1"/>
  <c r="A409" i="6" s="1"/>
  <c r="I408" i="6" a="1"/>
  <c r="I408" i="6" s="1"/>
  <c r="F408" i="6" s="1" a="1"/>
  <c r="F408" i="6" s="1"/>
  <c r="H408" i="6" a="1"/>
  <c r="H408" i="6" s="1"/>
  <c r="E408" i="6"/>
  <c r="D408" i="6"/>
  <c r="C408" i="6"/>
  <c r="B408" i="6"/>
  <c r="A408" i="6" a="1"/>
  <c r="A408" i="6" s="1"/>
  <c r="I407" i="6" a="1"/>
  <c r="I407" i="6" s="1"/>
  <c r="F407" i="6" s="1" a="1"/>
  <c r="F407" i="6" s="1"/>
  <c r="H407" i="6" a="1"/>
  <c r="H407" i="6" s="1"/>
  <c r="E407" i="6"/>
  <c r="D407" i="6"/>
  <c r="C407" i="6"/>
  <c r="B407" i="6"/>
  <c r="A407" i="6" a="1"/>
  <c r="A407" i="6" s="1"/>
  <c r="I406" i="6" a="1"/>
  <c r="I406" i="6" s="1"/>
  <c r="F406" i="6" s="1" a="1"/>
  <c r="F406" i="6" s="1"/>
  <c r="H406" i="6" a="1"/>
  <c r="H406" i="6" s="1"/>
  <c r="E406" i="6"/>
  <c r="D406" i="6"/>
  <c r="C406" i="6"/>
  <c r="B406" i="6"/>
  <c r="A406" i="6" a="1"/>
  <c r="A406" i="6" s="1"/>
  <c r="I405" i="6" a="1"/>
  <c r="I405" i="6" s="1"/>
  <c r="F405" i="6" s="1" a="1"/>
  <c r="F405" i="6" s="1"/>
  <c r="H405" i="6" a="1"/>
  <c r="H405" i="6" s="1"/>
  <c r="E405" i="6"/>
  <c r="D405" i="6"/>
  <c r="C405" i="6"/>
  <c r="B405" i="6"/>
  <c r="A405" i="6" a="1"/>
  <c r="A405" i="6" s="1"/>
  <c r="I404" i="6" a="1"/>
  <c r="I404" i="6" s="1"/>
  <c r="F404" i="6" s="1" a="1"/>
  <c r="F404" i="6" s="1"/>
  <c r="H404" i="6" a="1"/>
  <c r="H404" i="6" s="1"/>
  <c r="E404" i="6"/>
  <c r="D404" i="6"/>
  <c r="C404" i="6"/>
  <c r="B404" i="6"/>
  <c r="A404" i="6" a="1"/>
  <c r="A404" i="6" s="1"/>
  <c r="I403" i="6" a="1"/>
  <c r="I403" i="6" s="1"/>
  <c r="F403" i="6" s="1" a="1"/>
  <c r="F403" i="6" s="1"/>
  <c r="H403" i="6" a="1"/>
  <c r="H403" i="6" s="1"/>
  <c r="E403" i="6"/>
  <c r="D403" i="6"/>
  <c r="C403" i="6"/>
  <c r="B403" i="6"/>
  <c r="A403" i="6" a="1"/>
  <c r="A403" i="6" s="1"/>
  <c r="I402" i="6" a="1"/>
  <c r="I402" i="6" s="1"/>
  <c r="F402" i="6" s="1" a="1"/>
  <c r="F402" i="6" s="1"/>
  <c r="H402" i="6" a="1"/>
  <c r="H402" i="6" s="1"/>
  <c r="E402" i="6"/>
  <c r="D402" i="6"/>
  <c r="C402" i="6"/>
  <c r="B402" i="6"/>
  <c r="A402" i="6" a="1"/>
  <c r="A402" i="6" s="1"/>
  <c r="I401" i="6" a="1"/>
  <c r="I401" i="6" s="1"/>
  <c r="F401" i="6" s="1" a="1"/>
  <c r="F401" i="6" s="1"/>
  <c r="H401" i="6" a="1"/>
  <c r="H401" i="6" s="1"/>
  <c r="E401" i="6"/>
  <c r="D401" i="6"/>
  <c r="C401" i="6"/>
  <c r="B401" i="6"/>
  <c r="A401" i="6" a="1"/>
  <c r="A401" i="6" s="1"/>
  <c r="I400" i="6" a="1"/>
  <c r="I400" i="6" s="1"/>
  <c r="F400" i="6" s="1" a="1"/>
  <c r="F400" i="6" s="1"/>
  <c r="H400" i="6" a="1"/>
  <c r="H400" i="6" s="1"/>
  <c r="E400" i="6"/>
  <c r="D400" i="6"/>
  <c r="C400" i="6"/>
  <c r="B400" i="6"/>
  <c r="A400" i="6" a="1"/>
  <c r="A400" i="6" s="1"/>
  <c r="I399" i="6" a="1"/>
  <c r="I399" i="6" s="1"/>
  <c r="F399" i="6" s="1" a="1"/>
  <c r="F399" i="6" s="1"/>
  <c r="H399" i="6" a="1"/>
  <c r="H399" i="6" s="1"/>
  <c r="E399" i="6"/>
  <c r="D399" i="6"/>
  <c r="C399" i="6"/>
  <c r="B399" i="6"/>
  <c r="A399" i="6" a="1"/>
  <c r="A399" i="6" s="1"/>
  <c r="I398" i="6" a="1"/>
  <c r="I398" i="6" s="1"/>
  <c r="F398" i="6" s="1" a="1"/>
  <c r="F398" i="6" s="1"/>
  <c r="H398" i="6" a="1"/>
  <c r="H398" i="6" s="1"/>
  <c r="E398" i="6"/>
  <c r="D398" i="6"/>
  <c r="C398" i="6"/>
  <c r="B398" i="6"/>
  <c r="A398" i="6" a="1"/>
  <c r="A398" i="6" s="1"/>
  <c r="I397" i="6" a="1"/>
  <c r="I397" i="6" s="1"/>
  <c r="F397" i="6" s="1" a="1"/>
  <c r="F397" i="6" s="1"/>
  <c r="H397" i="6" a="1"/>
  <c r="H397" i="6" s="1"/>
  <c r="E397" i="6"/>
  <c r="D397" i="6"/>
  <c r="C397" i="6"/>
  <c r="B397" i="6"/>
  <c r="A397" i="6" a="1"/>
  <c r="A397" i="6" s="1"/>
  <c r="I396" i="6" a="1"/>
  <c r="I396" i="6" s="1"/>
  <c r="F396" i="6" s="1" a="1"/>
  <c r="F396" i="6" s="1"/>
  <c r="H396" i="6" a="1"/>
  <c r="H396" i="6" s="1"/>
  <c r="E396" i="6"/>
  <c r="D396" i="6"/>
  <c r="C396" i="6"/>
  <c r="B396" i="6"/>
  <c r="A396" i="6" a="1"/>
  <c r="A396" i="6" s="1"/>
  <c r="I395" i="6" a="1"/>
  <c r="I395" i="6" s="1"/>
  <c r="F395" i="6" s="1" a="1"/>
  <c r="F395" i="6" s="1"/>
  <c r="H395" i="6" a="1"/>
  <c r="H395" i="6" s="1"/>
  <c r="E395" i="6"/>
  <c r="D395" i="6"/>
  <c r="C395" i="6"/>
  <c r="B395" i="6"/>
  <c r="A395" i="6" a="1"/>
  <c r="A395" i="6" s="1"/>
  <c r="I394" i="6" a="1"/>
  <c r="I394" i="6" s="1"/>
  <c r="F394" i="6" s="1" a="1"/>
  <c r="F394" i="6" s="1"/>
  <c r="H394" i="6" a="1"/>
  <c r="H394" i="6" s="1"/>
  <c r="E394" i="6"/>
  <c r="D394" i="6"/>
  <c r="C394" i="6"/>
  <c r="B394" i="6"/>
  <c r="A394" i="6" a="1"/>
  <c r="A394" i="6" s="1"/>
  <c r="I393" i="6" a="1"/>
  <c r="I393" i="6" s="1"/>
  <c r="F393" i="6" s="1" a="1"/>
  <c r="F393" i="6" s="1"/>
  <c r="H393" i="6" a="1"/>
  <c r="H393" i="6" s="1"/>
  <c r="E393" i="6"/>
  <c r="D393" i="6"/>
  <c r="C393" i="6"/>
  <c r="B393" i="6"/>
  <c r="A393" i="6" a="1"/>
  <c r="A393" i="6" s="1"/>
  <c r="I392" i="6" a="1"/>
  <c r="I392" i="6" s="1"/>
  <c r="F392" i="6" s="1" a="1"/>
  <c r="F392" i="6" s="1"/>
  <c r="H392" i="6" a="1"/>
  <c r="H392" i="6" s="1"/>
  <c r="E392" i="6"/>
  <c r="D392" i="6"/>
  <c r="C392" i="6"/>
  <c r="B392" i="6"/>
  <c r="A392" i="6" a="1"/>
  <c r="A392" i="6" s="1"/>
  <c r="I391" i="6" a="1"/>
  <c r="I391" i="6" s="1"/>
  <c r="F391" i="6" s="1" a="1"/>
  <c r="F391" i="6" s="1"/>
  <c r="H391" i="6" a="1"/>
  <c r="H391" i="6" s="1"/>
  <c r="E391" i="6"/>
  <c r="D391" i="6"/>
  <c r="C391" i="6"/>
  <c r="B391" i="6"/>
  <c r="A391" i="6" a="1"/>
  <c r="A391" i="6" s="1"/>
  <c r="I390" i="6" a="1"/>
  <c r="I390" i="6" s="1"/>
  <c r="F390" i="6" s="1" a="1"/>
  <c r="F390" i="6" s="1"/>
  <c r="H390" i="6" a="1"/>
  <c r="H390" i="6" s="1"/>
  <c r="E390" i="6"/>
  <c r="D390" i="6"/>
  <c r="C390" i="6"/>
  <c r="B390" i="6"/>
  <c r="A390" i="6" a="1"/>
  <c r="A390" i="6" s="1"/>
  <c r="I389" i="6" a="1"/>
  <c r="I389" i="6" s="1"/>
  <c r="F389" i="6" s="1" a="1"/>
  <c r="F389" i="6" s="1"/>
  <c r="H389" i="6" a="1"/>
  <c r="H389" i="6" s="1"/>
  <c r="E389" i="6"/>
  <c r="D389" i="6"/>
  <c r="C389" i="6"/>
  <c r="B389" i="6"/>
  <c r="A389" i="6" a="1"/>
  <c r="A389" i="6" s="1"/>
  <c r="I388" i="6" a="1"/>
  <c r="I388" i="6" s="1"/>
  <c r="F388" i="6" s="1" a="1"/>
  <c r="F388" i="6" s="1"/>
  <c r="H388" i="6" a="1"/>
  <c r="H388" i="6" s="1"/>
  <c r="E388" i="6"/>
  <c r="D388" i="6"/>
  <c r="C388" i="6"/>
  <c r="B388" i="6"/>
  <c r="A388" i="6" a="1"/>
  <c r="A388" i="6" s="1"/>
  <c r="I387" i="6" a="1"/>
  <c r="I387" i="6" s="1"/>
  <c r="F387" i="6" s="1" a="1"/>
  <c r="F387" i="6" s="1"/>
  <c r="H387" i="6" a="1"/>
  <c r="H387" i="6" s="1"/>
  <c r="E387" i="6"/>
  <c r="D387" i="6"/>
  <c r="C387" i="6"/>
  <c r="B387" i="6"/>
  <c r="A387" i="6" a="1"/>
  <c r="A387" i="6" s="1"/>
  <c r="I386" i="6" a="1"/>
  <c r="I386" i="6" s="1"/>
  <c r="F386" i="6" s="1" a="1"/>
  <c r="F386" i="6" s="1"/>
  <c r="H386" i="6" a="1"/>
  <c r="H386" i="6" s="1"/>
  <c r="E386" i="6"/>
  <c r="D386" i="6"/>
  <c r="C386" i="6"/>
  <c r="B386" i="6"/>
  <c r="A386" i="6" a="1"/>
  <c r="A386" i="6" s="1"/>
  <c r="I385" i="6" a="1"/>
  <c r="I385" i="6" s="1"/>
  <c r="F385" i="6" s="1" a="1"/>
  <c r="F385" i="6" s="1"/>
  <c r="H385" i="6" a="1"/>
  <c r="H385" i="6" s="1"/>
  <c r="E385" i="6"/>
  <c r="D385" i="6"/>
  <c r="C385" i="6"/>
  <c r="B385" i="6"/>
  <c r="A385" i="6" a="1"/>
  <c r="A385" i="6" s="1"/>
  <c r="I384" i="6" a="1"/>
  <c r="I384" i="6" s="1"/>
  <c r="F384" i="6" s="1" a="1"/>
  <c r="F384" i="6" s="1"/>
  <c r="H384" i="6" a="1"/>
  <c r="H384" i="6" s="1"/>
  <c r="E384" i="6"/>
  <c r="D384" i="6"/>
  <c r="C384" i="6"/>
  <c r="B384" i="6"/>
  <c r="A384" i="6" a="1"/>
  <c r="A384" i="6" s="1"/>
  <c r="I383" i="6" a="1"/>
  <c r="I383" i="6" s="1"/>
  <c r="F383" i="6" s="1" a="1"/>
  <c r="F383" i="6" s="1"/>
  <c r="H383" i="6" a="1"/>
  <c r="H383" i="6" s="1"/>
  <c r="E383" i="6"/>
  <c r="D383" i="6"/>
  <c r="C383" i="6"/>
  <c r="B383" i="6"/>
  <c r="A383" i="6" a="1"/>
  <c r="A383" i="6" s="1"/>
  <c r="I382" i="6" a="1"/>
  <c r="I382" i="6" s="1"/>
  <c r="F382" i="6" s="1" a="1"/>
  <c r="F382" i="6" s="1"/>
  <c r="H382" i="6" a="1"/>
  <c r="H382" i="6" s="1"/>
  <c r="E382" i="6"/>
  <c r="D382" i="6"/>
  <c r="C382" i="6"/>
  <c r="B382" i="6"/>
  <c r="A382" i="6" a="1"/>
  <c r="A382" i="6" s="1"/>
  <c r="I381" i="6" a="1"/>
  <c r="I381" i="6" s="1"/>
  <c r="F381" i="6" s="1" a="1"/>
  <c r="F381" i="6" s="1"/>
  <c r="H381" i="6" a="1"/>
  <c r="H381" i="6" s="1"/>
  <c r="E381" i="6"/>
  <c r="D381" i="6"/>
  <c r="C381" i="6"/>
  <c r="B381" i="6"/>
  <c r="A381" i="6" a="1"/>
  <c r="A381" i="6" s="1"/>
  <c r="I380" i="6" a="1"/>
  <c r="I380" i="6" s="1"/>
  <c r="F380" i="6" s="1" a="1"/>
  <c r="F380" i="6" s="1"/>
  <c r="H380" i="6" a="1"/>
  <c r="H380" i="6" s="1"/>
  <c r="E380" i="6"/>
  <c r="D380" i="6"/>
  <c r="C380" i="6"/>
  <c r="B380" i="6"/>
  <c r="A380" i="6" a="1"/>
  <c r="A380" i="6" s="1"/>
  <c r="I379" i="6" a="1"/>
  <c r="I379" i="6" s="1"/>
  <c r="F379" i="6" s="1" a="1"/>
  <c r="F379" i="6" s="1"/>
  <c r="H379" i="6" a="1"/>
  <c r="H379" i="6" s="1"/>
  <c r="E379" i="6"/>
  <c r="D379" i="6"/>
  <c r="C379" i="6"/>
  <c r="B379" i="6"/>
  <c r="A379" i="6" a="1"/>
  <c r="A379" i="6" s="1"/>
  <c r="I378" i="6" a="1"/>
  <c r="I378" i="6" s="1"/>
  <c r="F378" i="6" s="1" a="1"/>
  <c r="F378" i="6" s="1"/>
  <c r="H378" i="6" a="1"/>
  <c r="H378" i="6" s="1"/>
  <c r="E378" i="6"/>
  <c r="D378" i="6"/>
  <c r="C378" i="6"/>
  <c r="B378" i="6"/>
  <c r="A378" i="6" a="1"/>
  <c r="A378" i="6" s="1"/>
  <c r="I377" i="6" a="1"/>
  <c r="I377" i="6" s="1"/>
  <c r="F377" i="6" s="1" a="1"/>
  <c r="F377" i="6" s="1"/>
  <c r="H377" i="6" a="1"/>
  <c r="H377" i="6" s="1"/>
  <c r="E377" i="6"/>
  <c r="D377" i="6"/>
  <c r="C377" i="6"/>
  <c r="B377" i="6"/>
  <c r="A377" i="6" a="1"/>
  <c r="A377" i="6" s="1"/>
  <c r="I376" i="6" a="1"/>
  <c r="I376" i="6" s="1"/>
  <c r="F376" i="6" s="1" a="1"/>
  <c r="F376" i="6" s="1"/>
  <c r="H376" i="6" a="1"/>
  <c r="H376" i="6" s="1"/>
  <c r="E376" i="6"/>
  <c r="D376" i="6"/>
  <c r="C376" i="6"/>
  <c r="B376" i="6"/>
  <c r="A376" i="6" a="1"/>
  <c r="A376" i="6" s="1"/>
  <c r="I375" i="6" a="1"/>
  <c r="I375" i="6" s="1"/>
  <c r="F375" i="6" s="1" a="1"/>
  <c r="F375" i="6" s="1"/>
  <c r="H375" i="6" a="1"/>
  <c r="H375" i="6" s="1"/>
  <c r="E375" i="6"/>
  <c r="D375" i="6"/>
  <c r="C375" i="6"/>
  <c r="B375" i="6"/>
  <c r="A375" i="6" a="1"/>
  <c r="A375" i="6" s="1"/>
  <c r="I374" i="6" a="1"/>
  <c r="I374" i="6" s="1"/>
  <c r="F374" i="6" s="1" a="1"/>
  <c r="F374" i="6" s="1"/>
  <c r="H374" i="6" a="1"/>
  <c r="H374" i="6" s="1"/>
  <c r="E374" i="6"/>
  <c r="D374" i="6"/>
  <c r="C374" i="6"/>
  <c r="B374" i="6"/>
  <c r="A374" i="6" a="1"/>
  <c r="A374" i="6" s="1"/>
  <c r="I373" i="6" a="1"/>
  <c r="I373" i="6" s="1"/>
  <c r="F373" i="6" s="1" a="1"/>
  <c r="F373" i="6" s="1"/>
  <c r="H373" i="6" a="1"/>
  <c r="H373" i="6" s="1"/>
  <c r="E373" i="6"/>
  <c r="D373" i="6"/>
  <c r="C373" i="6"/>
  <c r="B373" i="6"/>
  <c r="A373" i="6" a="1"/>
  <c r="A373" i="6" s="1"/>
  <c r="I372" i="6" a="1"/>
  <c r="I372" i="6" s="1"/>
  <c r="F372" i="6" s="1" a="1"/>
  <c r="F372" i="6" s="1"/>
  <c r="H372" i="6" a="1"/>
  <c r="H372" i="6" s="1"/>
  <c r="E372" i="6"/>
  <c r="D372" i="6"/>
  <c r="C372" i="6"/>
  <c r="B372" i="6"/>
  <c r="A372" i="6" a="1"/>
  <c r="A372" i="6" s="1"/>
  <c r="I371" i="6" a="1"/>
  <c r="I371" i="6" s="1"/>
  <c r="F371" i="6" s="1" a="1"/>
  <c r="F371" i="6" s="1"/>
  <c r="H371" i="6" a="1"/>
  <c r="H371" i="6" s="1"/>
  <c r="E371" i="6"/>
  <c r="D371" i="6"/>
  <c r="C371" i="6"/>
  <c r="B371" i="6"/>
  <c r="A371" i="6" a="1"/>
  <c r="A371" i="6" s="1"/>
  <c r="I370" i="6" a="1"/>
  <c r="I370" i="6" s="1"/>
  <c r="F370" i="6" s="1" a="1"/>
  <c r="F370" i="6" s="1"/>
  <c r="H370" i="6" a="1"/>
  <c r="H370" i="6" s="1"/>
  <c r="E370" i="6"/>
  <c r="D370" i="6"/>
  <c r="C370" i="6"/>
  <c r="B370" i="6"/>
  <c r="A370" i="6" a="1"/>
  <c r="A370" i="6" s="1"/>
  <c r="I369" i="6" a="1"/>
  <c r="I369" i="6" s="1"/>
  <c r="F369" i="6" s="1" a="1"/>
  <c r="F369" i="6" s="1"/>
  <c r="H369" i="6" a="1"/>
  <c r="H369" i="6" s="1"/>
  <c r="E369" i="6"/>
  <c r="D369" i="6"/>
  <c r="C369" i="6"/>
  <c r="B369" i="6"/>
  <c r="A369" i="6" a="1"/>
  <c r="A369" i="6" s="1"/>
  <c r="I368" i="6" a="1"/>
  <c r="I368" i="6" s="1"/>
  <c r="F368" i="6" s="1" a="1"/>
  <c r="F368" i="6" s="1"/>
  <c r="H368" i="6" a="1"/>
  <c r="H368" i="6" s="1"/>
  <c r="E368" i="6"/>
  <c r="D368" i="6"/>
  <c r="C368" i="6"/>
  <c r="B368" i="6"/>
  <c r="A368" i="6" a="1"/>
  <c r="A368" i="6" s="1"/>
  <c r="I367" i="6" a="1"/>
  <c r="I367" i="6" s="1"/>
  <c r="F367" i="6" s="1" a="1"/>
  <c r="F367" i="6" s="1"/>
  <c r="H367" i="6" a="1"/>
  <c r="H367" i="6" s="1"/>
  <c r="E367" i="6"/>
  <c r="D367" i="6"/>
  <c r="C367" i="6"/>
  <c r="B367" i="6"/>
  <c r="A367" i="6" a="1"/>
  <c r="A367" i="6" s="1"/>
  <c r="I366" i="6" a="1"/>
  <c r="I366" i="6" s="1"/>
  <c r="F366" i="6" s="1" a="1"/>
  <c r="F366" i="6" s="1"/>
  <c r="H366" i="6" a="1"/>
  <c r="H366" i="6" s="1"/>
  <c r="E366" i="6"/>
  <c r="D366" i="6"/>
  <c r="C366" i="6"/>
  <c r="B366" i="6"/>
  <c r="A366" i="6" a="1"/>
  <c r="A366" i="6" s="1"/>
  <c r="I365" i="6" a="1"/>
  <c r="I365" i="6" s="1"/>
  <c r="F365" i="6" s="1" a="1"/>
  <c r="F365" i="6" s="1"/>
  <c r="H365" i="6" a="1"/>
  <c r="H365" i="6" s="1"/>
  <c r="E365" i="6"/>
  <c r="D365" i="6"/>
  <c r="C365" i="6"/>
  <c r="B365" i="6"/>
  <c r="A365" i="6" a="1"/>
  <c r="A365" i="6" s="1"/>
  <c r="I364" i="6" a="1"/>
  <c r="I364" i="6" s="1"/>
  <c r="F364" i="6" s="1" a="1"/>
  <c r="F364" i="6" s="1"/>
  <c r="H364" i="6" a="1"/>
  <c r="H364" i="6" s="1"/>
  <c r="E364" i="6"/>
  <c r="D364" i="6"/>
  <c r="C364" i="6"/>
  <c r="B364" i="6"/>
  <c r="A364" i="6" a="1"/>
  <c r="A364" i="6" s="1"/>
  <c r="I363" i="6" a="1"/>
  <c r="I363" i="6" s="1"/>
  <c r="F363" i="6" s="1" a="1"/>
  <c r="F363" i="6" s="1"/>
  <c r="H363" i="6" a="1"/>
  <c r="H363" i="6" s="1"/>
  <c r="E363" i="6"/>
  <c r="D363" i="6"/>
  <c r="C363" i="6"/>
  <c r="B363" i="6"/>
  <c r="A363" i="6" a="1"/>
  <c r="A363" i="6" s="1"/>
  <c r="I362" i="6" a="1"/>
  <c r="I362" i="6" s="1"/>
  <c r="F362" i="6" s="1" a="1"/>
  <c r="F362" i="6" s="1"/>
  <c r="H362" i="6" a="1"/>
  <c r="H362" i="6" s="1"/>
  <c r="E362" i="6"/>
  <c r="D362" i="6"/>
  <c r="C362" i="6"/>
  <c r="B362" i="6"/>
  <c r="A362" i="6" a="1"/>
  <c r="A362" i="6" s="1"/>
  <c r="I361" i="6" a="1"/>
  <c r="I361" i="6" s="1"/>
  <c r="F361" i="6" s="1" a="1"/>
  <c r="F361" i="6" s="1"/>
  <c r="H361" i="6" a="1"/>
  <c r="H361" i="6" s="1"/>
  <c r="E361" i="6"/>
  <c r="D361" i="6"/>
  <c r="C361" i="6"/>
  <c r="B361" i="6"/>
  <c r="A361" i="6" a="1"/>
  <c r="A361" i="6" s="1"/>
  <c r="I360" i="6" a="1"/>
  <c r="I360" i="6" s="1"/>
  <c r="F360" i="6" s="1" a="1"/>
  <c r="F360" i="6" s="1"/>
  <c r="H360" i="6" a="1"/>
  <c r="H360" i="6" s="1"/>
  <c r="E360" i="6"/>
  <c r="D360" i="6"/>
  <c r="C360" i="6"/>
  <c r="B360" i="6"/>
  <c r="A360" i="6" a="1"/>
  <c r="A360" i="6" s="1"/>
  <c r="I359" i="6" a="1"/>
  <c r="I359" i="6" s="1"/>
  <c r="F359" i="6" s="1" a="1"/>
  <c r="F359" i="6" s="1"/>
  <c r="H359" i="6" a="1"/>
  <c r="H359" i="6" s="1"/>
  <c r="E359" i="6"/>
  <c r="D359" i="6"/>
  <c r="C359" i="6"/>
  <c r="B359" i="6"/>
  <c r="A359" i="6" a="1"/>
  <c r="A359" i="6" s="1"/>
  <c r="I358" i="6" a="1"/>
  <c r="I358" i="6" s="1"/>
  <c r="F358" i="6" s="1" a="1"/>
  <c r="F358" i="6" s="1"/>
  <c r="H358" i="6" a="1"/>
  <c r="H358" i="6" s="1"/>
  <c r="E358" i="6"/>
  <c r="D358" i="6"/>
  <c r="C358" i="6"/>
  <c r="B358" i="6"/>
  <c r="A358" i="6" a="1"/>
  <c r="A358" i="6" s="1"/>
  <c r="I357" i="6" a="1"/>
  <c r="I357" i="6" s="1"/>
  <c r="F357" i="6" s="1" a="1"/>
  <c r="F357" i="6" s="1"/>
  <c r="H357" i="6" a="1"/>
  <c r="H357" i="6" s="1"/>
  <c r="E357" i="6"/>
  <c r="D357" i="6"/>
  <c r="C357" i="6"/>
  <c r="B357" i="6"/>
  <c r="A357" i="6" a="1"/>
  <c r="A357" i="6" s="1"/>
  <c r="I356" i="6" a="1"/>
  <c r="I356" i="6" s="1"/>
  <c r="F356" i="6" s="1" a="1"/>
  <c r="F356" i="6" s="1"/>
  <c r="H356" i="6" a="1"/>
  <c r="H356" i="6" s="1"/>
  <c r="E356" i="6"/>
  <c r="D356" i="6"/>
  <c r="C356" i="6"/>
  <c r="B356" i="6"/>
  <c r="A356" i="6" a="1"/>
  <c r="A356" i="6" s="1"/>
  <c r="I355" i="6" a="1"/>
  <c r="I355" i="6" s="1"/>
  <c r="F355" i="6" s="1" a="1"/>
  <c r="F355" i="6" s="1"/>
  <c r="H355" i="6" a="1"/>
  <c r="H355" i="6" s="1"/>
  <c r="E355" i="6"/>
  <c r="D355" i="6"/>
  <c r="C355" i="6"/>
  <c r="B355" i="6"/>
  <c r="A355" i="6" a="1"/>
  <c r="A355" i="6" s="1"/>
  <c r="I354" i="6" a="1"/>
  <c r="I354" i="6" s="1"/>
  <c r="F354" i="6" s="1" a="1"/>
  <c r="F354" i="6" s="1"/>
  <c r="H354" i="6" a="1"/>
  <c r="H354" i="6" s="1"/>
  <c r="E354" i="6"/>
  <c r="D354" i="6"/>
  <c r="C354" i="6"/>
  <c r="B354" i="6"/>
  <c r="A354" i="6" a="1"/>
  <c r="A354" i="6" s="1"/>
  <c r="I353" i="6" a="1"/>
  <c r="I353" i="6" s="1"/>
  <c r="F353" i="6" s="1" a="1"/>
  <c r="F353" i="6" s="1"/>
  <c r="H353" i="6" a="1"/>
  <c r="H353" i="6" s="1"/>
  <c r="E353" i="6"/>
  <c r="D353" i="6"/>
  <c r="C353" i="6"/>
  <c r="B353" i="6"/>
  <c r="A353" i="6" a="1"/>
  <c r="A353" i="6" s="1"/>
  <c r="I352" i="6" a="1"/>
  <c r="I352" i="6" s="1"/>
  <c r="F352" i="6" s="1" a="1"/>
  <c r="F352" i="6" s="1"/>
  <c r="H352" i="6" a="1"/>
  <c r="H352" i="6" s="1"/>
  <c r="E352" i="6"/>
  <c r="D352" i="6"/>
  <c r="C352" i="6"/>
  <c r="B352" i="6"/>
  <c r="A352" i="6" a="1"/>
  <c r="A352" i="6" s="1"/>
  <c r="I351" i="6" a="1"/>
  <c r="I351" i="6" s="1"/>
  <c r="F351" i="6" s="1" a="1"/>
  <c r="F351" i="6" s="1"/>
  <c r="H351" i="6" a="1"/>
  <c r="H351" i="6" s="1"/>
  <c r="E351" i="6"/>
  <c r="D351" i="6"/>
  <c r="C351" i="6"/>
  <c r="B351" i="6"/>
  <c r="A351" i="6" a="1"/>
  <c r="A351" i="6" s="1"/>
  <c r="I350" i="6" a="1"/>
  <c r="I350" i="6" s="1"/>
  <c r="F350" i="6" s="1" a="1"/>
  <c r="F350" i="6" s="1"/>
  <c r="H350" i="6" a="1"/>
  <c r="H350" i="6" s="1"/>
  <c r="E350" i="6"/>
  <c r="D350" i="6"/>
  <c r="C350" i="6"/>
  <c r="B350" i="6"/>
  <c r="A350" i="6" a="1"/>
  <c r="A350" i="6" s="1"/>
  <c r="I349" i="6" a="1"/>
  <c r="I349" i="6" s="1"/>
  <c r="F349" i="6" s="1" a="1"/>
  <c r="F349" i="6" s="1"/>
  <c r="H349" i="6" a="1"/>
  <c r="H349" i="6" s="1"/>
  <c r="E349" i="6"/>
  <c r="D349" i="6"/>
  <c r="C349" i="6"/>
  <c r="B349" i="6"/>
  <c r="A349" i="6" a="1"/>
  <c r="A349" i="6" s="1"/>
  <c r="I348" i="6" a="1"/>
  <c r="I348" i="6" s="1"/>
  <c r="F348" i="6" s="1" a="1"/>
  <c r="F348" i="6" s="1"/>
  <c r="H348" i="6" a="1"/>
  <c r="H348" i="6" s="1"/>
  <c r="E348" i="6"/>
  <c r="D348" i="6"/>
  <c r="C348" i="6"/>
  <c r="B348" i="6"/>
  <c r="A348" i="6" a="1"/>
  <c r="A348" i="6" s="1"/>
  <c r="I347" i="6" a="1"/>
  <c r="I347" i="6" s="1"/>
  <c r="F347" i="6" s="1" a="1"/>
  <c r="F347" i="6" s="1"/>
  <c r="H347" i="6" a="1"/>
  <c r="H347" i="6" s="1"/>
  <c r="E347" i="6"/>
  <c r="D347" i="6"/>
  <c r="C347" i="6"/>
  <c r="B347" i="6"/>
  <c r="A347" i="6" a="1"/>
  <c r="A347" i="6" s="1"/>
  <c r="I346" i="6" a="1"/>
  <c r="I346" i="6" s="1"/>
  <c r="F346" i="6" s="1" a="1"/>
  <c r="F346" i="6" s="1"/>
  <c r="H346" i="6" a="1"/>
  <c r="H346" i="6" s="1"/>
  <c r="E346" i="6"/>
  <c r="D346" i="6"/>
  <c r="C346" i="6"/>
  <c r="B346" i="6"/>
  <c r="A346" i="6" a="1"/>
  <c r="A346" i="6" s="1"/>
  <c r="I345" i="6" a="1"/>
  <c r="I345" i="6" s="1"/>
  <c r="F345" i="6" s="1" a="1"/>
  <c r="F345" i="6" s="1"/>
  <c r="H345" i="6" a="1"/>
  <c r="H345" i="6" s="1"/>
  <c r="E345" i="6"/>
  <c r="D345" i="6"/>
  <c r="C345" i="6"/>
  <c r="B345" i="6"/>
  <c r="A345" i="6" a="1"/>
  <c r="A345" i="6" s="1"/>
  <c r="I344" i="6" a="1"/>
  <c r="I344" i="6" s="1"/>
  <c r="F344" i="6" s="1" a="1"/>
  <c r="F344" i="6" s="1"/>
  <c r="H344" i="6" a="1"/>
  <c r="H344" i="6" s="1"/>
  <c r="E344" i="6"/>
  <c r="D344" i="6"/>
  <c r="C344" i="6"/>
  <c r="B344" i="6"/>
  <c r="A344" i="6" a="1"/>
  <c r="A344" i="6" s="1"/>
  <c r="I343" i="6" a="1"/>
  <c r="I343" i="6" s="1"/>
  <c r="F343" i="6" s="1" a="1"/>
  <c r="F343" i="6" s="1"/>
  <c r="H343" i="6" a="1"/>
  <c r="H343" i="6" s="1"/>
  <c r="E343" i="6"/>
  <c r="D343" i="6"/>
  <c r="C343" i="6"/>
  <c r="B343" i="6"/>
  <c r="A343" i="6" a="1"/>
  <c r="A343" i="6" s="1"/>
  <c r="I342" i="6" a="1"/>
  <c r="I342" i="6" s="1"/>
  <c r="F342" i="6" s="1" a="1"/>
  <c r="F342" i="6" s="1"/>
  <c r="H342" i="6" a="1"/>
  <c r="H342" i="6" s="1"/>
  <c r="E342" i="6"/>
  <c r="D342" i="6"/>
  <c r="C342" i="6"/>
  <c r="B342" i="6"/>
  <c r="A342" i="6" a="1"/>
  <c r="A342" i="6" s="1"/>
  <c r="I341" i="6" a="1"/>
  <c r="I341" i="6" s="1"/>
  <c r="F341" i="6" s="1" a="1"/>
  <c r="F341" i="6" s="1"/>
  <c r="H341" i="6" a="1"/>
  <c r="H341" i="6" s="1"/>
  <c r="E341" i="6"/>
  <c r="D341" i="6"/>
  <c r="C341" i="6"/>
  <c r="B341" i="6"/>
  <c r="A341" i="6" a="1"/>
  <c r="A341" i="6" s="1"/>
  <c r="I340" i="6" a="1"/>
  <c r="I340" i="6" s="1"/>
  <c r="F340" i="6" s="1" a="1"/>
  <c r="F340" i="6" s="1"/>
  <c r="H340" i="6" a="1"/>
  <c r="H340" i="6" s="1"/>
  <c r="E340" i="6"/>
  <c r="D340" i="6"/>
  <c r="C340" i="6"/>
  <c r="B340" i="6"/>
  <c r="A340" i="6" a="1"/>
  <c r="A340" i="6" s="1"/>
  <c r="I339" i="6" a="1"/>
  <c r="I339" i="6" s="1"/>
  <c r="F339" i="6" s="1" a="1"/>
  <c r="F339" i="6" s="1"/>
  <c r="H339" i="6" a="1"/>
  <c r="H339" i="6" s="1"/>
  <c r="E339" i="6"/>
  <c r="D339" i="6"/>
  <c r="C339" i="6"/>
  <c r="B339" i="6"/>
  <c r="A339" i="6" a="1"/>
  <c r="A339" i="6" s="1"/>
  <c r="I338" i="6" a="1"/>
  <c r="I338" i="6" s="1"/>
  <c r="F338" i="6" s="1" a="1"/>
  <c r="F338" i="6" s="1"/>
  <c r="H338" i="6" a="1"/>
  <c r="H338" i="6" s="1"/>
  <c r="E338" i="6"/>
  <c r="D338" i="6"/>
  <c r="C338" i="6"/>
  <c r="B338" i="6"/>
  <c r="A338" i="6" a="1"/>
  <c r="A338" i="6" s="1"/>
  <c r="I337" i="6" a="1"/>
  <c r="I337" i="6" s="1"/>
  <c r="F337" i="6" s="1" a="1"/>
  <c r="F337" i="6" s="1"/>
  <c r="H337" i="6" a="1"/>
  <c r="H337" i="6" s="1"/>
  <c r="E337" i="6"/>
  <c r="D337" i="6"/>
  <c r="C337" i="6"/>
  <c r="B337" i="6"/>
  <c r="A337" i="6" a="1"/>
  <c r="A337" i="6" s="1"/>
  <c r="I336" i="6" a="1"/>
  <c r="I336" i="6" s="1"/>
  <c r="F336" i="6" s="1" a="1"/>
  <c r="F336" i="6" s="1"/>
  <c r="H336" i="6" a="1"/>
  <c r="H336" i="6" s="1"/>
  <c r="E336" i="6"/>
  <c r="D336" i="6"/>
  <c r="C336" i="6"/>
  <c r="B336" i="6"/>
  <c r="A336" i="6" a="1"/>
  <c r="A336" i="6" s="1"/>
  <c r="I335" i="6" a="1"/>
  <c r="I335" i="6" s="1"/>
  <c r="F335" i="6" s="1" a="1"/>
  <c r="F335" i="6" s="1"/>
  <c r="H335" i="6" a="1"/>
  <c r="H335" i="6" s="1"/>
  <c r="E335" i="6"/>
  <c r="D335" i="6"/>
  <c r="C335" i="6"/>
  <c r="B335" i="6"/>
  <c r="A335" i="6" a="1"/>
  <c r="A335" i="6" s="1"/>
  <c r="I334" i="6" a="1"/>
  <c r="I334" i="6" s="1"/>
  <c r="F334" i="6" s="1" a="1"/>
  <c r="F334" i="6" s="1"/>
  <c r="H334" i="6" a="1"/>
  <c r="H334" i="6" s="1"/>
  <c r="E334" i="6"/>
  <c r="D334" i="6"/>
  <c r="C334" i="6"/>
  <c r="B334" i="6"/>
  <c r="A334" i="6" a="1"/>
  <c r="A334" i="6" s="1"/>
  <c r="I333" i="6" a="1"/>
  <c r="I333" i="6" s="1"/>
  <c r="F333" i="6" s="1" a="1"/>
  <c r="F333" i="6" s="1"/>
  <c r="H333" i="6" a="1"/>
  <c r="H333" i="6" s="1"/>
  <c r="E333" i="6"/>
  <c r="D333" i="6"/>
  <c r="C333" i="6"/>
  <c r="B333" i="6"/>
  <c r="A333" i="6" a="1"/>
  <c r="A333" i="6" s="1"/>
  <c r="I332" i="6" a="1"/>
  <c r="I332" i="6" s="1"/>
  <c r="F332" i="6" s="1" a="1"/>
  <c r="F332" i="6" s="1"/>
  <c r="H332" i="6" a="1"/>
  <c r="H332" i="6" s="1"/>
  <c r="E332" i="6"/>
  <c r="D332" i="6"/>
  <c r="C332" i="6"/>
  <c r="B332" i="6"/>
  <c r="A332" i="6" a="1"/>
  <c r="A332" i="6" s="1"/>
  <c r="I331" i="6" a="1"/>
  <c r="I331" i="6" s="1"/>
  <c r="F331" i="6" s="1" a="1"/>
  <c r="F331" i="6" s="1"/>
  <c r="H331" i="6" a="1"/>
  <c r="H331" i="6" s="1"/>
  <c r="E331" i="6"/>
  <c r="D331" i="6"/>
  <c r="C331" i="6"/>
  <c r="B331" i="6"/>
  <c r="A331" i="6" a="1"/>
  <c r="A331" i="6" s="1"/>
  <c r="I330" i="6" a="1"/>
  <c r="I330" i="6" s="1"/>
  <c r="F330" i="6" s="1" a="1"/>
  <c r="F330" i="6" s="1"/>
  <c r="H330" i="6" a="1"/>
  <c r="H330" i="6" s="1"/>
  <c r="E330" i="6"/>
  <c r="D330" i="6"/>
  <c r="C330" i="6"/>
  <c r="B330" i="6"/>
  <c r="A330" i="6" a="1"/>
  <c r="A330" i="6" s="1"/>
  <c r="I329" i="6" a="1"/>
  <c r="I329" i="6" s="1"/>
  <c r="F329" i="6" s="1" a="1"/>
  <c r="F329" i="6" s="1"/>
  <c r="H329" i="6" a="1"/>
  <c r="H329" i="6" s="1"/>
  <c r="E329" i="6"/>
  <c r="D329" i="6"/>
  <c r="C329" i="6"/>
  <c r="B329" i="6"/>
  <c r="A329" i="6" a="1"/>
  <c r="A329" i="6" s="1"/>
  <c r="I328" i="6" a="1"/>
  <c r="I328" i="6" s="1"/>
  <c r="F328" i="6" s="1" a="1"/>
  <c r="F328" i="6" s="1"/>
  <c r="H328" i="6" a="1"/>
  <c r="H328" i="6" s="1"/>
  <c r="E328" i="6"/>
  <c r="D328" i="6"/>
  <c r="C328" i="6"/>
  <c r="B328" i="6"/>
  <c r="A328" i="6" a="1"/>
  <c r="A328" i="6" s="1"/>
  <c r="I327" i="6" a="1"/>
  <c r="I327" i="6" s="1"/>
  <c r="F327" i="6" s="1" a="1"/>
  <c r="F327" i="6" s="1"/>
  <c r="H327" i="6" a="1"/>
  <c r="H327" i="6" s="1"/>
  <c r="E327" i="6"/>
  <c r="D327" i="6"/>
  <c r="C327" i="6"/>
  <c r="B327" i="6"/>
  <c r="A327" i="6" a="1"/>
  <c r="A327" i="6" s="1"/>
  <c r="I326" i="6" a="1"/>
  <c r="I326" i="6" s="1"/>
  <c r="F326" i="6" s="1" a="1"/>
  <c r="F326" i="6" s="1"/>
  <c r="H326" i="6" a="1"/>
  <c r="H326" i="6" s="1"/>
  <c r="E326" i="6"/>
  <c r="D326" i="6"/>
  <c r="C326" i="6"/>
  <c r="B326" i="6"/>
  <c r="A326" i="6" a="1"/>
  <c r="A326" i="6" s="1"/>
  <c r="I325" i="6" a="1"/>
  <c r="I325" i="6" s="1"/>
  <c r="F325" i="6" s="1" a="1"/>
  <c r="F325" i="6" s="1"/>
  <c r="H325" i="6" a="1"/>
  <c r="H325" i="6" s="1"/>
  <c r="E325" i="6"/>
  <c r="D325" i="6"/>
  <c r="C325" i="6"/>
  <c r="B325" i="6"/>
  <c r="A325" i="6" a="1"/>
  <c r="A325" i="6" s="1"/>
  <c r="I324" i="6" a="1"/>
  <c r="I324" i="6" s="1"/>
  <c r="F324" i="6" s="1" a="1"/>
  <c r="F324" i="6" s="1"/>
  <c r="H324" i="6" a="1"/>
  <c r="H324" i="6" s="1"/>
  <c r="E324" i="6"/>
  <c r="D324" i="6"/>
  <c r="C324" i="6"/>
  <c r="B324" i="6"/>
  <c r="A324" i="6" a="1"/>
  <c r="A324" i="6" s="1"/>
  <c r="I323" i="6" a="1"/>
  <c r="I323" i="6" s="1"/>
  <c r="F323" i="6" s="1" a="1"/>
  <c r="F323" i="6" s="1"/>
  <c r="H323" i="6" a="1"/>
  <c r="H323" i="6" s="1"/>
  <c r="E323" i="6"/>
  <c r="D323" i="6"/>
  <c r="C323" i="6"/>
  <c r="B323" i="6"/>
  <c r="A323" i="6" a="1"/>
  <c r="A323" i="6" s="1"/>
  <c r="I322" i="6" a="1"/>
  <c r="I322" i="6" s="1"/>
  <c r="F322" i="6" s="1" a="1"/>
  <c r="F322" i="6" s="1"/>
  <c r="H322" i="6" a="1"/>
  <c r="H322" i="6" s="1"/>
  <c r="E322" i="6"/>
  <c r="D322" i="6"/>
  <c r="C322" i="6"/>
  <c r="B322" i="6"/>
  <c r="A322" i="6" a="1"/>
  <c r="A322" i="6" s="1"/>
  <c r="I321" i="6" a="1"/>
  <c r="I321" i="6" s="1"/>
  <c r="F321" i="6" s="1" a="1"/>
  <c r="F321" i="6" s="1"/>
  <c r="H321" i="6" a="1"/>
  <c r="H321" i="6" s="1"/>
  <c r="E321" i="6"/>
  <c r="D321" i="6"/>
  <c r="C321" i="6"/>
  <c r="B321" i="6"/>
  <c r="A321" i="6" a="1"/>
  <c r="A321" i="6" s="1"/>
  <c r="I320" i="6" a="1"/>
  <c r="I320" i="6" s="1"/>
  <c r="F320" i="6" s="1" a="1"/>
  <c r="F320" i="6" s="1"/>
  <c r="H320" i="6" a="1"/>
  <c r="H320" i="6" s="1"/>
  <c r="E320" i="6"/>
  <c r="D320" i="6"/>
  <c r="C320" i="6"/>
  <c r="B320" i="6"/>
  <c r="A320" i="6" a="1"/>
  <c r="A320" i="6" s="1"/>
  <c r="I319" i="6" a="1"/>
  <c r="I319" i="6" s="1"/>
  <c r="F319" i="6" s="1" a="1"/>
  <c r="F319" i="6" s="1"/>
  <c r="H319" i="6" a="1"/>
  <c r="H319" i="6" s="1"/>
  <c r="E319" i="6"/>
  <c r="D319" i="6"/>
  <c r="C319" i="6"/>
  <c r="B319" i="6"/>
  <c r="A319" i="6" a="1"/>
  <c r="A319" i="6" s="1"/>
  <c r="I318" i="6" a="1"/>
  <c r="I318" i="6" s="1"/>
  <c r="F318" i="6" s="1" a="1"/>
  <c r="F318" i="6" s="1"/>
  <c r="H318" i="6" a="1"/>
  <c r="H318" i="6" s="1"/>
  <c r="E318" i="6"/>
  <c r="D318" i="6"/>
  <c r="C318" i="6"/>
  <c r="B318" i="6"/>
  <c r="A318" i="6" a="1"/>
  <c r="A318" i="6" s="1"/>
  <c r="I317" i="6" a="1"/>
  <c r="I317" i="6" s="1"/>
  <c r="F317" i="6" s="1" a="1"/>
  <c r="F317" i="6" s="1"/>
  <c r="H317" i="6" a="1"/>
  <c r="H317" i="6" s="1"/>
  <c r="E317" i="6"/>
  <c r="D317" i="6"/>
  <c r="C317" i="6"/>
  <c r="B317" i="6"/>
  <c r="A317" i="6" a="1"/>
  <c r="A317" i="6" s="1"/>
  <c r="I316" i="6" a="1"/>
  <c r="I316" i="6" s="1"/>
  <c r="F316" i="6" s="1" a="1"/>
  <c r="F316" i="6" s="1"/>
  <c r="H316" i="6" a="1"/>
  <c r="H316" i="6" s="1"/>
  <c r="E316" i="6"/>
  <c r="D316" i="6"/>
  <c r="C316" i="6"/>
  <c r="B316" i="6"/>
  <c r="A316" i="6" a="1"/>
  <c r="A316" i="6" s="1"/>
  <c r="I315" i="6" a="1"/>
  <c r="I315" i="6" s="1"/>
  <c r="F315" i="6" s="1" a="1"/>
  <c r="F315" i="6" s="1"/>
  <c r="H315" i="6" a="1"/>
  <c r="H315" i="6" s="1"/>
  <c r="E315" i="6"/>
  <c r="D315" i="6"/>
  <c r="C315" i="6"/>
  <c r="B315" i="6"/>
  <c r="A315" i="6" a="1"/>
  <c r="A315" i="6" s="1"/>
  <c r="I314" i="6" a="1"/>
  <c r="I314" i="6" s="1"/>
  <c r="F314" i="6" s="1" a="1"/>
  <c r="F314" i="6" s="1"/>
  <c r="H314" i="6" a="1"/>
  <c r="H314" i="6" s="1"/>
  <c r="E314" i="6"/>
  <c r="D314" i="6"/>
  <c r="C314" i="6"/>
  <c r="B314" i="6"/>
  <c r="A314" i="6" a="1"/>
  <c r="A314" i="6" s="1"/>
  <c r="I313" i="6" a="1"/>
  <c r="I313" i="6" s="1"/>
  <c r="F313" i="6" s="1" a="1"/>
  <c r="F313" i="6" s="1"/>
  <c r="H313" i="6" a="1"/>
  <c r="H313" i="6" s="1"/>
  <c r="E313" i="6"/>
  <c r="D313" i="6"/>
  <c r="C313" i="6"/>
  <c r="B313" i="6"/>
  <c r="A313" i="6" a="1"/>
  <c r="A313" i="6" s="1"/>
  <c r="I312" i="6" a="1"/>
  <c r="I312" i="6" s="1"/>
  <c r="F312" i="6" s="1" a="1"/>
  <c r="F312" i="6" s="1"/>
  <c r="H312" i="6" a="1"/>
  <c r="H312" i="6" s="1"/>
  <c r="E312" i="6"/>
  <c r="D312" i="6"/>
  <c r="C312" i="6"/>
  <c r="B312" i="6"/>
  <c r="A312" i="6" a="1"/>
  <c r="A312" i="6" s="1"/>
  <c r="I311" i="6" a="1"/>
  <c r="I311" i="6" s="1"/>
  <c r="F311" i="6" s="1" a="1"/>
  <c r="F311" i="6" s="1"/>
  <c r="H311" i="6" a="1"/>
  <c r="H311" i="6" s="1"/>
  <c r="E311" i="6"/>
  <c r="D311" i="6"/>
  <c r="C311" i="6"/>
  <c r="B311" i="6"/>
  <c r="A311" i="6" a="1"/>
  <c r="A311" i="6" s="1"/>
  <c r="I310" i="6" a="1"/>
  <c r="I310" i="6" s="1"/>
  <c r="F310" i="6" s="1" a="1"/>
  <c r="F310" i="6" s="1"/>
  <c r="H310" i="6" a="1"/>
  <c r="H310" i="6" s="1"/>
  <c r="E310" i="6"/>
  <c r="D310" i="6"/>
  <c r="C310" i="6"/>
  <c r="B310" i="6"/>
  <c r="A310" i="6" a="1"/>
  <c r="A310" i="6" s="1"/>
  <c r="I309" i="6" a="1"/>
  <c r="I309" i="6" s="1"/>
  <c r="F309" i="6" s="1" a="1"/>
  <c r="F309" i="6" s="1"/>
  <c r="H309" i="6" a="1"/>
  <c r="H309" i="6" s="1"/>
  <c r="E309" i="6"/>
  <c r="D309" i="6"/>
  <c r="C309" i="6"/>
  <c r="B309" i="6"/>
  <c r="A309" i="6" a="1"/>
  <c r="A309" i="6" s="1"/>
  <c r="I308" i="6" a="1"/>
  <c r="I308" i="6" s="1"/>
  <c r="F308" i="6" s="1" a="1"/>
  <c r="F308" i="6" s="1"/>
  <c r="H308" i="6" a="1"/>
  <c r="H308" i="6" s="1"/>
  <c r="E308" i="6"/>
  <c r="D308" i="6"/>
  <c r="C308" i="6"/>
  <c r="B308" i="6"/>
  <c r="A308" i="6" a="1"/>
  <c r="A308" i="6" s="1"/>
  <c r="I307" i="6" a="1"/>
  <c r="I307" i="6" s="1"/>
  <c r="F307" i="6" s="1" a="1"/>
  <c r="F307" i="6" s="1"/>
  <c r="H307" i="6" a="1"/>
  <c r="H307" i="6" s="1"/>
  <c r="E307" i="6"/>
  <c r="D307" i="6"/>
  <c r="C307" i="6"/>
  <c r="B307" i="6"/>
  <c r="A307" i="6" a="1"/>
  <c r="A307" i="6" s="1"/>
  <c r="I306" i="6" a="1"/>
  <c r="I306" i="6" s="1"/>
  <c r="F306" i="6" s="1" a="1"/>
  <c r="F306" i="6" s="1"/>
  <c r="H306" i="6" a="1"/>
  <c r="H306" i="6" s="1"/>
  <c r="E306" i="6"/>
  <c r="D306" i="6"/>
  <c r="C306" i="6"/>
  <c r="B306" i="6"/>
  <c r="A306" i="6" a="1"/>
  <c r="A306" i="6" s="1"/>
  <c r="I305" i="6" a="1"/>
  <c r="I305" i="6" s="1"/>
  <c r="F305" i="6" s="1" a="1"/>
  <c r="F305" i="6" s="1"/>
  <c r="H305" i="6" a="1"/>
  <c r="H305" i="6" s="1"/>
  <c r="E305" i="6"/>
  <c r="D305" i="6"/>
  <c r="C305" i="6"/>
  <c r="B305" i="6"/>
  <c r="A305" i="6" a="1"/>
  <c r="A305" i="6" s="1"/>
  <c r="I304" i="6" a="1"/>
  <c r="I304" i="6" s="1"/>
  <c r="F304" i="6" s="1" a="1"/>
  <c r="F304" i="6" s="1"/>
  <c r="H304" i="6" a="1"/>
  <c r="H304" i="6" s="1"/>
  <c r="E304" i="6"/>
  <c r="D304" i="6"/>
  <c r="C304" i="6"/>
  <c r="B304" i="6"/>
  <c r="A304" i="6" a="1"/>
  <c r="A304" i="6" s="1"/>
  <c r="I303" i="6" a="1"/>
  <c r="I303" i="6" s="1"/>
  <c r="F303" i="6" s="1" a="1"/>
  <c r="F303" i="6" s="1"/>
  <c r="H303" i="6" a="1"/>
  <c r="H303" i="6" s="1"/>
  <c r="E303" i="6"/>
  <c r="D303" i="6"/>
  <c r="C303" i="6"/>
  <c r="B303" i="6"/>
  <c r="A303" i="6" a="1"/>
  <c r="A303" i="6" s="1"/>
  <c r="I302" i="6" a="1"/>
  <c r="I302" i="6" s="1"/>
  <c r="F302" i="6" s="1" a="1"/>
  <c r="F302" i="6" s="1"/>
  <c r="H302" i="6" a="1"/>
  <c r="H302" i="6" s="1"/>
  <c r="E302" i="6"/>
  <c r="D302" i="6"/>
  <c r="C302" i="6"/>
  <c r="B302" i="6"/>
  <c r="A302" i="6" a="1"/>
  <c r="A302" i="6" s="1"/>
  <c r="I301" i="6" a="1"/>
  <c r="I301" i="6" s="1"/>
  <c r="F301" i="6" s="1" a="1"/>
  <c r="F301" i="6" s="1"/>
  <c r="H301" i="6" a="1"/>
  <c r="H301" i="6" s="1"/>
  <c r="E301" i="6"/>
  <c r="D301" i="6"/>
  <c r="C301" i="6"/>
  <c r="B301" i="6"/>
  <c r="A301" i="6" a="1"/>
  <c r="A301" i="6" s="1"/>
  <c r="I300" i="6" a="1"/>
  <c r="I300" i="6" s="1"/>
  <c r="F300" i="6" s="1" a="1"/>
  <c r="F300" i="6" s="1"/>
  <c r="H300" i="6" a="1"/>
  <c r="H300" i="6" s="1"/>
  <c r="E300" i="6"/>
  <c r="D300" i="6"/>
  <c r="C300" i="6"/>
  <c r="B300" i="6"/>
  <c r="A300" i="6" a="1"/>
  <c r="A300" i="6" s="1"/>
  <c r="I299" i="6" a="1"/>
  <c r="I299" i="6" s="1"/>
  <c r="F299" i="6" s="1" a="1"/>
  <c r="F299" i="6" s="1"/>
  <c r="H299" i="6" a="1"/>
  <c r="H299" i="6" s="1"/>
  <c r="E299" i="6"/>
  <c r="D299" i="6"/>
  <c r="C299" i="6"/>
  <c r="B299" i="6"/>
  <c r="A299" i="6" a="1"/>
  <c r="A299" i="6" s="1"/>
  <c r="I298" i="6" a="1"/>
  <c r="I298" i="6" s="1"/>
  <c r="F298" i="6" s="1" a="1"/>
  <c r="F298" i="6" s="1"/>
  <c r="H298" i="6" a="1"/>
  <c r="H298" i="6" s="1"/>
  <c r="E298" i="6"/>
  <c r="D298" i="6"/>
  <c r="C298" i="6"/>
  <c r="B298" i="6"/>
  <c r="A298" i="6" a="1"/>
  <c r="A298" i="6" s="1"/>
  <c r="I297" i="6" a="1"/>
  <c r="I297" i="6" s="1"/>
  <c r="F297" i="6" s="1" a="1"/>
  <c r="F297" i="6" s="1"/>
  <c r="H297" i="6" a="1"/>
  <c r="H297" i="6" s="1"/>
  <c r="E297" i="6"/>
  <c r="D297" i="6"/>
  <c r="C297" i="6"/>
  <c r="B297" i="6"/>
  <c r="A297" i="6" a="1"/>
  <c r="A297" i="6" s="1"/>
  <c r="I296" i="6" a="1"/>
  <c r="I296" i="6" s="1"/>
  <c r="F296" i="6" s="1" a="1"/>
  <c r="F296" i="6" s="1"/>
  <c r="H296" i="6" a="1"/>
  <c r="H296" i="6" s="1"/>
  <c r="E296" i="6"/>
  <c r="D296" i="6"/>
  <c r="C296" i="6"/>
  <c r="B296" i="6"/>
  <c r="A296" i="6" a="1"/>
  <c r="A296" i="6" s="1"/>
  <c r="I295" i="6" a="1"/>
  <c r="I295" i="6" s="1"/>
  <c r="F295" i="6" s="1" a="1"/>
  <c r="F295" i="6" s="1"/>
  <c r="H295" i="6" a="1"/>
  <c r="H295" i="6" s="1"/>
  <c r="E295" i="6"/>
  <c r="D295" i="6"/>
  <c r="C295" i="6"/>
  <c r="B295" i="6"/>
  <c r="A295" i="6" a="1"/>
  <c r="A295" i="6" s="1"/>
  <c r="I294" i="6" a="1"/>
  <c r="I294" i="6" s="1"/>
  <c r="F294" i="6" s="1" a="1"/>
  <c r="F294" i="6" s="1"/>
  <c r="H294" i="6" a="1"/>
  <c r="H294" i="6" s="1"/>
  <c r="E294" i="6"/>
  <c r="D294" i="6"/>
  <c r="C294" i="6"/>
  <c r="B294" i="6"/>
  <c r="A294" i="6" a="1"/>
  <c r="A294" i="6" s="1"/>
  <c r="I293" i="6" a="1"/>
  <c r="I293" i="6" s="1"/>
  <c r="F293" i="6" s="1" a="1"/>
  <c r="F293" i="6" s="1"/>
  <c r="H293" i="6" a="1"/>
  <c r="H293" i="6" s="1"/>
  <c r="E293" i="6"/>
  <c r="D293" i="6"/>
  <c r="C293" i="6"/>
  <c r="B293" i="6"/>
  <c r="A293" i="6" a="1"/>
  <c r="A293" i="6" s="1"/>
  <c r="I292" i="6" a="1"/>
  <c r="I292" i="6" s="1"/>
  <c r="F292" i="6" s="1" a="1"/>
  <c r="F292" i="6" s="1"/>
  <c r="H292" i="6" a="1"/>
  <c r="H292" i="6" s="1"/>
  <c r="E292" i="6"/>
  <c r="D292" i="6"/>
  <c r="C292" i="6"/>
  <c r="B292" i="6"/>
  <c r="A292" i="6" a="1"/>
  <c r="A292" i="6" s="1"/>
  <c r="I291" i="6" a="1"/>
  <c r="I291" i="6" s="1"/>
  <c r="F291" i="6" s="1" a="1"/>
  <c r="F291" i="6" s="1"/>
  <c r="H291" i="6" a="1"/>
  <c r="H291" i="6" s="1"/>
  <c r="E291" i="6"/>
  <c r="D291" i="6"/>
  <c r="C291" i="6"/>
  <c r="B291" i="6"/>
  <c r="A291" i="6" a="1"/>
  <c r="A291" i="6" s="1"/>
  <c r="I290" i="6" a="1"/>
  <c r="I290" i="6" s="1"/>
  <c r="F290" i="6" s="1" a="1"/>
  <c r="F290" i="6" s="1"/>
  <c r="H290" i="6" a="1"/>
  <c r="H290" i="6" s="1"/>
  <c r="E290" i="6"/>
  <c r="D290" i="6"/>
  <c r="C290" i="6"/>
  <c r="B290" i="6"/>
  <c r="A290" i="6" a="1"/>
  <c r="A290" i="6" s="1"/>
  <c r="I289" i="6" a="1"/>
  <c r="I289" i="6" s="1"/>
  <c r="F289" i="6" s="1" a="1"/>
  <c r="F289" i="6" s="1"/>
  <c r="H289" i="6" a="1"/>
  <c r="H289" i="6" s="1"/>
  <c r="E289" i="6"/>
  <c r="D289" i="6"/>
  <c r="C289" i="6"/>
  <c r="B289" i="6"/>
  <c r="A289" i="6" a="1"/>
  <c r="A289" i="6" s="1"/>
  <c r="I288" i="6" a="1"/>
  <c r="I288" i="6" s="1"/>
  <c r="F288" i="6" s="1" a="1"/>
  <c r="F288" i="6" s="1"/>
  <c r="H288" i="6" a="1"/>
  <c r="H288" i="6" s="1"/>
  <c r="E288" i="6"/>
  <c r="D288" i="6"/>
  <c r="C288" i="6"/>
  <c r="B288" i="6"/>
  <c r="A288" i="6" a="1"/>
  <c r="A288" i="6" s="1"/>
  <c r="I287" i="6" a="1"/>
  <c r="I287" i="6" s="1"/>
  <c r="F287" i="6" s="1" a="1"/>
  <c r="F287" i="6" s="1"/>
  <c r="H287" i="6" a="1"/>
  <c r="H287" i="6" s="1"/>
  <c r="E287" i="6"/>
  <c r="D287" i="6"/>
  <c r="C287" i="6"/>
  <c r="B287" i="6"/>
  <c r="A287" i="6" a="1"/>
  <c r="A287" i="6" s="1"/>
  <c r="I286" i="6" a="1"/>
  <c r="I286" i="6" s="1"/>
  <c r="F286" i="6" s="1" a="1"/>
  <c r="F286" i="6" s="1"/>
  <c r="H286" i="6" a="1"/>
  <c r="H286" i="6" s="1"/>
  <c r="E286" i="6"/>
  <c r="D286" i="6"/>
  <c r="C286" i="6"/>
  <c r="B286" i="6"/>
  <c r="A286" i="6" a="1"/>
  <c r="A286" i="6" s="1"/>
  <c r="I285" i="6" a="1"/>
  <c r="I285" i="6" s="1"/>
  <c r="F285" i="6" s="1" a="1"/>
  <c r="F285" i="6" s="1"/>
  <c r="H285" i="6" a="1"/>
  <c r="H285" i="6" s="1"/>
  <c r="E285" i="6"/>
  <c r="D285" i="6"/>
  <c r="C285" i="6"/>
  <c r="B285" i="6"/>
  <c r="A285" i="6" a="1"/>
  <c r="A285" i="6" s="1"/>
  <c r="I284" i="6" a="1"/>
  <c r="I284" i="6" s="1"/>
  <c r="F284" i="6" s="1" a="1"/>
  <c r="F284" i="6" s="1"/>
  <c r="H284" i="6" a="1"/>
  <c r="H284" i="6" s="1"/>
  <c r="E284" i="6"/>
  <c r="D284" i="6"/>
  <c r="C284" i="6"/>
  <c r="B284" i="6"/>
  <c r="A284" i="6" a="1"/>
  <c r="A284" i="6" s="1"/>
  <c r="I283" i="6" a="1"/>
  <c r="I283" i="6" s="1"/>
  <c r="F283" i="6" s="1" a="1"/>
  <c r="F283" i="6" s="1"/>
  <c r="H283" i="6" a="1"/>
  <c r="H283" i="6" s="1"/>
  <c r="E283" i="6"/>
  <c r="D283" i="6"/>
  <c r="C283" i="6"/>
  <c r="B283" i="6"/>
  <c r="A283" i="6" a="1"/>
  <c r="A283" i="6" s="1"/>
  <c r="I282" i="6" a="1"/>
  <c r="I282" i="6" s="1"/>
  <c r="F282" i="6" s="1" a="1"/>
  <c r="F282" i="6" s="1"/>
  <c r="H282" i="6" a="1"/>
  <c r="H282" i="6" s="1"/>
  <c r="E282" i="6"/>
  <c r="D282" i="6"/>
  <c r="C282" i="6"/>
  <c r="B282" i="6"/>
  <c r="A282" i="6" a="1"/>
  <c r="A282" i="6" s="1"/>
  <c r="I281" i="6" a="1"/>
  <c r="I281" i="6" s="1"/>
  <c r="F281" i="6" s="1" a="1"/>
  <c r="F281" i="6" s="1"/>
  <c r="H281" i="6" a="1"/>
  <c r="H281" i="6" s="1"/>
  <c r="E281" i="6"/>
  <c r="D281" i="6"/>
  <c r="C281" i="6"/>
  <c r="B281" i="6"/>
  <c r="A281" i="6" a="1"/>
  <c r="A281" i="6" s="1"/>
  <c r="I280" i="6" a="1"/>
  <c r="I280" i="6" s="1"/>
  <c r="F280" i="6" s="1" a="1"/>
  <c r="F280" i="6" s="1"/>
  <c r="H280" i="6" a="1"/>
  <c r="H280" i="6" s="1"/>
  <c r="E280" i="6"/>
  <c r="D280" i="6"/>
  <c r="C280" i="6"/>
  <c r="B280" i="6"/>
  <c r="A280" i="6" a="1"/>
  <c r="A280" i="6" s="1"/>
  <c r="I279" i="6" a="1"/>
  <c r="I279" i="6" s="1"/>
  <c r="F279" i="6" s="1" a="1"/>
  <c r="F279" i="6" s="1"/>
  <c r="H279" i="6" a="1"/>
  <c r="H279" i="6" s="1"/>
  <c r="E279" i="6"/>
  <c r="D279" i="6"/>
  <c r="C279" i="6"/>
  <c r="B279" i="6"/>
  <c r="A279" i="6" a="1"/>
  <c r="A279" i="6" s="1"/>
  <c r="I278" i="6" a="1"/>
  <c r="I278" i="6" s="1"/>
  <c r="F278" i="6" s="1" a="1"/>
  <c r="F278" i="6" s="1"/>
  <c r="H278" i="6" a="1"/>
  <c r="H278" i="6" s="1"/>
  <c r="E278" i="6"/>
  <c r="D278" i="6"/>
  <c r="C278" i="6"/>
  <c r="B278" i="6"/>
  <c r="A278" i="6" a="1"/>
  <c r="A278" i="6" s="1"/>
  <c r="I277" i="6" a="1"/>
  <c r="I277" i="6" s="1"/>
  <c r="F277" i="6" s="1" a="1"/>
  <c r="F277" i="6" s="1"/>
  <c r="H277" i="6" a="1"/>
  <c r="H277" i="6" s="1"/>
  <c r="E277" i="6"/>
  <c r="D277" i="6"/>
  <c r="C277" i="6"/>
  <c r="B277" i="6"/>
  <c r="A277" i="6" a="1"/>
  <c r="A277" i="6" s="1"/>
  <c r="I276" i="6" a="1"/>
  <c r="I276" i="6" s="1"/>
  <c r="F276" i="6" s="1" a="1"/>
  <c r="F276" i="6" s="1"/>
  <c r="H276" i="6" a="1"/>
  <c r="H276" i="6" s="1"/>
  <c r="E276" i="6"/>
  <c r="D276" i="6"/>
  <c r="C276" i="6"/>
  <c r="B276" i="6"/>
  <c r="A276" i="6" a="1"/>
  <c r="A276" i="6" s="1"/>
  <c r="I275" i="6" a="1"/>
  <c r="I275" i="6" s="1"/>
  <c r="F275" i="6" s="1" a="1"/>
  <c r="F275" i="6" s="1"/>
  <c r="H275" i="6" a="1"/>
  <c r="H275" i="6" s="1"/>
  <c r="E275" i="6"/>
  <c r="D275" i="6"/>
  <c r="C275" i="6"/>
  <c r="B275" i="6"/>
  <c r="A275" i="6" a="1"/>
  <c r="A275" i="6" s="1"/>
  <c r="I274" i="6" a="1"/>
  <c r="I274" i="6" s="1"/>
  <c r="F274" i="6" s="1" a="1"/>
  <c r="F274" i="6" s="1"/>
  <c r="H274" i="6" a="1"/>
  <c r="H274" i="6" s="1"/>
  <c r="E274" i="6"/>
  <c r="D274" i="6"/>
  <c r="C274" i="6"/>
  <c r="B274" i="6"/>
  <c r="A274" i="6" a="1"/>
  <c r="A274" i="6" s="1"/>
  <c r="I273" i="6" a="1"/>
  <c r="I273" i="6" s="1"/>
  <c r="F273" i="6" s="1" a="1"/>
  <c r="F273" i="6" s="1"/>
  <c r="H273" i="6" a="1"/>
  <c r="H273" i="6" s="1"/>
  <c r="E273" i="6"/>
  <c r="D273" i="6"/>
  <c r="C273" i="6"/>
  <c r="B273" i="6"/>
  <c r="A273" i="6" a="1"/>
  <c r="A273" i="6" s="1"/>
  <c r="I272" i="6" a="1"/>
  <c r="I272" i="6" s="1"/>
  <c r="F272" i="6" s="1" a="1"/>
  <c r="F272" i="6" s="1"/>
  <c r="H272" i="6" a="1"/>
  <c r="H272" i="6" s="1"/>
  <c r="E272" i="6"/>
  <c r="D272" i="6"/>
  <c r="C272" i="6"/>
  <c r="B272" i="6"/>
  <c r="A272" i="6" a="1"/>
  <c r="A272" i="6" s="1"/>
  <c r="I271" i="6" a="1"/>
  <c r="I271" i="6" s="1"/>
  <c r="F271" i="6" s="1" a="1"/>
  <c r="F271" i="6" s="1"/>
  <c r="H271" i="6" a="1"/>
  <c r="H271" i="6" s="1"/>
  <c r="E271" i="6"/>
  <c r="D271" i="6"/>
  <c r="C271" i="6"/>
  <c r="B271" i="6"/>
  <c r="A271" i="6" a="1"/>
  <c r="A271" i="6" s="1"/>
  <c r="I270" i="6" a="1"/>
  <c r="I270" i="6" s="1"/>
  <c r="F270" i="6" s="1" a="1"/>
  <c r="F270" i="6" s="1"/>
  <c r="H270" i="6" a="1"/>
  <c r="H270" i="6" s="1"/>
  <c r="E270" i="6"/>
  <c r="D270" i="6"/>
  <c r="C270" i="6"/>
  <c r="B270" i="6"/>
  <c r="A270" i="6" a="1"/>
  <c r="A270" i="6" s="1"/>
  <c r="I269" i="6" a="1"/>
  <c r="I269" i="6" s="1"/>
  <c r="F269" i="6" s="1" a="1"/>
  <c r="F269" i="6" s="1"/>
  <c r="H269" i="6" a="1"/>
  <c r="H269" i="6" s="1"/>
  <c r="E269" i="6"/>
  <c r="D269" i="6"/>
  <c r="C269" i="6"/>
  <c r="B269" i="6"/>
  <c r="A269" i="6" a="1"/>
  <c r="A269" i="6" s="1"/>
  <c r="I268" i="6" a="1"/>
  <c r="I268" i="6" s="1"/>
  <c r="F268" i="6" s="1" a="1"/>
  <c r="F268" i="6" s="1"/>
  <c r="H268" i="6" a="1"/>
  <c r="H268" i="6" s="1"/>
  <c r="E268" i="6"/>
  <c r="D268" i="6"/>
  <c r="C268" i="6"/>
  <c r="B268" i="6"/>
  <c r="A268" i="6" a="1"/>
  <c r="A268" i="6" s="1"/>
  <c r="I267" i="6" a="1"/>
  <c r="I267" i="6" s="1"/>
  <c r="F267" i="6" s="1" a="1"/>
  <c r="F267" i="6" s="1"/>
  <c r="H267" i="6" a="1"/>
  <c r="H267" i="6" s="1"/>
  <c r="E267" i="6"/>
  <c r="D267" i="6"/>
  <c r="C267" i="6"/>
  <c r="B267" i="6"/>
  <c r="A267" i="6" a="1"/>
  <c r="A267" i="6" s="1"/>
  <c r="I266" i="6" a="1"/>
  <c r="I266" i="6" s="1"/>
  <c r="F266" i="6" s="1" a="1"/>
  <c r="F266" i="6" s="1"/>
  <c r="H266" i="6" a="1"/>
  <c r="H266" i="6" s="1"/>
  <c r="E266" i="6"/>
  <c r="D266" i="6"/>
  <c r="C266" i="6"/>
  <c r="B266" i="6"/>
  <c r="A266" i="6" a="1"/>
  <c r="A266" i="6" s="1"/>
  <c r="I265" i="6" a="1"/>
  <c r="I265" i="6" s="1"/>
  <c r="F265" i="6" s="1" a="1"/>
  <c r="F265" i="6" s="1"/>
  <c r="H265" i="6" a="1"/>
  <c r="H265" i="6" s="1"/>
  <c r="E265" i="6"/>
  <c r="D265" i="6"/>
  <c r="C265" i="6"/>
  <c r="B265" i="6"/>
  <c r="A265" i="6" a="1"/>
  <c r="A265" i="6" s="1"/>
  <c r="I264" i="6" a="1"/>
  <c r="I264" i="6" s="1"/>
  <c r="F264" i="6" s="1" a="1"/>
  <c r="F264" i="6" s="1"/>
  <c r="H264" i="6" a="1"/>
  <c r="H264" i="6" s="1"/>
  <c r="E264" i="6"/>
  <c r="D264" i="6"/>
  <c r="C264" i="6"/>
  <c r="B264" i="6"/>
  <c r="A264" i="6" a="1"/>
  <c r="A264" i="6" s="1"/>
  <c r="I263" i="6" a="1"/>
  <c r="I263" i="6" s="1"/>
  <c r="F263" i="6" s="1" a="1"/>
  <c r="F263" i="6" s="1"/>
  <c r="H263" i="6" a="1"/>
  <c r="H263" i="6" s="1"/>
  <c r="E263" i="6"/>
  <c r="D263" i="6"/>
  <c r="C263" i="6"/>
  <c r="B263" i="6"/>
  <c r="A263" i="6" a="1"/>
  <c r="A263" i="6" s="1"/>
  <c r="I262" i="6" a="1"/>
  <c r="I262" i="6" s="1"/>
  <c r="F262" i="6" s="1" a="1"/>
  <c r="F262" i="6" s="1"/>
  <c r="H262" i="6" a="1"/>
  <c r="H262" i="6" s="1"/>
  <c r="E262" i="6"/>
  <c r="D262" i="6"/>
  <c r="C262" i="6"/>
  <c r="B262" i="6"/>
  <c r="A262" i="6" a="1"/>
  <c r="A262" i="6" s="1"/>
  <c r="I261" i="6" a="1"/>
  <c r="I261" i="6" s="1"/>
  <c r="F261" i="6" s="1" a="1"/>
  <c r="F261" i="6" s="1"/>
  <c r="H261" i="6" a="1"/>
  <c r="H261" i="6" s="1"/>
  <c r="E261" i="6"/>
  <c r="D261" i="6"/>
  <c r="C261" i="6"/>
  <c r="B261" i="6"/>
  <c r="A261" i="6" a="1"/>
  <c r="A261" i="6" s="1"/>
  <c r="I260" i="6" a="1"/>
  <c r="I260" i="6" s="1"/>
  <c r="F260" i="6" s="1" a="1"/>
  <c r="F260" i="6" s="1"/>
  <c r="H260" i="6" a="1"/>
  <c r="H260" i="6" s="1"/>
  <c r="E260" i="6"/>
  <c r="D260" i="6"/>
  <c r="C260" i="6"/>
  <c r="B260" i="6"/>
  <c r="A260" i="6" a="1"/>
  <c r="A260" i="6" s="1"/>
  <c r="I259" i="6" a="1"/>
  <c r="I259" i="6" s="1"/>
  <c r="F259" i="6" s="1" a="1"/>
  <c r="F259" i="6" s="1"/>
  <c r="H259" i="6" a="1"/>
  <c r="H259" i="6" s="1"/>
  <c r="E259" i="6"/>
  <c r="D259" i="6"/>
  <c r="C259" i="6"/>
  <c r="B259" i="6"/>
  <c r="A259" i="6" a="1"/>
  <c r="A259" i="6" s="1"/>
  <c r="I258" i="6" a="1"/>
  <c r="I258" i="6" s="1"/>
  <c r="F258" i="6" s="1" a="1"/>
  <c r="F258" i="6" s="1"/>
  <c r="H258" i="6" a="1"/>
  <c r="H258" i="6" s="1"/>
  <c r="E258" i="6"/>
  <c r="D258" i="6"/>
  <c r="C258" i="6"/>
  <c r="B258" i="6"/>
  <c r="A258" i="6" a="1"/>
  <c r="A258" i="6" s="1"/>
  <c r="I257" i="6" a="1"/>
  <c r="I257" i="6" s="1"/>
  <c r="F257" i="6" s="1" a="1"/>
  <c r="F257" i="6" s="1"/>
  <c r="H257" i="6" a="1"/>
  <c r="H257" i="6" s="1"/>
  <c r="E257" i="6"/>
  <c r="D257" i="6"/>
  <c r="C257" i="6"/>
  <c r="B257" i="6"/>
  <c r="A257" i="6" a="1"/>
  <c r="A257" i="6" s="1"/>
  <c r="I256" i="6" a="1"/>
  <c r="I256" i="6" s="1"/>
  <c r="F256" i="6" s="1" a="1"/>
  <c r="F256" i="6" s="1"/>
  <c r="H256" i="6" a="1"/>
  <c r="H256" i="6" s="1"/>
  <c r="E256" i="6"/>
  <c r="D256" i="6"/>
  <c r="C256" i="6"/>
  <c r="B256" i="6"/>
  <c r="A256" i="6" a="1"/>
  <c r="A256" i="6" s="1"/>
  <c r="I255" i="6" a="1"/>
  <c r="I255" i="6" s="1"/>
  <c r="F255" i="6" s="1" a="1"/>
  <c r="F255" i="6" s="1"/>
  <c r="H255" i="6" a="1"/>
  <c r="H255" i="6" s="1"/>
  <c r="E255" i="6"/>
  <c r="D255" i="6"/>
  <c r="C255" i="6"/>
  <c r="B255" i="6"/>
  <c r="A255" i="6" a="1"/>
  <c r="A255" i="6" s="1"/>
  <c r="I254" i="6" a="1"/>
  <c r="I254" i="6" s="1"/>
  <c r="F254" i="6" s="1" a="1"/>
  <c r="F254" i="6" s="1"/>
  <c r="H254" i="6" a="1"/>
  <c r="H254" i="6" s="1"/>
  <c r="E254" i="6"/>
  <c r="D254" i="6"/>
  <c r="C254" i="6"/>
  <c r="B254" i="6"/>
  <c r="A254" i="6" a="1"/>
  <c r="A254" i="6" s="1"/>
  <c r="I253" i="6" a="1"/>
  <c r="I253" i="6" s="1"/>
  <c r="F253" i="6" s="1" a="1"/>
  <c r="F253" i="6" s="1"/>
  <c r="H253" i="6" a="1"/>
  <c r="H253" i="6" s="1"/>
  <c r="E253" i="6"/>
  <c r="D253" i="6"/>
  <c r="C253" i="6"/>
  <c r="B253" i="6"/>
  <c r="A253" i="6" a="1"/>
  <c r="A253" i="6" s="1"/>
  <c r="I252" i="6" a="1"/>
  <c r="I252" i="6" s="1"/>
  <c r="F252" i="6" s="1" a="1"/>
  <c r="F252" i="6" s="1"/>
  <c r="H252" i="6" a="1"/>
  <c r="H252" i="6" s="1"/>
  <c r="E252" i="6"/>
  <c r="D252" i="6"/>
  <c r="C252" i="6"/>
  <c r="B252" i="6"/>
  <c r="A252" i="6" a="1"/>
  <c r="A252" i="6" s="1"/>
  <c r="I251" i="6" a="1"/>
  <c r="I251" i="6" s="1"/>
  <c r="F251" i="6" s="1" a="1"/>
  <c r="F251" i="6" s="1"/>
  <c r="H251" i="6" a="1"/>
  <c r="H251" i="6" s="1"/>
  <c r="E251" i="6"/>
  <c r="D251" i="6"/>
  <c r="C251" i="6"/>
  <c r="B251" i="6"/>
  <c r="A251" i="6" a="1"/>
  <c r="A251" i="6" s="1"/>
  <c r="I250" i="6" a="1"/>
  <c r="I250" i="6" s="1"/>
  <c r="F250" i="6" s="1" a="1"/>
  <c r="F250" i="6" s="1"/>
  <c r="H250" i="6" a="1"/>
  <c r="H250" i="6" s="1"/>
  <c r="E250" i="6"/>
  <c r="D250" i="6"/>
  <c r="C250" i="6"/>
  <c r="B250" i="6"/>
  <c r="A250" i="6" a="1"/>
  <c r="A250" i="6" s="1"/>
  <c r="I249" i="6" a="1"/>
  <c r="I249" i="6" s="1"/>
  <c r="F249" i="6" s="1" a="1"/>
  <c r="F249" i="6" s="1"/>
  <c r="H249" i="6" a="1"/>
  <c r="H249" i="6" s="1"/>
  <c r="E249" i="6"/>
  <c r="D249" i="6"/>
  <c r="C249" i="6"/>
  <c r="B249" i="6"/>
  <c r="A249" i="6" a="1"/>
  <c r="A249" i="6" s="1"/>
  <c r="I248" i="6" a="1"/>
  <c r="I248" i="6" s="1"/>
  <c r="F248" i="6" s="1" a="1"/>
  <c r="F248" i="6" s="1"/>
  <c r="H248" i="6" a="1"/>
  <c r="H248" i="6" s="1"/>
  <c r="E248" i="6"/>
  <c r="D248" i="6"/>
  <c r="C248" i="6"/>
  <c r="B248" i="6"/>
  <c r="A248" i="6" a="1"/>
  <c r="A248" i="6" s="1"/>
  <c r="I247" i="6" a="1"/>
  <c r="I247" i="6" s="1"/>
  <c r="F247" i="6" s="1" a="1"/>
  <c r="F247" i="6" s="1"/>
  <c r="H247" i="6" a="1"/>
  <c r="H247" i="6" s="1"/>
  <c r="E247" i="6"/>
  <c r="D247" i="6"/>
  <c r="C247" i="6"/>
  <c r="B247" i="6"/>
  <c r="A247" i="6" a="1"/>
  <c r="A247" i="6" s="1"/>
  <c r="I246" i="6" a="1"/>
  <c r="I246" i="6" s="1"/>
  <c r="F246" i="6" s="1" a="1"/>
  <c r="F246" i="6" s="1"/>
  <c r="H246" i="6" a="1"/>
  <c r="H246" i="6" s="1"/>
  <c r="E246" i="6"/>
  <c r="D246" i="6"/>
  <c r="C246" i="6"/>
  <c r="B246" i="6"/>
  <c r="A246" i="6" a="1"/>
  <c r="A246" i="6" s="1"/>
  <c r="I245" i="6" a="1"/>
  <c r="I245" i="6" s="1"/>
  <c r="F245" i="6" s="1" a="1"/>
  <c r="F245" i="6" s="1"/>
  <c r="H245" i="6" a="1"/>
  <c r="H245" i="6" s="1"/>
  <c r="E245" i="6"/>
  <c r="D245" i="6"/>
  <c r="C245" i="6"/>
  <c r="B245" i="6"/>
  <c r="A245" i="6" a="1"/>
  <c r="A245" i="6" s="1"/>
  <c r="I244" i="6" a="1"/>
  <c r="I244" i="6" s="1"/>
  <c r="F244" i="6" s="1" a="1"/>
  <c r="F244" i="6" s="1"/>
  <c r="H244" i="6" a="1"/>
  <c r="H244" i="6" s="1"/>
  <c r="E244" i="6"/>
  <c r="D244" i="6"/>
  <c r="C244" i="6"/>
  <c r="B244" i="6"/>
  <c r="A244" i="6" a="1"/>
  <c r="A244" i="6" s="1"/>
  <c r="I243" i="6" a="1"/>
  <c r="I243" i="6" s="1"/>
  <c r="F243" i="6" s="1" a="1"/>
  <c r="F243" i="6" s="1"/>
  <c r="H243" i="6" a="1"/>
  <c r="H243" i="6" s="1"/>
  <c r="E243" i="6"/>
  <c r="D243" i="6"/>
  <c r="C243" i="6"/>
  <c r="B243" i="6"/>
  <c r="A243" i="6" a="1"/>
  <c r="A243" i="6" s="1"/>
  <c r="I242" i="6" a="1"/>
  <c r="I242" i="6" s="1"/>
  <c r="F242" i="6" s="1" a="1"/>
  <c r="F242" i="6" s="1"/>
  <c r="H242" i="6" a="1"/>
  <c r="H242" i="6" s="1"/>
  <c r="E242" i="6"/>
  <c r="D242" i="6"/>
  <c r="C242" i="6"/>
  <c r="B242" i="6"/>
  <c r="A242" i="6" a="1"/>
  <c r="A242" i="6" s="1"/>
  <c r="I241" i="6" a="1"/>
  <c r="I241" i="6" s="1"/>
  <c r="F241" i="6" s="1" a="1"/>
  <c r="F241" i="6" s="1"/>
  <c r="H241" i="6" a="1"/>
  <c r="H241" i="6" s="1"/>
  <c r="E241" i="6"/>
  <c r="D241" i="6"/>
  <c r="C241" i="6"/>
  <c r="B241" i="6"/>
  <c r="A241" i="6" a="1"/>
  <c r="A241" i="6" s="1"/>
  <c r="I240" i="6" a="1"/>
  <c r="I240" i="6" s="1"/>
  <c r="F240" i="6" s="1" a="1"/>
  <c r="F240" i="6" s="1"/>
  <c r="H240" i="6" a="1"/>
  <c r="H240" i="6" s="1"/>
  <c r="E240" i="6"/>
  <c r="D240" i="6"/>
  <c r="C240" i="6"/>
  <c r="B240" i="6"/>
  <c r="A240" i="6" a="1"/>
  <c r="A240" i="6" s="1"/>
  <c r="I239" i="6" a="1"/>
  <c r="I239" i="6" s="1"/>
  <c r="F239" i="6" s="1" a="1"/>
  <c r="F239" i="6" s="1"/>
  <c r="H239" i="6" a="1"/>
  <c r="H239" i="6" s="1"/>
  <c r="E239" i="6"/>
  <c r="D239" i="6"/>
  <c r="C239" i="6"/>
  <c r="B239" i="6"/>
  <c r="A239" i="6" a="1"/>
  <c r="A239" i="6" s="1"/>
  <c r="I238" i="6" a="1"/>
  <c r="I238" i="6" s="1"/>
  <c r="F238" i="6" s="1" a="1"/>
  <c r="F238" i="6" s="1"/>
  <c r="H238" i="6" a="1"/>
  <c r="H238" i="6" s="1"/>
  <c r="E238" i="6"/>
  <c r="D238" i="6"/>
  <c r="C238" i="6"/>
  <c r="B238" i="6"/>
  <c r="A238" i="6" a="1"/>
  <c r="A238" i="6" s="1"/>
  <c r="I237" i="6" a="1"/>
  <c r="I237" i="6" s="1"/>
  <c r="F237" i="6" s="1" a="1"/>
  <c r="F237" i="6" s="1"/>
  <c r="H237" i="6" a="1"/>
  <c r="H237" i="6" s="1"/>
  <c r="E237" i="6"/>
  <c r="D237" i="6"/>
  <c r="C237" i="6"/>
  <c r="B237" i="6"/>
  <c r="A237" i="6" a="1"/>
  <c r="A237" i="6" s="1"/>
  <c r="I236" i="6" a="1"/>
  <c r="I236" i="6" s="1"/>
  <c r="F236" i="6" s="1" a="1"/>
  <c r="F236" i="6" s="1"/>
  <c r="H236" i="6" a="1"/>
  <c r="H236" i="6" s="1"/>
  <c r="E236" i="6"/>
  <c r="D236" i="6"/>
  <c r="C236" i="6"/>
  <c r="B236" i="6"/>
  <c r="A236" i="6" a="1"/>
  <c r="A236" i="6" s="1"/>
  <c r="I235" i="6" a="1"/>
  <c r="I235" i="6" s="1"/>
  <c r="F235" i="6" s="1" a="1"/>
  <c r="F235" i="6" s="1"/>
  <c r="H235" i="6" a="1"/>
  <c r="H235" i="6" s="1"/>
  <c r="E235" i="6"/>
  <c r="D235" i="6"/>
  <c r="C235" i="6"/>
  <c r="B235" i="6"/>
  <c r="A235" i="6" a="1"/>
  <c r="A235" i="6" s="1"/>
  <c r="I234" i="6" a="1"/>
  <c r="I234" i="6" s="1"/>
  <c r="F234" i="6" s="1" a="1"/>
  <c r="F234" i="6" s="1"/>
  <c r="H234" i="6" a="1"/>
  <c r="H234" i="6" s="1"/>
  <c r="E234" i="6"/>
  <c r="D234" i="6"/>
  <c r="C234" i="6"/>
  <c r="B234" i="6"/>
  <c r="A234" i="6" a="1"/>
  <c r="A234" i="6" s="1"/>
  <c r="I233" i="6" a="1"/>
  <c r="I233" i="6" s="1"/>
  <c r="F233" i="6" s="1" a="1"/>
  <c r="F233" i="6" s="1"/>
  <c r="H233" i="6" a="1"/>
  <c r="H233" i="6" s="1"/>
  <c r="E233" i="6"/>
  <c r="D233" i="6"/>
  <c r="C233" i="6"/>
  <c r="B233" i="6"/>
  <c r="A233" i="6" a="1"/>
  <c r="A233" i="6" s="1"/>
  <c r="I232" i="6" a="1"/>
  <c r="I232" i="6" s="1"/>
  <c r="F232" i="6" s="1" a="1"/>
  <c r="F232" i="6" s="1"/>
  <c r="H232" i="6" a="1"/>
  <c r="H232" i="6" s="1"/>
  <c r="E232" i="6"/>
  <c r="D232" i="6"/>
  <c r="C232" i="6"/>
  <c r="B232" i="6"/>
  <c r="A232" i="6" a="1"/>
  <c r="A232" i="6" s="1"/>
  <c r="I231" i="6" a="1"/>
  <c r="I231" i="6" s="1"/>
  <c r="F231" i="6" s="1" a="1"/>
  <c r="F231" i="6" s="1"/>
  <c r="H231" i="6" a="1"/>
  <c r="H231" i="6" s="1"/>
  <c r="E231" i="6"/>
  <c r="D231" i="6"/>
  <c r="C231" i="6"/>
  <c r="B231" i="6"/>
  <c r="A231" i="6" a="1"/>
  <c r="A231" i="6" s="1"/>
  <c r="I230" i="6" a="1"/>
  <c r="I230" i="6" s="1"/>
  <c r="F230" i="6" s="1" a="1"/>
  <c r="F230" i="6" s="1"/>
  <c r="H230" i="6" a="1"/>
  <c r="H230" i="6" s="1"/>
  <c r="E230" i="6"/>
  <c r="D230" i="6"/>
  <c r="C230" i="6"/>
  <c r="B230" i="6"/>
  <c r="A230" i="6" a="1"/>
  <c r="A230" i="6" s="1"/>
  <c r="I229" i="6" a="1"/>
  <c r="I229" i="6" s="1"/>
  <c r="F229" i="6" s="1" a="1"/>
  <c r="F229" i="6" s="1"/>
  <c r="H229" i="6" a="1"/>
  <c r="H229" i="6" s="1"/>
  <c r="E229" i="6"/>
  <c r="D229" i="6"/>
  <c r="C229" i="6"/>
  <c r="B229" i="6"/>
  <c r="A229" i="6" a="1"/>
  <c r="A229" i="6" s="1"/>
  <c r="I228" i="6" a="1"/>
  <c r="I228" i="6" s="1"/>
  <c r="F228" i="6" s="1" a="1"/>
  <c r="F228" i="6" s="1"/>
  <c r="H228" i="6" a="1"/>
  <c r="H228" i="6" s="1"/>
  <c r="E228" i="6"/>
  <c r="D228" i="6"/>
  <c r="C228" i="6"/>
  <c r="B228" i="6"/>
  <c r="A228" i="6" a="1"/>
  <c r="A228" i="6" s="1"/>
  <c r="I227" i="6" a="1"/>
  <c r="I227" i="6" s="1"/>
  <c r="F227" i="6" s="1" a="1"/>
  <c r="F227" i="6" s="1"/>
  <c r="H227" i="6" a="1"/>
  <c r="H227" i="6" s="1"/>
  <c r="E227" i="6"/>
  <c r="D227" i="6"/>
  <c r="C227" i="6"/>
  <c r="B227" i="6"/>
  <c r="A227" i="6" a="1"/>
  <c r="A227" i="6" s="1"/>
  <c r="I226" i="6" a="1"/>
  <c r="I226" i="6" s="1"/>
  <c r="F226" i="6" s="1" a="1"/>
  <c r="F226" i="6" s="1"/>
  <c r="H226" i="6" a="1"/>
  <c r="H226" i="6" s="1"/>
  <c r="E226" i="6"/>
  <c r="D226" i="6"/>
  <c r="C226" i="6"/>
  <c r="B226" i="6"/>
  <c r="A226" i="6" a="1"/>
  <c r="A226" i="6" s="1"/>
  <c r="I225" i="6" a="1"/>
  <c r="I225" i="6" s="1"/>
  <c r="F225" i="6" s="1" a="1"/>
  <c r="F225" i="6" s="1"/>
  <c r="H225" i="6" a="1"/>
  <c r="H225" i="6" s="1"/>
  <c r="E225" i="6"/>
  <c r="D225" i="6"/>
  <c r="C225" i="6"/>
  <c r="B225" i="6"/>
  <c r="A225" i="6" a="1"/>
  <c r="A225" i="6" s="1"/>
  <c r="I224" i="6" a="1"/>
  <c r="I224" i="6" s="1"/>
  <c r="F224" i="6" s="1" a="1"/>
  <c r="F224" i="6" s="1"/>
  <c r="H224" i="6" a="1"/>
  <c r="H224" i="6" s="1"/>
  <c r="E224" i="6"/>
  <c r="D224" i="6"/>
  <c r="C224" i="6"/>
  <c r="B224" i="6"/>
  <c r="A224" i="6" a="1"/>
  <c r="A224" i="6" s="1"/>
  <c r="I223" i="6" a="1"/>
  <c r="I223" i="6" s="1"/>
  <c r="F223" i="6" s="1" a="1"/>
  <c r="F223" i="6" s="1"/>
  <c r="H223" i="6" a="1"/>
  <c r="H223" i="6" s="1"/>
  <c r="E223" i="6"/>
  <c r="D223" i="6"/>
  <c r="C223" i="6"/>
  <c r="B223" i="6"/>
  <c r="A223" i="6" a="1"/>
  <c r="A223" i="6" s="1"/>
  <c r="I222" i="6" a="1"/>
  <c r="I222" i="6" s="1"/>
  <c r="F222" i="6" s="1" a="1"/>
  <c r="F222" i="6" s="1"/>
  <c r="H222" i="6" a="1"/>
  <c r="H222" i="6" s="1"/>
  <c r="E222" i="6"/>
  <c r="D222" i="6"/>
  <c r="C222" i="6"/>
  <c r="B222" i="6"/>
  <c r="A222" i="6" a="1"/>
  <c r="A222" i="6" s="1"/>
  <c r="I221" i="6" a="1"/>
  <c r="I221" i="6" s="1"/>
  <c r="F221" i="6" s="1" a="1"/>
  <c r="F221" i="6" s="1"/>
  <c r="H221" i="6" a="1"/>
  <c r="H221" i="6" s="1"/>
  <c r="E221" i="6"/>
  <c r="D221" i="6"/>
  <c r="C221" i="6"/>
  <c r="B221" i="6"/>
  <c r="A221" i="6" a="1"/>
  <c r="A221" i="6" s="1"/>
  <c r="I220" i="6" a="1"/>
  <c r="I220" i="6" s="1"/>
  <c r="F220" i="6" s="1" a="1"/>
  <c r="F220" i="6" s="1"/>
  <c r="H220" i="6" a="1"/>
  <c r="H220" i="6" s="1"/>
  <c r="E220" i="6"/>
  <c r="D220" i="6"/>
  <c r="C220" i="6"/>
  <c r="B220" i="6"/>
  <c r="A220" i="6" a="1"/>
  <c r="A220" i="6" s="1"/>
  <c r="I219" i="6" a="1"/>
  <c r="I219" i="6" s="1"/>
  <c r="F219" i="6" s="1" a="1"/>
  <c r="F219" i="6" s="1"/>
  <c r="H219" i="6" a="1"/>
  <c r="H219" i="6" s="1"/>
  <c r="E219" i="6"/>
  <c r="D219" i="6"/>
  <c r="C219" i="6"/>
  <c r="B219" i="6"/>
  <c r="A219" i="6" a="1"/>
  <c r="A219" i="6" s="1"/>
  <c r="I218" i="6" a="1"/>
  <c r="I218" i="6" s="1"/>
  <c r="F218" i="6" s="1" a="1"/>
  <c r="F218" i="6" s="1"/>
  <c r="H218" i="6" a="1"/>
  <c r="H218" i="6" s="1"/>
  <c r="E218" i="6"/>
  <c r="D218" i="6"/>
  <c r="C218" i="6"/>
  <c r="B218" i="6"/>
  <c r="A218" i="6" a="1"/>
  <c r="A218" i="6" s="1"/>
  <c r="I217" i="6" a="1"/>
  <c r="I217" i="6" s="1"/>
  <c r="F217" i="6" s="1" a="1"/>
  <c r="F217" i="6" s="1"/>
  <c r="H217" i="6" a="1"/>
  <c r="H217" i="6" s="1"/>
  <c r="E217" i="6"/>
  <c r="D217" i="6"/>
  <c r="C217" i="6"/>
  <c r="B217" i="6"/>
  <c r="A217" i="6" a="1"/>
  <c r="A217" i="6" s="1"/>
  <c r="I216" i="6" a="1"/>
  <c r="I216" i="6" s="1"/>
  <c r="F216" i="6" s="1" a="1"/>
  <c r="F216" i="6" s="1"/>
  <c r="H216" i="6" a="1"/>
  <c r="H216" i="6" s="1"/>
  <c r="E216" i="6"/>
  <c r="D216" i="6"/>
  <c r="C216" i="6"/>
  <c r="B216" i="6"/>
  <c r="A216" i="6" a="1"/>
  <c r="A216" i="6" s="1"/>
  <c r="I215" i="6" a="1"/>
  <c r="I215" i="6" s="1"/>
  <c r="F215" i="6" s="1" a="1"/>
  <c r="F215" i="6" s="1"/>
  <c r="H215" i="6" a="1"/>
  <c r="H215" i="6" s="1"/>
  <c r="E215" i="6"/>
  <c r="D215" i="6"/>
  <c r="C215" i="6"/>
  <c r="B215" i="6"/>
  <c r="A215" i="6" a="1"/>
  <c r="A215" i="6" s="1"/>
  <c r="I214" i="6" a="1"/>
  <c r="I214" i="6" s="1"/>
  <c r="F214" i="6" s="1" a="1"/>
  <c r="F214" i="6" s="1"/>
  <c r="H214" i="6" a="1"/>
  <c r="H214" i="6" s="1"/>
  <c r="E214" i="6"/>
  <c r="D214" i="6"/>
  <c r="C214" i="6"/>
  <c r="B214" i="6"/>
  <c r="A214" i="6" a="1"/>
  <c r="A214" i="6" s="1"/>
  <c r="I213" i="6" a="1"/>
  <c r="I213" i="6" s="1"/>
  <c r="F213" i="6" s="1" a="1"/>
  <c r="F213" i="6" s="1"/>
  <c r="H213" i="6" a="1"/>
  <c r="H213" i="6" s="1"/>
  <c r="E213" i="6"/>
  <c r="D213" i="6"/>
  <c r="C213" i="6"/>
  <c r="B213" i="6"/>
  <c r="A213" i="6" a="1"/>
  <c r="A213" i="6" s="1"/>
  <c r="I212" i="6" a="1"/>
  <c r="I212" i="6" s="1"/>
  <c r="F212" i="6" s="1" a="1"/>
  <c r="F212" i="6" s="1"/>
  <c r="H212" i="6" a="1"/>
  <c r="H212" i="6" s="1"/>
  <c r="E212" i="6"/>
  <c r="D212" i="6"/>
  <c r="C212" i="6"/>
  <c r="B212" i="6"/>
  <c r="A212" i="6" a="1"/>
  <c r="A212" i="6" s="1"/>
  <c r="I211" i="6" a="1"/>
  <c r="I211" i="6" s="1"/>
  <c r="F211" i="6" s="1" a="1"/>
  <c r="F211" i="6" s="1"/>
  <c r="H211" i="6" a="1"/>
  <c r="H211" i="6" s="1"/>
  <c r="E211" i="6"/>
  <c r="D211" i="6"/>
  <c r="C211" i="6"/>
  <c r="B211" i="6"/>
  <c r="A211" i="6" a="1"/>
  <c r="A211" i="6" s="1"/>
  <c r="I210" i="6" a="1"/>
  <c r="I210" i="6" s="1"/>
  <c r="F210" i="6" s="1" a="1"/>
  <c r="F210" i="6" s="1"/>
  <c r="H210" i="6" a="1"/>
  <c r="H210" i="6" s="1"/>
  <c r="E210" i="6"/>
  <c r="D210" i="6"/>
  <c r="C210" i="6"/>
  <c r="B210" i="6"/>
  <c r="A210" i="6" a="1"/>
  <c r="A210" i="6" s="1"/>
  <c r="I209" i="6" a="1"/>
  <c r="I209" i="6" s="1"/>
  <c r="F209" i="6" s="1" a="1"/>
  <c r="F209" i="6" s="1"/>
  <c r="H209" i="6" a="1"/>
  <c r="H209" i="6" s="1"/>
  <c r="E209" i="6"/>
  <c r="D209" i="6"/>
  <c r="C209" i="6"/>
  <c r="B209" i="6"/>
  <c r="A209" i="6" a="1"/>
  <c r="A209" i="6" s="1"/>
  <c r="I208" i="6" a="1"/>
  <c r="I208" i="6" s="1"/>
  <c r="F208" i="6" s="1" a="1"/>
  <c r="F208" i="6" s="1"/>
  <c r="H208" i="6" a="1"/>
  <c r="H208" i="6" s="1"/>
  <c r="E208" i="6"/>
  <c r="D208" i="6"/>
  <c r="C208" i="6"/>
  <c r="B208" i="6"/>
  <c r="A208" i="6" a="1"/>
  <c r="A208" i="6" s="1"/>
  <c r="I207" i="6" a="1"/>
  <c r="I207" i="6" s="1"/>
  <c r="F207" i="6" s="1" a="1"/>
  <c r="F207" i="6" s="1"/>
  <c r="H207" i="6" a="1"/>
  <c r="H207" i="6" s="1"/>
  <c r="E207" i="6"/>
  <c r="D207" i="6"/>
  <c r="C207" i="6"/>
  <c r="B207" i="6"/>
  <c r="A207" i="6" a="1"/>
  <c r="A207" i="6" s="1"/>
  <c r="I206" i="6" a="1"/>
  <c r="I206" i="6" s="1"/>
  <c r="F206" i="6" s="1" a="1"/>
  <c r="F206" i="6" s="1"/>
  <c r="H206" i="6" a="1"/>
  <c r="H206" i="6" s="1"/>
  <c r="E206" i="6"/>
  <c r="D206" i="6"/>
  <c r="C206" i="6"/>
  <c r="B206" i="6"/>
  <c r="A206" i="6" a="1"/>
  <c r="A206" i="6" s="1"/>
  <c r="I205" i="6" a="1"/>
  <c r="I205" i="6" s="1"/>
  <c r="F205" i="6" s="1" a="1"/>
  <c r="F205" i="6" s="1"/>
  <c r="H205" i="6" a="1"/>
  <c r="H205" i="6" s="1"/>
  <c r="E205" i="6"/>
  <c r="D205" i="6"/>
  <c r="C205" i="6"/>
  <c r="B205" i="6"/>
  <c r="A205" i="6" a="1"/>
  <c r="A205" i="6" s="1"/>
  <c r="I204" i="6" a="1"/>
  <c r="I204" i="6" s="1"/>
  <c r="F204" i="6" s="1" a="1"/>
  <c r="F204" i="6" s="1"/>
  <c r="H204" i="6" a="1"/>
  <c r="H204" i="6" s="1"/>
  <c r="E204" i="6"/>
  <c r="D204" i="6"/>
  <c r="C204" i="6"/>
  <c r="B204" i="6"/>
  <c r="A204" i="6" a="1"/>
  <c r="A204" i="6" s="1"/>
  <c r="I203" i="6" a="1"/>
  <c r="I203" i="6" s="1"/>
  <c r="F203" i="6" s="1" a="1"/>
  <c r="F203" i="6" s="1"/>
  <c r="H203" i="6" a="1"/>
  <c r="H203" i="6" s="1"/>
  <c r="E203" i="6"/>
  <c r="D203" i="6"/>
  <c r="C203" i="6"/>
  <c r="B203" i="6"/>
  <c r="A203" i="6" a="1"/>
  <c r="A203" i="6" s="1"/>
  <c r="I202" i="6" a="1"/>
  <c r="I202" i="6" s="1"/>
  <c r="F202" i="6" s="1" a="1"/>
  <c r="F202" i="6" s="1"/>
  <c r="H202" i="6" a="1"/>
  <c r="H202" i="6" s="1"/>
  <c r="E202" i="6"/>
  <c r="D202" i="6"/>
  <c r="C202" i="6"/>
  <c r="B202" i="6"/>
  <c r="A202" i="6" a="1"/>
  <c r="A202" i="6" s="1"/>
  <c r="I201" i="6" a="1"/>
  <c r="I201" i="6" s="1"/>
  <c r="F201" i="6" s="1" a="1"/>
  <c r="F201" i="6" s="1"/>
  <c r="H201" i="6" a="1"/>
  <c r="H201" i="6" s="1"/>
  <c r="E201" i="6"/>
  <c r="D201" i="6"/>
  <c r="C201" i="6"/>
  <c r="B201" i="6"/>
  <c r="A201" i="6" a="1"/>
  <c r="A201" i="6" s="1"/>
  <c r="I200" i="6" a="1"/>
  <c r="I200" i="6" s="1"/>
  <c r="F200" i="6" s="1" a="1"/>
  <c r="F200" i="6" s="1"/>
  <c r="H200" i="6" a="1"/>
  <c r="H200" i="6" s="1"/>
  <c r="E200" i="6"/>
  <c r="D200" i="6"/>
  <c r="C200" i="6"/>
  <c r="B200" i="6"/>
  <c r="A200" i="6" a="1"/>
  <c r="A200" i="6" s="1"/>
  <c r="I199" i="6" a="1"/>
  <c r="I199" i="6" s="1"/>
  <c r="F199" i="6" s="1" a="1"/>
  <c r="F199" i="6" s="1"/>
  <c r="H199" i="6" a="1"/>
  <c r="H199" i="6" s="1"/>
  <c r="E199" i="6"/>
  <c r="D199" i="6"/>
  <c r="C199" i="6"/>
  <c r="B199" i="6"/>
  <c r="A199" i="6" a="1"/>
  <c r="A199" i="6" s="1"/>
  <c r="I198" i="6" a="1"/>
  <c r="I198" i="6" s="1"/>
  <c r="F198" i="6" s="1" a="1"/>
  <c r="F198" i="6" s="1"/>
  <c r="H198" i="6" a="1"/>
  <c r="H198" i="6" s="1"/>
  <c r="E198" i="6"/>
  <c r="D198" i="6"/>
  <c r="C198" i="6"/>
  <c r="B198" i="6"/>
  <c r="A198" i="6" a="1"/>
  <c r="A198" i="6" s="1"/>
  <c r="I197" i="6" a="1"/>
  <c r="I197" i="6" s="1"/>
  <c r="F197" i="6" s="1" a="1"/>
  <c r="F197" i="6" s="1"/>
  <c r="H197" i="6" a="1"/>
  <c r="H197" i="6" s="1"/>
  <c r="E197" i="6"/>
  <c r="D197" i="6"/>
  <c r="C197" i="6"/>
  <c r="B197" i="6"/>
  <c r="A197" i="6" a="1"/>
  <c r="A197" i="6" s="1"/>
  <c r="I196" i="6" a="1"/>
  <c r="I196" i="6" s="1"/>
  <c r="F196" i="6" s="1" a="1"/>
  <c r="F196" i="6" s="1"/>
  <c r="H196" i="6" a="1"/>
  <c r="H196" i="6" s="1"/>
  <c r="E196" i="6"/>
  <c r="D196" i="6"/>
  <c r="C196" i="6"/>
  <c r="B196" i="6"/>
  <c r="A196" i="6" a="1"/>
  <c r="A196" i="6" s="1"/>
  <c r="I195" i="6" a="1"/>
  <c r="I195" i="6" s="1"/>
  <c r="F195" i="6" s="1" a="1"/>
  <c r="F195" i="6" s="1"/>
  <c r="H195" i="6" a="1"/>
  <c r="H195" i="6" s="1"/>
  <c r="E195" i="6"/>
  <c r="D195" i="6"/>
  <c r="C195" i="6"/>
  <c r="B195" i="6"/>
  <c r="A195" i="6" a="1"/>
  <c r="A195" i="6" s="1"/>
  <c r="I194" i="6" a="1"/>
  <c r="I194" i="6" s="1"/>
  <c r="F194" i="6" s="1" a="1"/>
  <c r="F194" i="6" s="1"/>
  <c r="H194" i="6" a="1"/>
  <c r="H194" i="6" s="1"/>
  <c r="E194" i="6"/>
  <c r="D194" i="6"/>
  <c r="C194" i="6"/>
  <c r="B194" i="6"/>
  <c r="A194" i="6" a="1"/>
  <c r="A194" i="6" s="1"/>
  <c r="I193" i="6" a="1"/>
  <c r="I193" i="6" s="1"/>
  <c r="F193" i="6" s="1" a="1"/>
  <c r="F193" i="6" s="1"/>
  <c r="H193" i="6" a="1"/>
  <c r="H193" i="6" s="1"/>
  <c r="E193" i="6"/>
  <c r="D193" i="6"/>
  <c r="C193" i="6"/>
  <c r="B193" i="6"/>
  <c r="A193" i="6" a="1"/>
  <c r="A193" i="6" s="1"/>
  <c r="I192" i="6" a="1"/>
  <c r="I192" i="6" s="1"/>
  <c r="F192" i="6" s="1" a="1"/>
  <c r="F192" i="6" s="1"/>
  <c r="H192" i="6" a="1"/>
  <c r="H192" i="6" s="1"/>
  <c r="E192" i="6"/>
  <c r="D192" i="6"/>
  <c r="C192" i="6"/>
  <c r="B192" i="6"/>
  <c r="A192" i="6" a="1"/>
  <c r="A192" i="6" s="1"/>
  <c r="I191" i="6" a="1"/>
  <c r="I191" i="6" s="1"/>
  <c r="F191" i="6" s="1" a="1"/>
  <c r="F191" i="6" s="1"/>
  <c r="H191" i="6" a="1"/>
  <c r="H191" i="6" s="1"/>
  <c r="E191" i="6"/>
  <c r="D191" i="6"/>
  <c r="C191" i="6"/>
  <c r="B191" i="6"/>
  <c r="A191" i="6" a="1"/>
  <c r="A191" i="6" s="1"/>
  <c r="I190" i="6" a="1"/>
  <c r="I190" i="6" s="1"/>
  <c r="F190" i="6" s="1" a="1"/>
  <c r="F190" i="6" s="1"/>
  <c r="H190" i="6" a="1"/>
  <c r="H190" i="6" s="1"/>
  <c r="E190" i="6"/>
  <c r="D190" i="6"/>
  <c r="C190" i="6"/>
  <c r="B190" i="6"/>
  <c r="A190" i="6" a="1"/>
  <c r="A190" i="6" s="1"/>
  <c r="I189" i="6" a="1"/>
  <c r="I189" i="6" s="1"/>
  <c r="F189" i="6" s="1" a="1"/>
  <c r="F189" i="6" s="1"/>
  <c r="H189" i="6" a="1"/>
  <c r="H189" i="6" s="1"/>
  <c r="E189" i="6"/>
  <c r="D189" i="6"/>
  <c r="C189" i="6"/>
  <c r="B189" i="6"/>
  <c r="A189" i="6" a="1"/>
  <c r="A189" i="6" s="1"/>
  <c r="I188" i="6" a="1"/>
  <c r="I188" i="6" s="1"/>
  <c r="F188" i="6" s="1" a="1"/>
  <c r="F188" i="6" s="1"/>
  <c r="H188" i="6" a="1"/>
  <c r="H188" i="6" s="1"/>
  <c r="E188" i="6"/>
  <c r="D188" i="6"/>
  <c r="C188" i="6"/>
  <c r="B188" i="6"/>
  <c r="A188" i="6" a="1"/>
  <c r="A188" i="6" s="1"/>
  <c r="I187" i="6" a="1"/>
  <c r="I187" i="6" s="1"/>
  <c r="F187" i="6" s="1" a="1"/>
  <c r="F187" i="6" s="1"/>
  <c r="H187" i="6" a="1"/>
  <c r="H187" i="6" s="1"/>
  <c r="E187" i="6"/>
  <c r="D187" i="6"/>
  <c r="C187" i="6"/>
  <c r="B187" i="6"/>
  <c r="A187" i="6" a="1"/>
  <c r="A187" i="6" s="1"/>
  <c r="I186" i="6" a="1"/>
  <c r="I186" i="6" s="1"/>
  <c r="F186" i="6" s="1" a="1"/>
  <c r="F186" i="6" s="1"/>
  <c r="H186" i="6" a="1"/>
  <c r="H186" i="6" s="1"/>
  <c r="E186" i="6"/>
  <c r="D186" i="6"/>
  <c r="C186" i="6"/>
  <c r="B186" i="6"/>
  <c r="A186" i="6" a="1"/>
  <c r="A186" i="6" s="1"/>
  <c r="I185" i="6" a="1"/>
  <c r="I185" i="6" s="1"/>
  <c r="F185" i="6" s="1" a="1"/>
  <c r="F185" i="6" s="1"/>
  <c r="H185" i="6" a="1"/>
  <c r="H185" i="6" s="1"/>
  <c r="E185" i="6"/>
  <c r="D185" i="6"/>
  <c r="C185" i="6"/>
  <c r="B185" i="6"/>
  <c r="A185" i="6" a="1"/>
  <c r="A185" i="6" s="1"/>
  <c r="I184" i="6" a="1"/>
  <c r="I184" i="6" s="1"/>
  <c r="F184" i="6" s="1" a="1"/>
  <c r="F184" i="6" s="1"/>
  <c r="H184" i="6" a="1"/>
  <c r="H184" i="6" s="1"/>
  <c r="E184" i="6"/>
  <c r="D184" i="6"/>
  <c r="C184" i="6"/>
  <c r="B184" i="6"/>
  <c r="A184" i="6" a="1"/>
  <c r="A184" i="6" s="1"/>
  <c r="I183" i="6" a="1"/>
  <c r="I183" i="6" s="1"/>
  <c r="F183" i="6" s="1" a="1"/>
  <c r="F183" i="6" s="1"/>
  <c r="H183" i="6" a="1"/>
  <c r="H183" i="6" s="1"/>
  <c r="E183" i="6"/>
  <c r="D183" i="6"/>
  <c r="C183" i="6"/>
  <c r="B183" i="6"/>
  <c r="A183" i="6" a="1"/>
  <c r="A183" i="6" s="1"/>
  <c r="I182" i="6" a="1"/>
  <c r="I182" i="6" s="1"/>
  <c r="F182" i="6" s="1" a="1"/>
  <c r="F182" i="6" s="1"/>
  <c r="H182" i="6" a="1"/>
  <c r="H182" i="6" s="1"/>
  <c r="E182" i="6"/>
  <c r="D182" i="6"/>
  <c r="C182" i="6"/>
  <c r="B182" i="6"/>
  <c r="A182" i="6" a="1"/>
  <c r="A182" i="6" s="1"/>
  <c r="I181" i="6" a="1"/>
  <c r="I181" i="6" s="1"/>
  <c r="F181" i="6" s="1" a="1"/>
  <c r="F181" i="6" s="1"/>
  <c r="H181" i="6" a="1"/>
  <c r="H181" i="6" s="1"/>
  <c r="E181" i="6"/>
  <c r="D181" i="6"/>
  <c r="C181" i="6"/>
  <c r="B181" i="6"/>
  <c r="A181" i="6" a="1"/>
  <c r="A181" i="6" s="1"/>
  <c r="I180" i="6" a="1"/>
  <c r="I180" i="6" s="1"/>
  <c r="F180" i="6" s="1" a="1"/>
  <c r="F180" i="6" s="1"/>
  <c r="H180" i="6" a="1"/>
  <c r="H180" i="6" s="1"/>
  <c r="E180" i="6"/>
  <c r="D180" i="6"/>
  <c r="C180" i="6"/>
  <c r="B180" i="6"/>
  <c r="A180" i="6" a="1"/>
  <c r="A180" i="6" s="1"/>
  <c r="I179" i="6" a="1"/>
  <c r="I179" i="6" s="1"/>
  <c r="F179" i="6" s="1" a="1"/>
  <c r="F179" i="6" s="1"/>
  <c r="H179" i="6" a="1"/>
  <c r="H179" i="6" s="1"/>
  <c r="E179" i="6"/>
  <c r="D179" i="6"/>
  <c r="C179" i="6"/>
  <c r="B179" i="6"/>
  <c r="A179" i="6" a="1"/>
  <c r="A179" i="6" s="1"/>
  <c r="I178" i="6" a="1"/>
  <c r="I178" i="6" s="1"/>
  <c r="F178" i="6" s="1" a="1"/>
  <c r="F178" i="6" s="1"/>
  <c r="H178" i="6" a="1"/>
  <c r="H178" i="6" s="1"/>
  <c r="E178" i="6"/>
  <c r="D178" i="6"/>
  <c r="C178" i="6"/>
  <c r="B178" i="6"/>
  <c r="A178" i="6" a="1"/>
  <c r="A178" i="6" s="1"/>
  <c r="I177" i="6" a="1"/>
  <c r="I177" i="6" s="1"/>
  <c r="F177" i="6" s="1" a="1"/>
  <c r="F177" i="6" s="1"/>
  <c r="H177" i="6" a="1"/>
  <c r="H177" i="6" s="1"/>
  <c r="E177" i="6"/>
  <c r="D177" i="6"/>
  <c r="C177" i="6"/>
  <c r="B177" i="6"/>
  <c r="A177" i="6" a="1"/>
  <c r="A177" i="6" s="1"/>
  <c r="I176" i="6" a="1"/>
  <c r="I176" i="6" s="1"/>
  <c r="F176" i="6" s="1" a="1"/>
  <c r="F176" i="6" s="1"/>
  <c r="H176" i="6" a="1"/>
  <c r="H176" i="6" s="1"/>
  <c r="E176" i="6"/>
  <c r="D176" i="6"/>
  <c r="C176" i="6"/>
  <c r="B176" i="6"/>
  <c r="A176" i="6" a="1"/>
  <c r="A176" i="6" s="1"/>
  <c r="I175" i="6" a="1"/>
  <c r="I175" i="6" s="1"/>
  <c r="F175" i="6" s="1" a="1"/>
  <c r="F175" i="6" s="1"/>
  <c r="H175" i="6" a="1"/>
  <c r="H175" i="6" s="1"/>
  <c r="E175" i="6"/>
  <c r="D175" i="6"/>
  <c r="C175" i="6"/>
  <c r="B175" i="6"/>
  <c r="A175" i="6" a="1"/>
  <c r="A175" i="6" s="1"/>
  <c r="I174" i="6" a="1"/>
  <c r="I174" i="6" s="1"/>
  <c r="F174" i="6" s="1" a="1"/>
  <c r="F174" i="6" s="1"/>
  <c r="H174" i="6" a="1"/>
  <c r="H174" i="6" s="1"/>
  <c r="E174" i="6"/>
  <c r="D174" i="6"/>
  <c r="C174" i="6"/>
  <c r="B174" i="6"/>
  <c r="A174" i="6" a="1"/>
  <c r="A174" i="6" s="1"/>
  <c r="I173" i="6" a="1"/>
  <c r="I173" i="6" s="1"/>
  <c r="F173" i="6" s="1" a="1"/>
  <c r="F173" i="6" s="1"/>
  <c r="H173" i="6" a="1"/>
  <c r="H173" i="6" s="1"/>
  <c r="E173" i="6"/>
  <c r="D173" i="6"/>
  <c r="C173" i="6"/>
  <c r="B173" i="6"/>
  <c r="A173" i="6" a="1"/>
  <c r="A173" i="6" s="1"/>
  <c r="I172" i="6" a="1"/>
  <c r="I172" i="6" s="1"/>
  <c r="F172" i="6" s="1" a="1"/>
  <c r="F172" i="6" s="1"/>
  <c r="H172" i="6" a="1"/>
  <c r="H172" i="6" s="1"/>
  <c r="E172" i="6"/>
  <c r="D172" i="6"/>
  <c r="C172" i="6"/>
  <c r="B172" i="6"/>
  <c r="A172" i="6" a="1"/>
  <c r="A172" i="6" s="1"/>
  <c r="I171" i="6" a="1"/>
  <c r="I171" i="6" s="1"/>
  <c r="F171" i="6" s="1" a="1"/>
  <c r="F171" i="6" s="1"/>
  <c r="H171" i="6" a="1"/>
  <c r="H171" i="6" s="1"/>
  <c r="E171" i="6"/>
  <c r="D171" i="6"/>
  <c r="C171" i="6"/>
  <c r="B171" i="6"/>
  <c r="A171" i="6" a="1"/>
  <c r="A171" i="6" s="1"/>
  <c r="I170" i="6" a="1"/>
  <c r="I170" i="6" s="1"/>
  <c r="F170" i="6" s="1" a="1"/>
  <c r="F170" i="6" s="1"/>
  <c r="H170" i="6" a="1"/>
  <c r="H170" i="6" s="1"/>
  <c r="E170" i="6"/>
  <c r="D170" i="6"/>
  <c r="C170" i="6"/>
  <c r="B170" i="6"/>
  <c r="A170" i="6" a="1"/>
  <c r="A170" i="6" s="1"/>
  <c r="I169" i="6" a="1"/>
  <c r="I169" i="6" s="1"/>
  <c r="F169" i="6" s="1" a="1"/>
  <c r="F169" i="6" s="1"/>
  <c r="H169" i="6" a="1"/>
  <c r="H169" i="6" s="1"/>
  <c r="E169" i="6"/>
  <c r="D169" i="6"/>
  <c r="C169" i="6"/>
  <c r="B169" i="6"/>
  <c r="A169" i="6" a="1"/>
  <c r="A169" i="6" s="1"/>
  <c r="I168" i="6" a="1"/>
  <c r="I168" i="6" s="1"/>
  <c r="F168" i="6" s="1" a="1"/>
  <c r="F168" i="6" s="1"/>
  <c r="H168" i="6" a="1"/>
  <c r="H168" i="6" s="1"/>
  <c r="E168" i="6"/>
  <c r="D168" i="6"/>
  <c r="C168" i="6"/>
  <c r="B168" i="6"/>
  <c r="A168" i="6" a="1"/>
  <c r="A168" i="6" s="1"/>
  <c r="I167" i="6" a="1"/>
  <c r="I167" i="6" s="1"/>
  <c r="F167" i="6" s="1" a="1"/>
  <c r="F167" i="6" s="1"/>
  <c r="H167" i="6" a="1"/>
  <c r="H167" i="6" s="1"/>
  <c r="E167" i="6"/>
  <c r="D167" i="6"/>
  <c r="C167" i="6"/>
  <c r="B167" i="6"/>
  <c r="A167" i="6" a="1"/>
  <c r="A167" i="6" s="1"/>
  <c r="I166" i="6" a="1"/>
  <c r="I166" i="6" s="1"/>
  <c r="F166" i="6" s="1" a="1"/>
  <c r="F166" i="6" s="1"/>
  <c r="H166" i="6" a="1"/>
  <c r="H166" i="6" s="1"/>
  <c r="E166" i="6"/>
  <c r="D166" i="6"/>
  <c r="C166" i="6"/>
  <c r="B166" i="6"/>
  <c r="A166" i="6" a="1"/>
  <c r="A166" i="6" s="1"/>
  <c r="I165" i="6" a="1"/>
  <c r="I165" i="6" s="1"/>
  <c r="F165" i="6" s="1" a="1"/>
  <c r="F165" i="6" s="1"/>
  <c r="H165" i="6" a="1"/>
  <c r="H165" i="6" s="1"/>
  <c r="E165" i="6"/>
  <c r="D165" i="6"/>
  <c r="C165" i="6"/>
  <c r="B165" i="6"/>
  <c r="A165" i="6" a="1"/>
  <c r="A165" i="6" s="1"/>
  <c r="I164" i="6" a="1"/>
  <c r="I164" i="6" s="1"/>
  <c r="F164" i="6" s="1" a="1"/>
  <c r="F164" i="6" s="1"/>
  <c r="H164" i="6" a="1"/>
  <c r="H164" i="6" s="1"/>
  <c r="E164" i="6"/>
  <c r="D164" i="6"/>
  <c r="C164" i="6"/>
  <c r="B164" i="6"/>
  <c r="A164" i="6" a="1"/>
  <c r="A164" i="6" s="1"/>
  <c r="I163" i="6" a="1"/>
  <c r="I163" i="6" s="1"/>
  <c r="F163" i="6" s="1" a="1"/>
  <c r="F163" i="6" s="1"/>
  <c r="H163" i="6" a="1"/>
  <c r="H163" i="6" s="1"/>
  <c r="E163" i="6"/>
  <c r="D163" i="6"/>
  <c r="C163" i="6"/>
  <c r="B163" i="6"/>
  <c r="A163" i="6" a="1"/>
  <c r="A163" i="6" s="1"/>
  <c r="I162" i="6" a="1"/>
  <c r="I162" i="6" s="1"/>
  <c r="F162" i="6" s="1" a="1"/>
  <c r="F162" i="6" s="1"/>
  <c r="H162" i="6" a="1"/>
  <c r="H162" i="6" s="1"/>
  <c r="E162" i="6"/>
  <c r="D162" i="6"/>
  <c r="C162" i="6"/>
  <c r="B162" i="6"/>
  <c r="A162" i="6" a="1"/>
  <c r="A162" i="6" s="1"/>
  <c r="I161" i="6" a="1"/>
  <c r="I161" i="6" s="1"/>
  <c r="F161" i="6" s="1" a="1"/>
  <c r="F161" i="6" s="1"/>
  <c r="H161" i="6" a="1"/>
  <c r="H161" i="6" s="1"/>
  <c r="E161" i="6"/>
  <c r="D161" i="6"/>
  <c r="C161" i="6"/>
  <c r="B161" i="6"/>
  <c r="A161" i="6" a="1"/>
  <c r="A161" i="6" s="1"/>
  <c r="I160" i="6" a="1"/>
  <c r="I160" i="6" s="1"/>
  <c r="F160" i="6" s="1" a="1"/>
  <c r="F160" i="6" s="1"/>
  <c r="H160" i="6" a="1"/>
  <c r="H160" i="6" s="1"/>
  <c r="E160" i="6"/>
  <c r="D160" i="6"/>
  <c r="C160" i="6"/>
  <c r="B160" i="6"/>
  <c r="A160" i="6" a="1"/>
  <c r="A160" i="6" s="1"/>
  <c r="I159" i="6" a="1"/>
  <c r="I159" i="6" s="1"/>
  <c r="F159" i="6" s="1" a="1"/>
  <c r="F159" i="6" s="1"/>
  <c r="H159" i="6" a="1"/>
  <c r="H159" i="6" s="1"/>
  <c r="E159" i="6"/>
  <c r="D159" i="6"/>
  <c r="C159" i="6"/>
  <c r="B159" i="6"/>
  <c r="A159" i="6" a="1"/>
  <c r="A159" i="6" s="1"/>
  <c r="I158" i="6" a="1"/>
  <c r="I158" i="6" s="1"/>
  <c r="F158" i="6" s="1" a="1"/>
  <c r="F158" i="6" s="1"/>
  <c r="H158" i="6" a="1"/>
  <c r="H158" i="6" s="1"/>
  <c r="E158" i="6"/>
  <c r="D158" i="6"/>
  <c r="C158" i="6"/>
  <c r="B158" i="6"/>
  <c r="A158" i="6" a="1"/>
  <c r="A158" i="6" s="1"/>
  <c r="I157" i="6" a="1"/>
  <c r="I157" i="6" s="1"/>
  <c r="F157" i="6" s="1" a="1"/>
  <c r="F157" i="6" s="1"/>
  <c r="H157" i="6" a="1"/>
  <c r="H157" i="6" s="1"/>
  <c r="E157" i="6"/>
  <c r="D157" i="6"/>
  <c r="C157" i="6"/>
  <c r="B157" i="6"/>
  <c r="A157" i="6" a="1"/>
  <c r="A157" i="6" s="1"/>
  <c r="I156" i="6" a="1"/>
  <c r="I156" i="6" s="1"/>
  <c r="F156" i="6" s="1" a="1"/>
  <c r="F156" i="6" s="1"/>
  <c r="H156" i="6" a="1"/>
  <c r="H156" i="6" s="1"/>
  <c r="E156" i="6"/>
  <c r="D156" i="6"/>
  <c r="C156" i="6"/>
  <c r="B156" i="6"/>
  <c r="A156" i="6" a="1"/>
  <c r="A156" i="6" s="1"/>
  <c r="I155" i="6" a="1"/>
  <c r="I155" i="6" s="1"/>
  <c r="F155" i="6" s="1" a="1"/>
  <c r="F155" i="6" s="1"/>
  <c r="H155" i="6" a="1"/>
  <c r="H155" i="6" s="1"/>
  <c r="E155" i="6"/>
  <c r="D155" i="6"/>
  <c r="C155" i="6"/>
  <c r="B155" i="6"/>
  <c r="A155" i="6" a="1"/>
  <c r="A155" i="6" s="1"/>
  <c r="I154" i="6" a="1"/>
  <c r="I154" i="6" s="1"/>
  <c r="F154" i="6" s="1" a="1"/>
  <c r="F154" i="6" s="1"/>
  <c r="H154" i="6" a="1"/>
  <c r="H154" i="6" s="1"/>
  <c r="E154" i="6"/>
  <c r="D154" i="6"/>
  <c r="C154" i="6"/>
  <c r="B154" i="6"/>
  <c r="A154" i="6" a="1"/>
  <c r="A154" i="6" s="1"/>
  <c r="I153" i="6" a="1"/>
  <c r="I153" i="6" s="1"/>
  <c r="F153" i="6" s="1" a="1"/>
  <c r="F153" i="6" s="1"/>
  <c r="H153" i="6" a="1"/>
  <c r="H153" i="6" s="1"/>
  <c r="E153" i="6"/>
  <c r="D153" i="6"/>
  <c r="C153" i="6"/>
  <c r="B153" i="6"/>
  <c r="A153" i="6" a="1"/>
  <c r="A153" i="6" s="1"/>
  <c r="I152" i="6" a="1"/>
  <c r="I152" i="6" s="1"/>
  <c r="F152" i="6" s="1" a="1"/>
  <c r="F152" i="6" s="1"/>
  <c r="H152" i="6" a="1"/>
  <c r="H152" i="6" s="1"/>
  <c r="E152" i="6"/>
  <c r="D152" i="6"/>
  <c r="C152" i="6"/>
  <c r="B152" i="6"/>
  <c r="A152" i="6" a="1"/>
  <c r="A152" i="6" s="1"/>
  <c r="I151" i="6" a="1"/>
  <c r="I151" i="6" s="1"/>
  <c r="F151" i="6" s="1" a="1"/>
  <c r="F151" i="6" s="1"/>
  <c r="H151" i="6" a="1"/>
  <c r="H151" i="6" s="1"/>
  <c r="E151" i="6"/>
  <c r="D151" i="6"/>
  <c r="C151" i="6"/>
  <c r="B151" i="6"/>
  <c r="A151" i="6" a="1"/>
  <c r="A151" i="6" s="1"/>
  <c r="I150" i="6" a="1"/>
  <c r="I150" i="6" s="1"/>
  <c r="F150" i="6" s="1" a="1"/>
  <c r="F150" i="6" s="1"/>
  <c r="H150" i="6" a="1"/>
  <c r="H150" i="6" s="1"/>
  <c r="E150" i="6"/>
  <c r="D150" i="6"/>
  <c r="C150" i="6"/>
  <c r="B150" i="6"/>
  <c r="A150" i="6" a="1"/>
  <c r="A150" i="6" s="1"/>
  <c r="I149" i="6" a="1"/>
  <c r="I149" i="6" s="1"/>
  <c r="F149" i="6" s="1" a="1"/>
  <c r="F149" i="6" s="1"/>
  <c r="H149" i="6" a="1"/>
  <c r="H149" i="6" s="1"/>
  <c r="E149" i="6"/>
  <c r="D149" i="6"/>
  <c r="C149" i="6"/>
  <c r="B149" i="6"/>
  <c r="A149" i="6" a="1"/>
  <c r="A149" i="6" s="1"/>
  <c r="I148" i="6" a="1"/>
  <c r="I148" i="6" s="1"/>
  <c r="F148" i="6" s="1" a="1"/>
  <c r="F148" i="6" s="1"/>
  <c r="H148" i="6" a="1"/>
  <c r="H148" i="6" s="1"/>
  <c r="E148" i="6"/>
  <c r="D148" i="6"/>
  <c r="C148" i="6"/>
  <c r="B148" i="6"/>
  <c r="A148" i="6" a="1"/>
  <c r="A148" i="6" s="1"/>
  <c r="I147" i="6" a="1"/>
  <c r="I147" i="6" s="1"/>
  <c r="F147" i="6" s="1" a="1"/>
  <c r="F147" i="6" s="1"/>
  <c r="H147" i="6" a="1"/>
  <c r="H147" i="6" s="1"/>
  <c r="E147" i="6"/>
  <c r="D147" i="6"/>
  <c r="C147" i="6"/>
  <c r="B147" i="6"/>
  <c r="A147" i="6" a="1"/>
  <c r="A147" i="6" s="1"/>
  <c r="I146" i="6" a="1"/>
  <c r="I146" i="6" s="1"/>
  <c r="F146" i="6" s="1" a="1"/>
  <c r="F146" i="6" s="1"/>
  <c r="H146" i="6" a="1"/>
  <c r="H146" i="6" s="1"/>
  <c r="E146" i="6"/>
  <c r="D146" i="6"/>
  <c r="C146" i="6"/>
  <c r="B146" i="6"/>
  <c r="A146" i="6" a="1"/>
  <c r="A146" i="6" s="1"/>
  <c r="I145" i="6" a="1"/>
  <c r="I145" i="6" s="1"/>
  <c r="F145" i="6" s="1" a="1"/>
  <c r="F145" i="6" s="1"/>
  <c r="H145" i="6" a="1"/>
  <c r="H145" i="6" s="1"/>
  <c r="E145" i="6"/>
  <c r="D145" i="6"/>
  <c r="C145" i="6"/>
  <c r="B145" i="6"/>
  <c r="A145" i="6" a="1"/>
  <c r="A145" i="6" s="1"/>
  <c r="I144" i="6" a="1"/>
  <c r="I144" i="6" s="1"/>
  <c r="F144" i="6" s="1" a="1"/>
  <c r="F144" i="6" s="1"/>
  <c r="H144" i="6" a="1"/>
  <c r="H144" i="6" s="1"/>
  <c r="E144" i="6"/>
  <c r="D144" i="6"/>
  <c r="C144" i="6"/>
  <c r="B144" i="6"/>
  <c r="A144" i="6" a="1"/>
  <c r="A144" i="6" s="1"/>
  <c r="I143" i="6" a="1"/>
  <c r="I143" i="6" s="1"/>
  <c r="F143" i="6" s="1" a="1"/>
  <c r="F143" i="6" s="1"/>
  <c r="H143" i="6" a="1"/>
  <c r="H143" i="6" s="1"/>
  <c r="E143" i="6"/>
  <c r="D143" i="6"/>
  <c r="C143" i="6"/>
  <c r="B143" i="6"/>
  <c r="A143" i="6" a="1"/>
  <c r="A143" i="6" s="1"/>
  <c r="I142" i="6" a="1"/>
  <c r="I142" i="6" s="1"/>
  <c r="F142" i="6" s="1" a="1"/>
  <c r="F142" i="6" s="1"/>
  <c r="H142" i="6" a="1"/>
  <c r="H142" i="6" s="1"/>
  <c r="E142" i="6"/>
  <c r="D142" i="6"/>
  <c r="C142" i="6"/>
  <c r="B142" i="6"/>
  <c r="A142" i="6" a="1"/>
  <c r="A142" i="6" s="1"/>
  <c r="I141" i="6" a="1"/>
  <c r="I141" i="6" s="1"/>
  <c r="F141" i="6" s="1" a="1"/>
  <c r="F141" i="6" s="1"/>
  <c r="H141" i="6" a="1"/>
  <c r="H141" i="6" s="1"/>
  <c r="E141" i="6"/>
  <c r="D141" i="6"/>
  <c r="C141" i="6"/>
  <c r="B141" i="6"/>
  <c r="A141" i="6" a="1"/>
  <c r="A141" i="6" s="1"/>
  <c r="I140" i="6" a="1"/>
  <c r="I140" i="6" s="1"/>
  <c r="F140" i="6" s="1" a="1"/>
  <c r="F140" i="6" s="1"/>
  <c r="H140" i="6" a="1"/>
  <c r="H140" i="6" s="1"/>
  <c r="E140" i="6"/>
  <c r="D140" i="6"/>
  <c r="C140" i="6"/>
  <c r="B140" i="6"/>
  <c r="A140" i="6" a="1"/>
  <c r="A140" i="6" s="1"/>
  <c r="I139" i="6" a="1"/>
  <c r="I139" i="6" s="1"/>
  <c r="F139" i="6" s="1" a="1"/>
  <c r="F139" i="6" s="1"/>
  <c r="H139" i="6" a="1"/>
  <c r="H139" i="6" s="1"/>
  <c r="E139" i="6"/>
  <c r="D139" i="6"/>
  <c r="C139" i="6"/>
  <c r="B139" i="6"/>
  <c r="A139" i="6" a="1"/>
  <c r="A139" i="6" s="1"/>
  <c r="I138" i="6" a="1"/>
  <c r="I138" i="6" s="1"/>
  <c r="F138" i="6" s="1" a="1"/>
  <c r="F138" i="6" s="1"/>
  <c r="H138" i="6" a="1"/>
  <c r="H138" i="6" s="1"/>
  <c r="E138" i="6"/>
  <c r="D138" i="6"/>
  <c r="C138" i="6"/>
  <c r="B138" i="6"/>
  <c r="A138" i="6" a="1"/>
  <c r="A138" i="6" s="1"/>
  <c r="I137" i="6" a="1"/>
  <c r="I137" i="6" s="1"/>
  <c r="F137" i="6" s="1" a="1"/>
  <c r="F137" i="6" s="1"/>
  <c r="H137" i="6" a="1"/>
  <c r="H137" i="6" s="1"/>
  <c r="E137" i="6"/>
  <c r="D137" i="6"/>
  <c r="C137" i="6"/>
  <c r="B137" i="6"/>
  <c r="A137" i="6" a="1"/>
  <c r="A137" i="6" s="1"/>
  <c r="I136" i="6" a="1"/>
  <c r="I136" i="6" s="1"/>
  <c r="F136" i="6" s="1" a="1"/>
  <c r="F136" i="6" s="1"/>
  <c r="H136" i="6" a="1"/>
  <c r="H136" i="6" s="1"/>
  <c r="E136" i="6"/>
  <c r="D136" i="6"/>
  <c r="C136" i="6"/>
  <c r="B136" i="6"/>
  <c r="A136" i="6" a="1"/>
  <c r="A136" i="6" s="1"/>
  <c r="I135" i="6" a="1"/>
  <c r="I135" i="6" s="1"/>
  <c r="F135" i="6" s="1" a="1"/>
  <c r="F135" i="6" s="1"/>
  <c r="H135" i="6" a="1"/>
  <c r="H135" i="6" s="1"/>
  <c r="E135" i="6"/>
  <c r="D135" i="6"/>
  <c r="C135" i="6"/>
  <c r="B135" i="6"/>
  <c r="A135" i="6" a="1"/>
  <c r="A135" i="6" s="1"/>
  <c r="I134" i="6" a="1"/>
  <c r="I134" i="6" s="1"/>
  <c r="F134" i="6" s="1" a="1"/>
  <c r="F134" i="6" s="1"/>
  <c r="H134" i="6" a="1"/>
  <c r="H134" i="6" s="1"/>
  <c r="E134" i="6"/>
  <c r="D134" i="6"/>
  <c r="C134" i="6"/>
  <c r="B134" i="6"/>
  <c r="A134" i="6" a="1"/>
  <c r="A134" i="6" s="1"/>
  <c r="I133" i="6" a="1"/>
  <c r="I133" i="6" s="1"/>
  <c r="F133" i="6" s="1" a="1"/>
  <c r="F133" i="6" s="1"/>
  <c r="H133" i="6" a="1"/>
  <c r="H133" i="6" s="1"/>
  <c r="E133" i="6"/>
  <c r="D133" i="6"/>
  <c r="C133" i="6"/>
  <c r="B133" i="6"/>
  <c r="A133" i="6" a="1"/>
  <c r="A133" i="6" s="1"/>
  <c r="I132" i="6" a="1"/>
  <c r="I132" i="6" s="1"/>
  <c r="F132" i="6" s="1" a="1"/>
  <c r="F132" i="6" s="1"/>
  <c r="H132" i="6" a="1"/>
  <c r="H132" i="6" s="1"/>
  <c r="E132" i="6"/>
  <c r="D132" i="6"/>
  <c r="C132" i="6"/>
  <c r="B132" i="6"/>
  <c r="A132" i="6" a="1"/>
  <c r="A132" i="6" s="1"/>
  <c r="I131" i="6" a="1"/>
  <c r="I131" i="6" s="1"/>
  <c r="F131" i="6" s="1" a="1"/>
  <c r="F131" i="6" s="1"/>
  <c r="H131" i="6" a="1"/>
  <c r="H131" i="6" s="1"/>
  <c r="E131" i="6"/>
  <c r="D131" i="6"/>
  <c r="C131" i="6"/>
  <c r="B131" i="6"/>
  <c r="A131" i="6" a="1"/>
  <c r="A131" i="6" s="1"/>
  <c r="I130" i="6" a="1"/>
  <c r="I130" i="6" s="1"/>
  <c r="F130" i="6" s="1" a="1"/>
  <c r="F130" i="6" s="1"/>
  <c r="H130" i="6" a="1"/>
  <c r="H130" i="6" s="1"/>
  <c r="E130" i="6"/>
  <c r="D130" i="6"/>
  <c r="C130" i="6"/>
  <c r="B130" i="6"/>
  <c r="A130" i="6" a="1"/>
  <c r="A130" i="6" s="1"/>
  <c r="I129" i="6" a="1"/>
  <c r="I129" i="6" s="1"/>
  <c r="F129" i="6" s="1" a="1"/>
  <c r="F129" i="6" s="1"/>
  <c r="H129" i="6" a="1"/>
  <c r="H129" i="6" s="1"/>
  <c r="E129" i="6"/>
  <c r="D129" i="6"/>
  <c r="C129" i="6"/>
  <c r="B129" i="6"/>
  <c r="A129" i="6" a="1"/>
  <c r="A129" i="6" s="1"/>
  <c r="I128" i="6" a="1"/>
  <c r="I128" i="6" s="1"/>
  <c r="F128" i="6" s="1" a="1"/>
  <c r="F128" i="6" s="1"/>
  <c r="H128" i="6" a="1"/>
  <c r="H128" i="6" s="1"/>
  <c r="E128" i="6"/>
  <c r="D128" i="6"/>
  <c r="C128" i="6"/>
  <c r="B128" i="6"/>
  <c r="A128" i="6" a="1"/>
  <c r="A128" i="6" s="1"/>
  <c r="I127" i="6" a="1"/>
  <c r="I127" i="6" s="1"/>
  <c r="F127" i="6" s="1" a="1"/>
  <c r="F127" i="6" s="1"/>
  <c r="H127" i="6" a="1"/>
  <c r="H127" i="6" s="1"/>
  <c r="E127" i="6"/>
  <c r="D127" i="6"/>
  <c r="C127" i="6"/>
  <c r="B127" i="6"/>
  <c r="A127" i="6" a="1"/>
  <c r="A127" i="6" s="1"/>
  <c r="I126" i="6" a="1"/>
  <c r="I126" i="6" s="1"/>
  <c r="F126" i="6" s="1" a="1"/>
  <c r="F126" i="6" s="1"/>
  <c r="H126" i="6" a="1"/>
  <c r="H126" i="6" s="1"/>
  <c r="E126" i="6"/>
  <c r="D126" i="6"/>
  <c r="C126" i="6"/>
  <c r="B126" i="6"/>
  <c r="A126" i="6" a="1"/>
  <c r="A126" i="6" s="1"/>
  <c r="I125" i="6" a="1"/>
  <c r="I125" i="6" s="1"/>
  <c r="F125" i="6" s="1" a="1"/>
  <c r="F125" i="6" s="1"/>
  <c r="H125" i="6" a="1"/>
  <c r="H125" i="6" s="1"/>
  <c r="E125" i="6"/>
  <c r="D125" i="6"/>
  <c r="C125" i="6"/>
  <c r="B125" i="6"/>
  <c r="A125" i="6" a="1"/>
  <c r="A125" i="6" s="1"/>
  <c r="I124" i="6" a="1"/>
  <c r="I124" i="6" s="1"/>
  <c r="F124" i="6" s="1" a="1"/>
  <c r="F124" i="6" s="1"/>
  <c r="H124" i="6" a="1"/>
  <c r="H124" i="6" s="1"/>
  <c r="E124" i="6"/>
  <c r="D124" i="6"/>
  <c r="C124" i="6"/>
  <c r="B124" i="6"/>
  <c r="A124" i="6" a="1"/>
  <c r="A124" i="6" s="1"/>
  <c r="I123" i="6" a="1"/>
  <c r="I123" i="6" s="1"/>
  <c r="F123" i="6" s="1" a="1"/>
  <c r="F123" i="6" s="1"/>
  <c r="H123" i="6" a="1"/>
  <c r="H123" i="6" s="1"/>
  <c r="E123" i="6"/>
  <c r="D123" i="6"/>
  <c r="C123" i="6"/>
  <c r="B123" i="6"/>
  <c r="A123" i="6" a="1"/>
  <c r="A123" i="6" s="1"/>
  <c r="I122" i="6" a="1"/>
  <c r="I122" i="6" s="1"/>
  <c r="F122" i="6" s="1" a="1"/>
  <c r="F122" i="6" s="1"/>
  <c r="H122" i="6" a="1"/>
  <c r="H122" i="6" s="1"/>
  <c r="E122" i="6"/>
  <c r="D122" i="6"/>
  <c r="C122" i="6"/>
  <c r="B122" i="6"/>
  <c r="A122" i="6" a="1"/>
  <c r="A122" i="6" s="1"/>
  <c r="I121" i="6" a="1"/>
  <c r="I121" i="6" s="1"/>
  <c r="F121" i="6" s="1" a="1"/>
  <c r="F121" i="6" s="1"/>
  <c r="H121" i="6" a="1"/>
  <c r="H121" i="6" s="1"/>
  <c r="E121" i="6"/>
  <c r="D121" i="6"/>
  <c r="C121" i="6"/>
  <c r="B121" i="6"/>
  <c r="A121" i="6" a="1"/>
  <c r="A121" i="6" s="1"/>
  <c r="I120" i="6" a="1"/>
  <c r="I120" i="6" s="1"/>
  <c r="F120" i="6" s="1" a="1"/>
  <c r="F120" i="6" s="1"/>
  <c r="H120" i="6" a="1"/>
  <c r="H120" i="6" s="1"/>
  <c r="E120" i="6"/>
  <c r="D120" i="6"/>
  <c r="C120" i="6"/>
  <c r="B120" i="6"/>
  <c r="A120" i="6" a="1"/>
  <c r="A120" i="6" s="1"/>
  <c r="I119" i="6" a="1"/>
  <c r="I119" i="6" s="1"/>
  <c r="F119" i="6" s="1" a="1"/>
  <c r="F119" i="6" s="1"/>
  <c r="H119" i="6" a="1"/>
  <c r="H119" i="6" s="1"/>
  <c r="E119" i="6"/>
  <c r="D119" i="6"/>
  <c r="C119" i="6"/>
  <c r="B119" i="6"/>
  <c r="A119" i="6" a="1"/>
  <c r="A119" i="6" s="1"/>
  <c r="I118" i="6" a="1"/>
  <c r="I118" i="6" s="1"/>
  <c r="F118" i="6" s="1" a="1"/>
  <c r="F118" i="6" s="1"/>
  <c r="H118" i="6" a="1"/>
  <c r="H118" i="6" s="1"/>
  <c r="E118" i="6"/>
  <c r="D118" i="6"/>
  <c r="C118" i="6"/>
  <c r="B118" i="6"/>
  <c r="A118" i="6" a="1"/>
  <c r="A118" i="6" s="1"/>
  <c r="I117" i="6" a="1"/>
  <c r="I117" i="6" s="1"/>
  <c r="F117" i="6" s="1" a="1"/>
  <c r="F117" i="6" s="1"/>
  <c r="H117" i="6" a="1"/>
  <c r="H117" i="6" s="1"/>
  <c r="E117" i="6"/>
  <c r="D117" i="6"/>
  <c r="C117" i="6"/>
  <c r="B117" i="6"/>
  <c r="A117" i="6" a="1"/>
  <c r="A117" i="6" s="1"/>
  <c r="I116" i="6" a="1"/>
  <c r="I116" i="6" s="1"/>
  <c r="F116" i="6" s="1" a="1"/>
  <c r="F116" i="6" s="1"/>
  <c r="H116" i="6" a="1"/>
  <c r="H116" i="6" s="1"/>
  <c r="E116" i="6"/>
  <c r="D116" i="6"/>
  <c r="C116" i="6"/>
  <c r="B116" i="6"/>
  <c r="A116" i="6" a="1"/>
  <c r="A116" i="6" s="1"/>
  <c r="I115" i="6" a="1"/>
  <c r="I115" i="6" s="1"/>
  <c r="F115" i="6" s="1" a="1"/>
  <c r="F115" i="6" s="1"/>
  <c r="H115" i="6" a="1"/>
  <c r="H115" i="6" s="1"/>
  <c r="E115" i="6"/>
  <c r="D115" i="6"/>
  <c r="C115" i="6"/>
  <c r="B115" i="6"/>
  <c r="A115" i="6" a="1"/>
  <c r="A115" i="6" s="1"/>
  <c r="I114" i="6" a="1"/>
  <c r="I114" i="6" s="1"/>
  <c r="F114" i="6" s="1" a="1"/>
  <c r="F114" i="6" s="1"/>
  <c r="H114" i="6" a="1"/>
  <c r="H114" i="6" s="1"/>
  <c r="E114" i="6"/>
  <c r="D114" i="6"/>
  <c r="C114" i="6"/>
  <c r="B114" i="6"/>
  <c r="A114" i="6" a="1"/>
  <c r="A114" i="6" s="1"/>
  <c r="I113" i="6" a="1"/>
  <c r="I113" i="6" s="1"/>
  <c r="F113" i="6" s="1" a="1"/>
  <c r="F113" i="6" s="1"/>
  <c r="H113" i="6" a="1"/>
  <c r="H113" i="6" s="1"/>
  <c r="E113" i="6"/>
  <c r="D113" i="6"/>
  <c r="C113" i="6"/>
  <c r="B113" i="6"/>
  <c r="A113" i="6" a="1"/>
  <c r="A113" i="6" s="1"/>
  <c r="I112" i="6" a="1"/>
  <c r="I112" i="6" s="1"/>
  <c r="F112" i="6" s="1" a="1"/>
  <c r="F112" i="6" s="1"/>
  <c r="H112" i="6" a="1"/>
  <c r="H112" i="6" s="1"/>
  <c r="E112" i="6"/>
  <c r="D112" i="6"/>
  <c r="C112" i="6"/>
  <c r="B112" i="6"/>
  <c r="A112" i="6" a="1"/>
  <c r="A112" i="6" s="1"/>
  <c r="I111" i="6" a="1"/>
  <c r="I111" i="6" s="1"/>
  <c r="F111" i="6" s="1" a="1"/>
  <c r="F111" i="6" s="1"/>
  <c r="H111" i="6" a="1"/>
  <c r="H111" i="6" s="1"/>
  <c r="E111" i="6"/>
  <c r="D111" i="6"/>
  <c r="C111" i="6"/>
  <c r="B111" i="6"/>
  <c r="A111" i="6" a="1"/>
  <c r="A111" i="6" s="1"/>
  <c r="I110" i="6" a="1"/>
  <c r="I110" i="6" s="1"/>
  <c r="F110" i="6" s="1" a="1"/>
  <c r="F110" i="6" s="1"/>
  <c r="H110" i="6" a="1"/>
  <c r="H110" i="6" s="1"/>
  <c r="E110" i="6"/>
  <c r="D110" i="6"/>
  <c r="C110" i="6"/>
  <c r="B110" i="6"/>
  <c r="A110" i="6" a="1"/>
  <c r="A110" i="6" s="1"/>
  <c r="I109" i="6" a="1"/>
  <c r="I109" i="6" s="1"/>
  <c r="F109" i="6" s="1" a="1"/>
  <c r="F109" i="6" s="1"/>
  <c r="H109" i="6" a="1"/>
  <c r="H109" i="6" s="1"/>
  <c r="E109" i="6"/>
  <c r="D109" i="6"/>
  <c r="C109" i="6"/>
  <c r="B109" i="6"/>
  <c r="A109" i="6" a="1"/>
  <c r="A109" i="6" s="1"/>
  <c r="I108" i="6" a="1"/>
  <c r="I108" i="6" s="1"/>
  <c r="F108" i="6" s="1" a="1"/>
  <c r="F108" i="6" s="1"/>
  <c r="H108" i="6" a="1"/>
  <c r="H108" i="6" s="1"/>
  <c r="E108" i="6"/>
  <c r="D108" i="6"/>
  <c r="C108" i="6"/>
  <c r="B108" i="6"/>
  <c r="A108" i="6" a="1"/>
  <c r="A108" i="6" s="1"/>
  <c r="I107" i="6" a="1"/>
  <c r="I107" i="6" s="1"/>
  <c r="F107" i="6" s="1" a="1"/>
  <c r="F107" i="6" s="1"/>
  <c r="H107" i="6" a="1"/>
  <c r="H107" i="6" s="1"/>
  <c r="E107" i="6"/>
  <c r="D107" i="6"/>
  <c r="C107" i="6"/>
  <c r="B107" i="6"/>
  <c r="A107" i="6" a="1"/>
  <c r="A107" i="6" s="1"/>
  <c r="I106" i="6" a="1"/>
  <c r="I106" i="6" s="1"/>
  <c r="F106" i="6" s="1" a="1"/>
  <c r="F106" i="6" s="1"/>
  <c r="H106" i="6" a="1"/>
  <c r="H106" i="6" s="1"/>
  <c r="E106" i="6"/>
  <c r="D106" i="6"/>
  <c r="C106" i="6"/>
  <c r="B106" i="6"/>
  <c r="A106" i="6" a="1"/>
  <c r="A106" i="6" s="1"/>
  <c r="I105" i="6" a="1"/>
  <c r="I105" i="6" s="1"/>
  <c r="F105" i="6" s="1" a="1"/>
  <c r="F105" i="6" s="1"/>
  <c r="H105" i="6" a="1"/>
  <c r="H105" i="6" s="1"/>
  <c r="E105" i="6"/>
  <c r="D105" i="6"/>
  <c r="C105" i="6"/>
  <c r="B105" i="6"/>
  <c r="A105" i="6" a="1"/>
  <c r="A105" i="6" s="1"/>
  <c r="I104" i="6" a="1"/>
  <c r="I104" i="6" s="1"/>
  <c r="F104" i="6" s="1" a="1"/>
  <c r="F104" i="6" s="1"/>
  <c r="H104" i="6" a="1"/>
  <c r="H104" i="6" s="1"/>
  <c r="E104" i="6"/>
  <c r="D104" i="6"/>
  <c r="C104" i="6"/>
  <c r="B104" i="6"/>
  <c r="A104" i="6" a="1"/>
  <c r="A104" i="6" s="1"/>
  <c r="I103" i="6" a="1"/>
  <c r="I103" i="6" s="1"/>
  <c r="F103" i="6" s="1" a="1"/>
  <c r="F103" i="6" s="1"/>
  <c r="H103" i="6" a="1"/>
  <c r="H103" i="6" s="1"/>
  <c r="E103" i="6"/>
  <c r="D103" i="6"/>
  <c r="C103" i="6"/>
  <c r="B103" i="6"/>
  <c r="A103" i="6" a="1"/>
  <c r="A103" i="6" s="1"/>
  <c r="I102" i="6" a="1"/>
  <c r="I102" i="6" s="1"/>
  <c r="F102" i="6" s="1" a="1"/>
  <c r="F102" i="6" s="1"/>
  <c r="H102" i="6" a="1"/>
  <c r="H102" i="6" s="1"/>
  <c r="E102" i="6"/>
  <c r="D102" i="6"/>
  <c r="C102" i="6"/>
  <c r="B102" i="6"/>
  <c r="A102" i="6" a="1"/>
  <c r="A102" i="6" s="1"/>
  <c r="I101" i="6" a="1"/>
  <c r="I101" i="6" s="1"/>
  <c r="F101" i="6" s="1" a="1"/>
  <c r="F101" i="6" s="1"/>
  <c r="H101" i="6" a="1"/>
  <c r="H101" i="6" s="1"/>
  <c r="E101" i="6"/>
  <c r="D101" i="6"/>
  <c r="C101" i="6"/>
  <c r="B101" i="6"/>
  <c r="A101" i="6" a="1"/>
  <c r="A101" i="6" s="1"/>
  <c r="I100" i="6" a="1"/>
  <c r="I100" i="6" s="1"/>
  <c r="F100" i="6" s="1" a="1"/>
  <c r="F100" i="6" s="1"/>
  <c r="H100" i="6" a="1"/>
  <c r="H100" i="6" s="1"/>
  <c r="E100" i="6"/>
  <c r="D100" i="6"/>
  <c r="C100" i="6"/>
  <c r="B100" i="6"/>
  <c r="A100" i="6" a="1"/>
  <c r="A100" i="6" s="1"/>
  <c r="I99" i="6" a="1"/>
  <c r="I99" i="6" s="1"/>
  <c r="F99" i="6" s="1" a="1"/>
  <c r="F99" i="6" s="1"/>
  <c r="H99" i="6" a="1"/>
  <c r="H99" i="6" s="1"/>
  <c r="E99" i="6"/>
  <c r="D99" i="6"/>
  <c r="C99" i="6"/>
  <c r="B99" i="6"/>
  <c r="A99" i="6" a="1"/>
  <c r="A99" i="6" s="1"/>
  <c r="I98" i="6" a="1"/>
  <c r="I98" i="6" s="1"/>
  <c r="F98" i="6" s="1" a="1"/>
  <c r="F98" i="6" s="1"/>
  <c r="H98" i="6" a="1"/>
  <c r="H98" i="6" s="1"/>
  <c r="E98" i="6"/>
  <c r="D98" i="6"/>
  <c r="C98" i="6"/>
  <c r="B98" i="6"/>
  <c r="A98" i="6" a="1"/>
  <c r="A98" i="6" s="1"/>
  <c r="I97" i="6" a="1"/>
  <c r="I97" i="6" s="1"/>
  <c r="F97" i="6" s="1" a="1"/>
  <c r="F97" i="6" s="1"/>
  <c r="H97" i="6" a="1"/>
  <c r="H97" i="6" s="1"/>
  <c r="E97" i="6"/>
  <c r="D97" i="6"/>
  <c r="C97" i="6"/>
  <c r="B97" i="6"/>
  <c r="A97" i="6" a="1"/>
  <c r="A97" i="6" s="1"/>
  <c r="I96" i="6" a="1"/>
  <c r="I96" i="6" s="1"/>
  <c r="F96" i="6" s="1" a="1"/>
  <c r="F96" i="6" s="1"/>
  <c r="H96" i="6" a="1"/>
  <c r="H96" i="6" s="1"/>
  <c r="E96" i="6"/>
  <c r="D96" i="6"/>
  <c r="C96" i="6"/>
  <c r="B96" i="6"/>
  <c r="A96" i="6" a="1"/>
  <c r="A96" i="6" s="1"/>
  <c r="I95" i="6" a="1"/>
  <c r="I95" i="6" s="1"/>
  <c r="F95" i="6" s="1" a="1"/>
  <c r="F95" i="6" s="1"/>
  <c r="H95" i="6" a="1"/>
  <c r="H95" i="6" s="1"/>
  <c r="E95" i="6"/>
  <c r="D95" i="6"/>
  <c r="C95" i="6"/>
  <c r="B95" i="6"/>
  <c r="A95" i="6" a="1"/>
  <c r="A95" i="6" s="1"/>
  <c r="I94" i="6" a="1"/>
  <c r="I94" i="6" s="1"/>
  <c r="F94" i="6" s="1" a="1"/>
  <c r="F94" i="6" s="1"/>
  <c r="H94" i="6" a="1"/>
  <c r="H94" i="6" s="1"/>
  <c r="E94" i="6"/>
  <c r="D94" i="6"/>
  <c r="C94" i="6"/>
  <c r="B94" i="6"/>
  <c r="A94" i="6" a="1"/>
  <c r="A94" i="6" s="1"/>
  <c r="I93" i="6" a="1"/>
  <c r="I93" i="6" s="1"/>
  <c r="F93" i="6" s="1" a="1"/>
  <c r="F93" i="6" s="1"/>
  <c r="H93" i="6" a="1"/>
  <c r="H93" i="6" s="1"/>
  <c r="E93" i="6"/>
  <c r="D93" i="6"/>
  <c r="C93" i="6"/>
  <c r="B93" i="6"/>
  <c r="A93" i="6" a="1"/>
  <c r="A93" i="6" s="1"/>
  <c r="I92" i="6" a="1"/>
  <c r="I92" i="6" s="1"/>
  <c r="F92" i="6" s="1" a="1"/>
  <c r="F92" i="6" s="1"/>
  <c r="H92" i="6" a="1"/>
  <c r="H92" i="6" s="1"/>
  <c r="E92" i="6"/>
  <c r="D92" i="6"/>
  <c r="C92" i="6"/>
  <c r="B92" i="6"/>
  <c r="A92" i="6" a="1"/>
  <c r="A92" i="6" s="1"/>
  <c r="I91" i="6" a="1"/>
  <c r="I91" i="6" s="1"/>
  <c r="F91" i="6" s="1" a="1"/>
  <c r="F91" i="6" s="1"/>
  <c r="H91" i="6" a="1"/>
  <c r="H91" i="6" s="1"/>
  <c r="E91" i="6"/>
  <c r="D91" i="6"/>
  <c r="C91" i="6"/>
  <c r="B91" i="6"/>
  <c r="A91" i="6" a="1"/>
  <c r="A91" i="6" s="1"/>
  <c r="I90" i="6" a="1"/>
  <c r="I90" i="6" s="1"/>
  <c r="F90" i="6" s="1" a="1"/>
  <c r="F90" i="6" s="1"/>
  <c r="H90" i="6" a="1"/>
  <c r="H90" i="6" s="1"/>
  <c r="E90" i="6"/>
  <c r="D90" i="6"/>
  <c r="C90" i="6"/>
  <c r="B90" i="6"/>
  <c r="A90" i="6" a="1"/>
  <c r="A90" i="6" s="1"/>
  <c r="I89" i="6" a="1"/>
  <c r="I89" i="6" s="1"/>
  <c r="F89" i="6" s="1" a="1"/>
  <c r="F89" i="6" s="1"/>
  <c r="H89" i="6" a="1"/>
  <c r="H89" i="6" s="1"/>
  <c r="E89" i="6"/>
  <c r="D89" i="6"/>
  <c r="C89" i="6"/>
  <c r="B89" i="6"/>
  <c r="A89" i="6" a="1"/>
  <c r="A89" i="6" s="1"/>
  <c r="I88" i="6" a="1"/>
  <c r="I88" i="6" s="1"/>
  <c r="F88" i="6" s="1" a="1"/>
  <c r="F88" i="6" s="1"/>
  <c r="H88" i="6" a="1"/>
  <c r="H88" i="6" s="1"/>
  <c r="E88" i="6"/>
  <c r="D88" i="6"/>
  <c r="C88" i="6"/>
  <c r="B88" i="6"/>
  <c r="A88" i="6" a="1"/>
  <c r="A88" i="6" s="1"/>
  <c r="I87" i="6" a="1"/>
  <c r="I87" i="6" s="1"/>
  <c r="F87" i="6" s="1" a="1"/>
  <c r="F87" i="6" s="1"/>
  <c r="H87" i="6" a="1"/>
  <c r="H87" i="6" s="1"/>
  <c r="E87" i="6"/>
  <c r="D87" i="6"/>
  <c r="C87" i="6"/>
  <c r="B87" i="6"/>
  <c r="A87" i="6" a="1"/>
  <c r="A87" i="6" s="1"/>
  <c r="I86" i="6" a="1"/>
  <c r="I86" i="6" s="1"/>
  <c r="F86" i="6" s="1" a="1"/>
  <c r="F86" i="6" s="1"/>
  <c r="H86" i="6" a="1"/>
  <c r="H86" i="6" s="1"/>
  <c r="E86" i="6"/>
  <c r="D86" i="6"/>
  <c r="C86" i="6"/>
  <c r="B86" i="6"/>
  <c r="A86" i="6" a="1"/>
  <c r="A86" i="6" s="1"/>
  <c r="I85" i="6" a="1"/>
  <c r="I85" i="6" s="1"/>
  <c r="F85" i="6" s="1" a="1"/>
  <c r="F85" i="6" s="1"/>
  <c r="H85" i="6" a="1"/>
  <c r="H85" i="6" s="1"/>
  <c r="E85" i="6"/>
  <c r="D85" i="6"/>
  <c r="C85" i="6"/>
  <c r="B85" i="6"/>
  <c r="A85" i="6" a="1"/>
  <c r="A85" i="6" s="1"/>
  <c r="I84" i="6" a="1"/>
  <c r="I84" i="6" s="1"/>
  <c r="F84" i="6" s="1" a="1"/>
  <c r="F84" i="6" s="1"/>
  <c r="H84" i="6" a="1"/>
  <c r="H84" i="6" s="1"/>
  <c r="E84" i="6"/>
  <c r="D84" i="6"/>
  <c r="C84" i="6"/>
  <c r="B84" i="6"/>
  <c r="A84" i="6" a="1"/>
  <c r="A84" i="6" s="1"/>
  <c r="I83" i="6" a="1"/>
  <c r="I83" i="6" s="1"/>
  <c r="F83" i="6" s="1" a="1"/>
  <c r="F83" i="6" s="1"/>
  <c r="H83" i="6" a="1"/>
  <c r="H83" i="6" s="1"/>
  <c r="E83" i="6"/>
  <c r="D83" i="6"/>
  <c r="C83" i="6"/>
  <c r="B83" i="6"/>
  <c r="A83" i="6" a="1"/>
  <c r="A83" i="6" s="1"/>
  <c r="I82" i="6" a="1"/>
  <c r="I82" i="6" s="1"/>
  <c r="F82" i="6" s="1" a="1"/>
  <c r="F82" i="6" s="1"/>
  <c r="H82" i="6" a="1"/>
  <c r="H82" i="6" s="1"/>
  <c r="E82" i="6"/>
  <c r="D82" i="6"/>
  <c r="C82" i="6"/>
  <c r="B82" i="6"/>
  <c r="A82" i="6" a="1"/>
  <c r="A82" i="6" s="1"/>
  <c r="I81" i="6" a="1"/>
  <c r="I81" i="6" s="1"/>
  <c r="F81" i="6" s="1" a="1"/>
  <c r="F81" i="6" s="1"/>
  <c r="H81" i="6" a="1"/>
  <c r="H81" i="6" s="1"/>
  <c r="E81" i="6"/>
  <c r="D81" i="6"/>
  <c r="C81" i="6"/>
  <c r="B81" i="6"/>
  <c r="A81" i="6" a="1"/>
  <c r="A81" i="6" s="1"/>
  <c r="I80" i="6" a="1"/>
  <c r="I80" i="6" s="1"/>
  <c r="F80" i="6" s="1" a="1"/>
  <c r="F80" i="6" s="1"/>
  <c r="H80" i="6" a="1"/>
  <c r="H80" i="6" s="1"/>
  <c r="E80" i="6"/>
  <c r="D80" i="6"/>
  <c r="C80" i="6"/>
  <c r="B80" i="6"/>
  <c r="A80" i="6" a="1"/>
  <c r="A80" i="6" s="1"/>
  <c r="I79" i="6" a="1"/>
  <c r="I79" i="6" s="1"/>
  <c r="F79" i="6" s="1" a="1"/>
  <c r="F79" i="6" s="1"/>
  <c r="H79" i="6" a="1"/>
  <c r="H79" i="6" s="1"/>
  <c r="E79" i="6"/>
  <c r="D79" i="6"/>
  <c r="C79" i="6"/>
  <c r="B79" i="6"/>
  <c r="A79" i="6" a="1"/>
  <c r="A79" i="6" s="1"/>
  <c r="I78" i="6" a="1"/>
  <c r="I78" i="6" s="1"/>
  <c r="F78" i="6" s="1" a="1"/>
  <c r="F78" i="6" s="1"/>
  <c r="H78" i="6" a="1"/>
  <c r="H78" i="6" s="1"/>
  <c r="E78" i="6"/>
  <c r="D78" i="6"/>
  <c r="C78" i="6"/>
  <c r="B78" i="6"/>
  <c r="A78" i="6" a="1"/>
  <c r="A78" i="6" s="1"/>
  <c r="I77" i="6" a="1"/>
  <c r="I77" i="6" s="1"/>
  <c r="F77" i="6" s="1" a="1"/>
  <c r="F77" i="6" s="1"/>
  <c r="H77" i="6" a="1"/>
  <c r="H77" i="6" s="1"/>
  <c r="E77" i="6"/>
  <c r="D77" i="6"/>
  <c r="C77" i="6"/>
  <c r="B77" i="6"/>
  <c r="A77" i="6" a="1"/>
  <c r="A77" i="6" s="1"/>
  <c r="I76" i="6" a="1"/>
  <c r="I76" i="6" s="1"/>
  <c r="F76" i="6" s="1" a="1"/>
  <c r="F76" i="6" s="1"/>
  <c r="H76" i="6" a="1"/>
  <c r="H76" i="6" s="1"/>
  <c r="E76" i="6"/>
  <c r="D76" i="6"/>
  <c r="C76" i="6"/>
  <c r="B76" i="6"/>
  <c r="A76" i="6" a="1"/>
  <c r="A76" i="6" s="1"/>
  <c r="I75" i="6" a="1"/>
  <c r="I75" i="6" s="1"/>
  <c r="F75" i="6" s="1" a="1"/>
  <c r="F75" i="6" s="1"/>
  <c r="H75" i="6" a="1"/>
  <c r="H75" i="6" s="1"/>
  <c r="E75" i="6"/>
  <c r="D75" i="6"/>
  <c r="C75" i="6"/>
  <c r="B75" i="6"/>
  <c r="A75" i="6" a="1"/>
  <c r="A75" i="6" s="1"/>
  <c r="I74" i="6" a="1"/>
  <c r="I74" i="6" s="1"/>
  <c r="F74" i="6" s="1" a="1"/>
  <c r="F74" i="6" s="1"/>
  <c r="H74" i="6" a="1"/>
  <c r="H74" i="6" s="1"/>
  <c r="E74" i="6"/>
  <c r="D74" i="6"/>
  <c r="C74" i="6"/>
  <c r="B74" i="6"/>
  <c r="A74" i="6" a="1"/>
  <c r="A74" i="6" s="1"/>
  <c r="I73" i="6" a="1"/>
  <c r="I73" i="6" s="1"/>
  <c r="F73" i="6" s="1" a="1"/>
  <c r="F73" i="6" s="1"/>
  <c r="H73" i="6" a="1"/>
  <c r="H73" i="6" s="1"/>
  <c r="E73" i="6"/>
  <c r="D73" i="6"/>
  <c r="C73" i="6"/>
  <c r="B73" i="6"/>
  <c r="A73" i="6" a="1"/>
  <c r="A73" i="6" s="1"/>
  <c r="I72" i="6" a="1"/>
  <c r="I72" i="6" s="1"/>
  <c r="F72" i="6" s="1" a="1"/>
  <c r="F72" i="6" s="1"/>
  <c r="H72" i="6" a="1"/>
  <c r="H72" i="6" s="1"/>
  <c r="E72" i="6"/>
  <c r="D72" i="6"/>
  <c r="C72" i="6"/>
  <c r="B72" i="6"/>
  <c r="A72" i="6" a="1"/>
  <c r="A72" i="6" s="1"/>
  <c r="I71" i="6" a="1"/>
  <c r="I71" i="6" s="1"/>
  <c r="F71" i="6" s="1" a="1"/>
  <c r="F71" i="6" s="1"/>
  <c r="H71" i="6" a="1"/>
  <c r="H71" i="6" s="1"/>
  <c r="E71" i="6"/>
  <c r="D71" i="6"/>
  <c r="C71" i="6"/>
  <c r="B71" i="6"/>
  <c r="A71" i="6" a="1"/>
  <c r="A71" i="6" s="1"/>
  <c r="I70" i="6" a="1"/>
  <c r="I70" i="6" s="1"/>
  <c r="F70" i="6" s="1" a="1"/>
  <c r="F70" i="6" s="1"/>
  <c r="H70" i="6" a="1"/>
  <c r="H70" i="6" s="1"/>
  <c r="E70" i="6"/>
  <c r="D70" i="6"/>
  <c r="C70" i="6"/>
  <c r="B70" i="6"/>
  <c r="A70" i="6" a="1"/>
  <c r="A70" i="6" s="1"/>
  <c r="I69" i="6" a="1"/>
  <c r="I69" i="6" s="1"/>
  <c r="F69" i="6" s="1" a="1"/>
  <c r="F69" i="6" s="1"/>
  <c r="H69" i="6" a="1"/>
  <c r="H69" i="6" s="1"/>
  <c r="E69" i="6"/>
  <c r="D69" i="6"/>
  <c r="C69" i="6"/>
  <c r="B69" i="6"/>
  <c r="A69" i="6" a="1"/>
  <c r="A69" i="6" s="1"/>
  <c r="I68" i="6" a="1"/>
  <c r="I68" i="6" s="1"/>
  <c r="F68" i="6" s="1" a="1"/>
  <c r="F68" i="6" s="1"/>
  <c r="H68" i="6" a="1"/>
  <c r="H68" i="6" s="1"/>
  <c r="E68" i="6"/>
  <c r="D68" i="6"/>
  <c r="C68" i="6"/>
  <c r="B68" i="6"/>
  <c r="A68" i="6" a="1"/>
  <c r="A68" i="6" s="1"/>
  <c r="I67" i="6" a="1"/>
  <c r="I67" i="6" s="1"/>
  <c r="F67" i="6" s="1" a="1"/>
  <c r="F67" i="6" s="1"/>
  <c r="H67" i="6" a="1"/>
  <c r="H67" i="6" s="1"/>
  <c r="E67" i="6"/>
  <c r="D67" i="6"/>
  <c r="C67" i="6"/>
  <c r="B67" i="6"/>
  <c r="A67" i="6" a="1"/>
  <c r="A67" i="6" s="1"/>
  <c r="I66" i="6" a="1"/>
  <c r="I66" i="6" s="1"/>
  <c r="F66" i="6" s="1" a="1"/>
  <c r="F66" i="6" s="1"/>
  <c r="H66" i="6" a="1"/>
  <c r="H66" i="6" s="1"/>
  <c r="E66" i="6"/>
  <c r="D66" i="6"/>
  <c r="C66" i="6"/>
  <c r="B66" i="6"/>
  <c r="A66" i="6" a="1"/>
  <c r="A66" i="6" s="1"/>
  <c r="I65" i="6" a="1"/>
  <c r="I65" i="6" s="1"/>
  <c r="F65" i="6" s="1" a="1"/>
  <c r="F65" i="6" s="1"/>
  <c r="H65" i="6" a="1"/>
  <c r="H65" i="6" s="1"/>
  <c r="E65" i="6"/>
  <c r="D65" i="6"/>
  <c r="C65" i="6"/>
  <c r="B65" i="6"/>
  <c r="A65" i="6" a="1"/>
  <c r="A65" i="6" s="1"/>
  <c r="I64" i="6" a="1"/>
  <c r="I64" i="6" s="1"/>
  <c r="F64" i="6" s="1" a="1"/>
  <c r="F64" i="6" s="1"/>
  <c r="H64" i="6" a="1"/>
  <c r="H64" i="6" s="1"/>
  <c r="E64" i="6"/>
  <c r="D64" i="6"/>
  <c r="C64" i="6"/>
  <c r="B64" i="6"/>
  <c r="A64" i="6" a="1"/>
  <c r="A64" i="6" s="1"/>
  <c r="I63" i="6" a="1"/>
  <c r="I63" i="6" s="1"/>
  <c r="F63" i="6" s="1" a="1"/>
  <c r="F63" i="6" s="1"/>
  <c r="H63" i="6" a="1"/>
  <c r="H63" i="6" s="1"/>
  <c r="E63" i="6"/>
  <c r="D63" i="6"/>
  <c r="C63" i="6"/>
  <c r="B63" i="6"/>
  <c r="A63" i="6" a="1"/>
  <c r="A63" i="6" s="1"/>
  <c r="I62" i="6" a="1"/>
  <c r="I62" i="6" s="1"/>
  <c r="F62" i="6" s="1" a="1"/>
  <c r="F62" i="6" s="1"/>
  <c r="H62" i="6" a="1"/>
  <c r="H62" i="6" s="1"/>
  <c r="E62" i="6"/>
  <c r="D62" i="6"/>
  <c r="C62" i="6"/>
  <c r="B62" i="6"/>
  <c r="A62" i="6" a="1"/>
  <c r="A62" i="6" s="1"/>
  <c r="I61" i="6" a="1"/>
  <c r="I61" i="6" s="1"/>
  <c r="F61" i="6" s="1" a="1"/>
  <c r="F61" i="6" s="1"/>
  <c r="H61" i="6" a="1"/>
  <c r="H61" i="6" s="1"/>
  <c r="E61" i="6"/>
  <c r="D61" i="6"/>
  <c r="C61" i="6"/>
  <c r="B61" i="6"/>
  <c r="A61" i="6" a="1"/>
  <c r="A61" i="6" s="1"/>
  <c r="I60" i="6" a="1"/>
  <c r="I60" i="6" s="1"/>
  <c r="F60" i="6" s="1" a="1"/>
  <c r="F60" i="6" s="1"/>
  <c r="H60" i="6" a="1"/>
  <c r="H60" i="6" s="1"/>
  <c r="E60" i="6"/>
  <c r="D60" i="6"/>
  <c r="C60" i="6"/>
  <c r="B60" i="6"/>
  <c r="A60" i="6" a="1"/>
  <c r="A60" i="6" s="1"/>
  <c r="I59" i="6" a="1"/>
  <c r="I59" i="6" s="1"/>
  <c r="F59" i="6" s="1" a="1"/>
  <c r="F59" i="6" s="1"/>
  <c r="H59" i="6" a="1"/>
  <c r="H59" i="6" s="1"/>
  <c r="E59" i="6"/>
  <c r="D59" i="6"/>
  <c r="C59" i="6"/>
  <c r="B59" i="6"/>
  <c r="A59" i="6" a="1"/>
  <c r="A59" i="6" s="1"/>
  <c r="I58" i="6" a="1"/>
  <c r="I58" i="6" s="1"/>
  <c r="F58" i="6" s="1" a="1"/>
  <c r="F58" i="6" s="1"/>
  <c r="H58" i="6" a="1"/>
  <c r="H58" i="6" s="1"/>
  <c r="E58" i="6"/>
  <c r="D58" i="6"/>
  <c r="C58" i="6"/>
  <c r="B58" i="6"/>
  <c r="A58" i="6" a="1"/>
  <c r="A58" i="6" s="1"/>
  <c r="I57" i="6" a="1"/>
  <c r="I57" i="6" s="1"/>
  <c r="F57" i="6" s="1" a="1"/>
  <c r="F57" i="6" s="1"/>
  <c r="H57" i="6" a="1"/>
  <c r="H57" i="6" s="1"/>
  <c r="E57" i="6"/>
  <c r="D57" i="6"/>
  <c r="C57" i="6"/>
  <c r="B57" i="6"/>
  <c r="A57" i="6" a="1"/>
  <c r="A57" i="6" s="1"/>
  <c r="I56" i="6" a="1"/>
  <c r="I56" i="6" s="1"/>
  <c r="F56" i="6" s="1" a="1"/>
  <c r="F56" i="6" s="1"/>
  <c r="H56" i="6" a="1"/>
  <c r="H56" i="6" s="1"/>
  <c r="E56" i="6"/>
  <c r="D56" i="6"/>
  <c r="C56" i="6"/>
  <c r="B56" i="6"/>
  <c r="A56" i="6" a="1"/>
  <c r="A56" i="6" s="1"/>
  <c r="I55" i="6" a="1"/>
  <c r="I55" i="6" s="1"/>
  <c r="F55" i="6" s="1" a="1"/>
  <c r="F55" i="6" s="1"/>
  <c r="H55" i="6" a="1"/>
  <c r="H55" i="6" s="1"/>
  <c r="E55" i="6"/>
  <c r="D55" i="6"/>
  <c r="C55" i="6"/>
  <c r="B55" i="6"/>
  <c r="A55" i="6" a="1"/>
  <c r="A55" i="6" s="1"/>
  <c r="I54" i="6" a="1"/>
  <c r="I54" i="6" s="1"/>
  <c r="F54" i="6" s="1" a="1"/>
  <c r="F54" i="6" s="1"/>
  <c r="H54" i="6" a="1"/>
  <c r="H54" i="6" s="1"/>
  <c r="E54" i="6"/>
  <c r="D54" i="6"/>
  <c r="C54" i="6"/>
  <c r="B54" i="6"/>
  <c r="A54" i="6" a="1"/>
  <c r="A54" i="6" s="1"/>
  <c r="I53" i="6" a="1"/>
  <c r="I53" i="6" s="1"/>
  <c r="F53" i="6" s="1" a="1"/>
  <c r="F53" i="6" s="1"/>
  <c r="H53" i="6" a="1"/>
  <c r="H53" i="6" s="1"/>
  <c r="E53" i="6"/>
  <c r="D53" i="6"/>
  <c r="C53" i="6"/>
  <c r="B53" i="6"/>
  <c r="A53" i="6" a="1"/>
  <c r="A53" i="6" s="1"/>
  <c r="I52" i="6" a="1"/>
  <c r="I52" i="6" s="1"/>
  <c r="F52" i="6" s="1" a="1"/>
  <c r="F52" i="6" s="1"/>
  <c r="H52" i="6" a="1"/>
  <c r="H52" i="6" s="1"/>
  <c r="E52" i="6"/>
  <c r="D52" i="6"/>
  <c r="C52" i="6"/>
  <c r="B52" i="6"/>
  <c r="A52" i="6" a="1"/>
  <c r="A52" i="6" s="1"/>
  <c r="I51" i="6" a="1"/>
  <c r="I51" i="6" s="1"/>
  <c r="F51" i="6" s="1" a="1"/>
  <c r="F51" i="6" s="1"/>
  <c r="H51" i="6" a="1"/>
  <c r="H51" i="6" s="1"/>
  <c r="E51" i="6"/>
  <c r="D51" i="6"/>
  <c r="C51" i="6"/>
  <c r="B51" i="6"/>
  <c r="A51" i="6" a="1"/>
  <c r="A51" i="6" s="1"/>
  <c r="I50" i="6" a="1"/>
  <c r="I50" i="6" s="1"/>
  <c r="F50" i="6" s="1" a="1"/>
  <c r="F50" i="6" s="1"/>
  <c r="H50" i="6" a="1"/>
  <c r="H50" i="6" s="1"/>
  <c r="E50" i="6"/>
  <c r="D50" i="6"/>
  <c r="C50" i="6"/>
  <c r="B50" i="6"/>
  <c r="A50" i="6" a="1"/>
  <c r="A50" i="6" s="1"/>
  <c r="I49" i="6" a="1"/>
  <c r="I49" i="6" s="1"/>
  <c r="F49" i="6" s="1" a="1"/>
  <c r="F49" i="6" s="1"/>
  <c r="H49" i="6" a="1"/>
  <c r="H49" i="6" s="1"/>
  <c r="E49" i="6"/>
  <c r="D49" i="6"/>
  <c r="C49" i="6"/>
  <c r="B49" i="6"/>
  <c r="A49" i="6" a="1"/>
  <c r="A49" i="6" s="1"/>
  <c r="I48" i="6" a="1"/>
  <c r="I48" i="6" s="1"/>
  <c r="F48" i="6" s="1" a="1"/>
  <c r="F48" i="6" s="1"/>
  <c r="H48" i="6" a="1"/>
  <c r="H48" i="6" s="1"/>
  <c r="E48" i="6"/>
  <c r="D48" i="6"/>
  <c r="C48" i="6"/>
  <c r="B48" i="6"/>
  <c r="A48" i="6" a="1"/>
  <c r="A48" i="6" s="1"/>
  <c r="I47" i="6" a="1"/>
  <c r="I47" i="6" s="1"/>
  <c r="F47" i="6" s="1" a="1"/>
  <c r="F47" i="6" s="1"/>
  <c r="H47" i="6" a="1"/>
  <c r="H47" i="6" s="1"/>
  <c r="E47" i="6"/>
  <c r="D47" i="6"/>
  <c r="C47" i="6"/>
  <c r="B47" i="6"/>
  <c r="A47" i="6" a="1"/>
  <c r="A47" i="6" s="1"/>
  <c r="I46" i="6" a="1"/>
  <c r="I46" i="6" s="1"/>
  <c r="F46" i="6" s="1" a="1"/>
  <c r="F46" i="6" s="1"/>
  <c r="H46" i="6" a="1"/>
  <c r="H46" i="6" s="1"/>
  <c r="E46" i="6"/>
  <c r="D46" i="6"/>
  <c r="C46" i="6"/>
  <c r="B46" i="6"/>
  <c r="A46" i="6" a="1"/>
  <c r="A46" i="6" s="1"/>
  <c r="I45" i="6" a="1"/>
  <c r="I45" i="6" s="1"/>
  <c r="F45" i="6" s="1" a="1"/>
  <c r="F45" i="6" s="1"/>
  <c r="H45" i="6" a="1"/>
  <c r="H45" i="6" s="1"/>
  <c r="E45" i="6"/>
  <c r="D45" i="6"/>
  <c r="C45" i="6"/>
  <c r="B45" i="6"/>
  <c r="A45" i="6" a="1"/>
  <c r="A45" i="6" s="1"/>
  <c r="I44" i="6" a="1"/>
  <c r="I44" i="6" s="1"/>
  <c r="F44" i="6" s="1" a="1"/>
  <c r="F44" i="6" s="1"/>
  <c r="H44" i="6" a="1"/>
  <c r="H44" i="6" s="1"/>
  <c r="E44" i="6"/>
  <c r="D44" i="6"/>
  <c r="C44" i="6"/>
  <c r="B44" i="6"/>
  <c r="A44" i="6" a="1"/>
  <c r="A44" i="6" s="1"/>
  <c r="I43" i="6" a="1"/>
  <c r="I43" i="6" s="1"/>
  <c r="F43" i="6" s="1" a="1"/>
  <c r="F43" i="6" s="1"/>
  <c r="H43" i="6" a="1"/>
  <c r="H43" i="6" s="1"/>
  <c r="E43" i="6"/>
  <c r="D43" i="6"/>
  <c r="C43" i="6"/>
  <c r="B43" i="6"/>
  <c r="A43" i="6" a="1"/>
  <c r="A43" i="6" s="1"/>
  <c r="I42" i="6" a="1"/>
  <c r="I42" i="6" s="1"/>
  <c r="F42" i="6" s="1" a="1"/>
  <c r="F42" i="6" s="1"/>
  <c r="H42" i="6" a="1"/>
  <c r="H42" i="6" s="1"/>
  <c r="E42" i="6"/>
  <c r="D42" i="6"/>
  <c r="C42" i="6"/>
  <c r="B42" i="6"/>
  <c r="A42" i="6" a="1"/>
  <c r="A42" i="6" s="1"/>
  <c r="I41" i="6" a="1"/>
  <c r="I41" i="6" s="1"/>
  <c r="F41" i="6" s="1" a="1"/>
  <c r="F41" i="6" s="1"/>
  <c r="H41" i="6" a="1"/>
  <c r="H41" i="6" s="1"/>
  <c r="E41" i="6"/>
  <c r="D41" i="6"/>
  <c r="C41" i="6"/>
  <c r="B41" i="6"/>
  <c r="A41" i="6" a="1"/>
  <c r="A41" i="6" s="1"/>
  <c r="I40" i="6" a="1"/>
  <c r="I40" i="6" s="1"/>
  <c r="F40" i="6" s="1" a="1"/>
  <c r="F40" i="6" s="1"/>
  <c r="H40" i="6" a="1"/>
  <c r="H40" i="6" s="1"/>
  <c r="E40" i="6"/>
  <c r="D40" i="6"/>
  <c r="C40" i="6"/>
  <c r="B40" i="6"/>
  <c r="A40" i="6" a="1"/>
  <c r="A40" i="6" s="1"/>
  <c r="I39" i="6" a="1"/>
  <c r="I39" i="6" s="1"/>
  <c r="F39" i="6" s="1" a="1"/>
  <c r="F39" i="6" s="1"/>
  <c r="H39" i="6" a="1"/>
  <c r="H39" i="6" s="1"/>
  <c r="E39" i="6"/>
  <c r="D39" i="6"/>
  <c r="C39" i="6"/>
  <c r="B39" i="6"/>
  <c r="A39" i="6" a="1"/>
  <c r="A39" i="6" s="1"/>
  <c r="I38" i="6" a="1"/>
  <c r="I38" i="6" s="1"/>
  <c r="F38" i="6" s="1" a="1"/>
  <c r="F38" i="6" s="1"/>
  <c r="H38" i="6" a="1"/>
  <c r="H38" i="6" s="1"/>
  <c r="E38" i="6"/>
  <c r="D38" i="6"/>
  <c r="C38" i="6"/>
  <c r="B38" i="6"/>
  <c r="A38" i="6" a="1"/>
  <c r="A38" i="6" s="1"/>
  <c r="I37" i="6" a="1"/>
  <c r="I37" i="6" s="1"/>
  <c r="F37" i="6" s="1" a="1"/>
  <c r="F37" i="6" s="1"/>
  <c r="H37" i="6" a="1"/>
  <c r="H37" i="6" s="1"/>
  <c r="E37" i="6"/>
  <c r="D37" i="6"/>
  <c r="C37" i="6"/>
  <c r="B37" i="6"/>
  <c r="A37" i="6" a="1"/>
  <c r="A37" i="6" s="1"/>
  <c r="I36" i="6" a="1"/>
  <c r="I36" i="6" s="1"/>
  <c r="F36" i="6" s="1" a="1"/>
  <c r="F36" i="6" s="1"/>
  <c r="H36" i="6" a="1"/>
  <c r="H36" i="6" s="1"/>
  <c r="E36" i="6"/>
  <c r="D36" i="6"/>
  <c r="C36" i="6"/>
  <c r="B36" i="6"/>
  <c r="A36" i="6" a="1"/>
  <c r="A36" i="6" s="1"/>
  <c r="I35" i="6" a="1"/>
  <c r="I35" i="6" s="1"/>
  <c r="F35" i="6" s="1" a="1"/>
  <c r="F35" i="6" s="1"/>
  <c r="H35" i="6" a="1"/>
  <c r="H35" i="6" s="1"/>
  <c r="E35" i="6"/>
  <c r="D35" i="6"/>
  <c r="C35" i="6"/>
  <c r="B35" i="6"/>
  <c r="A35" i="6" a="1"/>
  <c r="A35" i="6" s="1"/>
  <c r="I34" i="6" a="1"/>
  <c r="I34" i="6" s="1"/>
  <c r="F34" i="6" s="1" a="1"/>
  <c r="F34" i="6" s="1"/>
  <c r="H34" i="6" a="1"/>
  <c r="H34" i="6" s="1"/>
  <c r="E34" i="6"/>
  <c r="D34" i="6"/>
  <c r="C34" i="6"/>
  <c r="B34" i="6"/>
  <c r="A34" i="6" a="1"/>
  <c r="A34" i="6" s="1"/>
  <c r="I33" i="6" a="1"/>
  <c r="I33" i="6" s="1"/>
  <c r="F33" i="6" s="1" a="1"/>
  <c r="F33" i="6" s="1"/>
  <c r="H33" i="6" a="1"/>
  <c r="H33" i="6" s="1"/>
  <c r="E33" i="6"/>
  <c r="D33" i="6"/>
  <c r="C33" i="6"/>
  <c r="B33" i="6"/>
  <c r="A33" i="6" a="1"/>
  <c r="A33" i="6" s="1"/>
  <c r="I32" i="6" a="1"/>
  <c r="I32" i="6" s="1"/>
  <c r="F32" i="6" s="1" a="1"/>
  <c r="F32" i="6" s="1"/>
  <c r="H32" i="6" a="1"/>
  <c r="H32" i="6" s="1"/>
  <c r="E32" i="6"/>
  <c r="D32" i="6"/>
  <c r="C32" i="6"/>
  <c r="B32" i="6"/>
  <c r="A32" i="6" a="1"/>
  <c r="A32" i="6" s="1"/>
  <c r="I31" i="6" a="1"/>
  <c r="I31" i="6" s="1"/>
  <c r="F31" i="6" s="1" a="1"/>
  <c r="F31" i="6" s="1"/>
  <c r="H31" i="6" a="1"/>
  <c r="H31" i="6" s="1"/>
  <c r="E31" i="6"/>
  <c r="D31" i="6"/>
  <c r="C31" i="6"/>
  <c r="B31" i="6"/>
  <c r="A31" i="6" a="1"/>
  <c r="A31" i="6" s="1"/>
  <c r="I30" i="6" a="1"/>
  <c r="I30" i="6" s="1"/>
  <c r="F30" i="6" s="1" a="1"/>
  <c r="F30" i="6" s="1"/>
  <c r="H30" i="6" a="1"/>
  <c r="H30" i="6" s="1"/>
  <c r="E30" i="6"/>
  <c r="D30" i="6"/>
  <c r="C30" i="6"/>
  <c r="B30" i="6"/>
  <c r="A30" i="6" a="1"/>
  <c r="A30" i="6" s="1"/>
  <c r="I29" i="6" a="1"/>
  <c r="I29" i="6" s="1"/>
  <c r="F29" i="6" s="1" a="1"/>
  <c r="F29" i="6" s="1"/>
  <c r="H29" i="6" a="1"/>
  <c r="H29" i="6" s="1"/>
  <c r="E29" i="6"/>
  <c r="D29" i="6"/>
  <c r="C29" i="6"/>
  <c r="B29" i="6"/>
  <c r="A29" i="6" a="1"/>
  <c r="A29" i="6" s="1"/>
  <c r="I28" i="6" a="1"/>
  <c r="I28" i="6" s="1"/>
  <c r="F28" i="6" s="1" a="1"/>
  <c r="F28" i="6" s="1"/>
  <c r="H28" i="6" a="1"/>
  <c r="H28" i="6" s="1"/>
  <c r="E28" i="6"/>
  <c r="D28" i="6"/>
  <c r="C28" i="6"/>
  <c r="B28" i="6"/>
  <c r="A28" i="6" a="1"/>
  <c r="A28" i="6" s="1"/>
  <c r="I27" i="6" a="1"/>
  <c r="I27" i="6" s="1"/>
  <c r="F27" i="6" s="1" a="1"/>
  <c r="F27" i="6" s="1"/>
  <c r="H27" i="6" a="1"/>
  <c r="H27" i="6" s="1"/>
  <c r="E27" i="6"/>
  <c r="D27" i="6"/>
  <c r="C27" i="6"/>
  <c r="B27" i="6"/>
  <c r="A27" i="6" a="1"/>
  <c r="A27" i="6" s="1"/>
  <c r="I26" i="6" a="1"/>
  <c r="I26" i="6" s="1"/>
  <c r="F26" i="6" s="1" a="1"/>
  <c r="F26" i="6" s="1"/>
  <c r="H26" i="6" a="1"/>
  <c r="H26" i="6" s="1"/>
  <c r="E26" i="6"/>
  <c r="D26" i="6"/>
  <c r="C26" i="6"/>
  <c r="B26" i="6"/>
  <c r="A26" i="6" a="1"/>
  <c r="A26" i="6" s="1"/>
  <c r="I25" i="6" a="1"/>
  <c r="I25" i="6" s="1"/>
  <c r="F25" i="6" s="1" a="1"/>
  <c r="F25" i="6" s="1"/>
  <c r="H25" i="6" a="1"/>
  <c r="H25" i="6" s="1"/>
  <c r="E25" i="6"/>
  <c r="D25" i="6"/>
  <c r="C25" i="6"/>
  <c r="B25" i="6"/>
  <c r="A25" i="6" a="1"/>
  <c r="A25" i="6" s="1"/>
  <c r="I24" i="6" a="1"/>
  <c r="I24" i="6" s="1"/>
  <c r="F24" i="6" s="1" a="1"/>
  <c r="F24" i="6" s="1"/>
  <c r="H24" i="6" a="1"/>
  <c r="H24" i="6" s="1"/>
  <c r="E24" i="6"/>
  <c r="D24" i="6"/>
  <c r="C24" i="6"/>
  <c r="B24" i="6"/>
  <c r="A24" i="6" a="1"/>
  <c r="A24" i="6" s="1"/>
  <c r="I23" i="6" a="1"/>
  <c r="I23" i="6" s="1"/>
  <c r="F23" i="6" s="1" a="1"/>
  <c r="F23" i="6" s="1"/>
  <c r="H23" i="6" a="1"/>
  <c r="H23" i="6" s="1"/>
  <c r="E23" i="6"/>
  <c r="D23" i="6"/>
  <c r="C23" i="6"/>
  <c r="B23" i="6"/>
  <c r="A23" i="6" a="1"/>
  <c r="A23" i="6" s="1"/>
  <c r="I22" i="6" a="1"/>
  <c r="I22" i="6" s="1"/>
  <c r="F22" i="6" s="1" a="1"/>
  <c r="F22" i="6" s="1"/>
  <c r="H22" i="6" a="1"/>
  <c r="H22" i="6" s="1"/>
  <c r="E22" i="6"/>
  <c r="D22" i="6"/>
  <c r="C22" i="6"/>
  <c r="B22" i="6"/>
  <c r="A22" i="6" a="1"/>
  <c r="A22" i="6" s="1"/>
  <c r="I21" i="6" a="1"/>
  <c r="I21" i="6" s="1"/>
  <c r="F21" i="6" s="1" a="1"/>
  <c r="F21" i="6" s="1"/>
  <c r="H21" i="6" a="1"/>
  <c r="H21" i="6" s="1"/>
  <c r="E21" i="6"/>
  <c r="D21" i="6"/>
  <c r="C21" i="6"/>
  <c r="B21" i="6"/>
  <c r="A21" i="6" a="1"/>
  <c r="A21" i="6" s="1"/>
  <c r="I20" i="6" a="1"/>
  <c r="I20" i="6" s="1"/>
  <c r="F20" i="6" s="1" a="1"/>
  <c r="F20" i="6" s="1"/>
  <c r="H20" i="6" a="1"/>
  <c r="H20" i="6" s="1"/>
  <c r="E20" i="6"/>
  <c r="D20" i="6"/>
  <c r="C20" i="6"/>
  <c r="B20" i="6"/>
  <c r="A20" i="6" a="1"/>
  <c r="A20" i="6" s="1"/>
  <c r="I19" i="6" a="1"/>
  <c r="I19" i="6" s="1"/>
  <c r="F19" i="6" s="1" a="1"/>
  <c r="F19" i="6" s="1"/>
  <c r="H19" i="6" a="1"/>
  <c r="H19" i="6" s="1"/>
  <c r="E19" i="6"/>
  <c r="D19" i="6"/>
  <c r="C19" i="6"/>
  <c r="B19" i="6"/>
  <c r="A19" i="6" a="1"/>
  <c r="A19" i="6" s="1"/>
  <c r="I18" i="6" a="1"/>
  <c r="I18" i="6" s="1"/>
  <c r="F18" i="6" s="1" a="1"/>
  <c r="F18" i="6" s="1"/>
  <c r="H18" i="6" a="1"/>
  <c r="H18" i="6" s="1"/>
  <c r="E18" i="6"/>
  <c r="D18" i="6"/>
  <c r="C18" i="6"/>
  <c r="B18" i="6"/>
  <c r="A18" i="6" a="1"/>
  <c r="A18" i="6" s="1"/>
  <c r="I17" i="6" a="1"/>
  <c r="I17" i="6" s="1"/>
  <c r="F17" i="6" s="1" a="1"/>
  <c r="F17" i="6" s="1"/>
  <c r="H17" i="6" a="1"/>
  <c r="H17" i="6" s="1"/>
  <c r="E17" i="6"/>
  <c r="D17" i="6"/>
  <c r="C17" i="6"/>
  <c r="B17" i="6"/>
  <c r="A17" i="6" a="1"/>
  <c r="A17" i="6" s="1"/>
  <c r="I16" i="6" a="1"/>
  <c r="I16" i="6" s="1"/>
  <c r="F16" i="6" s="1" a="1"/>
  <c r="F16" i="6" s="1"/>
  <c r="H16" i="6" a="1"/>
  <c r="H16" i="6" s="1"/>
  <c r="E16" i="6"/>
  <c r="D16" i="6"/>
  <c r="C16" i="6"/>
  <c r="B16" i="6"/>
  <c r="A16" i="6" a="1"/>
  <c r="A16" i="6" s="1"/>
  <c r="I15" i="6" a="1"/>
  <c r="I15" i="6" s="1"/>
  <c r="F15" i="6" s="1" a="1"/>
  <c r="F15" i="6" s="1"/>
  <c r="H15" i="6" a="1"/>
  <c r="H15" i="6" s="1"/>
  <c r="E15" i="6"/>
  <c r="D15" i="6"/>
  <c r="C15" i="6"/>
  <c r="B15" i="6"/>
  <c r="A15" i="6" a="1"/>
  <c r="A15" i="6" s="1"/>
  <c r="I14" i="6" a="1"/>
  <c r="I14" i="6" s="1"/>
  <c r="F14" i="6" s="1" a="1"/>
  <c r="F14" i="6" s="1"/>
  <c r="H14" i="6" a="1"/>
  <c r="H14" i="6" s="1"/>
  <c r="E14" i="6"/>
  <c r="D14" i="6"/>
  <c r="C14" i="6"/>
  <c r="B14" i="6"/>
  <c r="A14" i="6" a="1"/>
  <c r="A14" i="6" s="1"/>
  <c r="I13" i="6" a="1"/>
  <c r="I13" i="6" s="1"/>
  <c r="F13" i="6" s="1" a="1"/>
  <c r="F13" i="6" s="1"/>
  <c r="H13" i="6" a="1"/>
  <c r="H13" i="6" s="1"/>
  <c r="E13" i="6"/>
  <c r="D13" i="6"/>
  <c r="C13" i="6"/>
  <c r="B13" i="6"/>
  <c r="A13" i="6" a="1"/>
  <c r="A13" i="6" s="1"/>
  <c r="I12" i="6" a="1"/>
  <c r="I12" i="6" s="1"/>
  <c r="F12" i="6" s="1" a="1"/>
  <c r="F12" i="6" s="1"/>
  <c r="H12" i="6" a="1"/>
  <c r="H12" i="6" s="1"/>
  <c r="E12" i="6"/>
  <c r="D12" i="6"/>
  <c r="C12" i="6"/>
  <c r="B12" i="6"/>
  <c r="A12" i="6" a="1"/>
  <c r="A12" i="6" s="1"/>
  <c r="I11" i="6" a="1"/>
  <c r="I11" i="6" s="1"/>
  <c r="F11" i="6" s="1" a="1"/>
  <c r="F11" i="6" s="1"/>
  <c r="H11" i="6" a="1"/>
  <c r="H11" i="6" s="1"/>
  <c r="E11" i="6"/>
  <c r="D11" i="6"/>
  <c r="C11" i="6"/>
  <c r="B11" i="6"/>
  <c r="A11" i="6" a="1"/>
  <c r="A11" i="6" s="1"/>
  <c r="I10" i="6" a="1"/>
  <c r="I10" i="6" s="1"/>
  <c r="F10" i="6" s="1" a="1"/>
  <c r="F10" i="6" s="1"/>
  <c r="H10" i="6" a="1"/>
  <c r="H10" i="6" s="1"/>
  <c r="E10" i="6"/>
  <c r="D10" i="6"/>
  <c r="C10" i="6"/>
  <c r="B10" i="6"/>
  <c r="A10" i="6" a="1"/>
  <c r="A10" i="6" s="1"/>
  <c r="I9" i="6" a="1"/>
  <c r="I9" i="6" s="1"/>
  <c r="F9" i="6" s="1" a="1"/>
  <c r="F9" i="6" s="1"/>
  <c r="H9" i="6" a="1"/>
  <c r="H9" i="6" s="1"/>
  <c r="E9" i="6"/>
  <c r="D9" i="6"/>
  <c r="C9" i="6"/>
  <c r="B9" i="6"/>
  <c r="A9" i="6" a="1"/>
  <c r="A9" i="6" s="1"/>
  <c r="I8" i="6" a="1"/>
  <c r="I8" i="6" s="1"/>
  <c r="F8" i="6" s="1" a="1"/>
  <c r="F8" i="6" s="1"/>
  <c r="H8" i="6" a="1"/>
  <c r="H8" i="6" s="1"/>
  <c r="E8" i="6"/>
  <c r="D8" i="6"/>
  <c r="C8" i="6"/>
  <c r="B8" i="6"/>
  <c r="A8" i="6" a="1"/>
  <c r="A8" i="6" s="1"/>
  <c r="I7" i="6" a="1"/>
  <c r="I7" i="6" s="1"/>
  <c r="F7" i="6" s="1" a="1"/>
  <c r="F7" i="6" s="1"/>
  <c r="H7" i="6" a="1"/>
  <c r="H7" i="6" s="1"/>
  <c r="E7" i="6"/>
  <c r="D7" i="6"/>
  <c r="C7" i="6"/>
  <c r="B7" i="6"/>
  <c r="A7" i="6" a="1"/>
  <c r="A7" i="6" s="1"/>
  <c r="I6" i="6" a="1"/>
  <c r="I6" i="6" s="1"/>
  <c r="F6" i="6" s="1" a="1"/>
  <c r="F6" i="6" s="1"/>
  <c r="H6" i="6" a="1"/>
  <c r="H6" i="6" s="1"/>
  <c r="E6" i="6"/>
  <c r="D6" i="6"/>
  <c r="C6" i="6"/>
  <c r="B6" i="6"/>
  <c r="A6" i="6" a="1"/>
  <c r="A6" i="6" s="1"/>
  <c r="I5" i="6" a="1"/>
  <c r="I5" i="6" s="1"/>
  <c r="F5" i="6" s="1" a="1"/>
  <c r="F5" i="6" s="1"/>
  <c r="H5" i="6" a="1"/>
  <c r="H5" i="6" s="1"/>
  <c r="E5" i="6"/>
  <c r="D5" i="6"/>
  <c r="C5" i="6"/>
  <c r="B5" i="6"/>
  <c r="A5" i="6" a="1"/>
  <c r="A5" i="6" s="1"/>
  <c r="I4" i="6" a="1"/>
  <c r="I4" i="6" s="1"/>
  <c r="F4" i="6" s="1" a="1"/>
  <c r="F4" i="6" s="1"/>
  <c r="H4" i="6" a="1"/>
  <c r="H4" i="6" s="1"/>
  <c r="E4" i="6"/>
  <c r="D4" i="6"/>
  <c r="C4" i="6"/>
  <c r="B4" i="6"/>
  <c r="A4" i="6" a="1"/>
  <c r="A4" i="6" s="1"/>
  <c r="I3" i="6" a="1"/>
  <c r="I3" i="6" s="1"/>
  <c r="F3" i="6" s="1" a="1"/>
  <c r="F3" i="6" s="1"/>
  <c r="H3" i="6" a="1"/>
  <c r="H3" i="6" s="1"/>
  <c r="E3" i="6"/>
  <c r="D3" i="6"/>
  <c r="C3" i="6"/>
  <c r="B3" i="6"/>
  <c r="A3" i="6" a="1"/>
  <c r="A3" i="6" s="1"/>
  <c r="I2" i="6" a="1"/>
  <c r="I2" i="6" s="1"/>
  <c r="F2" i="6" s="1" a="1"/>
  <c r="F2" i="6" s="1"/>
  <c r="H2" i="6" a="1"/>
  <c r="H2" i="6" s="1"/>
  <c r="E2" i="6"/>
  <c r="D2" i="6"/>
  <c r="C2" i="6"/>
  <c r="B2" i="6"/>
  <c r="A2" i="6" a="1"/>
  <c r="A2" i="6" s="1"/>
  <c r="H4999" i="5"/>
  <c r="G4999" i="5"/>
  <c r="H4998" i="5"/>
  <c r="G4998" i="5"/>
  <c r="H4997" i="5"/>
  <c r="G4997" i="5"/>
  <c r="H4996" i="5"/>
  <c r="G4996" i="5"/>
  <c r="H4995" i="5"/>
  <c r="G4995" i="5"/>
  <c r="H4994" i="5"/>
  <c r="G4994" i="5"/>
  <c r="H4993" i="5"/>
  <c r="G4993" i="5"/>
  <c r="H4992" i="5"/>
  <c r="G4992" i="5"/>
  <c r="H4991" i="5"/>
  <c r="G4991" i="5"/>
  <c r="H4990" i="5"/>
  <c r="G4990" i="5"/>
  <c r="H4989" i="5"/>
  <c r="G4989" i="5"/>
  <c r="H4988" i="5"/>
  <c r="G4988" i="5"/>
  <c r="H4987" i="5"/>
  <c r="G4987" i="5"/>
  <c r="H4986" i="5"/>
  <c r="G4986" i="5"/>
  <c r="H4985" i="5"/>
  <c r="G4985" i="5"/>
  <c r="H4984" i="5"/>
  <c r="G4984" i="5"/>
  <c r="H4983" i="5"/>
  <c r="G4983" i="5"/>
  <c r="H4982" i="5"/>
  <c r="G4982" i="5"/>
  <c r="H4981" i="5"/>
  <c r="G4981" i="5"/>
  <c r="H4980" i="5"/>
  <c r="G4980" i="5"/>
  <c r="H4979" i="5"/>
  <c r="G4979" i="5"/>
  <c r="H4978" i="5"/>
  <c r="G4978" i="5"/>
  <c r="H4977" i="5"/>
  <c r="G4977" i="5"/>
  <c r="H4976" i="5"/>
  <c r="G4976" i="5"/>
  <c r="H4975" i="5"/>
  <c r="G4975" i="5"/>
  <c r="H4974" i="5"/>
  <c r="G4974" i="5"/>
  <c r="H4973" i="5"/>
  <c r="G4973" i="5"/>
  <c r="H4972" i="5"/>
  <c r="G4972" i="5"/>
  <c r="H4971" i="5"/>
  <c r="G4971" i="5"/>
  <c r="H4970" i="5"/>
  <c r="G4970" i="5"/>
  <c r="H4969" i="5"/>
  <c r="G4969" i="5"/>
  <c r="H4968" i="5"/>
  <c r="G4968" i="5"/>
  <c r="H4967" i="5"/>
  <c r="G4967" i="5"/>
  <c r="H4966" i="5"/>
  <c r="G4966" i="5"/>
  <c r="H4965" i="5"/>
  <c r="G4965" i="5"/>
  <c r="H4964" i="5"/>
  <c r="G4964" i="5"/>
  <c r="H4963" i="5"/>
  <c r="G4963" i="5"/>
  <c r="H4962" i="5"/>
  <c r="G4962" i="5"/>
  <c r="H4961" i="5"/>
  <c r="G4961" i="5"/>
  <c r="H4960" i="5"/>
  <c r="G4960" i="5"/>
  <c r="H4959" i="5"/>
  <c r="G4959" i="5"/>
  <c r="H4958" i="5"/>
  <c r="G4958" i="5"/>
  <c r="H4957" i="5"/>
  <c r="G4957" i="5"/>
  <c r="H4956" i="5"/>
  <c r="G4956" i="5"/>
  <c r="H4955" i="5"/>
  <c r="G4955" i="5"/>
  <c r="H4954" i="5"/>
  <c r="G4954" i="5"/>
  <c r="H4953" i="5"/>
  <c r="G4953" i="5"/>
  <c r="H4952" i="5"/>
  <c r="G4952" i="5"/>
  <c r="H4951" i="5"/>
  <c r="G4951" i="5"/>
  <c r="H4950" i="5"/>
  <c r="G4950" i="5"/>
  <c r="H4949" i="5"/>
  <c r="G4949" i="5"/>
  <c r="H4948" i="5"/>
  <c r="G4948" i="5"/>
  <c r="H4947" i="5"/>
  <c r="G4947" i="5"/>
  <c r="H4946" i="5"/>
  <c r="G4946" i="5"/>
  <c r="H4945" i="5"/>
  <c r="G4945" i="5"/>
  <c r="H4944" i="5"/>
  <c r="G4944" i="5"/>
  <c r="H4943" i="5"/>
  <c r="G4943" i="5"/>
  <c r="H4942" i="5"/>
  <c r="G4942" i="5"/>
  <c r="H4941" i="5"/>
  <c r="G4941" i="5"/>
  <c r="H4940" i="5"/>
  <c r="G4940" i="5"/>
  <c r="H4939" i="5"/>
  <c r="G4939" i="5"/>
  <c r="H4938" i="5"/>
  <c r="G4938" i="5"/>
  <c r="H4937" i="5"/>
  <c r="G4937" i="5"/>
  <c r="H4936" i="5"/>
  <c r="G4936" i="5"/>
  <c r="H4935" i="5"/>
  <c r="G4935" i="5"/>
  <c r="H4934" i="5"/>
  <c r="G4934" i="5"/>
  <c r="H4933" i="5"/>
  <c r="G4933" i="5"/>
  <c r="H4932" i="5"/>
  <c r="G4932" i="5"/>
  <c r="H4931" i="5"/>
  <c r="G4931" i="5"/>
  <c r="H4930" i="5"/>
  <c r="G4930" i="5"/>
  <c r="H4929" i="5"/>
  <c r="G4929" i="5"/>
  <c r="H4928" i="5"/>
  <c r="G4928" i="5"/>
  <c r="H4927" i="5"/>
  <c r="G4927" i="5"/>
  <c r="H4926" i="5"/>
  <c r="G4926" i="5"/>
  <c r="H4925" i="5"/>
  <c r="G4925" i="5"/>
  <c r="H4924" i="5"/>
  <c r="G4924" i="5"/>
  <c r="H4923" i="5"/>
  <c r="G4923" i="5"/>
  <c r="H4922" i="5"/>
  <c r="G4922" i="5"/>
  <c r="H4921" i="5"/>
  <c r="G4921" i="5"/>
  <c r="H4920" i="5"/>
  <c r="G4920" i="5"/>
  <c r="H4919" i="5"/>
  <c r="G4919" i="5"/>
  <c r="H4918" i="5"/>
  <c r="G4918" i="5"/>
  <c r="H4917" i="5"/>
  <c r="G4917" i="5"/>
  <c r="H4916" i="5"/>
  <c r="G4916" i="5"/>
  <c r="H4915" i="5"/>
  <c r="G4915" i="5"/>
  <c r="H4914" i="5"/>
  <c r="G4914" i="5"/>
  <c r="H4913" i="5"/>
  <c r="G4913" i="5"/>
  <c r="H4912" i="5"/>
  <c r="G4912" i="5"/>
  <c r="H4911" i="5"/>
  <c r="G4911" i="5"/>
  <c r="H4910" i="5"/>
  <c r="G4910" i="5"/>
  <c r="H4909" i="5"/>
  <c r="G4909" i="5"/>
  <c r="H4908" i="5"/>
  <c r="G4908" i="5"/>
  <c r="H4907" i="5"/>
  <c r="G4907" i="5"/>
  <c r="H4906" i="5"/>
  <c r="G4906" i="5"/>
  <c r="H4905" i="5"/>
  <c r="G4905" i="5"/>
  <c r="H4904" i="5"/>
  <c r="G4904" i="5"/>
  <c r="H4903" i="5"/>
  <c r="G4903" i="5"/>
  <c r="H4902" i="5"/>
  <c r="G4902" i="5"/>
  <c r="H4901" i="5"/>
  <c r="G4901" i="5"/>
  <c r="H4900" i="5"/>
  <c r="G4900" i="5"/>
  <c r="H4899" i="5"/>
  <c r="G4899" i="5"/>
  <c r="H4898" i="5"/>
  <c r="G4898" i="5"/>
  <c r="H4897" i="5"/>
  <c r="G4897" i="5"/>
  <c r="H4896" i="5"/>
  <c r="G4896" i="5"/>
  <c r="H4895" i="5"/>
  <c r="G4895" i="5"/>
  <c r="H4894" i="5"/>
  <c r="G4894" i="5"/>
  <c r="H4893" i="5"/>
  <c r="G4893" i="5"/>
  <c r="H4892" i="5"/>
  <c r="G4892" i="5"/>
  <c r="H4891" i="5"/>
  <c r="G4891" i="5"/>
  <c r="H4890" i="5"/>
  <c r="G4890" i="5"/>
  <c r="H4889" i="5"/>
  <c r="G4889" i="5"/>
  <c r="H4888" i="5"/>
  <c r="G4888" i="5"/>
  <c r="H4887" i="5"/>
  <c r="G4887" i="5"/>
  <c r="H4886" i="5"/>
  <c r="G4886" i="5"/>
  <c r="H4885" i="5"/>
  <c r="G4885" i="5"/>
  <c r="H4884" i="5"/>
  <c r="G4884" i="5"/>
  <c r="H4883" i="5"/>
  <c r="G4883" i="5"/>
  <c r="H4882" i="5"/>
  <c r="G4882" i="5"/>
  <c r="H4881" i="5"/>
  <c r="G4881" i="5"/>
  <c r="H4880" i="5"/>
  <c r="G4880" i="5"/>
  <c r="H4879" i="5"/>
  <c r="G4879" i="5"/>
  <c r="H4878" i="5"/>
  <c r="G4878" i="5"/>
  <c r="H4877" i="5"/>
  <c r="G4877" i="5"/>
  <c r="H4876" i="5"/>
  <c r="G4876" i="5"/>
  <c r="H4875" i="5"/>
  <c r="G4875" i="5"/>
  <c r="H4874" i="5"/>
  <c r="G4874" i="5"/>
  <c r="H4873" i="5"/>
  <c r="G4873" i="5"/>
  <c r="H4872" i="5"/>
  <c r="G4872" i="5"/>
  <c r="H4871" i="5"/>
  <c r="G4871" i="5"/>
  <c r="H4870" i="5"/>
  <c r="G4870" i="5"/>
  <c r="H4869" i="5"/>
  <c r="G4869" i="5"/>
  <c r="H4868" i="5"/>
  <c r="G4868" i="5"/>
  <c r="H4867" i="5"/>
  <c r="G4867" i="5"/>
  <c r="H4866" i="5"/>
  <c r="G4866" i="5"/>
  <c r="H4865" i="5"/>
  <c r="G4865" i="5"/>
  <c r="H4864" i="5"/>
  <c r="G4864" i="5"/>
  <c r="H4863" i="5"/>
  <c r="G4863" i="5"/>
  <c r="H4862" i="5"/>
  <c r="G4862" i="5"/>
  <c r="H4861" i="5"/>
  <c r="G4861" i="5"/>
  <c r="H4860" i="5"/>
  <c r="G4860" i="5"/>
  <c r="H4859" i="5"/>
  <c r="G4859" i="5"/>
  <c r="H4858" i="5"/>
  <c r="G4858" i="5"/>
  <c r="H4857" i="5"/>
  <c r="G4857" i="5"/>
  <c r="H4856" i="5"/>
  <c r="G4856" i="5"/>
  <c r="H4855" i="5"/>
  <c r="G4855" i="5"/>
  <c r="H4854" i="5"/>
  <c r="G4854" i="5"/>
  <c r="H4853" i="5"/>
  <c r="G4853" i="5"/>
  <c r="H4852" i="5"/>
  <c r="G4852" i="5"/>
  <c r="H4851" i="5"/>
  <c r="G4851" i="5"/>
  <c r="H4850" i="5"/>
  <c r="G4850" i="5"/>
  <c r="H4849" i="5"/>
  <c r="G4849" i="5"/>
  <c r="H4848" i="5"/>
  <c r="G4848" i="5"/>
  <c r="H4847" i="5"/>
  <c r="G4847" i="5"/>
  <c r="H4846" i="5"/>
  <c r="G4846" i="5"/>
  <c r="H4845" i="5"/>
  <c r="G4845" i="5"/>
  <c r="H4844" i="5"/>
  <c r="G4844" i="5"/>
  <c r="H4843" i="5"/>
  <c r="G4843" i="5"/>
  <c r="H4842" i="5"/>
  <c r="G4842" i="5"/>
  <c r="H4841" i="5"/>
  <c r="G4841" i="5"/>
  <c r="H4840" i="5"/>
  <c r="G4840" i="5"/>
  <c r="H4839" i="5"/>
  <c r="G4839" i="5"/>
  <c r="H4838" i="5"/>
  <c r="G4838" i="5"/>
  <c r="H4837" i="5"/>
  <c r="G4837" i="5"/>
  <c r="H4836" i="5"/>
  <c r="G4836" i="5"/>
  <c r="H4835" i="5"/>
  <c r="G4835" i="5"/>
  <c r="H4834" i="5"/>
  <c r="G4834" i="5"/>
  <c r="H4833" i="5"/>
  <c r="G4833" i="5"/>
  <c r="H4832" i="5"/>
  <c r="G4832" i="5"/>
  <c r="H4831" i="5"/>
  <c r="G4831" i="5"/>
  <c r="H4830" i="5"/>
  <c r="G4830" i="5"/>
  <c r="H4829" i="5"/>
  <c r="G4829" i="5"/>
  <c r="H4828" i="5"/>
  <c r="G4828" i="5"/>
  <c r="H4827" i="5"/>
  <c r="G4827" i="5"/>
  <c r="H4826" i="5"/>
  <c r="G4826" i="5"/>
  <c r="H4825" i="5"/>
  <c r="G4825" i="5"/>
  <c r="H4824" i="5"/>
  <c r="G4824" i="5"/>
  <c r="H4823" i="5"/>
  <c r="G4823" i="5"/>
  <c r="H4822" i="5"/>
  <c r="G4822" i="5"/>
  <c r="H4821" i="5"/>
  <c r="G4821" i="5"/>
  <c r="H4820" i="5"/>
  <c r="G4820" i="5"/>
  <c r="H4819" i="5"/>
  <c r="G4819" i="5"/>
  <c r="H4818" i="5"/>
  <c r="G4818" i="5"/>
  <c r="H4817" i="5"/>
  <c r="G4817" i="5"/>
  <c r="H4816" i="5"/>
  <c r="G4816" i="5"/>
  <c r="H4815" i="5"/>
  <c r="G4815" i="5"/>
  <c r="H4814" i="5"/>
  <c r="G4814" i="5"/>
  <c r="H4813" i="5"/>
  <c r="G4813" i="5"/>
  <c r="H4812" i="5"/>
  <c r="G4812" i="5"/>
  <c r="H4811" i="5"/>
  <c r="G4811" i="5"/>
  <c r="H4810" i="5"/>
  <c r="G4810" i="5"/>
  <c r="H4809" i="5"/>
  <c r="G4809" i="5"/>
  <c r="H4808" i="5"/>
  <c r="G4808" i="5"/>
  <c r="H4807" i="5"/>
  <c r="G4807" i="5"/>
  <c r="H4806" i="5"/>
  <c r="G4806" i="5"/>
  <c r="H4805" i="5"/>
  <c r="G4805" i="5"/>
  <c r="H4804" i="5"/>
  <c r="G4804" i="5"/>
  <c r="H4803" i="5"/>
  <c r="G4803" i="5"/>
  <c r="H4802" i="5"/>
  <c r="G4802" i="5"/>
  <c r="H4801" i="5"/>
  <c r="G4801" i="5"/>
  <c r="H4800" i="5"/>
  <c r="G4800" i="5"/>
  <c r="H4799" i="5"/>
  <c r="G4799" i="5"/>
  <c r="H4798" i="5"/>
  <c r="G4798" i="5"/>
  <c r="H4797" i="5"/>
  <c r="G4797" i="5"/>
  <c r="H4796" i="5"/>
  <c r="G4796" i="5"/>
  <c r="H4795" i="5"/>
  <c r="G4795" i="5"/>
  <c r="H4794" i="5"/>
  <c r="G4794" i="5"/>
  <c r="H4793" i="5"/>
  <c r="G4793" i="5"/>
  <c r="H4792" i="5"/>
  <c r="G4792" i="5"/>
  <c r="H4791" i="5"/>
  <c r="G4791" i="5"/>
  <c r="H4790" i="5"/>
  <c r="G4790" i="5"/>
  <c r="H4789" i="5"/>
  <c r="G4789" i="5"/>
  <c r="H4788" i="5"/>
  <c r="G4788" i="5"/>
  <c r="H4787" i="5"/>
  <c r="G4787" i="5"/>
  <c r="H4786" i="5"/>
  <c r="G4786" i="5"/>
  <c r="H4785" i="5"/>
  <c r="G4785" i="5"/>
  <c r="H4784" i="5"/>
  <c r="G4784" i="5"/>
  <c r="H4783" i="5"/>
  <c r="G4783" i="5"/>
  <c r="H4782" i="5"/>
  <c r="G4782" i="5"/>
  <c r="H4781" i="5"/>
  <c r="G4781" i="5"/>
  <c r="H4780" i="5"/>
  <c r="G4780" i="5"/>
  <c r="H4779" i="5"/>
  <c r="G4779" i="5"/>
  <c r="H4778" i="5"/>
  <c r="G4778" i="5"/>
  <c r="H4777" i="5"/>
  <c r="G4777" i="5"/>
  <c r="H4776" i="5"/>
  <c r="G4776" i="5"/>
  <c r="H4775" i="5"/>
  <c r="G4775" i="5"/>
  <c r="H4774" i="5"/>
  <c r="G4774" i="5"/>
  <c r="H4773" i="5"/>
  <c r="G4773" i="5"/>
  <c r="H4772" i="5"/>
  <c r="G4772" i="5"/>
  <c r="H4771" i="5"/>
  <c r="G4771" i="5"/>
  <c r="H4770" i="5"/>
  <c r="G4770" i="5"/>
  <c r="H4769" i="5"/>
  <c r="G4769" i="5"/>
  <c r="H4768" i="5"/>
  <c r="G4768" i="5"/>
  <c r="H4767" i="5"/>
  <c r="G4767" i="5"/>
  <c r="H4766" i="5"/>
  <c r="G4766" i="5"/>
  <c r="H4765" i="5"/>
  <c r="G4765" i="5"/>
  <c r="H4764" i="5"/>
  <c r="G4764" i="5"/>
  <c r="H4763" i="5"/>
  <c r="G4763" i="5"/>
  <c r="H4762" i="5"/>
  <c r="G4762" i="5"/>
  <c r="H4761" i="5"/>
  <c r="G4761" i="5"/>
  <c r="H4760" i="5"/>
  <c r="G4760" i="5"/>
  <c r="H4759" i="5"/>
  <c r="G4759" i="5"/>
  <c r="H4758" i="5"/>
  <c r="G4758" i="5"/>
  <c r="H4757" i="5"/>
  <c r="G4757" i="5"/>
  <c r="H4756" i="5"/>
  <c r="G4756" i="5"/>
  <c r="H4755" i="5"/>
  <c r="G4755" i="5"/>
  <c r="H4754" i="5"/>
  <c r="G4754" i="5"/>
  <c r="H4753" i="5"/>
  <c r="G4753" i="5"/>
  <c r="H4752" i="5"/>
  <c r="G4752" i="5"/>
  <c r="H4751" i="5"/>
  <c r="G4751" i="5"/>
  <c r="H4750" i="5"/>
  <c r="G4750" i="5"/>
  <c r="H4749" i="5"/>
  <c r="G4749" i="5"/>
  <c r="H4748" i="5"/>
  <c r="G4748" i="5"/>
  <c r="H4747" i="5"/>
  <c r="G4747" i="5"/>
  <c r="H4746" i="5"/>
  <c r="G4746" i="5"/>
  <c r="H4745" i="5"/>
  <c r="G4745" i="5"/>
  <c r="H4744" i="5"/>
  <c r="G4744" i="5"/>
  <c r="H4743" i="5"/>
  <c r="G4743" i="5"/>
  <c r="H4742" i="5"/>
  <c r="G4742" i="5"/>
  <c r="H4741" i="5"/>
  <c r="G4741" i="5"/>
  <c r="H4740" i="5"/>
  <c r="G4740" i="5"/>
  <c r="H4739" i="5"/>
  <c r="G4739" i="5"/>
  <c r="H4738" i="5"/>
  <c r="G4738" i="5"/>
  <c r="H4737" i="5"/>
  <c r="G4737" i="5"/>
  <c r="H4736" i="5"/>
  <c r="G4736" i="5"/>
  <c r="H4735" i="5"/>
  <c r="G4735" i="5"/>
  <c r="H4734" i="5"/>
  <c r="G4734" i="5"/>
  <c r="H4733" i="5"/>
  <c r="G4733" i="5"/>
  <c r="H4732" i="5"/>
  <c r="G4732" i="5"/>
  <c r="H4731" i="5"/>
  <c r="G4731" i="5"/>
  <c r="H4730" i="5"/>
  <c r="G4730" i="5"/>
  <c r="H4729" i="5"/>
  <c r="G4729" i="5"/>
  <c r="H4728" i="5"/>
  <c r="G4728" i="5"/>
  <c r="H4727" i="5"/>
  <c r="G4727" i="5"/>
  <c r="H4726" i="5"/>
  <c r="G4726" i="5"/>
  <c r="H4725" i="5"/>
  <c r="G4725" i="5"/>
  <c r="H4724" i="5"/>
  <c r="G4724" i="5"/>
  <c r="H4723" i="5"/>
  <c r="G4723" i="5"/>
  <c r="H4722" i="5"/>
  <c r="G4722" i="5"/>
  <c r="H4721" i="5"/>
  <c r="G4721" i="5"/>
  <c r="H4720" i="5"/>
  <c r="G4720" i="5"/>
  <c r="H4719" i="5"/>
  <c r="G4719" i="5"/>
  <c r="H4718" i="5"/>
  <c r="G4718" i="5"/>
  <c r="H4717" i="5"/>
  <c r="G4717" i="5"/>
  <c r="H4716" i="5"/>
  <c r="G4716" i="5"/>
  <c r="H4715" i="5"/>
  <c r="G4715" i="5"/>
  <c r="H4714" i="5"/>
  <c r="G4714" i="5"/>
  <c r="H4713" i="5"/>
  <c r="G4713" i="5"/>
  <c r="H4712" i="5"/>
  <c r="G4712" i="5"/>
  <c r="H4711" i="5"/>
  <c r="G4711" i="5"/>
  <c r="H4710" i="5"/>
  <c r="G4710" i="5"/>
  <c r="H4709" i="5"/>
  <c r="G4709" i="5"/>
  <c r="H4708" i="5"/>
  <c r="G4708" i="5"/>
  <c r="H4707" i="5"/>
  <c r="G4707" i="5"/>
  <c r="H4706" i="5"/>
  <c r="G4706" i="5"/>
  <c r="H4705" i="5"/>
  <c r="G4705" i="5"/>
  <c r="H4704" i="5"/>
  <c r="G4704" i="5"/>
  <c r="H4703" i="5"/>
  <c r="G4703" i="5"/>
  <c r="H4702" i="5"/>
  <c r="G4702" i="5"/>
  <c r="H4701" i="5"/>
  <c r="G4701" i="5"/>
  <c r="H4700" i="5"/>
  <c r="G4700" i="5"/>
  <c r="H4699" i="5"/>
  <c r="G4699" i="5"/>
  <c r="H4698" i="5"/>
  <c r="G4698" i="5"/>
  <c r="H4697" i="5"/>
  <c r="G4697" i="5"/>
  <c r="H4696" i="5"/>
  <c r="G4696" i="5"/>
  <c r="H4695" i="5"/>
  <c r="G4695" i="5"/>
  <c r="H4694" i="5"/>
  <c r="G4694" i="5"/>
  <c r="H4693" i="5"/>
  <c r="G4693" i="5"/>
  <c r="H4692" i="5"/>
  <c r="G4692" i="5"/>
  <c r="H4691" i="5"/>
  <c r="G4691" i="5"/>
  <c r="H4690" i="5"/>
  <c r="G4690" i="5"/>
  <c r="H4689" i="5"/>
  <c r="G4689" i="5"/>
  <c r="H4688" i="5"/>
  <c r="G4688" i="5"/>
  <c r="H4687" i="5"/>
  <c r="G4687" i="5"/>
  <c r="H4686" i="5"/>
  <c r="G4686" i="5"/>
  <c r="H4685" i="5"/>
  <c r="G4685" i="5"/>
  <c r="H4684" i="5"/>
  <c r="G4684" i="5"/>
  <c r="H4683" i="5"/>
  <c r="G4683" i="5"/>
  <c r="H4682" i="5"/>
  <c r="G4682" i="5"/>
  <c r="H4681" i="5"/>
  <c r="G4681" i="5"/>
  <c r="H4680" i="5"/>
  <c r="G4680" i="5"/>
  <c r="H4679" i="5"/>
  <c r="G4679" i="5"/>
  <c r="H4678" i="5"/>
  <c r="G4678" i="5"/>
  <c r="H4677" i="5"/>
  <c r="G4677" i="5"/>
  <c r="H4676" i="5"/>
  <c r="G4676" i="5"/>
  <c r="H4675" i="5"/>
  <c r="G4675" i="5"/>
  <c r="H4674" i="5"/>
  <c r="G4674" i="5"/>
  <c r="H4673" i="5"/>
  <c r="G4673" i="5"/>
  <c r="H4672" i="5"/>
  <c r="G4672" i="5"/>
  <c r="H4671" i="5"/>
  <c r="G4671" i="5"/>
  <c r="H4670" i="5"/>
  <c r="G4670" i="5"/>
  <c r="H4669" i="5"/>
  <c r="G4669" i="5"/>
  <c r="H4668" i="5"/>
  <c r="G4668" i="5"/>
  <c r="H4667" i="5"/>
  <c r="G4667" i="5"/>
  <c r="H4666" i="5"/>
  <c r="G4666" i="5"/>
  <c r="H4665" i="5"/>
  <c r="G4665" i="5"/>
  <c r="H4664" i="5"/>
  <c r="G4664" i="5"/>
  <c r="H4663" i="5"/>
  <c r="G4663" i="5"/>
  <c r="H4662" i="5"/>
  <c r="G4662" i="5"/>
  <c r="H4661" i="5"/>
  <c r="G4661" i="5"/>
  <c r="H4660" i="5"/>
  <c r="G4660" i="5"/>
  <c r="H4659" i="5"/>
  <c r="G4659" i="5"/>
  <c r="H4658" i="5"/>
  <c r="G4658" i="5"/>
  <c r="H4657" i="5"/>
  <c r="G4657" i="5"/>
  <c r="H4656" i="5"/>
  <c r="G4656" i="5"/>
  <c r="H4655" i="5"/>
  <c r="G4655" i="5"/>
  <c r="H4654" i="5"/>
  <c r="G4654" i="5"/>
  <c r="H4653" i="5"/>
  <c r="G4653" i="5"/>
  <c r="H4652" i="5"/>
  <c r="G4652" i="5"/>
  <c r="H4651" i="5"/>
  <c r="G4651" i="5"/>
  <c r="H4650" i="5"/>
  <c r="G4650" i="5"/>
  <c r="H4649" i="5"/>
  <c r="G4649" i="5"/>
  <c r="H4648" i="5"/>
  <c r="G4648" i="5"/>
  <c r="H4647" i="5"/>
  <c r="G4647" i="5"/>
  <c r="H4646" i="5"/>
  <c r="G4646" i="5"/>
  <c r="H4645" i="5"/>
  <c r="G4645" i="5"/>
  <c r="H4644" i="5"/>
  <c r="G4644" i="5"/>
  <c r="H4643" i="5"/>
  <c r="G4643" i="5"/>
  <c r="H4642" i="5"/>
  <c r="G4642" i="5"/>
  <c r="H4641" i="5"/>
  <c r="G4641" i="5"/>
  <c r="H4640" i="5"/>
  <c r="G4640" i="5"/>
  <c r="H4639" i="5"/>
  <c r="G4639" i="5"/>
  <c r="H4638" i="5"/>
  <c r="G4638" i="5"/>
  <c r="H4637" i="5"/>
  <c r="G4637" i="5"/>
  <c r="H4636" i="5"/>
  <c r="G4636" i="5"/>
  <c r="H4635" i="5"/>
  <c r="G4635" i="5"/>
  <c r="H4634" i="5"/>
  <c r="G4634" i="5"/>
  <c r="H4633" i="5"/>
  <c r="G4633" i="5"/>
  <c r="H4632" i="5"/>
  <c r="G4632" i="5"/>
  <c r="H4631" i="5"/>
  <c r="G4631" i="5"/>
  <c r="H4630" i="5"/>
  <c r="G4630" i="5"/>
  <c r="H4629" i="5"/>
  <c r="G4629" i="5"/>
  <c r="H4628" i="5"/>
  <c r="G4628" i="5"/>
  <c r="H4627" i="5"/>
  <c r="G4627" i="5"/>
  <c r="H4626" i="5"/>
  <c r="G4626" i="5"/>
  <c r="H4625" i="5"/>
  <c r="G4625" i="5"/>
  <c r="H4624" i="5"/>
  <c r="G4624" i="5"/>
  <c r="H4623" i="5"/>
  <c r="G4623" i="5"/>
  <c r="H4622" i="5"/>
  <c r="G4622" i="5"/>
  <c r="H4621" i="5"/>
  <c r="G4621" i="5"/>
  <c r="H4620" i="5"/>
  <c r="G4620" i="5"/>
  <c r="H4619" i="5"/>
  <c r="G4619" i="5"/>
  <c r="H4618" i="5"/>
  <c r="G4618" i="5"/>
  <c r="H4617" i="5"/>
  <c r="G4617" i="5"/>
  <c r="H4616" i="5"/>
  <c r="G4616" i="5"/>
  <c r="H4615" i="5"/>
  <c r="G4615" i="5"/>
  <c r="H4614" i="5"/>
  <c r="G4614" i="5"/>
  <c r="H4613" i="5"/>
  <c r="G4613" i="5"/>
  <c r="H4612" i="5"/>
  <c r="G4612" i="5"/>
  <c r="H4611" i="5"/>
  <c r="G4611" i="5"/>
  <c r="H4610" i="5"/>
  <c r="G4610" i="5"/>
  <c r="H4609" i="5"/>
  <c r="G4609" i="5"/>
  <c r="H4608" i="5"/>
  <c r="G4608" i="5"/>
  <c r="H4607" i="5"/>
  <c r="G4607" i="5"/>
  <c r="H4606" i="5"/>
  <c r="G4606" i="5"/>
  <c r="H4605" i="5"/>
  <c r="G4605" i="5"/>
  <c r="H4604" i="5"/>
  <c r="G4604" i="5"/>
  <c r="H4603" i="5"/>
  <c r="G4603" i="5"/>
  <c r="H4602" i="5"/>
  <c r="G4602" i="5"/>
  <c r="H4601" i="5"/>
  <c r="G4601" i="5"/>
  <c r="H4600" i="5"/>
  <c r="G4600" i="5"/>
  <c r="H4599" i="5"/>
  <c r="G4599" i="5"/>
  <c r="H4598" i="5"/>
  <c r="G4598" i="5"/>
  <c r="H4597" i="5"/>
  <c r="G4597" i="5"/>
  <c r="H4596" i="5"/>
  <c r="G4596" i="5"/>
  <c r="H4595" i="5"/>
  <c r="G4595" i="5"/>
  <c r="H4594" i="5"/>
  <c r="G4594" i="5"/>
  <c r="H4593" i="5"/>
  <c r="G4593" i="5"/>
  <c r="H4592" i="5"/>
  <c r="G4592" i="5"/>
  <c r="H4591" i="5"/>
  <c r="G4591" i="5"/>
  <c r="H4590" i="5"/>
  <c r="G4590" i="5"/>
  <c r="H4589" i="5"/>
  <c r="G4589" i="5"/>
  <c r="H4588" i="5"/>
  <c r="G4588" i="5"/>
  <c r="H4587" i="5"/>
  <c r="G4587" i="5"/>
  <c r="H4586" i="5"/>
  <c r="G4586" i="5"/>
  <c r="H4585" i="5"/>
  <c r="G4585" i="5"/>
  <c r="H4584" i="5"/>
  <c r="G4584" i="5"/>
  <c r="H4583" i="5"/>
  <c r="G4583" i="5"/>
  <c r="H4582" i="5"/>
  <c r="G4582" i="5"/>
  <c r="H4581" i="5"/>
  <c r="G4581" i="5"/>
  <c r="H4580" i="5"/>
  <c r="G4580" i="5"/>
  <c r="H4579" i="5"/>
  <c r="G4579" i="5"/>
  <c r="H4578" i="5"/>
  <c r="G4578" i="5"/>
  <c r="H4577" i="5"/>
  <c r="G4577" i="5"/>
  <c r="H4576" i="5"/>
  <c r="G4576" i="5"/>
  <c r="H4575" i="5"/>
  <c r="G4575" i="5"/>
  <c r="H4574" i="5"/>
  <c r="G4574" i="5"/>
  <c r="H4573" i="5"/>
  <c r="G4573" i="5"/>
  <c r="H4572" i="5"/>
  <c r="G4572" i="5"/>
  <c r="H4571" i="5"/>
  <c r="G4571" i="5"/>
  <c r="H4570" i="5"/>
  <c r="G4570" i="5"/>
  <c r="H4569" i="5"/>
  <c r="G4569" i="5"/>
  <c r="H4568" i="5"/>
  <c r="G4568" i="5"/>
  <c r="H4567" i="5"/>
  <c r="G4567" i="5"/>
  <c r="H4566" i="5"/>
  <c r="G4566" i="5"/>
  <c r="H4565" i="5"/>
  <c r="G4565" i="5"/>
  <c r="H4564" i="5"/>
  <c r="G4564" i="5"/>
  <c r="H4563" i="5"/>
  <c r="G4563" i="5"/>
  <c r="H4562" i="5"/>
  <c r="G4562" i="5"/>
  <c r="H4561" i="5"/>
  <c r="G4561" i="5"/>
  <c r="H4560" i="5"/>
  <c r="G4560" i="5"/>
  <c r="H4559" i="5"/>
  <c r="G4559" i="5"/>
  <c r="H4558" i="5"/>
  <c r="G4558" i="5"/>
  <c r="H4557" i="5"/>
  <c r="G4557" i="5"/>
  <c r="H4556" i="5"/>
  <c r="G4556" i="5"/>
  <c r="H4555" i="5"/>
  <c r="G4555" i="5"/>
  <c r="H4554" i="5"/>
  <c r="G4554" i="5"/>
  <c r="H4553" i="5"/>
  <c r="G4553" i="5"/>
  <c r="H4552" i="5"/>
  <c r="G4552" i="5"/>
  <c r="H4551" i="5"/>
  <c r="G4551" i="5"/>
  <c r="H4550" i="5"/>
  <c r="G4550" i="5"/>
  <c r="H4549" i="5"/>
  <c r="G4549" i="5"/>
  <c r="H4548" i="5"/>
  <c r="G4548" i="5"/>
  <c r="H4547" i="5"/>
  <c r="G4547" i="5"/>
  <c r="H4546" i="5"/>
  <c r="G4546" i="5"/>
  <c r="H4545" i="5"/>
  <c r="G4545" i="5"/>
  <c r="H4544" i="5"/>
  <c r="G4544" i="5"/>
  <c r="H4543" i="5"/>
  <c r="G4543" i="5"/>
  <c r="H4542" i="5"/>
  <c r="G4542" i="5"/>
  <c r="H4541" i="5"/>
  <c r="G4541" i="5"/>
  <c r="H4540" i="5"/>
  <c r="G4540" i="5"/>
  <c r="H4539" i="5"/>
  <c r="G4539" i="5"/>
  <c r="H4538" i="5"/>
  <c r="G4538" i="5"/>
  <c r="H4537" i="5"/>
  <c r="G4537" i="5"/>
  <c r="H4536" i="5"/>
  <c r="G4536" i="5"/>
  <c r="H4535" i="5"/>
  <c r="G4535" i="5"/>
  <c r="H4534" i="5"/>
  <c r="G4534" i="5"/>
  <c r="H4533" i="5"/>
  <c r="G4533" i="5"/>
  <c r="H4532" i="5"/>
  <c r="G4532" i="5"/>
  <c r="H4531" i="5"/>
  <c r="G4531" i="5"/>
  <c r="H4530" i="5"/>
  <c r="G4530" i="5"/>
  <c r="H4529" i="5"/>
  <c r="G4529" i="5"/>
  <c r="H4528" i="5"/>
  <c r="G4528" i="5"/>
  <c r="H4527" i="5"/>
  <c r="G4527" i="5"/>
  <c r="H4526" i="5"/>
  <c r="G4526" i="5"/>
  <c r="H4525" i="5"/>
  <c r="G4525" i="5"/>
  <c r="H4524" i="5"/>
  <c r="G4524" i="5"/>
  <c r="H4523" i="5"/>
  <c r="G4523" i="5"/>
  <c r="H4522" i="5"/>
  <c r="G4522" i="5"/>
  <c r="H4521" i="5"/>
  <c r="G4521" i="5"/>
  <c r="H4520" i="5"/>
  <c r="G4520" i="5"/>
  <c r="H4519" i="5"/>
  <c r="G4519" i="5"/>
  <c r="H4518" i="5"/>
  <c r="G4518" i="5"/>
  <c r="H4517" i="5"/>
  <c r="G4517" i="5"/>
  <c r="H4516" i="5"/>
  <c r="G4516" i="5"/>
  <c r="H4515" i="5"/>
  <c r="G4515" i="5"/>
  <c r="H4514" i="5"/>
  <c r="G4514" i="5"/>
  <c r="H4513" i="5"/>
  <c r="G4513" i="5"/>
  <c r="H4512" i="5"/>
  <c r="G4512" i="5"/>
  <c r="H4511" i="5"/>
  <c r="G4511" i="5"/>
  <c r="H4510" i="5"/>
  <c r="G4510" i="5"/>
  <c r="H4509" i="5"/>
  <c r="G4509" i="5"/>
  <c r="H4508" i="5"/>
  <c r="G4508" i="5"/>
  <c r="H4507" i="5"/>
  <c r="G4507" i="5"/>
  <c r="H4506" i="5"/>
  <c r="G4506" i="5"/>
  <c r="H4505" i="5"/>
  <c r="G4505" i="5"/>
  <c r="H4504" i="5"/>
  <c r="G4504" i="5"/>
  <c r="H4503" i="5"/>
  <c r="G4503" i="5"/>
  <c r="H4502" i="5"/>
  <c r="G4502" i="5"/>
  <c r="H4501" i="5"/>
  <c r="G4501" i="5"/>
  <c r="H4500" i="5"/>
  <c r="G4500" i="5"/>
  <c r="H4499" i="5"/>
  <c r="G4499" i="5"/>
  <c r="H4498" i="5"/>
  <c r="G4498" i="5"/>
  <c r="H4497" i="5"/>
  <c r="G4497" i="5"/>
  <c r="H4496" i="5"/>
  <c r="G4496" i="5"/>
  <c r="H4495" i="5"/>
  <c r="G4495" i="5"/>
  <c r="H4494" i="5"/>
  <c r="G4494" i="5"/>
  <c r="H4493" i="5"/>
  <c r="G4493" i="5"/>
  <c r="H4492" i="5"/>
  <c r="G4492" i="5"/>
  <c r="H4491" i="5"/>
  <c r="G4491" i="5"/>
  <c r="H4490" i="5"/>
  <c r="G4490" i="5"/>
  <c r="H4489" i="5"/>
  <c r="G4489" i="5"/>
  <c r="H4488" i="5"/>
  <c r="G4488" i="5"/>
  <c r="H4487" i="5"/>
  <c r="G4487" i="5"/>
  <c r="H4486" i="5"/>
  <c r="G4486" i="5"/>
  <c r="H4485" i="5"/>
  <c r="G4485" i="5"/>
  <c r="H4484" i="5"/>
  <c r="G4484" i="5"/>
  <c r="H4483" i="5"/>
  <c r="G4483" i="5"/>
  <c r="H4482" i="5"/>
  <c r="G4482" i="5"/>
  <c r="H4481" i="5"/>
  <c r="G4481" i="5"/>
  <c r="H4480" i="5"/>
  <c r="G4480" i="5"/>
  <c r="H4479" i="5"/>
  <c r="G4479" i="5"/>
  <c r="H4478" i="5"/>
  <c r="G4478" i="5"/>
  <c r="H4477" i="5"/>
  <c r="G4477" i="5"/>
  <c r="H4476" i="5"/>
  <c r="G4476" i="5"/>
  <c r="H4475" i="5"/>
  <c r="G4475" i="5"/>
  <c r="H4474" i="5"/>
  <c r="G4474" i="5"/>
  <c r="H4473" i="5"/>
  <c r="G4473" i="5"/>
  <c r="H4472" i="5"/>
  <c r="G4472" i="5"/>
  <c r="H4471" i="5"/>
  <c r="G4471" i="5"/>
  <c r="H4470" i="5"/>
  <c r="G4470" i="5"/>
  <c r="H4469" i="5"/>
  <c r="G4469" i="5"/>
  <c r="H4468" i="5"/>
  <c r="G4468" i="5"/>
  <c r="H4467" i="5"/>
  <c r="G4467" i="5"/>
  <c r="H4466" i="5"/>
  <c r="G4466" i="5"/>
  <c r="H4465" i="5"/>
  <c r="G4465" i="5"/>
  <c r="H4464" i="5"/>
  <c r="G4464" i="5"/>
  <c r="H4463" i="5"/>
  <c r="G4463" i="5"/>
  <c r="H4462" i="5"/>
  <c r="G4462" i="5"/>
  <c r="H4461" i="5"/>
  <c r="G4461" i="5"/>
  <c r="H4460" i="5"/>
  <c r="G4460" i="5"/>
  <c r="H4459" i="5"/>
  <c r="G4459" i="5"/>
  <c r="H4458" i="5"/>
  <c r="G4458" i="5"/>
  <c r="H4457" i="5"/>
  <c r="G4457" i="5"/>
  <c r="H4456" i="5"/>
  <c r="G4456" i="5"/>
  <c r="H4455" i="5"/>
  <c r="G4455" i="5"/>
  <c r="H4454" i="5"/>
  <c r="G4454" i="5"/>
  <c r="H4453" i="5"/>
  <c r="G4453" i="5"/>
  <c r="H4452" i="5"/>
  <c r="G4452" i="5"/>
  <c r="H4451" i="5"/>
  <c r="G4451" i="5"/>
  <c r="H4450" i="5"/>
  <c r="G4450" i="5"/>
  <c r="H4449" i="5"/>
  <c r="G4449" i="5"/>
  <c r="H4448" i="5"/>
  <c r="G4448" i="5"/>
  <c r="H4447" i="5"/>
  <c r="G4447" i="5"/>
  <c r="H4446" i="5"/>
  <c r="G4446" i="5"/>
  <c r="H4445" i="5"/>
  <c r="G4445" i="5"/>
  <c r="H4444" i="5"/>
  <c r="G4444" i="5"/>
  <c r="H4443" i="5"/>
  <c r="G4443" i="5"/>
  <c r="H4442" i="5"/>
  <c r="G4442" i="5"/>
  <c r="H4441" i="5"/>
  <c r="G4441" i="5"/>
  <c r="H4440" i="5"/>
  <c r="G4440" i="5"/>
  <c r="H4439" i="5"/>
  <c r="G4439" i="5"/>
  <c r="H4438" i="5"/>
  <c r="G4438" i="5"/>
  <c r="H4437" i="5"/>
  <c r="G4437" i="5"/>
  <c r="H4436" i="5"/>
  <c r="G4436" i="5"/>
  <c r="H4435" i="5"/>
  <c r="G4435" i="5"/>
  <c r="H4434" i="5"/>
  <c r="G4434" i="5"/>
  <c r="H4433" i="5"/>
  <c r="G4433" i="5"/>
  <c r="H4432" i="5"/>
  <c r="G4432" i="5"/>
  <c r="H4431" i="5"/>
  <c r="G4431" i="5"/>
  <c r="H4430" i="5"/>
  <c r="G4430" i="5"/>
  <c r="H4429" i="5"/>
  <c r="G4429" i="5"/>
  <c r="H4428" i="5"/>
  <c r="G4428" i="5"/>
  <c r="H4427" i="5"/>
  <c r="G4427" i="5"/>
  <c r="H4426" i="5"/>
  <c r="G4426" i="5"/>
  <c r="H4425" i="5"/>
  <c r="G4425" i="5"/>
  <c r="H4424" i="5"/>
  <c r="G4424" i="5"/>
  <c r="H4423" i="5"/>
  <c r="G4423" i="5"/>
  <c r="H4422" i="5"/>
  <c r="G4422" i="5"/>
  <c r="H4421" i="5"/>
  <c r="G4421" i="5"/>
  <c r="H4420" i="5"/>
  <c r="G4420" i="5"/>
  <c r="H4419" i="5"/>
  <c r="G4419" i="5"/>
  <c r="H4418" i="5"/>
  <c r="G4418" i="5"/>
  <c r="H4417" i="5"/>
  <c r="G4417" i="5"/>
  <c r="H4416" i="5"/>
  <c r="G4416" i="5"/>
  <c r="H4415" i="5"/>
  <c r="G4415" i="5"/>
  <c r="H4414" i="5"/>
  <c r="G4414" i="5"/>
  <c r="H4413" i="5"/>
  <c r="G4413" i="5"/>
  <c r="H4412" i="5"/>
  <c r="G4412" i="5"/>
  <c r="H4411" i="5"/>
  <c r="G4411" i="5"/>
  <c r="H4410" i="5"/>
  <c r="G4410" i="5"/>
  <c r="H4409" i="5"/>
  <c r="G4409" i="5"/>
  <c r="H4408" i="5"/>
  <c r="G4408" i="5"/>
  <c r="H4407" i="5"/>
  <c r="G4407" i="5"/>
  <c r="H4406" i="5"/>
  <c r="G4406" i="5"/>
  <c r="H4405" i="5"/>
  <c r="G4405" i="5"/>
  <c r="H4404" i="5"/>
  <c r="G4404" i="5"/>
  <c r="H4403" i="5"/>
  <c r="G4403" i="5"/>
  <c r="H4402" i="5"/>
  <c r="G4402" i="5"/>
  <c r="H4401" i="5"/>
  <c r="G4401" i="5"/>
  <c r="H4400" i="5"/>
  <c r="G4400" i="5"/>
  <c r="H4399" i="5"/>
  <c r="G4399" i="5"/>
  <c r="H4398" i="5"/>
  <c r="G4398" i="5"/>
  <c r="H4397" i="5"/>
  <c r="G4397" i="5"/>
  <c r="H4396" i="5"/>
  <c r="G4396" i="5"/>
  <c r="H4395" i="5"/>
  <c r="G4395" i="5"/>
  <c r="H4394" i="5"/>
  <c r="G4394" i="5"/>
  <c r="H4393" i="5"/>
  <c r="G4393" i="5"/>
  <c r="H4392" i="5"/>
  <c r="G4392" i="5"/>
  <c r="H4391" i="5"/>
  <c r="G4391" i="5"/>
  <c r="H4390" i="5"/>
  <c r="G4390" i="5"/>
  <c r="H4389" i="5"/>
  <c r="G4389" i="5"/>
  <c r="H4388" i="5"/>
  <c r="G4388" i="5"/>
  <c r="H4387" i="5"/>
  <c r="G4387" i="5"/>
  <c r="H4386" i="5"/>
  <c r="G4386" i="5"/>
  <c r="H4385" i="5"/>
  <c r="G4385" i="5"/>
  <c r="H4384" i="5"/>
  <c r="G4384" i="5"/>
  <c r="H4383" i="5"/>
  <c r="G4383" i="5"/>
  <c r="H4382" i="5"/>
  <c r="G4382" i="5"/>
  <c r="H4381" i="5"/>
  <c r="G4381" i="5"/>
  <c r="H4380" i="5"/>
  <c r="G4380" i="5"/>
  <c r="H4379" i="5"/>
  <c r="G4379" i="5"/>
  <c r="H4378" i="5"/>
  <c r="G4378" i="5"/>
  <c r="H4377" i="5"/>
  <c r="G4377" i="5"/>
  <c r="H4376" i="5"/>
  <c r="G4376" i="5"/>
  <c r="H4375" i="5"/>
  <c r="G4375" i="5"/>
  <c r="H4374" i="5"/>
  <c r="G4374" i="5"/>
  <c r="H4373" i="5"/>
  <c r="G4373" i="5"/>
  <c r="H4372" i="5"/>
  <c r="G4372" i="5"/>
  <c r="H4371" i="5"/>
  <c r="G4371" i="5"/>
  <c r="H4370" i="5"/>
  <c r="G4370" i="5"/>
  <c r="H4369" i="5"/>
  <c r="G4369" i="5"/>
  <c r="H4368" i="5"/>
  <c r="G4368" i="5"/>
  <c r="H4367" i="5"/>
  <c r="G4367" i="5"/>
  <c r="H4366" i="5"/>
  <c r="G4366" i="5"/>
  <c r="H4365" i="5"/>
  <c r="G4365" i="5"/>
  <c r="H4364" i="5"/>
  <c r="G4364" i="5"/>
  <c r="H4363" i="5"/>
  <c r="G4363" i="5"/>
  <c r="H4362" i="5"/>
  <c r="G4362" i="5"/>
  <c r="H4361" i="5"/>
  <c r="G4361" i="5"/>
  <c r="H4360" i="5"/>
  <c r="G4360" i="5"/>
  <c r="H4359" i="5"/>
  <c r="G4359" i="5"/>
  <c r="H4358" i="5"/>
  <c r="G4358" i="5"/>
  <c r="H4357" i="5"/>
  <c r="G4357" i="5"/>
  <c r="H4356" i="5"/>
  <c r="G4356" i="5"/>
  <c r="H4355" i="5"/>
  <c r="G4355" i="5"/>
  <c r="H4354" i="5"/>
  <c r="G4354" i="5"/>
  <c r="H4353" i="5"/>
  <c r="G4353" i="5"/>
  <c r="H4352" i="5"/>
  <c r="G4352" i="5"/>
  <c r="H4351" i="5"/>
  <c r="G4351" i="5"/>
  <c r="H4350" i="5"/>
  <c r="G4350" i="5"/>
  <c r="H4349" i="5"/>
  <c r="G4349" i="5"/>
  <c r="H4348" i="5"/>
  <c r="G4348" i="5"/>
  <c r="H4347" i="5"/>
  <c r="G4347" i="5"/>
  <c r="H4346" i="5"/>
  <c r="G4346" i="5"/>
  <c r="H4345" i="5"/>
  <c r="G4345" i="5"/>
  <c r="H4344" i="5"/>
  <c r="G4344" i="5"/>
  <c r="H4343" i="5"/>
  <c r="G4343" i="5"/>
  <c r="H4342" i="5"/>
  <c r="G4342" i="5"/>
  <c r="H4341" i="5"/>
  <c r="G4341" i="5"/>
  <c r="H4340" i="5"/>
  <c r="G4340" i="5"/>
  <c r="H4339" i="5"/>
  <c r="G4339" i="5"/>
  <c r="H4338" i="5"/>
  <c r="G4338" i="5"/>
  <c r="H4337" i="5"/>
  <c r="G4337" i="5"/>
  <c r="H4336" i="5"/>
  <c r="G4336" i="5"/>
  <c r="H4335" i="5"/>
  <c r="G4335" i="5"/>
  <c r="H4334" i="5"/>
  <c r="G4334" i="5"/>
  <c r="H4333" i="5"/>
  <c r="G4333" i="5"/>
  <c r="H4332" i="5"/>
  <c r="G4332" i="5"/>
  <c r="H4331" i="5"/>
  <c r="G4331" i="5"/>
  <c r="H4330" i="5"/>
  <c r="G4330" i="5"/>
  <c r="H4329" i="5"/>
  <c r="G4329" i="5"/>
  <c r="H4328" i="5"/>
  <c r="G4328" i="5"/>
  <c r="H4327" i="5"/>
  <c r="G4327" i="5"/>
  <c r="H4326" i="5"/>
  <c r="G4326" i="5"/>
  <c r="H4325" i="5"/>
  <c r="G4325" i="5"/>
  <c r="H4324" i="5"/>
  <c r="G4324" i="5"/>
  <c r="H4323" i="5"/>
  <c r="G4323" i="5"/>
  <c r="H4322" i="5"/>
  <c r="G4322" i="5"/>
  <c r="H4321" i="5"/>
  <c r="G4321" i="5"/>
  <c r="H4320" i="5"/>
  <c r="G4320" i="5"/>
  <c r="H4319" i="5"/>
  <c r="G4319" i="5"/>
  <c r="H4318" i="5"/>
  <c r="G4318" i="5"/>
  <c r="H4317" i="5"/>
  <c r="G4317" i="5"/>
  <c r="H4316" i="5"/>
  <c r="G4316" i="5"/>
  <c r="H4315" i="5"/>
  <c r="G4315" i="5"/>
  <c r="H4314" i="5"/>
  <c r="G4314" i="5"/>
  <c r="H4313" i="5"/>
  <c r="G4313" i="5"/>
  <c r="H4312" i="5"/>
  <c r="G4312" i="5"/>
  <c r="H4311" i="5"/>
  <c r="G4311" i="5"/>
  <c r="H4310" i="5"/>
  <c r="G4310" i="5"/>
  <c r="H4309" i="5"/>
  <c r="G4309" i="5"/>
  <c r="H4308" i="5"/>
  <c r="G4308" i="5"/>
  <c r="H4307" i="5"/>
  <c r="G4307" i="5"/>
  <c r="H4306" i="5"/>
  <c r="G4306" i="5"/>
  <c r="H4305" i="5"/>
  <c r="G4305" i="5"/>
  <c r="H4304" i="5"/>
  <c r="G4304" i="5"/>
  <c r="H4303" i="5"/>
  <c r="G4303" i="5"/>
  <c r="H4302" i="5"/>
  <c r="G4302" i="5"/>
  <c r="H4301" i="5"/>
  <c r="G4301" i="5"/>
  <c r="H4300" i="5"/>
  <c r="G4300" i="5"/>
  <c r="H4299" i="5"/>
  <c r="G4299" i="5"/>
  <c r="H4298" i="5"/>
  <c r="G4298" i="5"/>
  <c r="H4297" i="5"/>
  <c r="G4297" i="5"/>
  <c r="H4296" i="5"/>
  <c r="G4296" i="5"/>
  <c r="H4295" i="5"/>
  <c r="G4295" i="5"/>
  <c r="H4294" i="5"/>
  <c r="G4294" i="5"/>
  <c r="H4293" i="5"/>
  <c r="G4293" i="5"/>
  <c r="H4292" i="5"/>
  <c r="G4292" i="5"/>
  <c r="H4291" i="5"/>
  <c r="G4291" i="5"/>
  <c r="H4290" i="5"/>
  <c r="G4290" i="5"/>
  <c r="H4289" i="5"/>
  <c r="G4289" i="5"/>
  <c r="H4288" i="5"/>
  <c r="G4288" i="5"/>
  <c r="H4287" i="5"/>
  <c r="G4287" i="5"/>
  <c r="H4286" i="5"/>
  <c r="G4286" i="5"/>
  <c r="H4285" i="5"/>
  <c r="G4285" i="5"/>
  <c r="H4284" i="5"/>
  <c r="G4284" i="5"/>
  <c r="H4283" i="5"/>
  <c r="G4283" i="5"/>
  <c r="H4282" i="5"/>
  <c r="G4282" i="5"/>
  <c r="H4281" i="5"/>
  <c r="G4281" i="5"/>
  <c r="H4280" i="5"/>
  <c r="G4280" i="5"/>
  <c r="H4279" i="5"/>
  <c r="G4279" i="5"/>
  <c r="H4278" i="5"/>
  <c r="G4278" i="5"/>
  <c r="H4277" i="5"/>
  <c r="G4277" i="5"/>
  <c r="H4276" i="5"/>
  <c r="G4276" i="5"/>
  <c r="H4275" i="5"/>
  <c r="G4275" i="5"/>
  <c r="H4274" i="5"/>
  <c r="G4274" i="5"/>
  <c r="H4273" i="5"/>
  <c r="G4273" i="5"/>
  <c r="H4272" i="5"/>
  <c r="G4272" i="5"/>
  <c r="H4271" i="5"/>
  <c r="G4271" i="5"/>
  <c r="H4270" i="5"/>
  <c r="G4270" i="5"/>
  <c r="H4269" i="5"/>
  <c r="G4269" i="5"/>
  <c r="H4268" i="5"/>
  <c r="G4268" i="5"/>
  <c r="H4267" i="5"/>
  <c r="G4267" i="5"/>
  <c r="H4266" i="5"/>
  <c r="G4266" i="5"/>
  <c r="H4265" i="5"/>
  <c r="G4265" i="5"/>
  <c r="H4264" i="5"/>
  <c r="G4264" i="5"/>
  <c r="H4263" i="5"/>
  <c r="G4263" i="5"/>
  <c r="H4262" i="5"/>
  <c r="G4262" i="5"/>
  <c r="H4261" i="5"/>
  <c r="G4261" i="5"/>
  <c r="H4260" i="5"/>
  <c r="G4260" i="5"/>
  <c r="H4259" i="5"/>
  <c r="G4259" i="5"/>
  <c r="H4258" i="5"/>
  <c r="G4258" i="5"/>
  <c r="H4257" i="5"/>
  <c r="G4257" i="5"/>
  <c r="H4256" i="5"/>
  <c r="G4256" i="5"/>
  <c r="H4255" i="5"/>
  <c r="G4255" i="5"/>
  <c r="H4254" i="5"/>
  <c r="G4254" i="5"/>
  <c r="H4253" i="5"/>
  <c r="G4253" i="5"/>
  <c r="H4252" i="5"/>
  <c r="G4252" i="5"/>
  <c r="H4251" i="5"/>
  <c r="G4251" i="5"/>
  <c r="H4250" i="5"/>
  <c r="G4250" i="5"/>
  <c r="H4249" i="5"/>
  <c r="G4249" i="5"/>
  <c r="H4248" i="5"/>
  <c r="G4248" i="5"/>
  <c r="H4247" i="5"/>
  <c r="G4247" i="5"/>
  <c r="H4246" i="5"/>
  <c r="G4246" i="5"/>
  <c r="H4245" i="5"/>
  <c r="G4245" i="5"/>
  <c r="H4244" i="5"/>
  <c r="G4244" i="5"/>
  <c r="H4243" i="5"/>
  <c r="G4243" i="5"/>
  <c r="H4242" i="5"/>
  <c r="G4242" i="5"/>
  <c r="H4241" i="5"/>
  <c r="G4241" i="5"/>
  <c r="H4240" i="5"/>
  <c r="G4240" i="5"/>
  <c r="H4239" i="5"/>
  <c r="G4239" i="5"/>
  <c r="H4238" i="5"/>
  <c r="G4238" i="5"/>
  <c r="H4237" i="5"/>
  <c r="G4237" i="5"/>
  <c r="H4236" i="5"/>
  <c r="G4236" i="5"/>
  <c r="H4235" i="5"/>
  <c r="G4235" i="5"/>
  <c r="H4234" i="5"/>
  <c r="G4234" i="5"/>
  <c r="H4233" i="5"/>
  <c r="G4233" i="5"/>
  <c r="H4232" i="5"/>
  <c r="G4232" i="5"/>
  <c r="H4231" i="5"/>
  <c r="G4231" i="5"/>
  <c r="H4230" i="5"/>
  <c r="G4230" i="5"/>
  <c r="H4229" i="5"/>
  <c r="G4229" i="5"/>
  <c r="H4228" i="5"/>
  <c r="G4228" i="5"/>
  <c r="H4227" i="5"/>
  <c r="G4227" i="5"/>
  <c r="H4226" i="5"/>
  <c r="G4226" i="5"/>
  <c r="H4225" i="5"/>
  <c r="G4225" i="5"/>
  <c r="H4224" i="5"/>
  <c r="G4224" i="5"/>
  <c r="H4223" i="5"/>
  <c r="G4223" i="5"/>
  <c r="H4222" i="5"/>
  <c r="G4222" i="5"/>
  <c r="H4221" i="5"/>
  <c r="G4221" i="5"/>
  <c r="H4220" i="5"/>
  <c r="G4220" i="5"/>
  <c r="H4219" i="5"/>
  <c r="G4219" i="5"/>
  <c r="H4218" i="5"/>
  <c r="G4218" i="5"/>
  <c r="H4217" i="5"/>
  <c r="G4217" i="5"/>
  <c r="H4216" i="5"/>
  <c r="G4216" i="5"/>
  <c r="H4215" i="5"/>
  <c r="G4215" i="5"/>
  <c r="H4214" i="5"/>
  <c r="G4214" i="5"/>
  <c r="H4213" i="5"/>
  <c r="G4213" i="5"/>
  <c r="H4212" i="5"/>
  <c r="G4212" i="5"/>
  <c r="H4211" i="5"/>
  <c r="G4211" i="5"/>
  <c r="H4210" i="5"/>
  <c r="G4210" i="5"/>
  <c r="H4209" i="5"/>
  <c r="G4209" i="5"/>
  <c r="H4208" i="5"/>
  <c r="G4208" i="5"/>
  <c r="H4207" i="5"/>
  <c r="G4207" i="5"/>
  <c r="H4206" i="5"/>
  <c r="G4206" i="5"/>
  <c r="H4205" i="5"/>
  <c r="G4205" i="5"/>
  <c r="H4204" i="5"/>
  <c r="G4204" i="5"/>
  <c r="H4203" i="5"/>
  <c r="G4203" i="5"/>
  <c r="H4202" i="5"/>
  <c r="G4202" i="5"/>
  <c r="H4201" i="5"/>
  <c r="G4201" i="5"/>
  <c r="H4200" i="5"/>
  <c r="G4200" i="5"/>
  <c r="H4199" i="5"/>
  <c r="G4199" i="5"/>
  <c r="H4198" i="5"/>
  <c r="G4198" i="5"/>
  <c r="H4197" i="5"/>
  <c r="G4197" i="5"/>
  <c r="H4196" i="5"/>
  <c r="G4196" i="5"/>
  <c r="H4195" i="5"/>
  <c r="G4195" i="5"/>
  <c r="H4194" i="5"/>
  <c r="G4194" i="5"/>
  <c r="H4193" i="5"/>
  <c r="G4193" i="5"/>
  <c r="H4192" i="5"/>
  <c r="G4192" i="5"/>
  <c r="H4191" i="5"/>
  <c r="G4191" i="5"/>
  <c r="H4190" i="5"/>
  <c r="G4190" i="5"/>
  <c r="H4189" i="5"/>
  <c r="G4189" i="5"/>
  <c r="H4188" i="5"/>
  <c r="G4188" i="5"/>
  <c r="H4187" i="5"/>
  <c r="G4187" i="5"/>
  <c r="H4186" i="5"/>
  <c r="G4186" i="5"/>
  <c r="H4185" i="5"/>
  <c r="G4185" i="5"/>
  <c r="H4184" i="5"/>
  <c r="G4184" i="5"/>
  <c r="H4183" i="5"/>
  <c r="G4183" i="5"/>
  <c r="H4182" i="5"/>
  <c r="G4182" i="5"/>
  <c r="H4181" i="5"/>
  <c r="G4181" i="5"/>
  <c r="H4180" i="5"/>
  <c r="G4180" i="5"/>
  <c r="H4179" i="5"/>
  <c r="G4179" i="5"/>
  <c r="H4178" i="5"/>
  <c r="G4178" i="5"/>
  <c r="H4177" i="5"/>
  <c r="G4177" i="5"/>
  <c r="H4176" i="5"/>
  <c r="G4176" i="5"/>
  <c r="H4175" i="5"/>
  <c r="G4175" i="5"/>
  <c r="H4174" i="5"/>
  <c r="G4174" i="5"/>
  <c r="H4173" i="5"/>
  <c r="G4173" i="5"/>
  <c r="H4172" i="5"/>
  <c r="G4172" i="5"/>
  <c r="H4171" i="5"/>
  <c r="G4171" i="5"/>
  <c r="H4170" i="5"/>
  <c r="G4170" i="5"/>
  <c r="H4169" i="5"/>
  <c r="G4169" i="5"/>
  <c r="H4168" i="5"/>
  <c r="G4168" i="5"/>
  <c r="H4167" i="5"/>
  <c r="G4167" i="5"/>
  <c r="H4166" i="5"/>
  <c r="G4166" i="5"/>
  <c r="H4165" i="5"/>
  <c r="G4165" i="5"/>
  <c r="H4164" i="5"/>
  <c r="G4164" i="5"/>
  <c r="H4163" i="5"/>
  <c r="G4163" i="5"/>
  <c r="H4162" i="5"/>
  <c r="G4162" i="5"/>
  <c r="H4161" i="5"/>
  <c r="G4161" i="5"/>
  <c r="H4160" i="5"/>
  <c r="G4160" i="5"/>
  <c r="H4159" i="5"/>
  <c r="G4159" i="5"/>
  <c r="H4158" i="5"/>
  <c r="G4158" i="5"/>
  <c r="H4157" i="5"/>
  <c r="G4157" i="5"/>
  <c r="H4156" i="5"/>
  <c r="G4156" i="5"/>
  <c r="H4155" i="5"/>
  <c r="G4155" i="5"/>
  <c r="H4154" i="5"/>
  <c r="G4154" i="5"/>
  <c r="H4153" i="5"/>
  <c r="G4153" i="5"/>
  <c r="H4152" i="5"/>
  <c r="G4152" i="5"/>
  <c r="H4151" i="5"/>
  <c r="G4151" i="5"/>
  <c r="H4150" i="5"/>
  <c r="G4150" i="5"/>
  <c r="H4149" i="5"/>
  <c r="G4149" i="5"/>
  <c r="H4148" i="5"/>
  <c r="G4148" i="5"/>
  <c r="H4147" i="5"/>
  <c r="G4147" i="5"/>
  <c r="H4146" i="5"/>
  <c r="G4146" i="5"/>
  <c r="H4145" i="5"/>
  <c r="G4145" i="5"/>
  <c r="H4144" i="5"/>
  <c r="G4144" i="5"/>
  <c r="H4143" i="5"/>
  <c r="G4143" i="5"/>
  <c r="H4142" i="5"/>
  <c r="G4142" i="5"/>
  <c r="H4141" i="5"/>
  <c r="G4141" i="5"/>
  <c r="H4140" i="5"/>
  <c r="G4140" i="5"/>
  <c r="H4139" i="5"/>
  <c r="G4139" i="5"/>
  <c r="H4138" i="5"/>
  <c r="G4138" i="5"/>
  <c r="H4137" i="5"/>
  <c r="G4137" i="5"/>
  <c r="H4136" i="5"/>
  <c r="G4136" i="5"/>
  <c r="H4135" i="5"/>
  <c r="G4135" i="5"/>
  <c r="H4134" i="5"/>
  <c r="G4134" i="5"/>
  <c r="H4133" i="5"/>
  <c r="G4133" i="5"/>
  <c r="H4132" i="5"/>
  <c r="G4132" i="5"/>
  <c r="H4131" i="5"/>
  <c r="G4131" i="5"/>
  <c r="H4130" i="5"/>
  <c r="G4130" i="5"/>
  <c r="H4129" i="5"/>
  <c r="G4129" i="5"/>
  <c r="H4128" i="5"/>
  <c r="G4128" i="5"/>
  <c r="H4127" i="5"/>
  <c r="G4127" i="5"/>
  <c r="H4126" i="5"/>
  <c r="G4126" i="5"/>
  <c r="H4125" i="5"/>
  <c r="G4125" i="5"/>
  <c r="H4124" i="5"/>
  <c r="G4124" i="5"/>
  <c r="H4123" i="5"/>
  <c r="G4123" i="5"/>
  <c r="H4122" i="5"/>
  <c r="G4122" i="5"/>
  <c r="H4121" i="5"/>
  <c r="G4121" i="5"/>
  <c r="H4120" i="5"/>
  <c r="G4120" i="5"/>
  <c r="H4119" i="5"/>
  <c r="G4119" i="5"/>
  <c r="H4118" i="5"/>
  <c r="G4118" i="5"/>
  <c r="H4117" i="5"/>
  <c r="G4117" i="5"/>
  <c r="H4116" i="5"/>
  <c r="G4116" i="5"/>
  <c r="H4115" i="5"/>
  <c r="G4115" i="5"/>
  <c r="H4114" i="5"/>
  <c r="G4114" i="5"/>
  <c r="H4113" i="5"/>
  <c r="G4113" i="5"/>
  <c r="H4112" i="5"/>
  <c r="G4112" i="5"/>
  <c r="H4111" i="5"/>
  <c r="G4111" i="5"/>
  <c r="H4110" i="5"/>
  <c r="G4110" i="5"/>
  <c r="H4109" i="5"/>
  <c r="G4109" i="5"/>
  <c r="H4108" i="5"/>
  <c r="G4108" i="5"/>
  <c r="H4107" i="5"/>
  <c r="G4107" i="5"/>
  <c r="H4106" i="5"/>
  <c r="G4106" i="5"/>
  <c r="H4105" i="5"/>
  <c r="G4105" i="5"/>
  <c r="H4104" i="5"/>
  <c r="G4104" i="5"/>
  <c r="H4103" i="5"/>
  <c r="G4103" i="5"/>
  <c r="H4102" i="5"/>
  <c r="G4102" i="5"/>
  <c r="H4101" i="5"/>
  <c r="G4101" i="5"/>
  <c r="H4100" i="5"/>
  <c r="G4100" i="5"/>
  <c r="H4099" i="5"/>
  <c r="G4099" i="5"/>
  <c r="H4098" i="5"/>
  <c r="G4098" i="5"/>
  <c r="H4097" i="5"/>
  <c r="G4097" i="5"/>
  <c r="H4096" i="5"/>
  <c r="G4096" i="5"/>
  <c r="H4095" i="5"/>
  <c r="G4095" i="5"/>
  <c r="H4094" i="5"/>
  <c r="G4094" i="5"/>
  <c r="H4093" i="5"/>
  <c r="G4093" i="5"/>
  <c r="H4092" i="5"/>
  <c r="G4092" i="5"/>
  <c r="H4091" i="5"/>
  <c r="G4091" i="5"/>
  <c r="H4090" i="5"/>
  <c r="G4090" i="5"/>
  <c r="H4089" i="5"/>
  <c r="G4089" i="5"/>
  <c r="H4088" i="5"/>
  <c r="G4088" i="5"/>
  <c r="H4087" i="5"/>
  <c r="G4087" i="5"/>
  <c r="H4086" i="5"/>
  <c r="G4086" i="5"/>
  <c r="H4085" i="5"/>
  <c r="G4085" i="5"/>
  <c r="H4084" i="5"/>
  <c r="G4084" i="5"/>
  <c r="H4083" i="5"/>
  <c r="G4083" i="5"/>
  <c r="H4082" i="5"/>
  <c r="G4082" i="5"/>
  <c r="H4081" i="5"/>
  <c r="G4081" i="5"/>
  <c r="H4080" i="5"/>
  <c r="G4080" i="5"/>
  <c r="H4079" i="5"/>
  <c r="G4079" i="5"/>
  <c r="H4078" i="5"/>
  <c r="G4078" i="5"/>
  <c r="H4077" i="5"/>
  <c r="G4077" i="5"/>
  <c r="H4076" i="5"/>
  <c r="G4076" i="5"/>
  <c r="H4075" i="5"/>
  <c r="G4075" i="5"/>
  <c r="H4074" i="5"/>
  <c r="G4074" i="5"/>
  <c r="H4073" i="5"/>
  <c r="G4073" i="5"/>
  <c r="H4072" i="5"/>
  <c r="G4072" i="5"/>
  <c r="H4071" i="5"/>
  <c r="G4071" i="5"/>
  <c r="H4070" i="5"/>
  <c r="G4070" i="5"/>
  <c r="H4069" i="5"/>
  <c r="G4069" i="5"/>
  <c r="H4068" i="5"/>
  <c r="G4068" i="5"/>
  <c r="H4067" i="5"/>
  <c r="G4067" i="5"/>
  <c r="H4066" i="5"/>
  <c r="G4066" i="5"/>
  <c r="H4065" i="5"/>
  <c r="G4065" i="5"/>
  <c r="H4064" i="5"/>
  <c r="G4064" i="5"/>
  <c r="H4063" i="5"/>
  <c r="G4063" i="5"/>
  <c r="H4062" i="5"/>
  <c r="G4062" i="5"/>
  <c r="H4061" i="5"/>
  <c r="G4061" i="5"/>
  <c r="H4060" i="5"/>
  <c r="G4060" i="5"/>
  <c r="H4059" i="5"/>
  <c r="G4059" i="5"/>
  <c r="H4058" i="5"/>
  <c r="G4058" i="5"/>
  <c r="H4057" i="5"/>
  <c r="G4057" i="5"/>
  <c r="H4056" i="5"/>
  <c r="G4056" i="5"/>
  <c r="H4055" i="5"/>
  <c r="G4055" i="5"/>
  <c r="H4054" i="5"/>
  <c r="G4054" i="5"/>
  <c r="H4053" i="5"/>
  <c r="G4053" i="5"/>
  <c r="H4052" i="5"/>
  <c r="G4052" i="5"/>
  <c r="H4051" i="5"/>
  <c r="G4051" i="5"/>
  <c r="H4050" i="5"/>
  <c r="G4050" i="5"/>
  <c r="H4049" i="5"/>
  <c r="G4049" i="5"/>
  <c r="H4048" i="5"/>
  <c r="G4048" i="5"/>
  <c r="H4047" i="5"/>
  <c r="G4047" i="5"/>
  <c r="H4046" i="5"/>
  <c r="G4046" i="5"/>
  <c r="H4045" i="5"/>
  <c r="G4045" i="5"/>
  <c r="H4044" i="5"/>
  <c r="G4044" i="5"/>
  <c r="H4043" i="5"/>
  <c r="G4043" i="5"/>
  <c r="H4042" i="5"/>
  <c r="G4042" i="5"/>
  <c r="H4041" i="5"/>
  <c r="G4041" i="5"/>
  <c r="H4040" i="5"/>
  <c r="G4040" i="5"/>
  <c r="H4039" i="5"/>
  <c r="G4039" i="5"/>
  <c r="H4038" i="5"/>
  <c r="G4038" i="5"/>
  <c r="H4037" i="5"/>
  <c r="G4037" i="5"/>
  <c r="H4036" i="5"/>
  <c r="G4036" i="5"/>
  <c r="H4035" i="5"/>
  <c r="G4035" i="5"/>
  <c r="H4034" i="5"/>
  <c r="G4034" i="5"/>
  <c r="H4033" i="5"/>
  <c r="G4033" i="5"/>
  <c r="H4032" i="5"/>
  <c r="G4032" i="5"/>
  <c r="H4031" i="5"/>
  <c r="G4031" i="5"/>
  <c r="H4030" i="5"/>
  <c r="G4030" i="5"/>
  <c r="H4029" i="5"/>
  <c r="G4029" i="5"/>
  <c r="H4028" i="5"/>
  <c r="G4028" i="5"/>
  <c r="H4027" i="5"/>
  <c r="G4027" i="5"/>
  <c r="H4026" i="5"/>
  <c r="G4026" i="5"/>
  <c r="H4025" i="5"/>
  <c r="G4025" i="5"/>
  <c r="H4024" i="5"/>
  <c r="G4024" i="5"/>
  <c r="H4023" i="5"/>
  <c r="G4023" i="5"/>
  <c r="H4022" i="5"/>
  <c r="G4022" i="5"/>
  <c r="H4021" i="5"/>
  <c r="G4021" i="5"/>
  <c r="H4020" i="5"/>
  <c r="G4020" i="5"/>
  <c r="H4019" i="5"/>
  <c r="G4019" i="5"/>
  <c r="H4018" i="5"/>
  <c r="G4018" i="5"/>
  <c r="H4017" i="5"/>
  <c r="G4017" i="5"/>
  <c r="H4016" i="5"/>
  <c r="G4016" i="5"/>
  <c r="H4015" i="5"/>
  <c r="G4015" i="5"/>
  <c r="H4014" i="5"/>
  <c r="G4014" i="5"/>
  <c r="H4013" i="5"/>
  <c r="G4013" i="5"/>
  <c r="H4012" i="5"/>
  <c r="G4012" i="5"/>
  <c r="H4011" i="5"/>
  <c r="G4011" i="5"/>
  <c r="H4010" i="5"/>
  <c r="G4010" i="5"/>
  <c r="H4009" i="5"/>
  <c r="G4009" i="5"/>
  <c r="H4008" i="5"/>
  <c r="G4008" i="5"/>
  <c r="H4007" i="5"/>
  <c r="G4007" i="5"/>
  <c r="H4006" i="5"/>
  <c r="G4006" i="5"/>
  <c r="H4005" i="5"/>
  <c r="G4005" i="5"/>
  <c r="H4004" i="5"/>
  <c r="G4004" i="5"/>
  <c r="H4003" i="5"/>
  <c r="G4003" i="5"/>
  <c r="H4002" i="5"/>
  <c r="G4002" i="5"/>
  <c r="H4001" i="5"/>
  <c r="G4001" i="5"/>
  <c r="H4000" i="5"/>
  <c r="G4000" i="5"/>
  <c r="H3999" i="5"/>
  <c r="G3999" i="5"/>
  <c r="H3998" i="5"/>
  <c r="G3998" i="5"/>
  <c r="H3997" i="5"/>
  <c r="G3997" i="5"/>
  <c r="H3996" i="5"/>
  <c r="G3996" i="5"/>
  <c r="H3995" i="5"/>
  <c r="G3995" i="5"/>
  <c r="H3994" i="5"/>
  <c r="G3994" i="5"/>
  <c r="H3993" i="5"/>
  <c r="G3993" i="5"/>
  <c r="H3992" i="5"/>
  <c r="G3992" i="5"/>
  <c r="H3991" i="5"/>
  <c r="G3991" i="5"/>
  <c r="H3990" i="5"/>
  <c r="G3990" i="5"/>
  <c r="H3989" i="5"/>
  <c r="G3989" i="5"/>
  <c r="H3988" i="5"/>
  <c r="G3988" i="5"/>
  <c r="H3987" i="5"/>
  <c r="G3987" i="5"/>
  <c r="H3986" i="5"/>
  <c r="G3986" i="5"/>
  <c r="H3985" i="5"/>
  <c r="G3985" i="5"/>
  <c r="H3984" i="5"/>
  <c r="G3984" i="5"/>
  <c r="H3983" i="5"/>
  <c r="G3983" i="5"/>
  <c r="H3982" i="5"/>
  <c r="G3982" i="5"/>
  <c r="H3981" i="5"/>
  <c r="G3981" i="5"/>
  <c r="H3980" i="5"/>
  <c r="G3980" i="5"/>
  <c r="H3979" i="5"/>
  <c r="G3979" i="5"/>
  <c r="H3978" i="5"/>
  <c r="G3978" i="5"/>
  <c r="H3977" i="5"/>
  <c r="G3977" i="5"/>
  <c r="H3976" i="5"/>
  <c r="G3976" i="5"/>
  <c r="H3975" i="5"/>
  <c r="G3975" i="5"/>
  <c r="H3974" i="5"/>
  <c r="G3974" i="5"/>
  <c r="H3973" i="5"/>
  <c r="G3973" i="5"/>
  <c r="H3972" i="5"/>
  <c r="G3972" i="5"/>
  <c r="H3971" i="5"/>
  <c r="G3971" i="5"/>
  <c r="H3970" i="5"/>
  <c r="G3970" i="5"/>
  <c r="H3969" i="5"/>
  <c r="G3969" i="5"/>
  <c r="H3968" i="5"/>
  <c r="G3968" i="5"/>
  <c r="H3967" i="5"/>
  <c r="G3967" i="5"/>
  <c r="H3966" i="5"/>
  <c r="G3966" i="5"/>
  <c r="H3965" i="5"/>
  <c r="G3965" i="5"/>
  <c r="H3964" i="5"/>
  <c r="G3964" i="5"/>
  <c r="H3963" i="5"/>
  <c r="G3963" i="5"/>
  <c r="H3962" i="5"/>
  <c r="G3962" i="5"/>
  <c r="H3961" i="5"/>
  <c r="G3961" i="5"/>
  <c r="H3960" i="5"/>
  <c r="G3960" i="5"/>
  <c r="H3959" i="5"/>
  <c r="G3959" i="5"/>
  <c r="H3958" i="5"/>
  <c r="G3958" i="5"/>
  <c r="H3957" i="5"/>
  <c r="G3957" i="5"/>
  <c r="H3956" i="5"/>
  <c r="G3956" i="5"/>
  <c r="H3955" i="5"/>
  <c r="G3955" i="5"/>
  <c r="H3954" i="5"/>
  <c r="G3954" i="5"/>
  <c r="H3953" i="5"/>
  <c r="G3953" i="5"/>
  <c r="H3952" i="5"/>
  <c r="G3952" i="5"/>
  <c r="H3951" i="5"/>
  <c r="G3951" i="5"/>
  <c r="H3950" i="5"/>
  <c r="G3950" i="5"/>
  <c r="H3949" i="5"/>
  <c r="G3949" i="5"/>
  <c r="H3948" i="5"/>
  <c r="G3948" i="5"/>
  <c r="H3947" i="5"/>
  <c r="G3947" i="5"/>
  <c r="H3946" i="5"/>
  <c r="G3946" i="5"/>
  <c r="H3945" i="5"/>
  <c r="G3945" i="5"/>
  <c r="H3944" i="5"/>
  <c r="G3944" i="5"/>
  <c r="H3943" i="5"/>
  <c r="G3943" i="5"/>
  <c r="H3942" i="5"/>
  <c r="G3942" i="5"/>
  <c r="H3941" i="5"/>
  <c r="G3941" i="5"/>
  <c r="H3940" i="5"/>
  <c r="G3940" i="5"/>
  <c r="H3939" i="5"/>
  <c r="G3939" i="5"/>
  <c r="H3938" i="5"/>
  <c r="G3938" i="5"/>
  <c r="H3937" i="5"/>
  <c r="G3937" i="5"/>
  <c r="H3936" i="5"/>
  <c r="G3936" i="5"/>
  <c r="H3935" i="5"/>
  <c r="G3935" i="5"/>
  <c r="H3934" i="5"/>
  <c r="G3934" i="5"/>
  <c r="H3933" i="5"/>
  <c r="G3933" i="5"/>
  <c r="H3932" i="5"/>
  <c r="G3932" i="5"/>
  <c r="H3931" i="5"/>
  <c r="G3931" i="5"/>
  <c r="H3930" i="5"/>
  <c r="G3930" i="5"/>
  <c r="H3929" i="5"/>
  <c r="G3929" i="5"/>
  <c r="H3928" i="5"/>
  <c r="G3928" i="5"/>
  <c r="H3927" i="5"/>
  <c r="G3927" i="5"/>
  <c r="H3926" i="5"/>
  <c r="G3926" i="5"/>
  <c r="H3925" i="5"/>
  <c r="G3925" i="5"/>
  <c r="H3924" i="5"/>
  <c r="G3924" i="5"/>
  <c r="H3923" i="5"/>
  <c r="G3923" i="5"/>
  <c r="H3922" i="5"/>
  <c r="G3922" i="5"/>
  <c r="H3921" i="5"/>
  <c r="G3921" i="5"/>
  <c r="H3920" i="5"/>
  <c r="G3920" i="5"/>
  <c r="H3919" i="5"/>
  <c r="G3919" i="5"/>
  <c r="H3918" i="5"/>
  <c r="G3918" i="5"/>
  <c r="H3917" i="5"/>
  <c r="G3917" i="5"/>
  <c r="H3916" i="5"/>
  <c r="G3916" i="5"/>
  <c r="H3915" i="5"/>
  <c r="G3915" i="5"/>
  <c r="H3914" i="5"/>
  <c r="G3914" i="5"/>
  <c r="H3913" i="5"/>
  <c r="G3913" i="5"/>
  <c r="H3912" i="5"/>
  <c r="G3912" i="5"/>
  <c r="H3911" i="5"/>
  <c r="G3911" i="5"/>
  <c r="H3910" i="5"/>
  <c r="G3910" i="5"/>
  <c r="H3909" i="5"/>
  <c r="G3909" i="5"/>
  <c r="H3908" i="5"/>
  <c r="G3908" i="5"/>
  <c r="H3907" i="5"/>
  <c r="G3907" i="5"/>
  <c r="H3906" i="5"/>
  <c r="G3906" i="5"/>
  <c r="H3905" i="5"/>
  <c r="G3905" i="5"/>
  <c r="H3904" i="5"/>
  <c r="G3904" i="5"/>
  <c r="H3903" i="5"/>
  <c r="G3903" i="5"/>
  <c r="H3902" i="5"/>
  <c r="G3902" i="5"/>
  <c r="H3901" i="5"/>
  <c r="G3901" i="5"/>
  <c r="H3900" i="5"/>
  <c r="G3900" i="5"/>
  <c r="H3899" i="5"/>
  <c r="G3899" i="5"/>
  <c r="H3898" i="5"/>
  <c r="G3898" i="5"/>
  <c r="H3897" i="5"/>
  <c r="G3897" i="5"/>
  <c r="H3896" i="5"/>
  <c r="G3896" i="5"/>
  <c r="H3895" i="5"/>
  <c r="G3895" i="5"/>
  <c r="H3894" i="5"/>
  <c r="G3894" i="5"/>
  <c r="H3893" i="5"/>
  <c r="G3893" i="5"/>
  <c r="H3892" i="5"/>
  <c r="G3892" i="5"/>
  <c r="H3891" i="5"/>
  <c r="G3891" i="5"/>
  <c r="H3890" i="5"/>
  <c r="G3890" i="5"/>
  <c r="H3889" i="5"/>
  <c r="G3889" i="5"/>
  <c r="H3888" i="5"/>
  <c r="G3888" i="5"/>
  <c r="H3887" i="5"/>
  <c r="G3887" i="5"/>
  <c r="H3886" i="5"/>
  <c r="G3886" i="5"/>
  <c r="H3885" i="5"/>
  <c r="G3885" i="5"/>
  <c r="H3884" i="5"/>
  <c r="G3884" i="5"/>
  <c r="H3883" i="5"/>
  <c r="G3883" i="5"/>
  <c r="H3882" i="5"/>
  <c r="G3882" i="5"/>
  <c r="H3881" i="5"/>
  <c r="G3881" i="5"/>
  <c r="H3880" i="5"/>
  <c r="G3880" i="5"/>
  <c r="H3879" i="5"/>
  <c r="G3879" i="5"/>
  <c r="H3878" i="5"/>
  <c r="G3878" i="5"/>
  <c r="H3877" i="5"/>
  <c r="G3877" i="5"/>
  <c r="H3876" i="5"/>
  <c r="G3876" i="5"/>
  <c r="H3875" i="5"/>
  <c r="G3875" i="5"/>
  <c r="H3874" i="5"/>
  <c r="G3874" i="5"/>
  <c r="H3873" i="5"/>
  <c r="G3873" i="5"/>
  <c r="H3872" i="5"/>
  <c r="G3872" i="5"/>
  <c r="H3871" i="5"/>
  <c r="G3871" i="5"/>
  <c r="H3870" i="5"/>
  <c r="G3870" i="5"/>
  <c r="H3869" i="5"/>
  <c r="G3869" i="5"/>
  <c r="H3868" i="5"/>
  <c r="G3868" i="5"/>
  <c r="H3867" i="5"/>
  <c r="G3867" i="5"/>
  <c r="H3866" i="5"/>
  <c r="G3866" i="5"/>
  <c r="H3865" i="5"/>
  <c r="G3865" i="5"/>
  <c r="H3864" i="5"/>
  <c r="G3864" i="5"/>
  <c r="H3863" i="5"/>
  <c r="G3863" i="5"/>
  <c r="H3862" i="5"/>
  <c r="G3862" i="5"/>
  <c r="H3861" i="5"/>
  <c r="G3861" i="5"/>
  <c r="H3860" i="5"/>
  <c r="G3860" i="5"/>
  <c r="H3859" i="5"/>
  <c r="G3859" i="5"/>
  <c r="H3858" i="5"/>
  <c r="G3858" i="5"/>
  <c r="H3857" i="5"/>
  <c r="G3857" i="5"/>
  <c r="H3856" i="5"/>
  <c r="G3856" i="5"/>
  <c r="H3855" i="5"/>
  <c r="G3855" i="5"/>
  <c r="H3854" i="5"/>
  <c r="G3854" i="5"/>
  <c r="H3853" i="5"/>
  <c r="G3853" i="5"/>
  <c r="H3852" i="5"/>
  <c r="G3852" i="5"/>
  <c r="H3851" i="5"/>
  <c r="G3851" i="5"/>
  <c r="H3850" i="5"/>
  <c r="G3850" i="5"/>
  <c r="H3849" i="5"/>
  <c r="G3849" i="5"/>
  <c r="H3848" i="5"/>
  <c r="G3848" i="5"/>
  <c r="H3847" i="5"/>
  <c r="G3847" i="5"/>
  <c r="H3846" i="5"/>
  <c r="G3846" i="5"/>
  <c r="H3845" i="5"/>
  <c r="G3845" i="5"/>
  <c r="H3844" i="5"/>
  <c r="G3844" i="5"/>
  <c r="H3843" i="5"/>
  <c r="G3843" i="5"/>
  <c r="H3842" i="5"/>
  <c r="G3842" i="5"/>
  <c r="H3841" i="5"/>
  <c r="G3841" i="5"/>
  <c r="H3840" i="5"/>
  <c r="G3840" i="5"/>
  <c r="H3839" i="5"/>
  <c r="G3839" i="5"/>
  <c r="H3838" i="5"/>
  <c r="G3838" i="5"/>
  <c r="H3837" i="5"/>
  <c r="G3837" i="5"/>
  <c r="H3836" i="5"/>
  <c r="G3836" i="5"/>
  <c r="H3835" i="5"/>
  <c r="G3835" i="5"/>
  <c r="H3834" i="5"/>
  <c r="G3834" i="5"/>
  <c r="H3833" i="5"/>
  <c r="G3833" i="5"/>
  <c r="H3832" i="5"/>
  <c r="G3832" i="5"/>
  <c r="H3831" i="5"/>
  <c r="G3831" i="5"/>
  <c r="H3830" i="5"/>
  <c r="G3830" i="5"/>
  <c r="H3829" i="5"/>
  <c r="G3829" i="5"/>
  <c r="H3828" i="5"/>
  <c r="G3828" i="5"/>
  <c r="H3827" i="5"/>
  <c r="G3827" i="5"/>
  <c r="H3826" i="5"/>
  <c r="G3826" i="5"/>
  <c r="H3825" i="5"/>
  <c r="G3825" i="5"/>
  <c r="H3824" i="5"/>
  <c r="G3824" i="5"/>
  <c r="H3823" i="5"/>
  <c r="G3823" i="5"/>
  <c r="H3822" i="5"/>
  <c r="G3822" i="5"/>
  <c r="H3821" i="5"/>
  <c r="G3821" i="5"/>
  <c r="H3820" i="5"/>
  <c r="G3820" i="5"/>
  <c r="H3819" i="5"/>
  <c r="G3819" i="5"/>
  <c r="H3818" i="5"/>
  <c r="G3818" i="5"/>
  <c r="H3817" i="5"/>
  <c r="G3817" i="5"/>
  <c r="H3816" i="5"/>
  <c r="G3816" i="5"/>
  <c r="H3815" i="5"/>
  <c r="G3815" i="5"/>
  <c r="H3814" i="5"/>
  <c r="G3814" i="5"/>
  <c r="H3813" i="5"/>
  <c r="G3813" i="5"/>
  <c r="H3812" i="5"/>
  <c r="G3812" i="5"/>
  <c r="H3811" i="5"/>
  <c r="G3811" i="5"/>
  <c r="H3810" i="5"/>
  <c r="G3810" i="5"/>
  <c r="H3809" i="5"/>
  <c r="G3809" i="5"/>
  <c r="H3808" i="5"/>
  <c r="G3808" i="5"/>
  <c r="H3807" i="5"/>
  <c r="G3807" i="5"/>
  <c r="H3806" i="5"/>
  <c r="G3806" i="5"/>
  <c r="H3805" i="5"/>
  <c r="G3805" i="5"/>
  <c r="H3804" i="5"/>
  <c r="G3804" i="5"/>
  <c r="H3803" i="5"/>
  <c r="G3803" i="5"/>
  <c r="H3802" i="5"/>
  <c r="G3802" i="5"/>
  <c r="H3801" i="5"/>
  <c r="G3801" i="5"/>
  <c r="H3800" i="5"/>
  <c r="G3800" i="5"/>
  <c r="H3799" i="5"/>
  <c r="G3799" i="5"/>
  <c r="H3798" i="5"/>
  <c r="G3798" i="5"/>
  <c r="H3797" i="5"/>
  <c r="G3797" i="5"/>
  <c r="H3796" i="5"/>
  <c r="G3796" i="5"/>
  <c r="H3795" i="5"/>
  <c r="G3795" i="5"/>
  <c r="H3794" i="5"/>
  <c r="G3794" i="5"/>
  <c r="H3793" i="5"/>
  <c r="G3793" i="5"/>
  <c r="H3792" i="5"/>
  <c r="G3792" i="5"/>
  <c r="H3791" i="5"/>
  <c r="G3791" i="5"/>
  <c r="H3790" i="5"/>
  <c r="G3790" i="5"/>
  <c r="H3789" i="5"/>
  <c r="G3789" i="5"/>
  <c r="H3788" i="5"/>
  <c r="G3788" i="5"/>
  <c r="H3787" i="5"/>
  <c r="G3787" i="5"/>
  <c r="H3786" i="5"/>
  <c r="G3786" i="5"/>
  <c r="H3785" i="5"/>
  <c r="G3785" i="5"/>
  <c r="H3784" i="5"/>
  <c r="G3784" i="5"/>
  <c r="H3783" i="5"/>
  <c r="G3783" i="5"/>
  <c r="H3782" i="5"/>
  <c r="G3782" i="5"/>
  <c r="H3781" i="5"/>
  <c r="G3781" i="5"/>
  <c r="H3780" i="5"/>
  <c r="G3780" i="5"/>
  <c r="H3779" i="5"/>
  <c r="G3779" i="5"/>
  <c r="H3778" i="5"/>
  <c r="G3778" i="5"/>
  <c r="H3777" i="5"/>
  <c r="G3777" i="5"/>
  <c r="H3776" i="5"/>
  <c r="G3776" i="5"/>
  <c r="H3775" i="5"/>
  <c r="G3775" i="5"/>
  <c r="H3774" i="5"/>
  <c r="G3774" i="5"/>
  <c r="H3773" i="5"/>
  <c r="G3773" i="5"/>
  <c r="H3772" i="5"/>
  <c r="G3772" i="5"/>
  <c r="H3771" i="5"/>
  <c r="G3771" i="5"/>
  <c r="H3770" i="5"/>
  <c r="G3770" i="5"/>
  <c r="H3769" i="5"/>
  <c r="G3769" i="5"/>
  <c r="H3768" i="5"/>
  <c r="G3768" i="5"/>
  <c r="H3767" i="5"/>
  <c r="G3767" i="5"/>
  <c r="H3766" i="5"/>
  <c r="G3766" i="5"/>
  <c r="H3765" i="5"/>
  <c r="G3765" i="5"/>
  <c r="H3764" i="5"/>
  <c r="G3764" i="5"/>
  <c r="H3763" i="5"/>
  <c r="G3763" i="5"/>
  <c r="H3762" i="5"/>
  <c r="G3762" i="5"/>
  <c r="H3761" i="5"/>
  <c r="G3761" i="5"/>
  <c r="H3760" i="5"/>
  <c r="G3760" i="5"/>
  <c r="H3759" i="5"/>
  <c r="G3759" i="5"/>
  <c r="H3758" i="5"/>
  <c r="G3758" i="5"/>
  <c r="H3757" i="5"/>
  <c r="G3757" i="5"/>
  <c r="H3756" i="5"/>
  <c r="G3756" i="5"/>
  <c r="H3755" i="5"/>
  <c r="G3755" i="5"/>
  <c r="H3754" i="5"/>
  <c r="G3754" i="5"/>
  <c r="H3753" i="5"/>
  <c r="G3753" i="5"/>
  <c r="H3752" i="5"/>
  <c r="G3752" i="5"/>
  <c r="H3751" i="5"/>
  <c r="G3751" i="5"/>
  <c r="H3750" i="5"/>
  <c r="G3750" i="5"/>
  <c r="H3749" i="5"/>
  <c r="G3749" i="5"/>
  <c r="H3748" i="5"/>
  <c r="G3748" i="5"/>
  <c r="H3747" i="5"/>
  <c r="G3747" i="5"/>
  <c r="H3746" i="5"/>
  <c r="G3746" i="5"/>
  <c r="H3745" i="5"/>
  <c r="G3745" i="5"/>
  <c r="H3744" i="5"/>
  <c r="G3744" i="5"/>
  <c r="H3743" i="5"/>
  <c r="G3743" i="5"/>
  <c r="H3742" i="5"/>
  <c r="G3742" i="5"/>
  <c r="H3741" i="5"/>
  <c r="G3741" i="5"/>
  <c r="H3740" i="5"/>
  <c r="G3740" i="5"/>
  <c r="H3739" i="5"/>
  <c r="G3739" i="5"/>
  <c r="H3738" i="5"/>
  <c r="G3738" i="5"/>
  <c r="H3737" i="5"/>
  <c r="G3737" i="5"/>
  <c r="H3736" i="5"/>
  <c r="G3736" i="5"/>
  <c r="H3735" i="5"/>
  <c r="G3735" i="5"/>
  <c r="H3734" i="5"/>
  <c r="G3734" i="5"/>
  <c r="H3733" i="5"/>
  <c r="G3733" i="5"/>
  <c r="H3732" i="5"/>
  <c r="G3732" i="5"/>
  <c r="H3731" i="5"/>
  <c r="G3731" i="5"/>
  <c r="H3730" i="5"/>
  <c r="G3730" i="5"/>
  <c r="H3729" i="5"/>
  <c r="G3729" i="5"/>
  <c r="H3728" i="5"/>
  <c r="G3728" i="5"/>
  <c r="H3727" i="5"/>
  <c r="G3727" i="5"/>
  <c r="H3726" i="5"/>
  <c r="G3726" i="5"/>
  <c r="H3725" i="5"/>
  <c r="G3725" i="5"/>
  <c r="H3724" i="5"/>
  <c r="G3724" i="5"/>
  <c r="H3723" i="5"/>
  <c r="G3723" i="5"/>
  <c r="H3722" i="5"/>
  <c r="G3722" i="5"/>
  <c r="H3721" i="5"/>
  <c r="G3721" i="5"/>
  <c r="H3720" i="5"/>
  <c r="G3720" i="5"/>
  <c r="H3719" i="5"/>
  <c r="G3719" i="5"/>
  <c r="H3718" i="5"/>
  <c r="G3718" i="5"/>
  <c r="H3717" i="5"/>
  <c r="G3717" i="5"/>
  <c r="H3716" i="5"/>
  <c r="G3716" i="5"/>
  <c r="H3715" i="5"/>
  <c r="G3715" i="5"/>
  <c r="H3714" i="5"/>
  <c r="G3714" i="5"/>
  <c r="H3713" i="5"/>
  <c r="G3713" i="5"/>
  <c r="H3712" i="5"/>
  <c r="G3712" i="5"/>
  <c r="H3711" i="5"/>
  <c r="G3711" i="5"/>
  <c r="H3710" i="5"/>
  <c r="G3710" i="5"/>
  <c r="H3709" i="5"/>
  <c r="G3709" i="5"/>
  <c r="H3708" i="5"/>
  <c r="G3708" i="5"/>
  <c r="H3707" i="5"/>
  <c r="G3707" i="5"/>
  <c r="H3706" i="5"/>
  <c r="G3706" i="5"/>
  <c r="H3705" i="5"/>
  <c r="G3705" i="5"/>
  <c r="H3704" i="5"/>
  <c r="G3704" i="5"/>
  <c r="H3703" i="5"/>
  <c r="G3703" i="5"/>
  <c r="H3702" i="5"/>
  <c r="G3702" i="5"/>
  <c r="H3701" i="5"/>
  <c r="G3701" i="5"/>
  <c r="H3700" i="5"/>
  <c r="G3700" i="5"/>
  <c r="H3699" i="5"/>
  <c r="G3699" i="5"/>
  <c r="H3698" i="5"/>
  <c r="G3698" i="5"/>
  <c r="H3697" i="5"/>
  <c r="G3697" i="5"/>
  <c r="H3696" i="5"/>
  <c r="G3696" i="5"/>
  <c r="H3695" i="5"/>
  <c r="G3695" i="5"/>
  <c r="H3694" i="5"/>
  <c r="G3694" i="5"/>
  <c r="H3693" i="5"/>
  <c r="G3693" i="5"/>
  <c r="H3692" i="5"/>
  <c r="G3692" i="5"/>
  <c r="H3691" i="5"/>
  <c r="G3691" i="5"/>
  <c r="H3690" i="5"/>
  <c r="G3690" i="5"/>
  <c r="H3689" i="5"/>
  <c r="G3689" i="5"/>
  <c r="H3688" i="5"/>
  <c r="G3688" i="5"/>
  <c r="H3687" i="5"/>
  <c r="G3687" i="5"/>
  <c r="H3686" i="5"/>
  <c r="G3686" i="5"/>
  <c r="H3685" i="5"/>
  <c r="G3685" i="5"/>
  <c r="H3684" i="5"/>
  <c r="G3684" i="5"/>
  <c r="H3683" i="5"/>
  <c r="G3683" i="5"/>
  <c r="H3682" i="5"/>
  <c r="G3682" i="5"/>
  <c r="H3681" i="5"/>
  <c r="G3681" i="5"/>
  <c r="H3680" i="5"/>
  <c r="G3680" i="5"/>
  <c r="H3679" i="5"/>
  <c r="G3679" i="5"/>
  <c r="H3678" i="5"/>
  <c r="G3678" i="5"/>
  <c r="H3677" i="5"/>
  <c r="G3677" i="5"/>
  <c r="H3676" i="5"/>
  <c r="G3676" i="5"/>
  <c r="H3675" i="5"/>
  <c r="G3675" i="5"/>
  <c r="H3674" i="5"/>
  <c r="G3674" i="5"/>
  <c r="H3673" i="5"/>
  <c r="G3673" i="5"/>
  <c r="H3672" i="5"/>
  <c r="G3672" i="5"/>
  <c r="H3671" i="5"/>
  <c r="G3671" i="5"/>
  <c r="H3670" i="5"/>
  <c r="G3670" i="5"/>
  <c r="H3669" i="5"/>
  <c r="G3669" i="5"/>
  <c r="H3668" i="5"/>
  <c r="G3668" i="5"/>
  <c r="H3667" i="5"/>
  <c r="G3667" i="5"/>
  <c r="H3666" i="5"/>
  <c r="G3666" i="5"/>
  <c r="H3665" i="5"/>
  <c r="G3665" i="5"/>
  <c r="H3664" i="5"/>
  <c r="G3664" i="5"/>
  <c r="H3663" i="5"/>
  <c r="G3663" i="5"/>
  <c r="H3662" i="5"/>
  <c r="G3662" i="5"/>
  <c r="H3661" i="5"/>
  <c r="G3661" i="5"/>
  <c r="H3660" i="5"/>
  <c r="G3660" i="5"/>
  <c r="H3659" i="5"/>
  <c r="G3659" i="5"/>
  <c r="H3658" i="5"/>
  <c r="G3658" i="5"/>
  <c r="H3657" i="5"/>
  <c r="G3657" i="5"/>
  <c r="H3656" i="5"/>
  <c r="G3656" i="5"/>
  <c r="H3655" i="5"/>
  <c r="G3655" i="5"/>
  <c r="H3654" i="5"/>
  <c r="G3654" i="5"/>
  <c r="H3653" i="5"/>
  <c r="G3653" i="5"/>
  <c r="H3652" i="5"/>
  <c r="G3652" i="5"/>
  <c r="H3651" i="5"/>
  <c r="G3651" i="5"/>
  <c r="H3650" i="5"/>
  <c r="G3650" i="5"/>
  <c r="H3649" i="5"/>
  <c r="G3649" i="5"/>
  <c r="H3648" i="5"/>
  <c r="G3648" i="5"/>
  <c r="H3647" i="5"/>
  <c r="G3647" i="5"/>
  <c r="H3646" i="5"/>
  <c r="G3646" i="5"/>
  <c r="H3645" i="5"/>
  <c r="G3645" i="5"/>
  <c r="H3644" i="5"/>
  <c r="G3644" i="5"/>
  <c r="H3643" i="5"/>
  <c r="G3643" i="5"/>
  <c r="H3642" i="5"/>
  <c r="G3642" i="5"/>
  <c r="H3641" i="5"/>
  <c r="G3641" i="5"/>
  <c r="H3640" i="5"/>
  <c r="G3640" i="5"/>
  <c r="H3639" i="5"/>
  <c r="G3639" i="5"/>
  <c r="H3638" i="5"/>
  <c r="G3638" i="5"/>
  <c r="H3637" i="5"/>
  <c r="G3637" i="5"/>
  <c r="H3636" i="5"/>
  <c r="G3636" i="5"/>
  <c r="H3635" i="5"/>
  <c r="G3635" i="5"/>
  <c r="H3634" i="5"/>
  <c r="G3634" i="5"/>
  <c r="H3633" i="5"/>
  <c r="G3633" i="5"/>
  <c r="H3632" i="5"/>
  <c r="G3632" i="5"/>
  <c r="H3631" i="5"/>
  <c r="G3631" i="5"/>
  <c r="H3630" i="5"/>
  <c r="G3630" i="5"/>
  <c r="H3629" i="5"/>
  <c r="G3629" i="5"/>
  <c r="H3628" i="5"/>
  <c r="G3628" i="5"/>
  <c r="H3627" i="5"/>
  <c r="G3627" i="5"/>
  <c r="H3626" i="5"/>
  <c r="G3626" i="5"/>
  <c r="H3625" i="5"/>
  <c r="G3625" i="5"/>
  <c r="H3624" i="5"/>
  <c r="G3624" i="5"/>
  <c r="H3623" i="5"/>
  <c r="G3623" i="5"/>
  <c r="H3622" i="5"/>
  <c r="G3622" i="5"/>
  <c r="H3621" i="5"/>
  <c r="G3621" i="5"/>
  <c r="H3620" i="5"/>
  <c r="G3620" i="5"/>
  <c r="H3619" i="5"/>
  <c r="G3619" i="5"/>
  <c r="H3618" i="5"/>
  <c r="G3618" i="5"/>
  <c r="H3617" i="5"/>
  <c r="G3617" i="5"/>
  <c r="H3616" i="5"/>
  <c r="G3616" i="5"/>
  <c r="H3615" i="5"/>
  <c r="G3615" i="5"/>
  <c r="H3614" i="5"/>
  <c r="G3614" i="5"/>
  <c r="H3613" i="5"/>
  <c r="G3613" i="5"/>
  <c r="H3612" i="5"/>
  <c r="G3612" i="5"/>
  <c r="H3611" i="5"/>
  <c r="G3611" i="5"/>
  <c r="H3610" i="5"/>
  <c r="G3610" i="5"/>
  <c r="H3609" i="5"/>
  <c r="G3609" i="5"/>
  <c r="H3608" i="5"/>
  <c r="G3608" i="5"/>
  <c r="H3607" i="5"/>
  <c r="G3607" i="5"/>
  <c r="H3606" i="5"/>
  <c r="G3606" i="5"/>
  <c r="H3605" i="5"/>
  <c r="G3605" i="5"/>
  <c r="H3604" i="5"/>
  <c r="G3604" i="5"/>
  <c r="H3603" i="5"/>
  <c r="G3603" i="5"/>
  <c r="H3602" i="5"/>
  <c r="G3602" i="5"/>
  <c r="H3601" i="5"/>
  <c r="G3601" i="5"/>
  <c r="H3600" i="5"/>
  <c r="G3600" i="5"/>
  <c r="H3599" i="5"/>
  <c r="G3599" i="5"/>
  <c r="H3598" i="5"/>
  <c r="G3598" i="5"/>
  <c r="H3597" i="5"/>
  <c r="G3597" i="5"/>
  <c r="H3596" i="5"/>
  <c r="G3596" i="5"/>
  <c r="H3595" i="5"/>
  <c r="G3595" i="5"/>
  <c r="H3594" i="5"/>
  <c r="G3594" i="5"/>
  <c r="H3593" i="5"/>
  <c r="G3593" i="5"/>
  <c r="H3592" i="5"/>
  <c r="G3592" i="5"/>
  <c r="H3591" i="5"/>
  <c r="G3591" i="5"/>
  <c r="H3590" i="5"/>
  <c r="G3590" i="5"/>
  <c r="H3589" i="5"/>
  <c r="G3589" i="5"/>
  <c r="H3588" i="5"/>
  <c r="G3588" i="5"/>
  <c r="H3587" i="5"/>
  <c r="G3587" i="5"/>
  <c r="H3586" i="5"/>
  <c r="G3586" i="5"/>
  <c r="H3585" i="5"/>
  <c r="G3585" i="5"/>
  <c r="H3584" i="5"/>
  <c r="G3584" i="5"/>
  <c r="H3583" i="5"/>
  <c r="G3583" i="5"/>
  <c r="H3582" i="5"/>
  <c r="G3582" i="5"/>
  <c r="H3581" i="5"/>
  <c r="G3581" i="5"/>
  <c r="H3580" i="5"/>
  <c r="G3580" i="5"/>
  <c r="H3579" i="5"/>
  <c r="G3579" i="5"/>
  <c r="H3578" i="5"/>
  <c r="G3578" i="5"/>
  <c r="H3577" i="5"/>
  <c r="G3577" i="5"/>
  <c r="H3576" i="5"/>
  <c r="G3576" i="5"/>
  <c r="H3575" i="5"/>
  <c r="G3575" i="5"/>
  <c r="H3574" i="5"/>
  <c r="G3574" i="5"/>
  <c r="H3573" i="5"/>
  <c r="G3573" i="5"/>
  <c r="H3572" i="5"/>
  <c r="G3572" i="5"/>
  <c r="H3571" i="5"/>
  <c r="G3571" i="5"/>
  <c r="H3570" i="5"/>
  <c r="G3570" i="5"/>
  <c r="H3569" i="5"/>
  <c r="G3569" i="5"/>
  <c r="H3568" i="5"/>
  <c r="G3568" i="5"/>
  <c r="H3567" i="5"/>
  <c r="G3567" i="5"/>
  <c r="H3566" i="5"/>
  <c r="G3566" i="5"/>
  <c r="H3565" i="5"/>
  <c r="G3565" i="5"/>
  <c r="H3564" i="5"/>
  <c r="G3564" i="5"/>
  <c r="H3563" i="5"/>
  <c r="G3563" i="5"/>
  <c r="H3562" i="5"/>
  <c r="G3562" i="5"/>
  <c r="H3561" i="5"/>
  <c r="G3561" i="5"/>
  <c r="H3560" i="5"/>
  <c r="G3560" i="5"/>
  <c r="H3559" i="5"/>
  <c r="G3559" i="5"/>
  <c r="H3558" i="5"/>
  <c r="G3558" i="5"/>
  <c r="H3557" i="5"/>
  <c r="G3557" i="5"/>
  <c r="H3556" i="5"/>
  <c r="G3556" i="5"/>
  <c r="H3555" i="5"/>
  <c r="G3555" i="5"/>
  <c r="H3554" i="5"/>
  <c r="G3554" i="5"/>
  <c r="H3553" i="5"/>
  <c r="G3553" i="5"/>
  <c r="H3552" i="5"/>
  <c r="G3552" i="5"/>
  <c r="H3551" i="5"/>
  <c r="G3551" i="5"/>
  <c r="H3550" i="5"/>
  <c r="G3550" i="5"/>
  <c r="H3549" i="5"/>
  <c r="G3549" i="5"/>
  <c r="H3548" i="5"/>
  <c r="G3548" i="5"/>
  <c r="H3547" i="5"/>
  <c r="G3547" i="5"/>
  <c r="H3546" i="5"/>
  <c r="G3546" i="5"/>
  <c r="H3545" i="5"/>
  <c r="G3545" i="5"/>
  <c r="H3544" i="5"/>
  <c r="G3544" i="5"/>
  <c r="H3543" i="5"/>
  <c r="G3543" i="5"/>
  <c r="H3542" i="5"/>
  <c r="G3542" i="5"/>
  <c r="H3541" i="5"/>
  <c r="G3541" i="5"/>
  <c r="H3540" i="5"/>
  <c r="G3540" i="5"/>
  <c r="H3539" i="5"/>
  <c r="G3539" i="5"/>
  <c r="H3538" i="5"/>
  <c r="G3538" i="5"/>
  <c r="H3537" i="5"/>
  <c r="G3537" i="5"/>
  <c r="H3536" i="5"/>
  <c r="G3536" i="5"/>
  <c r="H3535" i="5"/>
  <c r="G3535" i="5"/>
  <c r="H3534" i="5"/>
  <c r="G3534" i="5"/>
  <c r="H3533" i="5"/>
  <c r="G3533" i="5"/>
  <c r="H3532" i="5"/>
  <c r="G3532" i="5"/>
  <c r="H3531" i="5"/>
  <c r="G3531" i="5"/>
  <c r="H3530" i="5"/>
  <c r="G3530" i="5"/>
  <c r="H3529" i="5"/>
  <c r="G3529" i="5"/>
  <c r="H3528" i="5"/>
  <c r="G3528" i="5"/>
  <c r="H3527" i="5"/>
  <c r="G3527" i="5"/>
  <c r="H3526" i="5"/>
  <c r="G3526" i="5"/>
  <c r="H3525" i="5"/>
  <c r="G3525" i="5"/>
  <c r="H3524" i="5"/>
  <c r="G3524" i="5"/>
  <c r="H3523" i="5"/>
  <c r="G3523" i="5"/>
  <c r="H3522" i="5"/>
  <c r="G3522" i="5"/>
  <c r="H3521" i="5"/>
  <c r="G3521" i="5"/>
  <c r="H3520" i="5"/>
  <c r="G3520" i="5"/>
  <c r="H3519" i="5"/>
  <c r="G3519" i="5"/>
  <c r="H3518" i="5"/>
  <c r="G3518" i="5"/>
  <c r="H3517" i="5"/>
  <c r="G3517" i="5"/>
  <c r="H3516" i="5"/>
  <c r="G3516" i="5"/>
  <c r="H3515" i="5"/>
  <c r="G3515" i="5"/>
  <c r="H3514" i="5"/>
  <c r="G3514" i="5"/>
  <c r="H3513" i="5"/>
  <c r="G3513" i="5"/>
  <c r="H3512" i="5"/>
  <c r="G3512" i="5"/>
  <c r="H3511" i="5"/>
  <c r="G3511" i="5"/>
  <c r="H3510" i="5"/>
  <c r="G3510" i="5"/>
  <c r="H3509" i="5"/>
  <c r="G3509" i="5"/>
  <c r="H3508" i="5"/>
  <c r="G3508" i="5"/>
  <c r="H3507" i="5"/>
  <c r="G3507" i="5"/>
  <c r="H3506" i="5"/>
  <c r="G3506" i="5"/>
  <c r="H3505" i="5"/>
  <c r="G3505" i="5"/>
  <c r="H3504" i="5"/>
  <c r="G3504" i="5"/>
  <c r="H3503" i="5"/>
  <c r="G3503" i="5"/>
  <c r="H3502" i="5"/>
  <c r="G3502" i="5"/>
  <c r="H3501" i="5"/>
  <c r="G3501" i="5"/>
  <c r="H3500" i="5"/>
  <c r="G3500" i="5"/>
  <c r="H3499" i="5"/>
  <c r="G3499" i="5"/>
  <c r="H3498" i="5"/>
  <c r="G3498" i="5"/>
  <c r="H3497" i="5"/>
  <c r="G3497" i="5"/>
  <c r="H3496" i="5"/>
  <c r="G3496" i="5"/>
  <c r="H3495" i="5"/>
  <c r="G3495" i="5"/>
  <c r="H3494" i="5"/>
  <c r="G3494" i="5"/>
  <c r="H3493" i="5"/>
  <c r="G3493" i="5"/>
  <c r="H3492" i="5"/>
  <c r="G3492" i="5"/>
  <c r="H3491" i="5"/>
  <c r="G3491" i="5"/>
  <c r="H3490" i="5"/>
  <c r="G3490" i="5"/>
  <c r="H3489" i="5"/>
  <c r="G3489" i="5"/>
  <c r="H3488" i="5"/>
  <c r="G3488" i="5"/>
  <c r="H3487" i="5"/>
  <c r="G3487" i="5"/>
  <c r="H3486" i="5"/>
  <c r="G3486" i="5"/>
  <c r="H3485" i="5"/>
  <c r="G3485" i="5"/>
  <c r="H3484" i="5"/>
  <c r="G3484" i="5"/>
  <c r="H3483" i="5"/>
  <c r="G3483" i="5"/>
  <c r="H3482" i="5"/>
  <c r="G3482" i="5"/>
  <c r="H3481" i="5"/>
  <c r="G3481" i="5"/>
  <c r="H3480" i="5"/>
  <c r="G3480" i="5"/>
  <c r="H3479" i="5"/>
  <c r="G3479" i="5"/>
  <c r="H3478" i="5"/>
  <c r="G3478" i="5"/>
  <c r="H3477" i="5"/>
  <c r="G3477" i="5"/>
  <c r="H3476" i="5"/>
  <c r="G3476" i="5"/>
  <c r="H3475" i="5"/>
  <c r="G3475" i="5"/>
  <c r="H3474" i="5"/>
  <c r="G3474" i="5"/>
  <c r="H3473" i="5"/>
  <c r="G3473" i="5"/>
  <c r="H3472" i="5"/>
  <c r="G3472" i="5"/>
  <c r="H3471" i="5"/>
  <c r="G3471" i="5"/>
  <c r="H3470" i="5"/>
  <c r="G3470" i="5"/>
  <c r="H3469" i="5"/>
  <c r="G3469" i="5"/>
  <c r="H3468" i="5"/>
  <c r="G3468" i="5"/>
  <c r="H3467" i="5"/>
  <c r="G3467" i="5"/>
  <c r="H3466" i="5"/>
  <c r="G3466" i="5"/>
  <c r="H3465" i="5"/>
  <c r="G3465" i="5"/>
  <c r="H3464" i="5"/>
  <c r="G3464" i="5"/>
  <c r="H3463" i="5"/>
  <c r="G3463" i="5"/>
  <c r="H3462" i="5"/>
  <c r="G3462" i="5"/>
  <c r="H3461" i="5"/>
  <c r="G3461" i="5"/>
  <c r="H3460" i="5"/>
  <c r="G3460" i="5"/>
  <c r="H3459" i="5"/>
  <c r="G3459" i="5"/>
  <c r="H3458" i="5"/>
  <c r="G3458" i="5"/>
  <c r="H3457" i="5"/>
  <c r="G3457" i="5"/>
  <c r="H3456" i="5"/>
  <c r="G3456" i="5"/>
  <c r="H3455" i="5"/>
  <c r="G3455" i="5"/>
  <c r="H3454" i="5"/>
  <c r="G3454" i="5"/>
  <c r="H3453" i="5"/>
  <c r="G3453" i="5"/>
  <c r="H3452" i="5"/>
  <c r="G3452" i="5"/>
  <c r="H3451" i="5"/>
  <c r="G3451" i="5"/>
  <c r="H3450" i="5"/>
  <c r="G3450" i="5"/>
  <c r="H3449" i="5"/>
  <c r="G3449" i="5"/>
  <c r="H3448" i="5"/>
  <c r="G3448" i="5"/>
  <c r="H3447" i="5"/>
  <c r="G3447" i="5"/>
  <c r="H3446" i="5"/>
  <c r="G3446" i="5"/>
  <c r="H3445" i="5"/>
  <c r="G3445" i="5"/>
  <c r="H3444" i="5"/>
  <c r="G3444" i="5"/>
  <c r="H3443" i="5"/>
  <c r="G3443" i="5"/>
  <c r="H3442" i="5"/>
  <c r="G3442" i="5"/>
  <c r="H3441" i="5"/>
  <c r="G3441" i="5"/>
  <c r="H3440" i="5"/>
  <c r="G3440" i="5"/>
  <c r="H3439" i="5"/>
  <c r="G3439" i="5"/>
  <c r="H3438" i="5"/>
  <c r="G3438" i="5"/>
  <c r="H3437" i="5"/>
  <c r="G3437" i="5"/>
  <c r="H3436" i="5"/>
  <c r="G3436" i="5"/>
  <c r="H3435" i="5"/>
  <c r="G3435" i="5"/>
  <c r="H3434" i="5"/>
  <c r="G3434" i="5"/>
  <c r="H3433" i="5"/>
  <c r="G3433" i="5"/>
  <c r="H3432" i="5"/>
  <c r="G3432" i="5"/>
  <c r="H3431" i="5"/>
  <c r="G3431" i="5"/>
  <c r="H3430" i="5"/>
  <c r="G3430" i="5"/>
  <c r="H3429" i="5"/>
  <c r="G3429" i="5"/>
  <c r="H3428" i="5"/>
  <c r="G3428" i="5"/>
  <c r="H3427" i="5"/>
  <c r="G3427" i="5"/>
  <c r="H3426" i="5"/>
  <c r="G3426" i="5"/>
  <c r="H3425" i="5"/>
  <c r="G3425" i="5"/>
  <c r="H3424" i="5"/>
  <c r="G3424" i="5"/>
  <c r="H3423" i="5"/>
  <c r="G3423" i="5"/>
  <c r="H3422" i="5"/>
  <c r="G3422" i="5"/>
  <c r="H3421" i="5"/>
  <c r="G3421" i="5"/>
  <c r="H3420" i="5"/>
  <c r="G3420" i="5"/>
  <c r="H3419" i="5"/>
  <c r="G3419" i="5"/>
  <c r="H3418" i="5"/>
  <c r="G3418" i="5"/>
  <c r="H3417" i="5"/>
  <c r="G3417" i="5"/>
  <c r="H3416" i="5"/>
  <c r="G3416" i="5"/>
  <c r="H3415" i="5"/>
  <c r="G3415" i="5"/>
  <c r="H3414" i="5"/>
  <c r="G3414" i="5"/>
  <c r="H3413" i="5"/>
  <c r="G3413" i="5"/>
  <c r="H3412" i="5"/>
  <c r="G3412" i="5"/>
  <c r="H3411" i="5"/>
  <c r="G3411" i="5"/>
  <c r="H3410" i="5"/>
  <c r="G3410" i="5"/>
  <c r="H3409" i="5"/>
  <c r="G3409" i="5"/>
  <c r="H3408" i="5"/>
  <c r="G3408" i="5"/>
  <c r="H3407" i="5"/>
  <c r="G3407" i="5"/>
  <c r="H3406" i="5"/>
  <c r="G3406" i="5"/>
  <c r="H3405" i="5"/>
  <c r="G3405" i="5"/>
  <c r="H3404" i="5"/>
  <c r="G3404" i="5"/>
  <c r="H3403" i="5"/>
  <c r="G3403" i="5"/>
  <c r="H3402" i="5"/>
  <c r="G3402" i="5"/>
  <c r="H3401" i="5"/>
  <c r="G3401" i="5"/>
  <c r="H3400" i="5"/>
  <c r="G3400" i="5"/>
  <c r="H3399" i="5"/>
  <c r="G3399" i="5"/>
  <c r="H3398" i="5"/>
  <c r="G3398" i="5"/>
  <c r="H3397" i="5"/>
  <c r="G3397" i="5"/>
  <c r="H3396" i="5"/>
  <c r="G3396" i="5"/>
  <c r="H3395" i="5"/>
  <c r="G3395" i="5"/>
  <c r="H3394" i="5"/>
  <c r="G3394" i="5"/>
  <c r="H3393" i="5"/>
  <c r="G3393" i="5"/>
  <c r="H3392" i="5"/>
  <c r="G3392" i="5"/>
  <c r="H3391" i="5"/>
  <c r="G3391" i="5"/>
  <c r="H3390" i="5"/>
  <c r="G3390" i="5"/>
  <c r="H3389" i="5"/>
  <c r="G3389" i="5"/>
  <c r="H3388" i="5"/>
  <c r="G3388" i="5"/>
  <c r="H3387" i="5"/>
  <c r="G3387" i="5"/>
  <c r="H3386" i="5"/>
  <c r="G3386" i="5"/>
  <c r="H3385" i="5"/>
  <c r="G3385" i="5"/>
  <c r="H3384" i="5"/>
  <c r="G3384" i="5"/>
  <c r="H3383" i="5"/>
  <c r="G3383" i="5"/>
  <c r="H3382" i="5"/>
  <c r="G3382" i="5"/>
  <c r="H3381" i="5"/>
  <c r="G3381" i="5"/>
  <c r="H3380" i="5"/>
  <c r="G3380" i="5"/>
  <c r="H3379" i="5"/>
  <c r="G3379" i="5"/>
  <c r="H3378" i="5"/>
  <c r="G3378" i="5"/>
  <c r="H3377" i="5"/>
  <c r="G3377" i="5"/>
  <c r="H3376" i="5"/>
  <c r="G3376" i="5"/>
  <c r="H3375" i="5"/>
  <c r="G3375" i="5"/>
  <c r="H3374" i="5"/>
  <c r="G3374" i="5"/>
  <c r="H3373" i="5"/>
  <c r="G3373" i="5"/>
  <c r="H3372" i="5"/>
  <c r="G3372" i="5"/>
  <c r="H3371" i="5"/>
  <c r="G3371" i="5"/>
  <c r="H3370" i="5"/>
  <c r="G3370" i="5"/>
  <c r="H3369" i="5"/>
  <c r="G3369" i="5"/>
  <c r="H3368" i="5"/>
  <c r="G3368" i="5"/>
  <c r="H3367" i="5"/>
  <c r="G3367" i="5"/>
  <c r="H3366" i="5"/>
  <c r="G3366" i="5"/>
  <c r="H3365" i="5"/>
  <c r="G3365" i="5"/>
  <c r="H3364" i="5"/>
  <c r="G3364" i="5"/>
  <c r="H3363" i="5"/>
  <c r="G3363" i="5"/>
  <c r="H3362" i="5"/>
  <c r="G3362" i="5"/>
  <c r="H3361" i="5"/>
  <c r="G3361" i="5"/>
  <c r="H3360" i="5"/>
  <c r="G3360" i="5"/>
  <c r="H3359" i="5"/>
  <c r="G3359" i="5"/>
  <c r="H3358" i="5"/>
  <c r="G3358" i="5"/>
  <c r="H3357" i="5"/>
  <c r="G3357" i="5"/>
  <c r="H3356" i="5"/>
  <c r="G3356" i="5"/>
  <c r="H3355" i="5"/>
  <c r="G3355" i="5"/>
  <c r="H3354" i="5"/>
  <c r="G3354" i="5"/>
  <c r="H3353" i="5"/>
  <c r="G3353" i="5"/>
  <c r="H3352" i="5"/>
  <c r="G3352" i="5"/>
  <c r="H3351" i="5"/>
  <c r="G3351" i="5"/>
  <c r="H3350" i="5"/>
  <c r="G3350" i="5"/>
  <c r="H3349" i="5"/>
  <c r="G3349" i="5"/>
  <c r="H3348" i="5"/>
  <c r="G3348" i="5"/>
  <c r="H3347" i="5"/>
  <c r="G3347" i="5"/>
  <c r="H3346" i="5"/>
  <c r="G3346" i="5"/>
  <c r="H3345" i="5"/>
  <c r="G3345" i="5"/>
  <c r="H3344" i="5"/>
  <c r="G3344" i="5"/>
  <c r="H3343" i="5"/>
  <c r="G3343" i="5"/>
  <c r="H3342" i="5"/>
  <c r="G3342" i="5"/>
  <c r="H3341" i="5"/>
  <c r="G3341" i="5"/>
  <c r="H3340" i="5"/>
  <c r="G3340" i="5"/>
  <c r="H3339" i="5"/>
  <c r="G3339" i="5"/>
  <c r="H3338" i="5"/>
  <c r="G3338" i="5"/>
  <c r="H3337" i="5"/>
  <c r="G3337" i="5"/>
  <c r="H3336" i="5"/>
  <c r="G3336" i="5"/>
  <c r="H3335" i="5"/>
  <c r="G3335" i="5"/>
  <c r="H3334" i="5"/>
  <c r="G3334" i="5"/>
  <c r="H3333" i="5"/>
  <c r="G3333" i="5"/>
  <c r="H3332" i="5"/>
  <c r="G3332" i="5"/>
  <c r="H3331" i="5"/>
  <c r="G3331" i="5"/>
  <c r="H3330" i="5"/>
  <c r="G3330" i="5"/>
  <c r="H3329" i="5"/>
  <c r="G3329" i="5"/>
  <c r="H3328" i="5"/>
  <c r="G3328" i="5"/>
  <c r="H3327" i="5"/>
  <c r="G3327" i="5"/>
  <c r="H3326" i="5"/>
  <c r="G3326" i="5"/>
  <c r="H3325" i="5"/>
  <c r="G3325" i="5"/>
  <c r="H3324" i="5"/>
  <c r="G3324" i="5"/>
  <c r="H3323" i="5"/>
  <c r="G3323" i="5"/>
  <c r="H3322" i="5"/>
  <c r="G3322" i="5"/>
  <c r="H3321" i="5"/>
  <c r="G3321" i="5"/>
  <c r="H3320" i="5"/>
  <c r="G3320" i="5"/>
  <c r="H3319" i="5"/>
  <c r="G3319" i="5"/>
  <c r="H3318" i="5"/>
  <c r="G3318" i="5"/>
  <c r="H3317" i="5"/>
  <c r="G3317" i="5"/>
  <c r="H3316" i="5"/>
  <c r="G3316" i="5"/>
  <c r="H3315" i="5"/>
  <c r="G3315" i="5"/>
  <c r="H3314" i="5"/>
  <c r="G3314" i="5"/>
  <c r="H3313" i="5"/>
  <c r="G3313" i="5"/>
  <c r="H3312" i="5"/>
  <c r="G3312" i="5"/>
  <c r="H3311" i="5"/>
  <c r="G3311" i="5"/>
  <c r="H3310" i="5"/>
  <c r="G3310" i="5"/>
  <c r="H3309" i="5"/>
  <c r="G3309" i="5"/>
  <c r="H3308" i="5"/>
  <c r="G3308" i="5"/>
  <c r="H3307" i="5"/>
  <c r="G3307" i="5"/>
  <c r="H3306" i="5"/>
  <c r="G3306" i="5"/>
  <c r="H3305" i="5"/>
  <c r="G3305" i="5"/>
  <c r="H3304" i="5"/>
  <c r="G3304" i="5"/>
  <c r="H3303" i="5"/>
  <c r="G3303" i="5"/>
  <c r="H3302" i="5"/>
  <c r="G3302" i="5"/>
  <c r="H3301" i="5"/>
  <c r="G3301" i="5"/>
  <c r="H3300" i="5"/>
  <c r="G3300" i="5"/>
  <c r="H3299" i="5"/>
  <c r="G3299" i="5"/>
  <c r="H3298" i="5"/>
  <c r="G3298" i="5"/>
  <c r="H3297" i="5"/>
  <c r="G3297" i="5"/>
  <c r="H3296" i="5"/>
  <c r="G3296" i="5"/>
  <c r="H3295" i="5"/>
  <c r="G3295" i="5"/>
  <c r="H3294" i="5"/>
  <c r="G3294" i="5"/>
  <c r="H3293" i="5"/>
  <c r="G3293" i="5"/>
  <c r="H3292" i="5"/>
  <c r="G3292" i="5"/>
  <c r="H3291" i="5"/>
  <c r="G3291" i="5"/>
  <c r="H3290" i="5"/>
  <c r="G3290" i="5"/>
  <c r="H3289" i="5"/>
  <c r="G3289" i="5"/>
  <c r="H3288" i="5"/>
  <c r="G3288" i="5"/>
  <c r="H3287" i="5"/>
  <c r="G3287" i="5"/>
  <c r="H3286" i="5"/>
  <c r="G3286" i="5"/>
  <c r="H3285" i="5"/>
  <c r="G3285" i="5"/>
  <c r="H3284" i="5"/>
  <c r="G3284" i="5"/>
  <c r="H3283" i="5"/>
  <c r="G3283" i="5"/>
  <c r="H3282" i="5"/>
  <c r="G3282" i="5"/>
  <c r="H3281" i="5"/>
  <c r="G3281" i="5"/>
  <c r="H3280" i="5"/>
  <c r="G3280" i="5"/>
  <c r="H3279" i="5"/>
  <c r="G3279" i="5"/>
  <c r="H3278" i="5"/>
  <c r="G3278" i="5"/>
  <c r="H3277" i="5"/>
  <c r="G3277" i="5"/>
  <c r="H3276" i="5"/>
  <c r="G3276" i="5"/>
  <c r="H3275" i="5"/>
  <c r="G3275" i="5"/>
  <c r="H3274" i="5"/>
  <c r="G3274" i="5"/>
  <c r="H3273" i="5"/>
  <c r="G3273" i="5"/>
  <c r="H3272" i="5"/>
  <c r="G3272" i="5"/>
  <c r="H3271" i="5"/>
  <c r="G3271" i="5"/>
  <c r="H3270" i="5"/>
  <c r="G3270" i="5"/>
  <c r="H3269" i="5"/>
  <c r="G3269" i="5"/>
  <c r="H3268" i="5"/>
  <c r="G3268" i="5"/>
  <c r="H3267" i="5"/>
  <c r="G3267" i="5"/>
  <c r="H3266" i="5"/>
  <c r="G3266" i="5"/>
  <c r="H3265" i="5"/>
  <c r="G3265" i="5"/>
  <c r="H3264" i="5"/>
  <c r="G3264" i="5"/>
  <c r="H3263" i="5"/>
  <c r="G3263" i="5"/>
  <c r="H3262" i="5"/>
  <c r="G3262" i="5"/>
  <c r="H3261" i="5"/>
  <c r="G3261" i="5"/>
  <c r="H3260" i="5"/>
  <c r="G3260" i="5"/>
  <c r="H3259" i="5"/>
  <c r="G3259" i="5"/>
  <c r="H3258" i="5"/>
  <c r="G3258" i="5"/>
  <c r="H3257" i="5"/>
  <c r="G3257" i="5"/>
  <c r="H3256" i="5"/>
  <c r="G3256" i="5"/>
  <c r="H3255" i="5"/>
  <c r="G3255" i="5"/>
  <c r="H3254" i="5"/>
  <c r="G3254" i="5"/>
  <c r="H3253" i="5"/>
  <c r="G3253" i="5"/>
  <c r="H3252" i="5"/>
  <c r="G3252" i="5"/>
  <c r="H3251" i="5"/>
  <c r="G3251" i="5"/>
  <c r="H3250" i="5"/>
  <c r="G3250" i="5"/>
  <c r="H3249" i="5"/>
  <c r="G3249" i="5"/>
  <c r="H3248" i="5"/>
  <c r="G3248" i="5"/>
  <c r="H3247" i="5"/>
  <c r="G3247" i="5"/>
  <c r="H3246" i="5"/>
  <c r="G3246" i="5"/>
  <c r="H3245" i="5"/>
  <c r="G3245" i="5"/>
  <c r="H3244" i="5"/>
  <c r="G3244" i="5"/>
  <c r="H3243" i="5"/>
  <c r="G3243" i="5"/>
  <c r="H3242" i="5"/>
  <c r="G3242" i="5"/>
  <c r="H3241" i="5"/>
  <c r="G3241" i="5"/>
  <c r="H3240" i="5"/>
  <c r="G3240" i="5"/>
  <c r="H3239" i="5"/>
  <c r="G3239" i="5"/>
  <c r="H3238" i="5"/>
  <c r="G3238" i="5"/>
  <c r="H3237" i="5"/>
  <c r="G3237" i="5"/>
  <c r="H3236" i="5"/>
  <c r="G3236" i="5"/>
  <c r="H3235" i="5"/>
  <c r="G3235" i="5"/>
  <c r="H3234" i="5"/>
  <c r="G3234" i="5"/>
  <c r="H3233" i="5"/>
  <c r="G3233" i="5"/>
  <c r="H3232" i="5"/>
  <c r="G3232" i="5"/>
  <c r="H3231" i="5"/>
  <c r="G3231" i="5"/>
  <c r="H3230" i="5"/>
  <c r="G3230" i="5"/>
  <c r="H3229" i="5"/>
  <c r="G3229" i="5"/>
  <c r="H3228" i="5"/>
  <c r="G3228" i="5"/>
  <c r="H3227" i="5"/>
  <c r="G3227" i="5"/>
  <c r="H3226" i="5"/>
  <c r="G3226" i="5"/>
  <c r="H3225" i="5"/>
  <c r="G3225" i="5"/>
  <c r="H3224" i="5"/>
  <c r="G3224" i="5"/>
  <c r="H3223" i="5"/>
  <c r="G3223" i="5"/>
  <c r="H3222" i="5"/>
  <c r="G3222" i="5"/>
  <c r="H3221" i="5"/>
  <c r="G3221" i="5"/>
  <c r="H3220" i="5"/>
  <c r="G3220" i="5"/>
  <c r="H3219" i="5"/>
  <c r="G3219" i="5"/>
  <c r="H3218" i="5"/>
  <c r="G3218" i="5"/>
  <c r="H3217" i="5"/>
  <c r="G3217" i="5"/>
  <c r="H3216" i="5"/>
  <c r="G3216" i="5"/>
  <c r="H3215" i="5"/>
  <c r="G3215" i="5"/>
  <c r="H3214" i="5"/>
  <c r="G3214" i="5"/>
  <c r="H3213" i="5"/>
  <c r="G3213" i="5"/>
  <c r="H3212" i="5"/>
  <c r="G3212" i="5"/>
  <c r="H3211" i="5"/>
  <c r="G3211" i="5"/>
  <c r="H3210" i="5"/>
  <c r="G3210" i="5"/>
  <c r="H3209" i="5"/>
  <c r="G3209" i="5"/>
  <c r="H3208" i="5"/>
  <c r="G3208" i="5"/>
  <c r="H3207" i="5"/>
  <c r="G3207" i="5"/>
  <c r="H3206" i="5"/>
  <c r="G3206" i="5"/>
  <c r="H3205" i="5"/>
  <c r="G3205" i="5"/>
  <c r="H3204" i="5"/>
  <c r="G3204" i="5"/>
  <c r="H3203" i="5"/>
  <c r="G3203" i="5"/>
  <c r="H3202" i="5"/>
  <c r="G3202" i="5"/>
  <c r="H3201" i="5"/>
  <c r="G3201" i="5"/>
  <c r="H3200" i="5"/>
  <c r="G3200" i="5"/>
  <c r="H3199" i="5"/>
  <c r="G3199" i="5"/>
  <c r="H3198" i="5"/>
  <c r="G3198" i="5"/>
  <c r="H3197" i="5"/>
  <c r="G3197" i="5"/>
  <c r="H3196" i="5"/>
  <c r="G3196" i="5"/>
  <c r="H3195" i="5"/>
  <c r="G3195" i="5"/>
  <c r="H3194" i="5"/>
  <c r="G3194" i="5"/>
  <c r="H3193" i="5"/>
  <c r="G3193" i="5"/>
  <c r="H3192" i="5"/>
  <c r="G3192" i="5"/>
  <c r="H3191" i="5"/>
  <c r="G3191" i="5"/>
  <c r="H3190" i="5"/>
  <c r="G3190" i="5"/>
  <c r="H3189" i="5"/>
  <c r="G3189" i="5"/>
  <c r="H3188" i="5"/>
  <c r="G3188" i="5"/>
  <c r="H3187" i="5"/>
  <c r="G3187" i="5"/>
  <c r="H3186" i="5"/>
  <c r="G3186" i="5"/>
  <c r="H3185" i="5"/>
  <c r="G3185" i="5"/>
  <c r="H3184" i="5"/>
  <c r="G3184" i="5"/>
  <c r="H3183" i="5"/>
  <c r="G3183" i="5"/>
  <c r="H3182" i="5"/>
  <c r="G3182" i="5"/>
  <c r="H3181" i="5"/>
  <c r="G3181" i="5"/>
  <c r="H3180" i="5"/>
  <c r="G3180" i="5"/>
  <c r="H3179" i="5"/>
  <c r="G3179" i="5"/>
  <c r="H3178" i="5"/>
  <c r="G3178" i="5"/>
  <c r="H3177" i="5"/>
  <c r="G3177" i="5"/>
  <c r="H3176" i="5"/>
  <c r="G3176" i="5"/>
  <c r="H3175" i="5"/>
  <c r="G3175" i="5"/>
  <c r="H3174" i="5"/>
  <c r="G3174" i="5"/>
  <c r="H3173" i="5"/>
  <c r="G3173" i="5"/>
  <c r="H3172" i="5"/>
  <c r="G3172" i="5"/>
  <c r="H3171" i="5"/>
  <c r="G3171" i="5"/>
  <c r="H3170" i="5"/>
  <c r="G3170" i="5"/>
  <c r="H3169" i="5"/>
  <c r="G3169" i="5"/>
  <c r="H3168" i="5"/>
  <c r="G3168" i="5"/>
  <c r="H3167" i="5"/>
  <c r="G3167" i="5"/>
  <c r="H3166" i="5"/>
  <c r="G3166" i="5"/>
  <c r="H3165" i="5"/>
  <c r="G3165" i="5"/>
  <c r="H3164" i="5"/>
  <c r="G3164" i="5"/>
  <c r="H3163" i="5"/>
  <c r="G3163" i="5"/>
  <c r="H3162" i="5"/>
  <c r="G3162" i="5"/>
  <c r="H3161" i="5"/>
  <c r="G3161" i="5"/>
  <c r="H3160" i="5"/>
  <c r="G3160" i="5"/>
  <c r="H3159" i="5"/>
  <c r="G3159" i="5"/>
  <c r="H3158" i="5"/>
  <c r="G3158" i="5"/>
  <c r="H3157" i="5"/>
  <c r="G3157" i="5"/>
  <c r="H3156" i="5"/>
  <c r="G3156" i="5"/>
  <c r="H3155" i="5"/>
  <c r="G3155" i="5"/>
  <c r="H3154" i="5"/>
  <c r="G3154" i="5"/>
  <c r="H3153" i="5"/>
  <c r="G3153" i="5"/>
  <c r="H3152" i="5"/>
  <c r="G3152" i="5"/>
  <c r="H3151" i="5"/>
  <c r="G3151" i="5"/>
  <c r="H3150" i="5"/>
  <c r="G3150" i="5"/>
  <c r="H3149" i="5"/>
  <c r="G3149" i="5"/>
  <c r="H3148" i="5"/>
  <c r="G3148" i="5"/>
  <c r="H3147" i="5"/>
  <c r="G3147" i="5"/>
  <c r="H3146" i="5"/>
  <c r="G3146" i="5"/>
  <c r="H3145" i="5"/>
  <c r="G3145" i="5"/>
  <c r="H3144" i="5"/>
  <c r="G3144" i="5"/>
  <c r="H3143" i="5"/>
  <c r="G3143" i="5"/>
  <c r="H3142" i="5"/>
  <c r="G3142" i="5"/>
  <c r="H3141" i="5"/>
  <c r="G3141" i="5"/>
  <c r="H3140" i="5"/>
  <c r="G3140" i="5"/>
  <c r="H3139" i="5"/>
  <c r="G3139" i="5"/>
  <c r="H3138" i="5"/>
  <c r="G3138" i="5"/>
  <c r="H3137" i="5"/>
  <c r="G3137" i="5"/>
  <c r="H3136" i="5"/>
  <c r="G3136" i="5"/>
  <c r="H3135" i="5"/>
  <c r="G3135" i="5"/>
  <c r="H3134" i="5"/>
  <c r="G3134" i="5"/>
  <c r="H3133" i="5"/>
  <c r="G3133" i="5"/>
  <c r="H3132" i="5"/>
  <c r="G3132" i="5"/>
  <c r="H3131" i="5"/>
  <c r="G3131" i="5"/>
  <c r="H3130" i="5"/>
  <c r="G3130" i="5"/>
  <c r="H3129" i="5"/>
  <c r="G3129" i="5"/>
  <c r="H3128" i="5"/>
  <c r="G3128" i="5"/>
  <c r="H3127" i="5"/>
  <c r="G3127" i="5"/>
  <c r="H3126" i="5"/>
  <c r="G3126" i="5"/>
  <c r="H3125" i="5"/>
  <c r="G3125" i="5"/>
  <c r="H3124" i="5"/>
  <c r="G3124" i="5"/>
  <c r="H3123" i="5"/>
  <c r="G3123" i="5"/>
  <c r="H3122" i="5"/>
  <c r="G3122" i="5"/>
  <c r="H3121" i="5"/>
  <c r="G3121" i="5"/>
  <c r="H3120" i="5"/>
  <c r="G3120" i="5"/>
  <c r="H3119" i="5"/>
  <c r="G3119" i="5"/>
  <c r="H3118" i="5"/>
  <c r="G3118" i="5"/>
  <c r="H3117" i="5"/>
  <c r="G3117" i="5"/>
  <c r="H3116" i="5"/>
  <c r="G3116" i="5"/>
  <c r="H3115" i="5"/>
  <c r="G3115" i="5"/>
  <c r="H3114" i="5"/>
  <c r="G3114" i="5"/>
  <c r="H3113" i="5"/>
  <c r="G3113" i="5"/>
  <c r="H3112" i="5"/>
  <c r="G3112" i="5"/>
  <c r="H3111" i="5"/>
  <c r="G3111" i="5"/>
  <c r="H3110" i="5"/>
  <c r="G3110" i="5"/>
  <c r="H3109" i="5"/>
  <c r="G3109" i="5"/>
  <c r="H3108" i="5"/>
  <c r="G3108" i="5"/>
  <c r="H3107" i="5"/>
  <c r="G3107" i="5"/>
  <c r="H3106" i="5"/>
  <c r="G3106" i="5"/>
  <c r="H3105" i="5"/>
  <c r="G3105" i="5"/>
  <c r="H3104" i="5"/>
  <c r="G3104" i="5"/>
  <c r="H3103" i="5"/>
  <c r="G3103" i="5"/>
  <c r="H3102" i="5"/>
  <c r="G3102" i="5"/>
  <c r="H3101" i="5"/>
  <c r="G3101" i="5"/>
  <c r="H3100" i="5"/>
  <c r="G3100" i="5"/>
  <c r="H3099" i="5"/>
  <c r="G3099" i="5"/>
  <c r="H3098" i="5"/>
  <c r="G3098" i="5"/>
  <c r="H3097" i="5"/>
  <c r="G3097" i="5"/>
  <c r="H3096" i="5"/>
  <c r="G3096" i="5"/>
  <c r="H3095" i="5"/>
  <c r="G3095" i="5"/>
  <c r="H3094" i="5"/>
  <c r="G3094" i="5"/>
  <c r="H3093" i="5"/>
  <c r="G3093" i="5"/>
  <c r="H3092" i="5"/>
  <c r="G3092" i="5"/>
  <c r="H3091" i="5"/>
  <c r="G3091" i="5"/>
  <c r="H3090" i="5"/>
  <c r="G3090" i="5"/>
  <c r="H3089" i="5"/>
  <c r="G3089" i="5"/>
  <c r="H3088" i="5"/>
  <c r="G3088" i="5"/>
  <c r="H3087" i="5"/>
  <c r="G3087" i="5"/>
  <c r="H3086" i="5"/>
  <c r="G3086" i="5"/>
  <c r="H3085" i="5"/>
  <c r="G3085" i="5"/>
  <c r="H3084" i="5"/>
  <c r="G3084" i="5"/>
  <c r="H3083" i="5"/>
  <c r="G3083" i="5"/>
  <c r="H3082" i="5"/>
  <c r="G3082" i="5"/>
  <c r="H3081" i="5"/>
  <c r="G3081" i="5"/>
  <c r="H3080" i="5"/>
  <c r="G3080" i="5"/>
  <c r="H3079" i="5"/>
  <c r="G3079" i="5"/>
  <c r="H3078" i="5"/>
  <c r="G3078" i="5"/>
  <c r="H3077" i="5"/>
  <c r="G3077" i="5"/>
  <c r="H3076" i="5"/>
  <c r="G3076" i="5"/>
  <c r="H3075" i="5"/>
  <c r="G3075" i="5"/>
  <c r="H3074" i="5"/>
  <c r="G3074" i="5"/>
  <c r="H3073" i="5"/>
  <c r="G3073" i="5"/>
  <c r="H3072" i="5"/>
  <c r="G3072" i="5"/>
  <c r="H3071" i="5"/>
  <c r="G3071" i="5"/>
  <c r="H3070" i="5"/>
  <c r="G3070" i="5"/>
  <c r="H3069" i="5"/>
  <c r="G3069" i="5"/>
  <c r="H3068" i="5"/>
  <c r="G3068" i="5"/>
  <c r="H3067" i="5"/>
  <c r="G3067" i="5"/>
  <c r="H3066" i="5"/>
  <c r="G3066" i="5"/>
  <c r="H3065" i="5"/>
  <c r="G3065" i="5"/>
  <c r="H3064" i="5"/>
  <c r="G3064" i="5"/>
  <c r="H3063" i="5"/>
  <c r="G3063" i="5"/>
  <c r="H3062" i="5"/>
  <c r="G3062" i="5"/>
  <c r="H3061" i="5"/>
  <c r="G3061" i="5"/>
  <c r="H3060" i="5"/>
  <c r="G3060" i="5"/>
  <c r="H3059" i="5"/>
  <c r="G3059" i="5"/>
  <c r="H3058" i="5"/>
  <c r="G3058" i="5"/>
  <c r="H3057" i="5"/>
  <c r="G3057" i="5"/>
  <c r="H3056" i="5"/>
  <c r="G3056" i="5"/>
  <c r="H3055" i="5"/>
  <c r="G3055" i="5"/>
  <c r="H3054" i="5"/>
  <c r="G3054" i="5"/>
  <c r="H3053" i="5"/>
  <c r="G3053" i="5"/>
  <c r="H3052" i="5"/>
  <c r="G3052" i="5"/>
  <c r="H3051" i="5"/>
  <c r="G3051" i="5"/>
  <c r="H3050" i="5"/>
  <c r="G3050" i="5"/>
  <c r="H3049" i="5"/>
  <c r="G3049" i="5"/>
  <c r="H3048" i="5"/>
  <c r="G3048" i="5"/>
  <c r="H3047" i="5"/>
  <c r="G3047" i="5"/>
  <c r="H3046" i="5"/>
  <c r="G3046" i="5"/>
  <c r="H3045" i="5"/>
  <c r="G3045" i="5"/>
  <c r="H3044" i="5"/>
  <c r="G3044" i="5"/>
  <c r="H3043" i="5"/>
  <c r="G3043" i="5"/>
  <c r="H3042" i="5"/>
  <c r="G3042" i="5"/>
  <c r="H3041" i="5"/>
  <c r="G3041" i="5"/>
  <c r="H3040" i="5"/>
  <c r="G3040" i="5"/>
  <c r="H3039" i="5"/>
  <c r="G3039" i="5"/>
  <c r="H3038" i="5"/>
  <c r="G3038" i="5"/>
  <c r="H3037" i="5"/>
  <c r="G3037" i="5"/>
  <c r="H3036" i="5"/>
  <c r="G3036" i="5"/>
  <c r="H3035" i="5"/>
  <c r="G3035" i="5"/>
  <c r="H3034" i="5"/>
  <c r="G3034" i="5"/>
  <c r="H3033" i="5"/>
  <c r="G3033" i="5"/>
  <c r="H3032" i="5"/>
  <c r="G3032" i="5"/>
  <c r="H3031" i="5"/>
  <c r="G3031" i="5"/>
  <c r="H3030" i="5"/>
  <c r="G3030" i="5"/>
  <c r="H3029" i="5"/>
  <c r="G3029" i="5"/>
  <c r="H3028" i="5"/>
  <c r="G3028" i="5"/>
  <c r="H3027" i="5"/>
  <c r="G3027" i="5"/>
  <c r="H3026" i="5"/>
  <c r="G3026" i="5"/>
  <c r="H3025" i="5"/>
  <c r="G3025" i="5"/>
  <c r="H3024" i="5"/>
  <c r="G3024" i="5"/>
  <c r="H3023" i="5"/>
  <c r="G3023" i="5"/>
  <c r="H3022" i="5"/>
  <c r="G3022" i="5"/>
  <c r="H3021" i="5"/>
  <c r="G3021" i="5"/>
  <c r="H3020" i="5"/>
  <c r="G3020" i="5"/>
  <c r="H3019" i="5"/>
  <c r="G3019" i="5"/>
  <c r="H3018" i="5"/>
  <c r="G3018" i="5"/>
  <c r="H3017" i="5"/>
  <c r="G3017" i="5"/>
  <c r="H3016" i="5"/>
  <c r="G3016" i="5"/>
  <c r="H3015" i="5"/>
  <c r="G3015" i="5"/>
  <c r="H3014" i="5"/>
  <c r="G3014" i="5"/>
  <c r="H3013" i="5"/>
  <c r="G3013" i="5"/>
  <c r="H3012" i="5"/>
  <c r="G3012" i="5"/>
  <c r="H3011" i="5"/>
  <c r="G3011" i="5"/>
  <c r="H3010" i="5"/>
  <c r="G3010" i="5"/>
  <c r="H3009" i="5"/>
  <c r="G3009" i="5"/>
  <c r="H3008" i="5"/>
  <c r="G3008" i="5"/>
  <c r="H3007" i="5"/>
  <c r="G3007" i="5"/>
  <c r="H3006" i="5"/>
  <c r="G3006" i="5"/>
  <c r="H3005" i="5"/>
  <c r="G3005" i="5"/>
  <c r="H3004" i="5"/>
  <c r="G3004" i="5"/>
  <c r="H3003" i="5"/>
  <c r="G3003" i="5"/>
  <c r="H3002" i="5"/>
  <c r="G3002" i="5"/>
  <c r="H3001" i="5"/>
  <c r="G3001" i="5"/>
  <c r="H3000" i="5"/>
  <c r="G3000" i="5"/>
  <c r="H2999" i="5"/>
  <c r="G2999" i="5"/>
  <c r="H2998" i="5"/>
  <c r="G2998" i="5"/>
  <c r="H2997" i="5"/>
  <c r="G2997" i="5"/>
  <c r="H2996" i="5"/>
  <c r="G2996" i="5"/>
  <c r="H2995" i="5"/>
  <c r="G2995" i="5"/>
  <c r="H2994" i="5"/>
  <c r="G2994" i="5"/>
  <c r="H2993" i="5"/>
  <c r="G2993" i="5"/>
  <c r="H2992" i="5"/>
  <c r="G2992" i="5"/>
  <c r="H2991" i="5"/>
  <c r="G2991" i="5"/>
  <c r="H2990" i="5"/>
  <c r="G2990" i="5"/>
  <c r="H2989" i="5"/>
  <c r="G2989" i="5"/>
  <c r="H2988" i="5"/>
  <c r="G2988" i="5"/>
  <c r="H2987" i="5"/>
  <c r="G2987" i="5"/>
  <c r="H2986" i="5"/>
  <c r="G2986" i="5"/>
  <c r="H2985" i="5"/>
  <c r="G2985" i="5"/>
  <c r="H2984" i="5"/>
  <c r="G2984" i="5"/>
  <c r="H2983" i="5"/>
  <c r="G2983" i="5"/>
  <c r="H2982" i="5"/>
  <c r="G2982" i="5"/>
  <c r="H2981" i="5"/>
  <c r="G2981" i="5"/>
  <c r="H2980" i="5"/>
  <c r="G2980" i="5"/>
  <c r="H2979" i="5"/>
  <c r="G2979" i="5"/>
  <c r="H2978" i="5"/>
  <c r="G2978" i="5"/>
  <c r="H2977" i="5"/>
  <c r="G2977" i="5"/>
  <c r="H2976" i="5"/>
  <c r="G2976" i="5"/>
  <c r="H2975" i="5"/>
  <c r="G2975" i="5"/>
  <c r="H2974" i="5"/>
  <c r="G2974" i="5"/>
  <c r="H2973" i="5"/>
  <c r="G2973" i="5"/>
  <c r="H2972" i="5"/>
  <c r="G2972" i="5"/>
  <c r="H2971" i="5"/>
  <c r="G2971" i="5"/>
  <c r="H2970" i="5"/>
  <c r="G2970" i="5"/>
  <c r="H2969" i="5"/>
  <c r="G2969" i="5"/>
  <c r="H2968" i="5"/>
  <c r="G2968" i="5"/>
  <c r="H2967" i="5"/>
  <c r="G2967" i="5"/>
  <c r="H2966" i="5"/>
  <c r="G2966" i="5"/>
  <c r="H2965" i="5"/>
  <c r="G2965" i="5"/>
  <c r="H2964" i="5"/>
  <c r="G2964" i="5"/>
  <c r="H2963" i="5"/>
  <c r="G2963" i="5"/>
  <c r="H2962" i="5"/>
  <c r="G2962" i="5"/>
  <c r="H2961" i="5"/>
  <c r="G2961" i="5"/>
  <c r="H2960" i="5"/>
  <c r="G2960" i="5"/>
  <c r="H2959" i="5"/>
  <c r="G2959" i="5"/>
  <c r="H2958" i="5"/>
  <c r="G2958" i="5"/>
  <c r="H2957" i="5"/>
  <c r="G2957" i="5"/>
  <c r="H2956" i="5"/>
  <c r="G2956" i="5"/>
  <c r="H2955" i="5"/>
  <c r="G2955" i="5"/>
  <c r="H2954" i="5"/>
  <c r="G2954" i="5"/>
  <c r="H2953" i="5"/>
  <c r="G2953" i="5"/>
  <c r="H2952" i="5"/>
  <c r="G2952" i="5"/>
  <c r="H2951" i="5"/>
  <c r="G2951" i="5"/>
  <c r="H2950" i="5"/>
  <c r="G2950" i="5"/>
  <c r="H2949" i="5"/>
  <c r="G2949" i="5"/>
  <c r="H2948" i="5"/>
  <c r="G2948" i="5"/>
  <c r="H2947" i="5"/>
  <c r="G2947" i="5"/>
  <c r="H2946" i="5"/>
  <c r="G2946" i="5"/>
  <c r="H2945" i="5"/>
  <c r="G2945" i="5"/>
  <c r="H2944" i="5"/>
  <c r="G2944" i="5"/>
  <c r="H2943" i="5"/>
  <c r="G2943" i="5"/>
  <c r="H2942" i="5"/>
  <c r="G2942" i="5"/>
  <c r="H2941" i="5"/>
  <c r="G2941" i="5"/>
  <c r="H2940" i="5"/>
  <c r="G2940" i="5"/>
  <c r="H2939" i="5"/>
  <c r="G2939" i="5"/>
  <c r="H2938" i="5"/>
  <c r="G2938" i="5"/>
  <c r="H2937" i="5"/>
  <c r="G2937" i="5"/>
  <c r="H2936" i="5"/>
  <c r="G2936" i="5"/>
  <c r="H2935" i="5"/>
  <c r="G2935" i="5"/>
  <c r="H2934" i="5"/>
  <c r="G2934" i="5"/>
  <c r="H2933" i="5"/>
  <c r="G2933" i="5"/>
  <c r="H2932" i="5"/>
  <c r="G2932" i="5"/>
  <c r="H2931" i="5"/>
  <c r="G2931" i="5"/>
  <c r="H2930" i="5"/>
  <c r="G2930" i="5"/>
  <c r="H2929" i="5"/>
  <c r="G2929" i="5"/>
  <c r="H2928" i="5"/>
  <c r="G2928" i="5"/>
  <c r="H2927" i="5"/>
  <c r="G2927" i="5"/>
  <c r="H2926" i="5"/>
  <c r="G2926" i="5"/>
  <c r="H2925" i="5"/>
  <c r="G2925" i="5"/>
  <c r="H2924" i="5"/>
  <c r="G2924" i="5"/>
  <c r="H2923" i="5"/>
  <c r="G2923" i="5"/>
  <c r="H2922" i="5"/>
  <c r="G2922" i="5"/>
  <c r="H2921" i="5"/>
  <c r="G2921" i="5"/>
  <c r="H2920" i="5"/>
  <c r="G2920" i="5"/>
  <c r="H2919" i="5"/>
  <c r="G2919" i="5"/>
  <c r="H2918" i="5"/>
  <c r="G2918" i="5"/>
  <c r="H2917" i="5"/>
  <c r="G2917" i="5"/>
  <c r="H2916" i="5"/>
  <c r="G2916" i="5"/>
  <c r="H2915" i="5"/>
  <c r="G2915" i="5"/>
  <c r="H2914" i="5"/>
  <c r="G2914" i="5"/>
  <c r="H2913" i="5"/>
  <c r="G2913" i="5"/>
  <c r="H2912" i="5"/>
  <c r="G2912" i="5"/>
  <c r="H2911" i="5"/>
  <c r="G2911" i="5"/>
  <c r="H2910" i="5"/>
  <c r="G2910" i="5"/>
  <c r="H2909" i="5"/>
  <c r="G2909" i="5"/>
  <c r="H2908" i="5"/>
  <c r="G2908" i="5"/>
  <c r="H2907" i="5"/>
  <c r="G2907" i="5"/>
  <c r="H2906" i="5"/>
  <c r="G2906" i="5"/>
  <c r="H2905" i="5"/>
  <c r="G2905" i="5"/>
  <c r="H2904" i="5"/>
  <c r="G2904" i="5"/>
  <c r="H2903" i="5"/>
  <c r="G2903" i="5"/>
  <c r="H2902" i="5"/>
  <c r="G2902" i="5"/>
  <c r="H2901" i="5"/>
  <c r="G2901" i="5"/>
  <c r="H2900" i="5"/>
  <c r="G2900" i="5"/>
  <c r="H2899" i="5"/>
  <c r="G2899" i="5"/>
  <c r="H2898" i="5"/>
  <c r="G2898" i="5"/>
  <c r="H2897" i="5"/>
  <c r="G2897" i="5"/>
  <c r="H2896" i="5"/>
  <c r="G2896" i="5"/>
  <c r="H2895" i="5"/>
  <c r="G2895" i="5"/>
  <c r="H2894" i="5"/>
  <c r="G2894" i="5"/>
  <c r="H2893" i="5"/>
  <c r="G2893" i="5"/>
  <c r="H2892" i="5"/>
  <c r="G2892" i="5"/>
  <c r="H2891" i="5"/>
  <c r="G2891" i="5"/>
  <c r="H2890" i="5"/>
  <c r="G2890" i="5"/>
  <c r="H2889" i="5"/>
  <c r="G2889" i="5"/>
  <c r="H2888" i="5"/>
  <c r="G2888" i="5"/>
  <c r="H2887" i="5"/>
  <c r="G2887" i="5"/>
  <c r="H2886" i="5"/>
  <c r="G2886" i="5"/>
  <c r="H2885" i="5"/>
  <c r="G2885" i="5"/>
  <c r="H2884" i="5"/>
  <c r="G2884" i="5"/>
  <c r="H2883" i="5"/>
  <c r="G2883" i="5"/>
  <c r="H2882" i="5"/>
  <c r="G2882" i="5"/>
  <c r="H2881" i="5"/>
  <c r="G2881" i="5"/>
  <c r="H2880" i="5"/>
  <c r="G2880" i="5"/>
  <c r="H2879" i="5"/>
  <c r="G2879" i="5"/>
  <c r="H2878" i="5"/>
  <c r="G2878" i="5"/>
  <c r="H2877" i="5"/>
  <c r="G2877" i="5"/>
  <c r="H2876" i="5"/>
  <c r="G2876" i="5"/>
  <c r="H2875" i="5"/>
  <c r="G2875" i="5"/>
  <c r="H2874" i="5"/>
  <c r="G2874" i="5"/>
  <c r="H2873" i="5"/>
  <c r="G2873" i="5"/>
  <c r="H2872" i="5"/>
  <c r="G2872" i="5"/>
  <c r="H2871" i="5"/>
  <c r="G2871" i="5"/>
  <c r="H2870" i="5"/>
  <c r="G2870" i="5"/>
  <c r="H2869" i="5"/>
  <c r="G2869" i="5"/>
  <c r="H2868" i="5"/>
  <c r="G2868" i="5"/>
  <c r="H2867" i="5"/>
  <c r="G2867" i="5"/>
  <c r="H2866" i="5"/>
  <c r="G2866" i="5"/>
  <c r="H2865" i="5"/>
  <c r="G2865" i="5"/>
  <c r="H2864" i="5"/>
  <c r="G2864" i="5"/>
  <c r="H2863" i="5"/>
  <c r="G2863" i="5"/>
  <c r="H2862" i="5"/>
  <c r="G2862" i="5"/>
  <c r="H2861" i="5"/>
  <c r="G2861" i="5"/>
  <c r="H2860" i="5"/>
  <c r="G2860" i="5"/>
  <c r="H2859" i="5"/>
  <c r="G2859" i="5"/>
  <c r="H2858" i="5"/>
  <c r="G2858" i="5"/>
  <c r="H2857" i="5"/>
  <c r="G2857" i="5"/>
  <c r="H2856" i="5"/>
  <c r="G2856" i="5"/>
  <c r="H2855" i="5"/>
  <c r="G2855" i="5"/>
  <c r="H2854" i="5"/>
  <c r="G2854" i="5"/>
  <c r="H2853" i="5"/>
  <c r="G2853" i="5"/>
  <c r="H2852" i="5"/>
  <c r="G2852" i="5"/>
  <c r="H2851" i="5"/>
  <c r="G2851" i="5"/>
  <c r="H2850" i="5"/>
  <c r="G2850" i="5"/>
  <c r="H2849" i="5"/>
  <c r="G2849" i="5"/>
  <c r="H2848" i="5"/>
  <c r="G2848" i="5"/>
  <c r="H2847" i="5"/>
  <c r="G2847" i="5"/>
  <c r="H2846" i="5"/>
  <c r="G2846" i="5"/>
  <c r="H2845" i="5"/>
  <c r="G2845" i="5"/>
  <c r="H2844" i="5"/>
  <c r="G2844" i="5"/>
  <c r="H2843" i="5"/>
  <c r="G2843" i="5"/>
  <c r="H2842" i="5"/>
  <c r="G2842" i="5"/>
  <c r="H2841" i="5"/>
  <c r="G2841" i="5"/>
  <c r="H2840" i="5"/>
  <c r="G2840" i="5"/>
  <c r="H2839" i="5"/>
  <c r="G2839" i="5"/>
  <c r="H2838" i="5"/>
  <c r="G2838" i="5"/>
  <c r="H2837" i="5"/>
  <c r="G2837" i="5"/>
  <c r="H2836" i="5"/>
  <c r="G2836" i="5"/>
  <c r="H2835" i="5"/>
  <c r="G2835" i="5"/>
  <c r="H2834" i="5"/>
  <c r="G2834" i="5"/>
  <c r="H2833" i="5"/>
  <c r="G2833" i="5"/>
  <c r="H2832" i="5"/>
  <c r="G2832" i="5"/>
  <c r="H2831" i="5"/>
  <c r="G2831" i="5"/>
  <c r="H2830" i="5"/>
  <c r="G2830" i="5"/>
  <c r="H2829" i="5"/>
  <c r="G2829" i="5"/>
  <c r="H2828" i="5"/>
  <c r="G2828" i="5"/>
  <c r="H2827" i="5"/>
  <c r="G2827" i="5"/>
  <c r="H2826" i="5"/>
  <c r="G2826" i="5"/>
  <c r="H2825" i="5"/>
  <c r="G2825" i="5"/>
  <c r="H2824" i="5"/>
  <c r="G2824" i="5"/>
  <c r="H2823" i="5"/>
  <c r="G2823" i="5"/>
  <c r="H2822" i="5"/>
  <c r="G2822" i="5"/>
  <c r="H2821" i="5"/>
  <c r="G2821" i="5"/>
  <c r="H2820" i="5"/>
  <c r="G2820" i="5"/>
  <c r="H2819" i="5"/>
  <c r="G2819" i="5"/>
  <c r="H2818" i="5"/>
  <c r="G2818" i="5"/>
  <c r="H2817" i="5"/>
  <c r="G2817" i="5"/>
  <c r="H2816" i="5"/>
  <c r="G2816" i="5"/>
  <c r="H2815" i="5"/>
  <c r="G2815" i="5"/>
  <c r="H2814" i="5"/>
  <c r="G2814" i="5"/>
  <c r="H2813" i="5"/>
  <c r="G2813" i="5"/>
  <c r="H2812" i="5"/>
  <c r="G2812" i="5"/>
  <c r="H2811" i="5"/>
  <c r="G2811" i="5"/>
  <c r="H2810" i="5"/>
  <c r="G2810" i="5"/>
  <c r="H2809" i="5"/>
  <c r="G2809" i="5"/>
  <c r="H2808" i="5"/>
  <c r="G2808" i="5"/>
  <c r="H2807" i="5"/>
  <c r="G2807" i="5"/>
  <c r="H2806" i="5"/>
  <c r="G2806" i="5"/>
  <c r="H2805" i="5"/>
  <c r="G2805" i="5"/>
  <c r="H2804" i="5"/>
  <c r="G2804" i="5"/>
  <c r="H2803" i="5"/>
  <c r="G2803" i="5"/>
  <c r="H2802" i="5"/>
  <c r="G2802" i="5"/>
  <c r="H2801" i="5"/>
  <c r="G2801" i="5"/>
  <c r="H2800" i="5"/>
  <c r="G2800" i="5"/>
  <c r="H2799" i="5"/>
  <c r="G2799" i="5"/>
  <c r="H2798" i="5"/>
  <c r="G2798" i="5"/>
  <c r="H2797" i="5"/>
  <c r="G2797" i="5"/>
  <c r="H2796" i="5"/>
  <c r="G2796" i="5"/>
  <c r="H2795" i="5"/>
  <c r="G2795" i="5"/>
  <c r="H2794" i="5"/>
  <c r="G2794" i="5"/>
  <c r="H2793" i="5"/>
  <c r="G2793" i="5"/>
  <c r="H2792" i="5"/>
  <c r="G2792" i="5"/>
  <c r="H2791" i="5"/>
  <c r="G2791" i="5"/>
  <c r="H2790" i="5"/>
  <c r="G2790" i="5"/>
  <c r="H2789" i="5"/>
  <c r="G2789" i="5"/>
  <c r="H2788" i="5"/>
  <c r="G2788" i="5"/>
  <c r="H2787" i="5"/>
  <c r="G2787" i="5"/>
  <c r="H2786" i="5"/>
  <c r="G2786" i="5"/>
  <c r="H2785" i="5"/>
  <c r="G2785" i="5"/>
  <c r="H2784" i="5"/>
  <c r="G2784" i="5"/>
  <c r="H2783" i="5"/>
  <c r="G2783" i="5"/>
  <c r="H2782" i="5"/>
  <c r="G2782" i="5"/>
  <c r="H2781" i="5"/>
  <c r="G2781" i="5"/>
  <c r="H2780" i="5"/>
  <c r="G2780" i="5"/>
  <c r="H2779" i="5"/>
  <c r="G2779" i="5"/>
  <c r="H2778" i="5"/>
  <c r="G2778" i="5"/>
  <c r="H2777" i="5"/>
  <c r="G2777" i="5"/>
  <c r="H2776" i="5"/>
  <c r="G2776" i="5"/>
  <c r="H2775" i="5"/>
  <c r="G2775" i="5"/>
  <c r="H2774" i="5"/>
  <c r="G2774" i="5"/>
  <c r="H2773" i="5"/>
  <c r="G2773" i="5"/>
  <c r="H2772" i="5"/>
  <c r="G2772" i="5"/>
  <c r="H2771" i="5"/>
  <c r="G2771" i="5"/>
  <c r="H2770" i="5"/>
  <c r="G2770" i="5"/>
  <c r="H2769" i="5"/>
  <c r="G2769" i="5"/>
  <c r="H2768" i="5"/>
  <c r="G2768" i="5"/>
  <c r="H2767" i="5"/>
  <c r="G2767" i="5"/>
  <c r="H2766" i="5"/>
  <c r="G2766" i="5"/>
  <c r="H2765" i="5"/>
  <c r="G2765" i="5"/>
  <c r="H2764" i="5"/>
  <c r="G2764" i="5"/>
  <c r="H2763" i="5"/>
  <c r="G2763" i="5"/>
  <c r="H2762" i="5"/>
  <c r="G2762" i="5"/>
  <c r="H2761" i="5"/>
  <c r="G2761" i="5"/>
  <c r="H2760" i="5"/>
  <c r="G2760" i="5"/>
  <c r="H2759" i="5"/>
  <c r="G2759" i="5"/>
  <c r="H2758" i="5"/>
  <c r="G2758" i="5"/>
  <c r="H2757" i="5"/>
  <c r="G2757" i="5"/>
  <c r="H2756" i="5"/>
  <c r="G2756" i="5"/>
  <c r="H2755" i="5"/>
  <c r="G2755" i="5"/>
  <c r="H2754" i="5"/>
  <c r="G2754" i="5"/>
  <c r="H2753" i="5"/>
  <c r="G2753" i="5"/>
  <c r="H2752" i="5"/>
  <c r="G2752" i="5"/>
  <c r="H2751" i="5"/>
  <c r="G2751" i="5"/>
  <c r="H2750" i="5"/>
  <c r="G2750" i="5"/>
  <c r="H2749" i="5"/>
  <c r="G2749" i="5"/>
  <c r="H2748" i="5"/>
  <c r="G2748" i="5"/>
  <c r="H2747" i="5"/>
  <c r="G2747" i="5"/>
  <c r="H2746" i="5"/>
  <c r="G2746" i="5"/>
  <c r="H2745" i="5"/>
  <c r="G2745" i="5"/>
  <c r="H2744" i="5"/>
  <c r="G2744" i="5"/>
  <c r="H2743" i="5"/>
  <c r="G2743" i="5"/>
  <c r="H2742" i="5"/>
  <c r="G2742" i="5"/>
  <c r="H2741" i="5"/>
  <c r="G2741" i="5"/>
  <c r="H2740" i="5"/>
  <c r="G2740" i="5"/>
  <c r="H2739" i="5"/>
  <c r="G2739" i="5"/>
  <c r="H2738" i="5"/>
  <c r="G2738" i="5"/>
  <c r="H2737" i="5"/>
  <c r="G2737" i="5"/>
  <c r="H2736" i="5"/>
  <c r="G2736" i="5"/>
  <c r="H2735" i="5"/>
  <c r="G2735" i="5"/>
  <c r="H2734" i="5"/>
  <c r="G2734" i="5"/>
  <c r="H2733" i="5"/>
  <c r="G2733" i="5"/>
  <c r="H2732" i="5"/>
  <c r="G2732" i="5"/>
  <c r="H2731" i="5"/>
  <c r="G2731" i="5"/>
  <c r="H2730" i="5"/>
  <c r="G2730" i="5"/>
  <c r="H2729" i="5"/>
  <c r="G2729" i="5"/>
  <c r="H2728" i="5"/>
  <c r="G2728" i="5"/>
  <c r="H2727" i="5"/>
  <c r="G2727" i="5"/>
  <c r="H2726" i="5"/>
  <c r="G2726" i="5"/>
  <c r="H2725" i="5"/>
  <c r="G2725" i="5"/>
  <c r="H2724" i="5"/>
  <c r="G2724" i="5"/>
  <c r="H2723" i="5"/>
  <c r="G2723" i="5"/>
  <c r="H2722" i="5"/>
  <c r="G2722" i="5"/>
  <c r="H2721" i="5"/>
  <c r="G2721" i="5"/>
  <c r="H2720" i="5"/>
  <c r="G2720" i="5"/>
  <c r="H2719" i="5"/>
  <c r="G2719" i="5"/>
  <c r="H2718" i="5"/>
  <c r="G2718" i="5"/>
  <c r="H2717" i="5"/>
  <c r="G2717" i="5"/>
  <c r="H2716" i="5"/>
  <c r="G2716" i="5"/>
  <c r="H2715" i="5"/>
  <c r="G2715" i="5"/>
  <c r="H2714" i="5"/>
  <c r="G2714" i="5"/>
  <c r="H2713" i="5"/>
  <c r="G2713" i="5"/>
  <c r="H2712" i="5"/>
  <c r="G2712" i="5"/>
  <c r="H2711" i="5"/>
  <c r="G2711" i="5"/>
  <c r="H2710" i="5"/>
  <c r="G2710" i="5"/>
  <c r="H2709" i="5"/>
  <c r="G2709" i="5"/>
  <c r="H2708" i="5"/>
  <c r="G2708" i="5"/>
  <c r="H2707" i="5"/>
  <c r="G2707" i="5"/>
  <c r="H2706" i="5"/>
  <c r="G2706" i="5"/>
  <c r="H2705" i="5"/>
  <c r="G2705" i="5"/>
  <c r="H2704" i="5"/>
  <c r="G2704" i="5"/>
  <c r="H2703" i="5"/>
  <c r="G2703" i="5"/>
  <c r="H2702" i="5"/>
  <c r="G2702" i="5"/>
  <c r="H2701" i="5"/>
  <c r="G2701" i="5"/>
  <c r="H2700" i="5"/>
  <c r="G2700" i="5"/>
  <c r="H2699" i="5"/>
  <c r="G2699" i="5"/>
  <c r="H2698" i="5"/>
  <c r="G2698" i="5"/>
  <c r="H2697" i="5"/>
  <c r="G2697" i="5"/>
  <c r="H2696" i="5"/>
  <c r="G2696" i="5"/>
  <c r="H2695" i="5"/>
  <c r="G2695" i="5"/>
  <c r="H2694" i="5"/>
  <c r="G2694" i="5"/>
  <c r="H2693" i="5"/>
  <c r="G2693" i="5"/>
  <c r="H2692" i="5"/>
  <c r="G2692" i="5"/>
  <c r="H2691" i="5"/>
  <c r="G2691" i="5"/>
  <c r="H2690" i="5"/>
  <c r="G2690" i="5"/>
  <c r="H2689" i="5"/>
  <c r="G2689" i="5"/>
  <c r="H2688" i="5"/>
  <c r="G2688" i="5"/>
  <c r="H2687" i="5"/>
  <c r="G2687" i="5"/>
  <c r="H2686" i="5"/>
  <c r="G2686" i="5"/>
  <c r="H2685" i="5"/>
  <c r="G2685" i="5"/>
  <c r="H2684" i="5"/>
  <c r="G2684" i="5"/>
  <c r="H2683" i="5"/>
  <c r="G2683" i="5"/>
  <c r="H2682" i="5"/>
  <c r="G2682" i="5"/>
  <c r="H2681" i="5"/>
  <c r="G2681" i="5"/>
  <c r="H2680" i="5"/>
  <c r="G2680" i="5"/>
  <c r="H2679" i="5"/>
  <c r="G2679" i="5"/>
  <c r="H2678" i="5"/>
  <c r="G2678" i="5"/>
  <c r="H2677" i="5"/>
  <c r="G2677" i="5"/>
  <c r="H2676" i="5"/>
  <c r="G2676" i="5"/>
  <c r="H2675" i="5"/>
  <c r="G2675" i="5"/>
  <c r="H2674" i="5"/>
  <c r="G2674" i="5"/>
  <c r="H2673" i="5"/>
  <c r="G2673" i="5"/>
  <c r="H2672" i="5"/>
  <c r="G2672" i="5"/>
  <c r="H2671" i="5"/>
  <c r="G2671" i="5"/>
  <c r="H2670" i="5"/>
  <c r="G2670" i="5"/>
  <c r="H2669" i="5"/>
  <c r="G2669" i="5"/>
  <c r="H2668" i="5"/>
  <c r="G2668" i="5"/>
  <c r="H2667" i="5"/>
  <c r="G2667" i="5"/>
  <c r="H2666" i="5"/>
  <c r="G2666" i="5"/>
  <c r="H2665" i="5"/>
  <c r="G2665" i="5"/>
  <c r="H2664" i="5"/>
  <c r="G2664" i="5"/>
  <c r="H2663" i="5"/>
  <c r="G2663" i="5"/>
  <c r="H2662" i="5"/>
  <c r="G2662" i="5"/>
  <c r="H2661" i="5"/>
  <c r="G2661" i="5"/>
  <c r="H2660" i="5"/>
  <c r="G2660" i="5"/>
  <c r="H2659" i="5"/>
  <c r="G2659" i="5"/>
  <c r="H2658" i="5"/>
  <c r="G2658" i="5"/>
  <c r="H2657" i="5"/>
  <c r="G2657" i="5"/>
  <c r="H2656" i="5"/>
  <c r="G2656" i="5"/>
  <c r="H2655" i="5"/>
  <c r="G2655" i="5"/>
  <c r="H2654" i="5"/>
  <c r="G2654" i="5"/>
  <c r="H2653" i="5"/>
  <c r="G2653" i="5"/>
  <c r="H2652" i="5"/>
  <c r="G2652" i="5"/>
  <c r="H2651" i="5"/>
  <c r="G2651" i="5"/>
  <c r="H2650" i="5"/>
  <c r="G2650" i="5"/>
  <c r="H2649" i="5"/>
  <c r="G2649" i="5"/>
  <c r="H2648" i="5"/>
  <c r="G2648" i="5"/>
  <c r="H2647" i="5"/>
  <c r="G2647" i="5"/>
  <c r="H2646" i="5"/>
  <c r="G2646" i="5"/>
  <c r="H2645" i="5"/>
  <c r="G2645" i="5"/>
  <c r="H2644" i="5"/>
  <c r="G2644" i="5"/>
  <c r="H2643" i="5"/>
  <c r="G2643" i="5"/>
  <c r="H2642" i="5"/>
  <c r="G2642" i="5"/>
  <c r="H2641" i="5"/>
  <c r="G2641" i="5"/>
  <c r="H2640" i="5"/>
  <c r="G2640" i="5"/>
  <c r="H2639" i="5"/>
  <c r="G2639" i="5"/>
  <c r="H2638" i="5"/>
  <c r="G2638" i="5"/>
  <c r="H2637" i="5"/>
  <c r="G2637" i="5"/>
  <c r="H2636" i="5"/>
  <c r="G2636" i="5"/>
  <c r="H2635" i="5"/>
  <c r="G2635" i="5"/>
  <c r="H2634" i="5"/>
  <c r="G2634" i="5"/>
  <c r="H2633" i="5"/>
  <c r="G2633" i="5"/>
  <c r="H2632" i="5"/>
  <c r="G2632" i="5"/>
  <c r="H2631" i="5"/>
  <c r="G2631" i="5"/>
  <c r="H2630" i="5"/>
  <c r="G2630" i="5"/>
  <c r="H2629" i="5"/>
  <c r="G2629" i="5"/>
  <c r="H2628" i="5"/>
  <c r="G2628" i="5"/>
  <c r="H2627" i="5"/>
  <c r="G2627" i="5"/>
  <c r="H2626" i="5"/>
  <c r="G2626" i="5"/>
  <c r="H2625" i="5"/>
  <c r="G2625" i="5"/>
  <c r="H2624" i="5"/>
  <c r="G2624" i="5"/>
  <c r="H2623" i="5"/>
  <c r="G2623" i="5"/>
  <c r="H2622" i="5"/>
  <c r="G2622" i="5"/>
  <c r="H2621" i="5"/>
  <c r="G2621" i="5"/>
  <c r="H2620" i="5"/>
  <c r="G2620" i="5"/>
  <c r="H2619" i="5"/>
  <c r="G2619" i="5"/>
  <c r="H2618" i="5"/>
  <c r="G2618" i="5"/>
  <c r="H2617" i="5"/>
  <c r="G2617" i="5"/>
  <c r="H2616" i="5"/>
  <c r="G2616" i="5"/>
  <c r="H2615" i="5"/>
  <c r="G2615" i="5"/>
  <c r="H2614" i="5"/>
  <c r="G2614" i="5"/>
  <c r="H2613" i="5"/>
  <c r="G2613" i="5"/>
  <c r="H2612" i="5"/>
  <c r="G2612" i="5"/>
  <c r="H2611" i="5"/>
  <c r="G2611" i="5"/>
  <c r="H2610" i="5"/>
  <c r="G2610" i="5"/>
  <c r="H2609" i="5"/>
  <c r="G2609" i="5"/>
  <c r="H2608" i="5"/>
  <c r="G2608" i="5"/>
  <c r="H2607" i="5"/>
  <c r="G2607" i="5"/>
  <c r="H2606" i="5"/>
  <c r="G2606" i="5"/>
  <c r="H2605" i="5"/>
  <c r="G2605" i="5"/>
  <c r="H2604" i="5"/>
  <c r="G2604" i="5"/>
  <c r="H2603" i="5"/>
  <c r="G2603" i="5"/>
  <c r="H2602" i="5"/>
  <c r="G2602" i="5"/>
  <c r="H2601" i="5"/>
  <c r="G2601" i="5"/>
  <c r="H2600" i="5"/>
  <c r="G2600" i="5"/>
  <c r="H2599" i="5"/>
  <c r="G2599" i="5"/>
  <c r="H2598" i="5"/>
  <c r="G2598" i="5"/>
  <c r="H2597" i="5"/>
  <c r="G2597" i="5"/>
  <c r="H2596" i="5"/>
  <c r="G2596" i="5"/>
  <c r="H2595" i="5"/>
  <c r="G2595" i="5"/>
  <c r="H2594" i="5"/>
  <c r="G2594" i="5"/>
  <c r="H2593" i="5"/>
  <c r="G2593" i="5"/>
  <c r="H2592" i="5"/>
  <c r="G2592" i="5"/>
  <c r="H2591" i="5"/>
  <c r="G2591" i="5"/>
  <c r="H2590" i="5"/>
  <c r="G2590" i="5"/>
  <c r="H2589" i="5"/>
  <c r="G2589" i="5"/>
  <c r="H2588" i="5"/>
  <c r="G2588" i="5"/>
  <c r="H2587" i="5"/>
  <c r="G2587" i="5"/>
  <c r="H2586" i="5"/>
  <c r="G2586" i="5"/>
  <c r="H2585" i="5"/>
  <c r="G2585" i="5"/>
  <c r="H2584" i="5"/>
  <c r="G2584" i="5"/>
  <c r="H2583" i="5"/>
  <c r="G2583" i="5"/>
  <c r="H2582" i="5"/>
  <c r="G2582" i="5"/>
  <c r="H2581" i="5"/>
  <c r="G2581" i="5"/>
  <c r="H2580" i="5"/>
  <c r="G2580" i="5"/>
  <c r="H2579" i="5"/>
  <c r="G2579" i="5"/>
  <c r="H2578" i="5"/>
  <c r="G2578" i="5"/>
  <c r="H2577" i="5"/>
  <c r="G2577" i="5"/>
  <c r="H2576" i="5"/>
  <c r="G2576" i="5"/>
  <c r="H2575" i="5"/>
  <c r="G2575" i="5"/>
  <c r="H2574" i="5"/>
  <c r="G2574" i="5"/>
  <c r="H2573" i="5"/>
  <c r="G2573" i="5"/>
  <c r="H2572" i="5"/>
  <c r="G2572" i="5"/>
  <c r="H2571" i="5"/>
  <c r="G2571" i="5"/>
  <c r="H2570" i="5"/>
  <c r="G2570" i="5"/>
  <c r="H2569" i="5"/>
  <c r="G2569" i="5"/>
  <c r="H2568" i="5"/>
  <c r="G2568" i="5"/>
  <c r="H2567" i="5"/>
  <c r="G2567" i="5"/>
  <c r="H2566" i="5"/>
  <c r="G2566" i="5"/>
  <c r="H2565" i="5"/>
  <c r="G2565" i="5"/>
  <c r="H2564" i="5"/>
  <c r="G2564" i="5"/>
  <c r="H2563" i="5"/>
  <c r="G2563" i="5"/>
  <c r="H2562" i="5"/>
  <c r="G2562" i="5"/>
  <c r="H2561" i="5"/>
  <c r="G2561" i="5"/>
  <c r="H2560" i="5"/>
  <c r="G2560" i="5"/>
  <c r="H2559" i="5"/>
  <c r="G2559" i="5"/>
  <c r="H2558" i="5"/>
  <c r="G2558" i="5"/>
  <c r="H2557" i="5"/>
  <c r="G2557" i="5"/>
  <c r="H2556" i="5"/>
  <c r="G2556" i="5"/>
  <c r="H2555" i="5"/>
  <c r="G2555" i="5"/>
  <c r="H2554" i="5"/>
  <c r="G2554" i="5"/>
  <c r="H2553" i="5"/>
  <c r="G2553" i="5"/>
  <c r="H2552" i="5"/>
  <c r="G2552" i="5"/>
  <c r="H2551" i="5"/>
  <c r="G2551" i="5"/>
  <c r="H2550" i="5"/>
  <c r="G2550" i="5"/>
  <c r="H2549" i="5"/>
  <c r="G2549" i="5"/>
  <c r="H2548" i="5"/>
  <c r="G2548" i="5"/>
  <c r="H2547" i="5"/>
  <c r="G2547" i="5"/>
  <c r="H2546" i="5"/>
  <c r="G2546" i="5"/>
  <c r="H2545" i="5"/>
  <c r="G2545" i="5"/>
  <c r="H2544" i="5"/>
  <c r="G2544" i="5"/>
  <c r="H2543" i="5"/>
  <c r="G2543" i="5"/>
  <c r="H2542" i="5"/>
  <c r="G2542" i="5"/>
  <c r="H2541" i="5"/>
  <c r="G2541" i="5"/>
  <c r="H2540" i="5"/>
  <c r="G2540" i="5"/>
  <c r="H2539" i="5"/>
  <c r="G2539" i="5"/>
  <c r="H2538" i="5"/>
  <c r="G2538" i="5"/>
  <c r="H2537" i="5"/>
  <c r="G2537" i="5"/>
  <c r="H2536" i="5"/>
  <c r="G2536" i="5"/>
  <c r="H2535" i="5"/>
  <c r="G2535" i="5"/>
  <c r="H2534" i="5"/>
  <c r="G2534" i="5"/>
  <c r="H2533" i="5"/>
  <c r="G2533" i="5"/>
  <c r="H2532" i="5"/>
  <c r="G2532" i="5"/>
  <c r="H2531" i="5"/>
  <c r="G2531" i="5"/>
  <c r="H2530" i="5"/>
  <c r="G2530" i="5"/>
  <c r="H2529" i="5"/>
  <c r="G2529" i="5"/>
  <c r="H2528" i="5"/>
  <c r="G2528" i="5"/>
  <c r="H2527" i="5"/>
  <c r="G2527" i="5"/>
  <c r="H2526" i="5"/>
  <c r="G2526" i="5"/>
  <c r="H2525" i="5"/>
  <c r="G2525" i="5"/>
  <c r="H2524" i="5"/>
  <c r="G2524" i="5"/>
  <c r="H2523" i="5"/>
  <c r="G2523" i="5"/>
  <c r="H2522" i="5"/>
  <c r="G2522" i="5"/>
  <c r="H2521" i="5"/>
  <c r="G2521" i="5"/>
  <c r="H2520" i="5"/>
  <c r="G2520" i="5"/>
  <c r="H2519" i="5"/>
  <c r="G2519" i="5"/>
  <c r="H2518" i="5"/>
  <c r="G2518" i="5"/>
  <c r="H2517" i="5"/>
  <c r="G2517" i="5"/>
  <c r="H2516" i="5"/>
  <c r="G2516" i="5"/>
  <c r="H2515" i="5"/>
  <c r="G2515" i="5"/>
  <c r="H2514" i="5"/>
  <c r="G2514" i="5"/>
  <c r="H2513" i="5"/>
  <c r="G2513" i="5"/>
  <c r="H2512" i="5"/>
  <c r="G2512" i="5"/>
  <c r="H2511" i="5"/>
  <c r="G2511" i="5"/>
  <c r="H2510" i="5"/>
  <c r="G2510" i="5"/>
  <c r="H2509" i="5"/>
  <c r="G2509" i="5"/>
  <c r="H2508" i="5"/>
  <c r="G2508" i="5"/>
  <c r="H2507" i="5"/>
  <c r="G2507" i="5"/>
  <c r="H2506" i="5"/>
  <c r="G2506" i="5"/>
  <c r="H2505" i="5"/>
  <c r="G2505" i="5"/>
  <c r="H2504" i="5"/>
  <c r="G2504" i="5"/>
  <c r="H2503" i="5"/>
  <c r="G2503" i="5"/>
  <c r="H2502" i="5"/>
  <c r="G2502" i="5"/>
  <c r="H2501" i="5"/>
  <c r="G2501" i="5"/>
  <c r="H2500" i="5"/>
  <c r="G2500" i="5"/>
  <c r="H2499" i="5"/>
  <c r="G2499" i="5"/>
  <c r="H2498" i="5"/>
  <c r="G2498" i="5"/>
  <c r="H2497" i="5"/>
  <c r="G2497" i="5"/>
  <c r="H2496" i="5"/>
  <c r="G2496" i="5"/>
  <c r="H2495" i="5"/>
  <c r="G2495" i="5"/>
  <c r="H2494" i="5"/>
  <c r="G2494" i="5"/>
  <c r="H2493" i="5"/>
  <c r="G2493" i="5"/>
  <c r="H2492" i="5"/>
  <c r="G2492" i="5"/>
  <c r="H2491" i="5"/>
  <c r="G2491" i="5"/>
  <c r="H2490" i="5"/>
  <c r="G2490" i="5"/>
  <c r="H2489" i="5"/>
  <c r="G2489" i="5"/>
  <c r="H2488" i="5"/>
  <c r="G2488" i="5"/>
  <c r="H2487" i="5"/>
  <c r="G2487" i="5"/>
  <c r="H2486" i="5"/>
  <c r="G2486" i="5"/>
  <c r="H2485" i="5"/>
  <c r="G2485" i="5"/>
  <c r="H2484" i="5"/>
  <c r="G2484" i="5"/>
  <c r="H2483" i="5"/>
  <c r="G2483" i="5"/>
  <c r="H2482" i="5"/>
  <c r="G2482" i="5"/>
  <c r="H2481" i="5"/>
  <c r="G2481" i="5"/>
  <c r="H2480" i="5"/>
  <c r="G2480" i="5"/>
  <c r="H2479" i="5"/>
  <c r="G2479" i="5"/>
  <c r="H2478" i="5"/>
  <c r="G2478" i="5"/>
  <c r="H2477" i="5"/>
  <c r="G2477" i="5"/>
  <c r="H2476" i="5"/>
  <c r="G2476" i="5"/>
  <c r="H2475" i="5"/>
  <c r="G2475" i="5"/>
  <c r="H2474" i="5"/>
  <c r="G2474" i="5"/>
  <c r="H2473" i="5"/>
  <c r="G2473" i="5"/>
  <c r="H2472" i="5"/>
  <c r="G2472" i="5"/>
  <c r="H2471" i="5"/>
  <c r="G2471" i="5"/>
  <c r="H2470" i="5"/>
  <c r="G2470" i="5"/>
  <c r="H2469" i="5"/>
  <c r="G2469" i="5"/>
  <c r="H2468" i="5"/>
  <c r="G2468" i="5"/>
  <c r="H2467" i="5"/>
  <c r="G2467" i="5"/>
  <c r="H2466" i="5"/>
  <c r="G2466" i="5"/>
  <c r="H2465" i="5"/>
  <c r="G2465" i="5"/>
  <c r="H2464" i="5"/>
  <c r="G2464" i="5"/>
  <c r="H2463" i="5"/>
  <c r="G2463" i="5"/>
  <c r="H2462" i="5"/>
  <c r="G2462" i="5"/>
  <c r="H2461" i="5"/>
  <c r="G2461" i="5"/>
  <c r="H2460" i="5"/>
  <c r="G2460" i="5"/>
  <c r="H2459" i="5"/>
  <c r="G2459" i="5"/>
  <c r="H2458" i="5"/>
  <c r="G2458" i="5"/>
  <c r="H2457" i="5"/>
  <c r="G2457" i="5"/>
  <c r="H2456" i="5"/>
  <c r="G2456" i="5"/>
  <c r="H2455" i="5"/>
  <c r="G2455" i="5"/>
  <c r="H2454" i="5"/>
  <c r="G2454" i="5"/>
  <c r="H2453" i="5"/>
  <c r="G2453" i="5"/>
  <c r="H2452" i="5"/>
  <c r="G2452" i="5"/>
  <c r="H2451" i="5"/>
  <c r="G2451" i="5"/>
  <c r="H2450" i="5"/>
  <c r="G2450" i="5"/>
  <c r="H2449" i="5"/>
  <c r="G2449" i="5"/>
  <c r="H2448" i="5"/>
  <c r="G2448" i="5"/>
  <c r="H2447" i="5"/>
  <c r="G2447" i="5"/>
  <c r="H2446" i="5"/>
  <c r="G2446" i="5"/>
  <c r="H2445" i="5"/>
  <c r="G2445" i="5"/>
  <c r="H2444" i="5"/>
  <c r="G2444" i="5"/>
  <c r="H2443" i="5"/>
  <c r="G2443" i="5"/>
  <c r="H2442" i="5"/>
  <c r="G2442" i="5"/>
  <c r="H2441" i="5"/>
  <c r="G2441" i="5"/>
  <c r="H2440" i="5"/>
  <c r="G2440" i="5"/>
  <c r="H2439" i="5"/>
  <c r="G2439" i="5"/>
  <c r="H2438" i="5"/>
  <c r="G2438" i="5"/>
  <c r="H2437" i="5"/>
  <c r="G2437" i="5"/>
  <c r="H2436" i="5"/>
  <c r="G2436" i="5"/>
  <c r="H2435" i="5"/>
  <c r="G2435" i="5"/>
  <c r="H2434" i="5"/>
  <c r="G2434" i="5"/>
  <c r="H2433" i="5"/>
  <c r="G2433" i="5"/>
  <c r="H2432" i="5"/>
  <c r="G2432" i="5"/>
  <c r="H2431" i="5"/>
  <c r="G2431" i="5"/>
  <c r="H2430" i="5"/>
  <c r="G2430" i="5"/>
  <c r="H2429" i="5"/>
  <c r="G2429" i="5"/>
  <c r="H2428" i="5"/>
  <c r="G2428" i="5"/>
  <c r="H2427" i="5"/>
  <c r="G2427" i="5"/>
  <c r="H2426" i="5"/>
  <c r="G2426" i="5"/>
  <c r="H2425" i="5"/>
  <c r="G2425" i="5"/>
  <c r="H2424" i="5"/>
  <c r="G2424" i="5"/>
  <c r="H2423" i="5"/>
  <c r="G2423" i="5"/>
  <c r="H2422" i="5"/>
  <c r="G2422" i="5"/>
  <c r="H2421" i="5"/>
  <c r="G2421" i="5"/>
  <c r="H2420" i="5"/>
  <c r="G2420" i="5"/>
  <c r="H2419" i="5"/>
  <c r="G2419" i="5"/>
  <c r="H2418" i="5"/>
  <c r="G2418" i="5"/>
  <c r="H2417" i="5"/>
  <c r="G2417" i="5"/>
  <c r="H2416" i="5"/>
  <c r="G2416" i="5"/>
  <c r="H2415" i="5"/>
  <c r="G2415" i="5"/>
  <c r="H2414" i="5"/>
  <c r="G2414" i="5"/>
  <c r="H2413" i="5"/>
  <c r="G2413" i="5"/>
  <c r="H2412" i="5"/>
  <c r="G2412" i="5"/>
  <c r="H2411" i="5"/>
  <c r="G2411" i="5"/>
  <c r="H2410" i="5"/>
  <c r="G2410" i="5"/>
  <c r="H2409" i="5"/>
  <c r="G2409" i="5"/>
  <c r="H2408" i="5"/>
  <c r="G2408" i="5"/>
  <c r="H2407" i="5"/>
  <c r="G2407" i="5"/>
  <c r="H2406" i="5"/>
  <c r="G2406" i="5"/>
  <c r="H2405" i="5"/>
  <c r="G2405" i="5"/>
  <c r="H2404" i="5"/>
  <c r="G2404" i="5"/>
  <c r="H2403" i="5"/>
  <c r="G2403" i="5"/>
  <c r="H2402" i="5"/>
  <c r="G2402" i="5"/>
  <c r="H2401" i="5"/>
  <c r="G2401" i="5"/>
  <c r="H2400" i="5"/>
  <c r="G2400" i="5"/>
  <c r="H2399" i="5"/>
  <c r="G2399" i="5"/>
  <c r="H2398" i="5"/>
  <c r="G2398" i="5"/>
  <c r="H2397" i="5"/>
  <c r="G2397" i="5"/>
  <c r="H2396" i="5"/>
  <c r="G2396" i="5"/>
  <c r="H2395" i="5"/>
  <c r="G2395" i="5"/>
  <c r="H2394" i="5"/>
  <c r="G2394" i="5"/>
  <c r="H2393" i="5"/>
  <c r="G2393" i="5"/>
  <c r="H2392" i="5"/>
  <c r="G2392" i="5"/>
  <c r="H2391" i="5"/>
  <c r="G2391" i="5"/>
  <c r="H2390" i="5"/>
  <c r="G2390" i="5"/>
  <c r="H2389" i="5"/>
  <c r="G2389" i="5"/>
  <c r="H2388" i="5"/>
  <c r="G2388" i="5"/>
  <c r="H2387" i="5"/>
  <c r="G2387" i="5"/>
  <c r="H2386" i="5"/>
  <c r="G2386" i="5"/>
  <c r="H2385" i="5"/>
  <c r="G2385" i="5"/>
  <c r="H2384" i="5"/>
  <c r="G2384" i="5"/>
  <c r="H2383" i="5"/>
  <c r="G2383" i="5"/>
  <c r="H2382" i="5"/>
  <c r="G2382" i="5"/>
  <c r="H2381" i="5"/>
  <c r="G2381" i="5"/>
  <c r="H2380" i="5"/>
  <c r="G2380" i="5"/>
  <c r="H2379" i="5"/>
  <c r="G2379" i="5"/>
  <c r="H2378" i="5"/>
  <c r="G2378" i="5"/>
  <c r="H2377" i="5"/>
  <c r="G2377" i="5"/>
  <c r="H2376" i="5"/>
  <c r="G2376" i="5"/>
  <c r="H2375" i="5"/>
  <c r="G2375" i="5"/>
  <c r="H2374" i="5"/>
  <c r="G2374" i="5"/>
  <c r="H2373" i="5"/>
  <c r="G2373" i="5"/>
  <c r="H2372" i="5"/>
  <c r="G2372" i="5"/>
  <c r="H2371" i="5"/>
  <c r="G2371" i="5"/>
  <c r="H2370" i="5"/>
  <c r="G2370" i="5"/>
  <c r="H2369" i="5"/>
  <c r="G2369" i="5"/>
  <c r="H2368" i="5"/>
  <c r="G2368" i="5"/>
  <c r="H2367" i="5"/>
  <c r="G2367" i="5"/>
  <c r="H2366" i="5"/>
  <c r="G2366" i="5"/>
  <c r="H2365" i="5"/>
  <c r="G2365" i="5"/>
  <c r="H2364" i="5"/>
  <c r="G2364" i="5"/>
  <c r="H2363" i="5"/>
  <c r="G2363" i="5"/>
  <c r="H2362" i="5"/>
  <c r="G2362" i="5"/>
  <c r="H2361" i="5"/>
  <c r="G2361" i="5"/>
  <c r="H2360" i="5"/>
  <c r="G2360" i="5"/>
  <c r="H2359" i="5"/>
  <c r="G2359" i="5"/>
  <c r="H2358" i="5"/>
  <c r="G2358" i="5"/>
  <c r="H2357" i="5"/>
  <c r="G2357" i="5"/>
  <c r="H2356" i="5"/>
  <c r="G2356" i="5"/>
  <c r="H2355" i="5"/>
  <c r="G2355" i="5"/>
  <c r="H2354" i="5"/>
  <c r="G2354" i="5"/>
  <c r="H2353" i="5"/>
  <c r="G2353" i="5"/>
  <c r="H2352" i="5"/>
  <c r="G2352" i="5"/>
  <c r="H2351" i="5"/>
  <c r="G2351" i="5"/>
  <c r="H2350" i="5"/>
  <c r="G2350" i="5"/>
  <c r="H2349" i="5"/>
  <c r="G2349" i="5"/>
  <c r="H2348" i="5"/>
  <c r="G2348" i="5"/>
  <c r="H2347" i="5"/>
  <c r="G2347" i="5"/>
  <c r="H2346" i="5"/>
  <c r="G2346" i="5"/>
  <c r="H2345" i="5"/>
  <c r="G2345" i="5"/>
  <c r="H2344" i="5"/>
  <c r="G2344" i="5"/>
  <c r="H2343" i="5"/>
  <c r="G2343" i="5"/>
  <c r="H2342" i="5"/>
  <c r="G2342" i="5"/>
  <c r="H2341" i="5"/>
  <c r="G2341" i="5"/>
  <c r="H2340" i="5"/>
  <c r="G2340" i="5"/>
  <c r="H2339" i="5"/>
  <c r="G2339" i="5"/>
  <c r="H2338" i="5"/>
  <c r="G2338" i="5"/>
  <c r="H2337" i="5"/>
  <c r="G2337" i="5"/>
  <c r="H2336" i="5"/>
  <c r="G2336" i="5"/>
  <c r="H2335" i="5"/>
  <c r="G2335" i="5"/>
  <c r="H2334" i="5"/>
  <c r="G2334" i="5"/>
  <c r="H2333" i="5"/>
  <c r="G2333" i="5"/>
  <c r="H2332" i="5"/>
  <c r="G2332" i="5"/>
  <c r="H2331" i="5"/>
  <c r="G2331" i="5"/>
  <c r="H2330" i="5"/>
  <c r="G2330" i="5"/>
  <c r="H2329" i="5"/>
  <c r="G2329" i="5"/>
  <c r="H2328" i="5"/>
  <c r="G2328" i="5"/>
  <c r="H2327" i="5"/>
  <c r="G2327" i="5"/>
  <c r="H2326" i="5"/>
  <c r="G2326" i="5"/>
  <c r="H2325" i="5"/>
  <c r="G2325" i="5"/>
  <c r="H2324" i="5"/>
  <c r="G2324" i="5"/>
  <c r="H2323" i="5"/>
  <c r="G2323" i="5"/>
  <c r="H2322" i="5"/>
  <c r="G2322" i="5"/>
  <c r="H2321" i="5"/>
  <c r="G2321" i="5"/>
  <c r="H2320" i="5"/>
  <c r="G2320" i="5"/>
  <c r="H2319" i="5"/>
  <c r="G2319" i="5"/>
  <c r="H2318" i="5"/>
  <c r="G2318" i="5"/>
  <c r="H2317" i="5"/>
  <c r="G2317" i="5"/>
  <c r="H2316" i="5"/>
  <c r="G2316" i="5"/>
  <c r="H2315" i="5"/>
  <c r="G2315" i="5"/>
  <c r="H2314" i="5"/>
  <c r="G2314" i="5"/>
  <c r="H2313" i="5"/>
  <c r="G2313" i="5"/>
  <c r="H2312" i="5"/>
  <c r="G2312" i="5"/>
  <c r="H2311" i="5"/>
  <c r="G2311" i="5"/>
  <c r="H2310" i="5"/>
  <c r="G2310" i="5"/>
  <c r="H2309" i="5"/>
  <c r="G2309" i="5"/>
  <c r="H2308" i="5"/>
  <c r="G2308" i="5"/>
  <c r="H2307" i="5"/>
  <c r="G2307" i="5"/>
  <c r="H2306" i="5"/>
  <c r="G2306" i="5"/>
  <c r="H2305" i="5"/>
  <c r="G2305" i="5"/>
  <c r="H2304" i="5"/>
  <c r="G2304" i="5"/>
  <c r="H2303" i="5"/>
  <c r="G2303" i="5"/>
  <c r="H2302" i="5"/>
  <c r="G2302" i="5"/>
  <c r="H2301" i="5"/>
  <c r="G2301" i="5"/>
  <c r="H2300" i="5"/>
  <c r="G2300" i="5"/>
  <c r="H2299" i="5"/>
  <c r="G2299" i="5"/>
  <c r="H2298" i="5"/>
  <c r="G2298" i="5"/>
  <c r="H2297" i="5"/>
  <c r="G2297" i="5"/>
  <c r="H2296" i="5"/>
  <c r="G2296" i="5"/>
  <c r="H2295" i="5"/>
  <c r="G2295" i="5"/>
  <c r="H2294" i="5"/>
  <c r="G2294" i="5"/>
  <c r="H2293" i="5"/>
  <c r="G2293" i="5"/>
  <c r="H2292" i="5"/>
  <c r="G2292" i="5"/>
  <c r="H2291" i="5"/>
  <c r="G2291" i="5"/>
  <c r="H2290" i="5"/>
  <c r="G2290" i="5"/>
  <c r="H2289" i="5"/>
  <c r="G2289" i="5"/>
  <c r="H2288" i="5"/>
  <c r="G2288" i="5"/>
  <c r="H2287" i="5"/>
  <c r="G2287" i="5"/>
  <c r="H2286" i="5"/>
  <c r="G2286" i="5"/>
  <c r="H2285" i="5"/>
  <c r="G2285" i="5"/>
  <c r="H2284" i="5"/>
  <c r="G2284" i="5"/>
  <c r="H2283" i="5"/>
  <c r="G2283" i="5"/>
  <c r="H2282" i="5"/>
  <c r="G2282" i="5"/>
  <c r="H2281" i="5"/>
  <c r="G2281" i="5"/>
  <c r="H2280" i="5"/>
  <c r="G2280" i="5"/>
  <c r="H2279" i="5"/>
  <c r="G2279" i="5"/>
  <c r="H2278" i="5"/>
  <c r="G2278" i="5"/>
  <c r="H2277" i="5"/>
  <c r="G2277" i="5"/>
  <c r="H2276" i="5"/>
  <c r="G2276" i="5"/>
  <c r="H2275" i="5"/>
  <c r="G2275" i="5"/>
  <c r="H2274" i="5"/>
  <c r="G2274" i="5"/>
  <c r="H2273" i="5"/>
  <c r="G2273" i="5"/>
  <c r="H2272" i="5"/>
  <c r="G2272" i="5"/>
  <c r="H2271" i="5"/>
  <c r="G2271" i="5"/>
  <c r="H2270" i="5"/>
  <c r="G2270" i="5"/>
  <c r="H2269" i="5"/>
  <c r="G2269" i="5"/>
  <c r="H2268" i="5"/>
  <c r="G2268" i="5"/>
  <c r="H2267" i="5"/>
  <c r="G2267" i="5"/>
  <c r="H2266" i="5"/>
  <c r="G2266" i="5"/>
  <c r="H2265" i="5"/>
  <c r="G2265" i="5"/>
  <c r="H2264" i="5"/>
  <c r="G2264" i="5"/>
  <c r="H2263" i="5"/>
  <c r="G2263" i="5"/>
  <c r="H2262" i="5"/>
  <c r="G2262" i="5"/>
  <c r="H2261" i="5"/>
  <c r="G2261" i="5"/>
  <c r="H2260" i="5"/>
  <c r="G2260" i="5"/>
  <c r="H2259" i="5"/>
  <c r="G2259" i="5"/>
  <c r="H2258" i="5"/>
  <c r="G2258" i="5"/>
  <c r="H2257" i="5"/>
  <c r="G2257" i="5"/>
  <c r="H2256" i="5"/>
  <c r="G2256" i="5"/>
  <c r="H2255" i="5"/>
  <c r="G2255" i="5"/>
  <c r="H2254" i="5"/>
  <c r="G2254" i="5"/>
  <c r="H2253" i="5"/>
  <c r="G2253" i="5"/>
  <c r="H2252" i="5"/>
  <c r="G2252" i="5"/>
  <c r="H2251" i="5"/>
  <c r="G2251" i="5"/>
  <c r="H2250" i="5"/>
  <c r="G2250" i="5"/>
  <c r="H2249" i="5"/>
  <c r="G2249" i="5"/>
  <c r="H2248" i="5"/>
  <c r="G2248" i="5"/>
  <c r="H2247" i="5"/>
  <c r="G2247" i="5"/>
  <c r="H2246" i="5"/>
  <c r="G2246" i="5"/>
  <c r="H2245" i="5"/>
  <c r="G2245" i="5"/>
  <c r="H2244" i="5"/>
  <c r="G2244" i="5"/>
  <c r="H2243" i="5"/>
  <c r="G2243" i="5"/>
  <c r="H2242" i="5"/>
  <c r="G2242" i="5"/>
  <c r="H2241" i="5"/>
  <c r="G2241" i="5"/>
  <c r="H2240" i="5"/>
  <c r="G2240" i="5"/>
  <c r="H2239" i="5"/>
  <c r="G2239" i="5"/>
  <c r="H2238" i="5"/>
  <c r="G2238" i="5"/>
  <c r="H2237" i="5"/>
  <c r="G2237" i="5"/>
  <c r="H2236" i="5"/>
  <c r="G2236" i="5"/>
  <c r="H2235" i="5"/>
  <c r="G2235" i="5"/>
  <c r="H2234" i="5"/>
  <c r="G2234" i="5"/>
  <c r="H2233" i="5"/>
  <c r="G2233" i="5"/>
  <c r="H2232" i="5"/>
  <c r="G2232" i="5"/>
  <c r="H2231" i="5"/>
  <c r="G2231" i="5"/>
  <c r="H2230" i="5"/>
  <c r="G2230" i="5"/>
  <c r="H2229" i="5"/>
  <c r="G2229" i="5"/>
  <c r="H2228" i="5"/>
  <c r="G2228" i="5"/>
  <c r="H2227" i="5"/>
  <c r="G2227" i="5"/>
  <c r="H2226" i="5"/>
  <c r="G2226" i="5"/>
  <c r="H2225" i="5"/>
  <c r="G2225" i="5"/>
  <c r="H2224" i="5"/>
  <c r="G2224" i="5"/>
  <c r="H2223" i="5"/>
  <c r="G2223" i="5"/>
  <c r="H2222" i="5"/>
  <c r="G2222" i="5"/>
  <c r="H2221" i="5"/>
  <c r="G2221" i="5"/>
  <c r="H2220" i="5"/>
  <c r="G2220" i="5"/>
  <c r="H2219" i="5"/>
  <c r="G2219" i="5"/>
  <c r="H2218" i="5"/>
  <c r="G2218" i="5"/>
  <c r="H2217" i="5"/>
  <c r="G2217" i="5"/>
  <c r="H2216" i="5"/>
  <c r="G2216" i="5"/>
  <c r="H2215" i="5"/>
  <c r="G2215" i="5"/>
  <c r="H2214" i="5"/>
  <c r="G2214" i="5"/>
  <c r="H2213" i="5"/>
  <c r="G2213" i="5"/>
  <c r="H2212" i="5"/>
  <c r="G2212" i="5"/>
  <c r="H2211" i="5"/>
  <c r="G2211" i="5"/>
  <c r="H2210" i="5"/>
  <c r="G2210" i="5"/>
  <c r="H2209" i="5"/>
  <c r="G2209" i="5"/>
  <c r="H2208" i="5"/>
  <c r="G2208" i="5"/>
  <c r="H2207" i="5"/>
  <c r="G2207" i="5"/>
  <c r="H2206" i="5"/>
  <c r="G2206" i="5"/>
  <c r="H2205" i="5"/>
  <c r="G2205" i="5"/>
  <c r="H2204" i="5"/>
  <c r="G2204" i="5"/>
  <c r="H2203" i="5"/>
  <c r="G2203" i="5"/>
  <c r="H2202" i="5"/>
  <c r="G2202" i="5"/>
  <c r="H2201" i="5"/>
  <c r="G2201" i="5"/>
  <c r="H2200" i="5"/>
  <c r="G2200" i="5"/>
  <c r="H2199" i="5"/>
  <c r="G2199" i="5"/>
  <c r="H2198" i="5"/>
  <c r="G2198" i="5"/>
  <c r="H2197" i="5"/>
  <c r="G2197" i="5"/>
  <c r="H2196" i="5"/>
  <c r="G2196" i="5"/>
  <c r="H2195" i="5"/>
  <c r="G2195" i="5"/>
  <c r="H2194" i="5"/>
  <c r="G2194" i="5"/>
  <c r="H2193" i="5"/>
  <c r="G2193" i="5"/>
  <c r="H2192" i="5"/>
  <c r="G2192" i="5"/>
  <c r="H2191" i="5"/>
  <c r="G2191" i="5"/>
  <c r="H2190" i="5"/>
  <c r="G2190" i="5"/>
  <c r="H2189" i="5"/>
  <c r="G2189" i="5"/>
  <c r="H2188" i="5"/>
  <c r="G2188" i="5"/>
  <c r="H2187" i="5"/>
  <c r="G2187" i="5"/>
  <c r="H2186" i="5"/>
  <c r="G2186" i="5"/>
  <c r="H2185" i="5"/>
  <c r="G2185" i="5"/>
  <c r="H2184" i="5"/>
  <c r="G2184" i="5"/>
  <c r="H2183" i="5"/>
  <c r="G2183" i="5"/>
  <c r="H2182" i="5"/>
  <c r="G2182" i="5"/>
  <c r="H2181" i="5"/>
  <c r="G2181" i="5"/>
  <c r="H2180" i="5"/>
  <c r="G2180" i="5"/>
  <c r="H2179" i="5"/>
  <c r="G2179" i="5"/>
  <c r="H2178" i="5"/>
  <c r="G2178" i="5"/>
  <c r="H2177" i="5"/>
  <c r="G2177" i="5"/>
  <c r="H2176" i="5"/>
  <c r="G2176" i="5"/>
  <c r="H2175" i="5"/>
  <c r="G2175" i="5"/>
  <c r="H2174" i="5"/>
  <c r="G2174" i="5"/>
  <c r="H2173" i="5"/>
  <c r="G2173" i="5"/>
  <c r="H2172" i="5"/>
  <c r="G2172" i="5"/>
  <c r="H2171" i="5"/>
  <c r="G2171" i="5"/>
  <c r="H2170" i="5"/>
  <c r="G2170" i="5"/>
  <c r="H2169" i="5"/>
  <c r="G2169" i="5"/>
  <c r="H2168" i="5"/>
  <c r="G2168" i="5"/>
  <c r="H2167" i="5"/>
  <c r="G2167" i="5"/>
  <c r="H2166" i="5"/>
  <c r="G2166" i="5"/>
  <c r="H2165" i="5"/>
  <c r="G2165" i="5"/>
  <c r="H2164" i="5"/>
  <c r="G2164" i="5"/>
  <c r="H2163" i="5"/>
  <c r="G2163" i="5"/>
  <c r="H2162" i="5"/>
  <c r="G2162" i="5"/>
  <c r="H2161" i="5"/>
  <c r="G2161" i="5"/>
  <c r="H2160" i="5"/>
  <c r="G2160" i="5"/>
  <c r="H2159" i="5"/>
  <c r="G2159" i="5"/>
  <c r="H2158" i="5"/>
  <c r="G2158" i="5"/>
  <c r="H2157" i="5"/>
  <c r="G2157" i="5"/>
  <c r="H2156" i="5"/>
  <c r="G2156" i="5"/>
  <c r="H2155" i="5"/>
  <c r="G2155" i="5"/>
  <c r="H2154" i="5"/>
  <c r="G2154" i="5"/>
  <c r="H2153" i="5"/>
  <c r="G2153" i="5"/>
  <c r="H2152" i="5"/>
  <c r="G2152" i="5"/>
  <c r="H2151" i="5"/>
  <c r="G2151" i="5"/>
  <c r="H2150" i="5"/>
  <c r="G2150" i="5"/>
  <c r="H2149" i="5"/>
  <c r="G2149" i="5"/>
  <c r="H2148" i="5"/>
  <c r="G2148" i="5"/>
  <c r="H2147" i="5"/>
  <c r="G2147" i="5"/>
  <c r="H2146" i="5"/>
  <c r="G2146" i="5"/>
  <c r="H2145" i="5"/>
  <c r="G2145" i="5"/>
  <c r="H2144" i="5"/>
  <c r="G2144" i="5"/>
  <c r="H2143" i="5"/>
  <c r="G2143" i="5"/>
  <c r="H2142" i="5"/>
  <c r="G2142" i="5"/>
  <c r="H2141" i="5"/>
  <c r="G2141" i="5"/>
  <c r="H2140" i="5"/>
  <c r="G2140" i="5"/>
  <c r="H2139" i="5"/>
  <c r="G2139" i="5"/>
  <c r="H2138" i="5"/>
  <c r="G2138" i="5"/>
  <c r="H2137" i="5"/>
  <c r="G2137" i="5"/>
  <c r="H2136" i="5"/>
  <c r="G2136" i="5"/>
  <c r="H2135" i="5"/>
  <c r="G2135" i="5"/>
  <c r="H2134" i="5"/>
  <c r="G2134" i="5"/>
  <c r="H2133" i="5"/>
  <c r="G2133" i="5"/>
  <c r="H2132" i="5"/>
  <c r="G2132" i="5"/>
  <c r="H2131" i="5"/>
  <c r="G2131" i="5"/>
  <c r="H2130" i="5"/>
  <c r="G2130" i="5"/>
  <c r="H2129" i="5"/>
  <c r="G2129" i="5"/>
  <c r="H2128" i="5"/>
  <c r="G2128" i="5"/>
  <c r="H2127" i="5"/>
  <c r="G2127" i="5"/>
  <c r="H2126" i="5"/>
  <c r="G2126" i="5"/>
  <c r="H2125" i="5"/>
  <c r="G2125" i="5"/>
  <c r="H2124" i="5"/>
  <c r="G2124" i="5"/>
  <c r="H2123" i="5"/>
  <c r="G2123" i="5"/>
  <c r="H2122" i="5"/>
  <c r="G2122" i="5"/>
  <c r="H2121" i="5"/>
  <c r="G2121" i="5"/>
  <c r="H2120" i="5"/>
  <c r="G2120" i="5"/>
  <c r="H2119" i="5"/>
  <c r="G2119" i="5"/>
  <c r="H2118" i="5"/>
  <c r="G2118" i="5"/>
  <c r="H2117" i="5"/>
  <c r="G2117" i="5"/>
  <c r="H2116" i="5"/>
  <c r="G2116" i="5"/>
  <c r="H2115" i="5"/>
  <c r="G2115" i="5"/>
  <c r="H2114" i="5"/>
  <c r="G2114" i="5"/>
  <c r="H2113" i="5"/>
  <c r="G2113" i="5"/>
  <c r="H2112" i="5"/>
  <c r="G2112" i="5"/>
  <c r="H2111" i="5"/>
  <c r="G2111" i="5"/>
  <c r="H2110" i="5"/>
  <c r="G2110" i="5"/>
  <c r="H2109" i="5"/>
  <c r="G2109" i="5"/>
  <c r="H2108" i="5"/>
  <c r="G2108" i="5"/>
  <c r="H2107" i="5"/>
  <c r="G2107" i="5"/>
  <c r="H2106" i="5"/>
  <c r="G2106" i="5"/>
  <c r="H2105" i="5"/>
  <c r="G2105" i="5"/>
  <c r="H2104" i="5"/>
  <c r="G2104" i="5"/>
  <c r="H2103" i="5"/>
  <c r="G2103" i="5"/>
  <c r="H2102" i="5"/>
  <c r="G2102" i="5"/>
  <c r="H2101" i="5"/>
  <c r="G2101" i="5"/>
  <c r="H2100" i="5"/>
  <c r="G2100" i="5"/>
  <c r="H2099" i="5"/>
  <c r="G2099" i="5"/>
  <c r="H2098" i="5"/>
  <c r="G2098" i="5"/>
  <c r="H2097" i="5"/>
  <c r="G2097" i="5"/>
  <c r="H2096" i="5"/>
  <c r="G2096" i="5"/>
  <c r="H2095" i="5"/>
  <c r="G2095" i="5"/>
  <c r="H2094" i="5"/>
  <c r="G2094" i="5"/>
  <c r="H2093" i="5"/>
  <c r="G2093" i="5"/>
  <c r="H2092" i="5"/>
  <c r="G2092" i="5"/>
  <c r="H2091" i="5"/>
  <c r="G2091" i="5"/>
  <c r="H2090" i="5"/>
  <c r="G2090" i="5"/>
  <c r="H2089" i="5"/>
  <c r="G2089" i="5"/>
  <c r="H2088" i="5"/>
  <c r="G2088" i="5"/>
  <c r="H2087" i="5"/>
  <c r="G2087" i="5"/>
  <c r="H2086" i="5"/>
  <c r="G2086" i="5"/>
  <c r="H2085" i="5"/>
  <c r="G2085" i="5"/>
  <c r="H2084" i="5"/>
  <c r="G2084" i="5"/>
  <c r="H2083" i="5"/>
  <c r="G2083" i="5"/>
  <c r="H2082" i="5"/>
  <c r="G2082" i="5"/>
  <c r="H2081" i="5"/>
  <c r="G2081" i="5"/>
  <c r="H2080" i="5"/>
  <c r="G2080" i="5"/>
  <c r="H2079" i="5"/>
  <c r="G2079" i="5"/>
  <c r="H2078" i="5"/>
  <c r="G2078" i="5"/>
  <c r="H2077" i="5"/>
  <c r="G2077" i="5"/>
  <c r="H2076" i="5"/>
  <c r="G2076" i="5"/>
  <c r="H2075" i="5"/>
  <c r="G2075" i="5"/>
  <c r="H2074" i="5"/>
  <c r="G2074" i="5"/>
  <c r="H2073" i="5"/>
  <c r="G2073" i="5"/>
  <c r="H2072" i="5"/>
  <c r="G2072" i="5"/>
  <c r="H2071" i="5"/>
  <c r="G2071" i="5"/>
  <c r="H2070" i="5"/>
  <c r="G2070" i="5"/>
  <c r="H2069" i="5"/>
  <c r="G2069" i="5"/>
  <c r="H2068" i="5"/>
  <c r="G2068" i="5"/>
  <c r="H2067" i="5"/>
  <c r="G2067" i="5"/>
  <c r="H2066" i="5"/>
  <c r="G2066" i="5"/>
  <c r="H2065" i="5"/>
  <c r="G2065" i="5"/>
  <c r="H2064" i="5"/>
  <c r="G2064" i="5"/>
  <c r="H2063" i="5"/>
  <c r="G2063" i="5"/>
  <c r="H2062" i="5"/>
  <c r="G2062" i="5"/>
  <c r="H2061" i="5"/>
  <c r="G2061" i="5"/>
  <c r="H2060" i="5"/>
  <c r="G2060" i="5"/>
  <c r="H2059" i="5"/>
  <c r="G2059" i="5"/>
  <c r="H2058" i="5"/>
  <c r="G2058" i="5"/>
  <c r="H2057" i="5"/>
  <c r="G2057" i="5"/>
  <c r="H2056" i="5"/>
  <c r="G2056" i="5"/>
  <c r="H2055" i="5"/>
  <c r="G2055" i="5"/>
  <c r="H2054" i="5"/>
  <c r="G2054" i="5"/>
  <c r="H2053" i="5"/>
  <c r="G2053" i="5"/>
  <c r="H2052" i="5"/>
  <c r="G2052" i="5"/>
  <c r="H2051" i="5"/>
  <c r="G2051" i="5"/>
  <c r="H2050" i="5"/>
  <c r="G2050" i="5"/>
  <c r="H2049" i="5"/>
  <c r="G2049" i="5"/>
  <c r="H2048" i="5"/>
  <c r="G2048" i="5"/>
  <c r="H2047" i="5"/>
  <c r="G2047" i="5"/>
  <c r="H2046" i="5"/>
  <c r="G2046" i="5"/>
  <c r="H2045" i="5"/>
  <c r="G2045" i="5"/>
  <c r="H2044" i="5"/>
  <c r="G2044" i="5"/>
  <c r="H2043" i="5"/>
  <c r="G2043" i="5"/>
  <c r="H2042" i="5"/>
  <c r="G2042" i="5"/>
  <c r="H2041" i="5"/>
  <c r="G2041" i="5"/>
  <c r="H2040" i="5"/>
  <c r="G2040" i="5"/>
  <c r="H2039" i="5"/>
  <c r="G2039" i="5"/>
  <c r="H2038" i="5"/>
  <c r="G2038" i="5"/>
  <c r="H2037" i="5"/>
  <c r="G2037" i="5"/>
  <c r="H2036" i="5"/>
  <c r="G2036" i="5"/>
  <c r="H2035" i="5"/>
  <c r="G2035" i="5"/>
  <c r="H2034" i="5"/>
  <c r="G2034" i="5"/>
  <c r="H2033" i="5"/>
  <c r="G2033" i="5"/>
  <c r="H2032" i="5"/>
  <c r="G2032" i="5"/>
  <c r="H2031" i="5"/>
  <c r="G2031" i="5"/>
  <c r="H2030" i="5"/>
  <c r="G2030" i="5"/>
  <c r="H2029" i="5"/>
  <c r="G2029" i="5"/>
  <c r="H2028" i="5"/>
  <c r="G2028" i="5"/>
  <c r="H2027" i="5"/>
  <c r="G2027" i="5"/>
  <c r="H2026" i="5"/>
  <c r="G2026" i="5"/>
  <c r="H2025" i="5"/>
  <c r="G2025" i="5"/>
  <c r="H2024" i="5"/>
  <c r="G2024" i="5"/>
  <c r="H2023" i="5"/>
  <c r="G2023" i="5"/>
  <c r="H2022" i="5"/>
  <c r="G2022" i="5"/>
  <c r="H2021" i="5"/>
  <c r="G2021" i="5"/>
  <c r="H2020" i="5"/>
  <c r="G2020" i="5"/>
  <c r="H2019" i="5"/>
  <c r="G2019" i="5"/>
  <c r="H2018" i="5"/>
  <c r="G2018" i="5"/>
  <c r="H2017" i="5"/>
  <c r="G2017" i="5"/>
  <c r="H2016" i="5"/>
  <c r="G2016" i="5"/>
  <c r="H2015" i="5"/>
  <c r="G2015" i="5"/>
  <c r="H2014" i="5"/>
  <c r="G2014" i="5"/>
  <c r="H2013" i="5"/>
  <c r="G2013" i="5"/>
  <c r="H2012" i="5"/>
  <c r="G2012" i="5"/>
  <c r="H2011" i="5"/>
  <c r="G2011" i="5"/>
  <c r="H2010" i="5"/>
  <c r="G2010" i="5"/>
  <c r="H2009" i="5"/>
  <c r="G2009" i="5"/>
  <c r="H2008" i="5"/>
  <c r="G2008" i="5"/>
  <c r="H2007" i="5"/>
  <c r="G2007" i="5"/>
  <c r="H2006" i="5"/>
  <c r="G2006" i="5"/>
  <c r="H2005" i="5"/>
  <c r="G2005" i="5"/>
  <c r="H2004" i="5"/>
  <c r="G2004" i="5"/>
  <c r="H2003" i="5"/>
  <c r="G2003" i="5"/>
  <c r="H2002" i="5"/>
  <c r="G2002" i="5"/>
  <c r="H2001" i="5"/>
  <c r="G2001" i="5"/>
  <c r="H2000" i="5"/>
  <c r="G2000" i="5"/>
  <c r="H1999" i="5"/>
  <c r="G1999" i="5"/>
  <c r="H1998" i="5"/>
  <c r="G1998" i="5"/>
  <c r="H1997" i="5"/>
  <c r="G1997" i="5"/>
  <c r="H1996" i="5"/>
  <c r="G1996" i="5"/>
  <c r="H1995" i="5"/>
  <c r="G1995" i="5"/>
  <c r="H1994" i="5"/>
  <c r="G1994" i="5"/>
  <c r="H1993" i="5"/>
  <c r="G1993" i="5"/>
  <c r="H1992" i="5"/>
  <c r="G1992" i="5"/>
  <c r="H1991" i="5"/>
  <c r="G1991" i="5"/>
  <c r="H1990" i="5"/>
  <c r="G1990" i="5"/>
  <c r="H1989" i="5"/>
  <c r="G1989" i="5"/>
  <c r="H1988" i="5"/>
  <c r="G1988" i="5"/>
  <c r="H1987" i="5"/>
  <c r="G1987" i="5"/>
  <c r="H1986" i="5"/>
  <c r="G1986" i="5"/>
  <c r="H1985" i="5"/>
  <c r="G1985" i="5"/>
  <c r="H1984" i="5"/>
  <c r="G1984" i="5"/>
  <c r="H1983" i="5"/>
  <c r="G1983" i="5"/>
  <c r="H1982" i="5"/>
  <c r="G1982" i="5"/>
  <c r="H1981" i="5"/>
  <c r="G1981" i="5"/>
  <c r="H1980" i="5"/>
  <c r="G1980" i="5"/>
  <c r="H1979" i="5"/>
  <c r="G1979" i="5"/>
  <c r="H1978" i="5"/>
  <c r="G1978" i="5"/>
  <c r="H1977" i="5"/>
  <c r="G1977" i="5"/>
  <c r="H1976" i="5"/>
  <c r="G1976" i="5"/>
  <c r="H1975" i="5"/>
  <c r="G1975" i="5"/>
  <c r="H1974" i="5"/>
  <c r="G1974" i="5"/>
  <c r="H1973" i="5"/>
  <c r="G1973" i="5"/>
  <c r="H1972" i="5"/>
  <c r="G1972" i="5"/>
  <c r="H1971" i="5"/>
  <c r="G1971" i="5"/>
  <c r="H1970" i="5"/>
  <c r="G1970" i="5"/>
  <c r="H1969" i="5"/>
  <c r="G1969" i="5"/>
  <c r="H1968" i="5"/>
  <c r="G1968" i="5"/>
  <c r="H1967" i="5"/>
  <c r="G1967" i="5"/>
  <c r="H1966" i="5"/>
  <c r="G1966" i="5"/>
  <c r="H1965" i="5"/>
  <c r="G1965" i="5"/>
  <c r="H1964" i="5"/>
  <c r="G1964" i="5"/>
  <c r="H1963" i="5"/>
  <c r="G1963" i="5"/>
  <c r="H1962" i="5"/>
  <c r="G1962" i="5"/>
  <c r="H1961" i="5"/>
  <c r="G1961" i="5"/>
  <c r="H1960" i="5"/>
  <c r="G1960" i="5"/>
  <c r="H1959" i="5"/>
  <c r="G1959" i="5"/>
  <c r="H1958" i="5"/>
  <c r="G1958" i="5"/>
  <c r="H1957" i="5"/>
  <c r="G1957" i="5"/>
  <c r="H1956" i="5"/>
  <c r="G1956" i="5"/>
  <c r="H1955" i="5"/>
  <c r="G1955" i="5"/>
  <c r="H1954" i="5"/>
  <c r="G1954" i="5"/>
  <c r="H1953" i="5"/>
  <c r="G1953" i="5"/>
  <c r="H1952" i="5"/>
  <c r="G1952" i="5"/>
  <c r="H1951" i="5"/>
  <c r="G1951" i="5"/>
  <c r="H1950" i="5"/>
  <c r="G1950" i="5"/>
  <c r="H1949" i="5"/>
  <c r="G1949" i="5"/>
  <c r="H1948" i="5"/>
  <c r="G1948" i="5"/>
  <c r="H1947" i="5"/>
  <c r="G1947" i="5"/>
  <c r="H1946" i="5"/>
  <c r="G1946" i="5"/>
  <c r="H1945" i="5"/>
  <c r="G1945" i="5"/>
  <c r="H1944" i="5"/>
  <c r="G1944" i="5"/>
  <c r="H1943" i="5"/>
  <c r="G1943" i="5"/>
  <c r="H1942" i="5"/>
  <c r="G1942" i="5"/>
  <c r="H1941" i="5"/>
  <c r="G1941" i="5"/>
  <c r="H1940" i="5"/>
  <c r="G1940" i="5"/>
  <c r="H1939" i="5"/>
  <c r="G1939" i="5"/>
  <c r="H1938" i="5"/>
  <c r="G1938" i="5"/>
  <c r="H1937" i="5"/>
  <c r="G1937" i="5"/>
  <c r="H1936" i="5"/>
  <c r="G1936" i="5"/>
  <c r="H1935" i="5"/>
  <c r="G1935" i="5"/>
  <c r="H1934" i="5"/>
  <c r="G1934" i="5"/>
  <c r="H1933" i="5"/>
  <c r="G1933" i="5"/>
  <c r="H1932" i="5"/>
  <c r="G1932" i="5"/>
  <c r="H1931" i="5"/>
  <c r="G1931" i="5"/>
  <c r="H1930" i="5"/>
  <c r="G1930" i="5"/>
  <c r="H1929" i="5"/>
  <c r="G1929" i="5"/>
  <c r="H1928" i="5"/>
  <c r="G1928" i="5"/>
  <c r="H1927" i="5"/>
  <c r="G1927" i="5"/>
  <c r="H1926" i="5"/>
  <c r="G1926" i="5"/>
  <c r="H1925" i="5"/>
  <c r="G1925" i="5"/>
  <c r="H1924" i="5"/>
  <c r="G1924" i="5"/>
  <c r="H1923" i="5"/>
  <c r="G1923" i="5"/>
  <c r="H1922" i="5"/>
  <c r="G1922" i="5"/>
  <c r="H1921" i="5"/>
  <c r="G1921" i="5"/>
  <c r="H1920" i="5"/>
  <c r="G1920" i="5"/>
  <c r="H1919" i="5"/>
  <c r="G1919" i="5"/>
  <c r="H1918" i="5"/>
  <c r="G1918" i="5"/>
  <c r="H1917" i="5"/>
  <c r="G1917" i="5"/>
  <c r="H1916" i="5"/>
  <c r="G1916" i="5"/>
  <c r="H1915" i="5"/>
  <c r="G1915" i="5"/>
  <c r="H1914" i="5"/>
  <c r="G1914" i="5"/>
  <c r="H1913" i="5"/>
  <c r="G1913" i="5"/>
  <c r="H1912" i="5"/>
  <c r="G1912" i="5"/>
  <c r="H1911" i="5"/>
  <c r="G1911" i="5"/>
  <c r="H1910" i="5"/>
  <c r="G1910" i="5"/>
  <c r="H1909" i="5"/>
  <c r="G1909" i="5"/>
  <c r="H1908" i="5"/>
  <c r="G1908" i="5"/>
  <c r="H1907" i="5"/>
  <c r="G1907" i="5"/>
  <c r="H1906" i="5"/>
  <c r="G1906" i="5"/>
  <c r="H1905" i="5"/>
  <c r="G1905" i="5"/>
  <c r="H1904" i="5"/>
  <c r="G1904" i="5"/>
  <c r="H1903" i="5"/>
  <c r="G1903" i="5"/>
  <c r="H1902" i="5"/>
  <c r="G1902" i="5"/>
  <c r="H1901" i="5"/>
  <c r="G1901" i="5"/>
  <c r="H1900" i="5"/>
  <c r="G1900" i="5"/>
  <c r="H1899" i="5"/>
  <c r="G1899" i="5"/>
  <c r="H1898" i="5"/>
  <c r="G1898" i="5"/>
  <c r="H1897" i="5"/>
  <c r="G1897" i="5"/>
  <c r="H1896" i="5"/>
  <c r="G1896" i="5"/>
  <c r="H1895" i="5"/>
  <c r="G1895" i="5"/>
  <c r="H1894" i="5"/>
  <c r="G1894" i="5"/>
  <c r="H1893" i="5"/>
  <c r="G1893" i="5"/>
  <c r="H1892" i="5"/>
  <c r="G1892" i="5"/>
  <c r="H1891" i="5"/>
  <c r="G1891" i="5"/>
  <c r="H1890" i="5"/>
  <c r="G1890" i="5"/>
  <c r="H1889" i="5"/>
  <c r="G1889" i="5"/>
  <c r="H1888" i="5"/>
  <c r="G1888" i="5"/>
  <c r="H1887" i="5"/>
  <c r="G1887" i="5"/>
  <c r="H1886" i="5"/>
  <c r="G1886" i="5"/>
  <c r="H1885" i="5"/>
  <c r="G1885" i="5"/>
  <c r="H1884" i="5"/>
  <c r="G1884" i="5"/>
  <c r="H1883" i="5"/>
  <c r="G1883" i="5"/>
  <c r="H1882" i="5"/>
  <c r="G1882" i="5"/>
  <c r="H1881" i="5"/>
  <c r="G1881" i="5"/>
  <c r="H1880" i="5"/>
  <c r="G1880" i="5"/>
  <c r="H1879" i="5"/>
  <c r="G1879" i="5"/>
  <c r="H1878" i="5"/>
  <c r="G1878" i="5"/>
  <c r="H1877" i="5"/>
  <c r="G1877" i="5"/>
  <c r="H1876" i="5"/>
  <c r="G1876" i="5"/>
  <c r="H1875" i="5"/>
  <c r="G1875" i="5"/>
  <c r="H1874" i="5"/>
  <c r="G1874" i="5"/>
  <c r="H1873" i="5"/>
  <c r="G1873" i="5"/>
  <c r="H1872" i="5"/>
  <c r="G1872" i="5"/>
  <c r="H1871" i="5"/>
  <c r="G1871" i="5"/>
  <c r="H1870" i="5"/>
  <c r="G1870" i="5"/>
  <c r="H1869" i="5"/>
  <c r="G1869" i="5"/>
  <c r="H1868" i="5"/>
  <c r="G1868" i="5"/>
  <c r="H1867" i="5"/>
  <c r="G1867" i="5"/>
  <c r="H1866" i="5"/>
  <c r="G1866" i="5"/>
  <c r="H1865" i="5"/>
  <c r="G1865" i="5"/>
  <c r="H1864" i="5"/>
  <c r="G1864" i="5"/>
  <c r="H1863" i="5"/>
  <c r="G1863" i="5"/>
  <c r="H1862" i="5"/>
  <c r="G1862" i="5"/>
  <c r="H1861" i="5"/>
  <c r="G1861" i="5"/>
  <c r="H1860" i="5"/>
  <c r="G1860" i="5"/>
  <c r="H1859" i="5"/>
  <c r="G1859" i="5"/>
  <c r="H1858" i="5"/>
  <c r="G1858" i="5"/>
  <c r="H1857" i="5"/>
  <c r="G1857" i="5"/>
  <c r="H1856" i="5"/>
  <c r="G1856" i="5"/>
  <c r="H1855" i="5"/>
  <c r="G1855" i="5"/>
  <c r="H1854" i="5"/>
  <c r="G1854" i="5"/>
  <c r="H1853" i="5"/>
  <c r="G1853" i="5"/>
  <c r="H1852" i="5"/>
  <c r="G1852" i="5"/>
  <c r="H1851" i="5"/>
  <c r="G1851" i="5"/>
  <c r="H1850" i="5"/>
  <c r="G1850" i="5"/>
  <c r="H1849" i="5"/>
  <c r="G1849" i="5"/>
  <c r="H1848" i="5"/>
  <c r="G1848" i="5"/>
  <c r="H1847" i="5"/>
  <c r="G1847" i="5"/>
  <c r="H1846" i="5"/>
  <c r="G1846" i="5"/>
  <c r="H1845" i="5"/>
  <c r="G1845" i="5"/>
  <c r="H1844" i="5"/>
  <c r="G1844" i="5"/>
  <c r="H1843" i="5"/>
  <c r="G1843" i="5"/>
  <c r="H1842" i="5"/>
  <c r="G1842" i="5"/>
  <c r="H1841" i="5"/>
  <c r="G1841" i="5"/>
  <c r="H1840" i="5"/>
  <c r="G1840" i="5"/>
  <c r="H1839" i="5"/>
  <c r="G1839" i="5"/>
  <c r="H1838" i="5"/>
  <c r="G1838" i="5"/>
  <c r="H1837" i="5"/>
  <c r="G1837" i="5"/>
  <c r="H1836" i="5"/>
  <c r="G1836" i="5"/>
  <c r="H1835" i="5"/>
  <c r="G1835" i="5"/>
  <c r="H1834" i="5"/>
  <c r="G1834" i="5"/>
  <c r="H1833" i="5"/>
  <c r="G1833" i="5"/>
  <c r="H1832" i="5"/>
  <c r="G1832" i="5"/>
  <c r="H1831" i="5"/>
  <c r="G1831" i="5"/>
  <c r="H1830" i="5"/>
  <c r="G1830" i="5"/>
  <c r="H1829" i="5"/>
  <c r="G1829" i="5"/>
  <c r="H1828" i="5"/>
  <c r="G1828" i="5"/>
  <c r="H1827" i="5"/>
  <c r="G1827" i="5"/>
  <c r="H1826" i="5"/>
  <c r="G1826" i="5"/>
  <c r="H1825" i="5"/>
  <c r="G1825" i="5"/>
  <c r="H1824" i="5"/>
  <c r="G1824" i="5"/>
  <c r="H1823" i="5"/>
  <c r="G1823" i="5"/>
  <c r="H1822" i="5"/>
  <c r="G1822" i="5"/>
  <c r="H1821" i="5"/>
  <c r="G1821" i="5"/>
  <c r="H1820" i="5"/>
  <c r="G1820" i="5"/>
  <c r="H1819" i="5"/>
  <c r="G1819" i="5"/>
  <c r="H1818" i="5"/>
  <c r="G1818" i="5"/>
  <c r="H1817" i="5"/>
  <c r="G1817" i="5"/>
  <c r="H1816" i="5"/>
  <c r="G1816" i="5"/>
  <c r="H1815" i="5"/>
  <c r="G1815" i="5"/>
  <c r="H1814" i="5"/>
  <c r="G1814" i="5"/>
  <c r="H1813" i="5"/>
  <c r="G1813" i="5"/>
  <c r="H1812" i="5"/>
  <c r="G1812" i="5"/>
  <c r="H1811" i="5"/>
  <c r="G1811" i="5"/>
  <c r="H1810" i="5"/>
  <c r="G1810" i="5"/>
  <c r="H1809" i="5"/>
  <c r="G1809" i="5"/>
  <c r="H1808" i="5"/>
  <c r="G1808" i="5"/>
  <c r="H1807" i="5"/>
  <c r="G1807" i="5"/>
  <c r="H1806" i="5"/>
  <c r="G1806" i="5"/>
  <c r="H1805" i="5"/>
  <c r="G1805" i="5"/>
  <c r="H1804" i="5"/>
  <c r="G1804" i="5"/>
  <c r="H1803" i="5"/>
  <c r="G1803" i="5"/>
  <c r="H1802" i="5"/>
  <c r="G1802" i="5"/>
  <c r="H1801" i="5"/>
  <c r="G1801" i="5"/>
  <c r="H1800" i="5"/>
  <c r="G1800" i="5"/>
  <c r="H1799" i="5"/>
  <c r="G1799" i="5"/>
  <c r="H1798" i="5"/>
  <c r="G1798" i="5"/>
  <c r="H1797" i="5"/>
  <c r="G1797" i="5"/>
  <c r="H1796" i="5"/>
  <c r="G1796" i="5"/>
  <c r="H1795" i="5"/>
  <c r="G1795" i="5"/>
  <c r="H1794" i="5"/>
  <c r="G1794" i="5"/>
  <c r="H1793" i="5"/>
  <c r="G1793" i="5"/>
  <c r="H1792" i="5"/>
  <c r="G1792" i="5"/>
  <c r="H1791" i="5"/>
  <c r="G1791" i="5"/>
  <c r="H1790" i="5"/>
  <c r="G1790" i="5"/>
  <c r="H1789" i="5"/>
  <c r="G1789" i="5"/>
  <c r="H1788" i="5"/>
  <c r="G1788" i="5"/>
  <c r="H1787" i="5"/>
  <c r="G1787" i="5"/>
  <c r="H1786" i="5"/>
  <c r="G1786" i="5"/>
  <c r="H1785" i="5"/>
  <c r="G1785" i="5"/>
  <c r="H1784" i="5"/>
  <c r="G1784" i="5"/>
  <c r="H1783" i="5"/>
  <c r="G1783" i="5"/>
  <c r="H1782" i="5"/>
  <c r="G1782" i="5"/>
  <c r="H1781" i="5"/>
  <c r="G1781" i="5"/>
  <c r="H1780" i="5"/>
  <c r="G1780" i="5"/>
  <c r="H1779" i="5"/>
  <c r="G1779" i="5"/>
  <c r="H1778" i="5"/>
  <c r="G1778" i="5"/>
  <c r="H1777" i="5"/>
  <c r="G1777" i="5"/>
  <c r="H1776" i="5"/>
  <c r="G1776" i="5"/>
  <c r="H1775" i="5"/>
  <c r="G1775" i="5"/>
  <c r="H1774" i="5"/>
  <c r="G1774" i="5"/>
  <c r="H1773" i="5"/>
  <c r="G1773" i="5"/>
  <c r="H1772" i="5"/>
  <c r="G1772" i="5"/>
  <c r="H1771" i="5"/>
  <c r="G1771" i="5"/>
  <c r="H1770" i="5"/>
  <c r="G1770" i="5"/>
  <c r="H1769" i="5"/>
  <c r="G1769" i="5"/>
  <c r="H1768" i="5"/>
  <c r="G1768" i="5"/>
  <c r="H1767" i="5"/>
  <c r="G1767" i="5"/>
  <c r="H1766" i="5"/>
  <c r="G1766" i="5"/>
  <c r="H1765" i="5"/>
  <c r="G1765" i="5"/>
  <c r="H1764" i="5"/>
  <c r="G1764" i="5"/>
  <c r="H1763" i="5"/>
  <c r="G1763" i="5"/>
  <c r="H1762" i="5"/>
  <c r="G1762" i="5"/>
  <c r="H1761" i="5"/>
  <c r="G1761" i="5"/>
  <c r="H1760" i="5"/>
  <c r="G1760" i="5"/>
  <c r="H1759" i="5"/>
  <c r="G1759" i="5"/>
  <c r="H1758" i="5"/>
  <c r="G1758" i="5"/>
  <c r="H1757" i="5"/>
  <c r="G1757" i="5"/>
  <c r="H1756" i="5"/>
  <c r="G1756" i="5"/>
  <c r="H1755" i="5"/>
  <c r="G1755" i="5"/>
  <c r="H1754" i="5"/>
  <c r="G1754" i="5"/>
  <c r="H1753" i="5"/>
  <c r="G1753" i="5"/>
  <c r="H1752" i="5"/>
  <c r="G1752" i="5"/>
  <c r="H1751" i="5"/>
  <c r="G1751" i="5"/>
  <c r="H1750" i="5"/>
  <c r="G1750" i="5"/>
  <c r="H1749" i="5"/>
  <c r="G1749" i="5"/>
  <c r="H1748" i="5"/>
  <c r="G1748" i="5"/>
  <c r="H1747" i="5"/>
  <c r="G1747" i="5"/>
  <c r="H1746" i="5"/>
  <c r="G1746" i="5"/>
  <c r="H1745" i="5"/>
  <c r="G1745" i="5"/>
  <c r="H1744" i="5"/>
  <c r="G1744" i="5"/>
  <c r="H1743" i="5"/>
  <c r="G1743" i="5"/>
  <c r="H1742" i="5"/>
  <c r="G1742" i="5"/>
  <c r="H1741" i="5"/>
  <c r="G1741" i="5"/>
  <c r="H1740" i="5"/>
  <c r="G1740" i="5"/>
  <c r="H1739" i="5"/>
  <c r="G1739" i="5"/>
  <c r="H1738" i="5"/>
  <c r="G1738" i="5"/>
  <c r="H1737" i="5"/>
  <c r="G1737" i="5"/>
  <c r="H1736" i="5"/>
  <c r="G1736" i="5"/>
  <c r="H1735" i="5"/>
  <c r="G1735" i="5"/>
  <c r="H1734" i="5"/>
  <c r="G1734" i="5"/>
  <c r="H1733" i="5"/>
  <c r="G1733" i="5"/>
  <c r="H1732" i="5"/>
  <c r="G1732" i="5"/>
  <c r="H1731" i="5"/>
  <c r="G1731" i="5"/>
  <c r="H1730" i="5"/>
  <c r="G1730" i="5"/>
  <c r="H1729" i="5"/>
  <c r="G1729" i="5"/>
  <c r="H1728" i="5"/>
  <c r="G1728" i="5"/>
  <c r="H1727" i="5"/>
  <c r="G1727" i="5"/>
  <c r="H1726" i="5"/>
  <c r="G1726" i="5"/>
  <c r="H1725" i="5"/>
  <c r="G1725" i="5"/>
  <c r="H1724" i="5"/>
  <c r="G1724" i="5"/>
  <c r="H1723" i="5"/>
  <c r="G1723" i="5"/>
  <c r="H1722" i="5"/>
  <c r="G1722" i="5"/>
  <c r="H1721" i="5"/>
  <c r="G1721" i="5"/>
  <c r="H1720" i="5"/>
  <c r="G1720" i="5"/>
  <c r="H1719" i="5"/>
  <c r="G1719" i="5"/>
  <c r="H1718" i="5"/>
  <c r="G1718" i="5"/>
  <c r="H1717" i="5"/>
  <c r="G1717" i="5"/>
  <c r="H1716" i="5"/>
  <c r="G1716" i="5"/>
  <c r="H1715" i="5"/>
  <c r="G1715" i="5"/>
  <c r="H1714" i="5"/>
  <c r="G1714" i="5"/>
  <c r="H1713" i="5"/>
  <c r="G1713" i="5"/>
  <c r="H1712" i="5"/>
  <c r="G1712" i="5"/>
  <c r="H1711" i="5"/>
  <c r="G1711" i="5"/>
  <c r="H1710" i="5"/>
  <c r="G1710" i="5"/>
  <c r="H1709" i="5"/>
  <c r="G1709" i="5"/>
  <c r="H1708" i="5"/>
  <c r="G1708" i="5"/>
  <c r="H1707" i="5"/>
  <c r="G1707" i="5"/>
  <c r="H1706" i="5"/>
  <c r="G1706" i="5"/>
  <c r="H1705" i="5"/>
  <c r="G1705" i="5"/>
  <c r="H1704" i="5"/>
  <c r="G1704" i="5"/>
  <c r="H1703" i="5"/>
  <c r="G1703" i="5"/>
  <c r="H1702" i="5"/>
  <c r="G1702" i="5"/>
  <c r="H1701" i="5"/>
  <c r="G1701" i="5"/>
  <c r="H1700" i="5"/>
  <c r="G1700" i="5"/>
  <c r="H1699" i="5"/>
  <c r="G1699" i="5"/>
  <c r="H1698" i="5"/>
  <c r="G1698" i="5"/>
  <c r="H1697" i="5"/>
  <c r="G1697" i="5"/>
  <c r="H1696" i="5"/>
  <c r="G1696" i="5"/>
  <c r="H1695" i="5"/>
  <c r="G1695" i="5"/>
  <c r="H1694" i="5"/>
  <c r="G1694" i="5"/>
  <c r="H1693" i="5"/>
  <c r="G1693" i="5"/>
  <c r="H1692" i="5"/>
  <c r="G1692" i="5"/>
  <c r="H1691" i="5"/>
  <c r="G1691" i="5"/>
  <c r="H1690" i="5"/>
  <c r="G1690" i="5"/>
  <c r="H1689" i="5"/>
  <c r="G1689" i="5"/>
  <c r="H1688" i="5"/>
  <c r="G1688" i="5"/>
  <c r="H1687" i="5"/>
  <c r="G1687" i="5"/>
  <c r="H1686" i="5"/>
  <c r="G1686" i="5"/>
  <c r="H1685" i="5"/>
  <c r="G1685" i="5"/>
  <c r="H1684" i="5"/>
  <c r="G1684" i="5"/>
  <c r="H1683" i="5"/>
  <c r="G1683" i="5"/>
  <c r="H1682" i="5"/>
  <c r="G1682" i="5"/>
  <c r="H1681" i="5"/>
  <c r="G1681" i="5"/>
  <c r="H1680" i="5"/>
  <c r="G1680" i="5"/>
  <c r="H1679" i="5"/>
  <c r="G1679" i="5"/>
  <c r="H1678" i="5"/>
  <c r="G1678" i="5"/>
  <c r="H1677" i="5"/>
  <c r="G1677" i="5"/>
  <c r="H1676" i="5"/>
  <c r="G1676" i="5"/>
  <c r="H1675" i="5"/>
  <c r="G1675" i="5"/>
  <c r="H1674" i="5"/>
  <c r="G1674" i="5"/>
  <c r="H1673" i="5"/>
  <c r="G1673" i="5"/>
  <c r="H1672" i="5"/>
  <c r="G1672" i="5"/>
  <c r="H1671" i="5"/>
  <c r="G1671" i="5"/>
  <c r="H1670" i="5"/>
  <c r="G1670" i="5"/>
  <c r="H1669" i="5"/>
  <c r="G1669" i="5"/>
  <c r="H1668" i="5"/>
  <c r="G1668" i="5"/>
  <c r="H1667" i="5"/>
  <c r="G1667" i="5"/>
  <c r="H1666" i="5"/>
  <c r="G1666" i="5"/>
  <c r="H1665" i="5"/>
  <c r="G1665" i="5"/>
  <c r="H1664" i="5"/>
  <c r="G1664" i="5"/>
  <c r="H1663" i="5"/>
  <c r="G1663" i="5"/>
  <c r="H1662" i="5"/>
  <c r="G1662" i="5"/>
  <c r="H1661" i="5"/>
  <c r="G1661" i="5"/>
  <c r="H1660" i="5"/>
  <c r="G1660" i="5"/>
  <c r="H1659" i="5"/>
  <c r="G1659" i="5"/>
  <c r="H1658" i="5"/>
  <c r="G1658" i="5"/>
  <c r="H1657" i="5"/>
  <c r="G1657" i="5"/>
  <c r="H1656" i="5"/>
  <c r="G1656" i="5"/>
  <c r="H1655" i="5"/>
  <c r="G1655" i="5"/>
  <c r="H1654" i="5"/>
  <c r="G1654" i="5"/>
  <c r="H1653" i="5"/>
  <c r="G1653" i="5"/>
  <c r="H1652" i="5"/>
  <c r="G1652" i="5"/>
  <c r="H1651" i="5"/>
  <c r="G1651" i="5"/>
  <c r="H1650" i="5"/>
  <c r="G1650" i="5"/>
  <c r="H1649" i="5"/>
  <c r="G1649" i="5"/>
  <c r="H1648" i="5"/>
  <c r="G1648" i="5"/>
  <c r="H1647" i="5"/>
  <c r="G1647" i="5"/>
  <c r="H1646" i="5"/>
  <c r="G1646" i="5"/>
  <c r="H1645" i="5"/>
  <c r="G1645" i="5"/>
  <c r="H1644" i="5"/>
  <c r="G1644" i="5"/>
  <c r="H1643" i="5"/>
  <c r="G1643" i="5"/>
  <c r="H1642" i="5"/>
  <c r="G1642" i="5"/>
  <c r="H1641" i="5"/>
  <c r="G1641" i="5"/>
  <c r="H1640" i="5"/>
  <c r="G1640" i="5"/>
  <c r="H1639" i="5"/>
  <c r="G1639" i="5"/>
  <c r="H1638" i="5"/>
  <c r="G1638" i="5"/>
  <c r="H1637" i="5"/>
  <c r="G1637" i="5"/>
  <c r="H1636" i="5"/>
  <c r="G1636" i="5"/>
  <c r="H1635" i="5"/>
  <c r="G1635" i="5"/>
  <c r="H1634" i="5"/>
  <c r="G1634" i="5"/>
  <c r="H1633" i="5"/>
  <c r="G1633" i="5"/>
  <c r="H1632" i="5"/>
  <c r="G1632" i="5"/>
  <c r="H1631" i="5"/>
  <c r="G1631" i="5"/>
  <c r="H1630" i="5"/>
  <c r="G1630" i="5"/>
  <c r="H1629" i="5"/>
  <c r="G1629" i="5"/>
  <c r="H1628" i="5"/>
  <c r="G1628" i="5"/>
  <c r="H1627" i="5"/>
  <c r="G1627" i="5"/>
  <c r="H1626" i="5"/>
  <c r="G1626" i="5"/>
  <c r="H1625" i="5"/>
  <c r="G1625" i="5"/>
  <c r="H1624" i="5"/>
  <c r="G1624" i="5"/>
  <c r="H1623" i="5"/>
  <c r="G1623" i="5"/>
  <c r="H1622" i="5"/>
  <c r="G1622" i="5"/>
  <c r="H1621" i="5"/>
  <c r="G1621" i="5"/>
  <c r="H1620" i="5"/>
  <c r="G1620" i="5"/>
  <c r="H1619" i="5"/>
  <c r="G1619" i="5"/>
  <c r="H1618" i="5"/>
  <c r="G1618" i="5"/>
  <c r="H1617" i="5"/>
  <c r="G1617" i="5"/>
  <c r="H1616" i="5"/>
  <c r="G1616" i="5"/>
  <c r="H1615" i="5"/>
  <c r="G1615" i="5"/>
  <c r="H1614" i="5"/>
  <c r="G1614" i="5"/>
  <c r="H1613" i="5"/>
  <c r="G1613" i="5"/>
  <c r="H1612" i="5"/>
  <c r="G1612" i="5"/>
  <c r="H1611" i="5"/>
  <c r="G1611" i="5"/>
  <c r="H1610" i="5"/>
  <c r="G1610" i="5"/>
  <c r="H1609" i="5"/>
  <c r="G1609" i="5"/>
  <c r="H1608" i="5"/>
  <c r="G1608" i="5"/>
  <c r="H1607" i="5"/>
  <c r="G1607" i="5"/>
  <c r="H1606" i="5"/>
  <c r="G1606" i="5"/>
  <c r="H1605" i="5"/>
  <c r="G1605" i="5"/>
  <c r="H1604" i="5"/>
  <c r="G1604" i="5"/>
  <c r="H1603" i="5"/>
  <c r="G1603" i="5"/>
  <c r="H1602" i="5"/>
  <c r="G1602" i="5"/>
  <c r="H1601" i="5"/>
  <c r="G1601" i="5"/>
  <c r="H1600" i="5"/>
  <c r="G1600" i="5"/>
  <c r="H1599" i="5"/>
  <c r="G1599" i="5"/>
  <c r="H1598" i="5"/>
  <c r="G1598" i="5"/>
  <c r="H1597" i="5"/>
  <c r="G1597" i="5"/>
  <c r="H1596" i="5"/>
  <c r="G1596" i="5"/>
  <c r="H1595" i="5"/>
  <c r="G1595" i="5"/>
  <c r="H1594" i="5"/>
  <c r="G1594" i="5"/>
  <c r="H1593" i="5"/>
  <c r="G1593" i="5"/>
  <c r="H1592" i="5"/>
  <c r="G1592" i="5"/>
  <c r="H1591" i="5"/>
  <c r="G1591" i="5"/>
  <c r="H1590" i="5"/>
  <c r="G1590" i="5"/>
  <c r="H1589" i="5"/>
  <c r="G1589" i="5"/>
  <c r="H1588" i="5"/>
  <c r="G1588" i="5"/>
  <c r="H1587" i="5"/>
  <c r="G1587" i="5"/>
  <c r="H1586" i="5"/>
  <c r="G1586" i="5"/>
  <c r="H1585" i="5"/>
  <c r="G1585" i="5"/>
  <c r="H1584" i="5"/>
  <c r="G1584" i="5"/>
  <c r="H1583" i="5"/>
  <c r="G1583" i="5"/>
  <c r="H1582" i="5"/>
  <c r="G1582" i="5"/>
  <c r="H1581" i="5"/>
  <c r="G1581" i="5"/>
  <c r="H1580" i="5"/>
  <c r="G1580" i="5"/>
  <c r="H1579" i="5"/>
  <c r="G1579" i="5"/>
  <c r="H1578" i="5"/>
  <c r="G1578" i="5"/>
  <c r="H1577" i="5"/>
  <c r="G1577" i="5"/>
  <c r="H1576" i="5"/>
  <c r="G1576" i="5"/>
  <c r="H1575" i="5"/>
  <c r="G1575" i="5"/>
  <c r="H1574" i="5"/>
  <c r="G1574" i="5"/>
  <c r="H1573" i="5"/>
  <c r="G1573" i="5"/>
  <c r="H1572" i="5"/>
  <c r="G1572" i="5"/>
  <c r="H1571" i="5"/>
  <c r="G1571" i="5"/>
  <c r="H1570" i="5"/>
  <c r="G1570" i="5"/>
  <c r="H1569" i="5"/>
  <c r="G1569" i="5"/>
  <c r="H1568" i="5"/>
  <c r="G1568" i="5"/>
  <c r="H1567" i="5"/>
  <c r="G1567" i="5"/>
  <c r="H1566" i="5"/>
  <c r="G1566" i="5"/>
  <c r="H1565" i="5"/>
  <c r="G1565" i="5"/>
  <c r="H1564" i="5"/>
  <c r="G1564" i="5"/>
  <c r="H1563" i="5"/>
  <c r="G1563" i="5"/>
  <c r="H1562" i="5"/>
  <c r="G1562" i="5"/>
  <c r="H1561" i="5"/>
  <c r="G1561" i="5"/>
  <c r="H1560" i="5"/>
  <c r="G1560" i="5"/>
  <c r="H1559" i="5"/>
  <c r="G1559" i="5"/>
  <c r="H1558" i="5"/>
  <c r="G1558" i="5"/>
  <c r="H1557" i="5"/>
  <c r="G1557" i="5"/>
  <c r="H1556" i="5"/>
  <c r="G1556" i="5"/>
  <c r="H1555" i="5"/>
  <c r="G1555" i="5"/>
  <c r="H1554" i="5"/>
  <c r="G1554" i="5"/>
  <c r="H1553" i="5"/>
  <c r="G1553" i="5"/>
  <c r="H1552" i="5"/>
  <c r="G1552" i="5"/>
  <c r="H1551" i="5"/>
  <c r="G1551" i="5"/>
  <c r="H1550" i="5"/>
  <c r="G1550" i="5"/>
  <c r="H1549" i="5"/>
  <c r="G1549" i="5"/>
  <c r="H1548" i="5"/>
  <c r="G1548" i="5"/>
  <c r="H1547" i="5"/>
  <c r="G1547" i="5"/>
  <c r="H1546" i="5"/>
  <c r="G1546" i="5"/>
  <c r="H1545" i="5"/>
  <c r="G1545" i="5"/>
  <c r="H1544" i="5"/>
  <c r="G1544" i="5"/>
  <c r="H1543" i="5"/>
  <c r="G1543" i="5"/>
  <c r="H1542" i="5"/>
  <c r="G1542" i="5"/>
  <c r="H1541" i="5"/>
  <c r="G1541" i="5"/>
  <c r="H1540" i="5"/>
  <c r="G1540" i="5"/>
  <c r="H1539" i="5"/>
  <c r="G1539" i="5"/>
  <c r="H1538" i="5"/>
  <c r="G1538" i="5"/>
  <c r="H1537" i="5"/>
  <c r="G1537" i="5"/>
  <c r="H1536" i="5"/>
  <c r="G1536" i="5"/>
  <c r="H1535" i="5"/>
  <c r="G1535" i="5"/>
  <c r="H1534" i="5"/>
  <c r="G1534" i="5"/>
  <c r="H1533" i="5"/>
  <c r="G1533" i="5"/>
  <c r="H1532" i="5"/>
  <c r="G1532" i="5"/>
  <c r="H1531" i="5"/>
  <c r="G1531" i="5"/>
  <c r="H1530" i="5"/>
  <c r="G1530" i="5"/>
  <c r="H1529" i="5"/>
  <c r="G1529" i="5"/>
  <c r="H1528" i="5"/>
  <c r="G1528" i="5"/>
  <c r="H1527" i="5"/>
  <c r="G1527" i="5"/>
  <c r="H1526" i="5"/>
  <c r="G1526" i="5"/>
  <c r="H1525" i="5"/>
  <c r="G1525" i="5"/>
  <c r="H1524" i="5"/>
  <c r="G1524" i="5"/>
  <c r="H1523" i="5"/>
  <c r="G1523" i="5"/>
  <c r="H1522" i="5"/>
  <c r="G1522" i="5"/>
  <c r="H1521" i="5"/>
  <c r="G1521" i="5"/>
  <c r="H1520" i="5"/>
  <c r="G1520" i="5"/>
  <c r="H1519" i="5"/>
  <c r="G1519" i="5"/>
  <c r="H1518" i="5"/>
  <c r="G1518" i="5"/>
  <c r="H1517" i="5"/>
  <c r="G1517" i="5"/>
  <c r="H1516" i="5"/>
  <c r="G1516" i="5"/>
  <c r="H1515" i="5"/>
  <c r="G1515" i="5"/>
  <c r="H1514" i="5"/>
  <c r="G1514" i="5"/>
  <c r="H1513" i="5"/>
  <c r="G1513" i="5"/>
  <c r="H1512" i="5"/>
  <c r="G1512" i="5"/>
  <c r="H1511" i="5"/>
  <c r="G1511" i="5"/>
  <c r="H1510" i="5"/>
  <c r="G1510" i="5"/>
  <c r="H1509" i="5"/>
  <c r="G1509" i="5"/>
  <c r="H1508" i="5"/>
  <c r="G1508" i="5"/>
  <c r="H1507" i="5"/>
  <c r="G1507" i="5"/>
  <c r="H1506" i="5"/>
  <c r="G1506" i="5"/>
  <c r="H1505" i="5"/>
  <c r="G1505" i="5"/>
  <c r="H1504" i="5"/>
  <c r="G1504" i="5"/>
  <c r="H1503" i="5"/>
  <c r="G1503" i="5"/>
  <c r="H1502" i="5"/>
  <c r="G1502" i="5"/>
  <c r="H1501" i="5"/>
  <c r="G1501" i="5"/>
  <c r="H1500" i="5"/>
  <c r="G1500" i="5"/>
  <c r="H1499" i="5"/>
  <c r="G1499" i="5"/>
  <c r="H1498" i="5"/>
  <c r="G1498" i="5"/>
  <c r="H1497" i="5"/>
  <c r="G1497" i="5"/>
  <c r="H1496" i="5"/>
  <c r="G1496" i="5"/>
  <c r="H1495" i="5"/>
  <c r="G1495" i="5"/>
  <c r="H1494" i="5"/>
  <c r="G1494" i="5"/>
  <c r="H1493" i="5"/>
  <c r="G1493" i="5"/>
  <c r="H1492" i="5"/>
  <c r="G1492" i="5"/>
  <c r="H1491" i="5"/>
  <c r="G1491" i="5"/>
  <c r="H1490" i="5"/>
  <c r="G1490" i="5"/>
  <c r="H1489" i="5"/>
  <c r="G1489" i="5"/>
  <c r="H1488" i="5"/>
  <c r="G1488" i="5"/>
  <c r="H1487" i="5"/>
  <c r="G1487" i="5"/>
  <c r="H1486" i="5"/>
  <c r="G1486" i="5"/>
  <c r="H1485" i="5"/>
  <c r="G1485" i="5"/>
  <c r="H1484" i="5"/>
  <c r="G1484" i="5"/>
  <c r="H1483" i="5"/>
  <c r="G1483" i="5"/>
  <c r="H1482" i="5"/>
  <c r="G1482" i="5"/>
  <c r="H1481" i="5"/>
  <c r="G1481" i="5"/>
  <c r="H1480" i="5"/>
  <c r="G1480" i="5"/>
  <c r="H1479" i="5"/>
  <c r="G1479" i="5"/>
  <c r="H1478" i="5"/>
  <c r="G1478" i="5"/>
  <c r="H1477" i="5"/>
  <c r="G1477" i="5"/>
  <c r="H1476" i="5"/>
  <c r="G1476" i="5"/>
  <c r="H1475" i="5"/>
  <c r="G1475" i="5"/>
  <c r="H1474" i="5"/>
  <c r="G1474" i="5"/>
  <c r="H1473" i="5"/>
  <c r="G1473" i="5"/>
  <c r="H1472" i="5"/>
  <c r="G1472" i="5"/>
  <c r="H1471" i="5"/>
  <c r="G1471" i="5"/>
  <c r="H1470" i="5"/>
  <c r="G1470" i="5"/>
  <c r="H1469" i="5"/>
  <c r="G1469" i="5"/>
  <c r="H1468" i="5"/>
  <c r="G1468" i="5"/>
  <c r="H1467" i="5"/>
  <c r="G1467" i="5"/>
  <c r="H1466" i="5"/>
  <c r="G1466" i="5"/>
  <c r="H1465" i="5"/>
  <c r="G1465" i="5"/>
  <c r="H1464" i="5"/>
  <c r="G1464" i="5"/>
  <c r="H1463" i="5"/>
  <c r="G1463" i="5"/>
  <c r="H1462" i="5"/>
  <c r="G1462" i="5"/>
  <c r="H1461" i="5"/>
  <c r="G1461" i="5"/>
  <c r="H1460" i="5"/>
  <c r="G1460" i="5"/>
  <c r="H1459" i="5"/>
  <c r="G1459" i="5"/>
  <c r="H1458" i="5"/>
  <c r="G1458" i="5"/>
  <c r="H1457" i="5"/>
  <c r="G1457" i="5"/>
  <c r="H1456" i="5"/>
  <c r="G1456" i="5"/>
  <c r="H1455" i="5"/>
  <c r="G1455" i="5"/>
  <c r="H1454" i="5"/>
  <c r="G1454" i="5"/>
  <c r="H1453" i="5"/>
  <c r="G1453" i="5"/>
  <c r="H1452" i="5"/>
  <c r="G1452" i="5"/>
  <c r="H1451" i="5"/>
  <c r="G1451" i="5"/>
  <c r="H1450" i="5"/>
  <c r="G1450" i="5"/>
  <c r="H1449" i="5"/>
  <c r="G1449" i="5"/>
  <c r="H1448" i="5"/>
  <c r="G1448" i="5"/>
  <c r="H1447" i="5"/>
  <c r="G1447" i="5"/>
  <c r="H1446" i="5"/>
  <c r="G1446" i="5"/>
  <c r="H1445" i="5"/>
  <c r="G1445" i="5"/>
  <c r="H1444" i="5"/>
  <c r="G1444" i="5"/>
  <c r="H1443" i="5"/>
  <c r="G1443" i="5"/>
  <c r="H1442" i="5"/>
  <c r="G1442" i="5"/>
  <c r="H1441" i="5"/>
  <c r="G1441" i="5"/>
  <c r="H1440" i="5"/>
  <c r="G1440" i="5"/>
  <c r="H1439" i="5"/>
  <c r="G1439" i="5"/>
  <c r="H1438" i="5"/>
  <c r="G1438" i="5"/>
  <c r="H1437" i="5"/>
  <c r="G1437" i="5"/>
  <c r="H1436" i="5"/>
  <c r="G1436" i="5"/>
  <c r="H1435" i="5"/>
  <c r="G1435" i="5"/>
  <c r="H1434" i="5"/>
  <c r="G1434" i="5"/>
  <c r="H1433" i="5"/>
  <c r="G1433" i="5"/>
  <c r="H1432" i="5"/>
  <c r="G1432" i="5"/>
  <c r="H1431" i="5"/>
  <c r="G1431" i="5"/>
  <c r="H1430" i="5"/>
  <c r="G1430" i="5"/>
  <c r="H1429" i="5"/>
  <c r="G1429" i="5"/>
  <c r="H1428" i="5"/>
  <c r="G1428" i="5"/>
  <c r="H1427" i="5"/>
  <c r="G1427" i="5"/>
  <c r="H1426" i="5"/>
  <c r="G1426" i="5"/>
  <c r="H1425" i="5"/>
  <c r="G1425" i="5"/>
  <c r="H1424" i="5"/>
  <c r="G1424" i="5"/>
  <c r="H1423" i="5"/>
  <c r="G1423" i="5"/>
  <c r="H1422" i="5"/>
  <c r="G1422" i="5"/>
  <c r="H1421" i="5"/>
  <c r="G1421" i="5"/>
  <c r="H1420" i="5"/>
  <c r="G1420" i="5"/>
  <c r="H1419" i="5"/>
  <c r="G1419" i="5"/>
  <c r="H1418" i="5"/>
  <c r="G1418" i="5"/>
  <c r="H1417" i="5"/>
  <c r="G1417" i="5"/>
  <c r="H1416" i="5"/>
  <c r="G1416" i="5"/>
  <c r="H1415" i="5"/>
  <c r="G1415" i="5"/>
  <c r="H1414" i="5"/>
  <c r="G1414" i="5"/>
  <c r="H1413" i="5"/>
  <c r="G1413" i="5"/>
  <c r="H1412" i="5"/>
  <c r="G1412" i="5"/>
  <c r="H1411" i="5"/>
  <c r="G1411" i="5"/>
  <c r="H1410" i="5"/>
  <c r="G1410" i="5"/>
  <c r="H1409" i="5"/>
  <c r="G1409" i="5"/>
  <c r="H1408" i="5"/>
  <c r="G1408" i="5"/>
  <c r="H1407" i="5"/>
  <c r="G1407" i="5"/>
  <c r="H1406" i="5"/>
  <c r="G1406" i="5"/>
  <c r="H1405" i="5"/>
  <c r="G1405" i="5"/>
  <c r="H1404" i="5"/>
  <c r="G1404" i="5"/>
  <c r="H1403" i="5"/>
  <c r="G1403" i="5"/>
  <c r="H1402" i="5"/>
  <c r="G1402" i="5"/>
  <c r="H1401" i="5"/>
  <c r="G1401" i="5"/>
  <c r="H1400" i="5"/>
  <c r="G1400" i="5"/>
  <c r="H1399" i="5"/>
  <c r="G1399" i="5"/>
  <c r="H1398" i="5"/>
  <c r="G1398" i="5"/>
  <c r="H1397" i="5"/>
  <c r="G1397" i="5"/>
  <c r="H1396" i="5"/>
  <c r="G1396" i="5"/>
  <c r="H1395" i="5"/>
  <c r="G1395" i="5"/>
  <c r="H1394" i="5"/>
  <c r="G1394" i="5"/>
  <c r="H1393" i="5"/>
  <c r="G1393" i="5"/>
  <c r="H1392" i="5"/>
  <c r="G1392" i="5"/>
  <c r="H1391" i="5"/>
  <c r="G1391" i="5"/>
  <c r="H1390" i="5"/>
  <c r="G1390" i="5"/>
  <c r="H1389" i="5"/>
  <c r="G1389" i="5"/>
  <c r="H1388" i="5"/>
  <c r="G1388" i="5"/>
  <c r="H1387" i="5"/>
  <c r="G1387" i="5"/>
  <c r="H1386" i="5"/>
  <c r="G1386" i="5"/>
  <c r="H1385" i="5"/>
  <c r="G1385" i="5"/>
  <c r="H1384" i="5"/>
  <c r="G1384" i="5"/>
  <c r="H1383" i="5"/>
  <c r="G1383" i="5"/>
  <c r="H1382" i="5"/>
  <c r="G1382" i="5"/>
  <c r="H1381" i="5"/>
  <c r="G1381" i="5"/>
  <c r="H1380" i="5"/>
  <c r="G1380" i="5"/>
  <c r="H1379" i="5"/>
  <c r="G1379" i="5"/>
  <c r="H1378" i="5"/>
  <c r="G1378" i="5"/>
  <c r="H1377" i="5"/>
  <c r="G1377" i="5"/>
  <c r="H1376" i="5"/>
  <c r="G1376" i="5"/>
  <c r="H1375" i="5"/>
  <c r="G1375" i="5"/>
  <c r="H1374" i="5"/>
  <c r="G1374" i="5"/>
  <c r="H1373" i="5"/>
  <c r="G1373" i="5"/>
  <c r="H1372" i="5"/>
  <c r="G1372" i="5"/>
  <c r="H1371" i="5"/>
  <c r="G1371" i="5"/>
  <c r="H1370" i="5"/>
  <c r="G1370" i="5"/>
  <c r="H1369" i="5"/>
  <c r="G1369" i="5"/>
  <c r="H1368" i="5"/>
  <c r="G1368" i="5"/>
  <c r="H1367" i="5"/>
  <c r="G1367" i="5"/>
  <c r="H1366" i="5"/>
  <c r="G1366" i="5"/>
  <c r="H1365" i="5"/>
  <c r="G1365" i="5"/>
  <c r="H1364" i="5"/>
  <c r="G1364" i="5"/>
  <c r="H1363" i="5"/>
  <c r="G1363" i="5"/>
  <c r="H1362" i="5"/>
  <c r="G1362" i="5"/>
  <c r="H1361" i="5"/>
  <c r="G1361" i="5"/>
  <c r="H1360" i="5"/>
  <c r="G1360" i="5"/>
  <c r="H1359" i="5"/>
  <c r="G1359" i="5"/>
  <c r="H1358" i="5"/>
  <c r="G1358" i="5"/>
  <c r="H1357" i="5"/>
  <c r="G1357" i="5"/>
  <c r="H1356" i="5"/>
  <c r="G1356" i="5"/>
  <c r="H1355" i="5"/>
  <c r="G1355" i="5"/>
  <c r="H1354" i="5"/>
  <c r="G1354" i="5"/>
  <c r="H1353" i="5"/>
  <c r="G1353" i="5"/>
  <c r="H1352" i="5"/>
  <c r="G1352" i="5"/>
  <c r="H1351" i="5"/>
  <c r="G1351" i="5"/>
  <c r="H1350" i="5"/>
  <c r="G1350" i="5"/>
  <c r="H1349" i="5"/>
  <c r="G1349" i="5"/>
  <c r="H1348" i="5"/>
  <c r="G1348" i="5"/>
  <c r="H1347" i="5"/>
  <c r="G1347" i="5"/>
  <c r="H1346" i="5"/>
  <c r="G1346" i="5"/>
  <c r="H1345" i="5"/>
  <c r="G1345" i="5"/>
  <c r="H1344" i="5"/>
  <c r="G1344" i="5"/>
  <c r="H1343" i="5"/>
  <c r="G1343" i="5"/>
  <c r="H1342" i="5"/>
  <c r="G1342" i="5"/>
  <c r="H1341" i="5"/>
  <c r="G1341" i="5"/>
  <c r="H1340" i="5"/>
  <c r="G1340" i="5"/>
  <c r="H1339" i="5"/>
  <c r="G1339" i="5"/>
  <c r="H1338" i="5"/>
  <c r="G1338" i="5"/>
  <c r="H1337" i="5"/>
  <c r="G1337" i="5"/>
  <c r="H1336" i="5"/>
  <c r="G1336" i="5"/>
  <c r="H1335" i="5"/>
  <c r="G1335" i="5"/>
  <c r="H1334" i="5"/>
  <c r="G1334" i="5"/>
  <c r="H1333" i="5"/>
  <c r="G1333" i="5"/>
  <c r="H1332" i="5"/>
  <c r="G1332" i="5"/>
  <c r="H1331" i="5"/>
  <c r="G1331" i="5"/>
  <c r="H1330" i="5"/>
  <c r="G1330" i="5"/>
  <c r="H1329" i="5"/>
  <c r="G1329" i="5"/>
  <c r="H1328" i="5"/>
  <c r="G1328" i="5"/>
  <c r="H1327" i="5"/>
  <c r="G1327" i="5"/>
  <c r="H1326" i="5"/>
  <c r="G1326" i="5"/>
  <c r="H1325" i="5"/>
  <c r="G1325" i="5"/>
  <c r="H1324" i="5"/>
  <c r="G1324" i="5"/>
  <c r="H1323" i="5"/>
  <c r="G1323" i="5"/>
  <c r="H1322" i="5"/>
  <c r="G1322" i="5"/>
  <c r="H1321" i="5"/>
  <c r="G1321" i="5"/>
  <c r="H1320" i="5"/>
  <c r="G1320" i="5"/>
  <c r="H1319" i="5"/>
  <c r="G1319" i="5"/>
  <c r="H1318" i="5"/>
  <c r="G1318" i="5"/>
  <c r="H1317" i="5"/>
  <c r="G1317" i="5"/>
  <c r="H1316" i="5"/>
  <c r="G1316" i="5"/>
  <c r="H1315" i="5"/>
  <c r="G1315" i="5"/>
  <c r="H1314" i="5"/>
  <c r="G1314" i="5"/>
  <c r="H1313" i="5"/>
  <c r="G1313" i="5"/>
  <c r="H1312" i="5"/>
  <c r="G1312" i="5"/>
  <c r="H1311" i="5"/>
  <c r="G1311" i="5"/>
  <c r="H1310" i="5"/>
  <c r="G1310" i="5"/>
  <c r="H1309" i="5"/>
  <c r="G1309" i="5"/>
  <c r="H1308" i="5"/>
  <c r="G1308" i="5"/>
  <c r="H1307" i="5"/>
  <c r="G1307" i="5"/>
  <c r="H1306" i="5"/>
  <c r="G1306" i="5"/>
  <c r="H1305" i="5"/>
  <c r="G1305" i="5"/>
  <c r="H1304" i="5"/>
  <c r="G1304" i="5"/>
  <c r="H1303" i="5"/>
  <c r="G1303" i="5"/>
  <c r="H1302" i="5"/>
  <c r="G1302" i="5"/>
  <c r="H1301" i="5"/>
  <c r="G1301" i="5"/>
  <c r="H1300" i="5"/>
  <c r="G1300" i="5"/>
  <c r="H1299" i="5"/>
  <c r="G1299" i="5"/>
  <c r="H1298" i="5"/>
  <c r="G1298" i="5"/>
  <c r="H1297" i="5"/>
  <c r="G1297" i="5"/>
  <c r="H1296" i="5"/>
  <c r="G1296" i="5"/>
  <c r="H1295" i="5"/>
  <c r="G1295" i="5"/>
  <c r="H1294" i="5"/>
  <c r="G1294" i="5"/>
  <c r="H1293" i="5"/>
  <c r="G1293" i="5"/>
  <c r="H1292" i="5"/>
  <c r="G1292" i="5"/>
  <c r="H1291" i="5"/>
  <c r="G1291" i="5"/>
  <c r="H1290" i="5"/>
  <c r="G1290" i="5"/>
  <c r="H1289" i="5"/>
  <c r="G1289" i="5"/>
  <c r="H1288" i="5"/>
  <c r="G1288" i="5"/>
  <c r="H1287" i="5"/>
  <c r="G1287" i="5"/>
  <c r="H1286" i="5"/>
  <c r="G1286" i="5"/>
  <c r="H1285" i="5"/>
  <c r="G1285" i="5"/>
  <c r="H1284" i="5"/>
  <c r="G1284" i="5"/>
  <c r="H1283" i="5"/>
  <c r="G1283" i="5"/>
  <c r="H1282" i="5"/>
  <c r="G1282" i="5"/>
  <c r="H1281" i="5"/>
  <c r="G1281" i="5"/>
  <c r="H1280" i="5"/>
  <c r="G1280" i="5"/>
  <c r="H1279" i="5"/>
  <c r="G1279" i="5"/>
  <c r="H1278" i="5"/>
  <c r="G1278" i="5"/>
  <c r="H1277" i="5"/>
  <c r="G1277" i="5"/>
  <c r="H1276" i="5"/>
  <c r="G1276" i="5"/>
  <c r="H1275" i="5"/>
  <c r="G1275" i="5"/>
  <c r="H1274" i="5"/>
  <c r="G1274" i="5"/>
  <c r="H1273" i="5"/>
  <c r="G1273" i="5"/>
  <c r="H1272" i="5"/>
  <c r="G1272" i="5"/>
  <c r="H1271" i="5"/>
  <c r="G1271" i="5"/>
  <c r="H1270" i="5"/>
  <c r="G1270" i="5"/>
  <c r="H1269" i="5"/>
  <c r="G1269" i="5"/>
  <c r="H1268" i="5"/>
  <c r="G1268" i="5"/>
  <c r="H1267" i="5"/>
  <c r="G1267" i="5"/>
  <c r="H1266" i="5"/>
  <c r="G1266" i="5"/>
  <c r="H1265" i="5"/>
  <c r="G1265" i="5"/>
  <c r="H1264" i="5"/>
  <c r="G1264" i="5"/>
  <c r="H1263" i="5"/>
  <c r="G1263" i="5"/>
  <c r="H1262" i="5"/>
  <c r="G1262" i="5"/>
  <c r="H1261" i="5"/>
  <c r="G1261" i="5"/>
  <c r="H1260" i="5"/>
  <c r="G1260" i="5"/>
  <c r="H1259" i="5"/>
  <c r="G1259" i="5"/>
  <c r="H1258" i="5"/>
  <c r="G1258" i="5"/>
  <c r="H1257" i="5"/>
  <c r="G1257" i="5"/>
  <c r="H1256" i="5"/>
  <c r="G1256" i="5"/>
  <c r="H1255" i="5"/>
  <c r="G1255" i="5"/>
  <c r="H1254" i="5"/>
  <c r="G1254" i="5"/>
  <c r="H1253" i="5"/>
  <c r="G1253" i="5"/>
  <c r="H1252" i="5"/>
  <c r="G1252" i="5"/>
  <c r="H1251" i="5"/>
  <c r="G1251" i="5"/>
  <c r="H1250" i="5"/>
  <c r="G1250" i="5"/>
  <c r="H1249" i="5"/>
  <c r="G1249" i="5"/>
  <c r="H1248" i="5"/>
  <c r="G1248" i="5"/>
  <c r="H1247" i="5"/>
  <c r="G1247" i="5"/>
  <c r="H1246" i="5"/>
  <c r="G1246" i="5"/>
  <c r="H1245" i="5"/>
  <c r="G1245" i="5"/>
  <c r="H1244" i="5"/>
  <c r="G1244" i="5"/>
  <c r="H1243" i="5"/>
  <c r="G1243" i="5"/>
  <c r="H1242" i="5"/>
  <c r="G1242" i="5"/>
  <c r="H1241" i="5"/>
  <c r="G1241" i="5"/>
  <c r="H1240" i="5"/>
  <c r="G1240" i="5"/>
  <c r="H1239" i="5"/>
  <c r="G1239" i="5"/>
  <c r="H1238" i="5"/>
  <c r="G1238" i="5"/>
  <c r="H1237" i="5"/>
  <c r="G1237" i="5"/>
  <c r="H1236" i="5"/>
  <c r="G1236" i="5"/>
  <c r="H1235" i="5"/>
  <c r="G1235" i="5"/>
  <c r="H1234" i="5"/>
  <c r="G1234" i="5"/>
  <c r="H1233" i="5"/>
  <c r="G1233" i="5"/>
  <c r="H1232" i="5"/>
  <c r="G1232" i="5"/>
  <c r="H1231" i="5"/>
  <c r="G1231" i="5"/>
  <c r="H1230" i="5"/>
  <c r="G1230" i="5"/>
  <c r="H1229" i="5"/>
  <c r="G1229" i="5"/>
  <c r="H1228" i="5"/>
  <c r="G1228" i="5"/>
  <c r="H1227" i="5"/>
  <c r="G1227" i="5"/>
  <c r="H1226" i="5"/>
  <c r="G1226" i="5"/>
  <c r="H1225" i="5"/>
  <c r="G1225" i="5"/>
  <c r="H1224" i="5"/>
  <c r="G1224" i="5"/>
  <c r="H1223" i="5"/>
  <c r="G1223" i="5"/>
  <c r="H1222" i="5"/>
  <c r="G1222" i="5"/>
  <c r="H1221" i="5"/>
  <c r="G1221" i="5"/>
  <c r="H1220" i="5"/>
  <c r="G1220" i="5"/>
  <c r="H1219" i="5"/>
  <c r="G1219" i="5"/>
  <c r="H1218" i="5"/>
  <c r="G1218" i="5"/>
  <c r="H1217" i="5"/>
  <c r="G1217" i="5"/>
  <c r="H1216" i="5"/>
  <c r="G1216" i="5"/>
  <c r="H1215" i="5"/>
  <c r="G1215" i="5"/>
  <c r="H1214" i="5"/>
  <c r="G1214" i="5"/>
  <c r="H1213" i="5"/>
  <c r="G1213" i="5"/>
  <c r="H1212" i="5"/>
  <c r="G1212" i="5"/>
  <c r="H1211" i="5"/>
  <c r="G1211" i="5"/>
  <c r="H1210" i="5"/>
  <c r="G1210" i="5"/>
  <c r="H1209" i="5"/>
  <c r="G1209" i="5"/>
  <c r="H1208" i="5"/>
  <c r="G1208" i="5"/>
  <c r="H1207" i="5"/>
  <c r="G1207" i="5"/>
  <c r="H1206" i="5"/>
  <c r="G1206" i="5"/>
  <c r="H1205" i="5"/>
  <c r="G1205" i="5"/>
  <c r="H1204" i="5"/>
  <c r="G1204" i="5"/>
  <c r="H1203" i="5"/>
  <c r="G1203" i="5"/>
  <c r="H1202" i="5"/>
  <c r="G1202" i="5"/>
  <c r="H1201" i="5"/>
  <c r="G1201" i="5"/>
  <c r="H1200" i="5"/>
  <c r="G1200" i="5"/>
  <c r="H1199" i="5"/>
  <c r="G1199" i="5"/>
  <c r="H1198" i="5"/>
  <c r="G1198" i="5"/>
  <c r="H1197" i="5"/>
  <c r="G1197" i="5"/>
  <c r="H1196" i="5"/>
  <c r="G1196" i="5"/>
  <c r="H1195" i="5"/>
  <c r="G1195" i="5"/>
  <c r="H1194" i="5"/>
  <c r="G1194" i="5"/>
  <c r="H1193" i="5"/>
  <c r="G1193" i="5"/>
  <c r="H1192" i="5"/>
  <c r="G1192" i="5"/>
  <c r="H1191" i="5"/>
  <c r="G1191" i="5"/>
  <c r="H1190" i="5"/>
  <c r="G1190" i="5"/>
  <c r="H1189" i="5"/>
  <c r="G1189" i="5"/>
  <c r="H1188" i="5"/>
  <c r="G1188" i="5"/>
  <c r="H1187" i="5"/>
  <c r="G1187" i="5"/>
  <c r="H1186" i="5"/>
  <c r="G1186" i="5"/>
  <c r="H1185" i="5"/>
  <c r="G1185" i="5"/>
  <c r="H1184" i="5"/>
  <c r="G1184" i="5"/>
  <c r="H1183" i="5"/>
  <c r="G1183" i="5"/>
  <c r="H1182" i="5"/>
  <c r="G1182" i="5"/>
  <c r="H1181" i="5"/>
  <c r="G1181" i="5"/>
  <c r="H1180" i="5"/>
  <c r="G1180" i="5"/>
  <c r="H1179" i="5"/>
  <c r="G1179" i="5"/>
  <c r="H1178" i="5"/>
  <c r="G1178" i="5"/>
  <c r="H1177" i="5"/>
  <c r="G1177" i="5"/>
  <c r="H1176" i="5"/>
  <c r="G1176" i="5"/>
  <c r="H1175" i="5"/>
  <c r="G1175" i="5"/>
  <c r="H1174" i="5"/>
  <c r="G1174" i="5"/>
  <c r="H1173" i="5"/>
  <c r="G1173" i="5"/>
  <c r="H1172" i="5"/>
  <c r="G1172" i="5"/>
  <c r="H1171" i="5"/>
  <c r="G1171" i="5"/>
  <c r="H1170" i="5"/>
  <c r="G1170" i="5"/>
  <c r="H1169" i="5"/>
  <c r="G1169" i="5"/>
  <c r="H1168" i="5"/>
  <c r="G1168" i="5"/>
  <c r="H1167" i="5"/>
  <c r="G1167" i="5"/>
  <c r="H1166" i="5"/>
  <c r="G1166" i="5"/>
  <c r="H1165" i="5"/>
  <c r="G1165" i="5"/>
  <c r="H1164" i="5"/>
  <c r="G1164" i="5"/>
  <c r="H1163" i="5"/>
  <c r="G1163" i="5"/>
  <c r="H1162" i="5"/>
  <c r="G1162" i="5"/>
  <c r="H1161" i="5"/>
  <c r="G1161" i="5"/>
  <c r="H1160" i="5"/>
  <c r="G1160" i="5"/>
  <c r="H1159" i="5"/>
  <c r="G1159" i="5"/>
  <c r="H1158" i="5"/>
  <c r="G1158" i="5"/>
  <c r="H1157" i="5"/>
  <c r="G1157" i="5"/>
  <c r="H1156" i="5"/>
  <c r="G1156" i="5"/>
  <c r="H1155" i="5"/>
  <c r="G1155" i="5"/>
  <c r="H1154" i="5"/>
  <c r="G1154" i="5"/>
  <c r="H1153" i="5"/>
  <c r="G1153" i="5"/>
  <c r="H1152" i="5"/>
  <c r="G1152" i="5"/>
  <c r="H1151" i="5"/>
  <c r="G1151" i="5"/>
  <c r="H1150" i="5"/>
  <c r="G1150" i="5"/>
  <c r="H1149" i="5"/>
  <c r="G1149" i="5"/>
  <c r="H1148" i="5"/>
  <c r="G1148" i="5"/>
  <c r="H1147" i="5"/>
  <c r="G1147" i="5"/>
  <c r="H1146" i="5"/>
  <c r="G1146" i="5"/>
  <c r="H1145" i="5"/>
  <c r="G1145" i="5"/>
  <c r="H1144" i="5"/>
  <c r="G1144" i="5"/>
  <c r="H1143" i="5"/>
  <c r="G1143" i="5"/>
  <c r="H1142" i="5"/>
  <c r="G1142" i="5"/>
  <c r="H1141" i="5"/>
  <c r="G1141" i="5"/>
  <c r="H1140" i="5"/>
  <c r="G1140" i="5"/>
  <c r="H1139" i="5"/>
  <c r="G1139" i="5"/>
  <c r="H1138" i="5"/>
  <c r="G1138" i="5"/>
  <c r="H1137" i="5"/>
  <c r="G1137" i="5"/>
  <c r="H1136" i="5"/>
  <c r="G1136" i="5"/>
  <c r="H1135" i="5"/>
  <c r="G1135" i="5"/>
  <c r="H1134" i="5"/>
  <c r="G1134" i="5"/>
  <c r="H1133" i="5"/>
  <c r="G1133" i="5"/>
  <c r="H1132" i="5"/>
  <c r="G1132" i="5"/>
  <c r="H1131" i="5"/>
  <c r="G1131" i="5"/>
  <c r="H1130" i="5"/>
  <c r="G1130" i="5"/>
  <c r="H1129" i="5"/>
  <c r="G1129" i="5"/>
  <c r="H1128" i="5"/>
  <c r="G1128" i="5"/>
  <c r="H1127" i="5"/>
  <c r="G1127" i="5"/>
  <c r="H1126" i="5"/>
  <c r="G1126" i="5"/>
  <c r="H1125" i="5"/>
  <c r="G1125" i="5"/>
  <c r="H1124" i="5"/>
  <c r="G1124" i="5"/>
  <c r="H1123" i="5"/>
  <c r="G1123" i="5"/>
  <c r="H1122" i="5"/>
  <c r="G1122" i="5"/>
  <c r="H1121" i="5"/>
  <c r="G1121" i="5"/>
  <c r="H1120" i="5"/>
  <c r="G1120" i="5"/>
  <c r="H1119" i="5"/>
  <c r="G1119" i="5"/>
  <c r="H1118" i="5"/>
  <c r="G1118" i="5"/>
  <c r="H1117" i="5"/>
  <c r="G1117" i="5"/>
  <c r="H1116" i="5"/>
  <c r="G1116" i="5"/>
  <c r="H1115" i="5"/>
  <c r="G1115" i="5"/>
  <c r="H1114" i="5"/>
  <c r="G1114" i="5"/>
  <c r="H1113" i="5"/>
  <c r="G1113" i="5"/>
  <c r="H1112" i="5"/>
  <c r="G1112" i="5"/>
  <c r="H1111" i="5"/>
  <c r="G1111" i="5"/>
  <c r="H1110" i="5"/>
  <c r="G1110" i="5"/>
  <c r="H1109" i="5"/>
  <c r="G1109" i="5"/>
  <c r="H1108" i="5"/>
  <c r="G1108" i="5"/>
  <c r="H1107" i="5"/>
  <c r="G1107" i="5"/>
  <c r="H1106" i="5"/>
  <c r="G1106" i="5"/>
  <c r="H1105" i="5"/>
  <c r="G1105" i="5"/>
  <c r="H1104" i="5"/>
  <c r="G1104" i="5"/>
  <c r="H1103" i="5"/>
  <c r="G1103" i="5"/>
  <c r="H1102" i="5"/>
  <c r="G1102" i="5"/>
  <c r="H1101" i="5"/>
  <c r="G1101" i="5"/>
  <c r="H1100" i="5"/>
  <c r="G1100" i="5"/>
  <c r="H1099" i="5"/>
  <c r="G1099" i="5"/>
  <c r="H1098" i="5"/>
  <c r="G1098" i="5"/>
  <c r="H1097" i="5"/>
  <c r="G1097" i="5"/>
  <c r="H1096" i="5"/>
  <c r="G1096" i="5"/>
  <c r="H1095" i="5"/>
  <c r="G1095" i="5"/>
  <c r="H1094" i="5"/>
  <c r="G1094" i="5"/>
  <c r="H1093" i="5"/>
  <c r="G1093" i="5"/>
  <c r="H1092" i="5"/>
  <c r="G1092" i="5"/>
  <c r="H1091" i="5"/>
  <c r="G1091" i="5"/>
  <c r="H1090" i="5"/>
  <c r="G1090" i="5"/>
  <c r="H1089" i="5"/>
  <c r="G1089" i="5"/>
  <c r="H1088" i="5"/>
  <c r="G1088" i="5"/>
  <c r="H1087" i="5"/>
  <c r="G1087" i="5"/>
  <c r="H1086" i="5"/>
  <c r="G1086" i="5"/>
  <c r="H1085" i="5"/>
  <c r="G1085" i="5"/>
  <c r="H1084" i="5"/>
  <c r="G1084" i="5"/>
  <c r="H1083" i="5"/>
  <c r="G1083" i="5"/>
  <c r="H1082" i="5"/>
  <c r="G1082" i="5"/>
  <c r="H1081" i="5"/>
  <c r="G1081" i="5"/>
  <c r="H1080" i="5"/>
  <c r="G1080" i="5"/>
  <c r="H1079" i="5"/>
  <c r="G1079" i="5"/>
  <c r="H1078" i="5"/>
  <c r="G1078" i="5"/>
  <c r="H1077" i="5"/>
  <c r="G1077" i="5"/>
  <c r="H1076" i="5"/>
  <c r="G1076" i="5"/>
  <c r="H1075" i="5"/>
  <c r="G1075" i="5"/>
  <c r="H1074" i="5"/>
  <c r="G1074" i="5"/>
  <c r="H1073" i="5"/>
  <c r="G1073" i="5"/>
  <c r="H1072" i="5"/>
  <c r="G1072" i="5"/>
  <c r="H1071" i="5"/>
  <c r="G1071" i="5"/>
  <c r="H1070" i="5"/>
  <c r="G1070" i="5"/>
  <c r="H1069" i="5"/>
  <c r="G1069" i="5"/>
  <c r="H1068" i="5"/>
  <c r="G1068" i="5"/>
  <c r="H1067" i="5"/>
  <c r="G1067" i="5"/>
  <c r="H1066" i="5"/>
  <c r="G1066" i="5"/>
  <c r="H1065" i="5"/>
  <c r="G1065" i="5"/>
  <c r="H1064" i="5"/>
  <c r="G1064" i="5"/>
  <c r="H1063" i="5"/>
  <c r="G1063" i="5"/>
  <c r="H1062" i="5"/>
  <c r="G1062" i="5"/>
  <c r="H1061" i="5"/>
  <c r="G1061" i="5"/>
  <c r="H1060" i="5"/>
  <c r="G1060" i="5"/>
  <c r="H1059" i="5"/>
  <c r="G1059" i="5"/>
  <c r="H1058" i="5"/>
  <c r="G1058" i="5"/>
  <c r="H1057" i="5"/>
  <c r="G1057" i="5"/>
  <c r="H1056" i="5"/>
  <c r="G1056" i="5"/>
  <c r="H1055" i="5"/>
  <c r="G1055" i="5"/>
  <c r="H1054" i="5"/>
  <c r="G1054" i="5"/>
  <c r="H1053" i="5"/>
  <c r="G1053" i="5"/>
  <c r="H1052" i="5"/>
  <c r="G1052" i="5"/>
  <c r="H1051" i="5"/>
  <c r="G1051" i="5"/>
  <c r="H1050" i="5"/>
  <c r="G1050" i="5"/>
  <c r="H1049" i="5"/>
  <c r="G1049" i="5"/>
  <c r="H1048" i="5"/>
  <c r="G1048" i="5"/>
  <c r="H1047" i="5"/>
  <c r="G1047" i="5"/>
  <c r="H1046" i="5"/>
  <c r="G1046" i="5"/>
  <c r="H1045" i="5"/>
  <c r="G1045" i="5"/>
  <c r="H1044" i="5"/>
  <c r="G1044" i="5"/>
  <c r="H1043" i="5"/>
  <c r="G1043" i="5"/>
  <c r="H1042" i="5"/>
  <c r="G1042" i="5"/>
  <c r="H1041" i="5"/>
  <c r="G1041" i="5"/>
  <c r="H1040" i="5"/>
  <c r="G1040" i="5"/>
  <c r="H1039" i="5"/>
  <c r="G1039" i="5"/>
  <c r="H1038" i="5"/>
  <c r="G1038" i="5"/>
  <c r="H1037" i="5"/>
  <c r="G1037" i="5"/>
  <c r="H1036" i="5"/>
  <c r="G1036" i="5"/>
  <c r="H1035" i="5"/>
  <c r="G1035" i="5"/>
  <c r="H1034" i="5"/>
  <c r="G1034" i="5"/>
  <c r="H1033" i="5"/>
  <c r="G1033" i="5"/>
  <c r="H1032" i="5"/>
  <c r="G1032" i="5"/>
  <c r="H1031" i="5"/>
  <c r="G1031" i="5"/>
  <c r="H1030" i="5"/>
  <c r="G1030" i="5"/>
  <c r="H1029" i="5"/>
  <c r="G1029" i="5"/>
  <c r="H1028" i="5"/>
  <c r="G1028" i="5"/>
  <c r="H1027" i="5"/>
  <c r="G1027" i="5"/>
  <c r="H1026" i="5"/>
  <c r="G1026" i="5"/>
  <c r="H1025" i="5"/>
  <c r="G1025" i="5"/>
  <c r="H1024" i="5"/>
  <c r="G1024" i="5"/>
  <c r="H1023" i="5"/>
  <c r="G1023" i="5"/>
  <c r="H1022" i="5"/>
  <c r="G1022" i="5"/>
  <c r="H1021" i="5"/>
  <c r="G1021" i="5"/>
  <c r="H1020" i="5"/>
  <c r="G1020" i="5"/>
  <c r="H1019" i="5"/>
  <c r="G1019" i="5"/>
  <c r="H1018" i="5"/>
  <c r="G1018" i="5"/>
  <c r="H1017" i="5"/>
  <c r="G1017" i="5"/>
  <c r="H1016" i="5"/>
  <c r="G1016" i="5"/>
  <c r="H1015" i="5"/>
  <c r="G1015" i="5"/>
  <c r="H1014" i="5"/>
  <c r="G1014" i="5"/>
  <c r="H1013" i="5"/>
  <c r="G1013" i="5"/>
  <c r="H1012" i="5"/>
  <c r="G1012" i="5"/>
  <c r="H1011" i="5"/>
  <c r="G1011" i="5"/>
  <c r="H1010" i="5"/>
  <c r="G1010" i="5"/>
  <c r="H1009" i="5"/>
  <c r="G1009" i="5"/>
  <c r="H1008" i="5"/>
  <c r="G1008" i="5"/>
  <c r="H1007" i="5"/>
  <c r="G1007" i="5"/>
  <c r="H1006" i="5"/>
  <c r="G1006" i="5"/>
  <c r="H1005" i="5"/>
  <c r="G1005" i="5"/>
  <c r="H1004" i="5"/>
  <c r="G1004" i="5"/>
  <c r="H1003" i="5"/>
  <c r="G1003" i="5"/>
  <c r="H1002" i="5"/>
  <c r="G1002" i="5"/>
  <c r="H1001" i="5"/>
  <c r="G1001" i="5"/>
  <c r="H1000" i="5"/>
  <c r="G1000" i="5"/>
  <c r="H999" i="5"/>
  <c r="G999" i="5"/>
  <c r="H998" i="5"/>
  <c r="G998" i="5"/>
  <c r="H997" i="5"/>
  <c r="G997" i="5"/>
  <c r="H996" i="5"/>
  <c r="G996" i="5"/>
  <c r="H995" i="5"/>
  <c r="G995" i="5"/>
  <c r="H994" i="5"/>
  <c r="G994" i="5"/>
  <c r="H993" i="5"/>
  <c r="G993" i="5"/>
  <c r="H992" i="5"/>
  <c r="G992" i="5"/>
  <c r="H991" i="5"/>
  <c r="G991" i="5"/>
  <c r="H990" i="5"/>
  <c r="G990" i="5"/>
  <c r="H989" i="5"/>
  <c r="G989" i="5"/>
  <c r="H988" i="5"/>
  <c r="G988" i="5"/>
  <c r="H987" i="5"/>
  <c r="G987" i="5"/>
  <c r="H986" i="5"/>
  <c r="G986" i="5"/>
  <c r="H985" i="5"/>
  <c r="G985" i="5"/>
  <c r="H984" i="5"/>
  <c r="G984" i="5"/>
  <c r="H983" i="5"/>
  <c r="G983" i="5"/>
  <c r="H982" i="5"/>
  <c r="G982" i="5"/>
  <c r="H981" i="5"/>
  <c r="G981" i="5"/>
  <c r="H980" i="5"/>
  <c r="G980" i="5"/>
  <c r="H979" i="5"/>
  <c r="G979" i="5"/>
  <c r="H978" i="5"/>
  <c r="G978" i="5"/>
  <c r="H977" i="5"/>
  <c r="G977" i="5"/>
  <c r="H976" i="5"/>
  <c r="G976" i="5"/>
  <c r="H975" i="5"/>
  <c r="G975" i="5"/>
  <c r="H974" i="5"/>
  <c r="G974" i="5"/>
  <c r="H973" i="5"/>
  <c r="G973" i="5"/>
  <c r="H972" i="5"/>
  <c r="G972" i="5"/>
  <c r="H971" i="5"/>
  <c r="G971" i="5"/>
  <c r="H970" i="5"/>
  <c r="G970" i="5"/>
  <c r="H969" i="5"/>
  <c r="G969" i="5"/>
  <c r="H968" i="5"/>
  <c r="G968" i="5"/>
  <c r="H967" i="5"/>
  <c r="G967" i="5"/>
  <c r="H966" i="5"/>
  <c r="G966" i="5"/>
  <c r="H965" i="5"/>
  <c r="G965" i="5"/>
  <c r="H964" i="5"/>
  <c r="G964" i="5"/>
  <c r="H963" i="5"/>
  <c r="G963" i="5"/>
  <c r="H962" i="5"/>
  <c r="G962" i="5"/>
  <c r="H961" i="5"/>
  <c r="G961" i="5"/>
  <c r="H960" i="5"/>
  <c r="G960" i="5"/>
  <c r="H959" i="5"/>
  <c r="G959" i="5"/>
  <c r="H958" i="5"/>
  <c r="G958" i="5"/>
  <c r="H957" i="5"/>
  <c r="G957" i="5"/>
  <c r="H956" i="5"/>
  <c r="G956" i="5"/>
  <c r="H955" i="5"/>
  <c r="G955" i="5"/>
  <c r="H954" i="5"/>
  <c r="G954" i="5"/>
  <c r="H953" i="5"/>
  <c r="G953" i="5"/>
  <c r="H952" i="5"/>
  <c r="G952" i="5"/>
  <c r="H951" i="5"/>
  <c r="G951" i="5"/>
  <c r="H950" i="5"/>
  <c r="G950" i="5"/>
  <c r="H949" i="5"/>
  <c r="G949" i="5"/>
  <c r="H948" i="5"/>
  <c r="G948" i="5"/>
  <c r="H947" i="5"/>
  <c r="G947" i="5"/>
  <c r="H946" i="5"/>
  <c r="G946" i="5"/>
  <c r="H945" i="5"/>
  <c r="G945" i="5"/>
  <c r="H944" i="5"/>
  <c r="G944" i="5"/>
  <c r="H943" i="5"/>
  <c r="G943" i="5"/>
  <c r="H942" i="5"/>
  <c r="G942" i="5"/>
  <c r="H941" i="5"/>
  <c r="G941" i="5"/>
  <c r="H940" i="5"/>
  <c r="G940" i="5"/>
  <c r="H939" i="5"/>
  <c r="G939" i="5"/>
  <c r="H938" i="5"/>
  <c r="G938" i="5"/>
  <c r="H937" i="5"/>
  <c r="G937" i="5"/>
  <c r="H936" i="5"/>
  <c r="G936" i="5"/>
  <c r="H935" i="5"/>
  <c r="G935" i="5"/>
  <c r="H934" i="5"/>
  <c r="G934" i="5"/>
  <c r="H933" i="5"/>
  <c r="G933" i="5"/>
  <c r="H932" i="5"/>
  <c r="G932" i="5"/>
  <c r="H931" i="5"/>
  <c r="G931" i="5"/>
  <c r="H930" i="5"/>
  <c r="G930" i="5"/>
  <c r="H929" i="5"/>
  <c r="G929" i="5"/>
  <c r="H928" i="5"/>
  <c r="G928" i="5"/>
  <c r="H927" i="5"/>
  <c r="G927" i="5"/>
  <c r="H926" i="5"/>
  <c r="G926" i="5"/>
  <c r="H925" i="5"/>
  <c r="G925" i="5"/>
  <c r="H924" i="5"/>
  <c r="G924" i="5"/>
  <c r="H923" i="5"/>
  <c r="G923" i="5"/>
  <c r="H922" i="5"/>
  <c r="G922" i="5"/>
  <c r="H921" i="5"/>
  <c r="G921" i="5"/>
  <c r="H920" i="5"/>
  <c r="G920" i="5"/>
  <c r="H919" i="5"/>
  <c r="G919" i="5"/>
  <c r="H918" i="5"/>
  <c r="G918" i="5"/>
  <c r="H917" i="5"/>
  <c r="G917" i="5"/>
  <c r="H916" i="5"/>
  <c r="G916" i="5"/>
  <c r="H915" i="5"/>
  <c r="G915" i="5"/>
  <c r="H914" i="5"/>
  <c r="G914" i="5"/>
  <c r="H913" i="5"/>
  <c r="G913" i="5"/>
  <c r="H912" i="5"/>
  <c r="G912" i="5"/>
  <c r="H911" i="5"/>
  <c r="G911" i="5"/>
  <c r="H910" i="5"/>
  <c r="G910" i="5"/>
  <c r="H909" i="5"/>
  <c r="G909" i="5"/>
  <c r="H908" i="5"/>
  <c r="G908" i="5"/>
  <c r="H907" i="5"/>
  <c r="G907" i="5"/>
  <c r="H906" i="5"/>
  <c r="G906" i="5"/>
  <c r="H905" i="5"/>
  <c r="G905" i="5"/>
  <c r="H904" i="5"/>
  <c r="G904" i="5"/>
  <c r="H903" i="5"/>
  <c r="G903" i="5"/>
  <c r="H902" i="5"/>
  <c r="G902" i="5"/>
  <c r="H901" i="5"/>
  <c r="G901" i="5"/>
  <c r="H900" i="5"/>
  <c r="G900" i="5"/>
  <c r="H899" i="5"/>
  <c r="G899" i="5"/>
  <c r="H898" i="5"/>
  <c r="G898" i="5"/>
  <c r="H897" i="5"/>
  <c r="G897" i="5"/>
  <c r="H896" i="5"/>
  <c r="G896" i="5"/>
  <c r="H895" i="5"/>
  <c r="G895" i="5"/>
  <c r="H894" i="5"/>
  <c r="G894" i="5"/>
  <c r="H893" i="5"/>
  <c r="G893" i="5"/>
  <c r="H892" i="5"/>
  <c r="G892" i="5"/>
  <c r="H891" i="5"/>
  <c r="G891" i="5"/>
  <c r="H890" i="5"/>
  <c r="G890" i="5"/>
  <c r="H889" i="5"/>
  <c r="G889" i="5"/>
  <c r="H888" i="5"/>
  <c r="G888" i="5"/>
  <c r="H887" i="5"/>
  <c r="G887" i="5"/>
  <c r="H886" i="5"/>
  <c r="G886" i="5"/>
  <c r="H885" i="5"/>
  <c r="G885" i="5"/>
  <c r="H884" i="5"/>
  <c r="G884" i="5"/>
  <c r="H883" i="5"/>
  <c r="G883" i="5"/>
  <c r="H882" i="5"/>
  <c r="G882" i="5"/>
  <c r="H881" i="5"/>
  <c r="G881" i="5"/>
  <c r="H880" i="5"/>
  <c r="G880" i="5"/>
  <c r="H879" i="5"/>
  <c r="G879" i="5"/>
  <c r="H878" i="5"/>
  <c r="G878" i="5"/>
  <c r="H877" i="5"/>
  <c r="G877" i="5"/>
  <c r="H876" i="5"/>
  <c r="G876" i="5"/>
  <c r="H875" i="5"/>
  <c r="G875" i="5"/>
  <c r="H874" i="5"/>
  <c r="G874" i="5"/>
  <c r="H873" i="5"/>
  <c r="G873" i="5"/>
  <c r="H872" i="5"/>
  <c r="G872" i="5"/>
  <c r="H871" i="5"/>
  <c r="G871" i="5"/>
  <c r="H870" i="5"/>
  <c r="G870" i="5"/>
  <c r="H869" i="5"/>
  <c r="G869" i="5"/>
  <c r="H868" i="5"/>
  <c r="G868" i="5"/>
  <c r="H867" i="5"/>
  <c r="G867" i="5"/>
  <c r="H866" i="5"/>
  <c r="G866" i="5"/>
  <c r="H865" i="5"/>
  <c r="G865" i="5"/>
  <c r="H864" i="5"/>
  <c r="G864" i="5"/>
  <c r="H863" i="5"/>
  <c r="G863" i="5"/>
  <c r="H862" i="5"/>
  <c r="G862" i="5"/>
  <c r="H861" i="5"/>
  <c r="G861" i="5"/>
  <c r="H860" i="5"/>
  <c r="G860" i="5"/>
  <c r="H859" i="5"/>
  <c r="G859" i="5"/>
  <c r="H858" i="5"/>
  <c r="G858" i="5"/>
  <c r="H857" i="5"/>
  <c r="G857" i="5"/>
  <c r="H856" i="5"/>
  <c r="G856" i="5"/>
  <c r="H855" i="5"/>
  <c r="G855" i="5"/>
  <c r="H854" i="5"/>
  <c r="G854" i="5"/>
  <c r="H853" i="5"/>
  <c r="G853" i="5"/>
  <c r="H852" i="5"/>
  <c r="G852" i="5"/>
  <c r="H851" i="5"/>
  <c r="G851" i="5"/>
  <c r="H850" i="5"/>
  <c r="G850" i="5"/>
  <c r="H849" i="5"/>
  <c r="G849" i="5"/>
  <c r="H848" i="5"/>
  <c r="G848" i="5"/>
  <c r="H847" i="5"/>
  <c r="G847" i="5"/>
  <c r="H846" i="5"/>
  <c r="G846" i="5"/>
  <c r="H845" i="5"/>
  <c r="G845" i="5"/>
  <c r="H844" i="5"/>
  <c r="G844" i="5"/>
  <c r="H843" i="5"/>
  <c r="G843" i="5"/>
  <c r="H842" i="5"/>
  <c r="G842" i="5"/>
  <c r="H841" i="5"/>
  <c r="G841" i="5"/>
  <c r="H840" i="5"/>
  <c r="G840" i="5"/>
  <c r="H839" i="5"/>
  <c r="G839" i="5"/>
  <c r="H838" i="5"/>
  <c r="G838" i="5"/>
  <c r="H837" i="5"/>
  <c r="G837" i="5"/>
  <c r="H836" i="5"/>
  <c r="G836" i="5"/>
  <c r="H835" i="5"/>
  <c r="G835" i="5"/>
  <c r="H834" i="5"/>
  <c r="G834" i="5"/>
  <c r="H833" i="5"/>
  <c r="G833" i="5"/>
  <c r="H832" i="5"/>
  <c r="G832" i="5"/>
  <c r="H831" i="5"/>
  <c r="G831" i="5"/>
  <c r="H830" i="5"/>
  <c r="G830" i="5"/>
  <c r="H829" i="5"/>
  <c r="G829" i="5"/>
  <c r="H828" i="5"/>
  <c r="G828" i="5"/>
  <c r="H827" i="5"/>
  <c r="G827" i="5"/>
  <c r="H826" i="5"/>
  <c r="G826" i="5"/>
  <c r="H825" i="5"/>
  <c r="G825" i="5"/>
  <c r="H824" i="5"/>
  <c r="G824" i="5"/>
  <c r="H823" i="5"/>
  <c r="G823" i="5"/>
  <c r="H822" i="5"/>
  <c r="G822" i="5"/>
  <c r="H821" i="5"/>
  <c r="G821" i="5"/>
  <c r="H820" i="5"/>
  <c r="G820" i="5"/>
  <c r="H819" i="5"/>
  <c r="G819" i="5"/>
  <c r="H818" i="5"/>
  <c r="G818" i="5"/>
  <c r="H817" i="5"/>
  <c r="G817" i="5"/>
  <c r="H816" i="5"/>
  <c r="G816" i="5"/>
  <c r="H815" i="5"/>
  <c r="G815" i="5"/>
  <c r="H814" i="5"/>
  <c r="G814" i="5"/>
  <c r="H813" i="5"/>
  <c r="G813" i="5"/>
  <c r="H812" i="5"/>
  <c r="G812" i="5"/>
  <c r="H811" i="5"/>
  <c r="G811" i="5"/>
  <c r="H810" i="5"/>
  <c r="G810" i="5"/>
  <c r="H809" i="5"/>
  <c r="G809" i="5"/>
  <c r="H808" i="5"/>
  <c r="G808" i="5"/>
  <c r="H807" i="5"/>
  <c r="G807" i="5"/>
  <c r="H806" i="5"/>
  <c r="G806" i="5"/>
  <c r="H805" i="5"/>
  <c r="G805" i="5"/>
  <c r="H804" i="5"/>
  <c r="G804" i="5"/>
  <c r="H803" i="5"/>
  <c r="G803" i="5"/>
  <c r="H802" i="5"/>
  <c r="G802" i="5"/>
  <c r="H801" i="5"/>
  <c r="G801" i="5"/>
  <c r="H800" i="5"/>
  <c r="G800" i="5"/>
  <c r="H799" i="5"/>
  <c r="G799" i="5"/>
  <c r="H798" i="5"/>
  <c r="G798" i="5"/>
  <c r="H797" i="5"/>
  <c r="G797" i="5"/>
  <c r="H796" i="5"/>
  <c r="G796" i="5"/>
  <c r="H795" i="5"/>
  <c r="G795" i="5"/>
  <c r="H794" i="5"/>
  <c r="G794" i="5"/>
  <c r="H793" i="5"/>
  <c r="G793" i="5"/>
  <c r="H792" i="5"/>
  <c r="G792" i="5"/>
  <c r="H791" i="5"/>
  <c r="G791" i="5"/>
  <c r="H790" i="5"/>
  <c r="G790" i="5"/>
  <c r="H789" i="5"/>
  <c r="G789" i="5"/>
  <c r="H788" i="5"/>
  <c r="G788" i="5"/>
  <c r="H787" i="5"/>
  <c r="G787" i="5"/>
  <c r="H786" i="5"/>
  <c r="G786" i="5"/>
  <c r="H785" i="5"/>
  <c r="G785" i="5"/>
  <c r="H784" i="5"/>
  <c r="G784" i="5"/>
  <c r="H783" i="5"/>
  <c r="G783" i="5"/>
  <c r="H782" i="5"/>
  <c r="G782" i="5"/>
  <c r="H781" i="5"/>
  <c r="G781" i="5"/>
  <c r="H780" i="5"/>
  <c r="G780" i="5"/>
  <c r="H779" i="5"/>
  <c r="G779" i="5"/>
  <c r="H778" i="5"/>
  <c r="G778" i="5"/>
  <c r="H777" i="5"/>
  <c r="G777" i="5"/>
  <c r="H776" i="5"/>
  <c r="G776" i="5"/>
  <c r="H775" i="5"/>
  <c r="G775" i="5"/>
  <c r="H774" i="5"/>
  <c r="G774" i="5"/>
  <c r="H773" i="5"/>
  <c r="G773" i="5"/>
  <c r="H772" i="5"/>
  <c r="G772" i="5"/>
  <c r="H771" i="5"/>
  <c r="G771" i="5"/>
  <c r="H770" i="5"/>
  <c r="G770" i="5"/>
  <c r="H769" i="5"/>
  <c r="G769" i="5"/>
  <c r="H768" i="5"/>
  <c r="G768" i="5"/>
  <c r="H767" i="5"/>
  <c r="G767" i="5"/>
  <c r="H766" i="5"/>
  <c r="G766" i="5"/>
  <c r="H765" i="5"/>
  <c r="G765" i="5"/>
  <c r="H764" i="5"/>
  <c r="G764" i="5"/>
  <c r="H763" i="5"/>
  <c r="G763" i="5"/>
  <c r="H762" i="5"/>
  <c r="G762" i="5"/>
  <c r="H761" i="5"/>
  <c r="G761" i="5"/>
  <c r="H760" i="5"/>
  <c r="G760" i="5"/>
  <c r="H759" i="5"/>
  <c r="G759" i="5"/>
  <c r="H758" i="5"/>
  <c r="G758" i="5"/>
  <c r="H757" i="5"/>
  <c r="G757" i="5"/>
  <c r="H756" i="5"/>
  <c r="G756" i="5"/>
  <c r="H755" i="5"/>
  <c r="G755" i="5"/>
  <c r="H754" i="5"/>
  <c r="G754" i="5"/>
  <c r="H753" i="5"/>
  <c r="G753" i="5"/>
  <c r="H752" i="5"/>
  <c r="G752" i="5"/>
  <c r="H751" i="5"/>
  <c r="G751" i="5"/>
  <c r="H750" i="5"/>
  <c r="G750" i="5"/>
  <c r="H749" i="5"/>
  <c r="G749" i="5"/>
  <c r="H748" i="5"/>
  <c r="G748" i="5"/>
  <c r="H747" i="5"/>
  <c r="G747" i="5"/>
  <c r="H746" i="5"/>
  <c r="G746" i="5"/>
  <c r="H745" i="5"/>
  <c r="G745" i="5"/>
  <c r="H744" i="5"/>
  <c r="G744" i="5"/>
  <c r="H743" i="5"/>
  <c r="G743" i="5"/>
  <c r="H742" i="5"/>
  <c r="G742" i="5"/>
  <c r="H741" i="5"/>
  <c r="G741" i="5"/>
  <c r="H740" i="5"/>
  <c r="G740" i="5"/>
  <c r="H739" i="5"/>
  <c r="G739" i="5"/>
  <c r="H738" i="5"/>
  <c r="G738" i="5"/>
  <c r="H737" i="5"/>
  <c r="G737" i="5"/>
  <c r="H736" i="5"/>
  <c r="G736" i="5"/>
  <c r="H735" i="5"/>
  <c r="G735" i="5"/>
  <c r="H734" i="5"/>
  <c r="G734" i="5"/>
  <c r="H733" i="5"/>
  <c r="G733" i="5"/>
  <c r="H732" i="5"/>
  <c r="G732" i="5"/>
  <c r="H731" i="5"/>
  <c r="G731" i="5"/>
  <c r="H730" i="5"/>
  <c r="G730" i="5"/>
  <c r="H729" i="5"/>
  <c r="G729" i="5"/>
  <c r="H728" i="5"/>
  <c r="G728" i="5"/>
  <c r="H727" i="5"/>
  <c r="G727" i="5"/>
  <c r="H726" i="5"/>
  <c r="G726" i="5"/>
  <c r="H725" i="5"/>
  <c r="G725" i="5"/>
  <c r="H724" i="5"/>
  <c r="G724" i="5"/>
  <c r="H723" i="5"/>
  <c r="G723" i="5"/>
  <c r="H722" i="5"/>
  <c r="G722" i="5"/>
  <c r="H721" i="5"/>
  <c r="G721" i="5"/>
  <c r="H720" i="5"/>
  <c r="G720" i="5"/>
  <c r="H719" i="5"/>
  <c r="G719" i="5"/>
  <c r="H718" i="5"/>
  <c r="G718" i="5"/>
  <c r="H717" i="5"/>
  <c r="G717" i="5"/>
  <c r="H716" i="5"/>
  <c r="G716" i="5"/>
  <c r="H715" i="5"/>
  <c r="G715" i="5"/>
  <c r="H714" i="5"/>
  <c r="G714" i="5"/>
  <c r="H713" i="5"/>
  <c r="G713" i="5"/>
  <c r="H712" i="5"/>
  <c r="G712" i="5"/>
  <c r="H711" i="5"/>
  <c r="G711" i="5"/>
  <c r="H710" i="5"/>
  <c r="G710" i="5"/>
  <c r="H709" i="5"/>
  <c r="G709" i="5"/>
  <c r="H708" i="5"/>
  <c r="G708" i="5"/>
  <c r="H707" i="5"/>
  <c r="G707" i="5"/>
  <c r="H706" i="5"/>
  <c r="G706" i="5"/>
  <c r="H705" i="5"/>
  <c r="G705" i="5"/>
  <c r="H704" i="5"/>
  <c r="G704" i="5"/>
  <c r="H703" i="5"/>
  <c r="G703" i="5"/>
  <c r="H702" i="5"/>
  <c r="G702" i="5"/>
  <c r="H701" i="5"/>
  <c r="G701" i="5"/>
  <c r="H700" i="5"/>
  <c r="G700" i="5"/>
  <c r="H699" i="5"/>
  <c r="G699" i="5"/>
  <c r="H698" i="5"/>
  <c r="G698" i="5"/>
  <c r="H697" i="5"/>
  <c r="G697" i="5"/>
  <c r="H696" i="5"/>
  <c r="G696" i="5"/>
  <c r="H695" i="5"/>
  <c r="G695" i="5"/>
  <c r="H694" i="5"/>
  <c r="G694" i="5"/>
  <c r="H693" i="5"/>
  <c r="G693" i="5"/>
  <c r="H692" i="5"/>
  <c r="G692" i="5"/>
  <c r="H691" i="5"/>
  <c r="G691" i="5"/>
  <c r="H690" i="5"/>
  <c r="G690" i="5"/>
  <c r="H689" i="5"/>
  <c r="G689" i="5"/>
  <c r="H688" i="5"/>
  <c r="G688" i="5"/>
  <c r="H687" i="5"/>
  <c r="G687" i="5"/>
  <c r="H686" i="5"/>
  <c r="G686" i="5"/>
  <c r="H685" i="5"/>
  <c r="G685" i="5"/>
  <c r="H684" i="5"/>
  <c r="G684" i="5"/>
  <c r="H683" i="5"/>
  <c r="G683" i="5"/>
  <c r="H682" i="5"/>
  <c r="G682" i="5"/>
  <c r="H681" i="5"/>
  <c r="G681" i="5"/>
  <c r="H680" i="5"/>
  <c r="G680" i="5"/>
  <c r="H679" i="5"/>
  <c r="G679" i="5"/>
  <c r="H678" i="5"/>
  <c r="G678" i="5"/>
  <c r="H677" i="5"/>
  <c r="G677" i="5"/>
  <c r="H676" i="5"/>
  <c r="G676" i="5"/>
  <c r="H675" i="5"/>
  <c r="G675" i="5"/>
  <c r="H674" i="5"/>
  <c r="G674" i="5"/>
  <c r="H673" i="5"/>
  <c r="G673" i="5"/>
  <c r="H672" i="5"/>
  <c r="G672" i="5"/>
  <c r="H671" i="5"/>
  <c r="G671" i="5"/>
  <c r="H670" i="5"/>
  <c r="G670" i="5"/>
  <c r="H669" i="5"/>
  <c r="G669" i="5"/>
  <c r="H668" i="5"/>
  <c r="G668" i="5"/>
  <c r="H667" i="5"/>
  <c r="G667" i="5"/>
  <c r="H666" i="5"/>
  <c r="G666" i="5"/>
  <c r="H665" i="5"/>
  <c r="G665" i="5"/>
  <c r="H664" i="5"/>
  <c r="G664" i="5"/>
  <c r="H663" i="5"/>
  <c r="G663" i="5"/>
  <c r="H662" i="5"/>
  <c r="G662" i="5"/>
  <c r="H661" i="5"/>
  <c r="G661" i="5"/>
  <c r="H660" i="5"/>
  <c r="G660" i="5"/>
  <c r="H659" i="5"/>
  <c r="G659" i="5"/>
  <c r="H658" i="5"/>
  <c r="G658" i="5"/>
  <c r="H657" i="5"/>
  <c r="G657" i="5"/>
  <c r="H656" i="5"/>
  <c r="G656" i="5"/>
  <c r="H655" i="5"/>
  <c r="G655" i="5"/>
  <c r="H654" i="5"/>
  <c r="G654" i="5"/>
  <c r="H653" i="5"/>
  <c r="G653" i="5"/>
  <c r="H652" i="5"/>
  <c r="G652" i="5"/>
  <c r="H651" i="5"/>
  <c r="G651" i="5"/>
  <c r="H650" i="5"/>
  <c r="G650" i="5"/>
  <c r="H649" i="5"/>
  <c r="G649" i="5"/>
  <c r="H648" i="5"/>
  <c r="G648" i="5"/>
  <c r="H647" i="5"/>
  <c r="G647" i="5"/>
  <c r="H646" i="5"/>
  <c r="G646" i="5"/>
  <c r="H645" i="5"/>
  <c r="G645" i="5"/>
  <c r="H644" i="5"/>
  <c r="G644" i="5"/>
  <c r="H643" i="5"/>
  <c r="G643" i="5"/>
  <c r="H642" i="5"/>
  <c r="G642" i="5"/>
  <c r="H641" i="5"/>
  <c r="G641" i="5"/>
  <c r="H640" i="5"/>
  <c r="G640" i="5"/>
  <c r="H639" i="5"/>
  <c r="G639" i="5"/>
  <c r="H638" i="5"/>
  <c r="G638" i="5"/>
  <c r="H637" i="5"/>
  <c r="G637" i="5"/>
  <c r="H636" i="5"/>
  <c r="G636" i="5"/>
  <c r="H635" i="5"/>
  <c r="G635" i="5"/>
  <c r="H634" i="5"/>
  <c r="G634" i="5"/>
  <c r="H633" i="5"/>
  <c r="G633" i="5"/>
  <c r="H632" i="5"/>
  <c r="G632" i="5"/>
  <c r="H631" i="5"/>
  <c r="G631" i="5"/>
  <c r="H630" i="5"/>
  <c r="G630" i="5"/>
  <c r="H629" i="5"/>
  <c r="G629" i="5"/>
  <c r="H628" i="5"/>
  <c r="G628" i="5"/>
  <c r="H627" i="5"/>
  <c r="G627" i="5"/>
  <c r="H626" i="5"/>
  <c r="G626" i="5"/>
  <c r="H625" i="5"/>
  <c r="G625" i="5"/>
  <c r="H624" i="5"/>
  <c r="G624" i="5"/>
  <c r="H623" i="5"/>
  <c r="G623" i="5"/>
  <c r="H622" i="5"/>
  <c r="G622" i="5"/>
  <c r="H621" i="5"/>
  <c r="G621" i="5"/>
  <c r="H620" i="5"/>
  <c r="G620" i="5"/>
  <c r="H619" i="5"/>
  <c r="G619" i="5"/>
  <c r="H618" i="5"/>
  <c r="G618" i="5"/>
  <c r="H617" i="5"/>
  <c r="G617" i="5"/>
  <c r="H616" i="5"/>
  <c r="G616" i="5"/>
  <c r="H615" i="5"/>
  <c r="G615" i="5"/>
  <c r="H614" i="5"/>
  <c r="G614" i="5"/>
  <c r="H613" i="5"/>
  <c r="G613" i="5"/>
  <c r="H612" i="5"/>
  <c r="G612" i="5"/>
  <c r="H611" i="5"/>
  <c r="G611" i="5"/>
  <c r="H610" i="5"/>
  <c r="G610" i="5"/>
  <c r="H609" i="5"/>
  <c r="G609" i="5"/>
  <c r="H608" i="5"/>
  <c r="G608" i="5"/>
  <c r="H607" i="5"/>
  <c r="G607" i="5"/>
  <c r="H606" i="5"/>
  <c r="G606" i="5"/>
  <c r="H605" i="5"/>
  <c r="G605" i="5"/>
  <c r="H604" i="5"/>
  <c r="G604" i="5"/>
  <c r="H603" i="5"/>
  <c r="G603" i="5"/>
  <c r="H602" i="5"/>
  <c r="G602" i="5"/>
  <c r="H601" i="5"/>
  <c r="G601" i="5"/>
  <c r="H600" i="5"/>
  <c r="G600" i="5"/>
  <c r="H599" i="5"/>
  <c r="G599" i="5"/>
  <c r="H598" i="5"/>
  <c r="G598" i="5"/>
  <c r="H597" i="5"/>
  <c r="G597" i="5"/>
  <c r="H596" i="5"/>
  <c r="G596" i="5"/>
  <c r="H595" i="5"/>
  <c r="G595" i="5"/>
  <c r="H594" i="5"/>
  <c r="G594" i="5"/>
  <c r="H593" i="5"/>
  <c r="G593" i="5"/>
  <c r="H592" i="5"/>
  <c r="G592" i="5"/>
  <c r="H591" i="5"/>
  <c r="G591" i="5"/>
  <c r="H590" i="5"/>
  <c r="G590" i="5"/>
  <c r="H589" i="5"/>
  <c r="G589" i="5"/>
  <c r="H588" i="5"/>
  <c r="G588" i="5"/>
  <c r="H587" i="5"/>
  <c r="G587" i="5"/>
  <c r="H586" i="5"/>
  <c r="G586" i="5"/>
  <c r="H585" i="5"/>
  <c r="G585" i="5"/>
  <c r="H584" i="5"/>
  <c r="G584" i="5"/>
  <c r="H583" i="5"/>
  <c r="G583" i="5"/>
  <c r="H582" i="5"/>
  <c r="G582" i="5"/>
  <c r="H581" i="5"/>
  <c r="G581" i="5"/>
  <c r="H580" i="5"/>
  <c r="G580" i="5"/>
  <c r="H579" i="5"/>
  <c r="G579" i="5"/>
  <c r="H578" i="5"/>
  <c r="G578" i="5"/>
  <c r="H577" i="5"/>
  <c r="G577" i="5"/>
  <c r="H576" i="5"/>
  <c r="G576" i="5"/>
  <c r="H575" i="5"/>
  <c r="G575" i="5"/>
  <c r="H574" i="5"/>
  <c r="G574" i="5"/>
  <c r="H573" i="5"/>
  <c r="G573" i="5"/>
  <c r="H572" i="5"/>
  <c r="G572" i="5"/>
  <c r="H571" i="5"/>
  <c r="G571" i="5"/>
  <c r="H570" i="5"/>
  <c r="G570" i="5"/>
  <c r="H569" i="5"/>
  <c r="G569" i="5"/>
  <c r="H568" i="5"/>
  <c r="G568" i="5"/>
  <c r="H567" i="5"/>
  <c r="G567" i="5"/>
  <c r="H566" i="5"/>
  <c r="G566" i="5"/>
  <c r="H565" i="5"/>
  <c r="G565" i="5"/>
  <c r="H564" i="5"/>
  <c r="G564" i="5"/>
  <c r="H563" i="5"/>
  <c r="G563" i="5"/>
  <c r="H562" i="5"/>
  <c r="G562" i="5"/>
  <c r="H561" i="5"/>
  <c r="G561" i="5"/>
  <c r="H560" i="5"/>
  <c r="G560" i="5"/>
  <c r="H559" i="5"/>
  <c r="G559" i="5"/>
  <c r="H558" i="5"/>
  <c r="G558" i="5"/>
  <c r="H557" i="5"/>
  <c r="G557" i="5"/>
  <c r="H556" i="5"/>
  <c r="G556" i="5"/>
  <c r="H555" i="5"/>
  <c r="G555" i="5"/>
  <c r="H554" i="5"/>
  <c r="G554" i="5"/>
  <c r="H553" i="5"/>
  <c r="G553" i="5"/>
  <c r="H552" i="5"/>
  <c r="G552" i="5"/>
  <c r="H551" i="5"/>
  <c r="G551" i="5"/>
  <c r="H550" i="5"/>
  <c r="G550" i="5"/>
  <c r="H549" i="5"/>
  <c r="G549" i="5"/>
  <c r="H548" i="5"/>
  <c r="G548" i="5"/>
  <c r="H547" i="5"/>
  <c r="G547" i="5"/>
  <c r="H546" i="5"/>
  <c r="G546" i="5"/>
  <c r="H545" i="5"/>
  <c r="G545" i="5"/>
  <c r="H544" i="5"/>
  <c r="G544" i="5"/>
  <c r="H543" i="5"/>
  <c r="G543" i="5"/>
  <c r="H542" i="5"/>
  <c r="G542" i="5"/>
  <c r="H541" i="5"/>
  <c r="G541" i="5"/>
  <c r="H540" i="5"/>
  <c r="G540" i="5"/>
  <c r="H539" i="5"/>
  <c r="G539" i="5"/>
  <c r="H538" i="5"/>
  <c r="G538" i="5"/>
  <c r="H537" i="5"/>
  <c r="G537" i="5"/>
  <c r="H536" i="5"/>
  <c r="G536" i="5"/>
  <c r="H535" i="5"/>
  <c r="G535" i="5"/>
  <c r="H534" i="5"/>
  <c r="G534" i="5"/>
  <c r="H533" i="5"/>
  <c r="G533" i="5"/>
  <c r="H532" i="5"/>
  <c r="G532" i="5"/>
  <c r="H531" i="5"/>
  <c r="G531" i="5"/>
  <c r="H530" i="5"/>
  <c r="G530" i="5"/>
  <c r="H529" i="5"/>
  <c r="G529" i="5"/>
  <c r="H528" i="5"/>
  <c r="G528" i="5"/>
  <c r="H527" i="5"/>
  <c r="G527" i="5"/>
  <c r="H526" i="5"/>
  <c r="G526" i="5"/>
  <c r="H525" i="5"/>
  <c r="G525" i="5"/>
  <c r="H524" i="5"/>
  <c r="G524" i="5"/>
  <c r="H523" i="5"/>
  <c r="G523" i="5"/>
  <c r="H522" i="5"/>
  <c r="G522" i="5"/>
  <c r="H521" i="5"/>
  <c r="G521" i="5"/>
  <c r="H520" i="5"/>
  <c r="G520" i="5"/>
  <c r="H519" i="5"/>
  <c r="G519" i="5"/>
  <c r="H518" i="5"/>
  <c r="G518" i="5"/>
  <c r="H517" i="5"/>
  <c r="G517" i="5"/>
  <c r="H516" i="5"/>
  <c r="G516" i="5"/>
  <c r="H515" i="5"/>
  <c r="G515" i="5"/>
  <c r="H514" i="5"/>
  <c r="G514" i="5"/>
  <c r="H513" i="5"/>
  <c r="G513" i="5"/>
  <c r="H512" i="5"/>
  <c r="G512" i="5"/>
  <c r="H511" i="5"/>
  <c r="G511" i="5"/>
  <c r="H510" i="5"/>
  <c r="G510" i="5"/>
  <c r="H509" i="5"/>
  <c r="G509" i="5"/>
  <c r="H508" i="5"/>
  <c r="G508" i="5"/>
  <c r="H507" i="5"/>
  <c r="G507" i="5"/>
  <c r="H506" i="5"/>
  <c r="G506" i="5"/>
  <c r="H505" i="5"/>
  <c r="G505" i="5"/>
  <c r="H504" i="5"/>
  <c r="G504" i="5"/>
  <c r="H503" i="5"/>
  <c r="G503" i="5"/>
  <c r="H502" i="5"/>
  <c r="G502" i="5"/>
  <c r="H501" i="5"/>
  <c r="G501" i="5"/>
  <c r="H500" i="5"/>
  <c r="G500" i="5"/>
  <c r="H499" i="5"/>
  <c r="G499" i="5"/>
  <c r="H498" i="5"/>
  <c r="G498" i="5"/>
  <c r="H497" i="5"/>
  <c r="G497" i="5"/>
  <c r="H496" i="5"/>
  <c r="G496" i="5"/>
  <c r="H495" i="5"/>
  <c r="G495" i="5"/>
  <c r="H494" i="5"/>
  <c r="G494" i="5"/>
  <c r="H493" i="5"/>
  <c r="G493" i="5"/>
  <c r="H492" i="5"/>
  <c r="G492" i="5"/>
  <c r="H491" i="5"/>
  <c r="G491" i="5"/>
  <c r="H490" i="5"/>
  <c r="G490" i="5"/>
  <c r="H489" i="5"/>
  <c r="G489" i="5"/>
  <c r="H488" i="5"/>
  <c r="G488" i="5"/>
  <c r="H487" i="5"/>
  <c r="G487" i="5"/>
  <c r="H486" i="5"/>
  <c r="G486" i="5"/>
  <c r="H485" i="5"/>
  <c r="G485" i="5"/>
  <c r="H484" i="5"/>
  <c r="G484" i="5"/>
  <c r="H483" i="5"/>
  <c r="G483" i="5"/>
  <c r="H482" i="5"/>
  <c r="G482" i="5"/>
  <c r="H481" i="5"/>
  <c r="G481" i="5"/>
  <c r="H480" i="5"/>
  <c r="G480" i="5"/>
  <c r="H479" i="5"/>
  <c r="G479" i="5"/>
  <c r="H478" i="5"/>
  <c r="G478" i="5"/>
  <c r="H477" i="5"/>
  <c r="G477" i="5"/>
  <c r="H476" i="5"/>
  <c r="G476" i="5"/>
  <c r="H475" i="5"/>
  <c r="G475" i="5"/>
  <c r="H474" i="5"/>
  <c r="G474" i="5"/>
  <c r="H473" i="5"/>
  <c r="G473" i="5"/>
  <c r="H472" i="5"/>
  <c r="G472" i="5"/>
  <c r="H471" i="5"/>
  <c r="G471" i="5"/>
  <c r="H470" i="5"/>
  <c r="G470" i="5"/>
  <c r="H469" i="5"/>
  <c r="G469" i="5"/>
  <c r="H468" i="5"/>
  <c r="G468" i="5"/>
  <c r="H467" i="5"/>
  <c r="G467" i="5"/>
  <c r="H466" i="5"/>
  <c r="G466" i="5"/>
  <c r="H465" i="5"/>
  <c r="G465" i="5"/>
  <c r="H464" i="5"/>
  <c r="G464" i="5"/>
  <c r="H463" i="5"/>
  <c r="G463" i="5"/>
  <c r="H462" i="5"/>
  <c r="G462" i="5"/>
  <c r="H461" i="5"/>
  <c r="G461" i="5"/>
  <c r="H460" i="5"/>
  <c r="G460" i="5"/>
  <c r="H459" i="5"/>
  <c r="G459" i="5"/>
  <c r="H458" i="5"/>
  <c r="G458" i="5"/>
  <c r="H457" i="5"/>
  <c r="G457" i="5"/>
  <c r="H456" i="5"/>
  <c r="G456" i="5"/>
  <c r="H455" i="5"/>
  <c r="G455" i="5"/>
  <c r="H454" i="5"/>
  <c r="G454" i="5"/>
  <c r="H453" i="5"/>
  <c r="G453" i="5"/>
  <c r="H452" i="5"/>
  <c r="G452" i="5"/>
  <c r="H451" i="5"/>
  <c r="G451" i="5"/>
  <c r="H450" i="5"/>
  <c r="G450" i="5"/>
  <c r="H449" i="5"/>
  <c r="G449" i="5"/>
  <c r="H448" i="5"/>
  <c r="G448" i="5"/>
  <c r="H447" i="5"/>
  <c r="G447" i="5"/>
  <c r="H446" i="5"/>
  <c r="G446" i="5"/>
  <c r="H445" i="5"/>
  <c r="G445" i="5"/>
  <c r="H444" i="5"/>
  <c r="G444" i="5"/>
  <c r="H443" i="5"/>
  <c r="G443" i="5"/>
  <c r="H442" i="5"/>
  <c r="G442" i="5"/>
  <c r="H441" i="5"/>
  <c r="G441" i="5"/>
  <c r="H440" i="5"/>
  <c r="G440" i="5"/>
  <c r="H439" i="5"/>
  <c r="G439" i="5"/>
  <c r="H438" i="5"/>
  <c r="G438" i="5"/>
  <c r="H437" i="5"/>
  <c r="G437" i="5"/>
  <c r="H436" i="5"/>
  <c r="G436" i="5"/>
  <c r="H435" i="5"/>
  <c r="G435" i="5"/>
  <c r="H434" i="5"/>
  <c r="G434" i="5"/>
  <c r="H433" i="5"/>
  <c r="G433" i="5"/>
  <c r="H432" i="5"/>
  <c r="G432" i="5"/>
  <c r="H431" i="5"/>
  <c r="G431" i="5"/>
  <c r="H430" i="5"/>
  <c r="G430" i="5"/>
  <c r="H429" i="5"/>
  <c r="G429" i="5"/>
  <c r="H428" i="5"/>
  <c r="G428" i="5"/>
  <c r="H427" i="5"/>
  <c r="G427" i="5"/>
  <c r="H426" i="5"/>
  <c r="G426" i="5"/>
  <c r="H425" i="5"/>
  <c r="G425" i="5"/>
  <c r="H424" i="5"/>
  <c r="G424" i="5"/>
  <c r="H423" i="5"/>
  <c r="G423" i="5"/>
  <c r="H422" i="5"/>
  <c r="G422" i="5"/>
  <c r="H421" i="5"/>
  <c r="G421" i="5"/>
  <c r="H420" i="5"/>
  <c r="G420" i="5"/>
  <c r="H419" i="5"/>
  <c r="G419" i="5"/>
  <c r="H418" i="5"/>
  <c r="G418" i="5"/>
  <c r="H417" i="5"/>
  <c r="G417" i="5"/>
  <c r="H416" i="5"/>
  <c r="G416" i="5"/>
  <c r="H415" i="5"/>
  <c r="G415" i="5"/>
  <c r="H414" i="5"/>
  <c r="G414" i="5"/>
  <c r="H413" i="5"/>
  <c r="G413" i="5"/>
  <c r="H412" i="5"/>
  <c r="G412" i="5"/>
  <c r="H411" i="5"/>
  <c r="G411" i="5"/>
  <c r="H410" i="5"/>
  <c r="G410" i="5"/>
  <c r="H409" i="5"/>
  <c r="G409" i="5"/>
  <c r="H408" i="5"/>
  <c r="G408" i="5"/>
  <c r="H407" i="5"/>
  <c r="G407" i="5"/>
  <c r="H406" i="5"/>
  <c r="G406" i="5"/>
  <c r="H405" i="5"/>
  <c r="G405" i="5"/>
  <c r="H404" i="5"/>
  <c r="G404" i="5"/>
  <c r="H403" i="5"/>
  <c r="G403" i="5"/>
  <c r="H402" i="5"/>
  <c r="G402" i="5"/>
  <c r="H401" i="5"/>
  <c r="G401" i="5"/>
  <c r="H400" i="5"/>
  <c r="G400" i="5"/>
  <c r="H399" i="5"/>
  <c r="G399" i="5"/>
  <c r="H398" i="5"/>
  <c r="G398" i="5"/>
  <c r="H397" i="5"/>
  <c r="G397" i="5"/>
  <c r="H396" i="5"/>
  <c r="G396" i="5"/>
  <c r="H395" i="5"/>
  <c r="G395" i="5"/>
  <c r="H394" i="5"/>
  <c r="G394" i="5"/>
  <c r="H393" i="5"/>
  <c r="G393" i="5"/>
  <c r="H392" i="5"/>
  <c r="G392" i="5"/>
  <c r="H391" i="5"/>
  <c r="G391" i="5"/>
  <c r="H390" i="5"/>
  <c r="G390" i="5"/>
  <c r="H389" i="5"/>
  <c r="G389" i="5"/>
  <c r="H388" i="5"/>
  <c r="G388" i="5"/>
  <c r="H387" i="5"/>
  <c r="G387" i="5"/>
  <c r="H386" i="5"/>
  <c r="G386" i="5"/>
  <c r="H385" i="5"/>
  <c r="G385" i="5"/>
  <c r="H384" i="5"/>
  <c r="G384" i="5"/>
  <c r="H383" i="5"/>
  <c r="G383" i="5"/>
  <c r="H382" i="5"/>
  <c r="G382" i="5"/>
  <c r="H381" i="5"/>
  <c r="G381" i="5"/>
  <c r="H380" i="5"/>
  <c r="G380" i="5"/>
  <c r="H379" i="5"/>
  <c r="G379" i="5"/>
  <c r="H378" i="5"/>
  <c r="G378" i="5"/>
  <c r="H377" i="5"/>
  <c r="G377" i="5"/>
  <c r="H376" i="5"/>
  <c r="G376" i="5"/>
  <c r="H375" i="5"/>
  <c r="G375" i="5"/>
  <c r="H374" i="5"/>
  <c r="G374" i="5"/>
  <c r="H373" i="5"/>
  <c r="G373" i="5"/>
  <c r="H372" i="5"/>
  <c r="G372" i="5"/>
  <c r="H371" i="5"/>
  <c r="G371" i="5"/>
  <c r="H370" i="5"/>
  <c r="G370" i="5"/>
  <c r="H369" i="5"/>
  <c r="G369" i="5"/>
  <c r="H368" i="5"/>
  <c r="G368" i="5"/>
  <c r="H367" i="5"/>
  <c r="G367" i="5"/>
  <c r="H366" i="5"/>
  <c r="G366" i="5"/>
  <c r="H365" i="5"/>
  <c r="G365" i="5"/>
  <c r="H364" i="5"/>
  <c r="G364" i="5"/>
  <c r="H363" i="5"/>
  <c r="G363" i="5"/>
  <c r="H362" i="5"/>
  <c r="G362" i="5"/>
  <c r="H361" i="5"/>
  <c r="G361" i="5"/>
  <c r="H360" i="5"/>
  <c r="G360" i="5"/>
  <c r="H359" i="5"/>
  <c r="G359" i="5"/>
  <c r="H358" i="5"/>
  <c r="G358" i="5"/>
  <c r="H357" i="5"/>
  <c r="G357" i="5"/>
  <c r="H356" i="5"/>
  <c r="G356" i="5"/>
  <c r="H355" i="5"/>
  <c r="G355" i="5"/>
  <c r="H354" i="5"/>
  <c r="G354" i="5"/>
  <c r="H353" i="5"/>
  <c r="G353" i="5"/>
  <c r="H352" i="5"/>
  <c r="G352" i="5"/>
  <c r="H351" i="5"/>
  <c r="G351" i="5"/>
  <c r="H350" i="5"/>
  <c r="G350" i="5"/>
  <c r="H349" i="5"/>
  <c r="G349" i="5"/>
  <c r="H348" i="5"/>
  <c r="G348" i="5"/>
  <c r="H347" i="5"/>
  <c r="G347" i="5"/>
  <c r="H346" i="5"/>
  <c r="G346" i="5"/>
  <c r="H345" i="5"/>
  <c r="G345" i="5"/>
  <c r="H344" i="5"/>
  <c r="G344" i="5"/>
  <c r="H343" i="5"/>
  <c r="G343" i="5"/>
  <c r="H342" i="5"/>
  <c r="G342" i="5"/>
  <c r="H341" i="5"/>
  <c r="G341" i="5"/>
  <c r="H340" i="5"/>
  <c r="G340" i="5"/>
  <c r="H339" i="5"/>
  <c r="G339" i="5"/>
  <c r="H338" i="5"/>
  <c r="G338" i="5"/>
  <c r="H337" i="5"/>
  <c r="G337" i="5"/>
  <c r="H336" i="5"/>
  <c r="G336" i="5"/>
  <c r="H335" i="5"/>
  <c r="G335" i="5"/>
  <c r="H334" i="5"/>
  <c r="G334" i="5"/>
  <c r="H333" i="5"/>
  <c r="G333" i="5"/>
  <c r="H332" i="5"/>
  <c r="G332" i="5"/>
  <c r="H331" i="5"/>
  <c r="G331" i="5"/>
  <c r="H330" i="5"/>
  <c r="G330" i="5"/>
  <c r="H329" i="5"/>
  <c r="G329" i="5"/>
  <c r="H328" i="5"/>
  <c r="G328" i="5"/>
  <c r="H327" i="5"/>
  <c r="G327" i="5"/>
  <c r="H326" i="5"/>
  <c r="G326" i="5"/>
  <c r="H325" i="5"/>
  <c r="G325" i="5"/>
  <c r="H324" i="5"/>
  <c r="G324" i="5"/>
  <c r="H323" i="5"/>
  <c r="G323" i="5"/>
  <c r="H322" i="5"/>
  <c r="G322" i="5"/>
  <c r="H321" i="5"/>
  <c r="G321" i="5"/>
  <c r="H320" i="5"/>
  <c r="G320" i="5"/>
  <c r="H319" i="5"/>
  <c r="G319" i="5"/>
  <c r="H318" i="5"/>
  <c r="G318" i="5"/>
  <c r="H317" i="5"/>
  <c r="G317" i="5"/>
  <c r="H316" i="5"/>
  <c r="G316" i="5"/>
  <c r="H315" i="5"/>
  <c r="G315" i="5"/>
  <c r="H314" i="5"/>
  <c r="G314" i="5"/>
  <c r="H313" i="5"/>
  <c r="G313" i="5"/>
  <c r="H312" i="5"/>
  <c r="G312" i="5"/>
  <c r="H311" i="5"/>
  <c r="G311" i="5"/>
  <c r="H310" i="5"/>
  <c r="G310" i="5"/>
  <c r="H309" i="5"/>
  <c r="G309" i="5"/>
  <c r="H308" i="5"/>
  <c r="G308" i="5"/>
  <c r="H307" i="5"/>
  <c r="G307" i="5"/>
  <c r="H306" i="5"/>
  <c r="G306" i="5"/>
  <c r="H305" i="5"/>
  <c r="G305" i="5"/>
  <c r="H304" i="5"/>
  <c r="G304" i="5"/>
  <c r="H303" i="5"/>
  <c r="G303" i="5"/>
  <c r="H302" i="5"/>
  <c r="G302" i="5"/>
  <c r="H301" i="5"/>
  <c r="G301" i="5"/>
  <c r="H300" i="5"/>
  <c r="G300" i="5"/>
  <c r="H299" i="5"/>
  <c r="G299" i="5"/>
  <c r="H298" i="5"/>
  <c r="G298" i="5"/>
  <c r="H297" i="5"/>
  <c r="G297" i="5"/>
  <c r="H296" i="5"/>
  <c r="G296" i="5"/>
  <c r="H295" i="5"/>
  <c r="G295" i="5"/>
  <c r="H294" i="5"/>
  <c r="G294" i="5"/>
  <c r="H293" i="5"/>
  <c r="G293" i="5"/>
  <c r="H292" i="5"/>
  <c r="G292" i="5"/>
  <c r="H291" i="5"/>
  <c r="G291" i="5"/>
  <c r="H290" i="5"/>
  <c r="G290" i="5"/>
  <c r="H289" i="5"/>
  <c r="G289" i="5"/>
  <c r="H288" i="5"/>
  <c r="G288" i="5"/>
  <c r="H287" i="5"/>
  <c r="G287" i="5"/>
  <c r="H286" i="5"/>
  <c r="G286" i="5"/>
  <c r="H285" i="5"/>
  <c r="G285" i="5"/>
  <c r="H284" i="5"/>
  <c r="G284" i="5"/>
  <c r="H283" i="5"/>
  <c r="G283" i="5"/>
  <c r="H282" i="5"/>
  <c r="G282" i="5"/>
  <c r="H281" i="5"/>
  <c r="G281" i="5"/>
  <c r="H280" i="5"/>
  <c r="G280" i="5"/>
  <c r="H279" i="5"/>
  <c r="G279" i="5"/>
  <c r="H278" i="5"/>
  <c r="G278" i="5"/>
  <c r="H277" i="5"/>
  <c r="G277" i="5"/>
  <c r="H276" i="5"/>
  <c r="G276" i="5"/>
  <c r="H275" i="5"/>
  <c r="G275" i="5"/>
  <c r="H274" i="5"/>
  <c r="G274" i="5"/>
  <c r="H273" i="5"/>
  <c r="G273" i="5"/>
  <c r="H272" i="5"/>
  <c r="G272" i="5"/>
  <c r="H271" i="5"/>
  <c r="G271" i="5"/>
  <c r="H270" i="5"/>
  <c r="G270" i="5"/>
  <c r="H269" i="5"/>
  <c r="G269" i="5"/>
  <c r="H268" i="5"/>
  <c r="G268" i="5"/>
  <c r="H267" i="5"/>
  <c r="G267" i="5"/>
  <c r="H266" i="5"/>
  <c r="G266" i="5"/>
  <c r="H265" i="5"/>
  <c r="G265" i="5"/>
  <c r="H264" i="5"/>
  <c r="G264" i="5"/>
  <c r="H263" i="5"/>
  <c r="G263" i="5"/>
  <c r="H262" i="5"/>
  <c r="G262" i="5"/>
  <c r="H261" i="5"/>
  <c r="G261" i="5"/>
  <c r="H260" i="5"/>
  <c r="G260" i="5"/>
  <c r="H259" i="5"/>
  <c r="G259" i="5"/>
  <c r="H258" i="5"/>
  <c r="G258" i="5"/>
  <c r="H257" i="5"/>
  <c r="G257" i="5"/>
  <c r="H256" i="5"/>
  <c r="G256" i="5"/>
  <c r="H255" i="5"/>
  <c r="G255" i="5"/>
  <c r="H254" i="5"/>
  <c r="G254" i="5"/>
  <c r="H253" i="5"/>
  <c r="G253" i="5"/>
  <c r="H252" i="5"/>
  <c r="G252" i="5"/>
  <c r="H251" i="5"/>
  <c r="G251" i="5"/>
  <c r="H250" i="5"/>
  <c r="G250" i="5"/>
  <c r="H249" i="5"/>
  <c r="G249" i="5"/>
  <c r="H248" i="5"/>
  <c r="G248" i="5"/>
  <c r="H247" i="5"/>
  <c r="G247" i="5"/>
  <c r="H246" i="5"/>
  <c r="G246" i="5"/>
  <c r="H245" i="5"/>
  <c r="G245" i="5"/>
  <c r="H244" i="5"/>
  <c r="G244" i="5"/>
  <c r="H243" i="5"/>
  <c r="G243" i="5"/>
  <c r="H242" i="5"/>
  <c r="G242" i="5"/>
  <c r="H241" i="5"/>
  <c r="G241" i="5"/>
  <c r="H240" i="5"/>
  <c r="G240" i="5"/>
  <c r="H239" i="5"/>
  <c r="G239" i="5"/>
  <c r="H238" i="5"/>
  <c r="G238" i="5"/>
  <c r="H237" i="5"/>
  <c r="G237" i="5"/>
  <c r="H236" i="5"/>
  <c r="G236" i="5"/>
  <c r="H235" i="5"/>
  <c r="G235" i="5"/>
  <c r="H234" i="5"/>
  <c r="G234" i="5"/>
  <c r="H233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G227" i="5"/>
  <c r="H226" i="5"/>
  <c r="G226" i="5"/>
  <c r="H225" i="5"/>
  <c r="G225" i="5"/>
  <c r="H224" i="5"/>
  <c r="G224" i="5"/>
  <c r="H223" i="5"/>
  <c r="G223" i="5"/>
  <c r="H222" i="5"/>
  <c r="G222" i="5"/>
  <c r="H221" i="5"/>
  <c r="G221" i="5"/>
  <c r="H220" i="5"/>
  <c r="G220" i="5"/>
  <c r="H219" i="5"/>
  <c r="G219" i="5"/>
  <c r="H218" i="5"/>
  <c r="G218" i="5"/>
  <c r="H217" i="5"/>
  <c r="G217" i="5"/>
  <c r="H216" i="5"/>
  <c r="G216" i="5"/>
  <c r="H215" i="5"/>
  <c r="G215" i="5"/>
  <c r="H214" i="5"/>
  <c r="G214" i="5"/>
  <c r="H213" i="5"/>
  <c r="G213" i="5"/>
  <c r="H212" i="5"/>
  <c r="G212" i="5"/>
  <c r="H211" i="5"/>
  <c r="G211" i="5"/>
  <c r="H210" i="5"/>
  <c r="G210" i="5"/>
  <c r="H209" i="5"/>
  <c r="G209" i="5"/>
  <c r="H208" i="5"/>
  <c r="G208" i="5"/>
  <c r="H207" i="5"/>
  <c r="G207" i="5"/>
  <c r="H206" i="5"/>
  <c r="G206" i="5"/>
  <c r="H205" i="5"/>
  <c r="G205" i="5"/>
  <c r="H204" i="5"/>
  <c r="G204" i="5"/>
  <c r="H203" i="5"/>
  <c r="G203" i="5"/>
  <c r="H202" i="5"/>
  <c r="G202" i="5"/>
  <c r="H201" i="5"/>
  <c r="G201" i="5"/>
  <c r="H200" i="5"/>
  <c r="G200" i="5"/>
  <c r="H199" i="5"/>
  <c r="G199" i="5"/>
  <c r="H198" i="5"/>
  <c r="G198" i="5"/>
  <c r="H197" i="5"/>
  <c r="G197" i="5"/>
  <c r="H196" i="5"/>
  <c r="G196" i="5"/>
  <c r="H195" i="5"/>
  <c r="G195" i="5"/>
  <c r="H194" i="5"/>
  <c r="G194" i="5"/>
  <c r="H193" i="5"/>
  <c r="G193" i="5"/>
  <c r="H192" i="5"/>
  <c r="G192" i="5"/>
  <c r="H191" i="5"/>
  <c r="G191" i="5"/>
  <c r="H190" i="5"/>
  <c r="G190" i="5"/>
  <c r="H189" i="5"/>
  <c r="G189" i="5"/>
  <c r="H188" i="5"/>
  <c r="G188" i="5"/>
  <c r="H187" i="5"/>
  <c r="G187" i="5"/>
  <c r="H186" i="5"/>
  <c r="G186" i="5"/>
  <c r="H185" i="5"/>
  <c r="G185" i="5"/>
  <c r="H184" i="5"/>
  <c r="G184" i="5"/>
  <c r="H183" i="5"/>
  <c r="G183" i="5"/>
  <c r="H182" i="5"/>
  <c r="G182" i="5"/>
  <c r="H181" i="5"/>
  <c r="G181" i="5"/>
  <c r="H180" i="5"/>
  <c r="G180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J10" i="5" s="1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J3" i="5" s="1"/>
  <c r="G3" i="5"/>
  <c r="H2" i="5"/>
  <c r="J2" i="5" s="1"/>
  <c r="G2" i="5"/>
  <c r="C29" i="4"/>
  <c r="C28" i="4"/>
  <c r="C25" i="4"/>
  <c r="B25" i="4"/>
  <c r="C24" i="4"/>
  <c r="B24" i="4"/>
  <c r="C23" i="4"/>
  <c r="B23" i="4"/>
  <c r="C22" i="4"/>
  <c r="B22" i="4"/>
  <c r="C21" i="4"/>
  <c r="B21" i="4"/>
  <c r="I17" i="4"/>
  <c r="F17" i="4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AA1" i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E12" i="2" l="1"/>
  <c r="E6" i="2"/>
  <c r="E3" i="2"/>
  <c r="E7" i="2"/>
  <c r="E11" i="2"/>
  <c r="E4" i="2"/>
  <c r="E10" i="2"/>
  <c r="E9" i="2"/>
  <c r="E8" i="2"/>
  <c r="E5" i="2"/>
  <c r="E2" i="2"/>
  <c r="I2342" i="5"/>
  <c r="I881" i="5"/>
  <c r="I4587" i="5"/>
  <c r="J1005" i="5"/>
  <c r="D24" i="4"/>
  <c r="J1024" i="5"/>
  <c r="J21" i="5"/>
  <c r="J5" i="5"/>
  <c r="I3" i="5"/>
  <c r="I4" i="5"/>
  <c r="I4998" i="5"/>
  <c r="J4995" i="5"/>
  <c r="I4994" i="5"/>
  <c r="J4993" i="5"/>
  <c r="I4991" i="5"/>
  <c r="I4989" i="5"/>
  <c r="J4987" i="5"/>
  <c r="J4985" i="5"/>
  <c r="J4983" i="5"/>
  <c r="I4983" i="5"/>
  <c r="J4981" i="5"/>
  <c r="J4979" i="5"/>
  <c r="J4977" i="5"/>
  <c r="I4976" i="5"/>
  <c r="J4974" i="5"/>
  <c r="I4973" i="5"/>
  <c r="I4971" i="5"/>
  <c r="I4969" i="5"/>
  <c r="J4967" i="5"/>
  <c r="J4966" i="5"/>
  <c r="J4964" i="5"/>
  <c r="I4963" i="5"/>
  <c r="J4961" i="5"/>
  <c r="J4959" i="5"/>
  <c r="I4958" i="5"/>
  <c r="J4956" i="5"/>
  <c r="I4955" i="5"/>
  <c r="I4952" i="5"/>
  <c r="J4948" i="5"/>
  <c r="I4837" i="5"/>
  <c r="J4835" i="5"/>
  <c r="I4834" i="5"/>
  <c r="I4825" i="5"/>
  <c r="I4818" i="5"/>
  <c r="J4814" i="5"/>
  <c r="J4811" i="5"/>
  <c r="I4808" i="5"/>
  <c r="J4805" i="5"/>
  <c r="J4803" i="5"/>
  <c r="I4801" i="5"/>
  <c r="J4798" i="5"/>
  <c r="I4797" i="5"/>
  <c r="J4793" i="5"/>
  <c r="I4790" i="5"/>
  <c r="I4787" i="5"/>
  <c r="I4783" i="5"/>
  <c r="I4779" i="5"/>
  <c r="J4775" i="5"/>
  <c r="I4772" i="5"/>
  <c r="J4767" i="5"/>
  <c r="J4764" i="5"/>
  <c r="I4763" i="5"/>
  <c r="I4761" i="5"/>
  <c r="J4756" i="5"/>
  <c r="I4755" i="5"/>
  <c r="I4750" i="5"/>
  <c r="I4748" i="5"/>
  <c r="I4746" i="5"/>
  <c r="J4744" i="5"/>
  <c r="I4743" i="5"/>
  <c r="J4740" i="5"/>
  <c r="J4737" i="5"/>
  <c r="I4735" i="5"/>
  <c r="I4732" i="5"/>
  <c r="I4729" i="5"/>
  <c r="J4723" i="5"/>
  <c r="J4718" i="5"/>
  <c r="I4716" i="5"/>
  <c r="J4712" i="5"/>
  <c r="I4709" i="5"/>
  <c r="I4706" i="5"/>
  <c r="I4703" i="5"/>
  <c r="I4700" i="5"/>
  <c r="I4697" i="5"/>
  <c r="J4694" i="5"/>
  <c r="J4689" i="5"/>
  <c r="I4687" i="5"/>
  <c r="I4683" i="5"/>
  <c r="I4680" i="5"/>
  <c r="I4678" i="5"/>
  <c r="I4675" i="5"/>
  <c r="J4670" i="5"/>
  <c r="I4668" i="5"/>
  <c r="I4665" i="5"/>
  <c r="J4660" i="5"/>
  <c r="I4658" i="5"/>
  <c r="I4654" i="5"/>
  <c r="I4651" i="5"/>
  <c r="I4649" i="5"/>
  <c r="J4647" i="5"/>
  <c r="J4644" i="5"/>
  <c r="J4642" i="5"/>
  <c r="J4639" i="5"/>
  <c r="I4638" i="5"/>
  <c r="J4635" i="5"/>
  <c r="J4633" i="5"/>
  <c r="J4630" i="5"/>
  <c r="I4629" i="5"/>
  <c r="I4627" i="5"/>
  <c r="I4624" i="5"/>
  <c r="J4622" i="5"/>
  <c r="J4619" i="5"/>
  <c r="J4616" i="5"/>
  <c r="J4613" i="5"/>
  <c r="J4610" i="5"/>
  <c r="I4609" i="5"/>
  <c r="J4607" i="5"/>
  <c r="J4605" i="5"/>
  <c r="I4604" i="5"/>
  <c r="J4602" i="5"/>
  <c r="I4600" i="5"/>
  <c r="J4598" i="5"/>
  <c r="I4597" i="5"/>
  <c r="I4595" i="5"/>
  <c r="I4593" i="5"/>
  <c r="I4591" i="5"/>
  <c r="I4589" i="5"/>
  <c r="J4998" i="5"/>
  <c r="J4996" i="5"/>
  <c r="J4994" i="5"/>
  <c r="I4993" i="5"/>
  <c r="J4992" i="5"/>
  <c r="J4991" i="5"/>
  <c r="I4990" i="5"/>
  <c r="J4988" i="5"/>
  <c r="J4986" i="5"/>
  <c r="I4985" i="5"/>
  <c r="I4982" i="5"/>
  <c r="J4980" i="5"/>
  <c r="I4979" i="5"/>
  <c r="I4977" i="5"/>
  <c r="J4975" i="5"/>
  <c r="I4974" i="5"/>
  <c r="J4972" i="5"/>
  <c r="I4970" i="5"/>
  <c r="I4968" i="5"/>
  <c r="J4965" i="5"/>
  <c r="J4963" i="5"/>
  <c r="I4962" i="5"/>
  <c r="I4960" i="5"/>
  <c r="J4957" i="5"/>
  <c r="I4956" i="5"/>
  <c r="J4954" i="5"/>
  <c r="J4951" i="5"/>
  <c r="I4948" i="5"/>
  <c r="J4862" i="5"/>
  <c r="I4725" i="5"/>
  <c r="J4722" i="5"/>
  <c r="J4719" i="5"/>
  <c r="I3218" i="5"/>
  <c r="J3214" i="5"/>
  <c r="J3210" i="5"/>
  <c r="J3206" i="5"/>
  <c r="I3200" i="5"/>
  <c r="I3195" i="5"/>
  <c r="J3191" i="5"/>
  <c r="J3187" i="5"/>
  <c r="J3181" i="5"/>
  <c r="J3177" i="5"/>
  <c r="J3171" i="5"/>
  <c r="I3168" i="5"/>
  <c r="I3163" i="5"/>
  <c r="J3159" i="5"/>
  <c r="J3157" i="5"/>
  <c r="J3155" i="5"/>
  <c r="J3152" i="5"/>
  <c r="J3150" i="5"/>
  <c r="J3145" i="5"/>
  <c r="J3140" i="5"/>
  <c r="I3138" i="5"/>
  <c r="I3131" i="5"/>
  <c r="I3124" i="5"/>
  <c r="I3120" i="5"/>
  <c r="J3115" i="5"/>
  <c r="J3112" i="5"/>
  <c r="J3110" i="5"/>
  <c r="I3107" i="5"/>
  <c r="I3079" i="5"/>
  <c r="J3073" i="5"/>
  <c r="J3069" i="5"/>
  <c r="J3059" i="5"/>
  <c r="I3057" i="5"/>
  <c r="I3052" i="5"/>
  <c r="J3043" i="5"/>
  <c r="I3039" i="5"/>
  <c r="I3035" i="5"/>
  <c r="J3029" i="5"/>
  <c r="I3023" i="5"/>
  <c r="J3015" i="5"/>
  <c r="J3011" i="5"/>
  <c r="I3007" i="5"/>
  <c r="I3004" i="5"/>
  <c r="I3000" i="5"/>
  <c r="J2995" i="5"/>
  <c r="J2993" i="5"/>
  <c r="J2987" i="5"/>
  <c r="I2547" i="5"/>
  <c r="I2542" i="5"/>
  <c r="J2536" i="5"/>
  <c r="I2532" i="5"/>
  <c r="I2520" i="5"/>
  <c r="J2515" i="5"/>
  <c r="J2512" i="5"/>
  <c r="I2506" i="5"/>
  <c r="I2500" i="5"/>
  <c r="J2495" i="5"/>
  <c r="J2488" i="5"/>
  <c r="J2481" i="5"/>
  <c r="I2476" i="5"/>
  <c r="I2472" i="5"/>
  <c r="J2469" i="5"/>
  <c r="I2465" i="5"/>
  <c r="J2459" i="5"/>
  <c r="I2454" i="5"/>
  <c r="I2452" i="5"/>
  <c r="J2444" i="5"/>
  <c r="J2438" i="5"/>
  <c r="J2429" i="5"/>
  <c r="I2422" i="5"/>
  <c r="I2415" i="5"/>
  <c r="I2409" i="5"/>
  <c r="I2403" i="5"/>
  <c r="J2397" i="5"/>
  <c r="J2389" i="5"/>
  <c r="J2382" i="5"/>
  <c r="I2373" i="5"/>
  <c r="I2368" i="5"/>
  <c r="J2362" i="5"/>
  <c r="J2355" i="5"/>
  <c r="J2347" i="5"/>
  <c r="J2343" i="5"/>
  <c r="J2339" i="5"/>
  <c r="I2335" i="5"/>
  <c r="J2329" i="5"/>
  <c r="J2324" i="5"/>
  <c r="J2320" i="5"/>
  <c r="I2317" i="5"/>
  <c r="I2313" i="5"/>
  <c r="I2307" i="5"/>
  <c r="I2299" i="5"/>
  <c r="I2291" i="5"/>
  <c r="I2287" i="5"/>
  <c r="I2280" i="5"/>
  <c r="I2278" i="5"/>
  <c r="I2275" i="5"/>
  <c r="I2270" i="5"/>
  <c r="I2263" i="5"/>
  <c r="J2259" i="5"/>
  <c r="I2253" i="5"/>
  <c r="I2247" i="5"/>
  <c r="I2241" i="5"/>
  <c r="J2235" i="5"/>
  <c r="J2039" i="5"/>
  <c r="I2032" i="5"/>
  <c r="J2028" i="5"/>
  <c r="J2023" i="5"/>
  <c r="I2009" i="5"/>
  <c r="I2002" i="5"/>
  <c r="I1997" i="5"/>
  <c r="I1991" i="5"/>
  <c r="J1989" i="5"/>
  <c r="I1983" i="5"/>
  <c r="J1975" i="5"/>
  <c r="J1970" i="5"/>
  <c r="I1965" i="5"/>
  <c r="J1957" i="5"/>
  <c r="J1953" i="5"/>
  <c r="J1949" i="5"/>
  <c r="I1943" i="5"/>
  <c r="I1938" i="5"/>
  <c r="J1927" i="5"/>
  <c r="I1918" i="5"/>
  <c r="J1911" i="5"/>
  <c r="I1907" i="5"/>
  <c r="I1901" i="5"/>
  <c r="I1900" i="5"/>
  <c r="I1898" i="5"/>
  <c r="J1890" i="5"/>
  <c r="J1886" i="5"/>
  <c r="I1886" i="5"/>
  <c r="I1885" i="5"/>
  <c r="J1882" i="5"/>
  <c r="I1880" i="5"/>
  <c r="J1876" i="5"/>
  <c r="I1874" i="5"/>
  <c r="I1870" i="5"/>
  <c r="I1863" i="5"/>
  <c r="I1857" i="5"/>
  <c r="J1852" i="5"/>
  <c r="I1849" i="5"/>
  <c r="J1845" i="5"/>
  <c r="J1835" i="5"/>
  <c r="I1834" i="5"/>
  <c r="I1830" i="5"/>
  <c r="I1828" i="5"/>
  <c r="I1826" i="5"/>
  <c r="I1821" i="5"/>
  <c r="I1817" i="5"/>
  <c r="I1813" i="5"/>
  <c r="I1811" i="5"/>
  <c r="J1807" i="5"/>
  <c r="I1803" i="5"/>
  <c r="J1799" i="5"/>
  <c r="J1794" i="5"/>
  <c r="J1790" i="5"/>
  <c r="J1786" i="5"/>
  <c r="I1783" i="5"/>
  <c r="I1775" i="5"/>
  <c r="I1772" i="5"/>
  <c r="I1768" i="5"/>
  <c r="I1765" i="5"/>
  <c r="I1760" i="5"/>
  <c r="J1758" i="5"/>
  <c r="J1754" i="5"/>
  <c r="J1748" i="5"/>
  <c r="I1743" i="5"/>
  <c r="I1738" i="5"/>
  <c r="J1734" i="5"/>
  <c r="J1728" i="5"/>
  <c r="I1723" i="5"/>
  <c r="I1714" i="5"/>
  <c r="J1706" i="5"/>
  <c r="J1702" i="5"/>
  <c r="I1695" i="5"/>
  <c r="J1692" i="5"/>
  <c r="J1687" i="5"/>
  <c r="I1683" i="5"/>
  <c r="I1680" i="5"/>
  <c r="I1675" i="5"/>
  <c r="J30" i="5"/>
  <c r="D22" i="4"/>
  <c r="J4969" i="5"/>
  <c r="I4953" i="5"/>
  <c r="J4950" i="5"/>
  <c r="J4949" i="5"/>
  <c r="J4945" i="5"/>
  <c r="J4894" i="5"/>
  <c r="I4892" i="5"/>
  <c r="I4889" i="5"/>
  <c r="I4887" i="5"/>
  <c r="I4885" i="5"/>
  <c r="I4883" i="5"/>
  <c r="I4880" i="5"/>
  <c r="I4877" i="5"/>
  <c r="I4872" i="5"/>
  <c r="I4869" i="5"/>
  <c r="J4866" i="5"/>
  <c r="J4858" i="5"/>
  <c r="J4855" i="5"/>
  <c r="J4853" i="5"/>
  <c r="I4851" i="5"/>
  <c r="I4848" i="5"/>
  <c r="J4846" i="5"/>
  <c r="I4844" i="5"/>
  <c r="J4841" i="5"/>
  <c r="J4834" i="5"/>
  <c r="J4833" i="5"/>
  <c r="I4833" i="5"/>
  <c r="I4831" i="5"/>
  <c r="J4829" i="5"/>
  <c r="J4827" i="5"/>
  <c r="J4824" i="5"/>
  <c r="J4821" i="5"/>
  <c r="J4818" i="5"/>
  <c r="I4816" i="5"/>
  <c r="J4812" i="5"/>
  <c r="I4810" i="5"/>
  <c r="J4806" i="5"/>
  <c r="J4802" i="5"/>
  <c r="J4800" i="5"/>
  <c r="I4798" i="5"/>
  <c r="J4795" i="5"/>
  <c r="I4793" i="5"/>
  <c r="J4789" i="5"/>
  <c r="I4786" i="5"/>
  <c r="I4784" i="5"/>
  <c r="J4780" i="5"/>
  <c r="I4778" i="5"/>
  <c r="J4774" i="5"/>
  <c r="J4771" i="5"/>
  <c r="J4768" i="5"/>
  <c r="I4766" i="5"/>
  <c r="I4762" i="5"/>
  <c r="J4759" i="5"/>
  <c r="J4757" i="5"/>
  <c r="I4756" i="5"/>
  <c r="I4753" i="5"/>
  <c r="J4749" i="5"/>
  <c r="J4747" i="5"/>
  <c r="J4742" i="5"/>
  <c r="I4741" i="5"/>
  <c r="J4738" i="5"/>
  <c r="I4737" i="5"/>
  <c r="J4733" i="5"/>
  <c r="J4731" i="5"/>
  <c r="J4728" i="5"/>
  <c r="J4277" i="5"/>
  <c r="I4272" i="5"/>
  <c r="J4268" i="5"/>
  <c r="I4265" i="5"/>
  <c r="J4198" i="5"/>
  <c r="J4194" i="5"/>
  <c r="J4190" i="5"/>
  <c r="J4186" i="5"/>
  <c r="J4183" i="5"/>
  <c r="I4181" i="5"/>
  <c r="J4178" i="5"/>
  <c r="J4175" i="5"/>
  <c r="I4172" i="5"/>
  <c r="J4169" i="5"/>
  <c r="I4165" i="5"/>
  <c r="I4163" i="5"/>
  <c r="I4160" i="5"/>
  <c r="I4157" i="5"/>
  <c r="I4154" i="5"/>
  <c r="I4151" i="5"/>
  <c r="I4148" i="5"/>
  <c r="I4146" i="5"/>
  <c r="I4144" i="5"/>
  <c r="I4142" i="5"/>
  <c r="I4139" i="5"/>
  <c r="I4136" i="5"/>
  <c r="J4133" i="5"/>
  <c r="I4131" i="5"/>
  <c r="I4129" i="5"/>
  <c r="J4126" i="5"/>
  <c r="J4123" i="5"/>
  <c r="J4121" i="5"/>
  <c r="J4117" i="5"/>
  <c r="I4114" i="5"/>
  <c r="I4111" i="5"/>
  <c r="I4106" i="5"/>
  <c r="J4103" i="5"/>
  <c r="I4101" i="5"/>
  <c r="J4097" i="5"/>
  <c r="I4096" i="5"/>
  <c r="J4092" i="5"/>
  <c r="I4092" i="5"/>
  <c r="J4091" i="5"/>
  <c r="J4089" i="5"/>
  <c r="I4085" i="5"/>
  <c r="I4083" i="5"/>
  <c r="J4078" i="5"/>
  <c r="J4074" i="5"/>
  <c r="I4071" i="5"/>
  <c r="I4067" i="5"/>
  <c r="I4064" i="5"/>
  <c r="J4061" i="5"/>
  <c r="I4056" i="5"/>
  <c r="I4053" i="5"/>
  <c r="I4050" i="5"/>
  <c r="I4048" i="5"/>
  <c r="I4045" i="5"/>
  <c r="I4042" i="5"/>
  <c r="J4039" i="5"/>
  <c r="I4037" i="5"/>
  <c r="J4033" i="5"/>
  <c r="J4030" i="5"/>
  <c r="J4028" i="5"/>
  <c r="I4026" i="5"/>
  <c r="J4022" i="5"/>
  <c r="I4021" i="5"/>
  <c r="J4018" i="5"/>
  <c r="I4015" i="5"/>
  <c r="J4012" i="5"/>
  <c r="I4008" i="5"/>
  <c r="J4003" i="5"/>
  <c r="I4001" i="5"/>
  <c r="I3999" i="5"/>
  <c r="J3994" i="5"/>
  <c r="J3991" i="5"/>
  <c r="I3989" i="5"/>
  <c r="I3984" i="5"/>
  <c r="I3981" i="5"/>
  <c r="I3977" i="5"/>
  <c r="J3972" i="5"/>
  <c r="J3970" i="5"/>
  <c r="J3967" i="5"/>
  <c r="I3965" i="5"/>
  <c r="I3962" i="5"/>
  <c r="J3959" i="5"/>
  <c r="J3955" i="5"/>
  <c r="I3953" i="5"/>
  <c r="J3950" i="5"/>
  <c r="I3946" i="5"/>
  <c r="I3943" i="5"/>
  <c r="J3940" i="5"/>
  <c r="I3937" i="5"/>
  <c r="J3934" i="5"/>
  <c r="J3931" i="5"/>
  <c r="J3927" i="5"/>
  <c r="I3924" i="5"/>
  <c r="I3922" i="5"/>
  <c r="J3919" i="5"/>
  <c r="I3917" i="5"/>
  <c r="J3914" i="5"/>
  <c r="I3912" i="5"/>
  <c r="J3908" i="5"/>
  <c r="J3905" i="5"/>
  <c r="I3903" i="5"/>
  <c r="I3901" i="5"/>
  <c r="I3898" i="5"/>
  <c r="J3895" i="5"/>
  <c r="I3893" i="5"/>
  <c r="I3890" i="5"/>
  <c r="I3886" i="5"/>
  <c r="I3884" i="5"/>
  <c r="J3880" i="5"/>
  <c r="J3877" i="5"/>
  <c r="I3875" i="5"/>
  <c r="I3873" i="5"/>
  <c r="I3870" i="5"/>
  <c r="J3866" i="5"/>
  <c r="I3865" i="5"/>
  <c r="I3863" i="5"/>
  <c r="I3860" i="5"/>
  <c r="I3857" i="5"/>
  <c r="I3853" i="5"/>
  <c r="I3848" i="5"/>
  <c r="J3844" i="5"/>
  <c r="I3842" i="5"/>
  <c r="J3840" i="5"/>
  <c r="I3838" i="5"/>
  <c r="I3835" i="5"/>
  <c r="I3831" i="5"/>
  <c r="I3828" i="5"/>
  <c r="I3824" i="5"/>
  <c r="I3821" i="5"/>
  <c r="I3816" i="5"/>
  <c r="J3814" i="5"/>
  <c r="I3812" i="5"/>
  <c r="J3809" i="5"/>
  <c r="J3806" i="5"/>
  <c r="J3803" i="5"/>
  <c r="I3801" i="5"/>
  <c r="I3798" i="5"/>
  <c r="J3794" i="5"/>
  <c r="J3792" i="5"/>
  <c r="I3790" i="5"/>
  <c r="J3786" i="5"/>
  <c r="J3781" i="5"/>
  <c r="J3778" i="5"/>
  <c r="J3777" i="5"/>
  <c r="J3774" i="5"/>
  <c r="J3771" i="5"/>
  <c r="I3769" i="5"/>
  <c r="J3765" i="5"/>
  <c r="I3763" i="5"/>
  <c r="I3759" i="5"/>
  <c r="J3756" i="5"/>
  <c r="J3750" i="5"/>
  <c r="J3747" i="5"/>
  <c r="I3744" i="5"/>
  <c r="I3742" i="5"/>
  <c r="J3383" i="5"/>
  <c r="I3378" i="5"/>
  <c r="J3373" i="5"/>
  <c r="J3368" i="5"/>
  <c r="I3364" i="5"/>
  <c r="I3361" i="5"/>
  <c r="I3357" i="5"/>
  <c r="J3351" i="5"/>
  <c r="J3347" i="5"/>
  <c r="J3345" i="5"/>
  <c r="I3342" i="5"/>
  <c r="J3336" i="5"/>
  <c r="J3332" i="5"/>
  <c r="I3330" i="5"/>
  <c r="I3323" i="5"/>
  <c r="I3318" i="5"/>
  <c r="J3314" i="5"/>
  <c r="I3312" i="5"/>
  <c r="J3308" i="5"/>
  <c r="I3302" i="5"/>
  <c r="I3296" i="5"/>
  <c r="J3291" i="5"/>
  <c r="I3286" i="5"/>
  <c r="I3283" i="5"/>
  <c r="J3276" i="5"/>
  <c r="I3273" i="5"/>
  <c r="J3267" i="5"/>
  <c r="J3263" i="5"/>
  <c r="I3260" i="5"/>
  <c r="I3254" i="5"/>
  <c r="I3248" i="5"/>
  <c r="J3244" i="5"/>
  <c r="I3239" i="5"/>
  <c r="J3235" i="5"/>
  <c r="I3230" i="5"/>
  <c r="I3215" i="5"/>
  <c r="I3211" i="5"/>
  <c r="I3207" i="5"/>
  <c r="I3203" i="5"/>
  <c r="I3199" i="5"/>
  <c r="J3195" i="5"/>
  <c r="I3191" i="5"/>
  <c r="I3187" i="5"/>
  <c r="J3179" i="5"/>
  <c r="I3175" i="5"/>
  <c r="J3169" i="5"/>
  <c r="J3165" i="5"/>
  <c r="J3160" i="5"/>
  <c r="J3158" i="5"/>
  <c r="J3156" i="5"/>
  <c r="J3151" i="5"/>
  <c r="I3148" i="5"/>
  <c r="I3144" i="5"/>
  <c r="I3139" i="5"/>
  <c r="I3133" i="5"/>
  <c r="J3130" i="5"/>
  <c r="I3126" i="5"/>
  <c r="I3121" i="5"/>
  <c r="J3117" i="5"/>
  <c r="I3105" i="5"/>
  <c r="I3098" i="5"/>
  <c r="I3095" i="5"/>
  <c r="J3091" i="5"/>
  <c r="I3088" i="5"/>
  <c r="J3084" i="5"/>
  <c r="I3083" i="5"/>
  <c r="J3063" i="5"/>
  <c r="I3061" i="5"/>
  <c r="I3058" i="5"/>
  <c r="I3054" i="5"/>
  <c r="I3049" i="5"/>
  <c r="I3042" i="5"/>
  <c r="I3037" i="5"/>
  <c r="J3032" i="5"/>
  <c r="I3029" i="5"/>
  <c r="J3022" i="5"/>
  <c r="J3017" i="5"/>
  <c r="I3011" i="5"/>
  <c r="J3001" i="5"/>
  <c r="J2997" i="5"/>
  <c r="I2992" i="5"/>
  <c r="I2989" i="5"/>
  <c r="I2551" i="5"/>
  <c r="I2549" i="5"/>
  <c r="J2543" i="5"/>
  <c r="I2538" i="5"/>
  <c r="J2532" i="5"/>
  <c r="I2522" i="5"/>
  <c r="I2517" i="5"/>
  <c r="J2511" i="5"/>
  <c r="J2505" i="5"/>
  <c r="I2498" i="5"/>
  <c r="I2491" i="5"/>
  <c r="I2486" i="5"/>
  <c r="I2483" i="5"/>
  <c r="J2477" i="5"/>
  <c r="I2468" i="5"/>
  <c r="J2460" i="5"/>
  <c r="I2456" i="5"/>
  <c r="I2449" i="5"/>
  <c r="J2440" i="5"/>
  <c r="J2432" i="5"/>
  <c r="J2421" i="5"/>
  <c r="J2412" i="5"/>
  <c r="I2408" i="5"/>
  <c r="J2402" i="5"/>
  <c r="I2395" i="5"/>
  <c r="J2392" i="5"/>
  <c r="I2387" i="5"/>
  <c r="J2383" i="5"/>
  <c r="I2376" i="5"/>
  <c r="J2369" i="5"/>
  <c r="I2364" i="5"/>
  <c r="I2359" i="5"/>
  <c r="J2353" i="5"/>
  <c r="J2334" i="5"/>
  <c r="I2330" i="5"/>
  <c r="I2325" i="5"/>
  <c r="I2321" i="5"/>
  <c r="J2316" i="5"/>
  <c r="I2312" i="5"/>
  <c r="J2306" i="5"/>
  <c r="J2299" i="5"/>
  <c r="J2293" i="5"/>
  <c r="I2288" i="5"/>
  <c r="I2281" i="5"/>
  <c r="I2271" i="5"/>
  <c r="J2264" i="5"/>
  <c r="I2262" i="5"/>
  <c r="I2259" i="5"/>
  <c r="I2249" i="5"/>
  <c r="J2241" i="5"/>
  <c r="I2235" i="5"/>
  <c r="J2041" i="5"/>
  <c r="J2035" i="5"/>
  <c r="J2030" i="5"/>
  <c r="I2024" i="5"/>
  <c r="I2019" i="5"/>
  <c r="J2015" i="5"/>
  <c r="I2011" i="5"/>
  <c r="I2006" i="5"/>
  <c r="I2000" i="5"/>
  <c r="J1996" i="5"/>
  <c r="I1992" i="5"/>
  <c r="I1988" i="5"/>
  <c r="J1982" i="5"/>
  <c r="I1975" i="5"/>
  <c r="J1968" i="5"/>
  <c r="J1962" i="5"/>
  <c r="I1958" i="5"/>
  <c r="I1952" i="5"/>
  <c r="J1946" i="5"/>
  <c r="I1942" i="5"/>
  <c r="J1934" i="5"/>
  <c r="I1929" i="5"/>
  <c r="I1923" i="5"/>
  <c r="J1917" i="5"/>
  <c r="I1911" i="5"/>
  <c r="I1905" i="5"/>
  <c r="J1894" i="5"/>
  <c r="I1593" i="5"/>
  <c r="J1587" i="5"/>
  <c r="I1584" i="5"/>
  <c r="I1579" i="5"/>
  <c r="J1573" i="5"/>
  <c r="I1569" i="5"/>
  <c r="I1565" i="5"/>
  <c r="I1561" i="5"/>
  <c r="J1557" i="5"/>
  <c r="J1554" i="5"/>
  <c r="J1547" i="5"/>
  <c r="I1543" i="5"/>
  <c r="J1539" i="5"/>
  <c r="I1534" i="5"/>
  <c r="I1528" i="5"/>
  <c r="J1523" i="5"/>
  <c r="J1520" i="5"/>
  <c r="I1516" i="5"/>
  <c r="J1512" i="5"/>
  <c r="J1510" i="5"/>
  <c r="J1506" i="5"/>
  <c r="J1503" i="5"/>
  <c r="I1499" i="5"/>
  <c r="J1493" i="5"/>
  <c r="I1489" i="5"/>
  <c r="J1484" i="5"/>
  <c r="J1037" i="5"/>
  <c r="I1030" i="5"/>
  <c r="I4995" i="5"/>
  <c r="I4992" i="5"/>
  <c r="J4990" i="5"/>
  <c r="J4989" i="5"/>
  <c r="I4988" i="5"/>
  <c r="I4986" i="5"/>
  <c r="J4984" i="5"/>
  <c r="J4982" i="5"/>
  <c r="I4981" i="5"/>
  <c r="I4980" i="5"/>
  <c r="I4978" i="5"/>
  <c r="J4976" i="5"/>
  <c r="I4975" i="5"/>
  <c r="J4973" i="5"/>
  <c r="I4972" i="5"/>
  <c r="J4970" i="5"/>
  <c r="J4968" i="5"/>
  <c r="I4967" i="5"/>
  <c r="I4965" i="5"/>
  <c r="I4964" i="5"/>
  <c r="J4962" i="5"/>
  <c r="J4960" i="5"/>
  <c r="I4959" i="5"/>
  <c r="I4957" i="5"/>
  <c r="J4955" i="5"/>
  <c r="J4953" i="5"/>
  <c r="I4951" i="5"/>
  <c r="I4949" i="5"/>
  <c r="I4912" i="5"/>
  <c r="J4910" i="5"/>
  <c r="J4909" i="5"/>
  <c r="I4908" i="5"/>
  <c r="J4906" i="5"/>
  <c r="I4860" i="5"/>
  <c r="I4859" i="5"/>
  <c r="J4857" i="5"/>
  <c r="I4856" i="5"/>
  <c r="I4854" i="5"/>
  <c r="I4853" i="5"/>
  <c r="J4851" i="5"/>
  <c r="I4850" i="5"/>
  <c r="J4848" i="5"/>
  <c r="J4847" i="5"/>
  <c r="I4846" i="5"/>
  <c r="J4844" i="5"/>
  <c r="I4843" i="5"/>
  <c r="J4840" i="5"/>
  <c r="J4839" i="5"/>
  <c r="J4832" i="5"/>
  <c r="J4830" i="5"/>
  <c r="I4829" i="5"/>
  <c r="I4827" i="5"/>
  <c r="I4826" i="5"/>
  <c r="J4823" i="5"/>
  <c r="J4822" i="5"/>
  <c r="J4820" i="5"/>
  <c r="J4819" i="5"/>
  <c r="I4817" i="5"/>
  <c r="J4815" i="5"/>
  <c r="I4814" i="5"/>
  <c r="I4812" i="5"/>
  <c r="J4810" i="5"/>
  <c r="J4808" i="5"/>
  <c r="I4807" i="5"/>
  <c r="I4805" i="5"/>
  <c r="I4803" i="5"/>
  <c r="I4802" i="5"/>
  <c r="I4799" i="5"/>
  <c r="J4796" i="5"/>
  <c r="I4794" i="5"/>
  <c r="I4792" i="5"/>
  <c r="J4790" i="5"/>
  <c r="J4787" i="5"/>
  <c r="I4785" i="5"/>
  <c r="J4782" i="5"/>
  <c r="J4781" i="5"/>
  <c r="I4780" i="5"/>
  <c r="J4778" i="5"/>
  <c r="I4776" i="5"/>
  <c r="I4774" i="5"/>
  <c r="I4771" i="5"/>
  <c r="I4768" i="5"/>
  <c r="J4765" i="5"/>
  <c r="J4665" i="5"/>
  <c r="J4661" i="5"/>
  <c r="J4657" i="5"/>
  <c r="I4653" i="5"/>
  <c r="J4649" i="5"/>
  <c r="I4646" i="5"/>
  <c r="I4644" i="5"/>
  <c r="I4641" i="5"/>
  <c r="I4637" i="5"/>
  <c r="I4635" i="5"/>
  <c r="I4633" i="5"/>
  <c r="I4631" i="5"/>
  <c r="J4628" i="5"/>
  <c r="I4625" i="5"/>
  <c r="I4622" i="5"/>
  <c r="I4619" i="5"/>
  <c r="I4617" i="5"/>
  <c r="J4614" i="5"/>
  <c r="J4612" i="5"/>
  <c r="J4611" i="5"/>
  <c r="J4609" i="5"/>
  <c r="I4608" i="5"/>
  <c r="I4606" i="5"/>
  <c r="J4604" i="5"/>
  <c r="I4602" i="5"/>
  <c r="J4600" i="5"/>
  <c r="I4599" i="5"/>
  <c r="J4597" i="5"/>
  <c r="J4595" i="5"/>
  <c r="I4594" i="5"/>
  <c r="I4592" i="5"/>
  <c r="J4590" i="5"/>
  <c r="J4588" i="5"/>
  <c r="J4586" i="5"/>
  <c r="J4584" i="5"/>
  <c r="J4583" i="5"/>
  <c r="I4582" i="5"/>
  <c r="J4579" i="5"/>
  <c r="J4578" i="5"/>
  <c r="I4575" i="5"/>
  <c r="J4572" i="5"/>
  <c r="J4570" i="5"/>
  <c r="I4569" i="5"/>
  <c r="J4566" i="5"/>
  <c r="I4565" i="5"/>
  <c r="J4562" i="5"/>
  <c r="I4561" i="5"/>
  <c r="I4559" i="5"/>
  <c r="I4557" i="5"/>
  <c r="I4555" i="5"/>
  <c r="I4553" i="5"/>
  <c r="I4552" i="5"/>
  <c r="I4550" i="5"/>
  <c r="I4547" i="5"/>
  <c r="J4545" i="5"/>
  <c r="I4543" i="5"/>
  <c r="I4541" i="5"/>
  <c r="J4538" i="5"/>
  <c r="I4537" i="5"/>
  <c r="J4534" i="5"/>
  <c r="I4533" i="5"/>
  <c r="J4530" i="5"/>
  <c r="I4529" i="5"/>
  <c r="I4527" i="5"/>
  <c r="J4525" i="5"/>
  <c r="I4523" i="5"/>
  <c r="I4522" i="5"/>
  <c r="J4519" i="5"/>
  <c r="I4518" i="5"/>
  <c r="J4516" i="5"/>
  <c r="I4514" i="5"/>
  <c r="J4512" i="5"/>
  <c r="J4509" i="5"/>
  <c r="I4508" i="5"/>
  <c r="J4506" i="5"/>
  <c r="J4504" i="5"/>
  <c r="I4504" i="5"/>
  <c r="I4502" i="5"/>
  <c r="I4500" i="5"/>
  <c r="J4498" i="5"/>
  <c r="J4496" i="5"/>
  <c r="I4495" i="5"/>
  <c r="J4405" i="5"/>
  <c r="J4402" i="5"/>
  <c r="J4400" i="5"/>
  <c r="J4398" i="5"/>
  <c r="J4396" i="5"/>
  <c r="J4393" i="5"/>
  <c r="J4390" i="5"/>
  <c r="I4389" i="5"/>
  <c r="I4387" i="5"/>
  <c r="J4384" i="5"/>
  <c r="I4382" i="5"/>
  <c r="J4379" i="5"/>
  <c r="I4377" i="5"/>
  <c r="I4374" i="5"/>
  <c r="I4371" i="5"/>
  <c r="J4368" i="5"/>
  <c r="J4365" i="5"/>
  <c r="J4363" i="5"/>
  <c r="I4361" i="5"/>
  <c r="I4358" i="5"/>
  <c r="I4355" i="5"/>
  <c r="I4353" i="5"/>
  <c r="J4350" i="5"/>
  <c r="J4346" i="5"/>
  <c r="J4343" i="5"/>
  <c r="J4341" i="5"/>
  <c r="I4339" i="5"/>
  <c r="J4336" i="5"/>
  <c r="J4333" i="5"/>
  <c r="J4330" i="5"/>
  <c r="I4328" i="5"/>
  <c r="I4325" i="5"/>
  <c r="I4322" i="5"/>
  <c r="J4289" i="5"/>
  <c r="J4285" i="5"/>
  <c r="I4281" i="5"/>
  <c r="J4274" i="5"/>
  <c r="J4272" i="5"/>
  <c r="J4269" i="5"/>
  <c r="J4266" i="5"/>
  <c r="J4263" i="5"/>
  <c r="I4261" i="5"/>
  <c r="I4259" i="5"/>
  <c r="I4256" i="5"/>
  <c r="I4254" i="5"/>
  <c r="J4250" i="5"/>
  <c r="J4248" i="5"/>
  <c r="J4246" i="5"/>
  <c r="J4244" i="5"/>
  <c r="I4243" i="5"/>
  <c r="I4241" i="5"/>
  <c r="J4239" i="5"/>
  <c r="J4237" i="5"/>
  <c r="I4236" i="5"/>
  <c r="I4234" i="5"/>
  <c r="I4232" i="5"/>
  <c r="J4230" i="5"/>
  <c r="J4228" i="5"/>
  <c r="J4224" i="5"/>
  <c r="I4223" i="5"/>
  <c r="I4221" i="5"/>
  <c r="J4219" i="5"/>
  <c r="J4217" i="5"/>
  <c r="I4216" i="5"/>
  <c r="J4214" i="5"/>
  <c r="I4213" i="5"/>
  <c r="J4211" i="5"/>
  <c r="J4209" i="5"/>
  <c r="I4208" i="5"/>
  <c r="J4206" i="5"/>
  <c r="J4204" i="5"/>
  <c r="J4202" i="5"/>
  <c r="J4200" i="5"/>
  <c r="J4196" i="5"/>
  <c r="J4193" i="5"/>
  <c r="I4191" i="5"/>
  <c r="J4188" i="5"/>
  <c r="J4187" i="5"/>
  <c r="I4185" i="5"/>
  <c r="J4181" i="5"/>
  <c r="J4176" i="5"/>
  <c r="I4174" i="5"/>
  <c r="I4171" i="5"/>
  <c r="I4169" i="5"/>
  <c r="J4165" i="5"/>
  <c r="J4162" i="5"/>
  <c r="J4160" i="5"/>
  <c r="J4157" i="5"/>
  <c r="I4155" i="5"/>
  <c r="I4152" i="5"/>
  <c r="J4149" i="5"/>
  <c r="I4147" i="5"/>
  <c r="I4145" i="5"/>
  <c r="I4143" i="5"/>
  <c r="J4141" i="5"/>
  <c r="J4138" i="5"/>
  <c r="I4137" i="5"/>
  <c r="I4135" i="5"/>
  <c r="I4132" i="5"/>
  <c r="I4130" i="5"/>
  <c r="I4127" i="5"/>
  <c r="J4124" i="5"/>
  <c r="J4122" i="5"/>
  <c r="I4120" i="5"/>
  <c r="J4118" i="5"/>
  <c r="J4115" i="5"/>
  <c r="I4113" i="5"/>
  <c r="I4110" i="5"/>
  <c r="J4108" i="5"/>
  <c r="J4106" i="5"/>
  <c r="I4103" i="5"/>
  <c r="J4100" i="5"/>
  <c r="J4098" i="5"/>
  <c r="I4095" i="5"/>
  <c r="I4093" i="5"/>
  <c r="I4090" i="5"/>
  <c r="J4086" i="5"/>
  <c r="J4082" i="5"/>
  <c r="J4080" i="5"/>
  <c r="I4078" i="5"/>
  <c r="J4076" i="5"/>
  <c r="I4073" i="5"/>
  <c r="J4071" i="5"/>
  <c r="I4069" i="5"/>
  <c r="I4066" i="5"/>
  <c r="J4062" i="5"/>
  <c r="I4060" i="5"/>
  <c r="I4058" i="5"/>
  <c r="J4054" i="5"/>
  <c r="J4051" i="5"/>
  <c r="I4046" i="5"/>
  <c r="J4041" i="5"/>
  <c r="J4038" i="5"/>
  <c r="J4035" i="5"/>
  <c r="I4033" i="5"/>
  <c r="I4030" i="5"/>
  <c r="I4027" i="5"/>
  <c r="J4024" i="5"/>
  <c r="I4020" i="5"/>
  <c r="I4017" i="5"/>
  <c r="I4014" i="5"/>
  <c r="I4011" i="5"/>
  <c r="I4009" i="5"/>
  <c r="J4005" i="5"/>
  <c r="J4002" i="5"/>
  <c r="J4000" i="5"/>
  <c r="J3997" i="5"/>
  <c r="J3996" i="5"/>
  <c r="J3992" i="5"/>
  <c r="J3989" i="5"/>
  <c r="J3985" i="5"/>
  <c r="J3982" i="5"/>
  <c r="I3980" i="5"/>
  <c r="J3977" i="5"/>
  <c r="I3973" i="5"/>
  <c r="J3969" i="5"/>
  <c r="J3966" i="5"/>
  <c r="J3964" i="5"/>
  <c r="I3960" i="5"/>
  <c r="J3957" i="5"/>
  <c r="J3953" i="5"/>
  <c r="I3949" i="5"/>
  <c r="J3947" i="5"/>
  <c r="J3942" i="5"/>
  <c r="I3940" i="5"/>
  <c r="I3938" i="5"/>
  <c r="J3935" i="5"/>
  <c r="I3933" i="5"/>
  <c r="J3930" i="5"/>
  <c r="I3926" i="5"/>
  <c r="J3923" i="5"/>
  <c r="I3920" i="5"/>
  <c r="I3916" i="5"/>
  <c r="J3912" i="5"/>
  <c r="J3910" i="5"/>
  <c r="I3908" i="5"/>
  <c r="J3904" i="5"/>
  <c r="J3899" i="5"/>
  <c r="J3896" i="5"/>
  <c r="I3892" i="5"/>
  <c r="I3889" i="5"/>
  <c r="J3886" i="5"/>
  <c r="I3883" i="5"/>
  <c r="I3879" i="5"/>
  <c r="J3876" i="5"/>
  <c r="J3872" i="5"/>
  <c r="J3868" i="5"/>
  <c r="I3866" i="5"/>
  <c r="J3863" i="5"/>
  <c r="I3862" i="5"/>
  <c r="I3859" i="5"/>
  <c r="J3856" i="5"/>
  <c r="J3853" i="5"/>
  <c r="I3850" i="5"/>
  <c r="J3846" i="5"/>
  <c r="J3843" i="5"/>
  <c r="I3839" i="5"/>
  <c r="J3836" i="5"/>
  <c r="I3836" i="5"/>
  <c r="J3833" i="5"/>
  <c r="J3829" i="5"/>
  <c r="I3826" i="5"/>
  <c r="J3824" i="5"/>
  <c r="J3821" i="5"/>
  <c r="I3820" i="5"/>
  <c r="I3818" i="5"/>
  <c r="J3813" i="5"/>
  <c r="I3811" i="5"/>
  <c r="I3808" i="5"/>
  <c r="I3805" i="5"/>
  <c r="I3802" i="5"/>
  <c r="I3799" i="5"/>
  <c r="J3796" i="5"/>
  <c r="I3794" i="5"/>
  <c r="I3792" i="5"/>
  <c r="J3789" i="5"/>
  <c r="I3786" i="5"/>
  <c r="I3782" i="5"/>
  <c r="J3779" i="5"/>
  <c r="J3776" i="5"/>
  <c r="J3773" i="5"/>
  <c r="J3770" i="5"/>
  <c r="J3768" i="5"/>
  <c r="J3764" i="5"/>
  <c r="I3762" i="5"/>
  <c r="J3758" i="5"/>
  <c r="I3755" i="5"/>
  <c r="I3751" i="5"/>
  <c r="I3748" i="5"/>
  <c r="J3744" i="5"/>
  <c r="I3743" i="5"/>
  <c r="J3740" i="5"/>
  <c r="J3384" i="5"/>
  <c r="J3379" i="5"/>
  <c r="J3374" i="5"/>
  <c r="I3370" i="5"/>
  <c r="I3366" i="5"/>
  <c r="I3362" i="5"/>
  <c r="I3358" i="5"/>
  <c r="J3353" i="5"/>
  <c r="J3349" i="5"/>
  <c r="I3344" i="5"/>
  <c r="I3340" i="5"/>
  <c r="I3338" i="5"/>
  <c r="I3334" i="5"/>
  <c r="J3330" i="5"/>
  <c r="J3324" i="5"/>
  <c r="I3321" i="5"/>
  <c r="J3317" i="5"/>
  <c r="J3313" i="5"/>
  <c r="I3309" i="5"/>
  <c r="J3304" i="5"/>
  <c r="J3301" i="5"/>
  <c r="J3296" i="5"/>
  <c r="J3292" i="5"/>
  <c r="I3287" i="5"/>
  <c r="I3285" i="5"/>
  <c r="I3281" i="5"/>
  <c r="I3276" i="5"/>
  <c r="I3268" i="5"/>
  <c r="I3265" i="5"/>
  <c r="I3261" i="5"/>
  <c r="J3257" i="5"/>
  <c r="J3253" i="5"/>
  <c r="J3248" i="5"/>
  <c r="I3243" i="5"/>
  <c r="I3240" i="5"/>
  <c r="J3238" i="5"/>
  <c r="I3235" i="5"/>
  <c r="I3231" i="5"/>
  <c r="J3226" i="5"/>
  <c r="I3214" i="5"/>
  <c r="J3207" i="5"/>
  <c r="I3204" i="5"/>
  <c r="I3202" i="5"/>
  <c r="J3198" i="5"/>
  <c r="J3194" i="5"/>
  <c r="I3188" i="5"/>
  <c r="J3180" i="5"/>
  <c r="J3175" i="5"/>
  <c r="I3173" i="5"/>
  <c r="I3170" i="5"/>
  <c r="I3165" i="5"/>
  <c r="I3160" i="5"/>
  <c r="I3158" i="5"/>
  <c r="I3156" i="5"/>
  <c r="I3149" i="5"/>
  <c r="J3144" i="5"/>
  <c r="J3142" i="5"/>
  <c r="I3137" i="5"/>
  <c r="J3132" i="5"/>
  <c r="J3129" i="5"/>
  <c r="J3125" i="5"/>
  <c r="J3120" i="5"/>
  <c r="J3116" i="5"/>
  <c r="I3114" i="5"/>
  <c r="I3110" i="5"/>
  <c r="J3105" i="5"/>
  <c r="J3099" i="5"/>
  <c r="I3097" i="5"/>
  <c r="J3094" i="5"/>
  <c r="J3089" i="5"/>
  <c r="J3085" i="5"/>
  <c r="J3080" i="5"/>
  <c r="J3076" i="5"/>
  <c r="I3073" i="5"/>
  <c r="I3069" i="5"/>
  <c r="J3055" i="5"/>
  <c r="I3051" i="5"/>
  <c r="J3042" i="5"/>
  <c r="J3036" i="5"/>
  <c r="I3033" i="5"/>
  <c r="J3027" i="5"/>
  <c r="J3025" i="5"/>
  <c r="I3022" i="5"/>
  <c r="I3017" i="5"/>
  <c r="I3009" i="5"/>
  <c r="I3002" i="5"/>
  <c r="I2997" i="5"/>
  <c r="J2991" i="5"/>
  <c r="I2988" i="5"/>
  <c r="I2546" i="5"/>
  <c r="I2541" i="5"/>
  <c r="I2534" i="5"/>
  <c r="J2528" i="5"/>
  <c r="J2526" i="5"/>
  <c r="J2524" i="5"/>
  <c r="J2522" i="5"/>
  <c r="I2518" i="5"/>
  <c r="J2509" i="5"/>
  <c r="I2503" i="5"/>
  <c r="J2499" i="5"/>
  <c r="I2493" i="5"/>
  <c r="I2487" i="5"/>
  <c r="J2480" i="5"/>
  <c r="J2467" i="5"/>
  <c r="I2459" i="5"/>
  <c r="J2452" i="5"/>
  <c r="J2447" i="5"/>
  <c r="I2446" i="5"/>
  <c r="J2441" i="5"/>
  <c r="I2436" i="5"/>
  <c r="J2433" i="5"/>
  <c r="J2428" i="5"/>
  <c r="J2426" i="5"/>
  <c r="I2425" i="5"/>
  <c r="I2419" i="5"/>
  <c r="J2415" i="5"/>
  <c r="I2406" i="5"/>
  <c r="J2398" i="5"/>
  <c r="I2391" i="5"/>
  <c r="I2386" i="5"/>
  <c r="I2380" i="5"/>
  <c r="I2377" i="5"/>
  <c r="J2371" i="5"/>
  <c r="J2365" i="5"/>
  <c r="J2359" i="5"/>
  <c r="I2353" i="5"/>
  <c r="I2343" i="5"/>
  <c r="J2335" i="5"/>
  <c r="J2310" i="5"/>
  <c r="J2303" i="5"/>
  <c r="J2300" i="5"/>
  <c r="J2283" i="5"/>
  <c r="I2272" i="5"/>
  <c r="J2263" i="5"/>
  <c r="J2260" i="5"/>
  <c r="J2252" i="5"/>
  <c r="I2244" i="5"/>
  <c r="J2239" i="5"/>
  <c r="I2043" i="5"/>
  <c r="J2036" i="5"/>
  <c r="I2030" i="5"/>
  <c r="J2022" i="5"/>
  <c r="J2017" i="5"/>
  <c r="I2013" i="5"/>
  <c r="J2006" i="5"/>
  <c r="I1999" i="5"/>
  <c r="I1994" i="5"/>
  <c r="I1985" i="5"/>
  <c r="I1978" i="5"/>
  <c r="I1973" i="5"/>
  <c r="I1966" i="5"/>
  <c r="J1958" i="5"/>
  <c r="J1951" i="5"/>
  <c r="I1945" i="5"/>
  <c r="J1937" i="5"/>
  <c r="I1928" i="5"/>
  <c r="J1923" i="5"/>
  <c r="J1919" i="5"/>
  <c r="I1914" i="5"/>
  <c r="I1908" i="5"/>
  <c r="I1895" i="5"/>
  <c r="I1890" i="5"/>
  <c r="J1887" i="5"/>
  <c r="J1884" i="5"/>
  <c r="J1881" i="5"/>
  <c r="J1878" i="5"/>
  <c r="I1875" i="5"/>
  <c r="I1871" i="5"/>
  <c r="J1862" i="5"/>
  <c r="J1858" i="5"/>
  <c r="I1853" i="5"/>
  <c r="J1832" i="5"/>
  <c r="I1827" i="5"/>
  <c r="I1822" i="5"/>
  <c r="J1818" i="5"/>
  <c r="I1815" i="5"/>
  <c r="J1810" i="5"/>
  <c r="I1805" i="5"/>
  <c r="I1801" i="5"/>
  <c r="I1794" i="5"/>
  <c r="I1791" i="5"/>
  <c r="I1787" i="5"/>
  <c r="J1780" i="5"/>
  <c r="J1777" i="5"/>
  <c r="I1773" i="5"/>
  <c r="J1768" i="5"/>
  <c r="I1763" i="5"/>
  <c r="I1759" i="5"/>
  <c r="I1754" i="5"/>
  <c r="J1747" i="5"/>
  <c r="J1741" i="5"/>
  <c r="J1736" i="5"/>
  <c r="J1731" i="5"/>
  <c r="I1727" i="5"/>
  <c r="I1718" i="5"/>
  <c r="J1713" i="5"/>
  <c r="I1709" i="5"/>
  <c r="I1705" i="5"/>
  <c r="I1700" i="5"/>
  <c r="J1695" i="5"/>
  <c r="J1690" i="5"/>
  <c r="I1684" i="5"/>
  <c r="I1682" i="5"/>
  <c r="I1678" i="5"/>
  <c r="I1674" i="5"/>
  <c r="I1672" i="5"/>
  <c r="I1667" i="5"/>
  <c r="I1663" i="5"/>
  <c r="J1659" i="5"/>
  <c r="I1657" i="5"/>
  <c r="I1654" i="5"/>
  <c r="J1649" i="5"/>
  <c r="J1646" i="5"/>
  <c r="I1645" i="5"/>
  <c r="I1643" i="5"/>
  <c r="J1640" i="5"/>
  <c r="I1638" i="5"/>
  <c r="I1635" i="5"/>
  <c r="I1632" i="5"/>
  <c r="I1630" i="5"/>
  <c r="J1625" i="5"/>
  <c r="J1621" i="5"/>
  <c r="J1616" i="5"/>
  <c r="I1615" i="5"/>
  <c r="J1611" i="5"/>
  <c r="I1607" i="5"/>
  <c r="I1604" i="5"/>
  <c r="J1601" i="5"/>
  <c r="J1598" i="5"/>
  <c r="I1595" i="5"/>
  <c r="J1589" i="5"/>
  <c r="I1586" i="5"/>
  <c r="J1581" i="5"/>
  <c r="J1576" i="5"/>
  <c r="I1575" i="5"/>
  <c r="I1572" i="5"/>
  <c r="J1568" i="5"/>
  <c r="J1564" i="5"/>
  <c r="J1560" i="5"/>
  <c r="I1557" i="5"/>
  <c r="J1552" i="5"/>
  <c r="I1550" i="5"/>
  <c r="J1546" i="5"/>
  <c r="J1543" i="5"/>
  <c r="I1540" i="5"/>
  <c r="I1537" i="5"/>
  <c r="I1533" i="5"/>
  <c r="J1528" i="5"/>
  <c r="J1524" i="5"/>
  <c r="I1521" i="5"/>
  <c r="J1517" i="5"/>
  <c r="I1513" i="5"/>
  <c r="I1510" i="5"/>
  <c r="I1507" i="5"/>
  <c r="J1502" i="5"/>
  <c r="I1498" i="5"/>
  <c r="I1493" i="5"/>
  <c r="I1488" i="5"/>
  <c r="I1480" i="5"/>
  <c r="J1032" i="5"/>
  <c r="J1028" i="5"/>
  <c r="J1022" i="5"/>
  <c r="J1017" i="5"/>
  <c r="I1015" i="5"/>
  <c r="J1011" i="5"/>
  <c r="I1006" i="5"/>
  <c r="J990" i="5"/>
  <c r="J976" i="5"/>
  <c r="I971" i="5"/>
  <c r="I969" i="5"/>
  <c r="I965" i="5"/>
  <c r="I962" i="5"/>
  <c r="I957" i="5"/>
  <c r="I953" i="5"/>
  <c r="I950" i="5"/>
  <c r="I944" i="5"/>
  <c r="J942" i="5"/>
  <c r="J940" i="5"/>
  <c r="J937" i="5"/>
  <c r="J935" i="5"/>
  <c r="J933" i="5"/>
  <c r="J930" i="5"/>
  <c r="J926" i="5"/>
  <c r="J924" i="5"/>
  <c r="J923" i="5"/>
  <c r="I920" i="5"/>
  <c r="I842" i="5"/>
  <c r="J838" i="5"/>
  <c r="I834" i="5"/>
  <c r="I829" i="5"/>
  <c r="I812" i="5"/>
  <c r="I803" i="5"/>
  <c r="J789" i="5"/>
  <c r="J783" i="5"/>
  <c r="I778" i="5"/>
  <c r="I774" i="5"/>
  <c r="J767" i="5"/>
  <c r="I762" i="5"/>
  <c r="I757" i="5"/>
  <c r="I753" i="5"/>
  <c r="I749" i="5"/>
  <c r="I744" i="5"/>
  <c r="I740" i="5"/>
  <c r="I735" i="5"/>
  <c r="J733" i="5"/>
  <c r="I729" i="5"/>
  <c r="J120" i="5"/>
  <c r="J113" i="5"/>
  <c r="I109" i="5"/>
  <c r="J103" i="5"/>
  <c r="J97" i="5"/>
  <c r="I92" i="5"/>
  <c r="I86" i="5"/>
  <c r="J78" i="5"/>
  <c r="I73" i="5"/>
  <c r="J65" i="5"/>
  <c r="I59" i="5"/>
  <c r="J52" i="5"/>
  <c r="I44" i="5"/>
  <c r="I35" i="5"/>
  <c r="J27" i="5"/>
  <c r="J22" i="5"/>
  <c r="J17" i="5"/>
  <c r="J12" i="5"/>
  <c r="J6" i="5"/>
  <c r="J4947" i="5"/>
  <c r="I4945" i="5"/>
  <c r="J4942" i="5"/>
  <c r="J4940" i="5"/>
  <c r="I4939" i="5"/>
  <c r="I4937" i="5"/>
  <c r="J4934" i="5"/>
  <c r="J4932" i="5"/>
  <c r="J4930" i="5"/>
  <c r="J4928" i="5"/>
  <c r="J4925" i="5"/>
  <c r="J4923" i="5"/>
  <c r="I4921" i="5"/>
  <c r="J4918" i="5"/>
  <c r="J4917" i="5"/>
  <c r="J4915" i="5"/>
  <c r="I4861" i="5"/>
  <c r="I4721" i="5"/>
  <c r="I4717" i="5"/>
  <c r="I4714" i="5"/>
  <c r="I4711" i="5"/>
  <c r="J4707" i="5"/>
  <c r="I4701" i="5"/>
  <c r="J4697" i="5"/>
  <c r="I4694" i="5"/>
  <c r="I4689" i="5"/>
  <c r="J4686" i="5"/>
  <c r="I4684" i="5"/>
  <c r="I4681" i="5"/>
  <c r="I4677" i="5"/>
  <c r="I4674" i="5"/>
  <c r="I2319" i="5"/>
  <c r="J2308" i="5"/>
  <c r="I2298" i="5"/>
  <c r="J2292" i="5"/>
  <c r="I2289" i="5"/>
  <c r="J2284" i="5"/>
  <c r="I2283" i="5"/>
  <c r="J2275" i="5"/>
  <c r="J2269" i="5"/>
  <c r="J2265" i="5"/>
  <c r="J2249" i="5"/>
  <c r="I2245" i="5"/>
  <c r="I2239" i="5"/>
  <c r="I2041" i="5"/>
  <c r="I2034" i="5"/>
  <c r="I2026" i="5"/>
  <c r="I2020" i="5"/>
  <c r="I2015" i="5"/>
  <c r="I2010" i="5"/>
  <c r="I2001" i="5"/>
  <c r="I1995" i="5"/>
  <c r="J1984" i="5"/>
  <c r="I1981" i="5"/>
  <c r="J1976" i="5"/>
  <c r="I1972" i="5"/>
  <c r="J1967" i="5"/>
  <c r="I1959" i="5"/>
  <c r="I1953" i="5"/>
  <c r="J1947" i="5"/>
  <c r="I1937" i="5"/>
  <c r="J1930" i="5"/>
  <c r="I1924" i="5"/>
  <c r="I1921" i="5"/>
  <c r="J1916" i="5"/>
  <c r="I1909" i="5"/>
  <c r="J1903" i="5"/>
  <c r="I1896" i="5"/>
  <c r="J1889" i="5"/>
  <c r="J1871" i="5"/>
  <c r="J1863" i="5"/>
  <c r="J1857" i="5"/>
  <c r="I1852" i="5"/>
  <c r="I1846" i="5"/>
  <c r="J1831" i="5"/>
  <c r="J1827" i="5"/>
  <c r="J1822" i="5"/>
  <c r="J1816" i="5"/>
  <c r="I1814" i="5"/>
  <c r="I1810" i="5"/>
  <c r="J1805" i="5"/>
  <c r="J1801" i="5"/>
  <c r="I1797" i="5"/>
  <c r="I1793" i="5"/>
  <c r="I1788" i="5"/>
  <c r="J1783" i="5"/>
  <c r="I1778" i="5"/>
  <c r="I1774" i="5"/>
  <c r="I1770" i="5"/>
  <c r="J1765" i="5"/>
  <c r="J1760" i="5"/>
  <c r="I1758" i="5"/>
  <c r="J1752" i="5"/>
  <c r="I1748" i="5"/>
  <c r="J1739" i="5"/>
  <c r="I1734" i="5"/>
  <c r="I1726" i="5"/>
  <c r="J1722" i="5"/>
  <c r="I1716" i="5"/>
  <c r="J1704" i="5"/>
  <c r="J1697" i="5"/>
  <c r="I1691" i="5"/>
  <c r="I1685" i="5"/>
  <c r="J1678" i="5"/>
  <c r="J1674" i="5"/>
  <c r="J1672" i="5"/>
  <c r="J1668" i="5"/>
  <c r="I1664" i="5"/>
  <c r="J1661" i="5"/>
  <c r="J1658" i="5"/>
  <c r="I1655" i="5"/>
  <c r="I1652" i="5"/>
  <c r="I1648" i="5"/>
  <c r="J1645" i="5"/>
  <c r="I1644" i="5"/>
  <c r="J1641" i="5"/>
  <c r="I1639" i="5"/>
  <c r="J1635" i="5"/>
  <c r="J1632" i="5"/>
  <c r="I1628" i="5"/>
  <c r="J1624" i="5"/>
  <c r="I1622" i="5"/>
  <c r="I1619" i="5"/>
  <c r="J1615" i="5"/>
  <c r="I1612" i="5"/>
  <c r="J1609" i="5"/>
  <c r="J1606" i="5"/>
  <c r="I1602" i="5"/>
  <c r="I1599" i="5"/>
  <c r="J1595" i="5"/>
  <c r="J1591" i="5"/>
  <c r="J1586" i="5"/>
  <c r="J1583" i="5"/>
  <c r="J1579" i="5"/>
  <c r="I1574" i="5"/>
  <c r="I1571" i="5"/>
  <c r="I1567" i="5"/>
  <c r="J1563" i="5"/>
  <c r="I1558" i="5"/>
  <c r="I1553" i="5"/>
  <c r="I1549" i="5"/>
  <c r="J1545" i="5"/>
  <c r="I1541" i="5"/>
  <c r="J1536" i="5"/>
  <c r="J1533" i="5"/>
  <c r="I1530" i="5"/>
  <c r="J1525" i="5"/>
  <c r="J1521" i="5"/>
  <c r="I1518" i="5"/>
  <c r="I1506" i="5"/>
  <c r="I1501" i="5"/>
  <c r="J1495" i="5"/>
  <c r="I1490" i="5"/>
  <c r="J1485" i="5"/>
  <c r="I1481" i="5"/>
  <c r="I1034" i="5"/>
  <c r="J1026" i="5"/>
  <c r="J1004" i="5"/>
  <c r="J1003" i="5"/>
  <c r="I1003" i="5"/>
  <c r="J1002" i="5"/>
  <c r="J1001" i="5"/>
  <c r="J1000" i="5"/>
  <c r="I1000" i="5"/>
  <c r="I999" i="5"/>
  <c r="I998" i="5"/>
  <c r="I997" i="5"/>
  <c r="I996" i="5"/>
  <c r="I995" i="5"/>
  <c r="I987" i="5"/>
  <c r="J984" i="5"/>
  <c r="I981" i="5"/>
  <c r="J977" i="5"/>
  <c r="J973" i="5"/>
  <c r="J967" i="5"/>
  <c r="I963" i="5"/>
  <c r="I961" i="5"/>
  <c r="J956" i="5"/>
  <c r="J944" i="5"/>
  <c r="I934" i="5"/>
  <c r="I928" i="5"/>
  <c r="J922" i="5"/>
  <c r="J920" i="5"/>
  <c r="J915" i="5"/>
  <c r="I911" i="5"/>
  <c r="J907" i="5"/>
  <c r="J903" i="5"/>
  <c r="J900" i="5"/>
  <c r="J897" i="5"/>
  <c r="J892" i="5"/>
  <c r="I886" i="5"/>
  <c r="I4947" i="5"/>
  <c r="I4946" i="5"/>
  <c r="I4944" i="5"/>
  <c r="J4943" i="5"/>
  <c r="I4942" i="5"/>
  <c r="I4940" i="5"/>
  <c r="J4938" i="5"/>
  <c r="J4936" i="5"/>
  <c r="I4935" i="5"/>
  <c r="I4932" i="5"/>
  <c r="I4931" i="5"/>
  <c r="I4928" i="5"/>
  <c r="J4924" i="5"/>
  <c r="J4921" i="5"/>
  <c r="J4919" i="5"/>
  <c r="I4917" i="5"/>
  <c r="I4858" i="5"/>
  <c r="J4856" i="5"/>
  <c r="J4854" i="5"/>
  <c r="J4852" i="5"/>
  <c r="J4850" i="5"/>
  <c r="I4849" i="5"/>
  <c r="I4847" i="5"/>
  <c r="J4845" i="5"/>
  <c r="J4843" i="5"/>
  <c r="J4842" i="5"/>
  <c r="I4841" i="5"/>
  <c r="I4840" i="5"/>
  <c r="I4839" i="5"/>
  <c r="I4838" i="5"/>
  <c r="J4837" i="5"/>
  <c r="J4836" i="5"/>
  <c r="I4835" i="5"/>
  <c r="I4832" i="5"/>
  <c r="I4830" i="5"/>
  <c r="J4828" i="5"/>
  <c r="J4826" i="5"/>
  <c r="I4824" i="5"/>
  <c r="I4823" i="5"/>
  <c r="I4822" i="5"/>
  <c r="I4820" i="5"/>
  <c r="I4819" i="5"/>
  <c r="J4816" i="5"/>
  <c r="I4815" i="5"/>
  <c r="J4813" i="5"/>
  <c r="I4811" i="5"/>
  <c r="J4809" i="5"/>
  <c r="J4807" i="5"/>
  <c r="I4806" i="5"/>
  <c r="I4804" i="5"/>
  <c r="J4801" i="5"/>
  <c r="J4799" i="5"/>
  <c r="I4796" i="5"/>
  <c r="J4794" i="5"/>
  <c r="J4792" i="5"/>
  <c r="I4791" i="5"/>
  <c r="J4788" i="5"/>
  <c r="J4786" i="5"/>
  <c r="J4785" i="5"/>
  <c r="J4784" i="5"/>
  <c r="I4782" i="5"/>
  <c r="I4781" i="5"/>
  <c r="J4779" i="5"/>
  <c r="J4777" i="5"/>
  <c r="I4775" i="5"/>
  <c r="I4773" i="5"/>
  <c r="J4772" i="5"/>
  <c r="J4770" i="5"/>
  <c r="I4769" i="5"/>
  <c r="I4767" i="5"/>
  <c r="I4765" i="5"/>
  <c r="J4763" i="5"/>
  <c r="J4762" i="5"/>
  <c r="J4761" i="5"/>
  <c r="I4759" i="5"/>
  <c r="J4758" i="5"/>
  <c r="I4757" i="5"/>
  <c r="J4754" i="5"/>
  <c r="J4752" i="5"/>
  <c r="I4752" i="5"/>
  <c r="I4751" i="5"/>
  <c r="I4749" i="5"/>
  <c r="I4747" i="5"/>
  <c r="J4745" i="5"/>
  <c r="J4743" i="5"/>
  <c r="I4742" i="5"/>
  <c r="J4739" i="5"/>
  <c r="J4736" i="5"/>
  <c r="J4735" i="5"/>
  <c r="I4734" i="5"/>
  <c r="J4732" i="5"/>
  <c r="I4731" i="5"/>
  <c r="J4729" i="5"/>
  <c r="J4727" i="5"/>
  <c r="J2527" i="5"/>
  <c r="I2519" i="5"/>
  <c r="J2514" i="5"/>
  <c r="I2507" i="5"/>
  <c r="I2497" i="5"/>
  <c r="I2490" i="5"/>
  <c r="I2482" i="5"/>
  <c r="I2477" i="5"/>
  <c r="I2467" i="5"/>
  <c r="I2460" i="5"/>
  <c r="I2455" i="5"/>
  <c r="J2449" i="5"/>
  <c r="I2441" i="5"/>
  <c r="J2436" i="5"/>
  <c r="I2429" i="5"/>
  <c r="J2423" i="5"/>
  <c r="J2416" i="5"/>
  <c r="J2411" i="5"/>
  <c r="I2404" i="5"/>
  <c r="I2399" i="5"/>
  <c r="J2387" i="5"/>
  <c r="I2383" i="5"/>
  <c r="J2372" i="5"/>
  <c r="J2366" i="5"/>
  <c r="J2361" i="5"/>
  <c r="I2357" i="5"/>
  <c r="I2351" i="5"/>
  <c r="J2345" i="5"/>
  <c r="J2341" i="5"/>
  <c r="J2336" i="5"/>
  <c r="J2331" i="5"/>
  <c r="J2327" i="5"/>
  <c r="J2322" i="5"/>
  <c r="I2318" i="5"/>
  <c r="J2313" i="5"/>
  <c r="J2307" i="5"/>
  <c r="J2297" i="5"/>
  <c r="I2293" i="5"/>
  <c r="J2287" i="5"/>
  <c r="J2279" i="5"/>
  <c r="J2276" i="5"/>
  <c r="J2271" i="5"/>
  <c r="J2267" i="5"/>
  <c r="J2256" i="5"/>
  <c r="I2256" i="5"/>
  <c r="J2254" i="5"/>
  <c r="I2250" i="5"/>
  <c r="I2246" i="5"/>
  <c r="J2240" i="5"/>
  <c r="I2236" i="5"/>
  <c r="J2233" i="5"/>
  <c r="I2038" i="5"/>
  <c r="I2033" i="5"/>
  <c r="I2027" i="5"/>
  <c r="J2020" i="5"/>
  <c r="I2018" i="5"/>
  <c r="J2014" i="5"/>
  <c r="J2009" i="5"/>
  <c r="I2003" i="5"/>
  <c r="J1992" i="5"/>
  <c r="J1988" i="5"/>
  <c r="J1983" i="5"/>
  <c r="J1979" i="5"/>
  <c r="I1969" i="5"/>
  <c r="J1964" i="5"/>
  <c r="J1961" i="5"/>
  <c r="I1956" i="5"/>
  <c r="I1949" i="5"/>
  <c r="J1943" i="5"/>
  <c r="J1939" i="5"/>
  <c r="I1926" i="5"/>
  <c r="J1918" i="5"/>
  <c r="J1912" i="5"/>
  <c r="I1903" i="5"/>
  <c r="J1895" i="5"/>
  <c r="I1889" i="5"/>
  <c r="J1879" i="5"/>
  <c r="I1872" i="5"/>
  <c r="J1864" i="5"/>
  <c r="I1860" i="5"/>
  <c r="J1855" i="5"/>
  <c r="J1850" i="5"/>
  <c r="I1847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J1833" i="5"/>
  <c r="I1831" i="5"/>
  <c r="I1829" i="5"/>
  <c r="J1826" i="5"/>
  <c r="I1824" i="5"/>
  <c r="J1820" i="5"/>
  <c r="J1819" i="5"/>
  <c r="J1815" i="5"/>
  <c r="J1812" i="5"/>
  <c r="J1809" i="5"/>
  <c r="J1803" i="5"/>
  <c r="J1800" i="5"/>
  <c r="I1795" i="5"/>
  <c r="J1787" i="5"/>
  <c r="I1784" i="5"/>
  <c r="I1780" i="5"/>
  <c r="I1777" i="5"/>
  <c r="J1770" i="5"/>
  <c r="J1766" i="5"/>
  <c r="I1762" i="5"/>
  <c r="J1756" i="5"/>
  <c r="J1751" i="5"/>
  <c r="I1747" i="5"/>
  <c r="I1741" i="5"/>
  <c r="J1733" i="5"/>
  <c r="J1724" i="5"/>
  <c r="J1721" i="5"/>
  <c r="J1714" i="5"/>
  <c r="I1704" i="5"/>
  <c r="I1699" i="5"/>
  <c r="J1694" i="5"/>
  <c r="J1689" i="5"/>
  <c r="J1683" i="5"/>
  <c r="I1681" i="5"/>
  <c r="I1676" i="5"/>
  <c r="I1522" i="5"/>
  <c r="J1514" i="5"/>
  <c r="J1509" i="5"/>
  <c r="J1505" i="5"/>
  <c r="J1501" i="5"/>
  <c r="J1497" i="5"/>
  <c r="I1492" i="5"/>
  <c r="I1484" i="5"/>
  <c r="J1034" i="5"/>
  <c r="I1026" i="5"/>
  <c r="I1004" i="5"/>
  <c r="I1002" i="5"/>
  <c r="I1001" i="5"/>
  <c r="J999" i="5"/>
  <c r="J998" i="5"/>
  <c r="J997" i="5"/>
  <c r="J996" i="5"/>
  <c r="J995" i="5"/>
  <c r="I990" i="5"/>
  <c r="J979" i="5"/>
  <c r="I974" i="5"/>
  <c r="I967" i="5"/>
  <c r="I959" i="5"/>
  <c r="I955" i="5"/>
  <c r="J951" i="5"/>
  <c r="I948" i="5"/>
  <c r="I947" i="5"/>
  <c r="J945" i="5"/>
  <c r="I945" i="5"/>
  <c r="J943" i="5"/>
  <c r="J941" i="5"/>
  <c r="I940" i="5"/>
  <c r="I939" i="5"/>
  <c r="I936" i="5"/>
  <c r="J934" i="5"/>
  <c r="I932" i="5"/>
  <c r="I929" i="5"/>
  <c r="I922" i="5"/>
  <c r="I919" i="5"/>
  <c r="J917" i="5"/>
  <c r="J916" i="5"/>
  <c r="I915" i="5"/>
  <c r="J911" i="5"/>
  <c r="J908" i="5"/>
  <c r="J905" i="5"/>
  <c r="I902" i="5"/>
  <c r="J896" i="5"/>
  <c r="I891" i="5"/>
  <c r="J887" i="5"/>
  <c r="J881" i="5"/>
  <c r="J876" i="5"/>
  <c r="I873" i="5"/>
  <c r="J868" i="5"/>
  <c r="I866" i="5"/>
  <c r="I862" i="5"/>
  <c r="J858" i="5"/>
  <c r="I854" i="5"/>
  <c r="J849" i="5"/>
  <c r="I844" i="5"/>
  <c r="J839" i="5"/>
  <c r="J836" i="5"/>
  <c r="J831" i="5"/>
  <c r="J828" i="5"/>
  <c r="I826" i="5"/>
  <c r="J821" i="5"/>
  <c r="J818" i="5"/>
  <c r="I813" i="5"/>
  <c r="I808" i="5"/>
  <c r="I804" i="5"/>
  <c r="I801" i="5"/>
  <c r="I798" i="5"/>
  <c r="J794" i="5"/>
  <c r="I789" i="5"/>
  <c r="I785" i="5"/>
  <c r="I781" i="5"/>
  <c r="I776" i="5"/>
  <c r="I772" i="5"/>
  <c r="I767" i="5"/>
  <c r="J762" i="5"/>
  <c r="I759" i="5"/>
  <c r="I754" i="5"/>
  <c r="I750" i="5"/>
  <c r="I745" i="5"/>
  <c r="I741" i="5"/>
  <c r="I736" i="5"/>
  <c r="J734" i="5"/>
  <c r="I732" i="5"/>
  <c r="I726" i="5"/>
  <c r="I117" i="5"/>
  <c r="J111" i="5"/>
  <c r="I103" i="5"/>
  <c r="J95" i="5"/>
  <c r="J90" i="5"/>
  <c r="J85" i="5"/>
  <c r="I81" i="5"/>
  <c r="J73" i="5"/>
  <c r="J68" i="5"/>
  <c r="I63" i="5"/>
  <c r="I57" i="5"/>
  <c r="I51" i="5"/>
  <c r="I46" i="5"/>
  <c r="I40" i="5"/>
  <c r="J34" i="5"/>
  <c r="J28" i="5"/>
  <c r="I23" i="5"/>
  <c r="I18" i="5"/>
  <c r="J13" i="5"/>
  <c r="J8" i="5"/>
  <c r="J4946" i="5"/>
  <c r="J4944" i="5"/>
  <c r="I4943" i="5"/>
  <c r="J4941" i="5"/>
  <c r="J4933" i="5"/>
  <c r="I4930" i="5"/>
  <c r="I4927" i="5"/>
  <c r="I4925" i="5"/>
  <c r="J4922" i="5"/>
  <c r="I4920" i="5"/>
  <c r="J4916" i="5"/>
  <c r="I4914" i="5"/>
  <c r="I4913" i="5"/>
  <c r="I4911" i="5"/>
  <c r="I4910" i="5"/>
  <c r="I4909" i="5"/>
  <c r="J4907" i="5"/>
  <c r="I4906" i="5"/>
  <c r="J4904" i="5"/>
  <c r="J4902" i="5"/>
  <c r="J4901" i="5"/>
  <c r="I4900" i="5"/>
  <c r="I4899" i="5"/>
  <c r="J4897" i="5"/>
  <c r="I4896" i="5"/>
  <c r="I4894" i="5"/>
  <c r="I4893" i="5"/>
  <c r="I4891" i="5"/>
  <c r="I4890" i="5"/>
  <c r="J4888" i="5"/>
  <c r="I4886" i="5"/>
  <c r="J4884" i="5"/>
  <c r="J4882" i="5"/>
  <c r="I4881" i="5"/>
  <c r="J4879" i="5"/>
  <c r="I4875" i="5"/>
  <c r="J4874" i="5"/>
  <c r="I4873" i="5"/>
  <c r="I4871" i="5"/>
  <c r="J4869" i="5"/>
  <c r="J4868" i="5"/>
  <c r="I4867" i="5"/>
  <c r="J4865" i="5"/>
  <c r="I4864" i="5"/>
  <c r="J4724" i="5"/>
  <c r="I4722" i="5"/>
  <c r="I4719" i="5"/>
  <c r="J4714" i="5"/>
  <c r="I4713" i="5"/>
  <c r="J4710" i="5"/>
  <c r="J4708" i="5"/>
  <c r="J4706" i="5"/>
  <c r="J4704" i="5"/>
  <c r="I4704" i="5"/>
  <c r="J4703" i="5"/>
  <c r="I4702" i="5"/>
  <c r="J4700" i="5"/>
  <c r="J4698" i="5"/>
  <c r="I4696" i="5"/>
  <c r="I4693" i="5"/>
  <c r="I4692" i="5"/>
  <c r="I4690" i="5"/>
  <c r="J4688" i="5"/>
  <c r="J4685" i="5"/>
  <c r="J4683" i="5"/>
  <c r="I4682" i="5"/>
  <c r="J4679" i="5"/>
  <c r="J4677" i="5"/>
  <c r="I4676" i="5"/>
  <c r="J4674" i="5"/>
  <c r="I4672" i="5"/>
  <c r="I4670" i="5"/>
  <c r="I4669" i="5"/>
  <c r="I4667" i="5"/>
  <c r="I4666" i="5"/>
  <c r="J4664" i="5"/>
  <c r="J4662" i="5"/>
  <c r="I4661" i="5"/>
  <c r="J4658" i="5"/>
  <c r="I4656" i="5"/>
  <c r="I4655" i="5"/>
  <c r="J4652" i="5"/>
  <c r="I4650" i="5"/>
  <c r="I4648" i="5"/>
  <c r="I4647" i="5"/>
  <c r="I4645" i="5"/>
  <c r="I4643" i="5"/>
  <c r="I4642" i="5"/>
  <c r="I4640" i="5"/>
  <c r="I4639" i="5"/>
  <c r="J4638" i="5"/>
  <c r="J4637" i="5"/>
  <c r="I4636" i="5"/>
  <c r="I4634" i="5"/>
  <c r="I4632" i="5"/>
  <c r="I4630" i="5"/>
  <c r="J4629" i="5"/>
  <c r="I4628" i="5"/>
  <c r="J4626" i="5"/>
  <c r="J4624" i="5"/>
  <c r="J4623" i="5"/>
  <c r="J4621" i="5"/>
  <c r="J4620" i="5"/>
  <c r="J4618" i="5"/>
  <c r="J4617" i="5"/>
  <c r="I4616" i="5"/>
  <c r="I4615" i="5"/>
  <c r="I4613" i="5"/>
  <c r="J2338" i="5"/>
  <c r="I2333" i="5"/>
  <c r="I2329" i="5"/>
  <c r="J2323" i="5"/>
  <c r="J2318" i="5"/>
  <c r="I2315" i="5"/>
  <c r="I2309" i="5"/>
  <c r="I2304" i="5"/>
  <c r="I2302" i="5"/>
  <c r="I2296" i="5"/>
  <c r="I2292" i="5"/>
  <c r="J2288" i="5"/>
  <c r="I2279" i="5"/>
  <c r="I2276" i="5"/>
  <c r="J2270" i="5"/>
  <c r="I2264" i="5"/>
  <c r="I2261" i="5"/>
  <c r="J2258" i="5"/>
  <c r="I2251" i="5"/>
  <c r="J2244" i="5"/>
  <c r="I2240" i="5"/>
  <c r="J2234" i="5"/>
  <c r="J2037" i="5"/>
  <c r="J2031" i="5"/>
  <c r="J2027" i="5"/>
  <c r="I2022" i="5"/>
  <c r="I2012" i="5"/>
  <c r="I2005" i="5"/>
  <c r="I1996" i="5"/>
  <c r="I1989" i="5"/>
  <c r="I1984" i="5"/>
  <c r="J1980" i="5"/>
  <c r="I1974" i="5"/>
  <c r="I1968" i="5"/>
  <c r="I1962" i="5"/>
  <c r="J1954" i="5"/>
  <c r="J1948" i="5"/>
  <c r="J1942" i="5"/>
  <c r="I1940" i="5"/>
  <c r="I1935" i="5"/>
  <c r="J1928" i="5"/>
  <c r="J1921" i="5"/>
  <c r="I1917" i="5"/>
  <c r="J1909" i="5"/>
  <c r="I1904" i="5"/>
  <c r="J1901" i="5"/>
  <c r="J1897" i="5"/>
  <c r="I1891" i="5"/>
  <c r="I1884" i="5"/>
  <c r="J1654" i="5"/>
  <c r="I1649" i="5"/>
  <c r="J1643" i="5"/>
  <c r="J1638" i="5"/>
  <c r="I1636" i="5"/>
  <c r="I1634" i="5"/>
  <c r="J1631" i="5"/>
  <c r="I1629" i="5"/>
  <c r="J1626" i="5"/>
  <c r="J1623" i="5"/>
  <c r="I1620" i="5"/>
  <c r="I1617" i="5"/>
  <c r="I1613" i="5"/>
  <c r="I1609" i="5"/>
  <c r="I1606" i="5"/>
  <c r="I1601" i="5"/>
  <c r="I1598" i="5"/>
  <c r="J1594" i="5"/>
  <c r="I1591" i="5"/>
  <c r="J1585" i="5"/>
  <c r="I1581" i="5"/>
  <c r="J1577" i="5"/>
  <c r="I1573" i="5"/>
  <c r="J1569" i="5"/>
  <c r="J1566" i="5"/>
  <c r="J1562" i="5"/>
  <c r="J1558" i="5"/>
  <c r="J1555" i="5"/>
  <c r="J1551" i="5"/>
  <c r="J1549" i="5"/>
  <c r="I1546" i="5"/>
  <c r="J1540" i="5"/>
  <c r="J1537" i="5"/>
  <c r="J1534" i="5"/>
  <c r="J1531" i="5"/>
  <c r="I1527" i="5"/>
  <c r="I1519" i="5"/>
  <c r="J1516" i="5"/>
  <c r="I1515" i="5"/>
  <c r="J1511" i="5"/>
  <c r="I1509" i="5"/>
  <c r="I1505" i="5"/>
  <c r="I1502" i="5"/>
  <c r="J1498" i="5"/>
  <c r="I1495" i="5"/>
  <c r="J1489" i="5"/>
  <c r="J1482" i="5"/>
  <c r="J1036" i="5"/>
  <c r="J1025" i="5"/>
  <c r="I1018" i="5"/>
  <c r="J1015" i="5"/>
  <c r="J1013" i="5"/>
  <c r="I1009" i="5"/>
  <c r="J1007" i="5"/>
  <c r="J989" i="5"/>
  <c r="I988" i="5"/>
  <c r="J986" i="5"/>
  <c r="J985" i="5"/>
  <c r="J982" i="5"/>
  <c r="I979" i="5"/>
  <c r="I975" i="5"/>
  <c r="J972" i="5"/>
  <c r="J969" i="5"/>
  <c r="J965" i="5"/>
  <c r="J959" i="5"/>
  <c r="J952" i="5"/>
  <c r="I949" i="5"/>
  <c r="I921" i="5"/>
  <c r="J914" i="5"/>
  <c r="J910" i="5"/>
  <c r="J906" i="5"/>
  <c r="I903" i="5"/>
  <c r="I900" i="5"/>
  <c r="I895" i="5"/>
  <c r="J890" i="5"/>
  <c r="I885" i="5"/>
  <c r="J880" i="5"/>
  <c r="I868" i="5"/>
  <c r="I865" i="5"/>
  <c r="I861" i="5"/>
  <c r="J855" i="5"/>
  <c r="J852" i="5"/>
  <c r="I851" i="5"/>
  <c r="I847" i="5"/>
  <c r="I843" i="5"/>
  <c r="I839" i="5"/>
  <c r="I836" i="5"/>
  <c r="I828" i="5"/>
  <c r="J824" i="5"/>
  <c r="I819" i="5"/>
  <c r="J815" i="5"/>
  <c r="I811" i="5"/>
  <c r="J807" i="5"/>
  <c r="J802" i="5"/>
  <c r="J798" i="5"/>
  <c r="I796" i="5"/>
  <c r="J792" i="5"/>
  <c r="I788" i="5"/>
  <c r="J784" i="5"/>
  <c r="J781" i="5"/>
  <c r="J775" i="5"/>
  <c r="J770" i="5"/>
  <c r="I766" i="5"/>
  <c r="I761" i="5"/>
  <c r="J756" i="5"/>
  <c r="J752" i="5"/>
  <c r="I748" i="5"/>
  <c r="J743" i="5"/>
  <c r="J739" i="5"/>
  <c r="I730" i="5"/>
  <c r="I121" i="5"/>
  <c r="I115" i="5"/>
  <c r="I110" i="5"/>
  <c r="I106" i="5"/>
  <c r="I101" i="5"/>
  <c r="I94" i="5"/>
  <c r="I88" i="5"/>
  <c r="J83" i="5"/>
  <c r="J77" i="5"/>
  <c r="J72" i="5"/>
  <c r="J67" i="5"/>
  <c r="J60" i="5"/>
  <c r="J55" i="5"/>
  <c r="J49" i="5"/>
  <c r="I45" i="5"/>
  <c r="I39" i="5"/>
  <c r="J32" i="5"/>
  <c r="J26" i="5"/>
  <c r="I19" i="5"/>
  <c r="J14" i="5"/>
  <c r="I10" i="5"/>
  <c r="D23" i="4"/>
  <c r="I4999" i="5"/>
  <c r="I4997" i="5"/>
  <c r="I4984" i="5"/>
  <c r="J4978" i="5"/>
  <c r="J4971" i="5"/>
  <c r="I4966" i="5"/>
  <c r="I4961" i="5"/>
  <c r="J4958" i="5"/>
  <c r="J4952" i="5"/>
  <c r="I4950" i="5"/>
  <c r="J4937" i="5"/>
  <c r="I4934" i="5"/>
  <c r="J4929" i="5"/>
  <c r="I4926" i="5"/>
  <c r="I4923" i="5"/>
  <c r="I4918" i="5"/>
  <c r="I4915" i="5"/>
  <c r="J4913" i="5"/>
  <c r="J4911" i="5"/>
  <c r="J4908" i="5"/>
  <c r="J4905" i="5"/>
  <c r="I4905" i="5"/>
  <c r="J4903" i="5"/>
  <c r="I4901" i="5"/>
  <c r="J4898" i="5"/>
  <c r="I4897" i="5"/>
  <c r="J4895" i="5"/>
  <c r="J4892" i="5"/>
  <c r="J4890" i="5"/>
  <c r="I4888" i="5"/>
  <c r="J4885" i="5"/>
  <c r="J4883" i="5"/>
  <c r="J4880" i="5"/>
  <c r="I4878" i="5"/>
  <c r="I4876" i="5"/>
  <c r="I4874" i="5"/>
  <c r="J4870" i="5"/>
  <c r="J4867" i="5"/>
  <c r="J4864" i="5"/>
  <c r="I4863" i="5"/>
  <c r="I4862" i="5"/>
  <c r="J4861" i="5"/>
  <c r="J4860" i="5"/>
  <c r="J4859" i="5"/>
  <c r="I4857" i="5"/>
  <c r="I4855" i="5"/>
  <c r="I4852" i="5"/>
  <c r="J4849" i="5"/>
  <c r="I4845" i="5"/>
  <c r="I4842" i="5"/>
  <c r="J4838" i="5"/>
  <c r="I4836" i="5"/>
  <c r="J4831" i="5"/>
  <c r="I4828" i="5"/>
  <c r="J4825" i="5"/>
  <c r="I4821" i="5"/>
  <c r="J4817" i="5"/>
  <c r="I4813" i="5"/>
  <c r="I4809" i="5"/>
  <c r="J4804" i="5"/>
  <c r="I4800" i="5"/>
  <c r="J4797" i="5"/>
  <c r="I4795" i="5"/>
  <c r="J4791" i="5"/>
  <c r="I4788" i="5"/>
  <c r="J4783" i="5"/>
  <c r="J4776" i="5"/>
  <c r="J4773" i="5"/>
  <c r="I4770" i="5"/>
  <c r="J4766" i="5"/>
  <c r="I4764" i="5"/>
  <c r="J4760" i="5"/>
  <c r="I4758" i="5"/>
  <c r="J4755" i="5"/>
  <c r="J4748" i="5"/>
  <c r="J4746" i="5"/>
  <c r="I4745" i="5"/>
  <c r="I4744" i="5"/>
  <c r="I4740" i="5"/>
  <c r="I4738" i="5"/>
  <c r="I4736" i="5"/>
  <c r="I4733" i="5"/>
  <c r="I4730" i="5"/>
  <c r="I4728" i="5"/>
  <c r="I4727" i="5"/>
  <c r="I4726" i="5"/>
  <c r="J4721" i="5"/>
  <c r="J4716" i="5"/>
  <c r="J4711" i="5"/>
  <c r="I4708" i="5"/>
  <c r="J4701" i="5"/>
  <c r="J4696" i="5"/>
  <c r="J4692" i="5"/>
  <c r="I4691" i="5"/>
  <c r="J4687" i="5"/>
  <c r="J4684" i="5"/>
  <c r="J4681" i="5"/>
  <c r="J4678" i="5"/>
  <c r="J4675" i="5"/>
  <c r="J4671" i="5"/>
  <c r="J4667" i="5"/>
  <c r="I4663" i="5"/>
  <c r="J4659" i="5"/>
  <c r="J4656" i="5"/>
  <c r="J4653" i="5"/>
  <c r="J4650" i="5"/>
  <c r="J4648" i="5"/>
  <c r="J4645" i="5"/>
  <c r="J4643" i="5"/>
  <c r="J4640" i="5"/>
  <c r="J4634" i="5"/>
  <c r="J4631" i="5"/>
  <c r="J4627" i="5"/>
  <c r="J4625" i="5"/>
  <c r="I4623" i="5"/>
  <c r="I4620" i="5"/>
  <c r="I4618" i="5"/>
  <c r="J4615" i="5"/>
  <c r="I4612" i="5"/>
  <c r="I4611" i="5"/>
  <c r="I4610" i="5"/>
  <c r="J4608" i="5"/>
  <c r="J4606" i="5"/>
  <c r="I4605" i="5"/>
  <c r="J4603" i="5"/>
  <c r="J4601" i="5"/>
  <c r="J4599" i="5"/>
  <c r="I4598" i="5"/>
  <c r="I4596" i="5"/>
  <c r="J4594" i="5"/>
  <c r="J4592" i="5"/>
  <c r="J4591" i="5"/>
  <c r="J4589" i="5"/>
  <c r="J4587" i="5"/>
  <c r="I4586" i="5"/>
  <c r="J4582" i="5"/>
  <c r="J4580" i="5"/>
  <c r="I4579" i="5"/>
  <c r="I4577" i="5"/>
  <c r="J4575" i="5"/>
  <c r="J4573" i="5"/>
  <c r="I4572" i="5"/>
  <c r="I4570" i="5"/>
  <c r="J4567" i="5"/>
  <c r="J4565" i="5"/>
  <c r="I4564" i="5"/>
  <c r="I4562" i="5"/>
  <c r="I4560" i="5"/>
  <c r="I4558" i="5"/>
  <c r="J4556" i="5"/>
  <c r="I4554" i="5"/>
  <c r="I4551" i="5"/>
  <c r="I4549" i="5"/>
  <c r="J4547" i="5"/>
  <c r="I4546" i="5"/>
  <c r="J4544" i="5"/>
  <c r="J4542" i="5"/>
  <c r="J4540" i="5"/>
  <c r="I4539" i="5"/>
  <c r="I4536" i="5"/>
  <c r="J4533" i="5"/>
  <c r="J4531" i="5"/>
  <c r="J4529" i="5"/>
  <c r="I4528" i="5"/>
  <c r="J4526" i="5"/>
  <c r="J4523" i="5"/>
  <c r="J4521" i="5"/>
  <c r="J4520" i="5"/>
  <c r="I4519" i="5"/>
  <c r="I4517" i="5"/>
  <c r="I4515" i="5"/>
  <c r="J4510" i="5"/>
  <c r="I4509" i="5"/>
  <c r="I4507" i="5"/>
  <c r="J4505" i="5"/>
  <c r="I4503" i="5"/>
  <c r="I4501" i="5"/>
  <c r="J4499" i="5"/>
  <c r="J4497" i="5"/>
  <c r="J4495" i="5"/>
  <c r="I4407" i="5"/>
  <c r="I4404" i="5"/>
  <c r="I4402" i="5"/>
  <c r="I4399" i="5"/>
  <c r="I4397" i="5"/>
  <c r="I4395" i="5"/>
  <c r="J4391" i="5"/>
  <c r="I4388" i="5"/>
  <c r="I4386" i="5"/>
  <c r="I4383" i="5"/>
  <c r="I4381" i="5"/>
  <c r="J4377" i="5"/>
  <c r="I4375" i="5"/>
  <c r="J4372" i="5"/>
  <c r="J4370" i="5"/>
  <c r="I4367" i="5"/>
  <c r="I4365" i="5"/>
  <c r="I4362" i="5"/>
  <c r="J4359" i="5"/>
  <c r="J4356" i="5"/>
  <c r="J4354" i="5"/>
  <c r="J4352" i="5"/>
  <c r="I4349" i="5"/>
  <c r="I4346" i="5"/>
  <c r="I4343" i="5"/>
  <c r="J4340" i="5"/>
  <c r="I4337" i="5"/>
  <c r="J4334" i="5"/>
  <c r="I4332" i="5"/>
  <c r="J4329" i="5"/>
  <c r="J4326" i="5"/>
  <c r="J4323" i="5"/>
  <c r="J4321" i="5"/>
  <c r="J4319" i="5"/>
  <c r="I4317" i="5"/>
  <c r="J4315" i="5"/>
  <c r="J4313" i="5"/>
  <c r="I4312" i="5"/>
  <c r="J4310" i="5"/>
  <c r="J4308" i="5"/>
  <c r="I4307" i="5"/>
  <c r="I4305" i="5"/>
  <c r="I4303" i="5"/>
  <c r="J4301" i="5"/>
  <c r="I4300" i="5"/>
  <c r="I4298" i="5"/>
  <c r="J4295" i="5"/>
  <c r="J4293" i="5"/>
  <c r="I4291" i="5"/>
  <c r="I4289" i="5"/>
  <c r="J4286" i="5"/>
  <c r="J4284" i="5"/>
  <c r="I4282" i="5"/>
  <c r="I4279" i="5"/>
  <c r="I4276" i="5"/>
  <c r="I4273" i="5"/>
  <c r="J4270" i="5"/>
  <c r="J4267" i="5"/>
  <c r="J4264" i="5"/>
  <c r="J4262" i="5"/>
  <c r="J4260" i="5"/>
  <c r="J4257" i="5"/>
  <c r="J4255" i="5"/>
  <c r="I4252" i="5"/>
  <c r="I4250" i="5"/>
  <c r="I4247" i="5"/>
  <c r="J4245" i="5"/>
  <c r="I4244" i="5"/>
  <c r="I4242" i="5"/>
  <c r="I4240" i="5"/>
  <c r="J4238" i="5"/>
  <c r="I4237" i="5"/>
  <c r="J4234" i="5"/>
  <c r="I4233" i="5"/>
  <c r="I4231" i="5"/>
  <c r="J4229" i="5"/>
  <c r="J4227" i="5"/>
  <c r="J4226" i="5"/>
  <c r="J4225" i="5"/>
  <c r="J4223" i="5"/>
  <c r="I4222" i="5"/>
  <c r="I4220" i="5"/>
  <c r="I4218" i="5"/>
  <c r="J4215" i="5"/>
  <c r="I4214" i="5"/>
  <c r="I4212" i="5"/>
  <c r="J4210" i="5"/>
  <c r="I4209" i="5"/>
  <c r="I4207" i="5"/>
  <c r="J4205" i="5"/>
  <c r="I4204" i="5"/>
  <c r="J4201" i="5"/>
  <c r="I4200" i="5"/>
  <c r="I4199" i="5"/>
  <c r="J4197" i="5"/>
  <c r="I4195" i="5"/>
  <c r="I4192" i="5"/>
  <c r="I4189" i="5"/>
  <c r="J4185" i="5"/>
  <c r="I4182" i="5"/>
  <c r="J4179" i="5"/>
  <c r="I4177" i="5"/>
  <c r="J4174" i="5"/>
  <c r="J4171" i="5"/>
  <c r="J4168" i="5"/>
  <c r="I4167" i="5"/>
  <c r="I4164" i="5"/>
  <c r="J4161" i="5"/>
  <c r="I4159" i="5"/>
  <c r="J4156" i="5"/>
  <c r="I4153" i="5"/>
  <c r="J4150" i="5"/>
  <c r="J4147" i="5"/>
  <c r="J4145" i="5"/>
  <c r="J4143" i="5"/>
  <c r="I4141" i="5"/>
  <c r="J4132" i="5"/>
  <c r="J4130" i="5"/>
  <c r="I4128" i="5"/>
  <c r="I4125" i="5"/>
  <c r="I4121" i="5"/>
  <c r="I4119" i="5"/>
  <c r="J4116" i="5"/>
  <c r="I4115" i="5"/>
  <c r="I4112" i="5"/>
  <c r="I4109" i="5"/>
  <c r="I4107" i="5"/>
  <c r="I4104" i="5"/>
  <c r="J4101" i="5"/>
  <c r="I4099" i="5"/>
  <c r="J4095" i="5"/>
  <c r="J4093" i="5"/>
  <c r="I4088" i="5"/>
  <c r="I4087" i="5"/>
  <c r="J4084" i="5"/>
  <c r="I4082" i="5"/>
  <c r="I4079" i="5"/>
  <c r="I4075" i="5"/>
  <c r="J4070" i="5"/>
  <c r="I4068" i="5"/>
  <c r="J4065" i="5"/>
  <c r="I4062" i="5"/>
  <c r="J4059" i="5"/>
  <c r="J4057" i="5"/>
  <c r="I4055" i="5"/>
  <c r="J4052" i="5"/>
  <c r="J4048" i="5"/>
  <c r="J4046" i="5"/>
  <c r="I4041" i="5"/>
  <c r="J4037" i="5"/>
  <c r="J4034" i="5"/>
  <c r="I4032" i="5"/>
  <c r="J4027" i="5"/>
  <c r="I4025" i="5"/>
  <c r="I4023" i="5"/>
  <c r="J4020" i="5"/>
  <c r="J4016" i="5"/>
  <c r="I4013" i="5"/>
  <c r="J4010" i="5"/>
  <c r="I4010" i="5"/>
  <c r="J4007" i="5"/>
  <c r="I4004" i="5"/>
  <c r="I3995" i="5"/>
  <c r="J3993" i="5"/>
  <c r="I3990" i="5"/>
  <c r="J3986" i="5"/>
  <c r="I3983" i="5"/>
  <c r="I3978" i="5"/>
  <c r="J3974" i="5"/>
  <c r="I3971" i="5"/>
  <c r="I3967" i="5"/>
  <c r="J3963" i="5"/>
  <c r="J3960" i="5"/>
  <c r="I3958" i="5"/>
  <c r="J3954" i="5"/>
  <c r="J3951" i="5"/>
  <c r="I3950" i="5"/>
  <c r="J3949" i="5"/>
  <c r="J3946" i="5"/>
  <c r="J3944" i="5"/>
  <c r="I3942" i="5"/>
  <c r="I3939" i="5"/>
  <c r="J3932" i="5"/>
  <c r="J3929" i="5"/>
  <c r="J3925" i="5"/>
  <c r="J3920" i="5"/>
  <c r="I3918" i="5"/>
  <c r="I3914" i="5"/>
  <c r="J3911" i="5"/>
  <c r="J3907" i="5"/>
  <c r="J3903" i="5"/>
  <c r="J3901" i="5"/>
  <c r="J3898" i="5"/>
  <c r="I3897" i="5"/>
  <c r="J3894" i="5"/>
  <c r="I3891" i="5"/>
  <c r="I3888" i="5"/>
  <c r="J3883" i="5"/>
  <c r="J3879" i="5"/>
  <c r="I3877" i="5"/>
  <c r="J3874" i="5"/>
  <c r="I3871" i="5"/>
  <c r="I3868" i="5"/>
  <c r="I3864" i="5"/>
  <c r="J3861" i="5"/>
  <c r="J3858" i="5"/>
  <c r="I3855" i="5"/>
  <c r="I3852" i="5"/>
  <c r="I3849" i="5"/>
  <c r="I3846" i="5"/>
  <c r="I3844" i="5"/>
  <c r="J3841" i="5"/>
  <c r="J3838" i="5"/>
  <c r="J3832" i="5"/>
  <c r="I3829" i="5"/>
  <c r="J3827" i="5"/>
  <c r="J3822" i="5"/>
  <c r="J3816" i="5"/>
  <c r="J3811" i="5"/>
  <c r="I3809" i="5"/>
  <c r="I3806" i="5"/>
  <c r="I3803" i="5"/>
  <c r="I3800" i="5"/>
  <c r="J3795" i="5"/>
  <c r="J3791" i="5"/>
  <c r="I3788" i="5"/>
  <c r="J3785" i="5"/>
  <c r="I3780" i="5"/>
  <c r="J3775" i="5"/>
  <c r="I3773" i="5"/>
  <c r="I3770" i="5"/>
  <c r="I3767" i="5"/>
  <c r="I3765" i="5"/>
  <c r="J3760" i="5"/>
  <c r="I3757" i="5"/>
  <c r="J3754" i="5"/>
  <c r="J3752" i="5"/>
  <c r="I3750" i="5"/>
  <c r="I3746" i="5"/>
  <c r="J3386" i="5"/>
  <c r="J3380" i="5"/>
  <c r="J3376" i="5"/>
  <c r="I3373" i="5"/>
  <c r="J3367" i="5"/>
  <c r="J3363" i="5"/>
  <c r="I3359" i="5"/>
  <c r="J3350" i="5"/>
  <c r="I3343" i="5"/>
  <c r="J3339" i="5"/>
  <c r="I3336" i="5"/>
  <c r="J3328" i="5"/>
  <c r="J3323" i="5"/>
  <c r="J3316" i="5"/>
  <c r="J3311" i="5"/>
  <c r="I3304" i="5"/>
  <c r="J3297" i="5"/>
  <c r="J3293" i="5"/>
  <c r="I3289" i="5"/>
  <c r="I3282" i="5"/>
  <c r="J3277" i="5"/>
  <c r="J3273" i="5"/>
  <c r="J3265" i="5"/>
  <c r="J3260" i="5"/>
  <c r="I3257" i="5"/>
  <c r="J3252" i="5"/>
  <c r="J3250" i="5"/>
  <c r="J3245" i="5"/>
  <c r="I3241" i="5"/>
  <c r="I3236" i="5"/>
  <c r="J3231" i="5"/>
  <c r="I3226" i="5"/>
  <c r="I3224" i="5"/>
  <c r="I3222" i="5"/>
  <c r="I3220" i="5"/>
  <c r="J3213" i="5"/>
  <c r="I3208" i="5"/>
  <c r="I3197" i="5"/>
  <c r="I3192" i="5"/>
  <c r="J3189" i="5"/>
  <c r="I3185" i="5"/>
  <c r="I3180" i="5"/>
  <c r="J3173" i="5"/>
  <c r="J3168" i="5"/>
  <c r="I3166" i="5"/>
  <c r="I3162" i="5"/>
  <c r="I3151" i="5"/>
  <c r="J3146" i="5"/>
  <c r="I3140" i="5"/>
  <c r="I3135" i="5"/>
  <c r="I3128" i="5"/>
  <c r="J3123" i="5"/>
  <c r="I3119" i="5"/>
  <c r="J3108" i="5"/>
  <c r="I3099" i="5"/>
  <c r="J3095" i="5"/>
  <c r="J3092" i="5"/>
  <c r="I3091" i="5"/>
  <c r="J3087" i="5"/>
  <c r="I3085" i="5"/>
  <c r="I3081" i="5"/>
  <c r="I3078" i="5"/>
  <c r="I3075" i="5"/>
  <c r="J3070" i="5"/>
  <c r="I3060" i="5"/>
  <c r="I3055" i="5"/>
  <c r="J3051" i="5"/>
  <c r="I3048" i="5"/>
  <c r="I3047" i="5"/>
  <c r="I3044" i="5"/>
  <c r="J3041" i="5"/>
  <c r="J3037" i="5"/>
  <c r="J3033" i="5"/>
  <c r="J3030" i="5"/>
  <c r="J3026" i="5"/>
  <c r="J3023" i="5"/>
  <c r="J3019" i="5"/>
  <c r="I3018" i="5"/>
  <c r="J3014" i="5"/>
  <c r="J3012" i="5"/>
  <c r="J3008" i="5"/>
  <c r="J3006" i="5"/>
  <c r="I3005" i="5"/>
  <c r="J3002" i="5"/>
  <c r="I2999" i="5"/>
  <c r="J2992" i="5"/>
  <c r="I2990" i="5"/>
  <c r="I2987" i="5"/>
  <c r="I2552" i="5"/>
  <c r="I2550" i="5"/>
  <c r="I2544" i="5"/>
  <c r="J2539" i="5"/>
  <c r="J2537" i="5"/>
  <c r="J2534" i="5"/>
  <c r="J2529" i="5"/>
  <c r="I2524" i="5"/>
  <c r="I2521" i="5"/>
  <c r="I2516" i="5"/>
  <c r="J2510" i="5"/>
  <c r="J2507" i="5"/>
  <c r="I2502" i="5"/>
  <c r="J2496" i="5"/>
  <c r="J2492" i="5"/>
  <c r="I2489" i="5"/>
  <c r="J2484" i="5"/>
  <c r="I2481" i="5"/>
  <c r="J2476" i="5"/>
  <c r="J2474" i="5"/>
  <c r="J2473" i="5"/>
  <c r="I2469" i="5"/>
  <c r="J2464" i="5"/>
  <c r="J2462" i="5"/>
  <c r="I2458" i="5"/>
  <c r="J2453" i="5"/>
  <c r="J2450" i="5"/>
  <c r="I2442" i="5"/>
  <c r="I2438" i="5"/>
  <c r="J2434" i="5"/>
  <c r="I2433" i="5"/>
  <c r="I2428" i="5"/>
  <c r="I2427" i="5"/>
  <c r="I2426" i="5"/>
  <c r="I2420" i="5"/>
  <c r="J2417" i="5"/>
  <c r="I2413" i="5"/>
  <c r="J2408" i="5"/>
  <c r="J2404" i="5"/>
  <c r="J2401" i="5"/>
  <c r="J2395" i="5"/>
  <c r="J2393" i="5"/>
  <c r="I2389" i="5"/>
  <c r="I2382" i="5"/>
  <c r="J2378" i="5"/>
  <c r="J2376" i="5"/>
  <c r="I2372" i="5"/>
  <c r="J2367" i="5"/>
  <c r="J2364" i="5"/>
  <c r="I2361" i="5"/>
  <c r="J2356" i="5"/>
  <c r="I2352" i="5"/>
  <c r="J2350" i="5"/>
  <c r="J2348" i="5"/>
  <c r="J2346" i="5"/>
  <c r="J2344" i="5"/>
  <c r="I2341" i="5"/>
  <c r="I2337" i="5"/>
  <c r="J2332" i="5"/>
  <c r="J2328" i="5"/>
  <c r="I2326" i="5"/>
  <c r="I2322" i="5"/>
  <c r="J2314" i="5"/>
  <c r="J2309" i="5"/>
  <c r="J2305" i="5"/>
  <c r="J2298" i="5"/>
  <c r="J2295" i="5"/>
  <c r="J2291" i="5"/>
  <c r="J2289" i="5"/>
  <c r="I2285" i="5"/>
  <c r="I2282" i="5"/>
  <c r="J2272" i="5"/>
  <c r="J2268" i="5"/>
  <c r="I2266" i="5"/>
  <c r="I2257" i="5"/>
  <c r="I2252" i="5"/>
  <c r="J2246" i="5"/>
  <c r="I2242" i="5"/>
  <c r="I2238" i="5"/>
  <c r="I2040" i="5"/>
  <c r="I2035" i="5"/>
  <c r="J2029" i="5"/>
  <c r="J2021" i="5"/>
  <c r="I2014" i="5"/>
  <c r="J2008" i="5"/>
  <c r="J2005" i="5"/>
  <c r="J1999" i="5"/>
  <c r="J1991" i="5"/>
  <c r="J1990" i="5"/>
  <c r="I1986" i="5"/>
  <c r="I1979" i="5"/>
  <c r="J1973" i="5"/>
  <c r="I1967" i="5"/>
  <c r="I1955" i="5"/>
  <c r="J1950" i="5"/>
  <c r="I1947" i="5"/>
  <c r="I1941" i="5"/>
  <c r="I1934" i="5"/>
  <c r="J1931" i="5"/>
  <c r="J1926" i="5"/>
  <c r="I1920" i="5"/>
  <c r="I1915" i="5"/>
  <c r="I1913" i="5"/>
  <c r="J1908" i="5"/>
  <c r="J1905" i="5"/>
  <c r="I1894" i="5"/>
  <c r="J1891" i="5"/>
  <c r="I1881" i="5"/>
  <c r="I1877" i="5"/>
  <c r="J1874" i="5"/>
  <c r="J1870" i="5"/>
  <c r="I1868" i="5"/>
  <c r="I1867" i="5"/>
  <c r="J1861" i="5"/>
  <c r="I1858" i="5"/>
  <c r="I1855" i="5"/>
  <c r="J1851" i="5"/>
  <c r="J1848" i="5"/>
  <c r="I1835" i="5"/>
  <c r="J1825" i="5"/>
  <c r="J1823" i="5"/>
  <c r="I1819" i="5"/>
  <c r="I1816" i="5"/>
  <c r="J1813" i="5"/>
  <c r="J1811" i="5"/>
  <c r="J1808" i="5"/>
  <c r="I1806" i="5"/>
  <c r="I1802" i="5"/>
  <c r="I1799" i="5"/>
  <c r="J1796" i="5"/>
  <c r="I1792" i="5"/>
  <c r="J1789" i="5"/>
  <c r="J1785" i="5"/>
  <c r="J1782" i="5"/>
  <c r="J1779" i="5"/>
  <c r="J1778" i="5"/>
  <c r="J1774" i="5"/>
  <c r="J1772" i="5"/>
  <c r="J1769" i="5"/>
  <c r="I1766" i="5"/>
  <c r="J1763" i="5"/>
  <c r="J1757" i="5"/>
  <c r="I1753" i="5"/>
  <c r="I1749" i="5"/>
  <c r="I1745" i="5"/>
  <c r="I1740" i="5"/>
  <c r="I1737" i="5"/>
  <c r="I1733" i="5"/>
  <c r="I1729" i="5"/>
  <c r="J1725" i="5"/>
  <c r="J1719" i="5"/>
  <c r="J1715" i="5"/>
  <c r="I1710" i="5"/>
  <c r="J1707" i="5"/>
  <c r="J1703" i="5"/>
  <c r="I1701" i="5"/>
  <c r="I1696" i="5"/>
  <c r="J1691" i="5"/>
  <c r="I1688" i="5"/>
  <c r="J1685" i="5"/>
  <c r="J1677" i="5"/>
  <c r="J1673" i="5"/>
  <c r="J1671" i="5"/>
  <c r="I1670" i="5"/>
  <c r="J1667" i="5"/>
  <c r="J1664" i="5"/>
  <c r="J1663" i="5"/>
  <c r="I1661" i="5"/>
  <c r="I1659" i="5"/>
  <c r="J1656" i="5"/>
  <c r="J1653" i="5"/>
  <c r="I1651" i="5"/>
  <c r="J1647" i="5"/>
  <c r="I1642" i="5"/>
  <c r="I1640" i="5"/>
  <c r="J1637" i="5"/>
  <c r="I1627" i="5"/>
  <c r="I1624" i="5"/>
  <c r="J1617" i="5"/>
  <c r="J1614" i="5"/>
  <c r="J1612" i="5"/>
  <c r="I1611" i="5"/>
  <c r="I1608" i="5"/>
  <c r="I1605" i="5"/>
  <c r="J1602" i="5"/>
  <c r="I1600" i="5"/>
  <c r="J1597" i="5"/>
  <c r="I1596" i="5"/>
  <c r="J1592" i="5"/>
  <c r="I1590" i="5"/>
  <c r="J1584" i="5"/>
  <c r="I1583" i="5"/>
  <c r="I1580" i="5"/>
  <c r="I1577" i="5"/>
  <c r="J1574" i="5"/>
  <c r="J1571" i="5"/>
  <c r="I1568" i="5"/>
  <c r="J1565" i="5"/>
  <c r="I1562" i="5"/>
  <c r="I1560" i="5"/>
  <c r="I1556" i="5"/>
  <c r="I1554" i="5"/>
  <c r="J1550" i="5"/>
  <c r="I1547" i="5"/>
  <c r="J1544" i="5"/>
  <c r="J1542" i="5"/>
  <c r="J1538" i="5"/>
  <c r="J1535" i="5"/>
  <c r="I1531" i="5"/>
  <c r="I1529" i="5"/>
  <c r="I1526" i="5"/>
  <c r="I1514" i="5"/>
  <c r="J1508" i="5"/>
  <c r="J1504" i="5"/>
  <c r="J1500" i="5"/>
  <c r="I1497" i="5"/>
  <c r="J1491" i="5"/>
  <c r="J1486" i="5"/>
  <c r="I1483" i="5"/>
  <c r="J1035" i="5"/>
  <c r="J1031" i="5"/>
  <c r="I1029" i="5"/>
  <c r="I1024" i="5"/>
  <c r="I1014" i="5"/>
  <c r="I1011" i="5"/>
  <c r="J994" i="5"/>
  <c r="J993" i="5"/>
  <c r="I992" i="5"/>
  <c r="I984" i="5"/>
  <c r="J981" i="5"/>
  <c r="I980" i="5"/>
  <c r="I977" i="5"/>
  <c r="J974" i="5"/>
  <c r="J971" i="5"/>
  <c r="I970" i="5"/>
  <c r="I966" i="5"/>
  <c r="I964" i="5"/>
  <c r="J962" i="5"/>
  <c r="J957" i="5"/>
  <c r="J955" i="5"/>
  <c r="I952" i="5"/>
  <c r="J950" i="5"/>
  <c r="I946" i="5"/>
  <c r="I942" i="5"/>
  <c r="I941" i="5"/>
  <c r="J939" i="5"/>
  <c r="I938" i="5"/>
  <c r="J936" i="5"/>
  <c r="I933" i="5"/>
  <c r="I931" i="5"/>
  <c r="J928" i="5"/>
  <c r="I927" i="5"/>
  <c r="I925" i="5"/>
  <c r="I914" i="5"/>
  <c r="J912" i="5"/>
  <c r="I910" i="5"/>
  <c r="I908" i="5"/>
  <c r="I905" i="5"/>
  <c r="I901" i="5"/>
  <c r="J898" i="5"/>
  <c r="J895" i="5"/>
  <c r="I890" i="5"/>
  <c r="J885" i="5"/>
  <c r="I883" i="5"/>
  <c r="J877" i="5"/>
  <c r="I874" i="5"/>
  <c r="J870" i="5"/>
  <c r="J866" i="5"/>
  <c r="I863" i="5"/>
  <c r="J859" i="5"/>
  <c r="J857" i="5"/>
  <c r="I853" i="5"/>
  <c r="I848" i="5"/>
  <c r="J843" i="5"/>
  <c r="J841" i="5"/>
  <c r="J835" i="5"/>
  <c r="J832" i="5"/>
  <c r="I832" i="5"/>
  <c r="J830" i="5"/>
  <c r="I827" i="5"/>
  <c r="I823" i="5"/>
  <c r="J820" i="5"/>
  <c r="J816" i="5"/>
  <c r="I815" i="5"/>
  <c r="J811" i="5"/>
  <c r="J809" i="5"/>
  <c r="I806" i="5"/>
  <c r="I802" i="5"/>
  <c r="I799" i="5"/>
  <c r="J795" i="5"/>
  <c r="J790" i="5"/>
  <c r="J788" i="5"/>
  <c r="J785" i="5"/>
  <c r="J780" i="5"/>
  <c r="I777" i="5"/>
  <c r="J772" i="5"/>
  <c r="J769" i="5"/>
  <c r="J765" i="5"/>
  <c r="I760" i="5"/>
  <c r="J754" i="5"/>
  <c r="J750" i="5"/>
  <c r="J745" i="5"/>
  <c r="J738" i="5"/>
  <c r="J732" i="5"/>
  <c r="I728" i="5"/>
  <c r="J117" i="5"/>
  <c r="J112" i="5"/>
  <c r="J108" i="5"/>
  <c r="J104" i="5"/>
  <c r="J99" i="5"/>
  <c r="I96" i="5"/>
  <c r="J89" i="5"/>
  <c r="J87" i="5"/>
  <c r="I83" i="5"/>
  <c r="I79" i="5"/>
  <c r="I75" i="5"/>
  <c r="J70" i="5"/>
  <c r="I66" i="5"/>
  <c r="J61" i="5"/>
  <c r="I58" i="5"/>
  <c r="I53" i="5"/>
  <c r="I48" i="5"/>
  <c r="I42" i="5"/>
  <c r="I38" i="5"/>
  <c r="I34" i="5"/>
  <c r="J29" i="5"/>
  <c r="I25" i="5"/>
  <c r="J20" i="5"/>
  <c r="I15" i="5"/>
  <c r="J11" i="5"/>
  <c r="I7" i="5"/>
  <c r="J4" i="5"/>
  <c r="D21" i="4"/>
  <c r="J4999" i="5"/>
  <c r="J4997" i="5"/>
  <c r="I4996" i="5"/>
  <c r="I4954" i="5"/>
  <c r="J4935" i="5"/>
  <c r="J4926" i="5"/>
  <c r="J4920" i="5"/>
  <c r="J4914" i="5"/>
  <c r="J4912" i="5"/>
  <c r="I4907" i="5"/>
  <c r="J4863" i="5"/>
  <c r="I4754" i="5"/>
  <c r="J4751" i="5"/>
  <c r="J4750" i="5"/>
  <c r="J4725" i="5"/>
  <c r="I4723" i="5"/>
  <c r="J4720" i="5"/>
  <c r="I4720" i="5"/>
  <c r="I4718" i="5"/>
  <c r="J4717" i="5"/>
  <c r="J4715" i="5"/>
  <c r="J4713" i="5"/>
  <c r="I4712" i="5"/>
  <c r="J4709" i="5"/>
  <c r="I4707" i="5"/>
  <c r="J4705" i="5"/>
  <c r="J4702" i="5"/>
  <c r="J4699" i="5"/>
  <c r="I4698" i="5"/>
  <c r="J4695" i="5"/>
  <c r="J4693" i="5"/>
  <c r="J4691" i="5"/>
  <c r="J4690" i="5"/>
  <c r="I4688" i="5"/>
  <c r="I4685" i="5"/>
  <c r="J4682" i="5"/>
  <c r="I4679" i="5"/>
  <c r="J4676" i="5"/>
  <c r="J4672" i="5"/>
  <c r="I4671" i="5"/>
  <c r="J4668" i="5"/>
  <c r="J4666" i="5"/>
  <c r="J4663" i="5"/>
  <c r="I4662" i="5"/>
  <c r="I4660" i="5"/>
  <c r="I4657" i="5"/>
  <c r="J4655" i="5"/>
  <c r="J4654" i="5"/>
  <c r="I4652" i="5"/>
  <c r="I4585" i="5"/>
  <c r="I4584" i="5"/>
  <c r="I4583" i="5"/>
  <c r="I4581" i="5"/>
  <c r="I4580" i="5"/>
  <c r="I4578" i="5"/>
  <c r="J4576" i="5"/>
  <c r="I4576" i="5"/>
  <c r="I4574" i="5"/>
  <c r="I4573" i="5"/>
  <c r="I4571" i="5"/>
  <c r="J4569" i="5"/>
  <c r="J4568" i="5"/>
  <c r="I4567" i="5"/>
  <c r="I4566" i="5"/>
  <c r="J4564" i="5"/>
  <c r="I4563" i="5"/>
  <c r="J4561" i="5"/>
  <c r="J4559" i="5"/>
  <c r="J4558" i="5"/>
  <c r="J4557" i="5"/>
  <c r="J4555" i="5"/>
  <c r="J4554" i="5"/>
  <c r="J4553" i="5"/>
  <c r="J4552" i="5"/>
  <c r="J4550" i="5"/>
  <c r="J4549" i="5"/>
  <c r="J4548" i="5"/>
  <c r="J4546" i="5"/>
  <c r="I4545" i="5"/>
  <c r="J4543" i="5"/>
  <c r="I4542" i="5"/>
  <c r="J4541" i="5"/>
  <c r="J4539" i="5"/>
  <c r="I4538" i="5"/>
  <c r="J4537" i="5"/>
  <c r="J4536" i="5"/>
  <c r="I4535" i="5"/>
  <c r="I4534" i="5"/>
  <c r="J4532" i="5"/>
  <c r="I4531" i="5"/>
  <c r="I4530" i="5"/>
  <c r="J4527" i="5"/>
  <c r="I4526" i="5"/>
  <c r="I4525" i="5"/>
  <c r="I4524" i="5"/>
  <c r="J4522" i="5"/>
  <c r="I4520" i="5"/>
  <c r="J4518" i="5"/>
  <c r="J4517" i="5"/>
  <c r="I4516" i="5"/>
  <c r="J4514" i="5"/>
  <c r="J4513" i="5"/>
  <c r="I4513" i="5"/>
  <c r="J4511" i="5"/>
  <c r="I4511" i="5"/>
  <c r="I4510" i="5"/>
  <c r="J4508" i="5"/>
  <c r="J4507" i="5"/>
  <c r="I4506" i="5"/>
  <c r="I4505" i="5"/>
  <c r="J4503" i="5"/>
  <c r="J4502" i="5"/>
  <c r="J4501" i="5"/>
  <c r="J4500" i="5"/>
  <c r="I4499" i="5"/>
  <c r="I4498" i="5"/>
  <c r="I4497" i="5"/>
  <c r="I4496" i="5"/>
  <c r="J4494" i="5"/>
  <c r="I4406" i="5"/>
  <c r="I4405" i="5"/>
  <c r="I4403" i="5"/>
  <c r="I4401" i="5"/>
  <c r="J4399" i="5"/>
  <c r="J4397" i="5"/>
  <c r="J4395" i="5"/>
  <c r="J4394" i="5"/>
  <c r="I4393" i="5"/>
  <c r="I4392" i="5"/>
  <c r="I4390" i="5"/>
  <c r="J4389" i="5"/>
  <c r="J4388" i="5"/>
  <c r="J4387" i="5"/>
  <c r="J4385" i="5"/>
  <c r="I4384" i="5"/>
  <c r="J4382" i="5"/>
  <c r="J4381" i="5"/>
  <c r="I4380" i="5"/>
  <c r="J4378" i="5"/>
  <c r="J4376" i="5"/>
  <c r="J4375" i="5"/>
  <c r="J4374" i="5"/>
  <c r="J4371" i="5"/>
  <c r="I4370" i="5"/>
  <c r="J4367" i="5"/>
  <c r="I4366" i="5"/>
  <c r="J4364" i="5"/>
  <c r="J4361" i="5"/>
  <c r="I4360" i="5"/>
  <c r="J4358" i="5"/>
  <c r="I4356" i="5"/>
  <c r="I4354" i="5"/>
  <c r="J4351" i="5"/>
  <c r="I4350" i="5"/>
  <c r="J4348" i="5"/>
  <c r="I4347" i="5"/>
  <c r="I4345" i="5"/>
  <c r="I4344" i="5"/>
  <c r="I4342" i="5"/>
  <c r="J4339" i="5"/>
  <c r="I4338" i="5"/>
  <c r="I4336" i="5"/>
  <c r="I4335" i="5"/>
  <c r="I4333" i="5"/>
  <c r="J4331" i="5"/>
  <c r="I4330" i="5"/>
  <c r="J4328" i="5"/>
  <c r="I4327" i="5"/>
  <c r="J4325" i="5"/>
  <c r="I4324" i="5"/>
  <c r="J4322" i="5"/>
  <c r="J4320" i="5"/>
  <c r="I4319" i="5"/>
  <c r="J4317" i="5"/>
  <c r="I4316" i="5"/>
  <c r="J4314" i="5"/>
  <c r="J4312" i="5"/>
  <c r="I4311" i="5"/>
  <c r="I4309" i="5"/>
  <c r="J4307" i="5"/>
  <c r="I4306" i="5"/>
  <c r="J4304" i="5"/>
  <c r="J4303" i="5"/>
  <c r="I4302" i="5"/>
  <c r="J4300" i="5"/>
  <c r="J4299" i="5"/>
  <c r="J4298" i="5"/>
  <c r="I4297" i="5"/>
  <c r="I4296" i="5"/>
  <c r="J4294" i="5"/>
  <c r="I4293" i="5"/>
  <c r="I4292" i="5"/>
  <c r="J4290" i="5"/>
  <c r="I4288" i="5"/>
  <c r="I4287" i="5"/>
  <c r="I4286" i="5"/>
  <c r="I4284" i="5"/>
  <c r="J4282" i="5"/>
  <c r="J4280" i="5"/>
  <c r="J4279" i="5"/>
  <c r="I4278" i="5"/>
  <c r="J4276" i="5"/>
  <c r="I4275" i="5"/>
  <c r="J4273" i="5"/>
  <c r="I4271" i="5"/>
  <c r="I4269" i="5"/>
  <c r="I4267" i="5"/>
  <c r="J4265" i="5"/>
  <c r="I4264" i="5"/>
  <c r="J4261" i="5"/>
  <c r="I4260" i="5"/>
  <c r="J4258" i="5"/>
  <c r="J4256" i="5"/>
  <c r="J4254" i="5"/>
  <c r="J4253" i="5"/>
  <c r="J4252" i="5"/>
  <c r="I4251" i="5"/>
  <c r="J4249" i="5"/>
  <c r="J3749" i="5"/>
  <c r="J3742" i="5"/>
  <c r="I3381" i="5"/>
  <c r="I3377" i="5"/>
  <c r="J3371" i="5"/>
  <c r="I3367" i="5"/>
  <c r="J3359" i="5"/>
  <c r="I3354" i="5"/>
  <c r="I3349" i="5"/>
  <c r="J3342" i="5"/>
  <c r="J3338" i="5"/>
  <c r="I3333" i="5"/>
  <c r="I3329" i="5"/>
  <c r="I3324" i="5"/>
  <c r="I3319" i="5"/>
  <c r="I3315" i="5"/>
  <c r="I3310" i="5"/>
  <c r="I3305" i="5"/>
  <c r="I3301" i="5"/>
  <c r="J3294" i="5"/>
  <c r="J3287" i="5"/>
  <c r="I3284" i="5"/>
  <c r="J3274" i="5"/>
  <c r="I3266" i="5"/>
  <c r="I3262" i="5"/>
  <c r="J3256" i="5"/>
  <c r="I3252" i="5"/>
  <c r="I3249" i="5"/>
  <c r="I3245" i="5"/>
  <c r="J3241" i="5"/>
  <c r="J3236" i="5"/>
  <c r="J3232" i="5"/>
  <c r="J3228" i="5"/>
  <c r="I3217" i="5"/>
  <c r="J3212" i="5"/>
  <c r="J3208" i="5"/>
  <c r="J3204" i="5"/>
  <c r="J3203" i="5"/>
  <c r="I3201" i="5"/>
  <c r="I3196" i="5"/>
  <c r="J3192" i="5"/>
  <c r="J3188" i="5"/>
  <c r="J3184" i="5"/>
  <c r="I3184" i="5"/>
  <c r="I3179" i="5"/>
  <c r="J3167" i="5"/>
  <c r="J3163" i="5"/>
  <c r="I3159" i="5"/>
  <c r="I3157" i="5"/>
  <c r="I3155" i="5"/>
  <c r="J3147" i="5"/>
  <c r="I3142" i="5"/>
  <c r="J3135" i="5"/>
  <c r="J3127" i="5"/>
  <c r="J3122" i="5"/>
  <c r="I3117" i="5"/>
  <c r="J3107" i="5"/>
  <c r="I3101" i="5"/>
  <c r="J3098" i="5"/>
  <c r="I3096" i="5"/>
  <c r="J3093" i="5"/>
  <c r="I3090" i="5"/>
  <c r="I3086" i="5"/>
  <c r="J3082" i="5"/>
  <c r="J3078" i="5"/>
  <c r="J3075" i="5"/>
  <c r="I3072" i="5"/>
  <c r="I3059" i="5"/>
  <c r="I3053" i="5"/>
  <c r="J3048" i="5"/>
  <c r="J3047" i="5"/>
  <c r="I3045" i="5"/>
  <c r="I3041" i="5"/>
  <c r="I3036" i="5"/>
  <c r="J3031" i="5"/>
  <c r="I3028" i="5"/>
  <c r="I3026" i="5"/>
  <c r="J3021" i="5"/>
  <c r="J3018" i="5"/>
  <c r="I3014" i="5"/>
  <c r="I3010" i="5"/>
  <c r="J3000" i="5"/>
  <c r="J2996" i="5"/>
  <c r="I2996" i="5"/>
  <c r="J2994" i="5"/>
  <c r="J2990" i="5"/>
  <c r="J2553" i="5"/>
  <c r="I2548" i="5"/>
  <c r="J2542" i="5"/>
  <c r="I2535" i="5"/>
  <c r="J2530" i="5"/>
  <c r="I2527" i="5"/>
  <c r="J2525" i="5"/>
  <c r="J2523" i="5"/>
  <c r="I2515" i="5"/>
  <c r="I2511" i="5"/>
  <c r="J2503" i="5"/>
  <c r="J2500" i="5"/>
  <c r="I2496" i="5"/>
  <c r="I2494" i="5"/>
  <c r="J2489" i="5"/>
  <c r="J2483" i="5"/>
  <c r="I2478" i="5"/>
  <c r="J2468" i="5"/>
  <c r="J2463" i="5"/>
  <c r="J2458" i="5"/>
  <c r="I2453" i="5"/>
  <c r="J2448" i="5"/>
  <c r="J2446" i="5"/>
  <c r="I2443" i="5"/>
  <c r="I2437" i="5"/>
  <c r="J2431" i="5"/>
  <c r="J2422" i="5"/>
  <c r="I2417" i="5"/>
  <c r="I2411" i="5"/>
  <c r="I2405" i="5"/>
  <c r="I2400" i="5"/>
  <c r="J2390" i="5"/>
  <c r="I2381" i="5"/>
  <c r="I2374" i="5"/>
  <c r="I2370" i="5"/>
  <c r="J2363" i="5"/>
  <c r="I2358" i="5"/>
  <c r="J2352" i="5"/>
  <c r="I4941" i="5"/>
  <c r="J4939" i="5"/>
  <c r="I4938" i="5"/>
  <c r="I4936" i="5"/>
  <c r="I4933" i="5"/>
  <c r="J4931" i="5"/>
  <c r="I4929" i="5"/>
  <c r="J4927" i="5"/>
  <c r="I4924" i="5"/>
  <c r="I4922" i="5"/>
  <c r="I4919" i="5"/>
  <c r="I4916" i="5"/>
  <c r="I4904" i="5"/>
  <c r="I4903" i="5"/>
  <c r="I4902" i="5"/>
  <c r="J4900" i="5"/>
  <c r="J4899" i="5"/>
  <c r="I4898" i="5"/>
  <c r="J4896" i="5"/>
  <c r="I4895" i="5"/>
  <c r="J4893" i="5"/>
  <c r="J4891" i="5"/>
  <c r="J4889" i="5"/>
  <c r="J4887" i="5"/>
  <c r="J4886" i="5"/>
  <c r="I4884" i="5"/>
  <c r="I4882" i="5"/>
  <c r="J4881" i="5"/>
  <c r="I4879" i="5"/>
  <c r="J4878" i="5"/>
  <c r="J4877" i="5"/>
  <c r="J4876" i="5"/>
  <c r="J4875" i="5"/>
  <c r="J4873" i="5"/>
  <c r="J4872" i="5"/>
  <c r="J4871" i="5"/>
  <c r="I4870" i="5"/>
  <c r="I4868" i="5"/>
  <c r="I4866" i="5"/>
  <c r="I4865" i="5"/>
  <c r="I4789" i="5"/>
  <c r="I4777" i="5"/>
  <c r="J4769" i="5"/>
  <c r="I4760" i="5"/>
  <c r="J4753" i="5"/>
  <c r="J4741" i="5"/>
  <c r="I4739" i="5"/>
  <c r="J4734" i="5"/>
  <c r="J4730" i="5"/>
  <c r="J4726" i="5"/>
  <c r="I4724" i="5"/>
  <c r="I4715" i="5"/>
  <c r="I4710" i="5"/>
  <c r="I4705" i="5"/>
  <c r="I4699" i="5"/>
  <c r="I4695" i="5"/>
  <c r="I4686" i="5"/>
  <c r="J4680" i="5"/>
  <c r="J4673" i="5"/>
  <c r="J4669" i="5"/>
  <c r="I4664" i="5"/>
  <c r="I4659" i="5"/>
  <c r="J4651" i="5"/>
  <c r="J4646" i="5"/>
  <c r="J4641" i="5"/>
  <c r="J4636" i="5"/>
  <c r="J4632" i="5"/>
  <c r="I4626" i="5"/>
  <c r="I4621" i="5"/>
  <c r="I4614" i="5"/>
  <c r="I4607" i="5"/>
  <c r="I4603" i="5"/>
  <c r="I4601" i="5"/>
  <c r="J4596" i="5"/>
  <c r="J4593" i="5"/>
  <c r="I4590" i="5"/>
  <c r="I4588" i="5"/>
  <c r="J4585" i="5"/>
  <c r="J4581" i="5"/>
  <c r="J4577" i="5"/>
  <c r="J4574" i="5"/>
  <c r="J4571" i="5"/>
  <c r="I4568" i="5"/>
  <c r="J4563" i="5"/>
  <c r="J4560" i="5"/>
  <c r="I4556" i="5"/>
  <c r="J4551" i="5"/>
  <c r="I4548" i="5"/>
  <c r="I4544" i="5"/>
  <c r="I4540" i="5"/>
  <c r="J4535" i="5"/>
  <c r="I4532" i="5"/>
  <c r="J4528" i="5"/>
  <c r="J4524" i="5"/>
  <c r="I4521" i="5"/>
  <c r="J4515" i="5"/>
  <c r="I4512" i="5"/>
  <c r="J4386" i="5"/>
  <c r="I4379" i="5"/>
  <c r="I4373" i="5"/>
  <c r="I4369" i="5"/>
  <c r="I4363" i="5"/>
  <c r="I4357" i="5"/>
  <c r="I4352" i="5"/>
  <c r="J4347" i="5"/>
  <c r="J4203" i="5"/>
  <c r="J4199" i="5"/>
  <c r="I4197" i="5"/>
  <c r="I4196" i="5"/>
  <c r="J4192" i="5"/>
  <c r="I4190" i="5"/>
  <c r="I4187" i="5"/>
  <c r="J4184" i="5"/>
  <c r="I4183" i="5"/>
  <c r="I4180" i="5"/>
  <c r="I4178" i="5"/>
  <c r="I4175" i="5"/>
  <c r="I4173" i="5"/>
  <c r="J4170" i="5"/>
  <c r="J4166" i="5"/>
  <c r="J4164" i="5"/>
  <c r="I4161" i="5"/>
  <c r="J4158" i="5"/>
  <c r="J4155" i="5"/>
  <c r="J4152" i="5"/>
  <c r="J4148" i="5"/>
  <c r="J4144" i="5"/>
  <c r="J4142" i="5"/>
  <c r="I4140" i="5"/>
  <c r="I4138" i="5"/>
  <c r="J4135" i="5"/>
  <c r="I4134" i="5"/>
  <c r="J4128" i="5"/>
  <c r="J4125" i="5"/>
  <c r="I4122" i="5"/>
  <c r="I4118" i="5"/>
  <c r="J4113" i="5"/>
  <c r="J4111" i="5"/>
  <c r="I4108" i="5"/>
  <c r="I4105" i="5"/>
  <c r="J4102" i="5"/>
  <c r="J4099" i="5"/>
  <c r="I4097" i="5"/>
  <c r="J4094" i="5"/>
  <c r="I4091" i="5"/>
  <c r="I4089" i="5"/>
  <c r="J4085" i="5"/>
  <c r="J4083" i="5"/>
  <c r="I4081" i="5"/>
  <c r="J4079" i="5"/>
  <c r="J4077" i="5"/>
  <c r="I4076" i="5"/>
  <c r="I4074" i="5"/>
  <c r="J4072" i="5"/>
  <c r="I4070" i="5"/>
  <c r="J4068" i="5"/>
  <c r="J4066" i="5"/>
  <c r="J4064" i="5"/>
  <c r="J4063" i="5"/>
  <c r="J4060" i="5"/>
  <c r="I4059" i="5"/>
  <c r="J4058" i="5"/>
  <c r="I4057" i="5"/>
  <c r="J4055" i="5"/>
  <c r="J4053" i="5"/>
  <c r="I4051" i="5"/>
  <c r="J4049" i="5"/>
  <c r="I4047" i="5"/>
  <c r="J4044" i="5"/>
  <c r="J4043" i="5"/>
  <c r="I4043" i="5"/>
  <c r="I4040" i="5"/>
  <c r="I4039" i="5"/>
  <c r="J4036" i="5"/>
  <c r="I4035" i="5"/>
  <c r="J4032" i="5"/>
  <c r="J4031" i="5"/>
  <c r="J4029" i="5"/>
  <c r="I4028" i="5"/>
  <c r="J4025" i="5"/>
  <c r="I4024" i="5"/>
  <c r="I4022" i="5"/>
  <c r="J4019" i="5"/>
  <c r="I4018" i="5"/>
  <c r="I4016" i="5"/>
  <c r="J4014" i="5"/>
  <c r="I4012" i="5"/>
  <c r="J4008" i="5"/>
  <c r="J4006" i="5"/>
  <c r="I4006" i="5"/>
  <c r="J4004" i="5"/>
  <c r="I4003" i="5"/>
  <c r="J4001" i="5"/>
  <c r="J3999" i="5"/>
  <c r="I3998" i="5"/>
  <c r="I3997" i="5"/>
  <c r="J3995" i="5"/>
  <c r="I3994" i="5"/>
  <c r="I3992" i="5"/>
  <c r="J3990" i="5"/>
  <c r="J3988" i="5"/>
  <c r="J3987" i="5"/>
  <c r="I3986" i="5"/>
  <c r="J3984" i="5"/>
  <c r="I3982" i="5"/>
  <c r="J3980" i="5"/>
  <c r="I3979" i="5"/>
  <c r="J3976" i="5"/>
  <c r="J3975" i="5"/>
  <c r="I3974" i="5"/>
  <c r="I3972" i="5"/>
  <c r="I3970" i="5"/>
  <c r="J3968" i="5"/>
  <c r="I3966" i="5"/>
  <c r="I3964" i="5"/>
  <c r="J3961" i="5"/>
  <c r="J3958" i="5"/>
  <c r="I3957" i="5"/>
  <c r="I3955" i="5"/>
  <c r="J3952" i="5"/>
  <c r="I3951" i="5"/>
  <c r="I3948" i="5"/>
  <c r="J3945" i="5"/>
  <c r="I3944" i="5"/>
  <c r="I3941" i="5"/>
  <c r="J3937" i="5"/>
  <c r="I3936" i="5"/>
  <c r="I3934" i="5"/>
  <c r="I3932" i="5"/>
  <c r="I3930" i="5"/>
  <c r="J3928" i="5"/>
  <c r="I3927" i="5"/>
  <c r="J3924" i="5"/>
  <c r="J3922" i="5"/>
  <c r="I3921" i="5"/>
  <c r="J3918" i="5"/>
  <c r="J3916" i="5"/>
  <c r="I3915" i="5"/>
  <c r="I3913" i="5"/>
  <c r="I3910" i="5"/>
  <c r="I3909" i="5"/>
  <c r="J3906" i="5"/>
  <c r="I3906" i="5"/>
  <c r="I3904" i="5"/>
  <c r="J3902" i="5"/>
  <c r="J3900" i="5"/>
  <c r="I3899" i="5"/>
  <c r="J3897" i="5"/>
  <c r="I3896" i="5"/>
  <c r="I3894" i="5"/>
  <c r="J3893" i="5"/>
  <c r="J3891" i="5"/>
  <c r="J3889" i="5"/>
  <c r="J3887" i="5"/>
  <c r="J3885" i="5"/>
  <c r="J3884" i="5"/>
  <c r="I3882" i="5"/>
  <c r="I3881" i="5"/>
  <c r="J3878" i="5"/>
  <c r="I3876" i="5"/>
  <c r="J3873" i="5"/>
  <c r="J3871" i="5"/>
  <c r="J3869" i="5"/>
  <c r="J3867" i="5"/>
  <c r="J3865" i="5"/>
  <c r="J3864" i="5"/>
  <c r="J3862" i="5"/>
  <c r="I3861" i="5"/>
  <c r="J3859" i="5"/>
  <c r="I3858" i="5"/>
  <c r="I3856" i="5"/>
  <c r="J3854" i="5"/>
  <c r="J3852" i="5"/>
  <c r="I3851" i="5"/>
  <c r="J3849" i="5"/>
  <c r="J3847" i="5"/>
  <c r="I3845" i="5"/>
  <c r="I3843" i="5"/>
  <c r="J3839" i="5"/>
  <c r="I3837" i="5"/>
  <c r="J3835" i="5"/>
  <c r="J3834" i="5"/>
  <c r="I3833" i="5"/>
  <c r="J3831" i="5"/>
  <c r="J3830" i="5"/>
  <c r="I3827" i="5"/>
  <c r="I3825" i="5"/>
  <c r="I3823" i="5"/>
  <c r="I3819" i="5"/>
  <c r="J3817" i="5"/>
  <c r="J3815" i="5"/>
  <c r="I3814" i="5"/>
  <c r="J3812" i="5"/>
  <c r="I3810" i="5"/>
  <c r="J3807" i="5"/>
  <c r="J3805" i="5"/>
  <c r="I3804" i="5"/>
  <c r="J3801" i="5"/>
  <c r="J3799" i="5"/>
  <c r="I3797" i="5"/>
  <c r="I3795" i="5"/>
  <c r="I3793" i="5"/>
  <c r="I3791" i="5"/>
  <c r="J3788" i="5"/>
  <c r="I3787" i="5"/>
  <c r="J3784" i="5"/>
  <c r="I3784" i="5"/>
  <c r="J3783" i="5"/>
  <c r="J3782" i="5"/>
  <c r="J3780" i="5"/>
  <c r="I3778" i="5"/>
  <c r="I3776" i="5"/>
  <c r="I3774" i="5"/>
  <c r="I3772" i="5"/>
  <c r="I3768" i="5"/>
  <c r="I3766" i="5"/>
  <c r="I3764" i="5"/>
  <c r="J3762" i="5"/>
  <c r="I3761" i="5"/>
  <c r="J3759" i="5"/>
  <c r="J3757" i="5"/>
  <c r="J3755" i="5"/>
  <c r="I3753" i="5"/>
  <c r="I3752" i="5"/>
  <c r="I3749" i="5"/>
  <c r="I3747" i="5"/>
  <c r="J3745" i="5"/>
  <c r="J3743" i="5"/>
  <c r="I3741" i="5"/>
  <c r="I3385" i="5"/>
  <c r="J3382" i="5"/>
  <c r="J3381" i="5"/>
  <c r="I3379" i="5"/>
  <c r="I3376" i="5"/>
  <c r="I3374" i="5"/>
  <c r="I3371" i="5"/>
  <c r="I3369" i="5"/>
  <c r="J3365" i="5"/>
  <c r="J3361" i="5"/>
  <c r="J3357" i="5"/>
  <c r="J3354" i="5"/>
  <c r="J3352" i="5"/>
  <c r="I3348" i="5"/>
  <c r="I3346" i="5"/>
  <c r="J3343" i="5"/>
  <c r="J3341" i="5"/>
  <c r="I3337" i="5"/>
  <c r="J3334" i="5"/>
  <c r="J3331" i="5"/>
  <c r="I3328" i="5"/>
  <c r="I3326" i="5"/>
  <c r="J3321" i="5"/>
  <c r="J3320" i="5"/>
  <c r="J3319" i="5"/>
  <c r="I3316" i="5"/>
  <c r="I3313" i="5"/>
  <c r="J3309" i="5"/>
  <c r="I3307" i="5"/>
  <c r="J3305" i="5"/>
  <c r="J3302" i="5"/>
  <c r="J3299" i="5"/>
  <c r="I3298" i="5"/>
  <c r="I3295" i="5"/>
  <c r="I3292" i="5"/>
  <c r="J3288" i="5"/>
  <c r="I3288" i="5"/>
  <c r="J3286" i="5"/>
  <c r="J3283" i="5"/>
  <c r="J3279" i="5"/>
  <c r="I3278" i="5"/>
  <c r="I3275" i="5"/>
  <c r="I3272" i="5"/>
  <c r="I3271" i="5"/>
  <c r="I3270" i="5"/>
  <c r="J3268" i="5"/>
  <c r="J3266" i="5"/>
  <c r="I3264" i="5"/>
  <c r="J3262" i="5"/>
  <c r="J3259" i="5"/>
  <c r="I3258" i="5"/>
  <c r="J3255" i="5"/>
  <c r="I3253" i="5"/>
  <c r="I3250" i="5"/>
  <c r="J3246" i="5"/>
  <c r="J3243" i="5"/>
  <c r="J3240" i="5"/>
  <c r="J3239" i="5"/>
  <c r="J3237" i="5"/>
  <c r="J3233" i="5"/>
  <c r="J3230" i="5"/>
  <c r="I3228" i="5"/>
  <c r="J3221" i="5"/>
  <c r="J3218" i="5"/>
  <c r="J3217" i="5"/>
  <c r="J3215" i="5"/>
  <c r="J3211" i="5"/>
  <c r="I3210" i="5"/>
  <c r="I3206" i="5"/>
  <c r="J3201" i="5"/>
  <c r="I3198" i="5"/>
  <c r="I3194" i="5"/>
  <c r="I3190" i="5"/>
  <c r="J3186" i="5"/>
  <c r="I3183" i="5"/>
  <c r="I3181" i="5"/>
  <c r="I3177" i="5"/>
  <c r="I3172" i="5"/>
  <c r="I3169" i="5"/>
  <c r="J3164" i="5"/>
  <c r="I3161" i="5"/>
  <c r="I3154" i="5"/>
  <c r="I3152" i="5"/>
  <c r="J3149" i="5"/>
  <c r="I3146" i="5"/>
  <c r="I3143" i="5"/>
  <c r="J3139" i="5"/>
  <c r="I3136" i="5"/>
  <c r="I3134" i="5"/>
  <c r="J3128" i="5"/>
  <c r="J3126" i="5"/>
  <c r="I3123" i="5"/>
  <c r="J3119" i="5"/>
  <c r="I3116" i="5"/>
  <c r="I3115" i="5"/>
  <c r="I3113" i="5"/>
  <c r="I3112" i="5"/>
  <c r="I3111" i="5"/>
  <c r="J3106" i="5"/>
  <c r="J3104" i="5"/>
  <c r="I3104" i="5"/>
  <c r="J3103" i="5"/>
  <c r="I3103" i="5"/>
  <c r="I3102" i="5"/>
  <c r="J3100" i="5"/>
  <c r="J3097" i="5"/>
  <c r="I3094" i="5"/>
  <c r="I3092" i="5"/>
  <c r="I3089" i="5"/>
  <c r="J3086" i="5"/>
  <c r="J3083" i="5"/>
  <c r="J3081" i="5"/>
  <c r="J3079" i="5"/>
  <c r="I3076" i="5"/>
  <c r="J3072" i="5"/>
  <c r="I3070" i="5"/>
  <c r="I3067" i="5"/>
  <c r="J3065" i="5"/>
  <c r="J3064" i="5"/>
  <c r="J3062" i="5"/>
  <c r="J3056" i="5"/>
  <c r="J3052" i="5"/>
  <c r="I3050" i="5"/>
  <c r="J3045" i="5"/>
  <c r="I3043" i="5"/>
  <c r="J3039" i="5"/>
  <c r="J3038" i="5"/>
  <c r="J3034" i="5"/>
  <c r="I3032" i="5"/>
  <c r="J3028" i="5"/>
  <c r="I3027" i="5"/>
  <c r="I3025" i="5"/>
  <c r="I3020" i="5"/>
  <c r="J3016" i="5"/>
  <c r="J3013" i="5"/>
  <c r="I3012" i="5"/>
  <c r="I3008" i="5"/>
  <c r="I3006" i="5"/>
  <c r="J3004" i="5"/>
  <c r="I3001" i="5"/>
  <c r="I2998" i="5"/>
  <c r="I2995" i="5"/>
  <c r="I2994" i="5"/>
  <c r="I2991" i="5"/>
  <c r="I2554" i="5"/>
  <c r="J2547" i="5"/>
  <c r="J2545" i="5"/>
  <c r="J2540" i="5"/>
  <c r="J2533" i="5"/>
  <c r="I2530" i="5"/>
  <c r="I2528" i="5"/>
  <c r="I2526" i="5"/>
  <c r="I2525" i="5"/>
  <c r="J2521" i="5"/>
  <c r="J2516" i="5"/>
  <c r="I2512" i="5"/>
  <c r="J2508" i="5"/>
  <c r="J2504" i="5"/>
  <c r="J2502" i="5"/>
  <c r="J2498" i="5"/>
  <c r="I2492" i="5"/>
  <c r="J2486" i="5"/>
  <c r="J2482" i="5"/>
  <c r="J2478" i="5"/>
  <c r="J2471" i="5"/>
  <c r="J2466" i="5"/>
  <c r="I2462" i="5"/>
  <c r="I2457" i="5"/>
  <c r="I2450" i="5"/>
  <c r="I2445" i="5"/>
  <c r="I2440" i="5"/>
  <c r="I2435" i="5"/>
  <c r="I2432" i="5"/>
  <c r="I2424" i="5"/>
  <c r="J2419" i="5"/>
  <c r="I2416" i="5"/>
  <c r="I2412" i="5"/>
  <c r="I2407" i="5"/>
  <c r="I2402" i="5"/>
  <c r="I2397" i="5"/>
  <c r="I2390" i="5"/>
  <c r="J2385" i="5"/>
  <c r="J2381" i="5"/>
  <c r="I2375" i="5"/>
  <c r="I2369" i="5"/>
  <c r="I2365" i="5"/>
  <c r="I2360" i="5"/>
  <c r="I2355" i="5"/>
  <c r="J2349" i="5"/>
  <c r="I2348" i="5"/>
  <c r="I2345" i="5"/>
  <c r="J2340" i="5"/>
  <c r="I2339" i="5"/>
  <c r="I2336" i="5"/>
  <c r="J2333" i="5"/>
  <c r="J2330" i="5"/>
  <c r="J2326" i="5"/>
  <c r="I2324" i="5"/>
  <c r="J2317" i="5"/>
  <c r="I2314" i="5"/>
  <c r="I2311" i="5"/>
  <c r="I2308" i="5"/>
  <c r="J2304" i="5"/>
  <c r="J2302" i="5"/>
  <c r="I2300" i="5"/>
  <c r="I2295" i="5"/>
  <c r="I2290" i="5"/>
  <c r="J2285" i="5"/>
  <c r="J2282" i="5"/>
  <c r="J2277" i="5"/>
  <c r="J2273" i="5"/>
  <c r="I2268" i="5"/>
  <c r="J2262" i="5"/>
  <c r="J2261" i="5"/>
  <c r="I2260" i="5"/>
  <c r="I2254" i="5"/>
  <c r="J2247" i="5"/>
  <c r="I2243" i="5"/>
  <c r="I2237" i="5"/>
  <c r="I2042" i="5"/>
  <c r="I2037" i="5"/>
  <c r="J2032" i="5"/>
  <c r="I2029" i="5"/>
  <c r="I2023" i="5"/>
  <c r="I2017" i="5"/>
  <c r="J2010" i="5"/>
  <c r="J2003" i="5"/>
  <c r="J1998" i="5"/>
  <c r="J1995" i="5"/>
  <c r="I1990" i="5"/>
  <c r="J1986" i="5"/>
  <c r="I1980" i="5"/>
  <c r="I1976" i="5"/>
  <c r="J1972" i="5"/>
  <c r="J1969" i="5"/>
  <c r="J1963" i="5"/>
  <c r="I1960" i="5"/>
  <c r="J1944" i="5"/>
  <c r="J1941" i="5"/>
  <c r="I1936" i="5"/>
  <c r="I1933" i="5"/>
  <c r="J1929" i="5"/>
  <c r="J1924" i="5"/>
  <c r="J1922" i="5"/>
  <c r="J1915" i="5"/>
  <c r="J1910" i="5"/>
  <c r="J1904" i="5"/>
  <c r="I1902" i="5"/>
  <c r="J1899" i="5"/>
  <c r="I1899" i="5"/>
  <c r="J1893" i="5"/>
  <c r="J1888" i="5"/>
  <c r="I1888" i="5"/>
  <c r="J1877" i="5"/>
  <c r="J1872" i="5"/>
  <c r="J1868" i="5"/>
  <c r="J1867" i="5"/>
  <c r="J1866" i="5"/>
  <c r="J1865" i="5"/>
  <c r="I1862" i="5"/>
  <c r="J1859" i="5"/>
  <c r="I1856" i="5"/>
  <c r="I1854" i="5"/>
  <c r="J1849" i="5"/>
  <c r="J1846" i="5"/>
  <c r="I1016" i="5"/>
  <c r="J1012" i="5"/>
  <c r="J1009" i="5"/>
  <c r="I1008" i="5"/>
  <c r="I994" i="5"/>
  <c r="I993" i="5"/>
  <c r="J991" i="5"/>
  <c r="I989" i="5"/>
  <c r="J988" i="5"/>
  <c r="J987" i="5"/>
  <c r="I986" i="5"/>
  <c r="I985" i="5"/>
  <c r="I982" i="5"/>
  <c r="J980" i="5"/>
  <c r="I978" i="5"/>
  <c r="I976" i="5"/>
  <c r="I972" i="5"/>
  <c r="J970" i="5"/>
  <c r="J966" i="5"/>
  <c r="J960" i="5"/>
  <c r="J958" i="5"/>
  <c r="I956" i="5"/>
  <c r="J953" i="5"/>
  <c r="I951" i="5"/>
  <c r="J948" i="5"/>
  <c r="I917" i="5"/>
  <c r="I913" i="5"/>
  <c r="J893" i="5"/>
  <c r="I889" i="5"/>
  <c r="I884" i="5"/>
  <c r="I880" i="5"/>
  <c r="I876" i="5"/>
  <c r="J874" i="5"/>
  <c r="J871" i="5"/>
  <c r="J867" i="5"/>
  <c r="I864" i="5"/>
  <c r="I860" i="5"/>
  <c r="I857" i="5"/>
  <c r="J853" i="5"/>
  <c r="I849" i="5"/>
  <c r="I846" i="5"/>
  <c r="J842" i="5"/>
  <c r="I841" i="5"/>
  <c r="I837" i="5"/>
  <c r="I833" i="5"/>
  <c r="J829" i="5"/>
  <c r="J825" i="5"/>
  <c r="J822" i="5"/>
  <c r="J817" i="5"/>
  <c r="I814" i="5"/>
  <c r="I809" i="5"/>
  <c r="I805" i="5"/>
  <c r="J800" i="5"/>
  <c r="I795" i="5"/>
  <c r="J791" i="5"/>
  <c r="J787" i="5"/>
  <c r="I780" i="5"/>
  <c r="J776" i="5"/>
  <c r="J773" i="5"/>
  <c r="I769" i="5"/>
  <c r="I764" i="5"/>
  <c r="J758" i="5"/>
  <c r="J753" i="5"/>
  <c r="J747" i="5"/>
  <c r="J744" i="5"/>
  <c r="J742" i="5"/>
  <c r="J740" i="5"/>
  <c r="J737" i="5"/>
  <c r="J728" i="5"/>
  <c r="J119" i="5"/>
  <c r="I111" i="5"/>
  <c r="J105" i="5"/>
  <c r="I100" i="5"/>
  <c r="I95" i="5"/>
  <c r="I91" i="5"/>
  <c r="I87" i="5"/>
  <c r="J82" i="5"/>
  <c r="I78" i="5"/>
  <c r="I74" i="5"/>
  <c r="I69" i="5"/>
  <c r="I64" i="5"/>
  <c r="I56" i="5"/>
  <c r="J51" i="5"/>
  <c r="J46" i="5"/>
  <c r="J41" i="5"/>
  <c r="I36" i="5"/>
  <c r="I31" i="5"/>
  <c r="I26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J4406" i="5"/>
  <c r="J4404" i="5"/>
  <c r="J4403" i="5"/>
  <c r="J4401" i="5"/>
  <c r="I4400" i="5"/>
  <c r="I4398" i="5"/>
  <c r="I4396" i="5"/>
  <c r="I4394" i="5"/>
  <c r="J4392" i="5"/>
  <c r="I4391" i="5"/>
  <c r="I4385" i="5"/>
  <c r="J4383" i="5"/>
  <c r="J4380" i="5"/>
  <c r="I4378" i="5"/>
  <c r="I4376" i="5"/>
  <c r="J4373" i="5"/>
  <c r="I4372" i="5"/>
  <c r="J4369" i="5"/>
  <c r="I4368" i="5"/>
  <c r="J4366" i="5"/>
  <c r="I4364" i="5"/>
  <c r="J4362" i="5"/>
  <c r="J4360" i="5"/>
  <c r="I4359" i="5"/>
  <c r="J4357" i="5"/>
  <c r="J4355" i="5"/>
  <c r="J4353" i="5"/>
  <c r="I4351" i="5"/>
  <c r="J4349" i="5"/>
  <c r="I4348" i="5"/>
  <c r="J4345" i="5"/>
  <c r="J4344" i="5"/>
  <c r="J4342" i="5"/>
  <c r="I4341" i="5"/>
  <c r="I4340" i="5"/>
  <c r="J4338" i="5"/>
  <c r="J4337" i="5"/>
  <c r="J4335" i="5"/>
  <c r="I4334" i="5"/>
  <c r="J4332" i="5"/>
  <c r="I4331" i="5"/>
  <c r="I4329" i="5"/>
  <c r="J4327" i="5"/>
  <c r="I4326" i="5"/>
  <c r="J4324" i="5"/>
  <c r="I4323" i="5"/>
  <c r="I4321" i="5"/>
  <c r="I4320" i="5"/>
  <c r="J4318" i="5"/>
  <c r="I4318" i="5"/>
  <c r="J4316" i="5"/>
  <c r="I4315" i="5"/>
  <c r="I4314" i="5"/>
  <c r="I4313" i="5"/>
  <c r="J4311" i="5"/>
  <c r="I4310" i="5"/>
  <c r="J4309" i="5"/>
  <c r="I4308" i="5"/>
  <c r="J4306" i="5"/>
  <c r="J4305" i="5"/>
  <c r="I4304" i="5"/>
  <c r="J4302" i="5"/>
  <c r="I4301" i="5"/>
  <c r="I4299" i="5"/>
  <c r="J4297" i="5"/>
  <c r="J4296" i="5"/>
  <c r="I4295" i="5"/>
  <c r="I4294" i="5"/>
  <c r="J4292" i="5"/>
  <c r="J4291" i="5"/>
  <c r="I4290" i="5"/>
  <c r="J4288" i="5"/>
  <c r="J4287" i="5"/>
  <c r="I4285" i="5"/>
  <c r="J4283" i="5"/>
  <c r="I4283" i="5"/>
  <c r="J4281" i="5"/>
  <c r="I4280" i="5"/>
  <c r="J4278" i="5"/>
  <c r="I4277" i="5"/>
  <c r="J4275" i="5"/>
  <c r="I4274" i="5"/>
  <c r="J4271" i="5"/>
  <c r="I4270" i="5"/>
  <c r="I4268" i="5"/>
  <c r="I4266" i="5"/>
  <c r="I4263" i="5"/>
  <c r="I4262" i="5"/>
  <c r="J4259" i="5"/>
  <c r="I4258" i="5"/>
  <c r="I4257" i="5"/>
  <c r="I4255" i="5"/>
  <c r="I4253" i="5"/>
  <c r="J4251" i="5"/>
  <c r="I4249" i="5"/>
  <c r="I4248" i="5"/>
  <c r="J4247" i="5"/>
  <c r="I4246" i="5"/>
  <c r="I4245" i="5"/>
  <c r="J4243" i="5"/>
  <c r="J4242" i="5"/>
  <c r="J4241" i="5"/>
  <c r="J4240" i="5"/>
  <c r="I4239" i="5"/>
  <c r="I4238" i="5"/>
  <c r="J4236" i="5"/>
  <c r="J4235" i="5"/>
  <c r="I4235" i="5"/>
  <c r="J4233" i="5"/>
  <c r="J4232" i="5"/>
  <c r="J4231" i="5"/>
  <c r="I4230" i="5"/>
  <c r="I4229" i="5"/>
  <c r="I4228" i="5"/>
  <c r="I4227" i="5"/>
  <c r="I4226" i="5"/>
  <c r="I4225" i="5"/>
  <c r="I4224" i="5"/>
  <c r="J4222" i="5"/>
  <c r="J4221" i="5"/>
  <c r="J4220" i="5"/>
  <c r="I4219" i="5"/>
  <c r="J4218" i="5"/>
  <c r="I4217" i="5"/>
  <c r="J4216" i="5"/>
  <c r="I4215" i="5"/>
  <c r="J4213" i="5"/>
  <c r="J4212" i="5"/>
  <c r="I4211" i="5"/>
  <c r="I4210" i="5"/>
  <c r="J4208" i="5"/>
  <c r="J4207" i="5"/>
  <c r="I4206" i="5"/>
  <c r="I4205" i="5"/>
  <c r="I4203" i="5"/>
  <c r="I4202" i="5"/>
  <c r="I4201" i="5"/>
  <c r="I4198" i="5"/>
  <c r="J4195" i="5"/>
  <c r="I4194" i="5"/>
  <c r="I4193" i="5"/>
  <c r="J4191" i="5"/>
  <c r="J4189" i="5"/>
  <c r="I4188" i="5"/>
  <c r="I4186" i="5"/>
  <c r="I4184" i="5"/>
  <c r="J4182" i="5"/>
  <c r="J4180" i="5"/>
  <c r="I4179" i="5"/>
  <c r="J4177" i="5"/>
  <c r="I4176" i="5"/>
  <c r="J4173" i="5"/>
  <c r="J4172" i="5"/>
  <c r="I4170" i="5"/>
  <c r="I4168" i="5"/>
  <c r="J4167" i="5"/>
  <c r="I4166" i="5"/>
  <c r="J4163" i="5"/>
  <c r="I4162" i="5"/>
  <c r="J4159" i="5"/>
  <c r="I4158" i="5"/>
  <c r="I4156" i="5"/>
  <c r="J4154" i="5"/>
  <c r="J4153" i="5"/>
  <c r="J4151" i="5"/>
  <c r="I4150" i="5"/>
  <c r="I4149" i="5"/>
  <c r="J4146" i="5"/>
  <c r="J4140" i="5"/>
  <c r="J4139" i="5"/>
  <c r="J4137" i="5"/>
  <c r="J4136" i="5"/>
  <c r="J4134" i="5"/>
  <c r="I4133" i="5"/>
  <c r="J4131" i="5"/>
  <c r="J4129" i="5"/>
  <c r="J4127" i="5"/>
  <c r="I4126" i="5"/>
  <c r="I4124" i="5"/>
  <c r="I4123" i="5"/>
  <c r="J4120" i="5"/>
  <c r="J4119" i="5"/>
  <c r="I4117" i="5"/>
  <c r="I4116" i="5"/>
  <c r="J4114" i="5"/>
  <c r="J4112" i="5"/>
  <c r="J4110" i="5"/>
  <c r="J4109" i="5"/>
  <c r="J4107" i="5"/>
  <c r="J4105" i="5"/>
  <c r="J4104" i="5"/>
  <c r="I4102" i="5"/>
  <c r="I4100" i="5"/>
  <c r="I4098" i="5"/>
  <c r="J4096" i="5"/>
  <c r="I4094" i="5"/>
  <c r="J4090" i="5"/>
  <c r="J4088" i="5"/>
  <c r="J4087" i="5"/>
  <c r="I4086" i="5"/>
  <c r="I4084" i="5"/>
  <c r="J4081" i="5"/>
  <c r="I4080" i="5"/>
  <c r="I4077" i="5"/>
  <c r="J4075" i="5"/>
  <c r="J4073" i="5"/>
  <c r="I4072" i="5"/>
  <c r="J4069" i="5"/>
  <c r="J4067" i="5"/>
  <c r="I4065" i="5"/>
  <c r="I4063" i="5"/>
  <c r="I4061" i="5"/>
  <c r="J4056" i="5"/>
  <c r="I4054" i="5"/>
  <c r="I4052" i="5"/>
  <c r="J4050" i="5"/>
  <c r="I4049" i="5"/>
  <c r="J4047" i="5"/>
  <c r="J4045" i="5"/>
  <c r="I4044" i="5"/>
  <c r="J4042" i="5"/>
  <c r="J4040" i="5"/>
  <c r="I4038" i="5"/>
  <c r="I4036" i="5"/>
  <c r="I4034" i="5"/>
  <c r="I4031" i="5"/>
  <c r="I4029" i="5"/>
  <c r="J4026" i="5"/>
  <c r="J4023" i="5"/>
  <c r="J4021" i="5"/>
  <c r="I4019" i="5"/>
  <c r="J4017" i="5"/>
  <c r="J4015" i="5"/>
  <c r="J4013" i="5"/>
  <c r="J4011" i="5"/>
  <c r="J4009" i="5"/>
  <c r="I4007" i="5"/>
  <c r="I4005" i="5"/>
  <c r="I4002" i="5"/>
  <c r="I4000" i="5"/>
  <c r="J3998" i="5"/>
  <c r="I3996" i="5"/>
  <c r="I3993" i="5"/>
  <c r="I3991" i="5"/>
  <c r="I3988" i="5"/>
  <c r="I3987" i="5"/>
  <c r="I3985" i="5"/>
  <c r="J3983" i="5"/>
  <c r="J3981" i="5"/>
  <c r="J3979" i="5"/>
  <c r="J3978" i="5"/>
  <c r="I3976" i="5"/>
  <c r="I3975" i="5"/>
  <c r="J3973" i="5"/>
  <c r="J3971" i="5"/>
  <c r="I3969" i="5"/>
  <c r="I3968" i="5"/>
  <c r="J3965" i="5"/>
  <c r="J3962" i="5"/>
  <c r="I3961" i="5"/>
  <c r="I3959" i="5"/>
  <c r="J3956" i="5"/>
  <c r="I3956" i="5"/>
  <c r="I3954" i="5"/>
  <c r="I3952" i="5"/>
  <c r="J3948" i="5"/>
  <c r="I3947" i="5"/>
  <c r="I3945" i="5"/>
  <c r="J3943" i="5"/>
  <c r="J3941" i="5"/>
  <c r="J3939" i="5"/>
  <c r="J3938" i="5"/>
  <c r="J3936" i="5"/>
  <c r="I3935" i="5"/>
  <c r="J3933" i="5"/>
  <c r="I3931" i="5"/>
  <c r="I3929" i="5"/>
  <c r="I3928" i="5"/>
  <c r="J3926" i="5"/>
  <c r="I3925" i="5"/>
  <c r="I3923" i="5"/>
  <c r="J3921" i="5"/>
  <c r="I3919" i="5"/>
  <c r="J3917" i="5"/>
  <c r="J3915" i="5"/>
  <c r="J3913" i="5"/>
  <c r="I3911" i="5"/>
  <c r="J3909" i="5"/>
  <c r="I3907" i="5"/>
  <c r="I3905" i="5"/>
  <c r="I3902" i="5"/>
  <c r="I3900" i="5"/>
  <c r="I3895" i="5"/>
  <c r="J3892" i="5"/>
  <c r="J3890" i="5"/>
  <c r="J3888" i="5"/>
  <c r="I3887" i="5"/>
  <c r="I3885" i="5"/>
  <c r="J3882" i="5"/>
  <c r="J3881" i="5"/>
  <c r="I3880" i="5"/>
  <c r="I3878" i="5"/>
  <c r="J3875" i="5"/>
  <c r="I3874" i="5"/>
  <c r="I3872" i="5"/>
  <c r="J3870" i="5"/>
  <c r="I3869" i="5"/>
  <c r="I3867" i="5"/>
  <c r="J3860" i="5"/>
  <c r="J3857" i="5"/>
  <c r="J3855" i="5"/>
  <c r="I3854" i="5"/>
  <c r="J3851" i="5"/>
  <c r="J3850" i="5"/>
  <c r="J3848" i="5"/>
  <c r="I3847" i="5"/>
  <c r="J3845" i="5"/>
  <c r="J3842" i="5"/>
  <c r="I3841" i="5"/>
  <c r="I3840" i="5"/>
  <c r="J3837" i="5"/>
  <c r="I3834" i="5"/>
  <c r="I3832" i="5"/>
  <c r="I3830" i="5"/>
  <c r="J3828" i="5"/>
  <c r="J3826" i="5"/>
  <c r="J3825" i="5"/>
  <c r="J3823" i="5"/>
  <c r="I3822" i="5"/>
  <c r="J3820" i="5"/>
  <c r="J3819" i="5"/>
  <c r="J3818" i="5"/>
  <c r="I3817" i="5"/>
  <c r="I3815" i="5"/>
  <c r="I3813" i="5"/>
  <c r="J3810" i="5"/>
  <c r="J3808" i="5"/>
  <c r="I3807" i="5"/>
  <c r="J3804" i="5"/>
  <c r="J3802" i="5"/>
  <c r="J3800" i="5"/>
  <c r="J3798" i="5"/>
  <c r="J3797" i="5"/>
  <c r="I3796" i="5"/>
  <c r="J3793" i="5"/>
  <c r="J3790" i="5"/>
  <c r="I3789" i="5"/>
  <c r="J3787" i="5"/>
  <c r="I3785" i="5"/>
  <c r="I3783" i="5"/>
  <c r="I3781" i="5"/>
  <c r="I3779" i="5"/>
  <c r="I3777" i="5"/>
  <c r="I3775" i="5"/>
  <c r="J3772" i="5"/>
  <c r="I3771" i="5"/>
  <c r="J3769" i="5"/>
  <c r="J3767" i="5"/>
  <c r="J3766" i="5"/>
  <c r="J3763" i="5"/>
  <c r="J3761" i="5"/>
  <c r="I3760" i="5"/>
  <c r="I3758" i="5"/>
  <c r="I3756" i="5"/>
  <c r="I3754" i="5"/>
  <c r="J3753" i="5"/>
  <c r="J3751" i="5"/>
  <c r="J3748" i="5"/>
  <c r="J3746" i="5"/>
  <c r="I3745" i="5"/>
  <c r="J3741" i="5"/>
  <c r="J3385" i="5"/>
  <c r="I3383" i="5"/>
  <c r="I3380" i="5"/>
  <c r="J3377" i="5"/>
  <c r="I3375" i="5"/>
  <c r="I3372" i="5"/>
  <c r="J3369" i="5"/>
  <c r="J3366" i="5"/>
  <c r="J3364" i="5"/>
  <c r="I3363" i="5"/>
  <c r="J3360" i="5"/>
  <c r="J3358" i="5"/>
  <c r="I3356" i="5"/>
  <c r="I3355" i="5"/>
  <c r="I3352" i="5"/>
  <c r="I3351" i="5"/>
  <c r="J3348" i="5"/>
  <c r="J3346" i="5"/>
  <c r="I3345" i="5"/>
  <c r="I3341" i="5"/>
  <c r="J3335" i="5"/>
  <c r="J3333" i="5"/>
  <c r="I3331" i="5"/>
  <c r="J3327" i="5"/>
  <c r="J3326" i="5"/>
  <c r="J3325" i="5"/>
  <c r="J3322" i="5"/>
  <c r="J3318" i="5"/>
  <c r="J3315" i="5"/>
  <c r="J3312" i="5"/>
  <c r="I3311" i="5"/>
  <c r="I3308" i="5"/>
  <c r="J3306" i="5"/>
  <c r="I3303" i="5"/>
  <c r="I3300" i="5"/>
  <c r="J3298" i="5"/>
  <c r="J3295" i="5"/>
  <c r="I3293" i="5"/>
  <c r="J3290" i="5"/>
  <c r="J3289" i="5"/>
  <c r="J3284" i="5"/>
  <c r="J3281" i="5"/>
  <c r="I3279" i="5"/>
  <c r="I3277" i="5"/>
  <c r="I3274" i="5"/>
  <c r="I3269" i="5"/>
  <c r="I3267" i="5"/>
  <c r="J3264" i="5"/>
  <c r="I3263" i="5"/>
  <c r="J3261" i="5"/>
  <c r="I3259" i="5"/>
  <c r="I3256" i="5"/>
  <c r="J3254" i="5"/>
  <c r="I3251" i="5"/>
  <c r="J3247" i="5"/>
  <c r="I3246" i="5"/>
  <c r="J3242" i="5"/>
  <c r="I3238" i="5"/>
  <c r="I3234" i="5"/>
  <c r="I3233" i="5"/>
  <c r="J3229" i="5"/>
  <c r="J3227" i="5"/>
  <c r="J3225" i="5"/>
  <c r="J3224" i="5"/>
  <c r="I3223" i="5"/>
  <c r="I3221" i="5"/>
  <c r="I3219" i="5"/>
  <c r="J3216" i="5"/>
  <c r="I3213" i="5"/>
  <c r="I3209" i="5"/>
  <c r="I3205" i="5"/>
  <c r="J3202" i="5"/>
  <c r="J3199" i="5"/>
  <c r="J3197" i="5"/>
  <c r="J3193" i="5"/>
  <c r="J3190" i="5"/>
  <c r="I3186" i="5"/>
  <c r="J3183" i="5"/>
  <c r="J3182" i="5"/>
  <c r="J3178" i="5"/>
  <c r="J3176" i="5"/>
  <c r="I3174" i="5"/>
  <c r="J3170" i="5"/>
  <c r="J3166" i="5"/>
  <c r="I3164" i="5"/>
  <c r="J3161" i="5"/>
  <c r="J3153" i="5"/>
  <c r="I3150" i="5"/>
  <c r="I3147" i="5"/>
  <c r="J3143" i="5"/>
  <c r="I3141" i="5"/>
  <c r="J3137" i="5"/>
  <c r="J3133" i="5"/>
  <c r="J3131" i="5"/>
  <c r="I3129" i="5"/>
  <c r="I3125" i="5"/>
  <c r="I3122" i="5"/>
  <c r="J3118" i="5"/>
  <c r="J3114" i="5"/>
  <c r="J3113" i="5"/>
  <c r="J3111" i="5"/>
  <c r="J3109" i="5"/>
  <c r="I3108" i="5"/>
  <c r="J3102" i="5"/>
  <c r="J3101" i="5"/>
  <c r="I3100" i="5"/>
  <c r="J3096" i="5"/>
  <c r="I3093" i="5"/>
  <c r="J3090" i="5"/>
  <c r="J3088" i="5"/>
  <c r="I3087" i="5"/>
  <c r="I3084" i="5"/>
  <c r="I3082" i="5"/>
  <c r="I3080" i="5"/>
  <c r="I3077" i="5"/>
  <c r="J3074" i="5"/>
  <c r="J3071" i="5"/>
  <c r="J3068" i="5"/>
  <c r="I3068" i="5"/>
  <c r="J3067" i="5"/>
  <c r="I3066" i="5"/>
  <c r="I3064" i="5"/>
  <c r="I3062" i="5"/>
  <c r="J3058" i="5"/>
  <c r="I3056" i="5"/>
  <c r="J3053" i="5"/>
  <c r="J3049" i="5"/>
  <c r="I3046" i="5"/>
  <c r="I3040" i="5"/>
  <c r="J3035" i="5"/>
  <c r="I3030" i="5"/>
  <c r="J3024" i="5"/>
  <c r="I3021" i="5"/>
  <c r="I3019" i="5"/>
  <c r="I3015" i="5"/>
  <c r="J3009" i="5"/>
  <c r="I3003" i="5"/>
  <c r="J2998" i="5"/>
  <c r="J2988" i="5"/>
  <c r="J2550" i="5"/>
  <c r="J2544" i="5"/>
  <c r="J2541" i="5"/>
  <c r="J2538" i="5"/>
  <c r="J2535" i="5"/>
  <c r="I2531" i="5"/>
  <c r="I2523" i="5"/>
  <c r="J2513" i="5"/>
  <c r="I2510" i="5"/>
  <c r="J2506" i="5"/>
  <c r="I2501" i="5"/>
  <c r="J2497" i="5"/>
  <c r="J2493" i="5"/>
  <c r="J2487" i="5"/>
  <c r="I2485" i="5"/>
  <c r="I2480" i="5"/>
  <c r="J2475" i="5"/>
  <c r="I2474" i="5"/>
  <c r="J2470" i="5"/>
  <c r="I2466" i="5"/>
  <c r="J2461" i="5"/>
  <c r="J2456" i="5"/>
  <c r="J2454" i="5"/>
  <c r="I2451" i="5"/>
  <c r="I2444" i="5"/>
  <c r="J2439" i="5"/>
  <c r="J2435" i="5"/>
  <c r="J2430" i="5"/>
  <c r="J2427" i="5"/>
  <c r="J2425" i="5"/>
  <c r="I2421" i="5"/>
  <c r="J2413" i="5"/>
  <c r="J2409" i="5"/>
  <c r="J2406" i="5"/>
  <c r="I2401" i="5"/>
  <c r="I2396" i="5"/>
  <c r="I2394" i="5"/>
  <c r="I2392" i="5"/>
  <c r="I2388" i="5"/>
  <c r="I2384" i="5"/>
  <c r="J2379" i="5"/>
  <c r="J2377" i="5"/>
  <c r="J2373" i="5"/>
  <c r="J2368" i="5"/>
  <c r="I2367" i="5"/>
  <c r="I2363" i="5"/>
  <c r="J2358" i="5"/>
  <c r="J2354" i="5"/>
  <c r="I2273" i="5"/>
  <c r="J2266" i="5"/>
  <c r="J2257" i="5"/>
  <c r="J2251" i="5"/>
  <c r="J2245" i="5"/>
  <c r="J2238" i="5"/>
  <c r="J2042" i="5"/>
  <c r="J2038" i="5"/>
  <c r="J2033" i="5"/>
  <c r="J2026" i="5"/>
  <c r="I2021" i="5"/>
  <c r="J2013" i="5"/>
  <c r="I2008" i="5"/>
  <c r="I2004" i="5"/>
  <c r="J2000" i="5"/>
  <c r="J1997" i="5"/>
  <c r="J1993" i="5"/>
  <c r="J1985" i="5"/>
  <c r="J1978" i="5"/>
  <c r="J1974" i="5"/>
  <c r="I1970" i="5"/>
  <c r="I1964" i="5"/>
  <c r="J1960" i="5"/>
  <c r="I1957" i="5"/>
  <c r="I1951" i="5"/>
  <c r="I1946" i="5"/>
  <c r="I1939" i="5"/>
  <c r="J1935" i="5"/>
  <c r="J1932" i="5"/>
  <c r="I1930" i="5"/>
  <c r="I1925" i="5"/>
  <c r="J1920" i="5"/>
  <c r="J1913" i="5"/>
  <c r="J1907" i="5"/>
  <c r="J1902" i="5"/>
  <c r="J1900" i="5"/>
  <c r="J1898" i="5"/>
  <c r="I1893" i="5"/>
  <c r="J1885" i="5"/>
  <c r="J1883" i="5"/>
  <c r="I1879" i="5"/>
  <c r="I1876" i="5"/>
  <c r="I1836" i="5"/>
  <c r="I1833" i="5"/>
  <c r="J1829" i="5"/>
  <c r="J1828" i="5"/>
  <c r="I1825" i="5"/>
  <c r="J1821" i="5"/>
  <c r="I1818" i="5"/>
  <c r="J1814" i="5"/>
  <c r="J1804" i="5"/>
  <c r="I1798" i="5"/>
  <c r="J1793" i="5"/>
  <c r="I1789" i="5"/>
  <c r="J1784" i="5"/>
  <c r="I1781" i="5"/>
  <c r="I1776" i="5"/>
  <c r="J1771" i="5"/>
  <c r="I1767" i="5"/>
  <c r="I1764" i="5"/>
  <c r="J1759" i="5"/>
  <c r="J1755" i="5"/>
  <c r="I1751" i="5"/>
  <c r="J1749" i="5"/>
  <c r="J1745" i="5"/>
  <c r="I1742" i="5"/>
  <c r="J1737" i="5"/>
  <c r="I1735" i="5"/>
  <c r="J1730" i="5"/>
  <c r="J1726" i="5"/>
  <c r="I1724" i="5"/>
  <c r="J1720" i="5"/>
  <c r="I1719" i="5"/>
  <c r="I1715" i="5"/>
  <c r="J1711" i="5"/>
  <c r="J1709" i="5"/>
  <c r="I1706" i="5"/>
  <c r="J1701" i="5"/>
  <c r="J1698" i="5"/>
  <c r="I1693" i="5"/>
  <c r="J1688" i="5"/>
  <c r="I1686" i="5"/>
  <c r="J1679" i="5"/>
  <c r="I1673" i="5"/>
  <c r="J1670" i="5"/>
  <c r="J1669" i="5"/>
  <c r="J1666" i="5"/>
  <c r="J1665" i="5"/>
  <c r="I1662" i="5"/>
  <c r="I1660" i="5"/>
  <c r="I1658" i="5"/>
  <c r="I1656" i="5"/>
  <c r="J1652" i="5"/>
  <c r="J1651" i="5"/>
  <c r="J1650" i="5"/>
  <c r="J1648" i="5"/>
  <c r="I1646" i="5"/>
  <c r="J1644" i="5"/>
  <c r="J1642" i="5"/>
  <c r="I1641" i="5"/>
  <c r="J1639" i="5"/>
  <c r="J1636" i="5"/>
  <c r="J1634" i="5"/>
  <c r="I1633" i="5"/>
  <c r="I1631" i="5"/>
  <c r="J1629" i="5"/>
  <c r="J1627" i="5"/>
  <c r="I1625" i="5"/>
  <c r="I1623" i="5"/>
  <c r="I1621" i="5"/>
  <c r="J1619" i="5"/>
  <c r="I1618" i="5"/>
  <c r="I1616" i="5"/>
  <c r="J1613" i="5"/>
  <c r="J1610" i="5"/>
  <c r="J1608" i="5"/>
  <c r="J1605" i="5"/>
  <c r="J1603" i="5"/>
  <c r="J1599" i="5"/>
  <c r="I1597" i="5"/>
  <c r="I1594" i="5"/>
  <c r="I1592" i="5"/>
  <c r="I1589" i="5"/>
  <c r="I1582" i="5"/>
  <c r="J1578" i="5"/>
  <c r="J1575" i="5"/>
  <c r="J1572" i="5"/>
  <c r="I1570" i="5"/>
  <c r="I1566" i="5"/>
  <c r="I1563" i="5"/>
  <c r="J1559" i="5"/>
  <c r="J1556" i="5"/>
  <c r="I1555" i="5"/>
  <c r="I1552" i="5"/>
  <c r="I1551" i="5"/>
  <c r="I1548" i="5"/>
  <c r="I1545" i="5"/>
  <c r="I1542" i="5"/>
  <c r="I1539" i="5"/>
  <c r="I1536" i="5"/>
  <c r="J1532" i="5"/>
  <c r="J1530" i="5"/>
  <c r="J1527" i="5"/>
  <c r="I1525" i="5"/>
  <c r="I1523" i="5"/>
  <c r="I1520" i="5"/>
  <c r="J1496" i="5"/>
  <c r="I1491" i="5"/>
  <c r="I1486" i="5"/>
  <c r="I1482" i="5"/>
  <c r="J1479" i="5"/>
  <c r="I1036" i="5"/>
  <c r="I1031" i="5"/>
  <c r="J1027" i="5"/>
  <c r="I1023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I3386" i="5"/>
  <c r="I3384" i="5"/>
  <c r="I3382" i="5"/>
  <c r="J3378" i="5"/>
  <c r="J3375" i="5"/>
  <c r="J3372" i="5"/>
  <c r="J3370" i="5"/>
  <c r="I3368" i="5"/>
  <c r="I3365" i="5"/>
  <c r="J3362" i="5"/>
  <c r="I3360" i="5"/>
  <c r="J3356" i="5"/>
  <c r="J3355" i="5"/>
  <c r="I3353" i="5"/>
  <c r="I3350" i="5"/>
  <c r="I3347" i="5"/>
  <c r="J3344" i="5"/>
  <c r="J3340" i="5"/>
  <c r="I3339" i="5"/>
  <c r="J3337" i="5"/>
  <c r="I3335" i="5"/>
  <c r="I3332" i="5"/>
  <c r="J3329" i="5"/>
  <c r="I3327" i="5"/>
  <c r="I3325" i="5"/>
  <c r="I3322" i="5"/>
  <c r="I3320" i="5"/>
  <c r="I3317" i="5"/>
  <c r="I3314" i="5"/>
  <c r="J3310" i="5"/>
  <c r="J3307" i="5"/>
  <c r="I3306" i="5"/>
  <c r="J3303" i="5"/>
  <c r="J3300" i="5"/>
  <c r="I3299" i="5"/>
  <c r="I3297" i="5"/>
  <c r="I3294" i="5"/>
  <c r="I3291" i="5"/>
  <c r="I3290" i="5"/>
  <c r="J3285" i="5"/>
  <c r="J3282" i="5"/>
  <c r="J3280" i="5"/>
  <c r="I3280" i="5"/>
  <c r="J3278" i="5"/>
  <c r="J3275" i="5"/>
  <c r="J3272" i="5"/>
  <c r="J3271" i="5"/>
  <c r="J3270" i="5"/>
  <c r="J3269" i="5"/>
  <c r="J3258" i="5"/>
  <c r="I3255" i="5"/>
  <c r="J3251" i="5"/>
  <c r="J3249" i="5"/>
  <c r="I3247" i="5"/>
  <c r="I3244" i="5"/>
  <c r="I3242" i="5"/>
  <c r="I3237" i="5"/>
  <c r="J3234" i="5"/>
  <c r="I3232" i="5"/>
  <c r="I3229" i="5"/>
  <c r="I3227" i="5"/>
  <c r="I3225" i="5"/>
  <c r="J3223" i="5"/>
  <c r="J3222" i="5"/>
  <c r="J3220" i="5"/>
  <c r="J3219" i="5"/>
  <c r="I3216" i="5"/>
  <c r="I3212" i="5"/>
  <c r="J3209" i="5"/>
  <c r="J3205" i="5"/>
  <c r="J3200" i="5"/>
  <c r="J3196" i="5"/>
  <c r="I3193" i="5"/>
  <c r="I3189" i="5"/>
  <c r="J3185" i="5"/>
  <c r="I3182" i="5"/>
  <c r="I3178" i="5"/>
  <c r="I3176" i="5"/>
  <c r="J3174" i="5"/>
  <c r="J3172" i="5"/>
  <c r="I3171" i="5"/>
  <c r="I3167" i="5"/>
  <c r="J3162" i="5"/>
  <c r="J3154" i="5"/>
  <c r="I3153" i="5"/>
  <c r="J3148" i="5"/>
  <c r="I3145" i="5"/>
  <c r="J3141" i="5"/>
  <c r="J3138" i="5"/>
  <c r="J3136" i="5"/>
  <c r="J3134" i="5"/>
  <c r="I3132" i="5"/>
  <c r="I3130" i="5"/>
  <c r="I3127" i="5"/>
  <c r="J3124" i="5"/>
  <c r="J3121" i="5"/>
  <c r="I3118" i="5"/>
  <c r="I3109" i="5"/>
  <c r="I3106" i="5"/>
  <c r="J3077" i="5"/>
  <c r="I3074" i="5"/>
  <c r="I3071" i="5"/>
  <c r="J3066" i="5"/>
  <c r="I3065" i="5"/>
  <c r="I3063" i="5"/>
  <c r="J3061" i="5"/>
  <c r="J3060" i="5"/>
  <c r="J3057" i="5"/>
  <c r="J3054" i="5"/>
  <c r="J3050" i="5"/>
  <c r="J3046" i="5"/>
  <c r="J3044" i="5"/>
  <c r="J3040" i="5"/>
  <c r="I3038" i="5"/>
  <c r="I3034" i="5"/>
  <c r="I3031" i="5"/>
  <c r="I3024" i="5"/>
  <c r="J3020" i="5"/>
  <c r="I3016" i="5"/>
  <c r="I3013" i="5"/>
  <c r="J3010" i="5"/>
  <c r="J3007" i="5"/>
  <c r="J3005" i="5"/>
  <c r="J3003" i="5"/>
  <c r="J2999" i="5"/>
  <c r="I2993" i="5"/>
  <c r="J2989" i="5"/>
  <c r="I2553" i="5"/>
  <c r="J2548" i="5"/>
  <c r="J2546" i="5"/>
  <c r="I2543" i="5"/>
  <c r="I2539" i="5"/>
  <c r="I2536" i="5"/>
  <c r="I2533" i="5"/>
  <c r="I2529" i="5"/>
  <c r="J2519" i="5"/>
  <c r="J2518" i="5"/>
  <c r="I2514" i="5"/>
  <c r="I2509" i="5"/>
  <c r="I2505" i="5"/>
  <c r="I2499" i="5"/>
  <c r="J2494" i="5"/>
  <c r="J2491" i="5"/>
  <c r="I2488" i="5"/>
  <c r="J2485" i="5"/>
  <c r="J2479" i="5"/>
  <c r="I2473" i="5"/>
  <c r="I2470" i="5"/>
  <c r="I2464" i="5"/>
  <c r="I2461" i="5"/>
  <c r="J2455" i="5"/>
  <c r="J2451" i="5"/>
  <c r="J2442" i="5"/>
  <c r="J2437" i="5"/>
  <c r="I2434" i="5"/>
  <c r="I2430" i="5"/>
  <c r="J2424" i="5"/>
  <c r="J2420" i="5"/>
  <c r="I2418" i="5"/>
  <c r="I2414" i="5"/>
  <c r="I2410" i="5"/>
  <c r="J2407" i="5"/>
  <c r="J2403" i="5"/>
  <c r="J2400" i="5"/>
  <c r="I2398" i="5"/>
  <c r="J2391" i="5"/>
  <c r="J2386" i="5"/>
  <c r="I2385" i="5"/>
  <c r="I2379" i="5"/>
  <c r="J2375" i="5"/>
  <c r="J2370" i="5"/>
  <c r="J2360" i="5"/>
  <c r="I2356" i="5"/>
  <c r="J2351" i="5"/>
  <c r="I2350" i="5"/>
  <c r="I2347" i="5"/>
  <c r="I2344" i="5"/>
  <c r="I2340" i="5"/>
  <c r="J2337" i="5"/>
  <c r="I2332" i="5"/>
  <c r="I2327" i="5"/>
  <c r="I2323" i="5"/>
  <c r="I2320" i="5"/>
  <c r="I2316" i="5"/>
  <c r="J2312" i="5"/>
  <c r="I2310" i="5"/>
  <c r="I2305" i="5"/>
  <c r="I2301" i="5"/>
  <c r="J2296" i="5"/>
  <c r="J2294" i="5"/>
  <c r="I2286" i="5"/>
  <c r="J2280" i="5"/>
  <c r="J2278" i="5"/>
  <c r="I2277" i="5"/>
  <c r="I2274" i="5"/>
  <c r="I2267" i="5"/>
  <c r="I2258" i="5"/>
  <c r="J2255" i="5"/>
  <c r="J2253" i="5"/>
  <c r="J2248" i="5"/>
  <c r="J2243" i="5"/>
  <c r="J2237" i="5"/>
  <c r="I2039" i="5"/>
  <c r="J2034" i="5"/>
  <c r="J2025" i="5"/>
  <c r="J2019" i="5"/>
  <c r="J2016" i="5"/>
  <c r="J2012" i="5"/>
  <c r="J2007" i="5"/>
  <c r="J2004" i="5"/>
  <c r="J2001" i="5"/>
  <c r="I1998" i="5"/>
  <c r="I1993" i="5"/>
  <c r="I1987" i="5"/>
  <c r="J1981" i="5"/>
  <c r="J1977" i="5"/>
  <c r="J1971" i="5"/>
  <c r="J1965" i="5"/>
  <c r="I1963" i="5"/>
  <c r="I1961" i="5"/>
  <c r="J1955" i="5"/>
  <c r="J1952" i="5"/>
  <c r="I1948" i="5"/>
  <c r="I1944" i="5"/>
  <c r="J1940" i="5"/>
  <c r="J1936" i="5"/>
  <c r="J1933" i="5"/>
  <c r="I1931" i="5"/>
  <c r="I1927" i="5"/>
  <c r="I1922" i="5"/>
  <c r="I1916" i="5"/>
  <c r="I1912" i="5"/>
  <c r="J1906" i="5"/>
  <c r="I1897" i="5"/>
  <c r="J1892" i="5"/>
  <c r="I1887" i="5"/>
  <c r="I1882" i="5"/>
  <c r="J1880" i="5"/>
  <c r="I1878" i="5"/>
  <c r="J1875" i="5"/>
  <c r="J1873" i="5"/>
  <c r="J1869" i="5"/>
  <c r="I1866" i="5"/>
  <c r="I1864" i="5"/>
  <c r="J1860" i="5"/>
  <c r="I1859" i="5"/>
  <c r="J1854" i="5"/>
  <c r="I1851" i="5"/>
  <c r="I1848" i="5"/>
  <c r="I1808" i="5"/>
  <c r="J1806" i="5"/>
  <c r="J1802" i="5"/>
  <c r="J1798" i="5"/>
  <c r="I1796" i="5"/>
  <c r="J1792" i="5"/>
  <c r="I1790" i="5"/>
  <c r="I1786" i="5"/>
  <c r="J1781" i="5"/>
  <c r="I1779" i="5"/>
  <c r="J1775" i="5"/>
  <c r="J1773" i="5"/>
  <c r="I1771" i="5"/>
  <c r="J1767" i="5"/>
  <c r="J1762" i="5"/>
  <c r="I1757" i="5"/>
  <c r="J1753" i="5"/>
  <c r="I1746" i="5"/>
  <c r="J1743" i="5"/>
  <c r="I1739" i="5"/>
  <c r="I1736" i="5"/>
  <c r="I1732" i="5"/>
  <c r="J1729" i="5"/>
  <c r="J1727" i="5"/>
  <c r="I1722" i="5"/>
  <c r="J1718" i="5"/>
  <c r="I1717" i="5"/>
  <c r="I1712" i="5"/>
  <c r="J1710" i="5"/>
  <c r="I1708" i="5"/>
  <c r="I1703" i="5"/>
  <c r="J1699" i="5"/>
  <c r="J1696" i="5"/>
  <c r="J1693" i="5"/>
  <c r="I1689" i="5"/>
  <c r="J1684" i="5"/>
  <c r="J1682" i="5"/>
  <c r="J1680" i="5"/>
  <c r="J1676" i="5"/>
  <c r="J1675" i="5"/>
  <c r="J1518" i="5"/>
  <c r="J1515" i="5"/>
  <c r="I1512" i="5"/>
  <c r="I1508" i="5"/>
  <c r="I1504" i="5"/>
  <c r="I1500" i="5"/>
  <c r="J1494" i="5"/>
  <c r="J1490" i="5"/>
  <c r="J1487" i="5"/>
  <c r="I1485" i="5"/>
  <c r="J1481" i="5"/>
  <c r="I1037" i="5"/>
  <c r="I1033" i="5"/>
  <c r="I1027" i="5"/>
  <c r="I1022" i="5"/>
  <c r="I1021" i="5"/>
  <c r="J1019" i="5"/>
  <c r="I1005" i="5"/>
  <c r="J992" i="5"/>
  <c r="I983" i="5"/>
  <c r="J978" i="5"/>
  <c r="J975" i="5"/>
  <c r="I973" i="5"/>
  <c r="I968" i="5"/>
  <c r="J964" i="5"/>
  <c r="J963" i="5"/>
  <c r="J961" i="5"/>
  <c r="I958" i="5"/>
  <c r="J954" i="5"/>
  <c r="J947" i="5"/>
  <c r="J938" i="5"/>
  <c r="I937" i="5"/>
  <c r="I935" i="5"/>
  <c r="J932" i="5"/>
  <c r="J931" i="5"/>
  <c r="I930" i="5"/>
  <c r="J927" i="5"/>
  <c r="J925" i="5"/>
  <c r="I923" i="5"/>
  <c r="I909" i="5"/>
  <c r="I906" i="5"/>
  <c r="J904" i="5"/>
  <c r="J902" i="5"/>
  <c r="I899" i="5"/>
  <c r="I897" i="5"/>
  <c r="I894" i="5"/>
  <c r="J891" i="5"/>
  <c r="I888" i="5"/>
  <c r="J884" i="5"/>
  <c r="I882" i="5"/>
  <c r="I879" i="5"/>
  <c r="I877" i="5"/>
  <c r="J873" i="5"/>
  <c r="I871" i="5"/>
  <c r="I869" i="5"/>
  <c r="J864" i="5"/>
  <c r="J861" i="5"/>
  <c r="I859" i="5"/>
  <c r="J856" i="5"/>
  <c r="J854" i="5"/>
  <c r="J851" i="5"/>
  <c r="J847" i="5"/>
  <c r="I845" i="5"/>
  <c r="I840" i="5"/>
  <c r="J834" i="5"/>
  <c r="I824" i="5"/>
  <c r="I820" i="5"/>
  <c r="I817" i="5"/>
  <c r="J812" i="5"/>
  <c r="I810" i="5"/>
  <c r="J806" i="5"/>
  <c r="J801" i="5"/>
  <c r="I797" i="5"/>
  <c r="J793" i="5"/>
  <c r="I791" i="5"/>
  <c r="J786" i="5"/>
  <c r="I783" i="5"/>
  <c r="I779" i="5"/>
  <c r="I770" i="5"/>
  <c r="I765" i="5"/>
  <c r="J760" i="5"/>
  <c r="I756" i="5"/>
  <c r="I752" i="5"/>
  <c r="J749" i="5"/>
  <c r="J746" i="5"/>
  <c r="J741" i="5"/>
  <c r="I739" i="5"/>
  <c r="J730" i="5"/>
  <c r="J727" i="5"/>
  <c r="J121" i="5"/>
  <c r="I113" i="5"/>
  <c r="I108" i="5"/>
  <c r="I105" i="5"/>
  <c r="J101" i="5"/>
  <c r="I98" i="5"/>
  <c r="J92" i="5"/>
  <c r="J88" i="5"/>
  <c r="I84" i="5"/>
  <c r="J79" i="5"/>
  <c r="J74" i="5"/>
  <c r="J69" i="5"/>
  <c r="I65" i="5"/>
  <c r="I61" i="5"/>
  <c r="J56" i="5"/>
  <c r="I52" i="5"/>
  <c r="I47" i="5"/>
  <c r="I43" i="5"/>
  <c r="J38" i="5"/>
  <c r="I33" i="5"/>
  <c r="I28" i="5"/>
  <c r="J23" i="5"/>
  <c r="J19" i="5"/>
  <c r="J16" i="5"/>
  <c r="I9" i="5"/>
  <c r="I5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J2552" i="5"/>
  <c r="J2551" i="5"/>
  <c r="J2549" i="5"/>
  <c r="I2545" i="5"/>
  <c r="I2540" i="5"/>
  <c r="I2537" i="5"/>
  <c r="J2531" i="5"/>
  <c r="J2520" i="5"/>
  <c r="J2517" i="5"/>
  <c r="I2513" i="5"/>
  <c r="I2508" i="5"/>
  <c r="I2504" i="5"/>
  <c r="J2501" i="5"/>
  <c r="I2495" i="5"/>
  <c r="J2490" i="5"/>
  <c r="I2484" i="5"/>
  <c r="I2479" i="5"/>
  <c r="I2475" i="5"/>
  <c r="J2472" i="5"/>
  <c r="I2471" i="5"/>
  <c r="J2465" i="5"/>
  <c r="I2463" i="5"/>
  <c r="J2457" i="5"/>
  <c r="I2448" i="5"/>
  <c r="I2447" i="5"/>
  <c r="J2445" i="5"/>
  <c r="J2443" i="5"/>
  <c r="I2439" i="5"/>
  <c r="I2431" i="5"/>
  <c r="I2423" i="5"/>
  <c r="J2418" i="5"/>
  <c r="J2414" i="5"/>
  <c r="J2410" i="5"/>
  <c r="J2405" i="5"/>
  <c r="J2399" i="5"/>
  <c r="J2396" i="5"/>
  <c r="J2394" i="5"/>
  <c r="I2393" i="5"/>
  <c r="J2388" i="5"/>
  <c r="J2384" i="5"/>
  <c r="J2380" i="5"/>
  <c r="I2378" i="5"/>
  <c r="J2374" i="5"/>
  <c r="I2371" i="5"/>
  <c r="I2366" i="5"/>
  <c r="I2362" i="5"/>
  <c r="J2357" i="5"/>
  <c r="I2354" i="5"/>
  <c r="I2349" i="5"/>
  <c r="I2346" i="5"/>
  <c r="J2342" i="5"/>
  <c r="I2338" i="5"/>
  <c r="I2334" i="5"/>
  <c r="I2331" i="5"/>
  <c r="I2328" i="5"/>
  <c r="J2325" i="5"/>
  <c r="J2321" i="5"/>
  <c r="J2319" i="5"/>
  <c r="J2315" i="5"/>
  <c r="J2311" i="5"/>
  <c r="I2306" i="5"/>
  <c r="I2303" i="5"/>
  <c r="J2301" i="5"/>
  <c r="I2297" i="5"/>
  <c r="I2294" i="5"/>
  <c r="J2290" i="5"/>
  <c r="J2286" i="5"/>
  <c r="I2284" i="5"/>
  <c r="J2281" i="5"/>
  <c r="J2274" i="5"/>
  <c r="I2269" i="5"/>
  <c r="I2265" i="5"/>
  <c r="I2255" i="5"/>
  <c r="J2250" i="5"/>
  <c r="I2248" i="5"/>
  <c r="J2242" i="5"/>
  <c r="J2236" i="5"/>
  <c r="I2234" i="5"/>
  <c r="J2040" i="5"/>
  <c r="I2036" i="5"/>
  <c r="I2031" i="5"/>
  <c r="I2028" i="5"/>
  <c r="J2024" i="5"/>
  <c r="J2018" i="5"/>
  <c r="I2016" i="5"/>
  <c r="J2011" i="5"/>
  <c r="I2007" i="5"/>
  <c r="J2002" i="5"/>
  <c r="J1994" i="5"/>
  <c r="J1987" i="5"/>
  <c r="I1982" i="5"/>
  <c r="I1977" i="5"/>
  <c r="I1971" i="5"/>
  <c r="J1966" i="5"/>
  <c r="J1959" i="5"/>
  <c r="J1956" i="5"/>
  <c r="I1954" i="5"/>
  <c r="I1950" i="5"/>
  <c r="J1945" i="5"/>
  <c r="J1938" i="5"/>
  <c r="I1932" i="5"/>
  <c r="J1925" i="5"/>
  <c r="I1919" i="5"/>
  <c r="J1914" i="5"/>
  <c r="I1910" i="5"/>
  <c r="I1906" i="5"/>
  <c r="J1896" i="5"/>
  <c r="I1892" i="5"/>
  <c r="I1873" i="5"/>
  <c r="I1869" i="5"/>
  <c r="I1865" i="5"/>
  <c r="I1861" i="5"/>
  <c r="J1856" i="5"/>
  <c r="J1853" i="5"/>
  <c r="I1850" i="5"/>
  <c r="J1847" i="5"/>
  <c r="I1845" i="5"/>
  <c r="J1761" i="5"/>
  <c r="I1755" i="5"/>
  <c r="J1750" i="5"/>
  <c r="J1744" i="5"/>
  <c r="J1740" i="5"/>
  <c r="J1735" i="5"/>
  <c r="I1731" i="5"/>
  <c r="I1728" i="5"/>
  <c r="J1723" i="5"/>
  <c r="I1720" i="5"/>
  <c r="J1717" i="5"/>
  <c r="J1712" i="5"/>
  <c r="I1711" i="5"/>
  <c r="J1708" i="5"/>
  <c r="J1705" i="5"/>
  <c r="J1700" i="5"/>
  <c r="I1698" i="5"/>
  <c r="I1692" i="5"/>
  <c r="I1687" i="5"/>
  <c r="I1679" i="5"/>
  <c r="I1671" i="5"/>
  <c r="I1668" i="5"/>
  <c r="I1665" i="5"/>
  <c r="J1006" i="5"/>
  <c r="I991" i="5"/>
  <c r="J983" i="5"/>
  <c r="J968" i="5"/>
  <c r="I960" i="5"/>
  <c r="I954" i="5"/>
  <c r="J949" i="5"/>
  <c r="J946" i="5"/>
  <c r="J919" i="5"/>
  <c r="I918" i="5"/>
  <c r="I916" i="5"/>
  <c r="J913" i="5"/>
  <c r="I912" i="5"/>
  <c r="J909" i="5"/>
  <c r="I907" i="5"/>
  <c r="I904" i="5"/>
  <c r="J899" i="5"/>
  <c r="I898" i="5"/>
  <c r="J894" i="5"/>
  <c r="I893" i="5"/>
  <c r="J888" i="5"/>
  <c r="J886" i="5"/>
  <c r="J883" i="5"/>
  <c r="J879" i="5"/>
  <c r="J878" i="5"/>
  <c r="J875" i="5"/>
  <c r="J872" i="5"/>
  <c r="I870" i="5"/>
  <c r="I867" i="5"/>
  <c r="J863" i="5"/>
  <c r="J860" i="5"/>
  <c r="I856" i="5"/>
  <c r="I850" i="5"/>
  <c r="J846" i="5"/>
  <c r="J845" i="5"/>
  <c r="I838" i="5"/>
  <c r="I835" i="5"/>
  <c r="I831" i="5"/>
  <c r="J827" i="5"/>
  <c r="I825" i="5"/>
  <c r="I822" i="5"/>
  <c r="I818" i="5"/>
  <c r="J813" i="5"/>
  <c r="J808" i="5"/>
  <c r="J805" i="5"/>
  <c r="I800" i="5"/>
  <c r="J796" i="5"/>
  <c r="I794" i="5"/>
  <c r="I786" i="5"/>
  <c r="J782" i="5"/>
  <c r="J777" i="5"/>
  <c r="I773" i="5"/>
  <c r="J768" i="5"/>
  <c r="I763" i="5"/>
  <c r="J757" i="5"/>
  <c r="I742" i="5"/>
  <c r="I738" i="5"/>
  <c r="I733" i="5"/>
  <c r="J729" i="5"/>
  <c r="I120" i="5"/>
  <c r="I116" i="5"/>
  <c r="I112" i="5"/>
  <c r="J109" i="5"/>
  <c r="J100" i="5"/>
  <c r="I97" i="5"/>
  <c r="I93" i="5"/>
  <c r="I82" i="5"/>
  <c r="I77" i="5"/>
  <c r="J71" i="5"/>
  <c r="I68" i="5"/>
  <c r="J63" i="5"/>
  <c r="J59" i="5"/>
  <c r="I55" i="5"/>
  <c r="J50" i="5"/>
  <c r="J47" i="5"/>
  <c r="J43" i="5"/>
  <c r="J39" i="5"/>
  <c r="J35" i="5"/>
  <c r="I30" i="5"/>
  <c r="I24" i="5"/>
  <c r="I20" i="5"/>
  <c r="I16" i="5"/>
  <c r="I12" i="5"/>
  <c r="J7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1883" i="5"/>
  <c r="J1834" i="5"/>
  <c r="I1832" i="5"/>
  <c r="J1830" i="5"/>
  <c r="J1824" i="5"/>
  <c r="I1823" i="5"/>
  <c r="I1820" i="5"/>
  <c r="J1817" i="5"/>
  <c r="I1812" i="5"/>
  <c r="I1809" i="5"/>
  <c r="I1807" i="5"/>
  <c r="I1804" i="5"/>
  <c r="I1800" i="5"/>
  <c r="J1797" i="5"/>
  <c r="J1795" i="5"/>
  <c r="J1791" i="5"/>
  <c r="J1788" i="5"/>
  <c r="I1785" i="5"/>
  <c r="I1782" i="5"/>
  <c r="J1776" i="5"/>
  <c r="I1769" i="5"/>
  <c r="J1764" i="5"/>
  <c r="I1761" i="5"/>
  <c r="I1756" i="5"/>
  <c r="I1752" i="5"/>
  <c r="I1750" i="5"/>
  <c r="J1746" i="5"/>
  <c r="I1744" i="5"/>
  <c r="J1742" i="5"/>
  <c r="J1738" i="5"/>
  <c r="J1732" i="5"/>
  <c r="I1730" i="5"/>
  <c r="I1725" i="5"/>
  <c r="I1721" i="5"/>
  <c r="J1716" i="5"/>
  <c r="I1713" i="5"/>
  <c r="I1707" i="5"/>
  <c r="I1702" i="5"/>
  <c r="I1697" i="5"/>
  <c r="I1694" i="5"/>
  <c r="I1690" i="5"/>
  <c r="J1686" i="5"/>
  <c r="J1681" i="5"/>
  <c r="I1677" i="5"/>
  <c r="I1669" i="5"/>
  <c r="I1666" i="5"/>
  <c r="J1662" i="5"/>
  <c r="J1660" i="5"/>
  <c r="J1657" i="5"/>
  <c r="J1655" i="5"/>
  <c r="I1653" i="5"/>
  <c r="I1650" i="5"/>
  <c r="I1647" i="5"/>
  <c r="I1637" i="5"/>
  <c r="J1633" i="5"/>
  <c r="J1630" i="5"/>
  <c r="J1628" i="5"/>
  <c r="I1626" i="5"/>
  <c r="J1622" i="5"/>
  <c r="J1620" i="5"/>
  <c r="J1618" i="5"/>
  <c r="I1614" i="5"/>
  <c r="I1610" i="5"/>
  <c r="J1607" i="5"/>
  <c r="J1604" i="5"/>
  <c r="I1603" i="5"/>
  <c r="J1600" i="5"/>
  <c r="J1596" i="5"/>
  <c r="J1593" i="5"/>
  <c r="J1590" i="5"/>
  <c r="J1588" i="5"/>
  <c r="I1588" i="5"/>
  <c r="I1587" i="5"/>
  <c r="I1585" i="5"/>
  <c r="J1582" i="5"/>
  <c r="J1580" i="5"/>
  <c r="I1578" i="5"/>
  <c r="I1576" i="5"/>
  <c r="J1570" i="5"/>
  <c r="J1567" i="5"/>
  <c r="I1564" i="5"/>
  <c r="J1561" i="5"/>
  <c r="I1559" i="5"/>
  <c r="J1553" i="5"/>
  <c r="J1548" i="5"/>
  <c r="I1544" i="5"/>
  <c r="J1541" i="5"/>
  <c r="I1538" i="5"/>
  <c r="I1535" i="5"/>
  <c r="I1532" i="5"/>
  <c r="J1529" i="5"/>
  <c r="J1526" i="5"/>
  <c r="I1524" i="5"/>
  <c r="J1522" i="5"/>
  <c r="J1519" i="5"/>
  <c r="I1517" i="5"/>
  <c r="J1513" i="5"/>
  <c r="I1511" i="5"/>
  <c r="J1507" i="5"/>
  <c r="I1503" i="5"/>
  <c r="J1499" i="5"/>
  <c r="I1496" i="5"/>
  <c r="J1492" i="5"/>
  <c r="J1488" i="5"/>
  <c r="I1487" i="5"/>
  <c r="J1483" i="5"/>
  <c r="J1480" i="5"/>
  <c r="I1038" i="5"/>
  <c r="J1033" i="5"/>
  <c r="J1029" i="5"/>
  <c r="I1025" i="5"/>
  <c r="J1021" i="5"/>
  <c r="J1020" i="5"/>
  <c r="I1019" i="5"/>
  <c r="J1018" i="5"/>
  <c r="I1017" i="5"/>
  <c r="I1012" i="5"/>
  <c r="I1010" i="5"/>
  <c r="J1008" i="5"/>
  <c r="I943" i="5"/>
  <c r="J929" i="5"/>
  <c r="I926" i="5"/>
  <c r="I924" i="5"/>
  <c r="J921" i="5"/>
  <c r="J918" i="5"/>
  <c r="J901" i="5"/>
  <c r="I896" i="5"/>
  <c r="I892" i="5"/>
  <c r="J889" i="5"/>
  <c r="I887" i="5"/>
  <c r="J882" i="5"/>
  <c r="I878" i="5"/>
  <c r="I875" i="5"/>
  <c r="I872" i="5"/>
  <c r="J869" i="5"/>
  <c r="J865" i="5"/>
  <c r="J862" i="5"/>
  <c r="I858" i="5"/>
  <c r="I855" i="5"/>
  <c r="I852" i="5"/>
  <c r="J850" i="5"/>
  <c r="J848" i="5"/>
  <c r="J844" i="5"/>
  <c r="J840" i="5"/>
  <c r="J837" i="5"/>
  <c r="J833" i="5"/>
  <c r="I830" i="5"/>
  <c r="J826" i="5"/>
  <c r="J823" i="5"/>
  <c r="I821" i="5"/>
  <c r="J819" i="5"/>
  <c r="I816" i="5"/>
  <c r="J814" i="5"/>
  <c r="J810" i="5"/>
  <c r="I807" i="5"/>
  <c r="J804" i="5"/>
  <c r="J803" i="5"/>
  <c r="J799" i="5"/>
  <c r="J797" i="5"/>
  <c r="I793" i="5"/>
  <c r="I790" i="5"/>
  <c r="I787" i="5"/>
  <c r="J779" i="5"/>
  <c r="J774" i="5"/>
  <c r="I771" i="5"/>
  <c r="J766" i="5"/>
  <c r="J763" i="5"/>
  <c r="J761" i="5"/>
  <c r="I758" i="5"/>
  <c r="I755" i="5"/>
  <c r="I751" i="5"/>
  <c r="J748" i="5"/>
  <c r="I746" i="5"/>
  <c r="J736" i="5"/>
  <c r="J735" i="5"/>
  <c r="I734" i="5"/>
  <c r="I731" i="5"/>
  <c r="J726" i="5"/>
  <c r="I118" i="5"/>
  <c r="J114" i="5"/>
  <c r="I107" i="5"/>
  <c r="I102" i="5"/>
  <c r="J98" i="5"/>
  <c r="J93" i="5"/>
  <c r="I89" i="5"/>
  <c r="J84" i="5"/>
  <c r="J80" i="5"/>
  <c r="I76" i="5"/>
  <c r="I71" i="5"/>
  <c r="I67" i="5"/>
  <c r="J62" i="5"/>
  <c r="J58" i="5"/>
  <c r="J54" i="5"/>
  <c r="I50" i="5"/>
  <c r="J45" i="5"/>
  <c r="I41" i="5"/>
  <c r="I37" i="5"/>
  <c r="J33" i="5"/>
  <c r="I29" i="5"/>
  <c r="J24" i="5"/>
  <c r="J18" i="5"/>
  <c r="I13" i="5"/>
  <c r="I8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5" i="5"/>
  <c r="I1032" i="5"/>
  <c r="J1030" i="5"/>
  <c r="I1028" i="5"/>
  <c r="J1023" i="5"/>
  <c r="I1020" i="5"/>
  <c r="J1016" i="5"/>
  <c r="J1014" i="5"/>
  <c r="I1013" i="5"/>
  <c r="J1010" i="5"/>
  <c r="I1007" i="5"/>
  <c r="I792" i="5"/>
  <c r="I784" i="5"/>
  <c r="I782" i="5"/>
  <c r="J778" i="5"/>
  <c r="I775" i="5"/>
  <c r="J771" i="5"/>
  <c r="I768" i="5"/>
  <c r="J764" i="5"/>
  <c r="J759" i="5"/>
  <c r="J755" i="5"/>
  <c r="J751" i="5"/>
  <c r="I747" i="5"/>
  <c r="I743" i="5"/>
  <c r="I737" i="5"/>
  <c r="J731" i="5"/>
  <c r="I727" i="5"/>
  <c r="I119" i="5"/>
  <c r="J115" i="5"/>
  <c r="J107" i="5"/>
  <c r="I104" i="5"/>
  <c r="I99" i="5"/>
  <c r="J94" i="5"/>
  <c r="I90" i="5"/>
  <c r="I85" i="5"/>
  <c r="I80" i="5"/>
  <c r="J75" i="5"/>
  <c r="I70" i="5"/>
  <c r="J66" i="5"/>
  <c r="I62" i="5"/>
  <c r="J57" i="5"/>
  <c r="J53" i="5"/>
  <c r="I49" i="5"/>
  <c r="J44" i="5"/>
  <c r="J40" i="5"/>
  <c r="J36" i="5"/>
  <c r="I32" i="5"/>
  <c r="I27" i="5"/>
  <c r="I22" i="5"/>
  <c r="I17" i="5"/>
  <c r="I14" i="5"/>
  <c r="J9" i="5"/>
  <c r="I6" i="5"/>
  <c r="D25" i="4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H17" i="4" s="1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D17" i="4" s="1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B17" i="4" s="1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G17" i="4" s="1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B9" i="4" s="1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H15" i="4" s="1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H7" i="4" s="1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18" i="5"/>
  <c r="J116" i="5"/>
  <c r="I114" i="5"/>
  <c r="J110" i="5"/>
  <c r="J106" i="5"/>
  <c r="J102" i="5"/>
  <c r="J96" i="5"/>
  <c r="J91" i="5"/>
  <c r="J86" i="5"/>
  <c r="J81" i="5"/>
  <c r="J76" i="5"/>
  <c r="I72" i="5"/>
  <c r="J64" i="5"/>
  <c r="I60" i="5"/>
  <c r="I54" i="5"/>
  <c r="J48" i="5"/>
  <c r="J42" i="5"/>
  <c r="J37" i="5"/>
  <c r="J31" i="5"/>
  <c r="J25" i="5"/>
  <c r="I21" i="5"/>
  <c r="J15" i="5"/>
  <c r="I11" i="5"/>
  <c r="E16" i="4"/>
  <c r="E15" i="4"/>
  <c r="E13" i="4"/>
  <c r="E14" i="4"/>
  <c r="I3963" i="5"/>
  <c r="I2" i="5"/>
  <c r="I4987" i="5"/>
  <c r="I2025" i="5"/>
  <c r="I1494" i="5"/>
  <c r="I545" i="5"/>
  <c r="I4673" i="5"/>
  <c r="H16" i="4" l="1"/>
  <c r="H8" i="4"/>
  <c r="E9" i="4"/>
  <c r="H9" i="4"/>
  <c r="J17" i="4"/>
  <c r="E17" i="4"/>
  <c r="I15" i="4"/>
  <c r="I16" i="4"/>
  <c r="B8" i="4"/>
  <c r="B7" i="4"/>
  <c r="B6" i="4"/>
  <c r="B5" i="4"/>
  <c r="I14" i="4"/>
  <c r="I13" i="4"/>
  <c r="D13" i="4"/>
  <c r="D14" i="4"/>
  <c r="D15" i="4"/>
  <c r="D16" i="4"/>
  <c r="C9" i="4"/>
  <c r="D9" i="4"/>
  <c r="H14" i="4"/>
  <c r="H6" i="4"/>
  <c r="H13" i="4"/>
  <c r="H5" i="4"/>
  <c r="B16" i="4"/>
  <c r="J16" i="4"/>
  <c r="E8" i="4"/>
  <c r="E7" i="4"/>
  <c r="B15" i="4"/>
  <c r="J15" i="4"/>
  <c r="J13" i="4"/>
  <c r="E5" i="4"/>
  <c r="B13" i="4"/>
  <c r="E6" i="4"/>
  <c r="J14" i="4"/>
  <c r="B14" i="4"/>
  <c r="I8" i="4"/>
  <c r="J8" i="4"/>
  <c r="I7" i="4"/>
  <c r="J7" i="4"/>
  <c r="G9" i="4" l="1"/>
  <c r="F9" i="4"/>
  <c r="J9" i="4"/>
  <c r="I9" i="4"/>
  <c r="D8" i="4"/>
  <c r="C8" i="4"/>
  <c r="D7" i="4"/>
  <c r="C7" i="4"/>
  <c r="D6" i="4"/>
  <c r="C6" i="4"/>
  <c r="D5" i="4"/>
  <c r="C5" i="4"/>
  <c r="I6" i="4"/>
  <c r="J6" i="4"/>
  <c r="I5" i="4"/>
  <c r="J5" i="4"/>
  <c r="F8" i="4"/>
  <c r="G8" i="4"/>
  <c r="F7" i="4"/>
  <c r="G7" i="4"/>
  <c r="F5" i="4"/>
  <c r="G5" i="4"/>
  <c r="F6" i="4"/>
  <c r="G6" i="4"/>
</calcChain>
</file>

<file path=xl/sharedStrings.xml><?xml version="1.0" encoding="utf-8"?>
<sst xmlns="http://schemas.openxmlformats.org/spreadsheetml/2006/main" count="6218" uniqueCount="593">
  <si>
    <t>Arma</t>
  </si>
  <si>
    <t>Tipo</t>
  </si>
  <si>
    <t>Calibre</t>
  </si>
  <si>
    <t>Marca</t>
  </si>
  <si>
    <t># Serie</t>
  </si>
  <si>
    <t>Sigma</t>
  </si>
  <si>
    <t>Emissão</t>
  </si>
  <si>
    <t>Validade</t>
  </si>
  <si>
    <t>GT Interarmas</t>
  </si>
  <si>
    <t>GT Base</t>
  </si>
  <si>
    <t>GT Generica</t>
  </si>
  <si>
    <t># GT Base</t>
  </si>
  <si>
    <t>CalibreStd</t>
  </si>
  <si>
    <t>Grupo</t>
  </si>
  <si>
    <t>M16</t>
  </si>
  <si>
    <t>Carabina/Fuzil</t>
  </si>
  <si>
    <t>Colt</t>
  </si>
  <si>
    <t>LE745972</t>
  </si>
  <si>
    <t>047348</t>
  </si>
  <si>
    <t>Puma 357</t>
  </si>
  <si>
    <t>357 Magnun</t>
  </si>
  <si>
    <t>Taurus</t>
  </si>
  <si>
    <t>NWF4899336</t>
  </si>
  <si>
    <t>047353</t>
  </si>
  <si>
    <t>T4</t>
  </si>
  <si>
    <t>ACE945768</t>
  </si>
  <si>
    <t>047357</t>
  </si>
  <si>
    <t>Beretta 92X</t>
  </si>
  <si>
    <t>Pistola</t>
  </si>
  <si>
    <t>9mm</t>
  </si>
  <si>
    <t>Beretta</t>
  </si>
  <si>
    <t>BST25973</t>
  </si>
  <si>
    <t>047376</t>
  </si>
  <si>
    <t>Colt MK IV</t>
  </si>
  <si>
    <t>FG99971</t>
  </si>
  <si>
    <t>314960</t>
  </si>
  <si>
    <t>45 ACP</t>
  </si>
  <si>
    <t>70G54272</t>
  </si>
  <si>
    <t>325123</t>
  </si>
  <si>
    <t>Glock G19</t>
  </si>
  <si>
    <t>Glock</t>
  </si>
  <si>
    <t>BSGC603</t>
  </si>
  <si>
    <t>S&amp;W EZ Shield</t>
  </si>
  <si>
    <t>S&amp;W</t>
  </si>
  <si>
    <t>RHV0472</t>
  </si>
  <si>
    <t>047372</t>
  </si>
  <si>
    <t>Uzi</t>
  </si>
  <si>
    <t>IWI</t>
  </si>
  <si>
    <t>B2201146</t>
  </si>
  <si>
    <t>047366</t>
  </si>
  <si>
    <t>Raging Hunter 357 - RT357H212C</t>
  </si>
  <si>
    <t>Revólver</t>
  </si>
  <si>
    <t>ADD274576</t>
  </si>
  <si>
    <t>047380</t>
  </si>
  <si>
    <t>Revolver 38 - 85 S</t>
  </si>
  <si>
    <t>38 SPL</t>
  </si>
  <si>
    <t>ADK838110</t>
  </si>
  <si>
    <t>310479</t>
  </si>
  <si>
    <t>Ultima Limpeza</t>
  </si>
  <si>
    <t>Usos</t>
  </si>
  <si>
    <t>Inicio</t>
  </si>
  <si>
    <t>Fim</t>
  </si>
  <si>
    <t>Treinos</t>
  </si>
  <si>
    <t>% Treinos</t>
  </si>
  <si>
    <t>Faltam
Treinos</t>
  </si>
  <si>
    <t>Provas</t>
  </si>
  <si>
    <t>% Provas</t>
  </si>
  <si>
    <t>Faltam
Provas</t>
  </si>
  <si>
    <t>Nacionais</t>
  </si>
  <si>
    <t>% Nacionais</t>
  </si>
  <si>
    <t>Faltam
Nacionais</t>
  </si>
  <si>
    <t>ACRP</t>
  </si>
  <si>
    <t>ACRR</t>
  </si>
  <si>
    <t>ALRP</t>
  </si>
  <si>
    <t>ALRR</t>
  </si>
  <si>
    <t>ALLP</t>
  </si>
  <si>
    <t>FPTE</t>
  </si>
  <si>
    <t>TR</t>
  </si>
  <si>
    <t>CBTE</t>
  </si>
  <si>
    <t>Linade</t>
  </si>
  <si>
    <t>Interarmas</t>
  </si>
  <si>
    <t>Base</t>
  </si>
  <si>
    <t>Anacac</t>
  </si>
  <si>
    <t>Wargame</t>
  </si>
  <si>
    <t>TOTAL</t>
  </si>
  <si>
    <t>Ultimo Treino</t>
  </si>
  <si>
    <t>Ultima Prova</t>
  </si>
  <si>
    <t>Dias sem Registro</t>
  </si>
  <si>
    <t>QUALIDADE DOS DADOS</t>
  </si>
  <si>
    <t>Linhas com Grupo nao identificado (ERRO - REVISAR)</t>
  </si>
  <si>
    <t>METAS DO CICLO (Nivel 3)</t>
  </si>
  <si>
    <t>Meta Treinos</t>
  </si>
  <si>
    <t>Meta Provas</t>
  </si>
  <si>
    <t>Meta Nacionais</t>
  </si>
  <si>
    <t>Campeonato</t>
  </si>
  <si>
    <t>Etapa</t>
  </si>
  <si>
    <t>Entidade</t>
  </si>
  <si>
    <t>E/N</t>
  </si>
  <si>
    <t>Data</t>
  </si>
  <si>
    <t>TIPO</t>
  </si>
  <si>
    <t>Chave Etapa</t>
  </si>
  <si>
    <t>ChaveCampeonato</t>
  </si>
  <si>
    <t>EtapaUnica</t>
  </si>
  <si>
    <t>CampeonatoUnico</t>
  </si>
  <si>
    <t>Copa FPTE</t>
  </si>
  <si>
    <t>2</t>
  </si>
  <si>
    <t>E</t>
  </si>
  <si>
    <t>Campeonato Paulista de Car/Pst/RF 2023</t>
  </si>
  <si>
    <t>4</t>
  </si>
  <si>
    <t>5</t>
  </si>
  <si>
    <t>Fuzil 50 e 20 Metros</t>
  </si>
  <si>
    <t>3</t>
  </si>
  <si>
    <t>7</t>
  </si>
  <si>
    <t>Campeonato Brasileiro de Car/Pst/RF 2023</t>
  </si>
  <si>
    <t>8</t>
  </si>
  <si>
    <t>N</t>
  </si>
  <si>
    <t>Baixa Luminosidade e Shotgun 2023</t>
  </si>
  <si>
    <t>9</t>
  </si>
  <si>
    <t>1</t>
  </si>
  <si>
    <t>DUELO THE RANGE</t>
  </si>
  <si>
    <t>CAMPEONATO NACIONAL MULTICALIBRES</t>
  </si>
  <si>
    <t>Campeonato Paulista de Fuzil 50 e 20 metros , Baixa Luminosidade e Shotgun 2024</t>
  </si>
  <si>
    <t>CAMPEONATO BRASILEIRO DE CAR/PST/RF 2024</t>
  </si>
  <si>
    <t>Campeonato Paulista e Brasileiro de Car/Pst/RF 2024</t>
  </si>
  <si>
    <t>NACIONAL LIGHT</t>
  </si>
  <si>
    <t>Paulista e Nacional Light</t>
  </si>
  <si>
    <t>TREINO</t>
  </si>
  <si>
    <t>-</t>
  </si>
  <si>
    <t>T</t>
  </si>
  <si>
    <t>1 Shot Challenge</t>
  </si>
  <si>
    <t>COPA BRASIL DE TIRO DESPORTIVO</t>
  </si>
  <si>
    <t>Duelo The Range</t>
  </si>
  <si>
    <t>5 PLATES</t>
  </si>
  <si>
    <t>CAMPEONATO NACIONAL DE TIRO DESPORTIVO</t>
  </si>
  <si>
    <t>MÃO DE AÇO</t>
  </si>
  <si>
    <t>Campeonato Paulista e Brasileiro de Car/Pst/RF 2025</t>
  </si>
  <si>
    <t>CAMPEONATO BRASILEIRO DE CAR/PST/RF 2025</t>
  </si>
  <si>
    <t>Campeonato Paulista de Fuzil 50 e 20 metros , Baixa Luminosidade e Shotgun 2025</t>
  </si>
  <si>
    <t>Paulista e Nacional Light 2026</t>
  </si>
  <si>
    <t>Nacional Power Defense</t>
  </si>
  <si>
    <t>Short Range</t>
  </si>
  <si>
    <t>Campeonato Nacional de Tiro Desportivo</t>
  </si>
  <si>
    <t>1° COPA TRAP BASE ARMALITE</t>
  </si>
  <si>
    <t>ARMA</t>
  </si>
  <si>
    <t>Hora</t>
  </si>
  <si>
    <t>Arma - SIGMA</t>
  </si>
  <si>
    <t>Calibre - Munição</t>
  </si>
  <si>
    <t>Tiros</t>
  </si>
  <si>
    <t>Evento - Disciplina</t>
  </si>
  <si>
    <t>Clube</t>
  </si>
  <si>
    <t>place</t>
  </si>
  <si>
    <t>04/07/2026</t>
  </si>
  <si>
    <t>10:30</t>
  </si>
  <si>
    <t>Espingarda - CBC - 1775805 (Clube)</t>
  </si>
  <si>
    <t>12 GA - Original - Própria</t>
  </si>
  <si>
    <t>7° Etapa Paulista e Nacional Light 2026 - Espingarda 10m - Estadual</t>
  </si>
  <si>
    <t>ARMALITE</t>
  </si>
  <si>
    <t>Pistola - 92 X - 2113852</t>
  </si>
  <si>
    <t>9x19mm - Original - Própria</t>
  </si>
  <si>
    <t>7° Etapa Paulista e Nacional Light 2026 - Pistola 5m - Estadual</t>
  </si>
  <si>
    <t>Pistola - S&amp;W EZ Shield - 2142281</t>
  </si>
  <si>
    <t>.380 ACP - Original - Própria</t>
  </si>
  <si>
    <t>Carabina / Fuzil - Puma 357 - 2229014</t>
  </si>
  <si>
    <t>.357 Mag - Original - Própria</t>
  </si>
  <si>
    <t>7° Etapa Paulista e Nacional Light 2026 - Rifle de Precisão 15m Bolt/Lever Action - Estadual</t>
  </si>
  <si>
    <t>Carabina / Fuzil - T4 - 1489231</t>
  </si>
  <si>
    <t>5.56x45 mm - Original - Própria</t>
  </si>
  <si>
    <t>7° Etapa Paulista e Nacional Light 2026 - Rifle Rapido 10m Semi-Auto - Estadual</t>
  </si>
  <si>
    <t>21/05/2026</t>
  </si>
  <si>
    <t>5° Etapa Paulista e Nacional Light 2026 - Espingarda 10m - Estadual</t>
  </si>
  <si>
    <t>INTERARMAS</t>
  </si>
  <si>
    <t>5° Etapa Paulista e Nacional Light 2026 - Pistola 5m - Estadual</t>
  </si>
  <si>
    <t>5° Etapa Paulista e Nacional Light 2026 - Rifle de Precisão 15m Bolt/Lever Action - Estadual</t>
  </si>
  <si>
    <t>5° Etapa Paulista e Nacional Light 2026 - Rifle Rapido 10m Semi-Auto - Estadual</t>
  </si>
  <si>
    <t>06/03/2026</t>
  </si>
  <si>
    <t>19:37</t>
  </si>
  <si>
    <t>5.56x45 mm - Classificar</t>
  </si>
  <si>
    <t>3° Etapa Paulista e Nacional Light 2026 - Rifle Rapido 10m Semi-Auto - Estadual</t>
  </si>
  <si>
    <t>19:36</t>
  </si>
  <si>
    <t>.357 Mag - Classificar</t>
  </si>
  <si>
    <t>3° Etapa Paulista e Nacional Light 2026 - Rifle de Precisão 15m Bolt/Lever Action - Estadual</t>
  </si>
  <si>
    <t>19:35</t>
  </si>
  <si>
    <t>.380 ACP - Classificar</t>
  </si>
  <si>
    <t>3° Etapa Paulista e Nacional Light 2026 - Pistola 5m - Estadual</t>
  </si>
  <si>
    <t>Pistola - MK IV - 56105</t>
  </si>
  <si>
    <t>.45 ACP - Classificar</t>
  </si>
  <si>
    <t>25/02/2026</t>
  </si>
  <si>
    <t>9x19mm - Classificar</t>
  </si>
  <si>
    <t>2° Etapa Paulista e Nacional Light 2026 - Pistola 5m - Estadual</t>
  </si>
  <si>
    <t>2° Etapa Paulista e Nacional Light 2026 - Rifle de Precisão 15m Bolt/Lever Action - Estadual</t>
  </si>
  <si>
    <t>2° Etapa Paulista e Nacional Light 2026 - Rifle Rapido 10m Semi-Auto - Estadual</t>
  </si>
  <si>
    <t>21/02/2026</t>
  </si>
  <si>
    <t>1ª Etapa Copa FPTE - Interarmas 2026 - Copa FPTE - Carabina Repetição - Estadual</t>
  </si>
  <si>
    <t>1ª Etapa Copa FPTE - Interarmas 2026 - Copa FPTE - Carabina Semi-Auto - Estadual</t>
  </si>
  <si>
    <t>1ª Etapa Copa FPTE - Interarmas 2026 - Copa FPTE - Pistola Maior - Estadual</t>
  </si>
  <si>
    <t>30/09/2025</t>
  </si>
  <si>
    <t>9° Etapa Paulista e Nacional Light - Pistola 5m - Estadual</t>
  </si>
  <si>
    <t>9° Etapa Paulista e Nacional Light - Rifle de Precisão 15m Bolt/Lever Action - Estadual</t>
  </si>
  <si>
    <t>10/09/2025</t>
  </si>
  <si>
    <t>21:00</t>
  </si>
  <si>
    <t>.380 ACP - Original - Clube</t>
  </si>
  <si>
    <t>8ª Etapa do Campeonato Paulista e Brasileiro de Car/Pst/RF 2025 - Duelo 20 segundos 10 metros - Pistola Maior (38/380/765/40/45/9mm) - Estadual</t>
  </si>
  <si>
    <t>Pistola - G19 - 2093493</t>
  </si>
  <si>
    <t>9x19mm - Original - Clube</t>
  </si>
  <si>
    <t>20:00</t>
  </si>
  <si>
    <t>8ª Etapa do Campeonato Paulista de Fuzil 50 e 20 metros , Baixa Luminosidade e Shotgun 2025 - Fuzil 20 Metros Intermediário - Estadual</t>
  </si>
  <si>
    <t>Carabina / Fuzil - M-16 - 591892</t>
  </si>
  <si>
    <t>5.56x45 mm - Original - Clube</t>
  </si>
  <si>
    <t>8ª Etapa do Campeonato Paulista de Fuzil 50 e 20 metros , Baixa Luminosidade e Shotgun 2025 - Fuzil 20 Metros Menor - Estadual</t>
  </si>
  <si>
    <t>.357 Mag - Original - Clube</t>
  </si>
  <si>
    <t>16/08/2025</t>
  </si>
  <si>
    <t>15:20</t>
  </si>
  <si>
    <t>7ª Etapa do Campeonato Paulista de Fuzil 50 e 20 metros , Baixa Luminosidade e Shotgun 2025 - Fuzil 20 Metros Maior - Estadual</t>
  </si>
  <si>
    <t>14:55</t>
  </si>
  <si>
    <t>8° Etapa Paulista e Nacional Light - Rifle Rapido 10m Semi-Auto - Estadual</t>
  </si>
  <si>
    <t>14:45</t>
  </si>
  <si>
    <t>8° Etapa Paulista e Nacional Light - Rifle de Precisão 15m Bolt/Lever Action - Estadual</t>
  </si>
  <si>
    <t>14:35</t>
  </si>
  <si>
    <t>8° Etapa Paulista e Nacional Light - Pistola 5m - Estadual</t>
  </si>
  <si>
    <t>14:30</t>
  </si>
  <si>
    <t>25/05/2025</t>
  </si>
  <si>
    <t>19:00</t>
  </si>
  <si>
    <t>5° Etapa Paulista e Nacional Light - Rifle de Precisão 15m Bolt/Lever Action - Estadual</t>
  </si>
  <si>
    <t>21/05/2025</t>
  </si>
  <si>
    <t>20:35</t>
  </si>
  <si>
    <t>4ª Etapa do Campeonato Paulista de Fuzil 50 e 20 metros , Baixa Luminosidade e Shotgun 2025 - Fuzil 20 Metros Intermediário - Estadual</t>
  </si>
  <si>
    <t>4ª Etapa do Campeonato Paulista de Fuzil 50 e 20 metros , Baixa Luminosidade e Shotgun 2025 - Fuzil 20 Metros Maior - Estadual</t>
  </si>
  <si>
    <t>5° Etapa Paulista e Nacional Light - Pistola 5m - Estadual</t>
  </si>
  <si>
    <t>26/04/2025</t>
  </si>
  <si>
    <t>4° Etapa Paulista e Nacional Light - Pistola 5m - Estadual</t>
  </si>
  <si>
    <t>.45 ACP - Original - Clube</t>
  </si>
  <si>
    <t>24/04/2025</t>
  </si>
  <si>
    <t>3ª Etapa do Campeonato Paulista e Brasileiro de Car/Pst/RF 2025 - Duelo 20 segundos 10 metros - Pistola Maior (38/380/765/40/45/9mm) - Estadual</t>
  </si>
  <si>
    <t>12/02/2025</t>
  </si>
  <si>
    <t>18:00</t>
  </si>
  <si>
    <t>2° Etapa Paulista e Nacional Light - Pistola 5m - Estadual</t>
  </si>
  <si>
    <t>2° Etapa Paulista e Nacional Light - Rifle de Precisão 15m Bolt/Lever Action - Estadual</t>
  </si>
  <si>
    <t>2° Etapa Paulista e Nacional Light - Rifle Rapido 10m Semi-Auto - Estadual</t>
  </si>
  <si>
    <t>14/09/2024</t>
  </si>
  <si>
    <t>16:00</t>
  </si>
  <si>
    <t>8ª Etapa do Campeonato Paulista e Brasileiro de Car/Pst/RF 2024 - Duelo 20 segundos 10 metros - Pistola Maior (38/380/765/40/45/9mm) - Estadual</t>
  </si>
  <si>
    <t>11/09/2024</t>
  </si>
  <si>
    <t>15:00</t>
  </si>
  <si>
    <t>Pistola - MK IV - 83732</t>
  </si>
  <si>
    <t>.38 S&amp;W - Original - Clube</t>
  </si>
  <si>
    <t>14:00</t>
  </si>
  <si>
    <t>13:00</t>
  </si>
  <si>
    <t>Revólver - RT357H212C - 2031950</t>
  </si>
  <si>
    <t>8° Etapa Paulista e Nacional Light - Revolver 5m - Estadual</t>
  </si>
  <si>
    <t>Revólver - 85 S - 2418321</t>
  </si>
  <si>
    <t>.38 SPL - Original - Clube</t>
  </si>
  <si>
    <t>31/05/2024</t>
  </si>
  <si>
    <t>09:00</t>
  </si>
  <si>
    <t>.38 S&amp;W - Classificar</t>
  </si>
  <si>
    <t>4º Etapa Paulista e Nacional Light - Pistola 5m - Estadual</t>
  </si>
  <si>
    <t>4º Etapa Paulista e Nacional Light - Revolver 5m - Estadual</t>
  </si>
  <si>
    <t>02/05/2024</t>
  </si>
  <si>
    <t>4ª Etapa do Campeonato Paulista e Brasileiro de Car/Pst/RF 2024 - Duelo 20 segundos 10 metros - Pistola Maior (38/380/765/40/45/9mm) - Estadual</t>
  </si>
  <si>
    <t>.38 S&amp;W - Original - Própria</t>
  </si>
  <si>
    <t>.45 ACP - Original - Própria</t>
  </si>
  <si>
    <t>4ª Etapa do Campeonato Paulista e Brasileiro de Car/Pst/RF 2024 - Duelo 20 segundos 10 metros - Revólver Maior .32, .38, .357, 9mm,.454, .44 e .45 - Estadual</t>
  </si>
  <si>
    <t>.357 Mag - Própria</t>
  </si>
  <si>
    <t>30/04/2024</t>
  </si>
  <si>
    <t>3° Etapa Paulista e Nacional Light - Rifle Rapido 10m Semi-Auto - Estadual</t>
  </si>
  <si>
    <t>18/04/2024</t>
  </si>
  <si>
    <t>3ª Etapa do Campeonato Paulista de Fuzil 50 e 20 metros , Baixa Luminosidade e Shotgun 2024 - Fuzil 20 Metros Maior - Estadual</t>
  </si>
  <si>
    <t>16/04/2024</t>
  </si>
  <si>
    <t>15:22</t>
  </si>
  <si>
    <t>3° Etapa Paulista e Nacional Light - Pistola 5m - Estadual</t>
  </si>
  <si>
    <t>15:15</t>
  </si>
  <si>
    <t>04/04/2024</t>
  </si>
  <si>
    <t>.38 SPL - Original - Própria</t>
  </si>
  <si>
    <t>3° Etapa Paulista e Nacional Light - Revolver 5m - Estadual</t>
  </si>
  <si>
    <t>23/03/2024</t>
  </si>
  <si>
    <t>15:25</t>
  </si>
  <si>
    <t>2ª Etapa do Campeonato Paulista e Brasileiro de Car/Pst/RF 2024 - Duelo 20 segundos 10 metros - Revólver Maior .32, .38, .357, 9mm,.454, .44 e .45 - Estadual</t>
  </si>
  <si>
    <t>15:12</t>
  </si>
  <si>
    <t>.38 SPL - Classificar</t>
  </si>
  <si>
    <t>2ª Etapa do Campeonato Paulista de Fuzil 50 e 20 metros , Baixa Luminosidade e Shotgun 2024 - Fuzil 20 Metros Maior - Estadual</t>
  </si>
  <si>
    <t>13:30</t>
  </si>
  <si>
    <t>2ª Etapa do Campeonato Paulista e Brasileiro de Car/Pst/RF 2024 - Duelo 20 segundos 10 metros - Pistola Maior (38/380/765/40/45/9mm) - Estadual</t>
  </si>
  <si>
    <t>13:15</t>
  </si>
  <si>
    <t>12:45</t>
  </si>
  <si>
    <t>21/03/2024</t>
  </si>
  <si>
    <t>2ª Etapa do Campeonato Paulista de Fuzil 50 e 20 metros , Baixa Luminosidade e Shotgun 2024 - Fuzil 20 Metros Intermediário - Estadual</t>
  </si>
  <si>
    <t>12/11/2023</t>
  </si>
  <si>
    <t>10ª Etapa do Campeonato Paulista de Car/Pst/RF 2023 - Duelo 20 segundos 10 metros - Pistola Maior (38/380/765/40/45/9mm) - Estadual</t>
  </si>
  <si>
    <t>10ª Etapa do Campeonato Paulista de Car/Pst/RF 2023 - Duelo 20 segundos 10 metros - Revólver Maior .32, .38, .357, 9mm,.454, .44 e .45 - Estadual</t>
  </si>
  <si>
    <t>22/10/2023</t>
  </si>
  <si>
    <t>9ª Etapa do Campeonato Paulista de Car/Pst/RF 2023 - Duelo 20 segundos 10 metros - Pistola Maior (38/380/765/40/45/9mm) - Estadual</t>
  </si>
  <si>
    <t>01/10/2023</t>
  </si>
  <si>
    <t>5ª Etapa Baixa Luminosidade e Shotgun 2023 - Baixa Luminosidade Maior - Estadual</t>
  </si>
  <si>
    <t>5º Etapa Fuzil 50 e 20 Metros - Fuzil 20 Metros Maior - Estadual</t>
  </si>
  <si>
    <t>03/09/2023</t>
  </si>
  <si>
    <t>8ª Etapa do Campeonato Paulista de Car/Pst/RF 2023 - Duelo 20 segundos 10 metros - Pistola Maior (38/380/765/40/45/9mm) - Estadual</t>
  </si>
  <si>
    <t>8ª Etapa do Campeonato Paulista de Car/Pst/RF 2023 - Duelo 20 segundos 10 metros - Revólver Maior .32, .38, .357, 9mm,.454, .44 e .45 - Estadual</t>
  </si>
  <si>
    <t>13/08/2023</t>
  </si>
  <si>
    <t>7ª Etapa do Campeonato Paulista de Car/Pst/RF 2023 - Duelo 20 segundos 10 metros - Pistola Maior (38/380/765/40/45/9mm) - Estadual</t>
  </si>
  <si>
    <t>7ª Etapa do Campeonato Paulista de Car/Pst/RF 2023 - Duelo 20 segundos 10 metros - Revólver Maior .32, .38, .357, 9mm,.454, .44 e .45 - Estadual</t>
  </si>
  <si>
    <t>18/06/2023</t>
  </si>
  <si>
    <t>5ª Etapa do Campeonato Paulista de Car/Pst/RF 2023 - Duelo 20 segundos 10 metros - Pistola Maior (38/380/765/40/45/9mm) - Estadual</t>
  </si>
  <si>
    <t>3º Etapa Fuzil 50 e 20 Metros - Fuzil 20 Metros Maior - Estadual</t>
  </si>
  <si>
    <t>21/05/2023</t>
  </si>
  <si>
    <t>4ª Etapa do Campeonato Paulista de Car/Pst/RF 2023 - Duelo 20 segundos 10 metros - Pistola Maior (38/380/765/40/45/9mm) - Estadual</t>
  </si>
  <si>
    <t>4ª Etapa do Campeonato Paulista de Car/Pst/RF 2023 - Duelo 20 segundos 10 metros - Revólver Maior .32, .38, .357, 9mm,.454, .44 e .45 - Estadual</t>
  </si>
  <si>
    <t>13/05/2023</t>
  </si>
  <si>
    <t>2º Etapa Copa FPTE - Interarmas - Copa FPTE - Pistola Maior - Estadual</t>
  </si>
  <si>
    <t>Pistola - EZ Shield - 2142281</t>
  </si>
  <si>
    <t>7ª Etapa Short Range - Short Range - Armas Curtas - Nacional</t>
  </si>
  <si>
    <t>CTBA</t>
  </si>
  <si>
    <t>Pistola - 92X Performace - 2113852</t>
  </si>
  <si>
    <t>Carabina / Fuzil - Puma .357 - 2229014</t>
  </si>
  <si>
    <t>7ª Etapa Short Range - Short Range - Armas Longas - Nacional</t>
  </si>
  <si>
    <t>12 GA - Original - Clube</t>
  </si>
  <si>
    <t>7ª Etapa Short Range - Short Range - Espingarda - Nacional</t>
  </si>
  <si>
    <t>19:44</t>
  </si>
  <si>
    <t>3º Etapa Nacional Power Defense - Power Defense Armas Longas Fogo Central - Nacional</t>
  </si>
  <si>
    <t>19:43</t>
  </si>
  <si>
    <t>3ª Etapa Short Range - Short Range - Armas Longas - Nacional</t>
  </si>
  <si>
    <t>19:42</t>
  </si>
  <si>
    <t>3ª Etapa Short Range - Short Range - Armas Curtas - Nacional</t>
  </si>
  <si>
    <t>19:41</t>
  </si>
  <si>
    <t>Pistola - MK IV - Series 70 - 56105</t>
  </si>
  <si>
    <t>28/02/2026</t>
  </si>
  <si>
    <t>2º Etapa Nacional Power Defense - Power Defense Armas Longas Fogo Central - Nacional</t>
  </si>
  <si>
    <t>2ª Etapa Short Range - Short Range - Armas Longas - Nacional</t>
  </si>
  <si>
    <t>27/02/2026</t>
  </si>
  <si>
    <t>Carabina / Fuzil - ARMALITE - 120512 (Clube)</t>
  </si>
  <si>
    <t>2º Etapa Nacional Power Defense - Power Defense Armas Curtas Fogo Central - Nacional</t>
  </si>
  <si>
    <t>11:51</t>
  </si>
  <si>
    <t>11:49</t>
  </si>
  <si>
    <t>2ª Etapa Short Range - Short Range - Armas Curtas - Nacional</t>
  </si>
  <si>
    <t>11:48</t>
  </si>
  <si>
    <t>N°</t>
  </si>
  <si>
    <t>DATA</t>
  </si>
  <si>
    <t xml:space="preserve">EVENTO </t>
  </si>
  <si>
    <t>MODALIDADE</t>
  </si>
  <si>
    <t>LOCAL</t>
  </si>
  <si>
    <t>TIPO ARMA</t>
  </si>
  <si>
    <t>GRUPO ARMA</t>
  </si>
  <si>
    <t>PROPRIETÁRIO MUNIÇÃO</t>
  </si>
  <si>
    <t>CALIBRE</t>
  </si>
  <si>
    <t>MUNIÇÃO</t>
  </si>
  <si>
    <t>NIVEL</t>
  </si>
  <si>
    <t>1º ETAPA DUELO THE RANGE - INSCRIÇÃO MODALIDADE #25 (1º colocado)</t>
  </si>
  <si>
    <t>Duelo 20s</t>
  </si>
  <si>
    <t>THE RANGE</t>
  </si>
  <si>
    <t>Arma Curta Restrita</t>
  </si>
  <si>
    <t>Atirador</t>
  </si>
  <si>
    <t>REGIONAL</t>
  </si>
  <si>
    <t>TREINAMENTOTreino (15 TIROS)</t>
  </si>
  <si>
    <t>Treino</t>
  </si>
  <si>
    <t>Carabina Fuzil</t>
  </si>
  <si>
    <t>Arma Longa Raiada Restrita</t>
  </si>
  <si>
    <t>TREINAMENTOTreino (100 TIROS)</t>
  </si>
  <si>
    <t>.38 SUPER AUTO</t>
  </si>
  <si>
    <t>.45 ACP</t>
  </si>
  <si>
    <t>TREINAMENTOTreino (75 TIROS)</t>
  </si>
  <si>
    <t>Arma Curta Permitida</t>
  </si>
  <si>
    <t>.38 SPECIAL</t>
  </si>
  <si>
    <t>380 AUTO</t>
  </si>
  <si>
    <t>TREINAMENTOTreino (50 TIROS)</t>
  </si>
  <si>
    <t>9MM</t>
  </si>
  <si>
    <t>TREINAMENTOTreino (25 TIROS)</t>
  </si>
  <si>
    <t>357 MAG</t>
  </si>
  <si>
    <t>TREINAMENTOTreino (30 TIROS)</t>
  </si>
  <si>
    <t>TREINAMENTOTreino (20 TIROS)</t>
  </si>
  <si>
    <t>TREINAMENTOTreino (40 TIROS)</t>
  </si>
  <si>
    <t>8ª Etapa 1 Shot Challenge - INSCRIÇÃO MODALIDADE #35 (1º colocado)</t>
  </si>
  <si>
    <t>Fuzil</t>
  </si>
  <si>
    <t>TREINAMENTOTreino (55 TIROS)</t>
  </si>
  <si>
    <t>TREINAMENTOTreino (10 TIROS)</t>
  </si>
  <si>
    <t>9ª Etapa Duelo The Range - INSCRIÇÃO MODALIDADE #26 (1º colocado)</t>
  </si>
  <si>
    <t>9ª Etapa Duelo The Range - INSCRIÇÃO MODALIDADE #27 (1º colocado)</t>
  </si>
  <si>
    <t>9ª Etapa Duelo The Range - INSCRIÇÃO MODALIDADE #28 (1º colocado)</t>
  </si>
  <si>
    <t>9ª Etapa Duelo The Range - INSCRIÇÃO MODALIDADE #29 (1º colocado)</t>
  </si>
  <si>
    <t>9ª Etapa Duelo The Range - INSCRIÇÃO MODALIDADE #30 (1º colocado)</t>
  </si>
  <si>
    <t>9º ETAPA 5 PLATES - INSCRIÇÃO MODALIDADE #31 (1º colocado)</t>
  </si>
  <si>
    <t>9º ETAPA 5 PLATES - INSCRIÇÃO MODALIDADE #32 (1º colocado)</t>
  </si>
  <si>
    <t>9º ETAPA 5 PLATES - INSCRIÇÃO MODALIDADE #33 (1º colocado)</t>
  </si>
  <si>
    <t>9º ETAPA 5 PLATES - INSCRIÇÃO MODALIDADE #34 (1º colocado)</t>
  </si>
  <si>
    <t>Arma Longa Raiada Permitida</t>
  </si>
  <si>
    <t>TREINOTreino (50 TIROS)</t>
  </si>
  <si>
    <t>TREINOTreino (100 TIROS)</t>
  </si>
  <si>
    <t>TREINOTreino (25 TIROS)</t>
  </si>
  <si>
    <t>TREINOTreino (10 TIROS)</t>
  </si>
  <si>
    <t>TREINOTreino (30 TIROS)</t>
  </si>
  <si>
    <t>TREINOTreino (20 TIROS)</t>
  </si>
  <si>
    <t>TREINOTreino (15 TIROS)</t>
  </si>
  <si>
    <t>TREINOTreino (70 TIROS)</t>
  </si>
  <si>
    <t>TREINOTreino (5 TIROS)</t>
  </si>
  <si>
    <t>TREINOTreino (35 TIROS)</t>
  </si>
  <si>
    <t>TREINOTreino (80 TIROS)</t>
  </si>
  <si>
    <t>TREINOTreino (29 TIROS)</t>
  </si>
  <si>
    <t>TREINOTreino (150 TIROS)</t>
  </si>
  <si>
    <t>1ª ETAPA - CAMPEONATO NACIONAL MULTICALIBRES - INSCRIÇÃO MODALIDADE #222817 (1145º colocado)</t>
  </si>
  <si>
    <t>Tiro de Precisão</t>
  </si>
  <si>
    <t>LIGA NACIONAL DOS ATIRADORES DESPORTIVOS</t>
  </si>
  <si>
    <t>Grupo Não Informado</t>
  </si>
  <si>
    <t>.38 Super Auto</t>
  </si>
  <si>
    <t>NACIONAL</t>
  </si>
  <si>
    <t>1ª ETAPA - CAMPEONATO NACIONAL MULTICALIBRES - INSCRIÇÃO MODALIDADE #222816 (796º colocado)</t>
  </si>
  <si>
    <t>.38 SPL</t>
  </si>
  <si>
    <t>1ª ETAPA - CAMPEONATO NACIONAL MULTICALIBRES - INSCRIÇÃO MODALIDADE #222818 (216º colocado)</t>
  </si>
  <si>
    <t>Carabina</t>
  </si>
  <si>
    <t>7ª ETAPA - COPA BRASIL DE TIRO DESPORTIVO - INSCRIÇÃO MODALIDADE #446593 (15º colocado)</t>
  </si>
  <si>
    <t>7ª ETAPA - CAMPEONATO NACIONAL MULTICALIBRES - INSCRIÇÃO MODALIDADE #446524 (199º colocado)</t>
  </si>
  <si>
    <t>7ª ETAPA - CAMPEONATO NACIONAL MULTICALIBRES - INSCRIÇÃO MODALIDADE #446523 (371º colocado)</t>
  </si>
  <si>
    <t>1ª ETAPA CAMPEONATO NACIONAL DE TIRO DESPORTIVO - INSCRIÇÃO MODALIDADE #526371 (443º colocado)</t>
  </si>
  <si>
    <t>1ª ETAPA CAMPEONATO NACIONAL DE TIRO DESPORTIVO - INSCRIÇÃO MODALIDADE #526372 (131º colocado)</t>
  </si>
  <si>
    <t>1ª ETAPA CAMPEONATO NACIONAL DE TIRO DESPORTIVO - INSCRIÇÃO MODALIDADE #526373</t>
  </si>
  <si>
    <t>1ª ETAPA COPA BRASIL DE TIRO DESPORTIVO - INSCRIÇÃO MODALIDADE #526531</t>
  </si>
  <si>
    <t>1ª ETAPA COPA BRASIL DE TIRO DESPORTIVO - INSCRIÇÃO MODALIDADE #526532</t>
  </si>
  <si>
    <t>1ª ETAPA COPA BRASIL DE TIRO DESPORTIVO - INSCRIÇÃO MODALIDADE #526529</t>
  </si>
  <si>
    <t>Revólver/Pistola</t>
  </si>
  <si>
    <t>1ª ETAPA COPA BRASIL DE TIRO DESPORTIVO - INSCRIÇÃO MODALIDADE #526530</t>
  </si>
  <si>
    <t>3ª ETAPA COPA BRASIL DE TIRO DESPORTIVO - INSCRIÇÃO MODALIDADE #573742 (124º colocado)</t>
  </si>
  <si>
    <t>3ª ETAPA COPA BRASIL DE TIRO DESPORTIVO - INSCRIÇÃO MODALIDADE #573743 (66º colocado)</t>
  </si>
  <si>
    <t>3ª ETAPA COPA BRASIL DE TIRO DESPORTIVO - INSCRIÇÃO MODALIDADE #573744 (3º colocado)</t>
  </si>
  <si>
    <t>3ª ETAPA COPA BRASIL DE TIRO DESPORTIVO - INSCRIÇÃO MODALIDADE #573741 (23º colocado)</t>
  </si>
  <si>
    <t>3ª ETAPA COPA BRASIL DE TIRO DESPORTIVO - INSCRIÇÃO MODALIDADE #573745 (147º colocado)</t>
  </si>
  <si>
    <t>3ª ETAPA COPA BRASIL DE TIRO DESPORTIVO - INSCRIÇÃO MODALIDADE #573746 (102º colocado)</t>
  </si>
  <si>
    <t>3ª ETAPA CAMPEONATO NACIONAL DE TIRO DESPORTIVO - INSCRIÇÃO MODALIDADE #573770</t>
  </si>
  <si>
    <t>3ª ETAPA CAMPEONATO NACIONAL DE TIRO DESPORTIVO - INSCRIÇÃO MODALIDADE #573772</t>
  </si>
  <si>
    <t>3ª ETAPA CAMPEONATO NACIONAL DE TIRO DESPORTIVO - INSCRIÇÃO MODALIDADE #573771</t>
  </si>
  <si>
    <t>3ª ETAPA CAMPEONATO NACIONAL DE TIRO DESPORTIVO - INSCRIÇÃO MODALIDADE #573769</t>
  </si>
  <si>
    <t>4ª ETAPA COPA BRASIL DE TIRO DESPORTIVO - INSCRIÇÃO MODALIDADE #612770 (75º colocado)</t>
  </si>
  <si>
    <t>4ª ETAPA COPA BRASIL DE TIRO DESPORTIVO - INSCRIÇÃO MODALIDADE #612769 (66º colocado)</t>
  </si>
  <si>
    <t>4ª ETAPA CAMPEONATO NACIONAL DE TIRO DESPORTIVO - INSCRIÇÃO MODALIDADE #612792 (97º colocado)</t>
  </si>
  <si>
    <t>4ª ETAPA COPA BRASIL DE TIRO DESPORTIVO - INSCRIÇÃO MODALIDADE #612772 (35º colocado)</t>
  </si>
  <si>
    <t>4ª ETAPA COPA BRASIL DE TIRO DESPORTIVO - INSCRIÇÃO MODALIDADE #612773 (190º colocado)</t>
  </si>
  <si>
    <t>4ª ETAPA CAMPEONATO NACIONAL DE TIRO DESPORTIVO - INSCRIÇÃO MODALIDADE #612790 (101º colocado)</t>
  </si>
  <si>
    <t>4ª ETAPA COPA BRASIL DE TIRO DESPORTIVO - INSCRIÇÃO MODALIDADE #612768 (56º colocado)</t>
  </si>
  <si>
    <t>4ª ETAPA CAMPEONATO NACIONAL DE TIRO DESPORTIVO - INSCRIÇÃO MODALIDADE #612793 (140º colocado)</t>
  </si>
  <si>
    <t>7ª ETAPA COPA BRASIL DE TIRO DESPORTIVO - INSCRIÇÃO MODALIDADE #689707 (34º colocado)</t>
  </si>
  <si>
    <t>7ª ETAPA CAMPEONATO NACIONAL DE TIRO DESPORTIVO - INSCRIÇÃO MODALIDADE #689560 (55º colocado)</t>
  </si>
  <si>
    <t>7ª ETAPA COPA BRASIL DE TIRO DESPORTIVO - INSCRIÇÃO MODALIDADE #689709 (58º colocado)</t>
  </si>
  <si>
    <t>7ª ETAPA CAMPEONATO NACIONAL DE TIRO DESPORTIVO - INSCRIÇÃO MODALIDADE #689562 (89º colocado)</t>
  </si>
  <si>
    <t>7ª ETAPA CAMPEONATO NACIONAL DE TIRO DESPORTIVO - INSCRIÇÃO MODALIDADE #689561 (113º colocado)</t>
  </si>
  <si>
    <t>7ª ETAPA COPA BRASIL DE TIRO DESPORTIVO - INSCRIÇÃO MODALIDADE #689708 (64º colocado)</t>
  </si>
  <si>
    <t>7ª ETAPA COPA BRASIL DE TIRO DESPORTIVO - INSCRIÇÃO MODALIDADE #689690 (227º colocado)</t>
  </si>
  <si>
    <t>7ª ETAPA COPA BRASIL DE TIRO DESPORTIVO - INSCRIÇÃO MODALIDADE #689689 (258º colocado)</t>
  </si>
  <si>
    <t>8ª ETAPA COPA BRASIL DE TIRO DESPORTIVO - INSCRIÇÃO MODALIDADE #724053 (38º colocado)</t>
  </si>
  <si>
    <t>8ª ETAPA COPA BRASIL DE TIRO DESPORTIVO - INSCRIÇÃO MODALIDADE #724052 (189º colocado)</t>
  </si>
  <si>
    <t>8ª ETAPA COPA BRASIL DE TIRO DESPORTIVO - INSCRIÇÃO MODALIDADE #724055 (8º colocado)</t>
  </si>
  <si>
    <t>8ª ETAPA CAMPEONATO NACIONAL DE TIRO DESPORTIVO - INSCRIÇÃO MODALIDADE #724094 (113º colocado)</t>
  </si>
  <si>
    <t>8ª ETAPA COPA BRASIL DE TIRO DESPORTIVO - INSCRIÇÃO MODALIDADE #724054 (211º colocado)</t>
  </si>
  <si>
    <t>8ª ETAPA CAMPEONATO NACIONAL DE TIRO DESPORTIVO - INSCRIÇÃO MODALIDADE #724093 (96º colocado)</t>
  </si>
  <si>
    <t>8ª ETAPA CAMPEONATO NACIONAL DE TIRO DESPORTIVO - INSCRIÇÃO MODALIDADE #724092 (60º colocado)</t>
  </si>
  <si>
    <t>8ª ETAPA COPA BRASIL DE TIRO DESPORTIVO - INSCRIÇÃO MODALIDADE #724051 (52º colocado)</t>
  </si>
  <si>
    <t>3ª Etapa Campeonato Nacional de Tiro Desportivo - INSCRIÇÃO MODALIDADE #837766</t>
  </si>
  <si>
    <t>Trap Americano</t>
  </si>
  <si>
    <t>Espingarda</t>
  </si>
  <si>
    <t>Arma Longa Lisa Permitida</t>
  </si>
  <si>
    <t>12GA</t>
  </si>
  <si>
    <t>8ª Etapa do Campeonato Brasileiro de Car/Pst/RF 2023 - INSCRIÇÃO MODALIDADE #11099412 (265º colocado)</t>
  </si>
  <si>
    <t>Provas Nacionais</t>
  </si>
  <si>
    <t>Confederação Brasileira de Tiro Esportivo</t>
  </si>
  <si>
    <t>8ª Etapa do Campeonato Brasileiro de Car/Pst/RF 2023 - INSCRIÇÃO MODALIDADE #11099413 (178º colocado)</t>
  </si>
  <si>
    <t>8ª Etapa do Campeonato Brasileiro de Car/Pst/RF 2023 - INSCRIÇÃO MODALIDADE #11102790 (265º colocado)</t>
  </si>
  <si>
    <t>8ª Etapa do Campeonato Brasileiro de Car/Pst/RF 2023 - INSCRIÇÃO MODALIDADE #11102791 (265º colocado)</t>
  </si>
  <si>
    <t>8ª Etapa do Campeonato Brasileiro de Car/Pst/RF 2023 - INSCRIÇÃO MODALIDADE #11102792 (178º colocado)</t>
  </si>
  <si>
    <t>8ª Etapa do Campeonato Brasileiro de Car/Pst/RF 2023 - INSCRIÇÃO MODALIDADE #11102793 (178º colocado)</t>
  </si>
  <si>
    <t>10ª Etapa do Campeonato Brasileiro de Car/Pst/RF 2023 - INSCRIÇÃO MODALIDADE #11125970 (347º colocado)</t>
  </si>
  <si>
    <t>10ª Etapa do Campeonato Brasileiro de Car/Pst/RF 2023 - INSCRIÇÃO MODALIDADE #11125971 (161º colocado)</t>
  </si>
  <si>
    <t>10ª Etapa do Campeonato Brasileiro de Car/Pst/RF 2023 - INSCRIÇÃO MODALIDADE #11126001 (347º colocado)</t>
  </si>
  <si>
    <t>10ª Etapa do Campeonato Brasileiro de Car/Pst/RF 2023 - INSCRIÇÃO MODALIDADE #11126002 (347º colocado)</t>
  </si>
  <si>
    <t>10ª Etapa do Campeonato Brasileiro de Car/Pst/RF 2023 - INSCRIÇÃO MODALIDADE #11126003 (161º colocado)</t>
  </si>
  <si>
    <t>10ª Etapa do Campeonato Brasileiro de Car/Pst/RF 2023 - INSCRIÇÃO MODALIDADE #11126004 (161º colocado)</t>
  </si>
  <si>
    <t>2ª ETAPA DO CAMPEONATO BRASILEIRO DE CAR/PST/RF 2024 - INSCRIÇÃO MODALIDADE #11155755</t>
  </si>
  <si>
    <t>2ª ETAPA DO CAMPEONATO BRASILEIRO DE CAR/PST/RF 2024 - INSCRIÇÃO MODALIDADE #11155756</t>
  </si>
  <si>
    <t>2ª ETAPA DO CAMPEONATO BRASILEIRO DE CAR/PST/RF 2024 - INSCRIÇÃO MODALIDADE #11155757</t>
  </si>
  <si>
    <t>2ª ETAPA DO CAMPEONATO BRASILEIRO DE CAR/PST/RF 2024 - INSCRIÇÃO MODALIDADE #11155758</t>
  </si>
  <si>
    <t>2ª ETAPA DO CAMPEONATO BRASILEIRO DE CAR/PST/RF 2024 - INSCRIÇÃO MODALIDADE #11155759</t>
  </si>
  <si>
    <t>2ª ETAPA DO CAMPEONATO BRASILEIRO DE CAR/PST/RF 2024 - INSCRIÇÃO MODALIDADE #11155760</t>
  </si>
  <si>
    <t>3ª ETAPA DO CAMPEONATO BRASILEIRO PROVAS NACIONAIS LIGHT - INSCRIÇÃO MODALIDADE #11162291 (90º colocado)</t>
  </si>
  <si>
    <t>3ª ETAPA DO CAMPEONATO BRASILEIRO PROVAS NACIONAIS LIGHT - INSCRIÇÃO MODALIDADE #11162287 (94º colocado)</t>
  </si>
  <si>
    <t>3ª ETAPA DO CAMPEONATO BRASILEIRO PROVAS NACIONAIS LIGHT - INSCRIÇÃO MODALIDADE #11162288 (94º colocado)</t>
  </si>
  <si>
    <t>3ª ETAPA DO CAMPEONATO BRASILEIRO PROVAS NACIONAIS LIGHT - INSCRIÇÃO MODALIDADE #11162289 (94º colocado)</t>
  </si>
  <si>
    <t>3ª ETAPA DO CAMPEONATO BRASILEIRO PROVAS NACIONAIS LIGHT - INSCRIÇÃO MODALIDADE #11162290 (94º colocado)</t>
  </si>
  <si>
    <t>4ª ETAPA DO CAMPEONATO BRASILEIRO PROVAS NACIONAIS LIGHT - INSCRIÇÃO MODALIDADE #11175347 (54º colocado)</t>
  </si>
  <si>
    <t>4ª ETAPA DO CAMPEONATO BRASILEIRO PROVAS NACIONAIS LIGHT - INSCRIÇÃO MODALIDADE #11175348 (54º colocado)</t>
  </si>
  <si>
    <t>4ª ETAPA DO CAMPEONATO BRASILEIRO PROVAS NACIONAIS LIGHT - INSCRIÇÃO MODALIDADE #11175349 (54º colocado)</t>
  </si>
  <si>
    <t>4ª ETAPA DO CAMPEONATO BRASILEIRO PROVAS NACIONAIS LIGHT - INSCRIÇÃO MODALIDADE #11175350 (54º colocado)</t>
  </si>
  <si>
    <t>4ª ETAPA DO CAMPEONATO BRASILEIRO PROVAS NACIONAIS LIGHT - INSCRIÇÃO MODALIDADE #11175351 (78º colocado)</t>
  </si>
  <si>
    <t>4ª ETAPA DO CAMPEONATO BRASILEIRO PROVAS NACIONAIS LIGHT - INSCRIÇÃO MODALIDADE #11175352 (78º colocado)</t>
  </si>
  <si>
    <t>4ª ETAPA DO CAMPEONATO BRASILEIRO DE CAR/PST/RF 2024 - INSCRIÇÃO MODALIDADE #11175470 (158º colocado)</t>
  </si>
  <si>
    <t>4ª ETAPA DO CAMPEONATO BRASILEIRO DE CAR/PST/RF 2024 - INSCRIÇÃO MODALIDADE #11175471 (158º colocado)</t>
  </si>
  <si>
    <t>4ª ETAPA DO CAMPEONATO BRASILEIRO DE CAR/PST/RF 2024 - INSCRIÇÃO MODALIDADE #11175467 (183º colocado)</t>
  </si>
  <si>
    <t>4ª ETAPA DO CAMPEONATO BRASILEIRO DE CAR/PST/RF 2024 - INSCRIÇÃO MODALIDADE #11175468 (183º colocado)</t>
  </si>
  <si>
    <t>4ª ETAPA DO CAMPEONATO BRASILEIRO DE CAR/PST/RF 2024 - INSCRIÇÃO MODALIDADE #11175469 (183º colocado)</t>
  </si>
  <si>
    <t>8ª ETAPA DO CAMPEONATO BRASILEIRO PROVAS NACIONAIS LIGHT - INSCRIÇÃO MODALIDADE #11240022 (286º colocado)</t>
  </si>
  <si>
    <t>8ª ETAPA DO CAMPEONATO BRASILEIRO PROVAS NACIONAIS LIGHT - INSCRIÇÃO MODALIDADE #11240023 (286º colocado)</t>
  </si>
  <si>
    <t>8ª ETAPA DO CAMPEONATO BRASILEIRO PROVAS NACIONAIS LIGHT - INSCRIÇÃO MODALIDADE #11240024 (286º colocado)</t>
  </si>
  <si>
    <t>8ª ETAPA DO CAMPEONATO BRASILEIRO PROVAS NACIONAIS LIGHT - INSCRIÇÃO MODALIDADE #11240028 (286º colocado)</t>
  </si>
  <si>
    <t>8ª ETAPA DO CAMPEONATO BRASILEIRO PROVAS NACIONAIS LIGHT - INSCRIÇÃO MODALIDADE #11240025</t>
  </si>
  <si>
    <t>8ª ETAPA DO CAMPEONATO BRASILEIRO PROVAS NACIONAIS LIGHT - INSCRIÇÃO MODALIDADE #11240026</t>
  </si>
  <si>
    <t>8ª ETAPA DO CAMPEONATO BRASILEIRO PROVAS NACIONAIS LIGHT - INSCRIÇÃO MODALIDADE #11240027</t>
  </si>
  <si>
    <t>8ª ETAPA DO CAMPEONATO BRASILEIRO DE CAR/PST/RF 2024 - INSCRIÇÃO MODALIDADE #11236263</t>
  </si>
  <si>
    <t>8ª ETAPA DO CAMPEONATO BRASILEIRO DE CAR/PST/RF 2024 - INSCRIÇÃO MODALIDADE #11236264</t>
  </si>
  <si>
    <t>8ª ETAPA DO CAMPEONATO BRASILEIRO DE CAR/PST/RF 2024 - INSCRIÇÃO MODALIDADE #11236265</t>
  </si>
  <si>
    <t>2ª PROVA NACIONAL LIGHT - INSCRIÇÃO MODALIDADE #11275496 (19º colocado)</t>
  </si>
  <si>
    <t>2ª PROVA NACIONAL LIGHT - INSCRIÇÃO MODALIDADE #11275497</t>
  </si>
  <si>
    <t>2ª PROVA NACIONAL LIGHT - INSCRIÇÃO MODALIDADE #11275492 (97º colocado)</t>
  </si>
  <si>
    <t>2ª PROVA NACIONAL LIGHT - INSCRIÇÃO MODALIDADE #11275493</t>
  </si>
  <si>
    <t>2ª PROVA NACIONAL LIGHT - INSCRIÇÃO MODALIDADE #11275494</t>
  </si>
  <si>
    <t>2ª PROVA NACIONAL LIGHT - INSCRIÇÃO MODALIDADE #11275495</t>
  </si>
  <si>
    <t>4ª PROVA NACIONAL LIGHT - INSCRIÇÃO MODALIDADE #11296455</t>
  </si>
  <si>
    <t>4ª PROVA NACIONAL LIGHT - INSCRIÇÃO MODALIDADE #11296456</t>
  </si>
  <si>
    <t>3ª ETAPA DO CAMPEONATO BRASILEIRO DE CAR/PST/RF 2025 - INSCRIÇÃO MODALIDADE #11294412 (116º colocado)</t>
  </si>
  <si>
    <t>3ª ETAPA DO CAMPEONATO BRASILEIRO DE CAR/PST/RF 2025 - INSCRIÇÃO MODALIDADE #11294413</t>
  </si>
  <si>
    <t>3ª ETAPA DO CAMPEONATO BRASILEIRO DE CAR/PST/RF 2025 - INSCRIÇÃO MODALIDADE #11294414</t>
  </si>
  <si>
    <t>5ª PROVA NACIONAL LIGHT - INSCRIÇÃO MODALIDADE #11307456 (115º colocado)</t>
  </si>
  <si>
    <t>5ª PROVA NACIONAL LIGHT - INSCRIÇÃO MODALIDADE #11307457</t>
  </si>
  <si>
    <t>5ª PROVA NACIONAL LIGHT - INSCRIÇÃO MODALIDADE #11307458 (84º colocado)</t>
  </si>
  <si>
    <t>5ª PROVA NACIONAL LIGHT - INSCRIÇÃO MODALIDADE #11307459</t>
  </si>
  <si>
    <t>8ª PROVA NACIONAL LIGHT - INSCRIÇÃO MODALIDADE #11337028</t>
  </si>
  <si>
    <t>8ª PROVA NACIONAL LIGHT - INSCRIÇÃO MODALIDADE #11337027</t>
  </si>
  <si>
    <t>8ª PROVA NACIONAL LIGHT - INSCRIÇÃO MODALIDADE #11337029 (38º colocado)</t>
  </si>
  <si>
    <t>8ª PROVA NACIONAL LIGHT - INSCRIÇÃO MODALIDADE #11337030</t>
  </si>
  <si>
    <t>9ª PROVA NACIONAL LIGHT - INSCRIÇÃO MODALIDADE #11352782</t>
  </si>
  <si>
    <t>9ª PROVA NACIONAL LIGHT - INSCRIÇÃO MODALIDADE #11352779 (166º colocado)</t>
  </si>
  <si>
    <t>9ª PROVA NACIONAL LIGHT - INSCRIÇÃO MODALIDADE #11352780</t>
  </si>
  <si>
    <t>9ª PROVA NACIONAL LIGHT - INSCRIÇÃO MODALIDADE #11352781 (75º colocado)</t>
  </si>
  <si>
    <t>8ª ETAPA DO CAMPEONATO BRASILEIRO DE CAR/PST/RF 2025 - INSCRIÇÃO MODALIDADE #11349172 (102º colocado)</t>
  </si>
  <si>
    <t>8ª ETAPA DO CAMPEONATO BRASILEIRO DE CAR/PST/RF 2025 - INSCRIÇÃO MODALIDADE #11349173</t>
  </si>
  <si>
    <t>2ª PROVA NACIONAL LIGHT - INSCRIÇÃO MODALIDADE #11381215 (112º colocado)</t>
  </si>
  <si>
    <t>2ª PROVA NACIONAL LIGHT - INSCRIÇÃO MODALIDADE #11381186 (212º colocado)</t>
  </si>
  <si>
    <t>2ª PROVA NACIONAL LIGHT - INSCRIÇÃO MODALIDADE #11381187</t>
  </si>
  <si>
    <t>2ª PROVA NACIONAL LIGHT - INSCRIÇÃO MODALIDADE #11381222 (55º colocado)</t>
  </si>
  <si>
    <t>3ª PROVA NACIONAL LIGHT - INSCRIÇÃO MODALIDADE #11382637 (141º colocado)</t>
  </si>
  <si>
    <t>3ª PROVA NACIONAL LIGHT - INSCRIÇÃO MODALIDADE #11382638</t>
  </si>
  <si>
    <t>3ª PROVA NACIONAL LIGHT - INSCRIÇÃO MODALIDADE #11382639 (42º colocado)</t>
  </si>
  <si>
    <t>3ª PROVA NACIONAL LIGHT - INSCRIÇÃO MODALIDADE #11382640 (101º colocado)</t>
  </si>
  <si>
    <t>5ª PROVA NACIONAL LIGHT - INSCRIÇÃO MODALIDADE #11405475</t>
  </si>
  <si>
    <t>5ª PROVA NACIONAL LIGHT - INSCRIÇÃO MODALIDADE #11405476</t>
  </si>
  <si>
    <t>5ª PROVA NACIONAL LIGHT - INSCRIÇÃO MODALIDADE #11405477</t>
  </si>
  <si>
    <t>5ª PROVA NACIONAL LIGHT - INSCRIÇÃO MODALIDADE #11405478</t>
  </si>
  <si>
    <t>5ª PROVA NACIONAL LIGHT - INSCRIÇÃO MODALIDADE #11405479</t>
  </si>
  <si>
    <t>TREINAMENTOTreino (150 TIROS)</t>
  </si>
  <si>
    <t>CLUBE DE TIRO BASE ARMALITE LTDA</t>
  </si>
  <si>
    <t>.380  ACP</t>
  </si>
  <si>
    <t>5.56X45</t>
  </si>
  <si>
    <t>.357 Magnun</t>
  </si>
  <si>
    <t>9x19mm</t>
  </si>
  <si>
    <t>12 GA</t>
  </si>
  <si>
    <t>TREINAMENTOTreino (140 TIROS)</t>
  </si>
  <si>
    <t>4° ETAPA DA 1° COPA TRAP BASE ARMALITE - INSCRIÇÃO MODALIDADE #1346</t>
  </si>
  <si>
    <t>12ga</t>
  </si>
  <si>
    <t>MUNICIPAL</t>
  </si>
  <si>
    <t>2ª Etapa - Desafio Mão de Aço - INSCRIÇÃO MODALIDADE #767</t>
  </si>
  <si>
    <t>WAR GAME BRASIL - ABATE</t>
  </si>
  <si>
    <t>380 Automatic</t>
  </si>
  <si>
    <t>2ª Etapa - Desafio Mão de Aço - INSCRIÇÃO MODALIDADE #768</t>
  </si>
  <si>
    <t>9x19mm Parabellum</t>
  </si>
  <si>
    <t>3ª Etapa - Desafio Mão de Aço - INSCRIÇÃO MODALIDADE #1575</t>
  </si>
  <si>
    <t>3ª Etapa - Desafio Mão de Aço - INSCRIÇÃO MODALIDADE #1576</t>
  </si>
  <si>
    <t>7ª Etapa - Desafio Mão de Aço - INSCRIÇÃO MODALIDADE #3082 (17º colocado)</t>
  </si>
  <si>
    <t>7ª Etapa - Desafio Mão de Aço - INSCRIÇÃO MODALIDADE #3083</t>
  </si>
  <si>
    <t>7ª Etapa - Desafio Mão de Aço - INSCRIÇÃO MODALIDADE #3084 (1º colocado)</t>
  </si>
  <si>
    <t>5.56MM</t>
  </si>
  <si>
    <t>7ª Etapa - Desafio Mão de Aço - INSCRIÇÃO MODALIDADE #3085</t>
  </si>
  <si>
    <t>357 Magnum</t>
  </si>
  <si>
    <t>2ª ETAPA MÃO DE AÇO - INSCRIÇÃO MODALIDADE #4393 (1º colocado)</t>
  </si>
  <si>
    <t>5.56X45MM</t>
  </si>
  <si>
    <t>2ª ETAPA MÃO DE AÇO - INSCRIÇÃO MODALIDADE #4391 (15º colocado)</t>
  </si>
  <si>
    <t>2ª ETAPA MÃO DE AÇO - INSCRIÇÃO MODALIDADE #4390 (2º colocado)</t>
  </si>
  <si>
    <t>2ª ETAPA MÃO DE AÇO - INSCRIÇÃO MODALIDADE #4392</t>
  </si>
  <si>
    <t>3ª ETAPA MÃO DE AÇO - INSCRIÇÃO MODALIDADE #4443</t>
  </si>
  <si>
    <t>3ª ETAPA MÃO DE AÇO - INSCRIÇÃO MODALIDADE #4444</t>
  </si>
  <si>
    <t>Apelido</t>
  </si>
  <si>
    <t>RawCalibre</t>
  </si>
  <si>
    <t>RawArma</t>
  </si>
  <si>
    <t>ArmaStd</t>
  </si>
  <si>
    <t>GUN/CAL Key</t>
  </si>
  <si>
    <t>Type</t>
  </si>
  <si>
    <t>ALL CAL</t>
  </si>
  <si>
    <t>ALL GUN</t>
  </si>
  <si>
    <t>ALL POS COMB</t>
  </si>
  <si>
    <t>.380 ACP</t>
  </si>
  <si>
    <t>Carabina / Fuzil</t>
  </si>
  <si>
    <t>.357 Mag</t>
  </si>
  <si>
    <t>.38 Super</t>
  </si>
  <si>
    <t>Cal 12</t>
  </si>
  <si>
    <t>.38 S&amp;W</t>
  </si>
  <si>
    <t>5.56x45 mm</t>
  </si>
  <si>
    <t>PROGRESSO DA META</t>
  </si>
  <si>
    <t>COMPETICOES POR ENTIDADE x GRUPO</t>
  </si>
  <si>
    <t>ULTIMA ATIVIDADE POR GRUPO</t>
  </si>
  <si>
    <t>Treinos lancados manualmente</t>
  </si>
  <si>
    <t>Colt MK IV 38 Super</t>
  </si>
  <si>
    <t>Colt MK IV .45 ACP</t>
  </si>
  <si>
    <t>Raging Hunter 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</si>
</sst>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d\-mmm\-yy"/>
    <numFmt numFmtId="165" formatCode="d/m/yyyy"/>
    <numFmt numFmtId="166" formatCode="[$-416]d\-mmm\-yy"/>
    <numFmt numFmtId="167" formatCode="[$-416]dd\-mmm\-yy;@"/>
  </numFmts>
  <fonts count="17" x14ac:knownFonts="1">
    <font>
      <sz val="11"/>
      <color theme="1"/>
      <name val="Calibri"/>
      <charset val="1"/>
    </font>
    <font>
      <b/>
      <sz val="11"/>
      <color theme="0"/>
      <name val="Calibri"/>
      <family val="2"/>
    </font>
    <font>
      <b/>
      <sz val="11"/>
      <color theme="0"/>
      <name val="Calibri"/>
      <family val="2"/>
      <charset val="1"/>
    </font>
    <font>
      <b/>
      <sz val="10"/>
      <color rgb="FF1F4E78"/>
      <name val="Calibri"/>
      <family val="2"/>
    </font>
    <font>
      <b/>
      <sz val="10"/>
      <color rgb="FF0000FF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546A"/>
        <bgColor rgb="FF1F4E78"/>
      </patternFill>
    </fill>
    <fill>
      <patternFill patternType="solid">
        <fgColor rgb="FF385623"/>
        <bgColor rgb="FF44546A"/>
      </patternFill>
    </fill>
    <fill>
      <patternFill patternType="solid">
        <fgColor rgb="FFD9E1F2"/>
        <bgColor rgb="FFDEEAF6"/>
      </patternFill>
    </fill>
    <fill>
      <patternFill patternType="solid">
        <fgColor rgb="FFFFF2CC"/>
        <bgColor rgb="FFFFFFFF"/>
      </patternFill>
    </fill>
    <fill>
      <patternFill patternType="solid">
        <fgColor rgb="FF1F4E78"/>
        <bgColor rgb="FF44546A"/>
      </patternFill>
    </fill>
    <fill>
      <patternFill patternType="solid">
        <fgColor theme="4"/>
        <bgColor rgb="FF808080"/>
      </patternFill>
    </fill>
    <fill>
      <patternFill patternType="solid">
        <fgColor theme="5"/>
        <bgColor rgb="FFFF8080"/>
      </patternFill>
    </fill>
    <fill>
      <patternFill patternType="solid">
        <fgColor rgb="FFDEEAF6"/>
        <bgColor rgb="FFD9E1F2"/>
      </patternFill>
    </fill>
    <fill>
      <patternFill patternType="solid">
        <fgColor theme="7"/>
        <bgColor rgb="FFFF9900"/>
      </patternFill>
    </fill>
  </fills>
  <borders count="6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5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2" fillId="2" borderId="0" xfId="0" applyNumberFormat="1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9" fillId="7" borderId="3" xfId="0" applyFont="1" applyFill="1" applyBorder="1"/>
    <xf numFmtId="0" fontId="10" fillId="7" borderId="4" xfId="0" applyFont="1" applyFill="1" applyBorder="1" applyAlignment="1">
      <alignment horizontal="center"/>
    </xf>
    <xf numFmtId="164" fontId="10" fillId="7" borderId="4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0" fillId="7" borderId="3" xfId="0" applyFont="1" applyFill="1" applyBorder="1"/>
    <xf numFmtId="166" fontId="10" fillId="7" borderId="4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6" fontId="0" fillId="0" borderId="0" xfId="0" applyNumberFormat="1"/>
    <xf numFmtId="1" fontId="0" fillId="0" borderId="0" xfId="0" applyNumberFormat="1"/>
    <xf numFmtId="0" fontId="0" fillId="9" borderId="0" xfId="0" applyFill="1"/>
    <xf numFmtId="166" fontId="0" fillId="9" borderId="0" xfId="0" applyNumberFormat="1" applyFill="1"/>
    <xf numFmtId="0" fontId="0" fillId="9" borderId="0" xfId="0" applyFill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10" borderId="0" xfId="0" applyFill="1"/>
    <xf numFmtId="0" fontId="1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0" fontId="16" fillId="10" borderId="0" xfId="0" applyFont="1" applyFill="1"/>
    <xf numFmtId="0" fontId="8" fillId="0" borderId="2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16"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theme="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7B7B7"/>
      <rgbColor rgb="FF808080"/>
      <rgbColor rgb="FF5B9BD5"/>
      <rgbColor rgb="FF993366"/>
      <rgbColor rgb="FFFFF2CC"/>
      <rgbColor rgb="FFDEEAF6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ED7D31"/>
      <rgbColor rgb="FF44546A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8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/>
  </sheetPr>
  <dimension ref="A1:K1000"/>
  <sheetViews>
    <sheetView showGridLines="0" zoomScaleNormal="100" workbookViewId="0">
      <selection activeCell="G42" sqref="G42"/>
    </sheetView>
  </sheetViews>
  <sheetFormatPr defaultColWidth="14.453125" defaultRowHeight="14.5" x14ac:dyDescent="0.35"/>
  <cols>
    <col min="1" max="1" width="16" customWidth="1"/>
    <col min="2" max="26" width="11" customWidth="1"/>
  </cols>
  <sheetData>
    <row r="1" spans="1:11" s="56" customFormat="1" ht="18" customHeight="1" x14ac:dyDescent="0.35">
      <c r="A1" s="17" t="s">
        <v>60</v>
      </c>
      <c r="B1" s="54">
        <v>46023</v>
      </c>
      <c r="C1" s="17" t="s">
        <v>61</v>
      </c>
      <c r="D1" s="54">
        <v>46209</v>
      </c>
      <c r="E1" s="55"/>
      <c r="F1" s="55"/>
      <c r="G1" s="55"/>
      <c r="H1" s="55"/>
      <c r="I1" s="55"/>
      <c r="J1" s="55"/>
      <c r="K1" s="55"/>
    </row>
    <row r="2" spans="1:11" s="56" customFormat="1" ht="14.25" customHeight="1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s="56" customFormat="1" ht="19.5" customHeight="1" x14ac:dyDescent="0.35">
      <c r="A3" s="62" t="s">
        <v>586</v>
      </c>
      <c r="B3" s="62"/>
      <c r="C3" s="62"/>
      <c r="D3" s="62"/>
      <c r="E3" s="62"/>
      <c r="F3" s="62"/>
      <c r="G3" s="62"/>
      <c r="H3" s="62"/>
      <c r="I3" s="62"/>
      <c r="J3" s="62"/>
      <c r="K3" s="55"/>
    </row>
    <row r="4" spans="1:11" s="56" customFormat="1" ht="27.75" customHeight="1" x14ac:dyDescent="0.35">
      <c r="A4" s="17" t="s">
        <v>13</v>
      </c>
      <c r="B4" s="17" t="s">
        <v>62</v>
      </c>
      <c r="C4" s="17" t="s">
        <v>63</v>
      </c>
      <c r="D4" s="17" t="s">
        <v>64</v>
      </c>
      <c r="E4" s="17" t="s">
        <v>65</v>
      </c>
      <c r="F4" s="17" t="s">
        <v>66</v>
      </c>
      <c r="G4" s="17" t="s">
        <v>67</v>
      </c>
      <c r="H4" s="17" t="s">
        <v>68</v>
      </c>
      <c r="I4" s="17" t="s">
        <v>69</v>
      </c>
      <c r="J4" s="17" t="s">
        <v>70</v>
      </c>
      <c r="K4" s="55"/>
    </row>
    <row r="5" spans="1:11" s="56" customFormat="1" ht="14.25" customHeight="1" x14ac:dyDescent="0.35">
      <c r="A5" s="19" t="s">
        <v>71</v>
      </c>
      <c r="B5" s="20">
        <f>SUMIFS(BASE!$I:$I,BASE!$E:$E,"&gt;="&amp;$B$1,BASE!$E:$E,"&lt;="&amp;$D$1,BASE!$D:$D,"T",BASE!$F:$F,$A5)</f>
        <v>12</v>
      </c>
      <c r="C5" s="21">
        <f>B5/$B$32</f>
        <v>0.6</v>
      </c>
      <c r="D5" s="20">
        <f>MAX(0,$B$32-B5)</f>
        <v>8</v>
      </c>
      <c r="E5" s="20">
        <f>SUMIFS(BASE!$I:$I,BASE!$E:$E,"&gt;="&amp;$B$1,BASE!$E:$E,"&lt;="&amp;$D$1,BASE!$D:$D,"&lt;&gt;T",BASE!$F:$F,$A5)</f>
        <v>13</v>
      </c>
      <c r="F5" s="21">
        <f>E5/$B$33</f>
        <v>2.1666666666666665</v>
      </c>
      <c r="G5" s="20">
        <f>MAX(0,$B$33-E5)</f>
        <v>0</v>
      </c>
      <c r="H5" s="20">
        <f>SUMIFS(BASE!$I:$I,BASE!$E:$E,"&gt;="&amp;$B$1,BASE!$E:$E,"&lt;="&amp;$D$1,BASE!$D:$D,"N",BASE!$F:$F,$A5)</f>
        <v>8</v>
      </c>
      <c r="I5" s="21">
        <f>H5/$B$34</f>
        <v>4</v>
      </c>
      <c r="J5" s="20">
        <f>MAX(0,$B$34-H5)</f>
        <v>0</v>
      </c>
      <c r="K5" s="55"/>
    </row>
    <row r="6" spans="1:11" s="56" customFormat="1" ht="14.25" customHeight="1" x14ac:dyDescent="0.35">
      <c r="A6" s="19" t="s">
        <v>72</v>
      </c>
      <c r="B6" s="20">
        <f>SUMIFS(BASE!$I:$I,BASE!$E:$E,"&gt;="&amp;$B$1,BASE!$E:$E,"&lt;="&amp;$D$1,BASE!$D:$D,"T",BASE!$F:$F,$A6)</f>
        <v>12</v>
      </c>
      <c r="C6" s="21">
        <f>B6/$B$32</f>
        <v>0.6</v>
      </c>
      <c r="D6" s="20">
        <f>MAX(0,$B$32-B6)</f>
        <v>8</v>
      </c>
      <c r="E6" s="20">
        <f>SUMIFS(BASE!$I:$I,BASE!$E:$E,"&gt;="&amp;$B$1,BASE!$E:$E,"&lt;="&amp;$D$1,BASE!$D:$D,"&lt;&gt;T",BASE!$F:$F,$A6)</f>
        <v>13</v>
      </c>
      <c r="F6" s="21">
        <f>E6/$B$33</f>
        <v>2.1666666666666665</v>
      </c>
      <c r="G6" s="20">
        <f>MAX(0,$B$33-E6)</f>
        <v>0</v>
      </c>
      <c r="H6" s="20">
        <f>SUMIFS(BASE!$I:$I,BASE!$E:$E,"&gt;="&amp;$B$1,BASE!$E:$E,"&lt;="&amp;$D$1,BASE!$D:$D,"N",BASE!$F:$F,$A6)</f>
        <v>8</v>
      </c>
      <c r="I6" s="21">
        <f>H6/$B$34</f>
        <v>4</v>
      </c>
      <c r="J6" s="20">
        <f>MAX(0,$B$34-H6)</f>
        <v>0</v>
      </c>
      <c r="K6" s="55"/>
    </row>
    <row r="7" spans="1:11" s="56" customFormat="1" ht="14.25" customHeight="1" x14ac:dyDescent="0.35">
      <c r="A7" s="19" t="s">
        <v>73</v>
      </c>
      <c r="B7" s="20">
        <f>SUMIFS(BASE!$I:$I,BASE!$E:$E,"&gt;="&amp;$B$1,BASE!$E:$E,"&lt;="&amp;$D$1,BASE!$D:$D,"T",BASE!$F:$F,$A7)</f>
        <v>12</v>
      </c>
      <c r="C7" s="21">
        <f>B7/$B$32</f>
        <v>0.6</v>
      </c>
      <c r="D7" s="20">
        <f>MAX(0,$B$32-B7)</f>
        <v>8</v>
      </c>
      <c r="E7" s="20">
        <f>SUMIFS(BASE!$I:$I,BASE!$E:$E,"&gt;="&amp;$B$1,BASE!$E:$E,"&lt;="&amp;$D$1,BASE!$D:$D,"&lt;&gt;T",BASE!$F:$F,$A7)</f>
        <v>14</v>
      </c>
      <c r="F7" s="21">
        <f>E7/$B$33</f>
        <v>2.3333333333333335</v>
      </c>
      <c r="G7" s="20">
        <f>MAX(0,$B$33-E7)</f>
        <v>0</v>
      </c>
      <c r="H7" s="20">
        <f>SUMIFS(BASE!$I:$I,BASE!$E:$E,"&gt;="&amp;$B$1,BASE!$E:$E,"&lt;="&amp;$D$1,BASE!$D:$D,"N",BASE!$F:$F,$A7)</f>
        <v>9</v>
      </c>
      <c r="I7" s="21">
        <f>H7/$B$34</f>
        <v>4.5</v>
      </c>
      <c r="J7" s="20">
        <f>MAX(0,$B$34-H7)</f>
        <v>0</v>
      </c>
      <c r="K7" s="55"/>
    </row>
    <row r="8" spans="1:11" s="56" customFormat="1" ht="14.25" customHeight="1" x14ac:dyDescent="0.35">
      <c r="A8" s="19" t="s">
        <v>74</v>
      </c>
      <c r="B8" s="20">
        <f>SUMIFS(BASE!$I:$I,BASE!$E:$E,"&gt;="&amp;$B$1,BASE!$E:$E,"&lt;="&amp;$D$1,BASE!$D:$D,"T",BASE!$F:$F,$A8)</f>
        <v>12</v>
      </c>
      <c r="C8" s="21">
        <f>B8/$B$32</f>
        <v>0.6</v>
      </c>
      <c r="D8" s="20">
        <f>MAX(0,$B$32-B8)</f>
        <v>8</v>
      </c>
      <c r="E8" s="20">
        <f>SUMIFS(BASE!$I:$I,BASE!$E:$E,"&gt;="&amp;$B$1,BASE!$E:$E,"&lt;="&amp;$D$1,BASE!$D:$D,"&lt;&gt;T",BASE!$F:$F,$A8)</f>
        <v>13</v>
      </c>
      <c r="F8" s="21">
        <f>E8/$B$33</f>
        <v>2.1666666666666665</v>
      </c>
      <c r="G8" s="20">
        <f>MAX(0,$B$33-E8)</f>
        <v>0</v>
      </c>
      <c r="H8" s="20">
        <f>SUMIFS(BASE!$I:$I,BASE!$E:$E,"&gt;="&amp;$B$1,BASE!$E:$E,"&lt;="&amp;$D$1,BASE!$D:$D,"N",BASE!$F:$F,$A8)</f>
        <v>8</v>
      </c>
      <c r="I8" s="21">
        <f>H8/$B$34</f>
        <v>4</v>
      </c>
      <c r="J8" s="20">
        <f>MAX(0,$B$34-H8)</f>
        <v>0</v>
      </c>
      <c r="K8" s="55"/>
    </row>
    <row r="9" spans="1:11" s="56" customFormat="1" ht="14.25" customHeight="1" x14ac:dyDescent="0.35">
      <c r="A9" s="19" t="s">
        <v>75</v>
      </c>
      <c r="B9" s="20">
        <f>SUMIFS(BASE!$I:$I,BASE!$E:$E,"&gt;="&amp;$B$1,BASE!$E:$E,"&lt;="&amp;$D$1,BASE!$D:$D,"T",BASE!$F:$F,$A9)</f>
        <v>8</v>
      </c>
      <c r="C9" s="21">
        <f>B9/$B$32</f>
        <v>0.4</v>
      </c>
      <c r="D9" s="20">
        <f>MAX(0,$B$32-B9)</f>
        <v>12</v>
      </c>
      <c r="E9" s="20">
        <f>SUMIFS(BASE!$I:$I,BASE!$E:$E,"&gt;="&amp;$B$1,BASE!$E:$E,"&lt;="&amp;$D$1,BASE!$D:$D,"&lt;&gt;T",BASE!$F:$F,$A9)</f>
        <v>6</v>
      </c>
      <c r="F9" s="21">
        <f>E9/$B$33</f>
        <v>1</v>
      </c>
      <c r="G9" s="20">
        <f>MAX(0,$B$33-E9)</f>
        <v>0</v>
      </c>
      <c r="H9" s="20">
        <f>SUMIFS(BASE!$I:$I,BASE!$E:$E,"&gt;="&amp;$B$1,BASE!$E:$E,"&lt;="&amp;$D$1,BASE!$D:$D,"N",BASE!$F:$F,$A9)</f>
        <v>3</v>
      </c>
      <c r="I9" s="21">
        <f>H9/$B$34</f>
        <v>1.5</v>
      </c>
      <c r="J9" s="20">
        <f>MAX(0,$B$34-H9)</f>
        <v>0</v>
      </c>
      <c r="K9" s="55"/>
    </row>
    <row r="10" spans="1:11" s="56" customFormat="1" ht="14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s="56" customFormat="1" ht="19.5" customHeight="1" x14ac:dyDescent="0.35">
      <c r="A11" s="62" t="s">
        <v>587</v>
      </c>
      <c r="B11" s="62"/>
      <c r="C11" s="62"/>
      <c r="D11" s="62"/>
      <c r="E11" s="62"/>
      <c r="F11" s="62"/>
      <c r="G11" s="62"/>
      <c r="H11" s="62"/>
      <c r="I11" s="62"/>
      <c r="J11" s="62"/>
      <c r="K11" s="55"/>
    </row>
    <row r="12" spans="1:11" s="56" customFormat="1" ht="21.75" customHeight="1" x14ac:dyDescent="0.35">
      <c r="A12" s="17" t="s">
        <v>13</v>
      </c>
      <c r="B12" s="17" t="s">
        <v>76</v>
      </c>
      <c r="C12" s="17" t="s">
        <v>77</v>
      </c>
      <c r="D12" s="17" t="s">
        <v>78</v>
      </c>
      <c r="E12" s="17" t="s">
        <v>79</v>
      </c>
      <c r="F12" s="17" t="s">
        <v>80</v>
      </c>
      <c r="G12" s="17" t="s">
        <v>81</v>
      </c>
      <c r="H12" s="17" t="s">
        <v>82</v>
      </c>
      <c r="I12" s="17" t="s">
        <v>83</v>
      </c>
      <c r="J12" s="17" t="s">
        <v>84</v>
      </c>
      <c r="K12" s="55"/>
    </row>
    <row r="13" spans="1:11" s="56" customFormat="1" ht="14.25" customHeight="1" x14ac:dyDescent="0.35">
      <c r="A13" s="19" t="s">
        <v>71</v>
      </c>
      <c r="B13" s="20">
        <f>SUMIFS(BASE!$I:$I,BASE!$F:$F,$A13,BASE!$C:$C,B$12,BASE!$D:$D,"&lt;&gt;T",BASE!$E:$E,"&gt;="&amp;$B$1,BASE!$E:$E,"&lt;="&amp;$D$1)</f>
        <v>5</v>
      </c>
      <c r="C13" s="20">
        <f>SUMIFS(BASE!$I:$I,BASE!$F:$F,$A13,BASE!$C:$C,C$12,BASE!$D:$D,"&lt;&gt;T",BASE!$E:$E,"&gt;="&amp;$B$1,BASE!$E:$E,"&lt;="&amp;$D$1)</f>
        <v>0</v>
      </c>
      <c r="D13" s="20">
        <f>SUMIFS(BASE!$I:$I,BASE!$F:$F,$A13,BASE!$C:$C,D$12,BASE!$D:$D,"&lt;&gt;T",BASE!$E:$E,"&gt;="&amp;$B$1,BASE!$E:$E,"&lt;="&amp;$D$1)</f>
        <v>3</v>
      </c>
      <c r="E13" s="20">
        <f>SUMIFS(BASE!$I:$I,BASE!$F:$F,$A13,BASE!$C:$C,E$12,BASE!$D:$D,"&lt;&gt;T",BASE!$E:$E,"&gt;="&amp;$B$1,BASE!$E:$E,"&lt;="&amp;$D$1)</f>
        <v>0</v>
      </c>
      <c r="F13" s="20">
        <f>SUMIFS(BASE!$I:$I,BASE!$F:$F,$A13,BASE!$C:$C,F$12,BASE!$D:$D,"&lt;&gt;T",BASE!$E:$E,"&gt;="&amp;$B$1,BASE!$E:$E,"&lt;="&amp;$D$1)</f>
        <v>0</v>
      </c>
      <c r="G13" s="20">
        <f>SUMIFS(BASE!$I:$I,BASE!$F:$F,$A13,BASE!$C:$C,G$12,BASE!$D:$D,"&lt;&gt;T",BASE!$E:$E,"&gt;="&amp;$B$1,BASE!$E:$E,"&lt;="&amp;$D$1)</f>
        <v>0</v>
      </c>
      <c r="H13" s="20">
        <f>SUMIFS(BASE!$I:$I,BASE!$F:$F,$A13,BASE!$C:$C,H$12,BASE!$D:$D,"&lt;&gt;T",BASE!$E:$E,"&gt;="&amp;$B$1,BASE!$E:$E,"&lt;="&amp;$D$1)</f>
        <v>4</v>
      </c>
      <c r="I13" s="20">
        <f>SUMIFS(BASE!$I:$I,BASE!$F:$F,$A13,BASE!$C:$C,I$12,BASE!$D:$D,"&lt;&gt;T",BASE!$E:$E,"&gt;="&amp;$B$1,BASE!$E:$E,"&lt;="&amp;$D$1)</f>
        <v>1</v>
      </c>
      <c r="J13" s="22">
        <f>SUMIFS(BASE!$I:$I,BASE!$F:$F,$A13,BASE!$D:$D,"&lt;&gt;T",BASE!$E:$E,"&gt;="&amp;$B$1,BASE!$E:$E,"&lt;="&amp;$D$1)</f>
        <v>13</v>
      </c>
      <c r="K13" s="55"/>
    </row>
    <row r="14" spans="1:11" s="56" customFormat="1" ht="14.25" customHeight="1" x14ac:dyDescent="0.35">
      <c r="A14" s="19" t="s">
        <v>72</v>
      </c>
      <c r="B14" s="20">
        <f>SUMIFS(BASE!$I:$I,BASE!$F:$F,$A14,BASE!$C:$C,B$12,BASE!$D:$D,"&lt;&gt;T",BASE!$E:$E,"&gt;="&amp;$B$1,BASE!$E:$E,"&lt;="&amp;$D$1)</f>
        <v>5</v>
      </c>
      <c r="C14" s="20">
        <f>SUMIFS(BASE!$I:$I,BASE!$F:$F,$A14,BASE!$C:$C,C$12,BASE!$D:$D,"&lt;&gt;T",BASE!$E:$E,"&gt;="&amp;$B$1,BASE!$E:$E,"&lt;="&amp;$D$1)</f>
        <v>0</v>
      </c>
      <c r="D14" s="20">
        <f>SUMIFS(BASE!$I:$I,BASE!$F:$F,$A14,BASE!$C:$C,D$12,BASE!$D:$D,"&lt;&gt;T",BASE!$E:$E,"&gt;="&amp;$B$1,BASE!$E:$E,"&lt;="&amp;$D$1)</f>
        <v>3</v>
      </c>
      <c r="E14" s="20">
        <f>SUMIFS(BASE!$I:$I,BASE!$F:$F,$A14,BASE!$C:$C,E$12,BASE!$D:$D,"&lt;&gt;T",BASE!$E:$E,"&gt;="&amp;$B$1,BASE!$E:$E,"&lt;="&amp;$D$1)</f>
        <v>0</v>
      </c>
      <c r="F14" s="20">
        <f>SUMIFS(BASE!$I:$I,BASE!$F:$F,$A14,BASE!$C:$C,F$12,BASE!$D:$D,"&lt;&gt;T",BASE!$E:$E,"&gt;="&amp;$B$1,BASE!$E:$E,"&lt;="&amp;$D$1)</f>
        <v>0</v>
      </c>
      <c r="G14" s="20">
        <f>SUMIFS(BASE!$I:$I,BASE!$F:$F,$A14,BASE!$C:$C,G$12,BASE!$D:$D,"&lt;&gt;T",BASE!$E:$E,"&gt;="&amp;$B$1,BASE!$E:$E,"&lt;="&amp;$D$1)</f>
        <v>0</v>
      </c>
      <c r="H14" s="20">
        <f>SUMIFS(BASE!$I:$I,BASE!$F:$F,$A14,BASE!$C:$C,H$12,BASE!$D:$D,"&lt;&gt;T",BASE!$E:$E,"&gt;="&amp;$B$1,BASE!$E:$E,"&lt;="&amp;$D$1)</f>
        <v>3</v>
      </c>
      <c r="I14" s="20">
        <f>SUMIFS(BASE!$I:$I,BASE!$F:$F,$A14,BASE!$C:$C,I$12,BASE!$D:$D,"&lt;&gt;T",BASE!$E:$E,"&gt;="&amp;$B$1,BASE!$E:$E,"&lt;="&amp;$D$1)</f>
        <v>2</v>
      </c>
      <c r="J14" s="22">
        <f>SUMIFS(BASE!$I:$I,BASE!$F:$F,$A14,BASE!$D:$D,"&lt;&gt;T",BASE!$E:$E,"&gt;="&amp;$B$1,BASE!$E:$E,"&lt;="&amp;$D$1)</f>
        <v>13</v>
      </c>
      <c r="K14" s="55"/>
    </row>
    <row r="15" spans="1:11" s="56" customFormat="1" ht="14.25" customHeight="1" x14ac:dyDescent="0.35">
      <c r="A15" s="19" t="s">
        <v>73</v>
      </c>
      <c r="B15" s="20">
        <f>SUMIFS(BASE!$I:$I,BASE!$F:$F,$A15,BASE!$C:$C,B$12,BASE!$D:$D,"&lt;&gt;T",BASE!$E:$E,"&gt;="&amp;$B$1,BASE!$E:$E,"&lt;="&amp;$D$1)</f>
        <v>5</v>
      </c>
      <c r="C15" s="20">
        <f>SUMIFS(BASE!$I:$I,BASE!$F:$F,$A15,BASE!$C:$C,C$12,BASE!$D:$D,"&lt;&gt;T",BASE!$E:$E,"&gt;="&amp;$B$1,BASE!$E:$E,"&lt;="&amp;$D$1)</f>
        <v>0</v>
      </c>
      <c r="D15" s="20">
        <f>SUMIFS(BASE!$I:$I,BASE!$F:$F,$A15,BASE!$C:$C,D$12,BASE!$D:$D,"&lt;&gt;T",BASE!$E:$E,"&gt;="&amp;$B$1,BASE!$E:$E,"&lt;="&amp;$D$1)</f>
        <v>3</v>
      </c>
      <c r="E15" s="20">
        <f>SUMIFS(BASE!$I:$I,BASE!$F:$F,$A15,BASE!$C:$C,E$12,BASE!$D:$D,"&lt;&gt;T",BASE!$E:$E,"&gt;="&amp;$B$1,BASE!$E:$E,"&lt;="&amp;$D$1)</f>
        <v>0</v>
      </c>
      <c r="F15" s="20">
        <f>SUMIFS(BASE!$I:$I,BASE!$F:$F,$A15,BASE!$C:$C,F$12,BASE!$D:$D,"&lt;&gt;T",BASE!$E:$E,"&gt;="&amp;$B$1,BASE!$E:$E,"&lt;="&amp;$D$1)</f>
        <v>0</v>
      </c>
      <c r="G15" s="20">
        <f>SUMIFS(BASE!$I:$I,BASE!$F:$F,$A15,BASE!$C:$C,G$12,BASE!$D:$D,"&lt;&gt;T",BASE!$E:$E,"&gt;="&amp;$B$1,BASE!$E:$E,"&lt;="&amp;$D$1)</f>
        <v>0</v>
      </c>
      <c r="H15" s="20">
        <f>SUMIFS(BASE!$I:$I,BASE!$F:$F,$A15,BASE!$C:$C,H$12,BASE!$D:$D,"&lt;&gt;T",BASE!$E:$E,"&gt;="&amp;$B$1,BASE!$E:$E,"&lt;="&amp;$D$1)</f>
        <v>4</v>
      </c>
      <c r="I15" s="20">
        <f>SUMIFS(BASE!$I:$I,BASE!$F:$F,$A15,BASE!$C:$C,I$12,BASE!$D:$D,"&lt;&gt;T",BASE!$E:$E,"&gt;="&amp;$B$1,BASE!$E:$E,"&lt;="&amp;$D$1)</f>
        <v>2</v>
      </c>
      <c r="J15" s="22">
        <f>SUMIFS(BASE!$I:$I,BASE!$F:$F,$A15,BASE!$D:$D,"&lt;&gt;T",BASE!$E:$E,"&gt;="&amp;$B$1,BASE!$E:$E,"&lt;="&amp;$D$1)</f>
        <v>14</v>
      </c>
      <c r="K15" s="55"/>
    </row>
    <row r="16" spans="1:11" s="56" customFormat="1" ht="14.25" customHeight="1" x14ac:dyDescent="0.35">
      <c r="A16" s="19" t="s">
        <v>74</v>
      </c>
      <c r="B16" s="20">
        <f>SUMIFS(BASE!$I:$I,BASE!$F:$F,$A16,BASE!$C:$C,B$12,BASE!$D:$D,"&lt;&gt;T",BASE!$E:$E,"&gt;="&amp;$B$1,BASE!$E:$E,"&lt;="&amp;$D$1)</f>
        <v>5</v>
      </c>
      <c r="C16" s="20">
        <f>SUMIFS(BASE!$I:$I,BASE!$F:$F,$A16,BASE!$C:$C,C$12,BASE!$D:$D,"&lt;&gt;T",BASE!$E:$E,"&gt;="&amp;$B$1,BASE!$E:$E,"&lt;="&amp;$D$1)</f>
        <v>0</v>
      </c>
      <c r="D16" s="20">
        <f>SUMIFS(BASE!$I:$I,BASE!$F:$F,$A16,BASE!$C:$C,D$12,BASE!$D:$D,"&lt;&gt;T",BASE!$E:$E,"&gt;="&amp;$B$1,BASE!$E:$E,"&lt;="&amp;$D$1)</f>
        <v>3</v>
      </c>
      <c r="E16" s="20">
        <f>SUMIFS(BASE!$I:$I,BASE!$F:$F,$A16,BASE!$C:$C,E$12,BASE!$D:$D,"&lt;&gt;T",BASE!$E:$E,"&gt;="&amp;$B$1,BASE!$E:$E,"&lt;="&amp;$D$1)</f>
        <v>0</v>
      </c>
      <c r="F16" s="20">
        <f>SUMIFS(BASE!$I:$I,BASE!$F:$F,$A16,BASE!$C:$C,F$12,BASE!$D:$D,"&lt;&gt;T",BASE!$E:$E,"&gt;="&amp;$B$1,BASE!$E:$E,"&lt;="&amp;$D$1)</f>
        <v>0</v>
      </c>
      <c r="G16" s="20">
        <f>SUMIFS(BASE!$I:$I,BASE!$F:$F,$A16,BASE!$C:$C,G$12,BASE!$D:$D,"&lt;&gt;T",BASE!$E:$E,"&gt;="&amp;$B$1,BASE!$E:$E,"&lt;="&amp;$D$1)</f>
        <v>0</v>
      </c>
      <c r="H16" s="20">
        <f>SUMIFS(BASE!$I:$I,BASE!$F:$F,$A16,BASE!$C:$C,H$12,BASE!$D:$D,"&lt;&gt;T",BASE!$E:$E,"&gt;="&amp;$B$1,BASE!$E:$E,"&lt;="&amp;$D$1)</f>
        <v>4</v>
      </c>
      <c r="I16" s="20">
        <f>SUMIFS(BASE!$I:$I,BASE!$F:$F,$A16,BASE!$C:$C,I$12,BASE!$D:$D,"&lt;&gt;T",BASE!$E:$E,"&gt;="&amp;$B$1,BASE!$E:$E,"&lt;="&amp;$D$1)</f>
        <v>1</v>
      </c>
      <c r="J16" s="22">
        <f>SUMIFS(BASE!$I:$I,BASE!$F:$F,$A16,BASE!$D:$D,"&lt;&gt;T",BASE!$E:$E,"&gt;="&amp;$B$1,BASE!$E:$E,"&lt;="&amp;$D$1)</f>
        <v>13</v>
      </c>
      <c r="K16" s="55"/>
    </row>
    <row r="17" spans="1:11" s="56" customFormat="1" ht="14.25" customHeight="1" x14ac:dyDescent="0.35">
      <c r="A17" s="19" t="s">
        <v>75</v>
      </c>
      <c r="B17" s="20">
        <f>SUMIFS(BASE!$I:$I,BASE!$F:$F,$A17,BASE!$C:$C,B$12,BASE!$D:$D,"&lt;&gt;T",BASE!$E:$E,"&gt;="&amp;$B$1,BASE!$E:$E,"&lt;="&amp;$D$1)</f>
        <v>2</v>
      </c>
      <c r="C17" s="20">
        <f>SUMIFS(BASE!$I:$I,BASE!$F:$F,$A17,BASE!$C:$C,C$12,BASE!$D:$D,"&lt;&gt;T",BASE!$E:$E,"&gt;="&amp;$B$1,BASE!$E:$E,"&lt;="&amp;$D$1)</f>
        <v>0</v>
      </c>
      <c r="D17" s="20">
        <f>SUMIFS(BASE!$I:$I,BASE!$F:$F,$A17,BASE!$C:$C,D$12,BASE!$D:$D,"&lt;&gt;T",BASE!$E:$E,"&gt;="&amp;$B$1,BASE!$E:$E,"&lt;="&amp;$D$1)</f>
        <v>1</v>
      </c>
      <c r="E17" s="20">
        <f>SUMIFS(BASE!$I:$I,BASE!$F:$F,$A17,BASE!$C:$C,E$12,BASE!$D:$D,"&lt;&gt;T",BASE!$E:$E,"&gt;="&amp;$B$1,BASE!$E:$E,"&lt;="&amp;$D$1)</f>
        <v>1</v>
      </c>
      <c r="F17" s="20">
        <f>SUMIFS(BASE!$I:$I,BASE!$F:$F,$A17,BASE!$C:$C,F$12,BASE!$D:$D,"&lt;&gt;T",BASE!$E:$E,"&gt;="&amp;$B$1,BASE!$E:$E,"&lt;="&amp;$D$1)</f>
        <v>0</v>
      </c>
      <c r="G17" s="20">
        <f>SUMIFS(BASE!$I:$I,BASE!$F:$F,$A17,BASE!$C:$C,G$12,BASE!$D:$D,"&lt;&gt;T",BASE!$E:$E,"&gt;="&amp;$B$1,BASE!$E:$E,"&lt;="&amp;$D$1)</f>
        <v>1</v>
      </c>
      <c r="H17" s="20">
        <f>SUMIFS(BASE!$I:$I,BASE!$F:$F,$A17,BASE!$C:$C,H$12,BASE!$D:$D,"&lt;&gt;T",BASE!$E:$E,"&gt;="&amp;$B$1,BASE!$E:$E,"&lt;="&amp;$D$1)</f>
        <v>1</v>
      </c>
      <c r="I17" s="20">
        <f>SUMIFS(BASE!$I:$I,BASE!$F:$F,$A17,BASE!$C:$C,I$12,BASE!$D:$D,"&lt;&gt;T",BASE!$E:$E,"&gt;="&amp;$B$1,BASE!$E:$E,"&lt;="&amp;$D$1)</f>
        <v>0</v>
      </c>
      <c r="J17" s="22">
        <f>SUMIFS(BASE!$I:$I,BASE!$F:$F,$A17,BASE!$D:$D,"&lt;&gt;T",BASE!$E:$E,"&gt;="&amp;$B$1,BASE!$E:$E,"&lt;="&amp;$D$1)</f>
        <v>6</v>
      </c>
      <c r="K17" s="55"/>
    </row>
    <row r="18" spans="1:11" s="56" customFormat="1" ht="14.25" customHeight="1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1:11" s="56" customFormat="1" ht="19.5" customHeight="1" x14ac:dyDescent="0.35">
      <c r="A19" s="63" t="s">
        <v>588</v>
      </c>
      <c r="B19" s="63"/>
      <c r="C19" s="63"/>
      <c r="D19" s="63"/>
      <c r="E19" s="55"/>
      <c r="F19" s="55"/>
      <c r="G19" s="55"/>
      <c r="H19" s="55"/>
      <c r="I19" s="55"/>
      <c r="J19" s="55"/>
      <c r="K19" s="55"/>
    </row>
    <row r="20" spans="1:11" s="56" customFormat="1" ht="25" customHeight="1" x14ac:dyDescent="0.35">
      <c r="A20" s="17" t="s">
        <v>13</v>
      </c>
      <c r="B20" s="17" t="s">
        <v>85</v>
      </c>
      <c r="C20" s="17" t="s">
        <v>86</v>
      </c>
      <c r="D20" s="17" t="s">
        <v>87</v>
      </c>
      <c r="E20" s="55"/>
      <c r="F20" s="55"/>
      <c r="G20" s="55"/>
      <c r="H20" s="55"/>
      <c r="I20" s="55"/>
      <c r="J20" s="55"/>
      <c r="K20" s="55"/>
    </row>
    <row r="21" spans="1:11" s="56" customFormat="1" ht="14.25" customHeight="1" x14ac:dyDescent="0.35">
      <c r="A21" s="19" t="s">
        <v>71</v>
      </c>
      <c r="B21" s="58">
        <f>IF(_xlfn.MAXIFS(BASE!$E:$E,BASE!$F:$F,$A21,BASE!$D:$D,"T")=0,"-",_xlfn.MAXIFS(BASE!$E:$E,BASE!$F:$F,$A21,BASE!$D:$D,"T"))</f>
        <v>46154</v>
      </c>
      <c r="C21" s="58">
        <f>IF(MAX(_xlfn.MAXIFS(BASE!$E:$E,BASE!$F:$F,$A21,BASE!$D:$D,"E"),_xlfn.MAXIFS(BASE!$E:$E,BASE!$F:$F,$A21,BASE!$D:$D,"N"))=0,"-",MAX(_xlfn.MAXIFS(BASE!$E:$E,BASE!$F:$F,$A21,BASE!$D:$D,"E"),_xlfn.MAXIFS(BASE!$E:$E,BASE!$F:$F,$A21,BASE!$D:$D,"N")))</f>
        <v>46207</v>
      </c>
      <c r="D21" s="20">
        <f ca="1">IF(AND(B21="-",C21="-"),"-",TODAY()-MAX(IF(ISNUMBER(B21),B21,0),IF(ISNUMBER(C21),C21,0)))</f>
        <v>2</v>
      </c>
      <c r="E21" s="55"/>
      <c r="F21" s="55"/>
      <c r="G21" s="55"/>
      <c r="H21" s="55"/>
      <c r="I21" s="55"/>
      <c r="J21" s="55"/>
      <c r="K21" s="55"/>
    </row>
    <row r="22" spans="1:11" s="56" customFormat="1" x14ac:dyDescent="0.35">
      <c r="A22" s="19" t="s">
        <v>72</v>
      </c>
      <c r="B22" s="58">
        <f>IF(_xlfn.MAXIFS(BASE!$E:$E,BASE!$F:$F,$A22,BASE!$D:$D,"T")=0,"-",_xlfn.MAXIFS(BASE!$E:$E,BASE!$F:$F,$A22,BASE!$D:$D,"T"))</f>
        <v>46154</v>
      </c>
      <c r="C22" s="58">
        <f>IF(MAX(_xlfn.MAXIFS(BASE!$E:$E,BASE!$F:$F,$A22,BASE!$D:$D,"E"),_xlfn.MAXIFS(BASE!$E:$E,BASE!$F:$F,$A22,BASE!$D:$D,"N"))=0,"-",MAX(_xlfn.MAXIFS(BASE!$E:$E,BASE!$F:$F,$A22,BASE!$D:$D,"E"),_xlfn.MAXIFS(BASE!$E:$E,BASE!$F:$F,$A22,BASE!$D:$D,"N")))</f>
        <v>46207</v>
      </c>
      <c r="D22" s="20">
        <f ca="1">IF(AND(B22="-",C22="-"),"-",TODAY()-MAX(IF(ISNUMBER(B22),B22,0),IF(ISNUMBER(C22),C22,0)))</f>
        <v>2</v>
      </c>
      <c r="E22" s="55"/>
      <c r="F22" s="55"/>
      <c r="G22" s="55"/>
      <c r="H22" s="55"/>
      <c r="I22" s="55"/>
      <c r="J22" s="55"/>
      <c r="K22" s="55"/>
    </row>
    <row r="23" spans="1:11" s="56" customFormat="1" x14ac:dyDescent="0.35">
      <c r="A23" s="19" t="s">
        <v>73</v>
      </c>
      <c r="B23" s="58">
        <f>IF(_xlfn.MAXIFS(BASE!$E:$E,BASE!$F:$F,$A23,BASE!$D:$D,"T")=0,"-",_xlfn.MAXIFS(BASE!$E:$E,BASE!$F:$F,$A23,BASE!$D:$D,"T"))</f>
        <v>46154</v>
      </c>
      <c r="C23" s="58">
        <f>IF(MAX(_xlfn.MAXIFS(BASE!$E:$E,BASE!$F:$F,$A23,BASE!$D:$D,"E"),_xlfn.MAXIFS(BASE!$E:$E,BASE!$F:$F,$A23,BASE!$D:$D,"N"))=0,"-",MAX(_xlfn.MAXIFS(BASE!$E:$E,BASE!$F:$F,$A23,BASE!$D:$D,"E"),_xlfn.MAXIFS(BASE!$E:$E,BASE!$F:$F,$A23,BASE!$D:$D,"N")))</f>
        <v>46207</v>
      </c>
      <c r="D23" s="20">
        <f ca="1">IF(AND(B23="-",C23="-"),"-",TODAY()-MAX(IF(ISNUMBER(B23),B23,0),IF(ISNUMBER(C23),C23,0)))</f>
        <v>2</v>
      </c>
      <c r="E23" s="55"/>
      <c r="F23" s="55"/>
      <c r="G23" s="55"/>
      <c r="H23" s="55"/>
      <c r="I23" s="55"/>
      <c r="J23" s="55"/>
      <c r="K23" s="55"/>
    </row>
    <row r="24" spans="1:11" s="56" customFormat="1" ht="14.25" customHeight="1" x14ac:dyDescent="0.35">
      <c r="A24" s="19" t="s">
        <v>74</v>
      </c>
      <c r="B24" s="58">
        <f>IF(_xlfn.MAXIFS(BASE!$E:$E,BASE!$F:$F,$A24,BASE!$D:$D,"T")=0,"-",_xlfn.MAXIFS(BASE!$E:$E,BASE!$F:$F,$A24,BASE!$D:$D,"T"))</f>
        <v>46154</v>
      </c>
      <c r="C24" s="58">
        <f>IF(MAX(_xlfn.MAXIFS(BASE!$E:$E,BASE!$F:$F,$A24,BASE!$D:$D,"E"),_xlfn.MAXIFS(BASE!$E:$E,BASE!$F:$F,$A24,BASE!$D:$D,"N"))=0,"-",MAX(_xlfn.MAXIFS(BASE!$E:$E,BASE!$F:$F,$A24,BASE!$D:$D,"E"),_xlfn.MAXIFS(BASE!$E:$E,BASE!$F:$F,$A24,BASE!$D:$D,"N")))</f>
        <v>46207</v>
      </c>
      <c r="D24" s="20">
        <f ca="1">IF(AND(B24="-",C24="-"),"-",TODAY()-MAX(IF(ISNUMBER(B24),B24,0),IF(ISNUMBER(C24),C24,0)))</f>
        <v>2</v>
      </c>
      <c r="E24" s="55"/>
      <c r="F24" s="55"/>
      <c r="G24" s="55"/>
      <c r="H24" s="55"/>
      <c r="I24" s="55"/>
      <c r="J24" s="55"/>
      <c r="K24" s="55"/>
    </row>
    <row r="25" spans="1:11" s="56" customFormat="1" ht="14.25" customHeight="1" x14ac:dyDescent="0.35">
      <c r="A25" s="19" t="s">
        <v>75</v>
      </c>
      <c r="B25" s="58">
        <f>IF(_xlfn.MAXIFS(BASE!$E:$E,BASE!$F:$F,$A25,BASE!$D:$D,"T")=0,"-",_xlfn.MAXIFS(BASE!$E:$E,BASE!$F:$F,$A25,BASE!$D:$D,"T"))</f>
        <v>46154</v>
      </c>
      <c r="C25" s="58">
        <f>IF(MAX(_xlfn.MAXIFS(BASE!$E:$E,BASE!$F:$F,$A25,BASE!$D:$D,"E"),_xlfn.MAXIFS(BASE!$E:$E,BASE!$F:$F,$A25,BASE!$D:$D,"N"))=0,"-",MAX(_xlfn.MAXIFS(BASE!$E:$E,BASE!$F:$F,$A25,BASE!$D:$D,"E"),_xlfn.MAXIFS(BASE!$E:$E,BASE!$F:$F,$A25,BASE!$D:$D,"N")))</f>
        <v>46207</v>
      </c>
      <c r="D25" s="20">
        <f ca="1">IF(AND(B25="-",C25="-"),"-",TODAY()-MAX(IF(ISNUMBER(B25),B25,0),IF(ISNUMBER(C25),C25,0)))</f>
        <v>2</v>
      </c>
      <c r="E25" s="55"/>
      <c r="F25" s="55"/>
      <c r="G25" s="55"/>
      <c r="H25" s="55"/>
      <c r="I25" s="55"/>
      <c r="J25" s="55"/>
      <c r="K25" s="55"/>
    </row>
    <row r="26" spans="1:11" s="56" customFormat="1" ht="14.25" customHeight="1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s="56" customFormat="1" ht="19.5" customHeight="1" x14ac:dyDescent="0.35">
      <c r="A27" s="63" t="s">
        <v>88</v>
      </c>
      <c r="B27" s="63"/>
      <c r="C27" s="63"/>
      <c r="D27" s="55"/>
      <c r="E27" s="55"/>
      <c r="F27" s="55"/>
      <c r="G27" s="55"/>
      <c r="H27" s="55"/>
      <c r="I27" s="55"/>
      <c r="J27" s="55"/>
      <c r="K27" s="55"/>
    </row>
    <row r="28" spans="1:11" s="56" customFormat="1" ht="14.25" customHeight="1" x14ac:dyDescent="0.35">
      <c r="A28" s="60" t="s">
        <v>89</v>
      </c>
      <c r="B28" s="60"/>
      <c r="C28" s="23">
        <f>COUNTIF(BASE!$F:$F,"ERRO - REVISAR")</f>
        <v>0</v>
      </c>
      <c r="D28" s="55"/>
      <c r="E28" s="55"/>
      <c r="F28" s="55"/>
      <c r="G28" s="55"/>
      <c r="H28" s="55"/>
      <c r="I28" s="55"/>
      <c r="J28" s="55"/>
      <c r="K28" s="55"/>
    </row>
    <row r="29" spans="1:11" s="56" customFormat="1" ht="14.25" customHeight="1" x14ac:dyDescent="0.35">
      <c r="A29" s="60" t="s">
        <v>589</v>
      </c>
      <c r="B29" s="60"/>
      <c r="C29" s="23">
        <f>COUNTIFS(BASE!$D:$D,"T",BASE!$C:$C,"Interarmas")</f>
        <v>41</v>
      </c>
      <c r="D29" s="55"/>
      <c r="E29" s="55"/>
      <c r="F29" s="55"/>
      <c r="G29" s="55"/>
      <c r="H29" s="55"/>
      <c r="I29" s="55"/>
      <c r="J29" s="55"/>
      <c r="K29" s="55"/>
    </row>
    <row r="30" spans="1:11" s="56" customFormat="1" ht="14.25" customHeight="1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  <row r="31" spans="1:11" s="56" customFormat="1" ht="19.5" customHeight="1" x14ac:dyDescent="0.35">
      <c r="A31" s="61" t="s">
        <v>90</v>
      </c>
      <c r="B31" s="61"/>
      <c r="C31" s="53"/>
      <c r="D31" s="53"/>
      <c r="E31" s="53"/>
      <c r="F31" s="53"/>
      <c r="G31" s="55"/>
      <c r="H31" s="55"/>
      <c r="I31" s="55"/>
      <c r="J31" s="55"/>
      <c r="K31" s="55"/>
    </row>
    <row r="32" spans="1:11" s="56" customFormat="1" ht="18" customHeight="1" x14ac:dyDescent="0.35">
      <c r="A32" s="24" t="s">
        <v>91</v>
      </c>
      <c r="B32" s="57">
        <v>20</v>
      </c>
      <c r="G32" s="55"/>
      <c r="H32" s="55"/>
      <c r="I32" s="55"/>
      <c r="J32" s="55"/>
      <c r="K32" s="55"/>
    </row>
    <row r="33" spans="1:11" s="56" customFormat="1" ht="14.25" customHeight="1" x14ac:dyDescent="0.35">
      <c r="A33" s="24" t="s">
        <v>92</v>
      </c>
      <c r="B33" s="57">
        <v>6</v>
      </c>
      <c r="C33" s="55"/>
      <c r="D33" s="55"/>
      <c r="E33" s="55"/>
      <c r="F33" s="55"/>
      <c r="G33" s="55"/>
      <c r="H33" s="55"/>
      <c r="I33" s="55"/>
      <c r="J33" s="55"/>
      <c r="K33" s="55"/>
    </row>
    <row r="34" spans="1:11" s="56" customFormat="1" ht="14.25" customHeight="1" x14ac:dyDescent="0.35">
      <c r="A34" s="24" t="s">
        <v>93</v>
      </c>
      <c r="B34" s="57">
        <v>2</v>
      </c>
      <c r="C34" s="55"/>
      <c r="D34" s="55"/>
      <c r="E34" s="55"/>
      <c r="F34" s="55"/>
      <c r="G34" s="55"/>
      <c r="H34" s="55"/>
      <c r="I34" s="55"/>
      <c r="J34" s="55"/>
      <c r="K34" s="55"/>
    </row>
    <row r="35" spans="1:11" ht="14.2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ht="14.2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ht="14.2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ht="14.2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ht="19.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ht="18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ht="14.2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ht="14.2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ht="14.2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ht="14.2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ht="14.2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ht="14.2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ht="19.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ht="14.2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ht="14.2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ht="14.2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ht="14.2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ht="14.2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ht="14.2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ht="14.2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ht="14.2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ht="14.2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ht="14.2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ht="14.2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ht="14.2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ht="14.2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ht="14.25" customHeight="1" x14ac:dyDescent="0.35"/>
    <row r="62" spans="1:11" ht="14.25" customHeight="1" x14ac:dyDescent="0.35"/>
    <row r="63" spans="1:11" ht="14.25" customHeight="1" x14ac:dyDescent="0.35"/>
    <row r="64" spans="1:11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7">
    <mergeCell ref="A29:B29"/>
    <mergeCell ref="A31:B31"/>
    <mergeCell ref="A3:J3"/>
    <mergeCell ref="A11:J11"/>
    <mergeCell ref="A19:D19"/>
    <mergeCell ref="A27:C27"/>
    <mergeCell ref="A28:B28"/>
  </mergeCells>
  <conditionalFormatting sqref="C5:C9">
    <cfRule type="dataBar" priority="2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{D08648D2-52AA-4E8A-B656-658777BF68D1}</x14:id>
        </ext>
      </extLst>
    </cfRule>
  </conditionalFormatting>
  <conditionalFormatting sqref="F5:F9">
    <cfRule type="dataBar" priority="3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{4C521D63-B75B-4EE6-8DB7-34BD201EB95E}</x14:id>
        </ext>
      </extLst>
    </cfRule>
  </conditionalFormatting>
  <conditionalFormatting sqref="I5:I9">
    <cfRule type="dataBar" priority="4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{579D9665-897A-4973-B02C-7A833D5DF9EC}</x14:id>
        </ext>
      </extLst>
    </cfRule>
  </conditionalFormatting>
  <conditionalFormatting sqref="D5:D9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G5:G9">
    <cfRule type="cellIs" dxfId="13" priority="7" operator="equal">
      <formula>0</formula>
    </cfRule>
    <cfRule type="cellIs" dxfId="12" priority="8" operator="greaterThan">
      <formula>0</formula>
    </cfRule>
  </conditionalFormatting>
  <conditionalFormatting sqref="J5:J9">
    <cfRule type="cellIs" dxfId="11" priority="9" operator="equal">
      <formula>0</formula>
    </cfRule>
    <cfRule type="cellIs" dxfId="10" priority="10" operator="greaterThan">
      <formula>0</formula>
    </cfRule>
  </conditionalFormatting>
  <conditionalFormatting sqref="B13:I17">
    <cfRule type="colorScale" priority="11">
      <colorScale>
        <cfvo type="min"/>
        <cfvo type="max"/>
        <color rgb="FFFFFFFF"/>
        <color rgb="FF9CC2E5"/>
      </colorScale>
    </cfRule>
  </conditionalFormatting>
  <conditionalFormatting sqref="D21:D25">
    <cfRule type="cellIs" dxfId="9" priority="12" operator="greaterThan">
      <formula>60</formula>
    </cfRule>
    <cfRule type="cellIs" dxfId="8" priority="13" operator="lessThanOrEqual">
      <formula>60</formula>
    </cfRule>
  </conditionalFormatting>
  <pageMargins left="0.7" right="0.7" top="0.75" bottom="0.75" header="0.511811023622047" footer="0.511811023622047"/>
  <pageSetup orientation="landscape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648D2-52AA-4E8A-B656-658777BF68D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C5:C9</xm:sqref>
        </x14:conditionalFormatting>
        <x14:conditionalFormatting xmlns:xm="http://schemas.microsoft.com/office/excel/2006/main">
          <x14:cfRule type="dataBar" id="{4C521D63-B75B-4EE6-8DB7-34BD201EB95E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F5:F9</xm:sqref>
        </x14:conditionalFormatting>
        <x14:conditionalFormatting xmlns:xm="http://schemas.microsoft.com/office/excel/2006/main">
          <x14:cfRule type="dataBar" id="{579D9665-897A-4973-B02C-7A833D5DF9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I5:I9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E1000"/>
  <sheetViews>
    <sheetView zoomScaleNormal="100" workbookViewId="0">
      <pane xSplit="1" ySplit="1" topLeftCell="B2" activePane="bottomRight" state="frozen"/>
      <selection activeCell="G42" sqref="G42"/>
      <selection pane="topRight" activeCell="G42" sqref="G42"/>
      <selection pane="bottomLeft" activeCell="G42" sqref="G42"/>
      <selection pane="bottomRight" activeCell="G18" sqref="G18"/>
    </sheetView>
  </sheetViews>
  <sheetFormatPr defaultColWidth="14.453125" defaultRowHeight="14.5" x14ac:dyDescent="0.35"/>
  <cols>
    <col min="1" max="1" width="24.54296875" customWidth="1"/>
    <col min="2" max="2" width="13.453125" customWidth="1"/>
    <col min="3" max="5" width="10.54296875" customWidth="1"/>
    <col min="6" max="15" width="8.7265625" customWidth="1"/>
  </cols>
  <sheetData>
    <row r="1" spans="1:5" ht="14.25" customHeight="1" x14ac:dyDescent="0.35">
      <c r="A1" s="2" t="s">
        <v>0</v>
      </c>
      <c r="B1" s="3" t="s">
        <v>2</v>
      </c>
      <c r="C1" s="3" t="s">
        <v>5</v>
      </c>
      <c r="D1" s="5" t="s">
        <v>11</v>
      </c>
      <c r="E1" s="5" t="s">
        <v>13</v>
      </c>
    </row>
    <row r="2" spans="1:5" ht="14.25" customHeight="1" x14ac:dyDescent="0.35">
      <c r="A2" t="s">
        <v>19</v>
      </c>
      <c r="B2" s="7" t="s">
        <v>20</v>
      </c>
      <c r="C2" s="11">
        <v>2229014</v>
      </c>
      <c r="D2" s="11" t="s">
        <v>23</v>
      </c>
      <c r="E2" s="11" t="str">
        <f>IFERROR(INDEX(CRAFs!$M:$M,MATCH(C2,CRAFs!$F:$F,0)),"ERRO - REVISAR")</f>
        <v>ALRP</v>
      </c>
    </row>
    <row r="3" spans="1:5" ht="14.25" customHeight="1" x14ac:dyDescent="0.35">
      <c r="A3" t="s">
        <v>24</v>
      </c>
      <c r="B3" s="7" t="s">
        <v>560</v>
      </c>
      <c r="C3" s="11">
        <v>1489231</v>
      </c>
      <c r="D3" s="11" t="s">
        <v>26</v>
      </c>
      <c r="E3" s="11" t="str">
        <f>IFERROR(INDEX(CRAFs!$M:$M,MATCH(C3,CRAFs!$F:$F,0)),"ERRO - REVISAR")</f>
        <v>ALRR</v>
      </c>
    </row>
    <row r="4" spans="1:5" ht="14.25" customHeight="1" x14ac:dyDescent="0.35">
      <c r="A4" t="s">
        <v>27</v>
      </c>
      <c r="B4" s="7" t="s">
        <v>29</v>
      </c>
      <c r="C4" s="11">
        <v>2113852</v>
      </c>
      <c r="D4" s="11" t="s">
        <v>32</v>
      </c>
      <c r="E4" s="11" t="str">
        <f>IFERROR(INDEX(CRAFs!$M:$M,MATCH(C4,CRAFs!$F:$F,0)),"ERRO - REVISAR")</f>
        <v>ACRP</v>
      </c>
    </row>
    <row r="5" spans="1:5" ht="14.25" customHeight="1" x14ac:dyDescent="0.35">
      <c r="A5" t="s">
        <v>42</v>
      </c>
      <c r="B5" s="7" t="s">
        <v>541</v>
      </c>
      <c r="C5" s="11">
        <v>2142281</v>
      </c>
      <c r="D5" s="11" t="s">
        <v>45</v>
      </c>
      <c r="E5" s="11" t="str">
        <f>IFERROR(INDEX(CRAFs!$M:$M,MATCH(C5,CRAFs!$F:$F,0)),"ERRO - REVISAR")</f>
        <v>ACRR</v>
      </c>
    </row>
    <row r="6" spans="1:5" ht="14.25" customHeight="1" x14ac:dyDescent="0.35">
      <c r="A6" t="s">
        <v>39</v>
      </c>
      <c r="B6" s="7" t="s">
        <v>29</v>
      </c>
      <c r="C6" s="11">
        <v>2093493</v>
      </c>
      <c r="D6" s="11" t="s">
        <v>32</v>
      </c>
      <c r="E6" s="11" t="str">
        <f>IFERROR(INDEX(CRAFs!$M:$M,MATCH(C6,CRAFs!$F:$F,0)),"ERRO - REVISAR")</f>
        <v>ACRP</v>
      </c>
    </row>
    <row r="7" spans="1:5" ht="14.25" customHeight="1" x14ac:dyDescent="0.35">
      <c r="A7" t="s">
        <v>33</v>
      </c>
      <c r="B7" s="7" t="s">
        <v>36</v>
      </c>
      <c r="C7" s="11">
        <v>56105</v>
      </c>
      <c r="D7" s="11" t="s">
        <v>38</v>
      </c>
      <c r="E7" s="11" t="str">
        <f>IFERROR(INDEX(CRAFs!$M:$M,MATCH(C7,CRAFs!$F:$F,0)),"ERRO - REVISAR")</f>
        <v>ACRR</v>
      </c>
    </row>
    <row r="8" spans="1:5" ht="14.25" customHeight="1" x14ac:dyDescent="0.35">
      <c r="A8" t="s">
        <v>14</v>
      </c>
      <c r="B8" s="7" t="s">
        <v>560</v>
      </c>
      <c r="C8" s="11">
        <v>591892</v>
      </c>
      <c r="D8" s="11" t="s">
        <v>18</v>
      </c>
      <c r="E8" s="11" t="str">
        <f>IFERROR(INDEX(CRAFs!$M:$M,MATCH(C8,CRAFs!$F:$F,0)),"ERRO - REVISAR")</f>
        <v>ALRR</v>
      </c>
    </row>
    <row r="9" spans="1:5" ht="14.25" customHeight="1" x14ac:dyDescent="0.35">
      <c r="A9" t="s">
        <v>33</v>
      </c>
      <c r="B9" s="7" t="s">
        <v>582</v>
      </c>
      <c r="C9" s="11">
        <v>83732</v>
      </c>
      <c r="D9" s="11" t="s">
        <v>35</v>
      </c>
      <c r="E9" s="11" t="str">
        <f>IFERROR(INDEX(CRAFs!$M:$M,MATCH(C9,CRAFs!$F:$F,0)),"ERRO - REVISAR")</f>
        <v>ACRP</v>
      </c>
    </row>
    <row r="10" spans="1:5" ht="14.25" customHeight="1" x14ac:dyDescent="0.35">
      <c r="A10" t="s">
        <v>46</v>
      </c>
      <c r="B10" s="7" t="s">
        <v>29</v>
      </c>
      <c r="C10" s="11">
        <v>2221950</v>
      </c>
      <c r="D10" s="11" t="s">
        <v>49</v>
      </c>
      <c r="E10" s="11" t="str">
        <f>IFERROR(INDEX(CRAFs!$M:$M,MATCH(C10,CRAFs!$F:$F,0)),"ERRO - REVISAR")</f>
        <v>ACRP</v>
      </c>
    </row>
    <row r="11" spans="1:5" ht="14.25" customHeight="1" x14ac:dyDescent="0.35">
      <c r="A11" t="s">
        <v>50</v>
      </c>
      <c r="B11" s="7" t="s">
        <v>20</v>
      </c>
      <c r="C11" s="11">
        <v>2031950</v>
      </c>
      <c r="D11" s="11" t="s">
        <v>53</v>
      </c>
      <c r="E11" s="11" t="str">
        <f>IFERROR(INDEX(CRAFs!$M:$M,MATCH(C11,CRAFs!$F:$F,0)),"ERRO - REVISAR")</f>
        <v>ALLP</v>
      </c>
    </row>
    <row r="12" spans="1:5" ht="14.25" customHeight="1" x14ac:dyDescent="0.35">
      <c r="A12" t="s">
        <v>54</v>
      </c>
      <c r="B12" s="7" t="s">
        <v>55</v>
      </c>
      <c r="C12" s="11">
        <v>2418321</v>
      </c>
      <c r="D12" s="11" t="s">
        <v>57</v>
      </c>
      <c r="E12" s="11" t="str">
        <f>IFERROR(INDEX(CRAFs!$M:$M,MATCH(C12,CRAFs!$F:$F,0)),"ERRO - REVISAR")</f>
        <v>ACRR</v>
      </c>
    </row>
    <row r="13" spans="1:5" ht="14.25" customHeight="1" x14ac:dyDescent="0.35">
      <c r="B13" s="7"/>
      <c r="C13" s="7"/>
      <c r="D13" s="11"/>
      <c r="E13" s="11"/>
    </row>
    <row r="14" spans="1:5" ht="14.25" customHeight="1" x14ac:dyDescent="0.35">
      <c r="B14" s="7"/>
      <c r="C14" s="7"/>
      <c r="D14" s="11"/>
      <c r="E14" s="11"/>
    </row>
    <row r="15" spans="1:5" ht="14.25" customHeight="1" x14ac:dyDescent="0.35">
      <c r="B15" s="7"/>
      <c r="C15" s="7"/>
      <c r="D15" s="11"/>
      <c r="E15" s="11"/>
    </row>
    <row r="16" spans="1:5" ht="14.25" customHeight="1" x14ac:dyDescent="0.35">
      <c r="B16" s="7"/>
      <c r="C16" s="7"/>
      <c r="D16" s="11"/>
      <c r="E16" s="11"/>
    </row>
    <row r="17" spans="2:5" ht="14.25" customHeight="1" x14ac:dyDescent="0.35">
      <c r="B17" s="7"/>
      <c r="C17" s="7"/>
      <c r="D17" s="11"/>
      <c r="E17" s="11"/>
    </row>
    <row r="18" spans="2:5" ht="14.25" customHeight="1" x14ac:dyDescent="0.35">
      <c r="B18" s="7"/>
      <c r="C18" s="7"/>
      <c r="D18" s="11"/>
      <c r="E18" s="11"/>
    </row>
    <row r="19" spans="2:5" ht="14.25" customHeight="1" x14ac:dyDescent="0.35">
      <c r="B19" s="7"/>
      <c r="C19" s="7"/>
      <c r="D19" s="11"/>
      <c r="E19" s="11"/>
    </row>
    <row r="20" spans="2:5" ht="14.25" customHeight="1" x14ac:dyDescent="0.35">
      <c r="B20" s="7"/>
      <c r="C20" s="7"/>
      <c r="D20" s="11"/>
      <c r="E20" s="11"/>
    </row>
    <row r="21" spans="2:5" ht="14.25" customHeight="1" x14ac:dyDescent="0.35">
      <c r="B21" s="7"/>
      <c r="C21" s="7"/>
      <c r="D21" s="11"/>
      <c r="E21" s="11"/>
    </row>
    <row r="22" spans="2:5" ht="14.25" customHeight="1" x14ac:dyDescent="0.35">
      <c r="B22" s="7"/>
      <c r="C22" s="7"/>
      <c r="D22" s="11"/>
      <c r="E22" s="11"/>
    </row>
    <row r="23" spans="2:5" ht="14.25" customHeight="1" x14ac:dyDescent="0.35">
      <c r="B23" s="7"/>
      <c r="C23" s="7"/>
      <c r="D23" s="11"/>
      <c r="E23" s="11"/>
    </row>
    <row r="24" spans="2:5" ht="14.25" customHeight="1" x14ac:dyDescent="0.35">
      <c r="B24" s="7"/>
      <c r="C24" s="7"/>
      <c r="D24" s="11"/>
      <c r="E24" s="11"/>
    </row>
    <row r="25" spans="2:5" ht="14.25" customHeight="1" x14ac:dyDescent="0.35">
      <c r="B25" s="7"/>
      <c r="C25" s="7"/>
      <c r="D25" s="11"/>
      <c r="E25" s="11"/>
    </row>
    <row r="26" spans="2:5" ht="14.25" customHeight="1" x14ac:dyDescent="0.35">
      <c r="B26" s="7"/>
      <c r="C26" s="7"/>
      <c r="D26" s="11"/>
      <c r="E26" s="11"/>
    </row>
    <row r="27" spans="2:5" ht="14.25" customHeight="1" x14ac:dyDescent="0.35">
      <c r="B27" s="7"/>
      <c r="C27" s="7"/>
      <c r="D27" s="11"/>
      <c r="E27" s="11"/>
    </row>
    <row r="28" spans="2:5" ht="14.25" customHeight="1" x14ac:dyDescent="0.35">
      <c r="B28" s="7"/>
      <c r="C28" s="7"/>
      <c r="D28" s="11"/>
      <c r="E28" s="11"/>
    </row>
    <row r="29" spans="2:5" ht="14.25" customHeight="1" x14ac:dyDescent="0.35">
      <c r="B29" s="7"/>
      <c r="C29" s="7"/>
      <c r="D29" s="11"/>
      <c r="E29" s="11"/>
    </row>
    <row r="30" spans="2:5" ht="14.25" customHeight="1" x14ac:dyDescent="0.35">
      <c r="B30" s="7"/>
      <c r="C30" s="7"/>
      <c r="D30" s="11"/>
      <c r="E30" s="11"/>
    </row>
    <row r="31" spans="2:5" ht="14.25" customHeight="1" x14ac:dyDescent="0.35">
      <c r="B31" s="7"/>
      <c r="C31" s="7"/>
      <c r="D31" s="11"/>
      <c r="E31" s="11"/>
    </row>
    <row r="32" spans="2:5" ht="14.25" customHeight="1" x14ac:dyDescent="0.35">
      <c r="B32" s="7"/>
      <c r="C32" s="7"/>
      <c r="D32" s="11"/>
      <c r="E32" s="11"/>
    </row>
    <row r="33" spans="2:5" ht="14.25" customHeight="1" x14ac:dyDescent="0.35">
      <c r="B33" s="7"/>
      <c r="C33" s="7"/>
      <c r="D33" s="11"/>
      <c r="E33" s="11"/>
    </row>
    <row r="34" spans="2:5" ht="14.25" customHeight="1" x14ac:dyDescent="0.35">
      <c r="B34" s="7"/>
      <c r="C34" s="7"/>
      <c r="D34" s="11"/>
      <c r="E34" s="11"/>
    </row>
    <row r="35" spans="2:5" ht="14.25" customHeight="1" x14ac:dyDescent="0.35">
      <c r="B35" s="7"/>
      <c r="C35" s="7"/>
      <c r="D35" s="11"/>
      <c r="E35" s="11"/>
    </row>
    <row r="36" spans="2:5" ht="14.25" customHeight="1" x14ac:dyDescent="0.35">
      <c r="B36" s="7"/>
      <c r="C36" s="7"/>
      <c r="D36" s="11"/>
      <c r="E36" s="11"/>
    </row>
    <row r="37" spans="2:5" ht="14.25" customHeight="1" x14ac:dyDescent="0.35">
      <c r="B37" s="7"/>
      <c r="C37" s="7"/>
      <c r="D37" s="11"/>
      <c r="E37" s="11"/>
    </row>
    <row r="38" spans="2:5" ht="14.25" customHeight="1" x14ac:dyDescent="0.35">
      <c r="B38" s="7"/>
      <c r="C38" s="7"/>
      <c r="D38" s="11"/>
      <c r="E38" s="11"/>
    </row>
    <row r="39" spans="2:5" ht="14.25" customHeight="1" x14ac:dyDescent="0.35">
      <c r="B39" s="7"/>
      <c r="C39" s="7"/>
      <c r="D39" s="11"/>
      <c r="E39" s="11"/>
    </row>
    <row r="40" spans="2:5" ht="14.25" customHeight="1" x14ac:dyDescent="0.35">
      <c r="B40" s="7"/>
      <c r="C40" s="7"/>
      <c r="D40" s="11"/>
      <c r="E40" s="11"/>
    </row>
    <row r="41" spans="2:5" ht="14.25" customHeight="1" x14ac:dyDescent="0.35">
      <c r="B41" s="7"/>
      <c r="C41" s="7"/>
      <c r="D41" s="11"/>
      <c r="E41" s="11"/>
    </row>
    <row r="42" spans="2:5" ht="14.25" customHeight="1" x14ac:dyDescent="0.35">
      <c r="B42" s="7"/>
      <c r="C42" s="7"/>
      <c r="D42" s="11"/>
      <c r="E42" s="11"/>
    </row>
    <row r="43" spans="2:5" ht="14.25" customHeight="1" x14ac:dyDescent="0.35">
      <c r="B43" s="7"/>
      <c r="C43" s="7"/>
      <c r="D43" s="11"/>
      <c r="E43" s="11"/>
    </row>
    <row r="44" spans="2:5" ht="14.25" customHeight="1" x14ac:dyDescent="0.35">
      <c r="B44" s="7"/>
      <c r="C44" s="7"/>
      <c r="D44" s="11"/>
      <c r="E44" s="11"/>
    </row>
    <row r="45" spans="2:5" ht="14.25" customHeight="1" x14ac:dyDescent="0.35">
      <c r="B45" s="7"/>
      <c r="C45" s="7"/>
      <c r="D45" s="11"/>
      <c r="E45" s="11"/>
    </row>
    <row r="46" spans="2:5" ht="14.25" customHeight="1" x14ac:dyDescent="0.35">
      <c r="B46" s="7"/>
      <c r="C46" s="7"/>
      <c r="D46" s="11"/>
      <c r="E46" s="11"/>
    </row>
    <row r="47" spans="2:5" ht="14.25" customHeight="1" x14ac:dyDescent="0.35">
      <c r="B47" s="7"/>
      <c r="C47" s="7"/>
      <c r="D47" s="11"/>
      <c r="E47" s="11"/>
    </row>
    <row r="48" spans="2:5" ht="14.25" customHeight="1" x14ac:dyDescent="0.35">
      <c r="B48" s="7"/>
      <c r="C48" s="7"/>
      <c r="D48" s="11"/>
      <c r="E48" s="11"/>
    </row>
    <row r="49" spans="2:5" ht="14.25" customHeight="1" x14ac:dyDescent="0.35">
      <c r="B49" s="7"/>
      <c r="C49" s="7"/>
      <c r="D49" s="11"/>
      <c r="E49" s="11"/>
    </row>
    <row r="50" spans="2:5" ht="14.25" customHeight="1" x14ac:dyDescent="0.35">
      <c r="B50" s="7"/>
      <c r="C50" s="7"/>
      <c r="D50" s="11"/>
      <c r="E50" s="11"/>
    </row>
    <row r="51" spans="2:5" ht="14.25" customHeight="1" x14ac:dyDescent="0.35">
      <c r="B51" s="7"/>
      <c r="C51" s="7"/>
      <c r="D51" s="11"/>
      <c r="E51" s="11"/>
    </row>
    <row r="52" spans="2:5" ht="14.25" customHeight="1" x14ac:dyDescent="0.35">
      <c r="B52" s="7"/>
      <c r="C52" s="7"/>
      <c r="D52" s="11"/>
      <c r="E52" s="11"/>
    </row>
    <row r="53" spans="2:5" ht="14.25" customHeight="1" x14ac:dyDescent="0.35">
      <c r="B53" s="7"/>
      <c r="C53" s="7"/>
      <c r="D53" s="11"/>
      <c r="E53" s="11"/>
    </row>
    <row r="54" spans="2:5" ht="14.25" customHeight="1" x14ac:dyDescent="0.35">
      <c r="B54" s="7"/>
      <c r="C54" s="7"/>
      <c r="D54" s="11"/>
      <c r="E54" s="11"/>
    </row>
    <row r="55" spans="2:5" ht="14.25" customHeight="1" x14ac:dyDescent="0.35">
      <c r="B55" s="7"/>
      <c r="C55" s="7"/>
      <c r="D55" s="11"/>
      <c r="E55" s="11"/>
    </row>
    <row r="56" spans="2:5" ht="14.25" customHeight="1" x14ac:dyDescent="0.35">
      <c r="B56" s="7"/>
      <c r="C56" s="7"/>
      <c r="D56" s="11"/>
      <c r="E56" s="11"/>
    </row>
    <row r="57" spans="2:5" ht="14.25" customHeight="1" x14ac:dyDescent="0.35">
      <c r="B57" s="7"/>
      <c r="C57" s="7"/>
      <c r="D57" s="11"/>
      <c r="E57" s="11"/>
    </row>
    <row r="58" spans="2:5" ht="14.25" customHeight="1" x14ac:dyDescent="0.35">
      <c r="B58" s="7"/>
      <c r="C58" s="7"/>
      <c r="D58" s="11"/>
      <c r="E58" s="11"/>
    </row>
    <row r="59" spans="2:5" ht="14.25" customHeight="1" x14ac:dyDescent="0.35">
      <c r="B59" s="7"/>
      <c r="C59" s="7"/>
      <c r="D59" s="11"/>
      <c r="E59" s="11"/>
    </row>
    <row r="60" spans="2:5" ht="14.25" customHeight="1" x14ac:dyDescent="0.35">
      <c r="B60" s="7"/>
      <c r="C60" s="7"/>
      <c r="D60" s="11"/>
      <c r="E60" s="11"/>
    </row>
    <row r="61" spans="2:5" ht="14.25" customHeight="1" x14ac:dyDescent="0.35">
      <c r="B61" s="7"/>
      <c r="C61" s="7"/>
      <c r="D61" s="11"/>
      <c r="E61" s="11"/>
    </row>
    <row r="62" spans="2:5" ht="14.25" customHeight="1" x14ac:dyDescent="0.35">
      <c r="B62" s="7"/>
      <c r="C62" s="7"/>
      <c r="D62" s="11"/>
      <c r="E62" s="11"/>
    </row>
    <row r="63" spans="2:5" ht="14.25" customHeight="1" x14ac:dyDescent="0.35">
      <c r="B63" s="7"/>
      <c r="C63" s="7"/>
      <c r="D63" s="11"/>
      <c r="E63" s="11"/>
    </row>
    <row r="64" spans="2:5" ht="14.25" customHeight="1" x14ac:dyDescent="0.35">
      <c r="B64" s="7"/>
      <c r="C64" s="7"/>
      <c r="D64" s="11"/>
      <c r="E64" s="11"/>
    </row>
    <row r="65" spans="2:5" ht="14.25" customHeight="1" x14ac:dyDescent="0.35">
      <c r="B65" s="7"/>
      <c r="C65" s="7"/>
      <c r="D65" s="11"/>
      <c r="E65" s="11"/>
    </row>
    <row r="66" spans="2:5" ht="14.25" customHeight="1" x14ac:dyDescent="0.35">
      <c r="B66" s="7"/>
      <c r="C66" s="7"/>
      <c r="D66" s="11"/>
      <c r="E66" s="11"/>
    </row>
    <row r="67" spans="2:5" ht="14.25" customHeight="1" x14ac:dyDescent="0.35">
      <c r="B67" s="7"/>
      <c r="C67" s="7"/>
      <c r="D67" s="11"/>
      <c r="E67" s="11"/>
    </row>
    <row r="68" spans="2:5" ht="14.25" customHeight="1" x14ac:dyDescent="0.35">
      <c r="B68" s="7"/>
      <c r="C68" s="7"/>
      <c r="D68" s="11"/>
      <c r="E68" s="11"/>
    </row>
    <row r="69" spans="2:5" ht="14.25" customHeight="1" x14ac:dyDescent="0.35">
      <c r="B69" s="7"/>
      <c r="C69" s="7"/>
      <c r="D69" s="11"/>
      <c r="E69" s="11"/>
    </row>
    <row r="70" spans="2:5" ht="14.25" customHeight="1" x14ac:dyDescent="0.35">
      <c r="B70" s="7"/>
      <c r="C70" s="7"/>
      <c r="D70" s="11"/>
      <c r="E70" s="11"/>
    </row>
    <row r="71" spans="2:5" ht="14.25" customHeight="1" x14ac:dyDescent="0.35">
      <c r="B71" s="7"/>
      <c r="C71" s="7"/>
      <c r="D71" s="11"/>
      <c r="E71" s="11"/>
    </row>
    <row r="72" spans="2:5" ht="14.25" customHeight="1" x14ac:dyDescent="0.35">
      <c r="B72" s="7"/>
      <c r="C72" s="7"/>
      <c r="D72" s="11"/>
      <c r="E72" s="11"/>
    </row>
    <row r="73" spans="2:5" ht="14.25" customHeight="1" x14ac:dyDescent="0.35">
      <c r="B73" s="7"/>
      <c r="C73" s="7"/>
      <c r="D73" s="11"/>
      <c r="E73" s="11"/>
    </row>
    <row r="74" spans="2:5" ht="14.25" customHeight="1" x14ac:dyDescent="0.35">
      <c r="B74" s="7"/>
      <c r="C74" s="7"/>
      <c r="D74" s="11"/>
      <c r="E74" s="11"/>
    </row>
    <row r="75" spans="2:5" ht="14.25" customHeight="1" x14ac:dyDescent="0.35">
      <c r="B75" s="7"/>
      <c r="C75" s="7"/>
      <c r="D75" s="11"/>
      <c r="E75" s="11"/>
    </row>
    <row r="76" spans="2:5" ht="14.25" customHeight="1" x14ac:dyDescent="0.35">
      <c r="B76" s="7"/>
      <c r="C76" s="7"/>
      <c r="D76" s="11"/>
      <c r="E76" s="11"/>
    </row>
    <row r="77" spans="2:5" ht="14.25" customHeight="1" x14ac:dyDescent="0.35">
      <c r="B77" s="7"/>
      <c r="C77" s="7"/>
      <c r="D77" s="11"/>
      <c r="E77" s="11"/>
    </row>
    <row r="78" spans="2:5" ht="14.25" customHeight="1" x14ac:dyDescent="0.35">
      <c r="B78" s="7"/>
      <c r="C78" s="7"/>
      <c r="D78" s="11"/>
      <c r="E78" s="11"/>
    </row>
    <row r="79" spans="2:5" ht="14.25" customHeight="1" x14ac:dyDescent="0.35">
      <c r="B79" s="7"/>
      <c r="C79" s="7"/>
      <c r="D79" s="11"/>
      <c r="E79" s="11"/>
    </row>
    <row r="80" spans="2:5" ht="14.25" customHeight="1" x14ac:dyDescent="0.35">
      <c r="B80" s="7"/>
      <c r="C80" s="7"/>
      <c r="D80" s="11"/>
      <c r="E80" s="11"/>
    </row>
    <row r="81" spans="2:5" ht="14.25" customHeight="1" x14ac:dyDescent="0.35">
      <c r="B81" s="7"/>
      <c r="C81" s="7"/>
      <c r="D81" s="11"/>
      <c r="E81" s="11"/>
    </row>
    <row r="82" spans="2:5" ht="14.25" customHeight="1" x14ac:dyDescent="0.35">
      <c r="B82" s="7"/>
      <c r="C82" s="7"/>
      <c r="D82" s="11"/>
      <c r="E82" s="11"/>
    </row>
    <row r="83" spans="2:5" ht="14.25" customHeight="1" x14ac:dyDescent="0.35">
      <c r="B83" s="7"/>
      <c r="C83" s="7"/>
      <c r="D83" s="11"/>
      <c r="E83" s="11"/>
    </row>
    <row r="84" spans="2:5" ht="14.25" customHeight="1" x14ac:dyDescent="0.35">
      <c r="B84" s="7"/>
      <c r="C84" s="7"/>
      <c r="D84" s="11"/>
      <c r="E84" s="11"/>
    </row>
    <row r="85" spans="2:5" ht="14.25" customHeight="1" x14ac:dyDescent="0.35">
      <c r="B85" s="7"/>
      <c r="C85" s="7"/>
      <c r="D85" s="11"/>
      <c r="E85" s="11"/>
    </row>
    <row r="86" spans="2:5" ht="14.25" customHeight="1" x14ac:dyDescent="0.35">
      <c r="B86" s="7"/>
      <c r="C86" s="7"/>
      <c r="D86" s="11"/>
      <c r="E86" s="11"/>
    </row>
    <row r="87" spans="2:5" ht="14.25" customHeight="1" x14ac:dyDescent="0.35">
      <c r="B87" s="7"/>
      <c r="C87" s="7"/>
      <c r="D87" s="11"/>
      <c r="E87" s="11"/>
    </row>
    <row r="88" spans="2:5" ht="14.25" customHeight="1" x14ac:dyDescent="0.35">
      <c r="B88" s="7"/>
      <c r="C88" s="7"/>
      <c r="D88" s="11"/>
      <c r="E88" s="11"/>
    </row>
    <row r="89" spans="2:5" ht="14.25" customHeight="1" x14ac:dyDescent="0.35">
      <c r="B89" s="7"/>
      <c r="C89" s="7"/>
      <c r="D89" s="11"/>
      <c r="E89" s="11"/>
    </row>
    <row r="90" spans="2:5" ht="14.25" customHeight="1" x14ac:dyDescent="0.35">
      <c r="B90" s="7"/>
      <c r="C90" s="7"/>
      <c r="D90" s="11"/>
      <c r="E90" s="11"/>
    </row>
    <row r="91" spans="2:5" ht="14.25" customHeight="1" x14ac:dyDescent="0.35">
      <c r="B91" s="7"/>
      <c r="C91" s="7"/>
      <c r="D91" s="11"/>
      <c r="E91" s="11"/>
    </row>
    <row r="92" spans="2:5" ht="14.25" customHeight="1" x14ac:dyDescent="0.35">
      <c r="B92" s="7"/>
      <c r="C92" s="7"/>
      <c r="D92" s="11"/>
      <c r="E92" s="11"/>
    </row>
    <row r="93" spans="2:5" ht="14.25" customHeight="1" x14ac:dyDescent="0.35">
      <c r="B93" s="7"/>
      <c r="C93" s="7"/>
      <c r="D93" s="11"/>
      <c r="E93" s="11"/>
    </row>
    <row r="94" spans="2:5" ht="14.25" customHeight="1" x14ac:dyDescent="0.35">
      <c r="B94" s="7"/>
      <c r="C94" s="7"/>
      <c r="D94" s="11"/>
      <c r="E94" s="11"/>
    </row>
    <row r="95" spans="2:5" ht="14.25" customHeight="1" x14ac:dyDescent="0.35">
      <c r="B95" s="7"/>
      <c r="C95" s="7"/>
      <c r="D95" s="11"/>
      <c r="E95" s="11"/>
    </row>
    <row r="96" spans="2:5" ht="14.25" customHeight="1" x14ac:dyDescent="0.35">
      <c r="B96" s="7"/>
      <c r="C96" s="7"/>
      <c r="D96" s="11"/>
      <c r="E96" s="11"/>
    </row>
    <row r="97" spans="2:5" ht="14.25" customHeight="1" x14ac:dyDescent="0.35">
      <c r="B97" s="7"/>
      <c r="C97" s="7"/>
      <c r="D97" s="11"/>
      <c r="E97" s="11"/>
    </row>
    <row r="98" spans="2:5" ht="14.25" customHeight="1" x14ac:dyDescent="0.35">
      <c r="B98" s="7"/>
      <c r="C98" s="7"/>
      <c r="D98" s="11"/>
      <c r="E98" s="11"/>
    </row>
    <row r="99" spans="2:5" ht="14.25" customHeight="1" x14ac:dyDescent="0.35">
      <c r="B99" s="7"/>
      <c r="C99" s="7"/>
      <c r="D99" s="11"/>
      <c r="E99" s="11"/>
    </row>
    <row r="100" spans="2:5" ht="14.25" customHeight="1" x14ac:dyDescent="0.35">
      <c r="B100" s="7"/>
      <c r="C100" s="7"/>
      <c r="D100" s="11"/>
      <c r="E100" s="11"/>
    </row>
    <row r="101" spans="2:5" ht="14.25" customHeight="1" x14ac:dyDescent="0.35">
      <c r="B101" s="7"/>
      <c r="C101" s="7"/>
      <c r="D101" s="11"/>
      <c r="E101" s="11"/>
    </row>
    <row r="102" spans="2:5" ht="14.25" customHeight="1" x14ac:dyDescent="0.35">
      <c r="B102" s="7"/>
      <c r="C102" s="7"/>
      <c r="D102" s="11"/>
      <c r="E102" s="11"/>
    </row>
    <row r="103" spans="2:5" ht="14.25" customHeight="1" x14ac:dyDescent="0.35">
      <c r="B103" s="7"/>
      <c r="C103" s="7"/>
      <c r="D103" s="11"/>
      <c r="E103" s="11"/>
    </row>
    <row r="104" spans="2:5" ht="14.25" customHeight="1" x14ac:dyDescent="0.35">
      <c r="B104" s="7"/>
      <c r="C104" s="7"/>
      <c r="D104" s="11"/>
      <c r="E104" s="11"/>
    </row>
    <row r="105" spans="2:5" ht="14.25" customHeight="1" x14ac:dyDescent="0.35">
      <c r="B105" s="7"/>
      <c r="C105" s="7"/>
      <c r="D105" s="11"/>
      <c r="E105" s="11"/>
    </row>
    <row r="106" spans="2:5" ht="14.25" customHeight="1" x14ac:dyDescent="0.35">
      <c r="B106" s="7"/>
      <c r="C106" s="7"/>
      <c r="D106" s="11"/>
      <c r="E106" s="11"/>
    </row>
    <row r="107" spans="2:5" ht="14.25" customHeight="1" x14ac:dyDescent="0.35">
      <c r="B107" s="7"/>
      <c r="C107" s="7"/>
      <c r="D107" s="11"/>
      <c r="E107" s="11"/>
    </row>
    <row r="108" spans="2:5" ht="14.25" customHeight="1" x14ac:dyDescent="0.35">
      <c r="B108" s="7"/>
      <c r="C108" s="7"/>
      <c r="D108" s="11"/>
      <c r="E108" s="11"/>
    </row>
    <row r="109" spans="2:5" ht="14.25" customHeight="1" x14ac:dyDescent="0.35">
      <c r="B109" s="7"/>
      <c r="C109" s="7"/>
      <c r="D109" s="11"/>
      <c r="E109" s="11"/>
    </row>
    <row r="110" spans="2:5" ht="14.25" customHeight="1" x14ac:dyDescent="0.35">
      <c r="B110" s="7"/>
      <c r="C110" s="7"/>
      <c r="D110" s="11"/>
      <c r="E110" s="11"/>
    </row>
    <row r="111" spans="2:5" ht="14.25" customHeight="1" x14ac:dyDescent="0.35">
      <c r="B111" s="7"/>
      <c r="C111" s="7"/>
      <c r="D111" s="11"/>
      <c r="E111" s="11"/>
    </row>
    <row r="112" spans="2:5" ht="14.25" customHeight="1" x14ac:dyDescent="0.35">
      <c r="B112" s="7"/>
      <c r="C112" s="7"/>
      <c r="D112" s="11"/>
      <c r="E112" s="11"/>
    </row>
    <row r="113" spans="2:5" ht="14.25" customHeight="1" x14ac:dyDescent="0.35">
      <c r="B113" s="7"/>
      <c r="C113" s="7"/>
      <c r="D113" s="11"/>
      <c r="E113" s="11"/>
    </row>
    <row r="114" spans="2:5" ht="14.25" customHeight="1" x14ac:dyDescent="0.35">
      <c r="B114" s="7"/>
      <c r="C114" s="7"/>
      <c r="D114" s="11"/>
      <c r="E114" s="11"/>
    </row>
    <row r="115" spans="2:5" ht="14.25" customHeight="1" x14ac:dyDescent="0.35">
      <c r="B115" s="7"/>
      <c r="C115" s="7"/>
      <c r="D115" s="11"/>
      <c r="E115" s="11"/>
    </row>
    <row r="116" spans="2:5" ht="14.25" customHeight="1" x14ac:dyDescent="0.35">
      <c r="B116" s="7"/>
      <c r="C116" s="7"/>
      <c r="D116" s="11"/>
      <c r="E116" s="11"/>
    </row>
    <row r="117" spans="2:5" ht="14.25" customHeight="1" x14ac:dyDescent="0.35">
      <c r="B117" s="7"/>
      <c r="C117" s="7"/>
      <c r="D117" s="11"/>
      <c r="E117" s="11"/>
    </row>
    <row r="118" spans="2:5" ht="14.25" customHeight="1" x14ac:dyDescent="0.35">
      <c r="B118" s="7"/>
      <c r="C118" s="7"/>
      <c r="D118" s="11"/>
      <c r="E118" s="11"/>
    </row>
    <row r="119" spans="2:5" ht="14.25" customHeight="1" x14ac:dyDescent="0.35">
      <c r="B119" s="7"/>
      <c r="C119" s="7"/>
      <c r="D119" s="11"/>
      <c r="E119" s="11"/>
    </row>
    <row r="120" spans="2:5" ht="14.25" customHeight="1" x14ac:dyDescent="0.35">
      <c r="B120" s="7"/>
      <c r="C120" s="7"/>
      <c r="D120" s="11"/>
      <c r="E120" s="11"/>
    </row>
    <row r="121" spans="2:5" ht="14.25" customHeight="1" x14ac:dyDescent="0.35">
      <c r="B121" s="7"/>
      <c r="C121" s="7"/>
      <c r="D121" s="11"/>
      <c r="E121" s="11"/>
    </row>
    <row r="122" spans="2:5" ht="14.25" customHeight="1" x14ac:dyDescent="0.35">
      <c r="B122" s="7"/>
      <c r="C122" s="7"/>
      <c r="D122" s="11"/>
      <c r="E122" s="11"/>
    </row>
    <row r="123" spans="2:5" ht="14.25" customHeight="1" x14ac:dyDescent="0.35">
      <c r="B123" s="7"/>
      <c r="C123" s="7"/>
      <c r="D123" s="11"/>
      <c r="E123" s="11"/>
    </row>
    <row r="124" spans="2:5" ht="14.25" customHeight="1" x14ac:dyDescent="0.35">
      <c r="B124" s="7"/>
      <c r="C124" s="7"/>
      <c r="D124" s="11"/>
      <c r="E124" s="11"/>
    </row>
    <row r="125" spans="2:5" ht="14.25" customHeight="1" x14ac:dyDescent="0.35">
      <c r="B125" s="7"/>
      <c r="C125" s="7"/>
      <c r="D125" s="11"/>
      <c r="E125" s="11"/>
    </row>
    <row r="126" spans="2:5" ht="14.25" customHeight="1" x14ac:dyDescent="0.35">
      <c r="B126" s="7"/>
      <c r="C126" s="7"/>
      <c r="D126" s="11"/>
      <c r="E126" s="11"/>
    </row>
    <row r="127" spans="2:5" ht="14.25" customHeight="1" x14ac:dyDescent="0.35">
      <c r="B127" s="7"/>
      <c r="C127" s="7"/>
      <c r="D127" s="11"/>
      <c r="E127" s="11"/>
    </row>
    <row r="128" spans="2:5" ht="14.25" customHeight="1" x14ac:dyDescent="0.35">
      <c r="B128" s="7"/>
      <c r="C128" s="7"/>
      <c r="D128" s="11"/>
      <c r="E128" s="11"/>
    </row>
    <row r="129" spans="2:5" ht="14.25" customHeight="1" x14ac:dyDescent="0.35">
      <c r="B129" s="7"/>
      <c r="C129" s="7"/>
      <c r="D129" s="11"/>
      <c r="E129" s="11"/>
    </row>
    <row r="130" spans="2:5" ht="14.25" customHeight="1" x14ac:dyDescent="0.35">
      <c r="B130" s="7"/>
      <c r="C130" s="7"/>
      <c r="D130" s="11"/>
      <c r="E130" s="11"/>
    </row>
    <row r="131" spans="2:5" ht="14.25" customHeight="1" x14ac:dyDescent="0.35">
      <c r="B131" s="7"/>
      <c r="C131" s="7"/>
      <c r="D131" s="11"/>
      <c r="E131" s="11"/>
    </row>
    <row r="132" spans="2:5" ht="14.25" customHeight="1" x14ac:dyDescent="0.35">
      <c r="B132" s="7"/>
      <c r="C132" s="7"/>
      <c r="D132" s="11"/>
      <c r="E132" s="11"/>
    </row>
    <row r="133" spans="2:5" ht="14.25" customHeight="1" x14ac:dyDescent="0.35">
      <c r="B133" s="7"/>
      <c r="C133" s="7"/>
      <c r="D133" s="11"/>
      <c r="E133" s="11"/>
    </row>
    <row r="134" spans="2:5" ht="14.25" customHeight="1" x14ac:dyDescent="0.35">
      <c r="B134" s="7"/>
      <c r="C134" s="7"/>
      <c r="D134" s="11"/>
      <c r="E134" s="11"/>
    </row>
    <row r="135" spans="2:5" ht="14.25" customHeight="1" x14ac:dyDescent="0.35">
      <c r="B135" s="7"/>
      <c r="C135" s="7"/>
      <c r="D135" s="11"/>
      <c r="E135" s="11"/>
    </row>
    <row r="136" spans="2:5" ht="14.25" customHeight="1" x14ac:dyDescent="0.35">
      <c r="B136" s="7"/>
      <c r="C136" s="7"/>
      <c r="D136" s="11"/>
      <c r="E136" s="11"/>
    </row>
    <row r="137" spans="2:5" ht="14.25" customHeight="1" x14ac:dyDescent="0.35">
      <c r="B137" s="7"/>
      <c r="C137" s="7"/>
      <c r="D137" s="11"/>
      <c r="E137" s="11"/>
    </row>
    <row r="138" spans="2:5" ht="14.25" customHeight="1" x14ac:dyDescent="0.35">
      <c r="B138" s="7"/>
      <c r="C138" s="7"/>
      <c r="D138" s="11"/>
      <c r="E138" s="11"/>
    </row>
    <row r="139" spans="2:5" ht="14.25" customHeight="1" x14ac:dyDescent="0.35">
      <c r="B139" s="7"/>
      <c r="C139" s="7"/>
      <c r="D139" s="11"/>
      <c r="E139" s="11"/>
    </row>
    <row r="140" spans="2:5" ht="14.25" customHeight="1" x14ac:dyDescent="0.35">
      <c r="B140" s="7"/>
      <c r="C140" s="7"/>
      <c r="D140" s="11"/>
      <c r="E140" s="11"/>
    </row>
    <row r="141" spans="2:5" ht="14.25" customHeight="1" x14ac:dyDescent="0.35">
      <c r="B141" s="7"/>
      <c r="C141" s="7"/>
      <c r="D141" s="11"/>
      <c r="E141" s="11"/>
    </row>
    <row r="142" spans="2:5" ht="14.25" customHeight="1" x14ac:dyDescent="0.35">
      <c r="B142" s="7"/>
      <c r="C142" s="7"/>
      <c r="D142" s="11"/>
      <c r="E142" s="11"/>
    </row>
    <row r="143" spans="2:5" ht="14.25" customHeight="1" x14ac:dyDescent="0.35">
      <c r="B143" s="7"/>
      <c r="C143" s="7"/>
      <c r="D143" s="11"/>
      <c r="E143" s="11"/>
    </row>
    <row r="144" spans="2:5" ht="14.25" customHeight="1" x14ac:dyDescent="0.35">
      <c r="B144" s="7"/>
      <c r="C144" s="7"/>
      <c r="D144" s="11"/>
      <c r="E144" s="11"/>
    </row>
    <row r="145" spans="2:5" ht="14.25" customHeight="1" x14ac:dyDescent="0.35">
      <c r="B145" s="7"/>
      <c r="C145" s="7"/>
      <c r="D145" s="11"/>
      <c r="E145" s="11"/>
    </row>
    <row r="146" spans="2:5" ht="14.25" customHeight="1" x14ac:dyDescent="0.35">
      <c r="B146" s="7"/>
      <c r="C146" s="7"/>
      <c r="D146" s="11"/>
      <c r="E146" s="11"/>
    </row>
    <row r="147" spans="2:5" ht="14.25" customHeight="1" x14ac:dyDescent="0.35">
      <c r="B147" s="7"/>
      <c r="C147" s="7"/>
      <c r="D147" s="11"/>
      <c r="E147" s="11"/>
    </row>
    <row r="148" spans="2:5" ht="14.25" customHeight="1" x14ac:dyDescent="0.35">
      <c r="B148" s="7"/>
      <c r="C148" s="7"/>
      <c r="D148" s="11"/>
      <c r="E148" s="11"/>
    </row>
    <row r="149" spans="2:5" ht="14.25" customHeight="1" x14ac:dyDescent="0.35">
      <c r="B149" s="7"/>
      <c r="C149" s="7"/>
      <c r="D149" s="11"/>
      <c r="E149" s="11"/>
    </row>
    <row r="150" spans="2:5" ht="14.25" customHeight="1" x14ac:dyDescent="0.35">
      <c r="B150" s="7"/>
      <c r="C150" s="7"/>
      <c r="D150" s="11"/>
      <c r="E150" s="11"/>
    </row>
    <row r="151" spans="2:5" ht="14.25" customHeight="1" x14ac:dyDescent="0.35">
      <c r="B151" s="7"/>
      <c r="C151" s="7"/>
      <c r="D151" s="11"/>
      <c r="E151" s="11"/>
    </row>
    <row r="152" spans="2:5" ht="14.25" customHeight="1" x14ac:dyDescent="0.35">
      <c r="B152" s="7"/>
      <c r="C152" s="7"/>
      <c r="D152" s="11"/>
      <c r="E152" s="11"/>
    </row>
    <row r="153" spans="2:5" ht="14.25" customHeight="1" x14ac:dyDescent="0.35">
      <c r="B153" s="7"/>
      <c r="C153" s="7"/>
      <c r="D153" s="11"/>
      <c r="E153" s="11"/>
    </row>
    <row r="154" spans="2:5" ht="14.25" customHeight="1" x14ac:dyDescent="0.35">
      <c r="B154" s="7"/>
      <c r="C154" s="7"/>
      <c r="D154" s="11"/>
      <c r="E154" s="11"/>
    </row>
    <row r="155" spans="2:5" ht="14.25" customHeight="1" x14ac:dyDescent="0.35">
      <c r="B155" s="7"/>
      <c r="C155" s="7"/>
      <c r="D155" s="11"/>
      <c r="E155" s="11"/>
    </row>
    <row r="156" spans="2:5" ht="14.25" customHeight="1" x14ac:dyDescent="0.35">
      <c r="B156" s="7"/>
      <c r="C156" s="7"/>
      <c r="D156" s="11"/>
      <c r="E156" s="11"/>
    </row>
    <row r="157" spans="2:5" ht="14.25" customHeight="1" x14ac:dyDescent="0.35">
      <c r="B157" s="7"/>
      <c r="C157" s="7"/>
      <c r="D157" s="11"/>
      <c r="E157" s="11"/>
    </row>
    <row r="158" spans="2:5" ht="14.25" customHeight="1" x14ac:dyDescent="0.35">
      <c r="B158" s="7"/>
      <c r="C158" s="7"/>
      <c r="D158" s="11"/>
      <c r="E158" s="11"/>
    </row>
    <row r="159" spans="2:5" ht="14.25" customHeight="1" x14ac:dyDescent="0.35">
      <c r="B159" s="7"/>
      <c r="C159" s="7"/>
      <c r="D159" s="11"/>
      <c r="E159" s="11"/>
    </row>
    <row r="160" spans="2:5" ht="14.25" customHeight="1" x14ac:dyDescent="0.35">
      <c r="B160" s="7"/>
      <c r="C160" s="7"/>
      <c r="D160" s="11"/>
      <c r="E160" s="11"/>
    </row>
    <row r="161" spans="2:5" ht="14.25" customHeight="1" x14ac:dyDescent="0.35">
      <c r="B161" s="7"/>
      <c r="C161" s="7"/>
      <c r="D161" s="11"/>
      <c r="E161" s="11"/>
    </row>
    <row r="162" spans="2:5" ht="14.25" customHeight="1" x14ac:dyDescent="0.35">
      <c r="B162" s="7"/>
      <c r="C162" s="7"/>
      <c r="D162" s="11"/>
      <c r="E162" s="11"/>
    </row>
    <row r="163" spans="2:5" ht="14.25" customHeight="1" x14ac:dyDescent="0.35">
      <c r="B163" s="7"/>
      <c r="C163" s="7"/>
      <c r="D163" s="11"/>
      <c r="E163" s="11"/>
    </row>
    <row r="164" spans="2:5" ht="14.25" customHeight="1" x14ac:dyDescent="0.35">
      <c r="B164" s="7"/>
      <c r="C164" s="7"/>
      <c r="D164" s="11"/>
      <c r="E164" s="11"/>
    </row>
    <row r="165" spans="2:5" ht="14.25" customHeight="1" x14ac:dyDescent="0.35">
      <c r="B165" s="7"/>
      <c r="C165" s="7"/>
      <c r="D165" s="11"/>
      <c r="E165" s="11"/>
    </row>
    <row r="166" spans="2:5" ht="14.25" customHeight="1" x14ac:dyDescent="0.35">
      <c r="B166" s="7"/>
      <c r="C166" s="7"/>
      <c r="D166" s="11"/>
      <c r="E166" s="11"/>
    </row>
    <row r="167" spans="2:5" ht="14.25" customHeight="1" x14ac:dyDescent="0.35">
      <c r="B167" s="7"/>
      <c r="C167" s="7"/>
      <c r="D167" s="11"/>
      <c r="E167" s="11"/>
    </row>
    <row r="168" spans="2:5" ht="14.25" customHeight="1" x14ac:dyDescent="0.35">
      <c r="B168" s="7"/>
      <c r="C168" s="7"/>
      <c r="D168" s="11"/>
      <c r="E168" s="11"/>
    </row>
    <row r="169" spans="2:5" ht="14.25" customHeight="1" x14ac:dyDescent="0.35">
      <c r="B169" s="7"/>
      <c r="C169" s="7"/>
      <c r="D169" s="11"/>
      <c r="E169" s="11"/>
    </row>
    <row r="170" spans="2:5" ht="14.25" customHeight="1" x14ac:dyDescent="0.35">
      <c r="B170" s="7"/>
      <c r="C170" s="7"/>
      <c r="D170" s="11"/>
      <c r="E170" s="11"/>
    </row>
    <row r="171" spans="2:5" ht="14.25" customHeight="1" x14ac:dyDescent="0.35">
      <c r="B171" s="7"/>
      <c r="C171" s="7"/>
      <c r="D171" s="11"/>
      <c r="E171" s="11"/>
    </row>
    <row r="172" spans="2:5" ht="14.25" customHeight="1" x14ac:dyDescent="0.35">
      <c r="B172" s="7"/>
      <c r="C172" s="7"/>
      <c r="D172" s="11"/>
      <c r="E172" s="11"/>
    </row>
    <row r="173" spans="2:5" ht="14.25" customHeight="1" x14ac:dyDescent="0.35">
      <c r="B173" s="7"/>
      <c r="C173" s="7"/>
      <c r="D173" s="11"/>
      <c r="E173" s="11"/>
    </row>
    <row r="174" spans="2:5" ht="14.25" customHeight="1" x14ac:dyDescent="0.35">
      <c r="B174" s="7"/>
      <c r="C174" s="7"/>
      <c r="D174" s="11"/>
      <c r="E174" s="11"/>
    </row>
    <row r="175" spans="2:5" ht="14.25" customHeight="1" x14ac:dyDescent="0.35">
      <c r="B175" s="7"/>
      <c r="C175" s="7"/>
      <c r="D175" s="11"/>
      <c r="E175" s="11"/>
    </row>
    <row r="176" spans="2:5" ht="14.25" customHeight="1" x14ac:dyDescent="0.35">
      <c r="B176" s="7"/>
      <c r="C176" s="7"/>
      <c r="D176" s="11"/>
      <c r="E176" s="11"/>
    </row>
    <row r="177" spans="2:5" ht="14.25" customHeight="1" x14ac:dyDescent="0.35">
      <c r="B177" s="7"/>
      <c r="C177" s="7"/>
      <c r="D177" s="11"/>
      <c r="E177" s="11"/>
    </row>
    <row r="178" spans="2:5" ht="14.25" customHeight="1" x14ac:dyDescent="0.35">
      <c r="B178" s="7"/>
      <c r="C178" s="7"/>
      <c r="D178" s="11"/>
      <c r="E178" s="11"/>
    </row>
    <row r="179" spans="2:5" ht="14.25" customHeight="1" x14ac:dyDescent="0.35">
      <c r="B179" s="7"/>
      <c r="C179" s="7"/>
      <c r="D179" s="11"/>
      <c r="E179" s="11"/>
    </row>
    <row r="180" spans="2:5" ht="14.25" customHeight="1" x14ac:dyDescent="0.35">
      <c r="B180" s="7"/>
      <c r="C180" s="7"/>
      <c r="D180" s="11"/>
      <c r="E180" s="11"/>
    </row>
    <row r="181" spans="2:5" ht="14.25" customHeight="1" x14ac:dyDescent="0.35">
      <c r="B181" s="7"/>
      <c r="C181" s="7"/>
      <c r="D181" s="11"/>
      <c r="E181" s="11"/>
    </row>
    <row r="182" spans="2:5" ht="14.25" customHeight="1" x14ac:dyDescent="0.35">
      <c r="B182" s="7"/>
      <c r="C182" s="7"/>
      <c r="D182" s="11"/>
      <c r="E182" s="11"/>
    </row>
    <row r="183" spans="2:5" ht="14.25" customHeight="1" x14ac:dyDescent="0.35">
      <c r="B183" s="7"/>
      <c r="C183" s="7"/>
      <c r="D183" s="11"/>
      <c r="E183" s="11"/>
    </row>
    <row r="184" spans="2:5" ht="14.25" customHeight="1" x14ac:dyDescent="0.35">
      <c r="B184" s="7"/>
      <c r="C184" s="7"/>
      <c r="D184" s="11"/>
      <c r="E184" s="11"/>
    </row>
    <row r="185" spans="2:5" ht="14.25" customHeight="1" x14ac:dyDescent="0.35">
      <c r="B185" s="7"/>
      <c r="C185" s="7"/>
      <c r="D185" s="11"/>
      <c r="E185" s="11"/>
    </row>
    <row r="186" spans="2:5" ht="14.25" customHeight="1" x14ac:dyDescent="0.35">
      <c r="B186" s="7"/>
      <c r="C186" s="7"/>
      <c r="D186" s="11"/>
      <c r="E186" s="11"/>
    </row>
    <row r="187" spans="2:5" ht="14.25" customHeight="1" x14ac:dyDescent="0.35">
      <c r="B187" s="7"/>
      <c r="C187" s="7"/>
      <c r="D187" s="11"/>
      <c r="E187" s="11"/>
    </row>
    <row r="188" spans="2:5" ht="14.25" customHeight="1" x14ac:dyDescent="0.35">
      <c r="B188" s="7"/>
      <c r="C188" s="7"/>
      <c r="D188" s="11"/>
      <c r="E188" s="11"/>
    </row>
    <row r="189" spans="2:5" ht="14.25" customHeight="1" x14ac:dyDescent="0.35">
      <c r="B189" s="7"/>
      <c r="C189" s="7"/>
      <c r="D189" s="11"/>
      <c r="E189" s="11"/>
    </row>
    <row r="190" spans="2:5" ht="14.25" customHeight="1" x14ac:dyDescent="0.35">
      <c r="B190" s="7"/>
      <c r="C190" s="7"/>
      <c r="D190" s="11"/>
      <c r="E190" s="11"/>
    </row>
    <row r="191" spans="2:5" ht="14.25" customHeight="1" x14ac:dyDescent="0.35">
      <c r="B191" s="7"/>
      <c r="C191" s="7"/>
      <c r="D191" s="11"/>
      <c r="E191" s="11"/>
    </row>
    <row r="192" spans="2:5" ht="14.25" customHeight="1" x14ac:dyDescent="0.35">
      <c r="B192" s="7"/>
      <c r="C192" s="7"/>
      <c r="D192" s="11"/>
      <c r="E192" s="11"/>
    </row>
    <row r="193" spans="2:5" ht="14.25" customHeight="1" x14ac:dyDescent="0.35">
      <c r="B193" s="7"/>
      <c r="C193" s="7"/>
      <c r="D193" s="11"/>
      <c r="E193" s="11"/>
    </row>
    <row r="194" spans="2:5" ht="14.25" customHeight="1" x14ac:dyDescent="0.35">
      <c r="B194" s="7"/>
      <c r="C194" s="7"/>
      <c r="D194" s="11"/>
      <c r="E194" s="11"/>
    </row>
    <row r="195" spans="2:5" ht="14.25" customHeight="1" x14ac:dyDescent="0.35">
      <c r="B195" s="7"/>
      <c r="C195" s="7"/>
      <c r="D195" s="11"/>
      <c r="E195" s="11"/>
    </row>
    <row r="196" spans="2:5" ht="14.25" customHeight="1" x14ac:dyDescent="0.35">
      <c r="B196" s="7"/>
      <c r="C196" s="7"/>
      <c r="D196" s="11"/>
      <c r="E196" s="11"/>
    </row>
    <row r="197" spans="2:5" ht="14.25" customHeight="1" x14ac:dyDescent="0.35">
      <c r="B197" s="7"/>
      <c r="C197" s="7"/>
      <c r="D197" s="11"/>
      <c r="E197" s="11"/>
    </row>
    <row r="198" spans="2:5" ht="14.25" customHeight="1" x14ac:dyDescent="0.35">
      <c r="B198" s="7"/>
      <c r="C198" s="7"/>
      <c r="D198" s="11"/>
      <c r="E198" s="11"/>
    </row>
    <row r="199" spans="2:5" ht="14.25" customHeight="1" x14ac:dyDescent="0.35">
      <c r="B199" s="7"/>
      <c r="C199" s="7"/>
      <c r="D199" s="11"/>
      <c r="E199" s="11"/>
    </row>
    <row r="200" spans="2:5" ht="14.25" customHeight="1" x14ac:dyDescent="0.35">
      <c r="B200" s="7"/>
      <c r="C200" s="7"/>
      <c r="D200" s="11"/>
      <c r="E200" s="11"/>
    </row>
    <row r="201" spans="2:5" ht="14.25" customHeight="1" x14ac:dyDescent="0.35">
      <c r="B201" s="7"/>
      <c r="C201" s="7"/>
      <c r="D201" s="11"/>
      <c r="E201" s="11"/>
    </row>
    <row r="202" spans="2:5" ht="14.25" customHeight="1" x14ac:dyDescent="0.35">
      <c r="B202" s="7"/>
      <c r="C202" s="7"/>
      <c r="D202" s="11"/>
      <c r="E202" s="11"/>
    </row>
    <row r="203" spans="2:5" ht="14.25" customHeight="1" x14ac:dyDescent="0.35">
      <c r="B203" s="7"/>
      <c r="C203" s="7"/>
      <c r="D203" s="11"/>
      <c r="E203" s="11"/>
    </row>
    <row r="204" spans="2:5" ht="14.25" customHeight="1" x14ac:dyDescent="0.35">
      <c r="B204" s="7"/>
      <c r="C204" s="7"/>
      <c r="D204" s="11"/>
      <c r="E204" s="11"/>
    </row>
    <row r="205" spans="2:5" ht="14.25" customHeight="1" x14ac:dyDescent="0.35">
      <c r="B205" s="7"/>
      <c r="C205" s="7"/>
      <c r="D205" s="11"/>
      <c r="E205" s="11"/>
    </row>
    <row r="206" spans="2:5" ht="14.25" customHeight="1" x14ac:dyDescent="0.35">
      <c r="B206" s="7"/>
      <c r="C206" s="7"/>
      <c r="D206" s="11"/>
      <c r="E206" s="11"/>
    </row>
    <row r="207" spans="2:5" ht="14.25" customHeight="1" x14ac:dyDescent="0.35">
      <c r="B207" s="7"/>
      <c r="C207" s="7"/>
      <c r="D207" s="11"/>
      <c r="E207" s="11"/>
    </row>
    <row r="208" spans="2:5" ht="14.25" customHeight="1" x14ac:dyDescent="0.35">
      <c r="B208" s="7"/>
      <c r="C208" s="7"/>
      <c r="D208" s="11"/>
      <c r="E208" s="11"/>
    </row>
    <row r="209" spans="2:5" ht="14.25" customHeight="1" x14ac:dyDescent="0.35">
      <c r="B209" s="7"/>
      <c r="C209" s="7"/>
      <c r="D209" s="11"/>
      <c r="E209" s="11"/>
    </row>
    <row r="210" spans="2:5" ht="14.25" customHeight="1" x14ac:dyDescent="0.35">
      <c r="B210" s="7"/>
      <c r="C210" s="7"/>
      <c r="D210" s="11"/>
      <c r="E210" s="11"/>
    </row>
    <row r="211" spans="2:5" ht="14.25" customHeight="1" x14ac:dyDescent="0.35">
      <c r="B211" s="7"/>
      <c r="C211" s="7"/>
      <c r="D211" s="11"/>
      <c r="E211" s="11"/>
    </row>
    <row r="212" spans="2:5" ht="14.25" customHeight="1" x14ac:dyDescent="0.35">
      <c r="B212" s="7"/>
      <c r="C212" s="7"/>
      <c r="D212" s="11"/>
      <c r="E212" s="11"/>
    </row>
    <row r="213" spans="2:5" ht="14.25" customHeight="1" x14ac:dyDescent="0.35">
      <c r="B213" s="7"/>
      <c r="C213" s="7"/>
      <c r="D213" s="11"/>
      <c r="E213" s="11"/>
    </row>
    <row r="214" spans="2:5" ht="14.25" customHeight="1" x14ac:dyDescent="0.35">
      <c r="B214" s="7"/>
      <c r="C214" s="7"/>
      <c r="D214" s="11"/>
      <c r="E214" s="11"/>
    </row>
    <row r="215" spans="2:5" ht="14.25" customHeight="1" x14ac:dyDescent="0.35">
      <c r="B215" s="7"/>
      <c r="C215" s="7"/>
      <c r="D215" s="11"/>
      <c r="E215" s="11"/>
    </row>
    <row r="216" spans="2:5" ht="14.25" customHeight="1" x14ac:dyDescent="0.35">
      <c r="B216" s="7"/>
      <c r="C216" s="7"/>
      <c r="D216" s="11"/>
      <c r="E216" s="11"/>
    </row>
    <row r="217" spans="2:5" ht="14.25" customHeight="1" x14ac:dyDescent="0.35">
      <c r="B217" s="7"/>
      <c r="C217" s="7"/>
      <c r="D217" s="11"/>
      <c r="E217" s="11"/>
    </row>
    <row r="218" spans="2:5" ht="14.25" customHeight="1" x14ac:dyDescent="0.35">
      <c r="B218" s="7"/>
      <c r="C218" s="7"/>
      <c r="D218" s="11"/>
      <c r="E218" s="11"/>
    </row>
    <row r="219" spans="2:5" ht="14.25" customHeight="1" x14ac:dyDescent="0.35">
      <c r="B219" s="7"/>
      <c r="C219" s="7"/>
      <c r="D219" s="11"/>
      <c r="E219" s="11"/>
    </row>
    <row r="220" spans="2:5" ht="14.25" customHeight="1" x14ac:dyDescent="0.35">
      <c r="B220" s="7"/>
      <c r="C220" s="7"/>
      <c r="D220" s="11"/>
      <c r="E220" s="11"/>
    </row>
    <row r="221" spans="2:5" ht="14.25" customHeight="1" x14ac:dyDescent="0.35">
      <c r="B221" s="7"/>
      <c r="C221" s="7"/>
      <c r="D221" s="11"/>
      <c r="E221" s="11"/>
    </row>
    <row r="222" spans="2:5" ht="14.25" customHeight="1" x14ac:dyDescent="0.35">
      <c r="B222" s="7"/>
      <c r="C222" s="7"/>
      <c r="D222" s="11"/>
      <c r="E222" s="11"/>
    </row>
    <row r="223" spans="2:5" ht="14.25" customHeight="1" x14ac:dyDescent="0.35">
      <c r="B223" s="7"/>
      <c r="C223" s="7"/>
      <c r="D223" s="11"/>
      <c r="E223" s="11"/>
    </row>
    <row r="224" spans="2:5" ht="14.25" customHeight="1" x14ac:dyDescent="0.35">
      <c r="B224" s="7"/>
      <c r="C224" s="7"/>
      <c r="D224" s="11"/>
      <c r="E224" s="11"/>
    </row>
    <row r="225" spans="2:5" ht="14.25" customHeight="1" x14ac:dyDescent="0.35">
      <c r="B225" s="7"/>
      <c r="C225" s="7"/>
      <c r="D225" s="11"/>
      <c r="E225" s="11"/>
    </row>
    <row r="226" spans="2:5" ht="14.25" customHeight="1" x14ac:dyDescent="0.35">
      <c r="B226" s="7"/>
      <c r="C226" s="7"/>
      <c r="D226" s="11"/>
      <c r="E226" s="11"/>
    </row>
    <row r="227" spans="2:5" ht="14.25" customHeight="1" x14ac:dyDescent="0.35">
      <c r="B227" s="7"/>
      <c r="C227" s="7"/>
      <c r="D227" s="11"/>
      <c r="E227" s="11"/>
    </row>
    <row r="228" spans="2:5" ht="14.25" customHeight="1" x14ac:dyDescent="0.35">
      <c r="B228" s="7"/>
      <c r="C228" s="7"/>
      <c r="D228" s="11"/>
      <c r="E228" s="11"/>
    </row>
    <row r="229" spans="2:5" ht="14.25" customHeight="1" x14ac:dyDescent="0.35">
      <c r="B229" s="7"/>
      <c r="C229" s="7"/>
      <c r="D229" s="11"/>
      <c r="E229" s="11"/>
    </row>
    <row r="230" spans="2:5" ht="14.25" customHeight="1" x14ac:dyDescent="0.35">
      <c r="B230" s="7"/>
      <c r="C230" s="7"/>
      <c r="D230" s="11"/>
      <c r="E230" s="11"/>
    </row>
    <row r="231" spans="2:5" ht="14.25" customHeight="1" x14ac:dyDescent="0.35">
      <c r="B231" s="7"/>
      <c r="C231" s="7"/>
      <c r="D231" s="11"/>
      <c r="E231" s="11"/>
    </row>
    <row r="232" spans="2:5" ht="14.25" customHeight="1" x14ac:dyDescent="0.35">
      <c r="B232" s="7"/>
      <c r="C232" s="7"/>
      <c r="D232" s="11"/>
      <c r="E232" s="11"/>
    </row>
    <row r="233" spans="2:5" ht="14.25" customHeight="1" x14ac:dyDescent="0.35">
      <c r="B233" s="7"/>
      <c r="C233" s="7"/>
      <c r="D233" s="11"/>
      <c r="E233" s="11"/>
    </row>
    <row r="234" spans="2:5" ht="14.25" customHeight="1" x14ac:dyDescent="0.35">
      <c r="B234" s="7"/>
      <c r="C234" s="7"/>
      <c r="D234" s="11"/>
      <c r="E234" s="11"/>
    </row>
    <row r="235" spans="2:5" ht="14.25" customHeight="1" x14ac:dyDescent="0.35">
      <c r="B235" s="7"/>
      <c r="C235" s="7"/>
      <c r="D235" s="11"/>
      <c r="E235" s="11"/>
    </row>
    <row r="236" spans="2:5" ht="14.25" customHeight="1" x14ac:dyDescent="0.35">
      <c r="B236" s="7"/>
      <c r="C236" s="7"/>
      <c r="D236" s="11"/>
      <c r="E236" s="11"/>
    </row>
    <row r="237" spans="2:5" ht="14.25" customHeight="1" x14ac:dyDescent="0.35">
      <c r="B237" s="7"/>
      <c r="C237" s="7"/>
      <c r="D237" s="11"/>
      <c r="E237" s="11"/>
    </row>
    <row r="238" spans="2:5" ht="14.25" customHeight="1" x14ac:dyDescent="0.35">
      <c r="B238" s="7"/>
      <c r="C238" s="7"/>
      <c r="D238" s="11"/>
      <c r="E238" s="11"/>
    </row>
    <row r="239" spans="2:5" ht="14.25" customHeight="1" x14ac:dyDescent="0.35">
      <c r="B239" s="7"/>
      <c r="C239" s="7"/>
      <c r="D239" s="11"/>
      <c r="E239" s="11"/>
    </row>
    <row r="240" spans="2:5" ht="14.25" customHeight="1" x14ac:dyDescent="0.35">
      <c r="B240" s="7"/>
      <c r="C240" s="7"/>
      <c r="D240" s="11"/>
      <c r="E240" s="11"/>
    </row>
    <row r="241" spans="2:5" ht="14.25" customHeight="1" x14ac:dyDescent="0.35">
      <c r="B241" s="7"/>
      <c r="C241" s="7"/>
      <c r="D241" s="11"/>
      <c r="E241" s="11"/>
    </row>
    <row r="242" spans="2:5" ht="14.25" customHeight="1" x14ac:dyDescent="0.35">
      <c r="B242" s="7"/>
      <c r="C242" s="7"/>
      <c r="D242" s="11"/>
      <c r="E242" s="11"/>
    </row>
    <row r="243" spans="2:5" ht="14.25" customHeight="1" x14ac:dyDescent="0.35">
      <c r="B243" s="7"/>
      <c r="C243" s="7"/>
      <c r="D243" s="11"/>
      <c r="E243" s="11"/>
    </row>
    <row r="244" spans="2:5" ht="14.25" customHeight="1" x14ac:dyDescent="0.35">
      <c r="B244" s="7"/>
      <c r="C244" s="7"/>
      <c r="D244" s="11"/>
      <c r="E244" s="11"/>
    </row>
    <row r="245" spans="2:5" ht="14.25" customHeight="1" x14ac:dyDescent="0.35">
      <c r="B245" s="7"/>
      <c r="C245" s="7"/>
      <c r="D245" s="11"/>
      <c r="E245" s="11"/>
    </row>
    <row r="246" spans="2:5" ht="14.25" customHeight="1" x14ac:dyDescent="0.35">
      <c r="B246" s="7"/>
      <c r="C246" s="7"/>
      <c r="D246" s="11"/>
      <c r="E246" s="11"/>
    </row>
    <row r="247" spans="2:5" ht="14.25" customHeight="1" x14ac:dyDescent="0.35">
      <c r="B247" s="7"/>
      <c r="C247" s="7"/>
      <c r="D247" s="11"/>
      <c r="E247" s="11"/>
    </row>
    <row r="248" spans="2:5" ht="14.25" customHeight="1" x14ac:dyDescent="0.35">
      <c r="B248" s="7"/>
      <c r="C248" s="7"/>
      <c r="D248" s="11"/>
      <c r="E248" s="11"/>
    </row>
    <row r="249" spans="2:5" ht="14.25" customHeight="1" x14ac:dyDescent="0.35">
      <c r="B249" s="7"/>
      <c r="C249" s="7"/>
      <c r="D249" s="11"/>
      <c r="E249" s="11"/>
    </row>
    <row r="250" spans="2:5" ht="14.25" customHeight="1" x14ac:dyDescent="0.35">
      <c r="B250" s="7"/>
      <c r="C250" s="7"/>
      <c r="D250" s="11"/>
      <c r="E250" s="11"/>
    </row>
    <row r="251" spans="2:5" ht="14.25" customHeight="1" x14ac:dyDescent="0.35">
      <c r="B251" s="7"/>
      <c r="C251" s="7"/>
      <c r="D251" s="11"/>
      <c r="E251" s="11"/>
    </row>
    <row r="252" spans="2:5" ht="14.25" customHeight="1" x14ac:dyDescent="0.35">
      <c r="B252" s="7"/>
      <c r="C252" s="7"/>
      <c r="D252" s="11"/>
      <c r="E252" s="11"/>
    </row>
    <row r="253" spans="2:5" ht="14.25" customHeight="1" x14ac:dyDescent="0.35">
      <c r="B253" s="7"/>
      <c r="C253" s="7"/>
      <c r="D253" s="11"/>
      <c r="E253" s="11"/>
    </row>
    <row r="254" spans="2:5" ht="14.25" customHeight="1" x14ac:dyDescent="0.35">
      <c r="B254" s="7"/>
      <c r="C254" s="7"/>
      <c r="D254" s="11"/>
      <c r="E254" s="11"/>
    </row>
    <row r="255" spans="2:5" ht="14.25" customHeight="1" x14ac:dyDescent="0.35">
      <c r="B255" s="7"/>
      <c r="C255" s="7"/>
      <c r="D255" s="11"/>
      <c r="E255" s="11"/>
    </row>
    <row r="256" spans="2:5" ht="14.25" customHeight="1" x14ac:dyDescent="0.35">
      <c r="B256" s="7"/>
      <c r="C256" s="7"/>
      <c r="D256" s="11"/>
      <c r="E256" s="11"/>
    </row>
    <row r="257" spans="2:5" ht="14.25" customHeight="1" x14ac:dyDescent="0.35">
      <c r="B257" s="7"/>
      <c r="C257" s="7"/>
      <c r="D257" s="11"/>
      <c r="E257" s="11"/>
    </row>
    <row r="258" spans="2:5" ht="14.25" customHeight="1" x14ac:dyDescent="0.35">
      <c r="B258" s="7"/>
      <c r="C258" s="7"/>
      <c r="D258" s="11"/>
      <c r="E258" s="11"/>
    </row>
    <row r="259" spans="2:5" ht="14.25" customHeight="1" x14ac:dyDescent="0.35">
      <c r="B259" s="7"/>
      <c r="C259" s="7"/>
      <c r="D259" s="11"/>
      <c r="E259" s="11"/>
    </row>
    <row r="260" spans="2:5" ht="14.25" customHeight="1" x14ac:dyDescent="0.35">
      <c r="B260" s="7"/>
      <c r="C260" s="7"/>
      <c r="D260" s="11"/>
      <c r="E260" s="11"/>
    </row>
    <row r="261" spans="2:5" ht="14.25" customHeight="1" x14ac:dyDescent="0.35">
      <c r="B261" s="7"/>
      <c r="C261" s="7"/>
      <c r="D261" s="11"/>
      <c r="E261" s="11"/>
    </row>
    <row r="262" spans="2:5" ht="14.25" customHeight="1" x14ac:dyDescent="0.35">
      <c r="B262" s="7"/>
      <c r="C262" s="7"/>
      <c r="D262" s="11"/>
      <c r="E262" s="11"/>
    </row>
    <row r="263" spans="2:5" ht="14.25" customHeight="1" x14ac:dyDescent="0.35">
      <c r="B263" s="7"/>
      <c r="C263" s="7"/>
      <c r="D263" s="11"/>
      <c r="E263" s="11"/>
    </row>
    <row r="264" spans="2:5" ht="14.25" customHeight="1" x14ac:dyDescent="0.35">
      <c r="B264" s="7"/>
      <c r="C264" s="7"/>
      <c r="D264" s="11"/>
      <c r="E264" s="11"/>
    </row>
    <row r="265" spans="2:5" ht="14.25" customHeight="1" x14ac:dyDescent="0.35">
      <c r="B265" s="7"/>
      <c r="C265" s="7"/>
      <c r="D265" s="11"/>
      <c r="E265" s="11"/>
    </row>
    <row r="266" spans="2:5" ht="14.25" customHeight="1" x14ac:dyDescent="0.35">
      <c r="B266" s="7"/>
      <c r="C266" s="7"/>
      <c r="D266" s="11"/>
      <c r="E266" s="11"/>
    </row>
    <row r="267" spans="2:5" ht="14.25" customHeight="1" x14ac:dyDescent="0.35">
      <c r="B267" s="7"/>
      <c r="C267" s="7"/>
      <c r="D267" s="11"/>
      <c r="E267" s="11"/>
    </row>
    <row r="268" spans="2:5" ht="14.25" customHeight="1" x14ac:dyDescent="0.35">
      <c r="B268" s="7"/>
      <c r="C268" s="7"/>
      <c r="D268" s="11"/>
      <c r="E268" s="11"/>
    </row>
    <row r="269" spans="2:5" ht="14.25" customHeight="1" x14ac:dyDescent="0.35">
      <c r="B269" s="7"/>
      <c r="C269" s="7"/>
      <c r="D269" s="11"/>
      <c r="E269" s="11"/>
    </row>
    <row r="270" spans="2:5" ht="14.25" customHeight="1" x14ac:dyDescent="0.35">
      <c r="B270" s="7"/>
      <c r="C270" s="7"/>
      <c r="D270" s="11"/>
      <c r="E270" s="11"/>
    </row>
    <row r="271" spans="2:5" ht="14.25" customHeight="1" x14ac:dyDescent="0.35">
      <c r="B271" s="7"/>
      <c r="C271" s="7"/>
      <c r="D271" s="11"/>
      <c r="E271" s="11"/>
    </row>
    <row r="272" spans="2:5" ht="14.25" customHeight="1" x14ac:dyDescent="0.35">
      <c r="B272" s="7"/>
      <c r="C272" s="7"/>
      <c r="D272" s="11"/>
      <c r="E272" s="11"/>
    </row>
    <row r="273" spans="2:5" ht="14.25" customHeight="1" x14ac:dyDescent="0.35">
      <c r="B273" s="7"/>
      <c r="C273" s="7"/>
      <c r="D273" s="11"/>
      <c r="E273" s="11"/>
    </row>
    <row r="274" spans="2:5" ht="14.25" customHeight="1" x14ac:dyDescent="0.35">
      <c r="B274" s="7"/>
      <c r="C274" s="7"/>
      <c r="D274" s="11"/>
      <c r="E274" s="11"/>
    </row>
    <row r="275" spans="2:5" ht="14.25" customHeight="1" x14ac:dyDescent="0.35">
      <c r="B275" s="7"/>
      <c r="C275" s="7"/>
      <c r="D275" s="11"/>
      <c r="E275" s="11"/>
    </row>
    <row r="276" spans="2:5" ht="14.25" customHeight="1" x14ac:dyDescent="0.35">
      <c r="B276" s="7"/>
      <c r="C276" s="7"/>
      <c r="D276" s="11"/>
      <c r="E276" s="11"/>
    </row>
    <row r="277" spans="2:5" ht="14.25" customHeight="1" x14ac:dyDescent="0.35">
      <c r="B277" s="7"/>
      <c r="C277" s="7"/>
      <c r="D277" s="11"/>
      <c r="E277" s="11"/>
    </row>
    <row r="278" spans="2:5" ht="14.25" customHeight="1" x14ac:dyDescent="0.35">
      <c r="B278" s="7"/>
      <c r="C278" s="7"/>
      <c r="D278" s="11"/>
      <c r="E278" s="11"/>
    </row>
    <row r="279" spans="2:5" ht="14.25" customHeight="1" x14ac:dyDescent="0.35">
      <c r="B279" s="7"/>
      <c r="C279" s="7"/>
      <c r="D279" s="11"/>
      <c r="E279" s="11"/>
    </row>
    <row r="280" spans="2:5" ht="14.25" customHeight="1" x14ac:dyDescent="0.35">
      <c r="B280" s="7"/>
      <c r="C280" s="7"/>
      <c r="D280" s="11"/>
      <c r="E280" s="11"/>
    </row>
    <row r="281" spans="2:5" ht="14.25" customHeight="1" x14ac:dyDescent="0.35">
      <c r="B281" s="7"/>
      <c r="C281" s="7"/>
      <c r="D281" s="11"/>
      <c r="E281" s="11"/>
    </row>
    <row r="282" spans="2:5" ht="14.25" customHeight="1" x14ac:dyDescent="0.35">
      <c r="B282" s="7"/>
      <c r="C282" s="7"/>
      <c r="D282" s="11"/>
      <c r="E282" s="11"/>
    </row>
    <row r="283" spans="2:5" ht="14.25" customHeight="1" x14ac:dyDescent="0.35">
      <c r="B283" s="7"/>
      <c r="C283" s="7"/>
      <c r="D283" s="11"/>
      <c r="E283" s="11"/>
    </row>
    <row r="284" spans="2:5" ht="14.25" customHeight="1" x14ac:dyDescent="0.35">
      <c r="B284" s="7"/>
      <c r="C284" s="7"/>
      <c r="D284" s="11"/>
      <c r="E284" s="11"/>
    </row>
    <row r="285" spans="2:5" ht="14.25" customHeight="1" x14ac:dyDescent="0.35">
      <c r="B285" s="7"/>
      <c r="C285" s="7"/>
      <c r="D285" s="11"/>
      <c r="E285" s="11"/>
    </row>
    <row r="286" spans="2:5" ht="14.25" customHeight="1" x14ac:dyDescent="0.35">
      <c r="B286" s="7"/>
      <c r="C286" s="7"/>
      <c r="D286" s="11"/>
      <c r="E286" s="11"/>
    </row>
    <row r="287" spans="2:5" ht="14.25" customHeight="1" x14ac:dyDescent="0.35">
      <c r="B287" s="7"/>
      <c r="C287" s="7"/>
      <c r="D287" s="11"/>
      <c r="E287" s="11"/>
    </row>
    <row r="288" spans="2:5" ht="14.25" customHeight="1" x14ac:dyDescent="0.35">
      <c r="B288" s="7"/>
      <c r="C288" s="7"/>
      <c r="D288" s="11"/>
      <c r="E288" s="11"/>
    </row>
    <row r="289" spans="2:5" ht="14.25" customHeight="1" x14ac:dyDescent="0.35">
      <c r="B289" s="7"/>
      <c r="C289" s="7"/>
      <c r="D289" s="11"/>
      <c r="E289" s="11"/>
    </row>
    <row r="290" spans="2:5" ht="14.25" customHeight="1" x14ac:dyDescent="0.35">
      <c r="B290" s="7"/>
      <c r="C290" s="7"/>
      <c r="D290" s="11"/>
      <c r="E290" s="11"/>
    </row>
    <row r="291" spans="2:5" ht="14.25" customHeight="1" x14ac:dyDescent="0.35">
      <c r="B291" s="7"/>
      <c r="C291" s="7"/>
      <c r="D291" s="11"/>
      <c r="E291" s="11"/>
    </row>
    <row r="292" spans="2:5" ht="14.25" customHeight="1" x14ac:dyDescent="0.35">
      <c r="B292" s="7"/>
      <c r="C292" s="7"/>
      <c r="D292" s="11"/>
      <c r="E292" s="11"/>
    </row>
    <row r="293" spans="2:5" ht="14.25" customHeight="1" x14ac:dyDescent="0.35">
      <c r="B293" s="7"/>
      <c r="C293" s="7"/>
      <c r="D293" s="11"/>
      <c r="E293" s="11"/>
    </row>
    <row r="294" spans="2:5" ht="14.25" customHeight="1" x14ac:dyDescent="0.35">
      <c r="B294" s="7"/>
      <c r="C294" s="7"/>
      <c r="D294" s="11"/>
      <c r="E294" s="11"/>
    </row>
    <row r="295" spans="2:5" ht="14.25" customHeight="1" x14ac:dyDescent="0.35">
      <c r="B295" s="7"/>
      <c r="C295" s="7"/>
      <c r="D295" s="11"/>
      <c r="E295" s="11"/>
    </row>
    <row r="296" spans="2:5" ht="14.25" customHeight="1" x14ac:dyDescent="0.35">
      <c r="B296" s="7"/>
      <c r="C296" s="7"/>
      <c r="D296" s="11"/>
      <c r="E296" s="11"/>
    </row>
    <row r="297" spans="2:5" ht="14.25" customHeight="1" x14ac:dyDescent="0.35">
      <c r="B297" s="7"/>
      <c r="C297" s="7"/>
      <c r="D297" s="11"/>
      <c r="E297" s="11"/>
    </row>
    <row r="298" spans="2:5" ht="14.25" customHeight="1" x14ac:dyDescent="0.35">
      <c r="B298" s="7"/>
      <c r="C298" s="7"/>
      <c r="D298" s="11"/>
      <c r="E298" s="11"/>
    </row>
    <row r="299" spans="2:5" ht="14.25" customHeight="1" x14ac:dyDescent="0.35">
      <c r="B299" s="7"/>
      <c r="C299" s="7"/>
      <c r="D299" s="11"/>
      <c r="E299" s="11"/>
    </row>
    <row r="300" spans="2:5" ht="14.25" customHeight="1" x14ac:dyDescent="0.35">
      <c r="B300" s="7"/>
      <c r="C300" s="7"/>
      <c r="D300" s="11"/>
      <c r="E300" s="11"/>
    </row>
    <row r="301" spans="2:5" ht="14.25" customHeight="1" x14ac:dyDescent="0.35">
      <c r="B301" s="7"/>
      <c r="C301" s="7"/>
      <c r="D301" s="11"/>
      <c r="E301" s="11"/>
    </row>
    <row r="302" spans="2:5" ht="14.25" customHeight="1" x14ac:dyDescent="0.35">
      <c r="B302" s="7"/>
      <c r="C302" s="7"/>
      <c r="D302" s="11"/>
      <c r="E302" s="11"/>
    </row>
    <row r="303" spans="2:5" ht="14.25" customHeight="1" x14ac:dyDescent="0.35">
      <c r="B303" s="7"/>
      <c r="C303" s="7"/>
      <c r="D303" s="11"/>
      <c r="E303" s="11"/>
    </row>
    <row r="304" spans="2:5" ht="14.25" customHeight="1" x14ac:dyDescent="0.35">
      <c r="B304" s="7"/>
      <c r="C304" s="7"/>
      <c r="D304" s="11"/>
      <c r="E304" s="11"/>
    </row>
    <row r="305" spans="2:5" ht="14.25" customHeight="1" x14ac:dyDescent="0.35">
      <c r="B305" s="7"/>
      <c r="C305" s="7"/>
      <c r="D305" s="11"/>
      <c r="E305" s="11"/>
    </row>
    <row r="306" spans="2:5" ht="14.25" customHeight="1" x14ac:dyDescent="0.35">
      <c r="B306" s="7"/>
      <c r="C306" s="7"/>
      <c r="D306" s="11"/>
      <c r="E306" s="11"/>
    </row>
    <row r="307" spans="2:5" ht="14.25" customHeight="1" x14ac:dyDescent="0.35">
      <c r="B307" s="7"/>
      <c r="C307" s="7"/>
      <c r="D307" s="11"/>
      <c r="E307" s="11"/>
    </row>
    <row r="308" spans="2:5" ht="14.25" customHeight="1" x14ac:dyDescent="0.35">
      <c r="B308" s="7"/>
      <c r="C308" s="7"/>
      <c r="D308" s="11"/>
      <c r="E308" s="11"/>
    </row>
    <row r="309" spans="2:5" ht="14.25" customHeight="1" x14ac:dyDescent="0.35">
      <c r="B309" s="7"/>
      <c r="C309" s="7"/>
      <c r="D309" s="11"/>
      <c r="E309" s="11"/>
    </row>
    <row r="310" spans="2:5" ht="14.25" customHeight="1" x14ac:dyDescent="0.35">
      <c r="B310" s="7"/>
      <c r="C310" s="7"/>
      <c r="D310" s="11"/>
      <c r="E310" s="11"/>
    </row>
    <row r="311" spans="2:5" ht="14.25" customHeight="1" x14ac:dyDescent="0.35">
      <c r="B311" s="7"/>
      <c r="C311" s="7"/>
      <c r="D311" s="11"/>
      <c r="E311" s="11"/>
    </row>
    <row r="312" spans="2:5" ht="14.25" customHeight="1" x14ac:dyDescent="0.35">
      <c r="B312" s="7"/>
      <c r="C312" s="7"/>
      <c r="D312" s="11"/>
      <c r="E312" s="11"/>
    </row>
    <row r="313" spans="2:5" ht="14.25" customHeight="1" x14ac:dyDescent="0.35">
      <c r="B313" s="7"/>
      <c r="C313" s="7"/>
      <c r="D313" s="11"/>
      <c r="E313" s="11"/>
    </row>
    <row r="314" spans="2:5" ht="14.25" customHeight="1" x14ac:dyDescent="0.35">
      <c r="B314" s="7"/>
      <c r="C314" s="7"/>
      <c r="D314" s="11"/>
      <c r="E314" s="11"/>
    </row>
    <row r="315" spans="2:5" ht="14.25" customHeight="1" x14ac:dyDescent="0.35">
      <c r="B315" s="7"/>
      <c r="C315" s="7"/>
      <c r="D315" s="11"/>
      <c r="E315" s="11"/>
    </row>
    <row r="316" spans="2:5" ht="14.25" customHeight="1" x14ac:dyDescent="0.35">
      <c r="B316" s="7"/>
      <c r="C316" s="7"/>
      <c r="D316" s="11"/>
      <c r="E316" s="11"/>
    </row>
    <row r="317" spans="2:5" ht="14.25" customHeight="1" x14ac:dyDescent="0.35">
      <c r="B317" s="7"/>
      <c r="C317" s="7"/>
      <c r="D317" s="11"/>
      <c r="E317" s="11"/>
    </row>
    <row r="318" spans="2:5" ht="14.25" customHeight="1" x14ac:dyDescent="0.35">
      <c r="B318" s="7"/>
      <c r="C318" s="7"/>
      <c r="D318" s="11"/>
      <c r="E318" s="11"/>
    </row>
    <row r="319" spans="2:5" ht="14.25" customHeight="1" x14ac:dyDescent="0.35">
      <c r="B319" s="7"/>
      <c r="C319" s="7"/>
      <c r="D319" s="11"/>
      <c r="E319" s="11"/>
    </row>
    <row r="320" spans="2:5" ht="14.25" customHeight="1" x14ac:dyDescent="0.35">
      <c r="B320" s="7"/>
      <c r="C320" s="7"/>
      <c r="D320" s="11"/>
      <c r="E320" s="11"/>
    </row>
    <row r="321" spans="2:5" ht="14.25" customHeight="1" x14ac:dyDescent="0.35">
      <c r="B321" s="7"/>
      <c r="C321" s="7"/>
      <c r="D321" s="11"/>
      <c r="E321" s="11"/>
    </row>
    <row r="322" spans="2:5" ht="14.25" customHeight="1" x14ac:dyDescent="0.35">
      <c r="B322" s="7"/>
      <c r="C322" s="7"/>
      <c r="D322" s="11"/>
      <c r="E322" s="11"/>
    </row>
    <row r="323" spans="2:5" ht="14.25" customHeight="1" x14ac:dyDescent="0.35">
      <c r="B323" s="7"/>
      <c r="C323" s="7"/>
      <c r="D323" s="11"/>
      <c r="E323" s="11"/>
    </row>
    <row r="324" spans="2:5" ht="14.25" customHeight="1" x14ac:dyDescent="0.35">
      <c r="B324" s="7"/>
      <c r="C324" s="7"/>
      <c r="D324" s="11"/>
      <c r="E324" s="11"/>
    </row>
    <row r="325" spans="2:5" ht="14.25" customHeight="1" x14ac:dyDescent="0.35">
      <c r="B325" s="7"/>
      <c r="C325" s="7"/>
      <c r="D325" s="11"/>
      <c r="E325" s="11"/>
    </row>
    <row r="326" spans="2:5" ht="14.25" customHeight="1" x14ac:dyDescent="0.35">
      <c r="B326" s="7"/>
      <c r="C326" s="7"/>
      <c r="D326" s="11"/>
      <c r="E326" s="11"/>
    </row>
    <row r="327" spans="2:5" ht="14.25" customHeight="1" x14ac:dyDescent="0.35">
      <c r="B327" s="7"/>
      <c r="C327" s="7"/>
      <c r="D327" s="11"/>
      <c r="E327" s="11"/>
    </row>
    <row r="328" spans="2:5" ht="14.25" customHeight="1" x14ac:dyDescent="0.35">
      <c r="B328" s="7"/>
      <c r="C328" s="7"/>
      <c r="D328" s="11"/>
      <c r="E328" s="11"/>
    </row>
    <row r="329" spans="2:5" ht="14.25" customHeight="1" x14ac:dyDescent="0.35">
      <c r="B329" s="7"/>
      <c r="C329" s="7"/>
      <c r="D329" s="11"/>
      <c r="E329" s="11"/>
    </row>
    <row r="330" spans="2:5" ht="14.25" customHeight="1" x14ac:dyDescent="0.35">
      <c r="B330" s="7"/>
      <c r="C330" s="7"/>
      <c r="D330" s="11"/>
      <c r="E330" s="11"/>
    </row>
    <row r="331" spans="2:5" ht="14.25" customHeight="1" x14ac:dyDescent="0.35">
      <c r="B331" s="7"/>
      <c r="C331" s="7"/>
      <c r="D331" s="11"/>
      <c r="E331" s="11"/>
    </row>
    <row r="332" spans="2:5" ht="14.25" customHeight="1" x14ac:dyDescent="0.35">
      <c r="B332" s="7"/>
      <c r="C332" s="7"/>
      <c r="D332" s="11"/>
      <c r="E332" s="11"/>
    </row>
    <row r="333" spans="2:5" ht="14.25" customHeight="1" x14ac:dyDescent="0.35">
      <c r="B333" s="7"/>
      <c r="C333" s="7"/>
      <c r="D333" s="11"/>
      <c r="E333" s="11"/>
    </row>
    <row r="334" spans="2:5" ht="14.25" customHeight="1" x14ac:dyDescent="0.35">
      <c r="B334" s="7"/>
      <c r="C334" s="7"/>
      <c r="D334" s="11"/>
      <c r="E334" s="11"/>
    </row>
    <row r="335" spans="2:5" ht="14.25" customHeight="1" x14ac:dyDescent="0.35">
      <c r="B335" s="7"/>
      <c r="C335" s="7"/>
      <c r="D335" s="11"/>
      <c r="E335" s="11"/>
    </row>
    <row r="336" spans="2:5" ht="14.25" customHeight="1" x14ac:dyDescent="0.35">
      <c r="B336" s="7"/>
      <c r="C336" s="7"/>
      <c r="D336" s="11"/>
      <c r="E336" s="11"/>
    </row>
    <row r="337" spans="2:5" ht="14.25" customHeight="1" x14ac:dyDescent="0.35">
      <c r="B337" s="7"/>
      <c r="C337" s="7"/>
      <c r="D337" s="11"/>
      <c r="E337" s="11"/>
    </row>
    <row r="338" spans="2:5" ht="14.25" customHeight="1" x14ac:dyDescent="0.35">
      <c r="B338" s="7"/>
      <c r="C338" s="7"/>
      <c r="D338" s="11"/>
      <c r="E338" s="11"/>
    </row>
    <row r="339" spans="2:5" ht="14.25" customHeight="1" x14ac:dyDescent="0.35">
      <c r="B339" s="7"/>
      <c r="C339" s="7"/>
      <c r="D339" s="11"/>
      <c r="E339" s="11"/>
    </row>
    <row r="340" spans="2:5" ht="14.25" customHeight="1" x14ac:dyDescent="0.35">
      <c r="B340" s="7"/>
      <c r="C340" s="7"/>
      <c r="D340" s="11"/>
      <c r="E340" s="11"/>
    </row>
    <row r="341" spans="2:5" ht="14.25" customHeight="1" x14ac:dyDescent="0.35">
      <c r="B341" s="7"/>
      <c r="C341" s="7"/>
      <c r="D341" s="11"/>
      <c r="E341" s="11"/>
    </row>
    <row r="342" spans="2:5" ht="14.25" customHeight="1" x14ac:dyDescent="0.35">
      <c r="B342" s="7"/>
      <c r="C342" s="7"/>
      <c r="D342" s="11"/>
      <c r="E342" s="11"/>
    </row>
    <row r="343" spans="2:5" ht="14.25" customHeight="1" x14ac:dyDescent="0.35">
      <c r="B343" s="7"/>
      <c r="C343" s="7"/>
      <c r="D343" s="11"/>
      <c r="E343" s="11"/>
    </row>
    <row r="344" spans="2:5" ht="14.25" customHeight="1" x14ac:dyDescent="0.35">
      <c r="B344" s="7"/>
      <c r="C344" s="7"/>
      <c r="D344" s="11"/>
      <c r="E344" s="11"/>
    </row>
    <row r="345" spans="2:5" ht="14.25" customHeight="1" x14ac:dyDescent="0.35">
      <c r="B345" s="7"/>
      <c r="C345" s="7"/>
      <c r="D345" s="11"/>
      <c r="E345" s="11"/>
    </row>
    <row r="346" spans="2:5" ht="14.25" customHeight="1" x14ac:dyDescent="0.35">
      <c r="B346" s="7"/>
      <c r="C346" s="7"/>
      <c r="D346" s="11"/>
      <c r="E346" s="11"/>
    </row>
    <row r="347" spans="2:5" ht="14.25" customHeight="1" x14ac:dyDescent="0.35">
      <c r="B347" s="7"/>
      <c r="C347" s="7"/>
      <c r="D347" s="11"/>
      <c r="E347" s="11"/>
    </row>
    <row r="348" spans="2:5" ht="14.25" customHeight="1" x14ac:dyDescent="0.35">
      <c r="B348" s="7"/>
      <c r="C348" s="7"/>
      <c r="D348" s="11"/>
      <c r="E348" s="11"/>
    </row>
    <row r="349" spans="2:5" ht="14.25" customHeight="1" x14ac:dyDescent="0.35">
      <c r="B349" s="7"/>
      <c r="C349" s="7"/>
      <c r="D349" s="11"/>
      <c r="E349" s="11"/>
    </row>
    <row r="350" spans="2:5" ht="14.25" customHeight="1" x14ac:dyDescent="0.35">
      <c r="B350" s="7"/>
      <c r="C350" s="7"/>
      <c r="D350" s="11"/>
      <c r="E350" s="11"/>
    </row>
    <row r="351" spans="2:5" ht="14.25" customHeight="1" x14ac:dyDescent="0.35">
      <c r="B351" s="7"/>
      <c r="C351" s="7"/>
      <c r="D351" s="11"/>
      <c r="E351" s="11"/>
    </row>
    <row r="352" spans="2:5" ht="14.25" customHeight="1" x14ac:dyDescent="0.35">
      <c r="B352" s="7"/>
      <c r="C352" s="7"/>
      <c r="D352" s="11"/>
      <c r="E352" s="11"/>
    </row>
    <row r="353" spans="2:5" ht="14.25" customHeight="1" x14ac:dyDescent="0.35">
      <c r="B353" s="7"/>
      <c r="C353" s="7"/>
      <c r="D353" s="11"/>
      <c r="E353" s="11"/>
    </row>
    <row r="354" spans="2:5" ht="14.25" customHeight="1" x14ac:dyDescent="0.35">
      <c r="B354" s="7"/>
      <c r="C354" s="7"/>
      <c r="D354" s="11"/>
      <c r="E354" s="11"/>
    </row>
    <row r="355" spans="2:5" ht="14.25" customHeight="1" x14ac:dyDescent="0.35">
      <c r="B355" s="7"/>
      <c r="C355" s="7"/>
      <c r="D355" s="11"/>
      <c r="E355" s="11"/>
    </row>
    <row r="356" spans="2:5" ht="14.25" customHeight="1" x14ac:dyDescent="0.35">
      <c r="B356" s="7"/>
      <c r="C356" s="7"/>
      <c r="D356" s="11"/>
      <c r="E356" s="11"/>
    </row>
    <row r="357" spans="2:5" ht="14.25" customHeight="1" x14ac:dyDescent="0.35">
      <c r="B357" s="7"/>
      <c r="C357" s="7"/>
      <c r="D357" s="11"/>
      <c r="E357" s="11"/>
    </row>
    <row r="358" spans="2:5" ht="14.25" customHeight="1" x14ac:dyDescent="0.35">
      <c r="B358" s="7"/>
      <c r="C358" s="7"/>
      <c r="D358" s="11"/>
      <c r="E358" s="11"/>
    </row>
    <row r="359" spans="2:5" ht="14.25" customHeight="1" x14ac:dyDescent="0.35">
      <c r="B359" s="7"/>
      <c r="C359" s="7"/>
      <c r="D359" s="11"/>
      <c r="E359" s="11"/>
    </row>
    <row r="360" spans="2:5" ht="14.25" customHeight="1" x14ac:dyDescent="0.35">
      <c r="B360" s="7"/>
      <c r="C360" s="7"/>
      <c r="D360" s="11"/>
      <c r="E360" s="11"/>
    </row>
    <row r="361" spans="2:5" ht="14.25" customHeight="1" x14ac:dyDescent="0.35">
      <c r="B361" s="7"/>
      <c r="C361" s="7"/>
      <c r="D361" s="11"/>
      <c r="E361" s="11"/>
    </row>
    <row r="362" spans="2:5" ht="14.25" customHeight="1" x14ac:dyDescent="0.35">
      <c r="B362" s="7"/>
      <c r="C362" s="7"/>
      <c r="D362" s="11"/>
      <c r="E362" s="11"/>
    </row>
    <row r="363" spans="2:5" ht="14.25" customHeight="1" x14ac:dyDescent="0.35">
      <c r="B363" s="7"/>
      <c r="C363" s="7"/>
      <c r="D363" s="11"/>
      <c r="E363" s="11"/>
    </row>
    <row r="364" spans="2:5" ht="14.25" customHeight="1" x14ac:dyDescent="0.35">
      <c r="B364" s="7"/>
      <c r="C364" s="7"/>
      <c r="D364" s="11"/>
      <c r="E364" s="11"/>
    </row>
    <row r="365" spans="2:5" ht="14.25" customHeight="1" x14ac:dyDescent="0.35">
      <c r="B365" s="7"/>
      <c r="C365" s="7"/>
      <c r="D365" s="11"/>
      <c r="E365" s="11"/>
    </row>
    <row r="366" spans="2:5" ht="14.25" customHeight="1" x14ac:dyDescent="0.35">
      <c r="B366" s="7"/>
      <c r="C366" s="7"/>
      <c r="D366" s="11"/>
      <c r="E366" s="11"/>
    </row>
    <row r="367" spans="2:5" ht="14.25" customHeight="1" x14ac:dyDescent="0.35">
      <c r="B367" s="7"/>
      <c r="C367" s="7"/>
      <c r="D367" s="11"/>
      <c r="E367" s="11"/>
    </row>
    <row r="368" spans="2:5" ht="14.25" customHeight="1" x14ac:dyDescent="0.35">
      <c r="B368" s="7"/>
      <c r="C368" s="7"/>
      <c r="D368" s="11"/>
      <c r="E368" s="11"/>
    </row>
    <row r="369" spans="2:5" ht="14.25" customHeight="1" x14ac:dyDescent="0.35">
      <c r="B369" s="7"/>
      <c r="C369" s="7"/>
      <c r="D369" s="11"/>
      <c r="E369" s="11"/>
    </row>
    <row r="370" spans="2:5" ht="14.25" customHeight="1" x14ac:dyDescent="0.35">
      <c r="B370" s="7"/>
      <c r="C370" s="7"/>
      <c r="D370" s="11"/>
      <c r="E370" s="11"/>
    </row>
    <row r="371" spans="2:5" ht="14.25" customHeight="1" x14ac:dyDescent="0.35">
      <c r="B371" s="7"/>
      <c r="C371" s="7"/>
      <c r="D371" s="11"/>
      <c r="E371" s="11"/>
    </row>
    <row r="372" spans="2:5" ht="14.25" customHeight="1" x14ac:dyDescent="0.35">
      <c r="B372" s="7"/>
      <c r="C372" s="7"/>
      <c r="D372" s="11"/>
      <c r="E372" s="11"/>
    </row>
    <row r="373" spans="2:5" ht="14.25" customHeight="1" x14ac:dyDescent="0.35">
      <c r="B373" s="7"/>
      <c r="C373" s="7"/>
      <c r="D373" s="11"/>
      <c r="E373" s="11"/>
    </row>
    <row r="374" spans="2:5" ht="14.25" customHeight="1" x14ac:dyDescent="0.35">
      <c r="B374" s="7"/>
      <c r="C374" s="7"/>
      <c r="D374" s="11"/>
      <c r="E374" s="11"/>
    </row>
    <row r="375" spans="2:5" ht="14.25" customHeight="1" x14ac:dyDescent="0.35">
      <c r="B375" s="7"/>
      <c r="C375" s="7"/>
      <c r="D375" s="11"/>
      <c r="E375" s="11"/>
    </row>
    <row r="376" spans="2:5" ht="14.25" customHeight="1" x14ac:dyDescent="0.35">
      <c r="B376" s="7"/>
      <c r="C376" s="7"/>
      <c r="D376" s="11"/>
      <c r="E376" s="11"/>
    </row>
    <row r="377" spans="2:5" ht="14.25" customHeight="1" x14ac:dyDescent="0.35">
      <c r="B377" s="7"/>
      <c r="C377" s="7"/>
      <c r="D377" s="11"/>
      <c r="E377" s="11"/>
    </row>
    <row r="378" spans="2:5" ht="14.25" customHeight="1" x14ac:dyDescent="0.35">
      <c r="B378" s="7"/>
      <c r="C378" s="7"/>
      <c r="D378" s="11"/>
      <c r="E378" s="11"/>
    </row>
    <row r="379" spans="2:5" ht="14.25" customHeight="1" x14ac:dyDescent="0.35">
      <c r="B379" s="7"/>
      <c r="C379" s="7"/>
      <c r="D379" s="11"/>
      <c r="E379" s="11"/>
    </row>
    <row r="380" spans="2:5" ht="14.25" customHeight="1" x14ac:dyDescent="0.35">
      <c r="B380" s="7"/>
      <c r="C380" s="7"/>
      <c r="D380" s="11"/>
      <c r="E380" s="11"/>
    </row>
    <row r="381" spans="2:5" ht="14.25" customHeight="1" x14ac:dyDescent="0.35">
      <c r="B381" s="7"/>
      <c r="C381" s="7"/>
      <c r="D381" s="11"/>
      <c r="E381" s="11"/>
    </row>
    <row r="382" spans="2:5" ht="14.25" customHeight="1" x14ac:dyDescent="0.35">
      <c r="B382" s="7"/>
      <c r="C382" s="7"/>
      <c r="D382" s="11"/>
      <c r="E382" s="11"/>
    </row>
    <row r="383" spans="2:5" ht="14.25" customHeight="1" x14ac:dyDescent="0.35">
      <c r="B383" s="7"/>
      <c r="C383" s="7"/>
      <c r="D383" s="11"/>
      <c r="E383" s="11"/>
    </row>
    <row r="384" spans="2:5" ht="14.25" customHeight="1" x14ac:dyDescent="0.35">
      <c r="B384" s="7"/>
      <c r="C384" s="7"/>
      <c r="D384" s="11"/>
      <c r="E384" s="11"/>
    </row>
    <row r="385" spans="2:5" ht="14.25" customHeight="1" x14ac:dyDescent="0.35">
      <c r="B385" s="7"/>
      <c r="C385" s="7"/>
      <c r="D385" s="11"/>
      <c r="E385" s="11"/>
    </row>
    <row r="386" spans="2:5" ht="14.25" customHeight="1" x14ac:dyDescent="0.35">
      <c r="B386" s="7"/>
      <c r="C386" s="7"/>
      <c r="D386" s="11"/>
      <c r="E386" s="11"/>
    </row>
    <row r="387" spans="2:5" ht="14.25" customHeight="1" x14ac:dyDescent="0.35">
      <c r="B387" s="7"/>
      <c r="C387" s="7"/>
      <c r="D387" s="11"/>
      <c r="E387" s="11"/>
    </row>
    <row r="388" spans="2:5" ht="14.25" customHeight="1" x14ac:dyDescent="0.35">
      <c r="B388" s="7"/>
      <c r="C388" s="7"/>
      <c r="D388" s="11"/>
      <c r="E388" s="11"/>
    </row>
    <row r="389" spans="2:5" ht="14.25" customHeight="1" x14ac:dyDescent="0.35">
      <c r="B389" s="7"/>
      <c r="C389" s="7"/>
      <c r="D389" s="11"/>
      <c r="E389" s="11"/>
    </row>
    <row r="390" spans="2:5" ht="14.25" customHeight="1" x14ac:dyDescent="0.35">
      <c r="B390" s="7"/>
      <c r="C390" s="7"/>
      <c r="D390" s="11"/>
      <c r="E390" s="11"/>
    </row>
    <row r="391" spans="2:5" ht="14.25" customHeight="1" x14ac:dyDescent="0.35">
      <c r="B391" s="7"/>
      <c r="C391" s="7"/>
      <c r="D391" s="11"/>
      <c r="E391" s="11"/>
    </row>
    <row r="392" spans="2:5" ht="14.25" customHeight="1" x14ac:dyDescent="0.35">
      <c r="B392" s="7"/>
      <c r="C392" s="7"/>
      <c r="D392" s="11"/>
      <c r="E392" s="11"/>
    </row>
    <row r="393" spans="2:5" ht="14.25" customHeight="1" x14ac:dyDescent="0.35">
      <c r="B393" s="7"/>
      <c r="C393" s="7"/>
      <c r="D393" s="11"/>
      <c r="E393" s="11"/>
    </row>
    <row r="394" spans="2:5" ht="14.25" customHeight="1" x14ac:dyDescent="0.35">
      <c r="B394" s="7"/>
      <c r="C394" s="7"/>
      <c r="D394" s="11"/>
      <c r="E394" s="11"/>
    </row>
    <row r="395" spans="2:5" ht="14.25" customHeight="1" x14ac:dyDescent="0.35">
      <c r="B395" s="7"/>
      <c r="C395" s="7"/>
      <c r="D395" s="11"/>
      <c r="E395" s="11"/>
    </row>
    <row r="396" spans="2:5" ht="14.25" customHeight="1" x14ac:dyDescent="0.35">
      <c r="B396" s="7"/>
      <c r="C396" s="7"/>
      <c r="D396" s="11"/>
      <c r="E396" s="11"/>
    </row>
    <row r="397" spans="2:5" ht="14.25" customHeight="1" x14ac:dyDescent="0.35">
      <c r="B397" s="7"/>
      <c r="C397" s="7"/>
      <c r="D397" s="11"/>
      <c r="E397" s="11"/>
    </row>
    <row r="398" spans="2:5" ht="14.25" customHeight="1" x14ac:dyDescent="0.35">
      <c r="B398" s="7"/>
      <c r="C398" s="7"/>
      <c r="D398" s="11"/>
      <c r="E398" s="11"/>
    </row>
    <row r="399" spans="2:5" ht="14.25" customHeight="1" x14ac:dyDescent="0.35">
      <c r="B399" s="7"/>
      <c r="C399" s="7"/>
      <c r="D399" s="11"/>
      <c r="E399" s="11"/>
    </row>
    <row r="400" spans="2:5" ht="14.25" customHeight="1" x14ac:dyDescent="0.35">
      <c r="B400" s="7"/>
      <c r="C400" s="7"/>
      <c r="D400" s="11"/>
      <c r="E400" s="11"/>
    </row>
    <row r="401" spans="2:5" ht="14.25" customHeight="1" x14ac:dyDescent="0.35">
      <c r="B401" s="7"/>
      <c r="C401" s="7"/>
      <c r="D401" s="11"/>
      <c r="E401" s="11"/>
    </row>
    <row r="402" spans="2:5" ht="14.25" customHeight="1" x14ac:dyDescent="0.35">
      <c r="B402" s="7"/>
      <c r="C402" s="7"/>
      <c r="D402" s="11"/>
      <c r="E402" s="11"/>
    </row>
    <row r="403" spans="2:5" ht="14.25" customHeight="1" x14ac:dyDescent="0.35">
      <c r="B403" s="7"/>
      <c r="C403" s="7"/>
      <c r="D403" s="11"/>
      <c r="E403" s="11"/>
    </row>
    <row r="404" spans="2:5" ht="14.25" customHeight="1" x14ac:dyDescent="0.35">
      <c r="B404" s="7"/>
      <c r="C404" s="7"/>
      <c r="D404" s="11"/>
      <c r="E404" s="11"/>
    </row>
    <row r="405" spans="2:5" ht="14.25" customHeight="1" x14ac:dyDescent="0.35">
      <c r="B405" s="7"/>
      <c r="C405" s="7"/>
      <c r="D405" s="11"/>
      <c r="E405" s="11"/>
    </row>
    <row r="406" spans="2:5" ht="14.25" customHeight="1" x14ac:dyDescent="0.35">
      <c r="B406" s="7"/>
      <c r="C406" s="7"/>
      <c r="D406" s="11"/>
      <c r="E406" s="11"/>
    </row>
    <row r="407" spans="2:5" ht="14.25" customHeight="1" x14ac:dyDescent="0.35">
      <c r="B407" s="7"/>
      <c r="C407" s="7"/>
      <c r="D407" s="11"/>
      <c r="E407" s="11"/>
    </row>
    <row r="408" spans="2:5" ht="14.25" customHeight="1" x14ac:dyDescent="0.35">
      <c r="B408" s="7"/>
      <c r="C408" s="7"/>
      <c r="D408" s="11"/>
      <c r="E408" s="11"/>
    </row>
    <row r="409" spans="2:5" ht="14.25" customHeight="1" x14ac:dyDescent="0.35">
      <c r="B409" s="7"/>
      <c r="C409" s="7"/>
      <c r="D409" s="11"/>
      <c r="E409" s="11"/>
    </row>
    <row r="410" spans="2:5" ht="14.25" customHeight="1" x14ac:dyDescent="0.35">
      <c r="B410" s="7"/>
      <c r="C410" s="7"/>
      <c r="D410" s="11"/>
      <c r="E410" s="11"/>
    </row>
    <row r="411" spans="2:5" ht="14.25" customHeight="1" x14ac:dyDescent="0.35">
      <c r="B411" s="7"/>
      <c r="C411" s="7"/>
      <c r="D411" s="11"/>
      <c r="E411" s="11"/>
    </row>
    <row r="412" spans="2:5" ht="14.25" customHeight="1" x14ac:dyDescent="0.35">
      <c r="B412" s="7"/>
      <c r="C412" s="7"/>
      <c r="D412" s="11"/>
      <c r="E412" s="11"/>
    </row>
    <row r="413" spans="2:5" ht="14.25" customHeight="1" x14ac:dyDescent="0.35">
      <c r="B413" s="7"/>
      <c r="C413" s="7"/>
      <c r="D413" s="11"/>
      <c r="E413" s="11"/>
    </row>
    <row r="414" spans="2:5" ht="14.25" customHeight="1" x14ac:dyDescent="0.35">
      <c r="B414" s="7"/>
      <c r="C414" s="7"/>
      <c r="D414" s="11"/>
      <c r="E414" s="11"/>
    </row>
    <row r="415" spans="2:5" ht="14.25" customHeight="1" x14ac:dyDescent="0.35">
      <c r="B415" s="7"/>
      <c r="C415" s="7"/>
      <c r="D415" s="11"/>
      <c r="E415" s="11"/>
    </row>
    <row r="416" spans="2:5" ht="14.25" customHeight="1" x14ac:dyDescent="0.35">
      <c r="B416" s="7"/>
      <c r="C416" s="7"/>
      <c r="D416" s="11"/>
      <c r="E416" s="11"/>
    </row>
    <row r="417" spans="2:5" ht="14.25" customHeight="1" x14ac:dyDescent="0.35">
      <c r="B417" s="7"/>
      <c r="C417" s="7"/>
      <c r="D417" s="11"/>
      <c r="E417" s="11"/>
    </row>
    <row r="418" spans="2:5" ht="14.25" customHeight="1" x14ac:dyDescent="0.35">
      <c r="B418" s="7"/>
      <c r="C418" s="7"/>
      <c r="D418" s="11"/>
      <c r="E418" s="11"/>
    </row>
    <row r="419" spans="2:5" ht="14.25" customHeight="1" x14ac:dyDescent="0.35">
      <c r="B419" s="7"/>
      <c r="C419" s="7"/>
      <c r="D419" s="11"/>
      <c r="E419" s="11"/>
    </row>
    <row r="420" spans="2:5" ht="14.25" customHeight="1" x14ac:dyDescent="0.35">
      <c r="B420" s="7"/>
      <c r="C420" s="7"/>
      <c r="D420" s="11"/>
      <c r="E420" s="11"/>
    </row>
    <row r="421" spans="2:5" ht="14.25" customHeight="1" x14ac:dyDescent="0.35">
      <c r="B421" s="7"/>
      <c r="C421" s="7"/>
      <c r="D421" s="11"/>
      <c r="E421" s="11"/>
    </row>
    <row r="422" spans="2:5" ht="14.25" customHeight="1" x14ac:dyDescent="0.35">
      <c r="B422" s="7"/>
      <c r="C422" s="7"/>
      <c r="D422" s="11"/>
      <c r="E422" s="11"/>
    </row>
    <row r="423" spans="2:5" ht="14.25" customHeight="1" x14ac:dyDescent="0.35">
      <c r="B423" s="7"/>
      <c r="C423" s="7"/>
      <c r="D423" s="11"/>
      <c r="E423" s="11"/>
    </row>
    <row r="424" spans="2:5" ht="14.25" customHeight="1" x14ac:dyDescent="0.35">
      <c r="B424" s="7"/>
      <c r="C424" s="7"/>
      <c r="D424" s="11"/>
      <c r="E424" s="11"/>
    </row>
    <row r="425" spans="2:5" ht="14.25" customHeight="1" x14ac:dyDescent="0.35">
      <c r="B425" s="7"/>
      <c r="C425" s="7"/>
      <c r="D425" s="11"/>
      <c r="E425" s="11"/>
    </row>
    <row r="426" spans="2:5" ht="14.25" customHeight="1" x14ac:dyDescent="0.35">
      <c r="B426" s="7"/>
      <c r="C426" s="7"/>
      <c r="D426" s="11"/>
      <c r="E426" s="11"/>
    </row>
    <row r="427" spans="2:5" ht="14.25" customHeight="1" x14ac:dyDescent="0.35">
      <c r="B427" s="7"/>
      <c r="C427" s="7"/>
      <c r="D427" s="11"/>
      <c r="E427" s="11"/>
    </row>
    <row r="428" spans="2:5" ht="14.25" customHeight="1" x14ac:dyDescent="0.35">
      <c r="B428" s="7"/>
      <c r="C428" s="7"/>
      <c r="D428" s="11"/>
      <c r="E428" s="11"/>
    </row>
    <row r="429" spans="2:5" ht="14.25" customHeight="1" x14ac:dyDescent="0.35">
      <c r="B429" s="7"/>
      <c r="C429" s="7"/>
      <c r="D429" s="11"/>
      <c r="E429" s="11"/>
    </row>
    <row r="430" spans="2:5" ht="14.25" customHeight="1" x14ac:dyDescent="0.35">
      <c r="B430" s="7"/>
      <c r="C430" s="7"/>
      <c r="D430" s="11"/>
      <c r="E430" s="11"/>
    </row>
    <row r="431" spans="2:5" ht="14.25" customHeight="1" x14ac:dyDescent="0.35">
      <c r="B431" s="7"/>
      <c r="C431" s="7"/>
      <c r="D431" s="11"/>
      <c r="E431" s="11"/>
    </row>
    <row r="432" spans="2:5" ht="14.25" customHeight="1" x14ac:dyDescent="0.35">
      <c r="B432" s="7"/>
      <c r="C432" s="7"/>
      <c r="D432" s="11"/>
      <c r="E432" s="11"/>
    </row>
    <row r="433" spans="2:5" ht="14.25" customHeight="1" x14ac:dyDescent="0.35">
      <c r="B433" s="7"/>
      <c r="C433" s="7"/>
      <c r="D433" s="11"/>
      <c r="E433" s="11"/>
    </row>
    <row r="434" spans="2:5" ht="14.25" customHeight="1" x14ac:dyDescent="0.35">
      <c r="B434" s="7"/>
      <c r="C434" s="7"/>
      <c r="D434" s="11"/>
      <c r="E434" s="11"/>
    </row>
    <row r="435" spans="2:5" ht="14.25" customHeight="1" x14ac:dyDescent="0.35">
      <c r="B435" s="7"/>
      <c r="C435" s="7"/>
      <c r="D435" s="11"/>
      <c r="E435" s="11"/>
    </row>
    <row r="436" spans="2:5" ht="14.25" customHeight="1" x14ac:dyDescent="0.35">
      <c r="B436" s="7"/>
      <c r="C436" s="7"/>
      <c r="D436" s="11"/>
      <c r="E436" s="11"/>
    </row>
    <row r="437" spans="2:5" ht="14.25" customHeight="1" x14ac:dyDescent="0.35">
      <c r="B437" s="7"/>
      <c r="C437" s="7"/>
      <c r="D437" s="11"/>
      <c r="E437" s="11"/>
    </row>
    <row r="438" spans="2:5" ht="14.25" customHeight="1" x14ac:dyDescent="0.35">
      <c r="B438" s="7"/>
      <c r="C438" s="7"/>
      <c r="D438" s="11"/>
      <c r="E438" s="11"/>
    </row>
    <row r="439" spans="2:5" ht="14.25" customHeight="1" x14ac:dyDescent="0.35">
      <c r="B439" s="7"/>
      <c r="C439" s="7"/>
      <c r="D439" s="11"/>
      <c r="E439" s="11"/>
    </row>
    <row r="440" spans="2:5" ht="14.25" customHeight="1" x14ac:dyDescent="0.35">
      <c r="B440" s="7"/>
      <c r="C440" s="7"/>
      <c r="D440" s="11"/>
      <c r="E440" s="11"/>
    </row>
    <row r="441" spans="2:5" ht="14.25" customHeight="1" x14ac:dyDescent="0.35">
      <c r="B441" s="7"/>
      <c r="C441" s="7"/>
      <c r="D441" s="11"/>
      <c r="E441" s="11"/>
    </row>
    <row r="442" spans="2:5" ht="14.25" customHeight="1" x14ac:dyDescent="0.35">
      <c r="B442" s="7"/>
      <c r="C442" s="7"/>
      <c r="D442" s="11"/>
      <c r="E442" s="11"/>
    </row>
    <row r="443" spans="2:5" ht="14.25" customHeight="1" x14ac:dyDescent="0.35">
      <c r="B443" s="7"/>
      <c r="C443" s="7"/>
      <c r="D443" s="11"/>
      <c r="E443" s="11"/>
    </row>
    <row r="444" spans="2:5" ht="14.25" customHeight="1" x14ac:dyDescent="0.35">
      <c r="B444" s="7"/>
      <c r="C444" s="7"/>
      <c r="D444" s="11"/>
      <c r="E444" s="11"/>
    </row>
    <row r="445" spans="2:5" ht="14.25" customHeight="1" x14ac:dyDescent="0.35">
      <c r="B445" s="7"/>
      <c r="C445" s="7"/>
      <c r="D445" s="11"/>
      <c r="E445" s="11"/>
    </row>
    <row r="446" spans="2:5" ht="14.25" customHeight="1" x14ac:dyDescent="0.35">
      <c r="B446" s="7"/>
      <c r="C446" s="7"/>
      <c r="D446" s="11"/>
      <c r="E446" s="11"/>
    </row>
    <row r="447" spans="2:5" ht="14.25" customHeight="1" x14ac:dyDescent="0.35">
      <c r="B447" s="7"/>
      <c r="C447" s="7"/>
      <c r="D447" s="11"/>
      <c r="E447" s="11"/>
    </row>
    <row r="448" spans="2:5" ht="14.25" customHeight="1" x14ac:dyDescent="0.35">
      <c r="B448" s="7"/>
      <c r="C448" s="7"/>
      <c r="D448" s="11"/>
      <c r="E448" s="11"/>
    </row>
    <row r="449" spans="2:5" ht="14.25" customHeight="1" x14ac:dyDescent="0.35">
      <c r="B449" s="7"/>
      <c r="C449" s="7"/>
      <c r="D449" s="11"/>
      <c r="E449" s="11"/>
    </row>
    <row r="450" spans="2:5" ht="14.25" customHeight="1" x14ac:dyDescent="0.35">
      <c r="B450" s="7"/>
      <c r="C450" s="7"/>
      <c r="D450" s="11"/>
      <c r="E450" s="11"/>
    </row>
    <row r="451" spans="2:5" ht="14.25" customHeight="1" x14ac:dyDescent="0.35">
      <c r="B451" s="7"/>
      <c r="C451" s="7"/>
      <c r="D451" s="11"/>
      <c r="E451" s="11"/>
    </row>
    <row r="452" spans="2:5" ht="14.25" customHeight="1" x14ac:dyDescent="0.35">
      <c r="B452" s="7"/>
      <c r="C452" s="7"/>
      <c r="D452" s="11"/>
      <c r="E452" s="11"/>
    </row>
    <row r="453" spans="2:5" ht="14.25" customHeight="1" x14ac:dyDescent="0.35">
      <c r="B453" s="7"/>
      <c r="C453" s="7"/>
      <c r="D453" s="11"/>
      <c r="E453" s="11"/>
    </row>
    <row r="454" spans="2:5" ht="14.25" customHeight="1" x14ac:dyDescent="0.35">
      <c r="B454" s="7"/>
      <c r="C454" s="7"/>
      <c r="D454" s="11"/>
      <c r="E454" s="11"/>
    </row>
    <row r="455" spans="2:5" ht="14.25" customHeight="1" x14ac:dyDescent="0.35">
      <c r="B455" s="7"/>
      <c r="C455" s="7"/>
      <c r="D455" s="11"/>
      <c r="E455" s="11"/>
    </row>
    <row r="456" spans="2:5" ht="14.25" customHeight="1" x14ac:dyDescent="0.35">
      <c r="B456" s="7"/>
      <c r="C456" s="7"/>
      <c r="D456" s="11"/>
      <c r="E456" s="11"/>
    </row>
    <row r="457" spans="2:5" ht="14.25" customHeight="1" x14ac:dyDescent="0.35">
      <c r="B457" s="7"/>
      <c r="C457" s="7"/>
      <c r="D457" s="11"/>
      <c r="E457" s="11"/>
    </row>
    <row r="458" spans="2:5" ht="14.25" customHeight="1" x14ac:dyDescent="0.35">
      <c r="B458" s="7"/>
      <c r="C458" s="7"/>
      <c r="D458" s="11"/>
      <c r="E458" s="11"/>
    </row>
    <row r="459" spans="2:5" ht="14.25" customHeight="1" x14ac:dyDescent="0.35">
      <c r="B459" s="7"/>
      <c r="C459" s="7"/>
      <c r="D459" s="11"/>
      <c r="E459" s="11"/>
    </row>
    <row r="460" spans="2:5" ht="14.25" customHeight="1" x14ac:dyDescent="0.35">
      <c r="B460" s="7"/>
      <c r="C460" s="7"/>
      <c r="D460" s="11"/>
      <c r="E460" s="11"/>
    </row>
    <row r="461" spans="2:5" ht="14.25" customHeight="1" x14ac:dyDescent="0.35">
      <c r="B461" s="7"/>
      <c r="C461" s="7"/>
      <c r="D461" s="11"/>
      <c r="E461" s="11"/>
    </row>
    <row r="462" spans="2:5" ht="14.25" customHeight="1" x14ac:dyDescent="0.35">
      <c r="B462" s="7"/>
      <c r="C462" s="7"/>
      <c r="D462" s="11"/>
      <c r="E462" s="11"/>
    </row>
    <row r="463" spans="2:5" ht="14.25" customHeight="1" x14ac:dyDescent="0.35">
      <c r="B463" s="7"/>
      <c r="C463" s="7"/>
      <c r="D463" s="11"/>
      <c r="E463" s="11"/>
    </row>
    <row r="464" spans="2:5" ht="14.25" customHeight="1" x14ac:dyDescent="0.35">
      <c r="B464" s="7"/>
      <c r="C464" s="7"/>
      <c r="D464" s="11"/>
      <c r="E464" s="11"/>
    </row>
    <row r="465" spans="2:5" ht="14.25" customHeight="1" x14ac:dyDescent="0.35">
      <c r="B465" s="7"/>
      <c r="C465" s="7"/>
      <c r="D465" s="11"/>
      <c r="E465" s="11"/>
    </row>
    <row r="466" spans="2:5" ht="14.25" customHeight="1" x14ac:dyDescent="0.35">
      <c r="B466" s="7"/>
      <c r="C466" s="7"/>
      <c r="D466" s="11"/>
      <c r="E466" s="11"/>
    </row>
    <row r="467" spans="2:5" ht="14.25" customHeight="1" x14ac:dyDescent="0.35">
      <c r="B467" s="7"/>
      <c r="C467" s="7"/>
      <c r="D467" s="11"/>
      <c r="E467" s="11"/>
    </row>
    <row r="468" spans="2:5" ht="14.25" customHeight="1" x14ac:dyDescent="0.35">
      <c r="B468" s="7"/>
      <c r="C468" s="7"/>
      <c r="D468" s="11"/>
      <c r="E468" s="11"/>
    </row>
    <row r="469" spans="2:5" ht="14.25" customHeight="1" x14ac:dyDescent="0.35">
      <c r="B469" s="7"/>
      <c r="C469" s="7"/>
      <c r="D469" s="11"/>
      <c r="E469" s="11"/>
    </row>
    <row r="470" spans="2:5" ht="14.25" customHeight="1" x14ac:dyDescent="0.35">
      <c r="B470" s="7"/>
      <c r="C470" s="7"/>
      <c r="D470" s="11"/>
      <c r="E470" s="11"/>
    </row>
    <row r="471" spans="2:5" ht="14.25" customHeight="1" x14ac:dyDescent="0.35">
      <c r="B471" s="7"/>
      <c r="C471" s="7"/>
      <c r="D471" s="11"/>
      <c r="E471" s="11"/>
    </row>
    <row r="472" spans="2:5" ht="14.25" customHeight="1" x14ac:dyDescent="0.35">
      <c r="B472" s="7"/>
      <c r="C472" s="7"/>
      <c r="D472" s="11"/>
      <c r="E472" s="11"/>
    </row>
    <row r="473" spans="2:5" ht="14.25" customHeight="1" x14ac:dyDescent="0.35">
      <c r="B473" s="7"/>
      <c r="C473" s="7"/>
      <c r="D473" s="11"/>
      <c r="E473" s="11"/>
    </row>
    <row r="474" spans="2:5" ht="14.25" customHeight="1" x14ac:dyDescent="0.35">
      <c r="B474" s="7"/>
      <c r="C474" s="7"/>
      <c r="D474" s="11"/>
      <c r="E474" s="11"/>
    </row>
    <row r="475" spans="2:5" ht="14.25" customHeight="1" x14ac:dyDescent="0.35">
      <c r="B475" s="7"/>
      <c r="C475" s="7"/>
      <c r="D475" s="11"/>
      <c r="E475" s="11"/>
    </row>
    <row r="476" spans="2:5" ht="14.25" customHeight="1" x14ac:dyDescent="0.35">
      <c r="B476" s="7"/>
      <c r="C476" s="7"/>
      <c r="D476" s="11"/>
      <c r="E476" s="11"/>
    </row>
    <row r="477" spans="2:5" ht="14.25" customHeight="1" x14ac:dyDescent="0.35">
      <c r="B477" s="7"/>
      <c r="C477" s="7"/>
      <c r="D477" s="11"/>
      <c r="E477" s="11"/>
    </row>
    <row r="478" spans="2:5" ht="14.25" customHeight="1" x14ac:dyDescent="0.35">
      <c r="B478" s="7"/>
      <c r="C478" s="7"/>
      <c r="D478" s="11"/>
      <c r="E478" s="11"/>
    </row>
    <row r="479" spans="2:5" ht="14.25" customHeight="1" x14ac:dyDescent="0.35">
      <c r="B479" s="7"/>
      <c r="C479" s="7"/>
      <c r="D479" s="11"/>
      <c r="E479" s="11"/>
    </row>
    <row r="480" spans="2:5" ht="14.25" customHeight="1" x14ac:dyDescent="0.35">
      <c r="B480" s="7"/>
      <c r="C480" s="7"/>
      <c r="D480" s="11"/>
      <c r="E480" s="11"/>
    </row>
    <row r="481" spans="2:5" ht="14.25" customHeight="1" x14ac:dyDescent="0.35">
      <c r="B481" s="7"/>
      <c r="C481" s="7"/>
      <c r="D481" s="11"/>
      <c r="E481" s="11"/>
    </row>
    <row r="482" spans="2:5" ht="14.25" customHeight="1" x14ac:dyDescent="0.35">
      <c r="B482" s="7"/>
      <c r="C482" s="7"/>
      <c r="D482" s="11"/>
      <c r="E482" s="11"/>
    </row>
    <row r="483" spans="2:5" ht="14.25" customHeight="1" x14ac:dyDescent="0.35">
      <c r="B483" s="7"/>
      <c r="C483" s="7"/>
      <c r="D483" s="11"/>
      <c r="E483" s="11"/>
    </row>
    <row r="484" spans="2:5" ht="14.25" customHeight="1" x14ac:dyDescent="0.35">
      <c r="B484" s="7"/>
      <c r="C484" s="7"/>
      <c r="D484" s="11"/>
      <c r="E484" s="11"/>
    </row>
    <row r="485" spans="2:5" ht="14.25" customHeight="1" x14ac:dyDescent="0.35">
      <c r="B485" s="7"/>
      <c r="C485" s="7"/>
      <c r="D485" s="11"/>
      <c r="E485" s="11"/>
    </row>
    <row r="486" spans="2:5" ht="14.25" customHeight="1" x14ac:dyDescent="0.35">
      <c r="B486" s="7"/>
      <c r="C486" s="7"/>
      <c r="D486" s="11"/>
      <c r="E486" s="11"/>
    </row>
    <row r="487" spans="2:5" ht="14.25" customHeight="1" x14ac:dyDescent="0.35">
      <c r="B487" s="7"/>
      <c r="C487" s="7"/>
      <c r="D487" s="11"/>
      <c r="E487" s="11"/>
    </row>
    <row r="488" spans="2:5" ht="14.25" customHeight="1" x14ac:dyDescent="0.35">
      <c r="B488" s="7"/>
      <c r="C488" s="7"/>
      <c r="D488" s="11"/>
      <c r="E488" s="11"/>
    </row>
    <row r="489" spans="2:5" ht="14.25" customHeight="1" x14ac:dyDescent="0.35">
      <c r="B489" s="7"/>
      <c r="C489" s="7"/>
      <c r="D489" s="11"/>
      <c r="E489" s="11"/>
    </row>
    <row r="490" spans="2:5" ht="14.25" customHeight="1" x14ac:dyDescent="0.35">
      <c r="B490" s="7"/>
      <c r="C490" s="7"/>
      <c r="D490" s="11"/>
      <c r="E490" s="11"/>
    </row>
    <row r="491" spans="2:5" ht="14.25" customHeight="1" x14ac:dyDescent="0.35">
      <c r="B491" s="7"/>
      <c r="C491" s="7"/>
      <c r="D491" s="11"/>
      <c r="E491" s="11"/>
    </row>
    <row r="492" spans="2:5" ht="14.25" customHeight="1" x14ac:dyDescent="0.35">
      <c r="B492" s="7"/>
      <c r="C492" s="7"/>
      <c r="D492" s="11"/>
      <c r="E492" s="11"/>
    </row>
    <row r="493" spans="2:5" ht="14.25" customHeight="1" x14ac:dyDescent="0.35">
      <c r="B493" s="7"/>
      <c r="C493" s="7"/>
      <c r="D493" s="11"/>
      <c r="E493" s="11"/>
    </row>
    <row r="494" spans="2:5" ht="14.25" customHeight="1" x14ac:dyDescent="0.35">
      <c r="B494" s="7"/>
      <c r="C494" s="7"/>
      <c r="D494" s="11"/>
      <c r="E494" s="11"/>
    </row>
    <row r="495" spans="2:5" ht="14.25" customHeight="1" x14ac:dyDescent="0.35">
      <c r="B495" s="7"/>
      <c r="C495" s="7"/>
      <c r="D495" s="11"/>
      <c r="E495" s="11"/>
    </row>
    <row r="496" spans="2:5" ht="14.25" customHeight="1" x14ac:dyDescent="0.35">
      <c r="B496" s="7"/>
      <c r="C496" s="7"/>
      <c r="D496" s="11"/>
      <c r="E496" s="11"/>
    </row>
    <row r="497" spans="2:5" ht="14.25" customHeight="1" x14ac:dyDescent="0.35">
      <c r="B497" s="7"/>
      <c r="C497" s="7"/>
      <c r="D497" s="11"/>
      <c r="E497" s="11"/>
    </row>
    <row r="498" spans="2:5" ht="14.25" customHeight="1" x14ac:dyDescent="0.35">
      <c r="B498" s="7"/>
      <c r="C498" s="7"/>
      <c r="D498" s="11"/>
      <c r="E498" s="11"/>
    </row>
    <row r="499" spans="2:5" ht="14.25" customHeight="1" x14ac:dyDescent="0.35">
      <c r="B499" s="7"/>
      <c r="C499" s="7"/>
      <c r="D499" s="11"/>
      <c r="E499" s="11"/>
    </row>
    <row r="500" spans="2:5" ht="14.25" customHeight="1" x14ac:dyDescent="0.35">
      <c r="B500" s="7"/>
      <c r="C500" s="7"/>
      <c r="D500" s="11"/>
      <c r="E500" s="11"/>
    </row>
    <row r="501" spans="2:5" ht="14.25" customHeight="1" x14ac:dyDescent="0.35">
      <c r="B501" s="7"/>
      <c r="C501" s="7"/>
      <c r="D501" s="11"/>
      <c r="E501" s="11"/>
    </row>
    <row r="502" spans="2:5" ht="14.25" customHeight="1" x14ac:dyDescent="0.35">
      <c r="B502" s="7"/>
      <c r="C502" s="7"/>
      <c r="D502" s="11"/>
      <c r="E502" s="11"/>
    </row>
    <row r="503" spans="2:5" ht="14.25" customHeight="1" x14ac:dyDescent="0.35">
      <c r="B503" s="7"/>
      <c r="C503" s="7"/>
      <c r="D503" s="11"/>
      <c r="E503" s="11"/>
    </row>
    <row r="504" spans="2:5" ht="14.25" customHeight="1" x14ac:dyDescent="0.35">
      <c r="B504" s="7"/>
      <c r="C504" s="7"/>
      <c r="D504" s="11"/>
      <c r="E504" s="11"/>
    </row>
    <row r="505" spans="2:5" ht="14.25" customHeight="1" x14ac:dyDescent="0.35">
      <c r="B505" s="7"/>
      <c r="C505" s="7"/>
      <c r="D505" s="11"/>
      <c r="E505" s="11"/>
    </row>
    <row r="506" spans="2:5" ht="14.25" customHeight="1" x14ac:dyDescent="0.35">
      <c r="B506" s="7"/>
      <c r="C506" s="7"/>
      <c r="D506" s="11"/>
      <c r="E506" s="11"/>
    </row>
    <row r="507" spans="2:5" ht="14.25" customHeight="1" x14ac:dyDescent="0.35">
      <c r="B507" s="7"/>
      <c r="C507" s="7"/>
      <c r="D507" s="11"/>
      <c r="E507" s="11"/>
    </row>
    <row r="508" spans="2:5" ht="14.25" customHeight="1" x14ac:dyDescent="0.35">
      <c r="B508" s="7"/>
      <c r="C508" s="7"/>
      <c r="D508" s="11"/>
      <c r="E508" s="11"/>
    </row>
    <row r="509" spans="2:5" ht="14.25" customHeight="1" x14ac:dyDescent="0.35">
      <c r="B509" s="7"/>
      <c r="C509" s="7"/>
      <c r="D509" s="11"/>
      <c r="E509" s="11"/>
    </row>
    <row r="510" spans="2:5" ht="14.25" customHeight="1" x14ac:dyDescent="0.35">
      <c r="B510" s="7"/>
      <c r="C510" s="7"/>
      <c r="D510" s="11"/>
      <c r="E510" s="11"/>
    </row>
    <row r="511" spans="2:5" ht="14.25" customHeight="1" x14ac:dyDescent="0.35">
      <c r="B511" s="7"/>
      <c r="C511" s="7"/>
      <c r="D511" s="11"/>
      <c r="E511" s="11"/>
    </row>
    <row r="512" spans="2:5" ht="14.25" customHeight="1" x14ac:dyDescent="0.35">
      <c r="B512" s="7"/>
      <c r="C512" s="7"/>
      <c r="D512" s="11"/>
      <c r="E512" s="11"/>
    </row>
    <row r="513" spans="2:5" ht="14.25" customHeight="1" x14ac:dyDescent="0.35">
      <c r="B513" s="7"/>
      <c r="C513" s="7"/>
      <c r="D513" s="11"/>
      <c r="E513" s="11"/>
    </row>
    <row r="514" spans="2:5" ht="14.25" customHeight="1" x14ac:dyDescent="0.35">
      <c r="B514" s="7"/>
      <c r="C514" s="7"/>
      <c r="D514" s="11"/>
      <c r="E514" s="11"/>
    </row>
    <row r="515" spans="2:5" ht="14.25" customHeight="1" x14ac:dyDescent="0.35">
      <c r="B515" s="7"/>
      <c r="C515" s="7"/>
      <c r="D515" s="11"/>
      <c r="E515" s="11"/>
    </row>
    <row r="516" spans="2:5" ht="14.25" customHeight="1" x14ac:dyDescent="0.35">
      <c r="B516" s="7"/>
      <c r="C516" s="7"/>
      <c r="D516" s="11"/>
      <c r="E516" s="11"/>
    </row>
    <row r="517" spans="2:5" ht="14.25" customHeight="1" x14ac:dyDescent="0.35">
      <c r="B517" s="7"/>
      <c r="C517" s="7"/>
      <c r="D517" s="11"/>
      <c r="E517" s="11"/>
    </row>
    <row r="518" spans="2:5" ht="14.25" customHeight="1" x14ac:dyDescent="0.35">
      <c r="B518" s="7"/>
      <c r="C518" s="7"/>
      <c r="D518" s="11"/>
      <c r="E518" s="11"/>
    </row>
    <row r="519" spans="2:5" ht="14.25" customHeight="1" x14ac:dyDescent="0.35">
      <c r="B519" s="7"/>
      <c r="C519" s="7"/>
      <c r="D519" s="11"/>
      <c r="E519" s="11"/>
    </row>
    <row r="520" spans="2:5" ht="14.25" customHeight="1" x14ac:dyDescent="0.35">
      <c r="B520" s="7"/>
      <c r="C520" s="7"/>
      <c r="D520" s="11"/>
      <c r="E520" s="11"/>
    </row>
    <row r="521" spans="2:5" ht="14.25" customHeight="1" x14ac:dyDescent="0.35">
      <c r="B521" s="7"/>
      <c r="C521" s="7"/>
      <c r="D521" s="11"/>
      <c r="E521" s="11"/>
    </row>
    <row r="522" spans="2:5" ht="14.25" customHeight="1" x14ac:dyDescent="0.35">
      <c r="B522" s="7"/>
      <c r="C522" s="7"/>
      <c r="D522" s="11"/>
      <c r="E522" s="11"/>
    </row>
    <row r="523" spans="2:5" ht="14.25" customHeight="1" x14ac:dyDescent="0.35">
      <c r="B523" s="7"/>
      <c r="C523" s="7"/>
      <c r="D523" s="11"/>
      <c r="E523" s="11"/>
    </row>
    <row r="524" spans="2:5" ht="14.25" customHeight="1" x14ac:dyDescent="0.35">
      <c r="B524" s="7"/>
      <c r="C524" s="7"/>
      <c r="D524" s="11"/>
      <c r="E524" s="11"/>
    </row>
    <row r="525" spans="2:5" ht="14.25" customHeight="1" x14ac:dyDescent="0.35">
      <c r="B525" s="7"/>
      <c r="C525" s="7"/>
      <c r="D525" s="11"/>
      <c r="E525" s="11"/>
    </row>
    <row r="526" spans="2:5" ht="14.25" customHeight="1" x14ac:dyDescent="0.35">
      <c r="B526" s="7"/>
      <c r="C526" s="7"/>
      <c r="D526" s="11"/>
      <c r="E526" s="11"/>
    </row>
    <row r="527" spans="2:5" ht="14.25" customHeight="1" x14ac:dyDescent="0.35">
      <c r="B527" s="7"/>
      <c r="C527" s="7"/>
      <c r="D527" s="11"/>
      <c r="E527" s="11"/>
    </row>
    <row r="528" spans="2:5" ht="14.25" customHeight="1" x14ac:dyDescent="0.35">
      <c r="B528" s="7"/>
      <c r="C528" s="7"/>
      <c r="D528" s="11"/>
      <c r="E528" s="11"/>
    </row>
    <row r="529" spans="2:5" ht="14.25" customHeight="1" x14ac:dyDescent="0.35">
      <c r="B529" s="7"/>
      <c r="C529" s="7"/>
      <c r="D529" s="11"/>
      <c r="E529" s="11"/>
    </row>
    <row r="530" spans="2:5" ht="14.25" customHeight="1" x14ac:dyDescent="0.35">
      <c r="B530" s="7"/>
      <c r="C530" s="7"/>
      <c r="D530" s="11"/>
      <c r="E530" s="11"/>
    </row>
    <row r="531" spans="2:5" ht="14.25" customHeight="1" x14ac:dyDescent="0.35">
      <c r="B531" s="7"/>
      <c r="C531" s="7"/>
      <c r="D531" s="11"/>
      <c r="E531" s="11"/>
    </row>
    <row r="532" spans="2:5" ht="14.25" customHeight="1" x14ac:dyDescent="0.35">
      <c r="B532" s="7"/>
      <c r="C532" s="7"/>
      <c r="D532" s="11"/>
      <c r="E532" s="11"/>
    </row>
    <row r="533" spans="2:5" ht="14.25" customHeight="1" x14ac:dyDescent="0.35">
      <c r="B533" s="7"/>
      <c r="C533" s="7"/>
      <c r="D533" s="11"/>
      <c r="E533" s="11"/>
    </row>
    <row r="534" spans="2:5" ht="14.25" customHeight="1" x14ac:dyDescent="0.35">
      <c r="B534" s="7"/>
      <c r="C534" s="7"/>
      <c r="D534" s="11"/>
      <c r="E534" s="11"/>
    </row>
    <row r="535" spans="2:5" ht="14.25" customHeight="1" x14ac:dyDescent="0.35">
      <c r="B535" s="7"/>
      <c r="C535" s="7"/>
      <c r="D535" s="11"/>
      <c r="E535" s="11"/>
    </row>
    <row r="536" spans="2:5" ht="14.25" customHeight="1" x14ac:dyDescent="0.35">
      <c r="B536" s="7"/>
      <c r="C536" s="7"/>
      <c r="D536" s="11"/>
      <c r="E536" s="11"/>
    </row>
    <row r="537" spans="2:5" ht="14.25" customHeight="1" x14ac:dyDescent="0.35">
      <c r="B537" s="7"/>
      <c r="C537" s="7"/>
      <c r="D537" s="11"/>
      <c r="E537" s="11"/>
    </row>
    <row r="538" spans="2:5" ht="14.25" customHeight="1" x14ac:dyDescent="0.35">
      <c r="B538" s="7"/>
      <c r="C538" s="7"/>
      <c r="D538" s="11"/>
      <c r="E538" s="11"/>
    </row>
    <row r="539" spans="2:5" ht="14.25" customHeight="1" x14ac:dyDescent="0.35">
      <c r="B539" s="7"/>
      <c r="C539" s="7"/>
      <c r="D539" s="11"/>
      <c r="E539" s="11"/>
    </row>
    <row r="540" spans="2:5" ht="14.25" customHeight="1" x14ac:dyDescent="0.35">
      <c r="B540" s="7"/>
      <c r="C540" s="7"/>
      <c r="D540" s="11"/>
      <c r="E540" s="11"/>
    </row>
    <row r="541" spans="2:5" ht="14.25" customHeight="1" x14ac:dyDescent="0.35">
      <c r="B541" s="7"/>
      <c r="C541" s="7"/>
      <c r="D541" s="11"/>
      <c r="E541" s="11"/>
    </row>
    <row r="542" spans="2:5" ht="14.25" customHeight="1" x14ac:dyDescent="0.35">
      <c r="B542" s="7"/>
      <c r="C542" s="7"/>
      <c r="D542" s="11"/>
      <c r="E542" s="11"/>
    </row>
    <row r="543" spans="2:5" ht="14.25" customHeight="1" x14ac:dyDescent="0.35">
      <c r="B543" s="7"/>
      <c r="C543" s="7"/>
      <c r="D543" s="11"/>
      <c r="E543" s="11"/>
    </row>
    <row r="544" spans="2:5" ht="14.25" customHeight="1" x14ac:dyDescent="0.35">
      <c r="B544" s="7"/>
      <c r="C544" s="7"/>
      <c r="D544" s="11"/>
      <c r="E544" s="11"/>
    </row>
    <row r="545" spans="2:5" ht="14.25" customHeight="1" x14ac:dyDescent="0.35">
      <c r="B545" s="7"/>
      <c r="C545" s="7"/>
      <c r="D545" s="11"/>
      <c r="E545" s="11"/>
    </row>
    <row r="546" spans="2:5" ht="14.25" customHeight="1" x14ac:dyDescent="0.35">
      <c r="B546" s="7"/>
      <c r="C546" s="7"/>
      <c r="D546" s="11"/>
      <c r="E546" s="11"/>
    </row>
    <row r="547" spans="2:5" ht="14.25" customHeight="1" x14ac:dyDescent="0.35">
      <c r="B547" s="7"/>
      <c r="C547" s="7"/>
      <c r="D547" s="11"/>
      <c r="E547" s="11"/>
    </row>
    <row r="548" spans="2:5" ht="14.25" customHeight="1" x14ac:dyDescent="0.35">
      <c r="B548" s="7"/>
      <c r="C548" s="7"/>
      <c r="D548" s="11"/>
      <c r="E548" s="11"/>
    </row>
    <row r="549" spans="2:5" ht="14.25" customHeight="1" x14ac:dyDescent="0.35">
      <c r="B549" s="7"/>
      <c r="C549" s="7"/>
      <c r="D549" s="11"/>
      <c r="E549" s="11"/>
    </row>
    <row r="550" spans="2:5" ht="14.25" customHeight="1" x14ac:dyDescent="0.35">
      <c r="B550" s="7"/>
      <c r="C550" s="7"/>
      <c r="D550" s="11"/>
      <c r="E550" s="11"/>
    </row>
    <row r="551" spans="2:5" ht="14.25" customHeight="1" x14ac:dyDescent="0.35">
      <c r="B551" s="7"/>
      <c r="C551" s="7"/>
      <c r="D551" s="11"/>
      <c r="E551" s="11"/>
    </row>
    <row r="552" spans="2:5" ht="14.25" customHeight="1" x14ac:dyDescent="0.35">
      <c r="B552" s="7"/>
      <c r="C552" s="7"/>
      <c r="D552" s="11"/>
      <c r="E552" s="11"/>
    </row>
    <row r="553" spans="2:5" ht="14.25" customHeight="1" x14ac:dyDescent="0.35">
      <c r="B553" s="7"/>
      <c r="C553" s="7"/>
      <c r="D553" s="11"/>
      <c r="E553" s="11"/>
    </row>
    <row r="554" spans="2:5" ht="14.25" customHeight="1" x14ac:dyDescent="0.35">
      <c r="B554" s="7"/>
      <c r="C554" s="7"/>
      <c r="D554" s="11"/>
      <c r="E554" s="11"/>
    </row>
    <row r="555" spans="2:5" ht="14.25" customHeight="1" x14ac:dyDescent="0.35">
      <c r="B555" s="7"/>
      <c r="C555" s="7"/>
      <c r="D555" s="11"/>
      <c r="E555" s="11"/>
    </row>
    <row r="556" spans="2:5" ht="14.25" customHeight="1" x14ac:dyDescent="0.35">
      <c r="B556" s="7"/>
      <c r="C556" s="7"/>
      <c r="D556" s="11"/>
      <c r="E556" s="11"/>
    </row>
    <row r="557" spans="2:5" ht="14.25" customHeight="1" x14ac:dyDescent="0.35">
      <c r="B557" s="7"/>
      <c r="C557" s="7"/>
      <c r="D557" s="11"/>
      <c r="E557" s="11"/>
    </row>
    <row r="558" spans="2:5" ht="14.25" customHeight="1" x14ac:dyDescent="0.35">
      <c r="B558" s="7"/>
      <c r="C558" s="7"/>
      <c r="D558" s="11"/>
      <c r="E558" s="11"/>
    </row>
    <row r="559" spans="2:5" ht="14.25" customHeight="1" x14ac:dyDescent="0.35">
      <c r="B559" s="7"/>
      <c r="C559" s="7"/>
      <c r="D559" s="11"/>
      <c r="E559" s="11"/>
    </row>
    <row r="560" spans="2:5" ht="14.25" customHeight="1" x14ac:dyDescent="0.35">
      <c r="B560" s="7"/>
      <c r="C560" s="7"/>
      <c r="D560" s="11"/>
      <c r="E560" s="11"/>
    </row>
    <row r="561" spans="2:5" ht="14.25" customHeight="1" x14ac:dyDescent="0.35">
      <c r="B561" s="7"/>
      <c r="C561" s="7"/>
      <c r="D561" s="11"/>
      <c r="E561" s="11"/>
    </row>
    <row r="562" spans="2:5" ht="14.25" customHeight="1" x14ac:dyDescent="0.35">
      <c r="B562" s="7"/>
      <c r="C562" s="7"/>
      <c r="D562" s="11"/>
      <c r="E562" s="11"/>
    </row>
    <row r="563" spans="2:5" ht="14.25" customHeight="1" x14ac:dyDescent="0.35">
      <c r="B563" s="7"/>
      <c r="C563" s="7"/>
      <c r="D563" s="11"/>
      <c r="E563" s="11"/>
    </row>
    <row r="564" spans="2:5" ht="14.25" customHeight="1" x14ac:dyDescent="0.35">
      <c r="B564" s="7"/>
      <c r="C564" s="7"/>
      <c r="D564" s="11"/>
      <c r="E564" s="11"/>
    </row>
    <row r="565" spans="2:5" ht="14.25" customHeight="1" x14ac:dyDescent="0.35">
      <c r="B565" s="7"/>
      <c r="C565" s="7"/>
      <c r="D565" s="11"/>
      <c r="E565" s="11"/>
    </row>
    <row r="566" spans="2:5" ht="14.25" customHeight="1" x14ac:dyDescent="0.35">
      <c r="B566" s="7"/>
      <c r="C566" s="7"/>
      <c r="D566" s="11"/>
      <c r="E566" s="11"/>
    </row>
    <row r="567" spans="2:5" ht="14.25" customHeight="1" x14ac:dyDescent="0.35">
      <c r="B567" s="7"/>
      <c r="C567" s="7"/>
      <c r="D567" s="11"/>
      <c r="E567" s="11"/>
    </row>
    <row r="568" spans="2:5" ht="14.25" customHeight="1" x14ac:dyDescent="0.35">
      <c r="B568" s="7"/>
      <c r="C568" s="7"/>
      <c r="D568" s="11"/>
      <c r="E568" s="11"/>
    </row>
    <row r="569" spans="2:5" ht="14.25" customHeight="1" x14ac:dyDescent="0.35">
      <c r="B569" s="7"/>
      <c r="C569" s="7"/>
      <c r="D569" s="11"/>
      <c r="E569" s="11"/>
    </row>
    <row r="570" spans="2:5" ht="14.25" customHeight="1" x14ac:dyDescent="0.35">
      <c r="B570" s="7"/>
      <c r="C570" s="7"/>
      <c r="D570" s="11"/>
      <c r="E570" s="11"/>
    </row>
    <row r="571" spans="2:5" ht="14.25" customHeight="1" x14ac:dyDescent="0.35">
      <c r="B571" s="7"/>
      <c r="C571" s="7"/>
      <c r="D571" s="11"/>
      <c r="E571" s="11"/>
    </row>
    <row r="572" spans="2:5" ht="14.25" customHeight="1" x14ac:dyDescent="0.35">
      <c r="B572" s="7"/>
      <c r="C572" s="7"/>
      <c r="D572" s="11"/>
      <c r="E572" s="11"/>
    </row>
    <row r="573" spans="2:5" ht="14.25" customHeight="1" x14ac:dyDescent="0.35">
      <c r="B573" s="7"/>
      <c r="C573" s="7"/>
      <c r="D573" s="11"/>
      <c r="E573" s="11"/>
    </row>
    <row r="574" spans="2:5" ht="14.25" customHeight="1" x14ac:dyDescent="0.35">
      <c r="B574" s="7"/>
      <c r="C574" s="7"/>
      <c r="D574" s="11"/>
      <c r="E574" s="11"/>
    </row>
    <row r="575" spans="2:5" ht="14.25" customHeight="1" x14ac:dyDescent="0.35">
      <c r="B575" s="7"/>
      <c r="C575" s="7"/>
      <c r="D575" s="11"/>
      <c r="E575" s="11"/>
    </row>
    <row r="576" spans="2:5" ht="14.25" customHeight="1" x14ac:dyDescent="0.35">
      <c r="B576" s="7"/>
      <c r="C576" s="7"/>
      <c r="D576" s="11"/>
      <c r="E576" s="11"/>
    </row>
    <row r="577" spans="2:5" ht="14.25" customHeight="1" x14ac:dyDescent="0.35">
      <c r="B577" s="7"/>
      <c r="C577" s="7"/>
      <c r="D577" s="11"/>
      <c r="E577" s="11"/>
    </row>
    <row r="578" spans="2:5" ht="14.25" customHeight="1" x14ac:dyDescent="0.35">
      <c r="B578" s="7"/>
      <c r="C578" s="7"/>
      <c r="D578" s="11"/>
      <c r="E578" s="11"/>
    </row>
    <row r="579" spans="2:5" ht="14.25" customHeight="1" x14ac:dyDescent="0.35">
      <c r="B579" s="7"/>
      <c r="C579" s="7"/>
      <c r="D579" s="11"/>
      <c r="E579" s="11"/>
    </row>
    <row r="580" spans="2:5" ht="14.25" customHeight="1" x14ac:dyDescent="0.35">
      <c r="B580" s="7"/>
      <c r="C580" s="7"/>
      <c r="D580" s="11"/>
      <c r="E580" s="11"/>
    </row>
    <row r="581" spans="2:5" ht="14.25" customHeight="1" x14ac:dyDescent="0.35">
      <c r="B581" s="7"/>
      <c r="C581" s="7"/>
      <c r="D581" s="11"/>
      <c r="E581" s="11"/>
    </row>
    <row r="582" spans="2:5" ht="14.25" customHeight="1" x14ac:dyDescent="0.35">
      <c r="B582" s="7"/>
      <c r="C582" s="7"/>
      <c r="D582" s="11"/>
      <c r="E582" s="11"/>
    </row>
    <row r="583" spans="2:5" ht="14.25" customHeight="1" x14ac:dyDescent="0.35">
      <c r="B583" s="7"/>
      <c r="C583" s="7"/>
      <c r="D583" s="11"/>
      <c r="E583" s="11"/>
    </row>
    <row r="584" spans="2:5" ht="14.25" customHeight="1" x14ac:dyDescent="0.35">
      <c r="B584" s="7"/>
      <c r="C584" s="7"/>
      <c r="D584" s="11"/>
      <c r="E584" s="11"/>
    </row>
    <row r="585" spans="2:5" ht="14.25" customHeight="1" x14ac:dyDescent="0.35">
      <c r="B585" s="7"/>
      <c r="C585" s="7"/>
      <c r="D585" s="11"/>
      <c r="E585" s="11"/>
    </row>
    <row r="586" spans="2:5" ht="14.25" customHeight="1" x14ac:dyDescent="0.35">
      <c r="B586" s="7"/>
      <c r="C586" s="7"/>
      <c r="D586" s="11"/>
      <c r="E586" s="11"/>
    </row>
    <row r="587" spans="2:5" ht="14.25" customHeight="1" x14ac:dyDescent="0.35">
      <c r="B587" s="7"/>
      <c r="C587" s="7"/>
      <c r="D587" s="11"/>
      <c r="E587" s="11"/>
    </row>
    <row r="588" spans="2:5" ht="14.25" customHeight="1" x14ac:dyDescent="0.35">
      <c r="B588" s="7"/>
      <c r="C588" s="7"/>
      <c r="D588" s="11"/>
      <c r="E588" s="11"/>
    </row>
    <row r="589" spans="2:5" ht="14.25" customHeight="1" x14ac:dyDescent="0.35">
      <c r="B589" s="7"/>
      <c r="C589" s="7"/>
      <c r="D589" s="11"/>
      <c r="E589" s="11"/>
    </row>
    <row r="590" spans="2:5" ht="14.25" customHeight="1" x14ac:dyDescent="0.35">
      <c r="B590" s="7"/>
      <c r="C590" s="7"/>
      <c r="D590" s="11"/>
      <c r="E590" s="11"/>
    </row>
    <row r="591" spans="2:5" ht="14.25" customHeight="1" x14ac:dyDescent="0.35">
      <c r="B591" s="7"/>
      <c r="C591" s="7"/>
      <c r="D591" s="11"/>
      <c r="E591" s="11"/>
    </row>
    <row r="592" spans="2:5" ht="14.25" customHeight="1" x14ac:dyDescent="0.35">
      <c r="B592" s="7"/>
      <c r="C592" s="7"/>
      <c r="D592" s="11"/>
      <c r="E592" s="11"/>
    </row>
    <row r="593" spans="2:5" ht="14.25" customHeight="1" x14ac:dyDescent="0.35">
      <c r="B593" s="7"/>
      <c r="C593" s="7"/>
      <c r="D593" s="11"/>
      <c r="E593" s="11"/>
    </row>
    <row r="594" spans="2:5" ht="14.25" customHeight="1" x14ac:dyDescent="0.35">
      <c r="B594" s="7"/>
      <c r="C594" s="7"/>
      <c r="D594" s="11"/>
      <c r="E594" s="11"/>
    </row>
    <row r="595" spans="2:5" ht="14.25" customHeight="1" x14ac:dyDescent="0.35">
      <c r="B595" s="7"/>
      <c r="C595" s="7"/>
      <c r="D595" s="11"/>
      <c r="E595" s="11"/>
    </row>
    <row r="596" spans="2:5" ht="14.25" customHeight="1" x14ac:dyDescent="0.35">
      <c r="B596" s="7"/>
      <c r="C596" s="7"/>
      <c r="D596" s="11"/>
      <c r="E596" s="11"/>
    </row>
    <row r="597" spans="2:5" ht="14.25" customHeight="1" x14ac:dyDescent="0.35">
      <c r="B597" s="7"/>
      <c r="C597" s="7"/>
      <c r="D597" s="11"/>
      <c r="E597" s="11"/>
    </row>
    <row r="598" spans="2:5" ht="14.25" customHeight="1" x14ac:dyDescent="0.35">
      <c r="B598" s="7"/>
      <c r="C598" s="7"/>
      <c r="D598" s="11"/>
      <c r="E598" s="11"/>
    </row>
    <row r="599" spans="2:5" ht="14.25" customHeight="1" x14ac:dyDescent="0.35">
      <c r="B599" s="7"/>
      <c r="C599" s="7"/>
      <c r="D599" s="11"/>
      <c r="E599" s="11"/>
    </row>
    <row r="600" spans="2:5" ht="14.25" customHeight="1" x14ac:dyDescent="0.35">
      <c r="B600" s="7"/>
      <c r="C600" s="7"/>
      <c r="D600" s="11"/>
      <c r="E600" s="11"/>
    </row>
    <row r="601" spans="2:5" ht="14.25" customHeight="1" x14ac:dyDescent="0.35">
      <c r="B601" s="7"/>
      <c r="C601" s="7"/>
      <c r="D601" s="11"/>
      <c r="E601" s="11"/>
    </row>
    <row r="602" spans="2:5" ht="14.25" customHeight="1" x14ac:dyDescent="0.35">
      <c r="B602" s="7"/>
      <c r="C602" s="7"/>
      <c r="D602" s="11"/>
      <c r="E602" s="11"/>
    </row>
    <row r="603" spans="2:5" ht="14.25" customHeight="1" x14ac:dyDescent="0.35">
      <c r="B603" s="7"/>
      <c r="C603" s="7"/>
      <c r="D603" s="11"/>
      <c r="E603" s="11"/>
    </row>
    <row r="604" spans="2:5" ht="14.25" customHeight="1" x14ac:dyDescent="0.35">
      <c r="B604" s="7"/>
      <c r="C604" s="7"/>
      <c r="D604" s="11"/>
      <c r="E604" s="11"/>
    </row>
    <row r="605" spans="2:5" ht="14.25" customHeight="1" x14ac:dyDescent="0.35">
      <c r="B605" s="7"/>
      <c r="C605" s="7"/>
      <c r="D605" s="11"/>
      <c r="E605" s="11"/>
    </row>
    <row r="606" spans="2:5" ht="14.25" customHeight="1" x14ac:dyDescent="0.35">
      <c r="B606" s="7"/>
      <c r="C606" s="7"/>
      <c r="D606" s="11"/>
      <c r="E606" s="11"/>
    </row>
    <row r="607" spans="2:5" ht="14.25" customHeight="1" x14ac:dyDescent="0.35">
      <c r="B607" s="7"/>
      <c r="C607" s="7"/>
      <c r="D607" s="11"/>
      <c r="E607" s="11"/>
    </row>
    <row r="608" spans="2:5" ht="14.25" customHeight="1" x14ac:dyDescent="0.35">
      <c r="B608" s="7"/>
      <c r="C608" s="7"/>
      <c r="D608" s="11"/>
      <c r="E608" s="11"/>
    </row>
    <row r="609" spans="2:5" ht="14.25" customHeight="1" x14ac:dyDescent="0.35">
      <c r="B609" s="7"/>
      <c r="C609" s="7"/>
      <c r="D609" s="11"/>
      <c r="E609" s="11"/>
    </row>
    <row r="610" spans="2:5" ht="14.25" customHeight="1" x14ac:dyDescent="0.35">
      <c r="B610" s="7"/>
      <c r="C610" s="7"/>
      <c r="D610" s="11"/>
      <c r="E610" s="11"/>
    </row>
    <row r="611" spans="2:5" ht="14.25" customHeight="1" x14ac:dyDescent="0.35">
      <c r="B611" s="7"/>
      <c r="C611" s="7"/>
      <c r="D611" s="11"/>
      <c r="E611" s="11"/>
    </row>
    <row r="612" spans="2:5" ht="14.25" customHeight="1" x14ac:dyDescent="0.35">
      <c r="B612" s="7"/>
      <c r="C612" s="7"/>
      <c r="D612" s="11"/>
      <c r="E612" s="11"/>
    </row>
    <row r="613" spans="2:5" ht="14.25" customHeight="1" x14ac:dyDescent="0.35">
      <c r="B613" s="7"/>
      <c r="C613" s="7"/>
      <c r="D613" s="11"/>
      <c r="E613" s="11"/>
    </row>
    <row r="614" spans="2:5" ht="14.25" customHeight="1" x14ac:dyDescent="0.35">
      <c r="B614" s="7"/>
      <c r="C614" s="7"/>
      <c r="D614" s="11"/>
      <c r="E614" s="11"/>
    </row>
    <row r="615" spans="2:5" ht="14.25" customHeight="1" x14ac:dyDescent="0.35">
      <c r="B615" s="7"/>
      <c r="C615" s="7"/>
      <c r="D615" s="11"/>
      <c r="E615" s="11"/>
    </row>
    <row r="616" spans="2:5" ht="14.25" customHeight="1" x14ac:dyDescent="0.35">
      <c r="B616" s="7"/>
      <c r="C616" s="7"/>
      <c r="D616" s="11"/>
      <c r="E616" s="11"/>
    </row>
    <row r="617" spans="2:5" ht="14.25" customHeight="1" x14ac:dyDescent="0.35">
      <c r="B617" s="7"/>
      <c r="C617" s="7"/>
      <c r="D617" s="11"/>
      <c r="E617" s="11"/>
    </row>
    <row r="618" spans="2:5" ht="14.25" customHeight="1" x14ac:dyDescent="0.35">
      <c r="B618" s="7"/>
      <c r="C618" s="7"/>
      <c r="D618" s="11"/>
      <c r="E618" s="11"/>
    </row>
    <row r="619" spans="2:5" ht="14.25" customHeight="1" x14ac:dyDescent="0.35">
      <c r="B619" s="7"/>
      <c r="C619" s="7"/>
      <c r="D619" s="11"/>
      <c r="E619" s="11"/>
    </row>
    <row r="620" spans="2:5" ht="14.25" customHeight="1" x14ac:dyDescent="0.35">
      <c r="B620" s="7"/>
      <c r="C620" s="7"/>
      <c r="D620" s="11"/>
      <c r="E620" s="11"/>
    </row>
    <row r="621" spans="2:5" ht="14.25" customHeight="1" x14ac:dyDescent="0.35">
      <c r="B621" s="7"/>
      <c r="C621" s="7"/>
      <c r="D621" s="11"/>
      <c r="E621" s="11"/>
    </row>
    <row r="622" spans="2:5" ht="14.25" customHeight="1" x14ac:dyDescent="0.35">
      <c r="B622" s="7"/>
      <c r="C622" s="7"/>
      <c r="D622" s="11"/>
      <c r="E622" s="11"/>
    </row>
    <row r="623" spans="2:5" ht="14.25" customHeight="1" x14ac:dyDescent="0.35">
      <c r="B623" s="7"/>
      <c r="C623" s="7"/>
      <c r="D623" s="11"/>
      <c r="E623" s="11"/>
    </row>
    <row r="624" spans="2:5" ht="14.25" customHeight="1" x14ac:dyDescent="0.35">
      <c r="B624" s="7"/>
      <c r="C624" s="7"/>
      <c r="D624" s="11"/>
      <c r="E624" s="11"/>
    </row>
    <row r="625" spans="2:5" ht="14.25" customHeight="1" x14ac:dyDescent="0.35">
      <c r="B625" s="7"/>
      <c r="C625" s="7"/>
      <c r="D625" s="11"/>
      <c r="E625" s="11"/>
    </row>
    <row r="626" spans="2:5" ht="14.25" customHeight="1" x14ac:dyDescent="0.35">
      <c r="B626" s="7"/>
      <c r="C626" s="7"/>
      <c r="D626" s="11"/>
      <c r="E626" s="11"/>
    </row>
    <row r="627" spans="2:5" ht="14.25" customHeight="1" x14ac:dyDescent="0.35">
      <c r="B627" s="7"/>
      <c r="C627" s="7"/>
      <c r="D627" s="11"/>
      <c r="E627" s="11"/>
    </row>
    <row r="628" spans="2:5" ht="14.25" customHeight="1" x14ac:dyDescent="0.35">
      <c r="B628" s="7"/>
      <c r="C628" s="7"/>
      <c r="D628" s="11"/>
      <c r="E628" s="11"/>
    </row>
    <row r="629" spans="2:5" ht="14.25" customHeight="1" x14ac:dyDescent="0.35">
      <c r="B629" s="7"/>
      <c r="C629" s="7"/>
      <c r="D629" s="11"/>
      <c r="E629" s="11"/>
    </row>
    <row r="630" spans="2:5" ht="14.25" customHeight="1" x14ac:dyDescent="0.35">
      <c r="B630" s="7"/>
      <c r="C630" s="7"/>
      <c r="D630" s="11"/>
      <c r="E630" s="11"/>
    </row>
    <row r="631" spans="2:5" ht="14.25" customHeight="1" x14ac:dyDescent="0.35">
      <c r="B631" s="7"/>
      <c r="C631" s="7"/>
      <c r="D631" s="11"/>
      <c r="E631" s="11"/>
    </row>
    <row r="632" spans="2:5" ht="14.25" customHeight="1" x14ac:dyDescent="0.35">
      <c r="B632" s="7"/>
      <c r="C632" s="7"/>
      <c r="D632" s="11"/>
      <c r="E632" s="11"/>
    </row>
    <row r="633" spans="2:5" ht="14.25" customHeight="1" x14ac:dyDescent="0.35">
      <c r="B633" s="7"/>
      <c r="C633" s="7"/>
      <c r="D633" s="11"/>
      <c r="E633" s="11"/>
    </row>
    <row r="634" spans="2:5" ht="14.25" customHeight="1" x14ac:dyDescent="0.35">
      <c r="B634" s="7"/>
      <c r="C634" s="7"/>
      <c r="D634" s="11"/>
      <c r="E634" s="11"/>
    </row>
    <row r="635" spans="2:5" ht="14.25" customHeight="1" x14ac:dyDescent="0.35">
      <c r="B635" s="7"/>
      <c r="C635" s="7"/>
      <c r="D635" s="11"/>
      <c r="E635" s="11"/>
    </row>
    <row r="636" spans="2:5" ht="14.25" customHeight="1" x14ac:dyDescent="0.35">
      <c r="B636" s="7"/>
      <c r="C636" s="7"/>
      <c r="D636" s="11"/>
      <c r="E636" s="11"/>
    </row>
    <row r="637" spans="2:5" ht="14.25" customHeight="1" x14ac:dyDescent="0.35">
      <c r="B637" s="7"/>
      <c r="C637" s="7"/>
      <c r="D637" s="11"/>
      <c r="E637" s="11"/>
    </row>
    <row r="638" spans="2:5" ht="14.25" customHeight="1" x14ac:dyDescent="0.35">
      <c r="B638" s="7"/>
      <c r="C638" s="7"/>
      <c r="D638" s="11"/>
      <c r="E638" s="11"/>
    </row>
    <row r="639" spans="2:5" ht="14.25" customHeight="1" x14ac:dyDescent="0.35">
      <c r="B639" s="7"/>
      <c r="C639" s="7"/>
      <c r="D639" s="11"/>
      <c r="E639" s="11"/>
    </row>
    <row r="640" spans="2:5" ht="14.25" customHeight="1" x14ac:dyDescent="0.35">
      <c r="B640" s="7"/>
      <c r="C640" s="7"/>
      <c r="D640" s="11"/>
      <c r="E640" s="11"/>
    </row>
    <row r="641" spans="2:5" ht="14.25" customHeight="1" x14ac:dyDescent="0.35">
      <c r="B641" s="7"/>
      <c r="C641" s="7"/>
      <c r="D641" s="11"/>
      <c r="E641" s="11"/>
    </row>
    <row r="642" spans="2:5" ht="14.25" customHeight="1" x14ac:dyDescent="0.35">
      <c r="B642" s="7"/>
      <c r="C642" s="7"/>
      <c r="D642" s="11"/>
      <c r="E642" s="11"/>
    </row>
    <row r="643" spans="2:5" ht="14.25" customHeight="1" x14ac:dyDescent="0.35">
      <c r="B643" s="7"/>
      <c r="C643" s="7"/>
      <c r="D643" s="11"/>
      <c r="E643" s="11"/>
    </row>
    <row r="644" spans="2:5" ht="14.25" customHeight="1" x14ac:dyDescent="0.35">
      <c r="B644" s="7"/>
      <c r="C644" s="7"/>
      <c r="D644" s="11"/>
      <c r="E644" s="11"/>
    </row>
    <row r="645" spans="2:5" ht="14.25" customHeight="1" x14ac:dyDescent="0.35">
      <c r="B645" s="7"/>
      <c r="C645" s="7"/>
      <c r="D645" s="11"/>
      <c r="E645" s="11"/>
    </row>
    <row r="646" spans="2:5" ht="14.25" customHeight="1" x14ac:dyDescent="0.35">
      <c r="B646" s="7"/>
      <c r="C646" s="7"/>
      <c r="D646" s="11"/>
      <c r="E646" s="11"/>
    </row>
    <row r="647" spans="2:5" ht="14.25" customHeight="1" x14ac:dyDescent="0.35">
      <c r="B647" s="7"/>
      <c r="C647" s="7"/>
      <c r="D647" s="11"/>
      <c r="E647" s="11"/>
    </row>
    <row r="648" spans="2:5" ht="14.25" customHeight="1" x14ac:dyDescent="0.35">
      <c r="B648" s="7"/>
      <c r="C648" s="7"/>
      <c r="D648" s="11"/>
      <c r="E648" s="11"/>
    </row>
    <row r="649" spans="2:5" ht="14.25" customHeight="1" x14ac:dyDescent="0.35">
      <c r="B649" s="7"/>
      <c r="C649" s="7"/>
      <c r="D649" s="11"/>
      <c r="E649" s="11"/>
    </row>
    <row r="650" spans="2:5" ht="14.25" customHeight="1" x14ac:dyDescent="0.35">
      <c r="B650" s="7"/>
      <c r="C650" s="7"/>
      <c r="D650" s="11"/>
      <c r="E650" s="11"/>
    </row>
    <row r="651" spans="2:5" ht="14.25" customHeight="1" x14ac:dyDescent="0.35">
      <c r="B651" s="7"/>
      <c r="C651" s="7"/>
      <c r="D651" s="11"/>
      <c r="E651" s="11"/>
    </row>
    <row r="652" spans="2:5" ht="14.25" customHeight="1" x14ac:dyDescent="0.35">
      <c r="B652" s="7"/>
      <c r="C652" s="7"/>
      <c r="D652" s="11"/>
      <c r="E652" s="11"/>
    </row>
    <row r="653" spans="2:5" ht="14.25" customHeight="1" x14ac:dyDescent="0.35">
      <c r="B653" s="7"/>
      <c r="C653" s="7"/>
      <c r="D653" s="11"/>
      <c r="E653" s="11"/>
    </row>
    <row r="654" spans="2:5" ht="14.25" customHeight="1" x14ac:dyDescent="0.35">
      <c r="B654" s="7"/>
      <c r="C654" s="7"/>
      <c r="D654" s="11"/>
      <c r="E654" s="11"/>
    </row>
    <row r="655" spans="2:5" ht="14.25" customHeight="1" x14ac:dyDescent="0.35">
      <c r="B655" s="7"/>
      <c r="C655" s="7"/>
      <c r="D655" s="11"/>
      <c r="E655" s="11"/>
    </row>
    <row r="656" spans="2:5" ht="14.25" customHeight="1" x14ac:dyDescent="0.35">
      <c r="B656" s="7"/>
      <c r="C656" s="7"/>
      <c r="D656" s="11"/>
      <c r="E656" s="11"/>
    </row>
    <row r="657" spans="2:5" ht="14.25" customHeight="1" x14ac:dyDescent="0.35">
      <c r="B657" s="7"/>
      <c r="C657" s="7"/>
      <c r="D657" s="11"/>
      <c r="E657" s="11"/>
    </row>
    <row r="658" spans="2:5" ht="14.25" customHeight="1" x14ac:dyDescent="0.35">
      <c r="B658" s="7"/>
      <c r="C658" s="7"/>
      <c r="D658" s="11"/>
      <c r="E658" s="11"/>
    </row>
    <row r="659" spans="2:5" ht="14.25" customHeight="1" x14ac:dyDescent="0.35">
      <c r="B659" s="7"/>
      <c r="C659" s="7"/>
      <c r="D659" s="11"/>
      <c r="E659" s="11"/>
    </row>
    <row r="660" spans="2:5" ht="14.25" customHeight="1" x14ac:dyDescent="0.35">
      <c r="B660" s="7"/>
      <c r="C660" s="7"/>
      <c r="D660" s="11"/>
      <c r="E660" s="11"/>
    </row>
    <row r="661" spans="2:5" ht="14.25" customHeight="1" x14ac:dyDescent="0.35">
      <c r="B661" s="7"/>
      <c r="C661" s="7"/>
      <c r="D661" s="11"/>
      <c r="E661" s="11"/>
    </row>
    <row r="662" spans="2:5" ht="14.25" customHeight="1" x14ac:dyDescent="0.35">
      <c r="B662" s="7"/>
      <c r="C662" s="7"/>
      <c r="D662" s="11"/>
      <c r="E662" s="11"/>
    </row>
    <row r="663" spans="2:5" ht="14.25" customHeight="1" x14ac:dyDescent="0.35">
      <c r="B663" s="7"/>
      <c r="C663" s="7"/>
      <c r="D663" s="11"/>
      <c r="E663" s="11"/>
    </row>
    <row r="664" spans="2:5" ht="14.25" customHeight="1" x14ac:dyDescent="0.35">
      <c r="B664" s="7"/>
      <c r="C664" s="7"/>
      <c r="D664" s="11"/>
      <c r="E664" s="11"/>
    </row>
    <row r="665" spans="2:5" ht="14.25" customHeight="1" x14ac:dyDescent="0.35">
      <c r="B665" s="7"/>
      <c r="C665" s="7"/>
      <c r="D665" s="11"/>
      <c r="E665" s="11"/>
    </row>
    <row r="666" spans="2:5" ht="14.25" customHeight="1" x14ac:dyDescent="0.35">
      <c r="B666" s="7"/>
      <c r="C666" s="7"/>
      <c r="D666" s="11"/>
      <c r="E666" s="11"/>
    </row>
    <row r="667" spans="2:5" ht="14.25" customHeight="1" x14ac:dyDescent="0.35">
      <c r="B667" s="7"/>
      <c r="C667" s="7"/>
      <c r="D667" s="11"/>
      <c r="E667" s="11"/>
    </row>
    <row r="668" spans="2:5" ht="14.25" customHeight="1" x14ac:dyDescent="0.35">
      <c r="B668" s="7"/>
      <c r="C668" s="7"/>
      <c r="D668" s="11"/>
      <c r="E668" s="11"/>
    </row>
    <row r="669" spans="2:5" ht="14.25" customHeight="1" x14ac:dyDescent="0.35">
      <c r="B669" s="7"/>
      <c r="C669" s="7"/>
      <c r="D669" s="11"/>
      <c r="E669" s="11"/>
    </row>
    <row r="670" spans="2:5" ht="14.25" customHeight="1" x14ac:dyDescent="0.35">
      <c r="B670" s="7"/>
      <c r="C670" s="7"/>
      <c r="D670" s="11"/>
      <c r="E670" s="11"/>
    </row>
    <row r="671" spans="2:5" ht="14.25" customHeight="1" x14ac:dyDescent="0.35">
      <c r="B671" s="7"/>
      <c r="C671" s="7"/>
      <c r="D671" s="11"/>
      <c r="E671" s="11"/>
    </row>
    <row r="672" spans="2:5" ht="14.25" customHeight="1" x14ac:dyDescent="0.35">
      <c r="B672" s="7"/>
      <c r="C672" s="7"/>
      <c r="D672" s="11"/>
      <c r="E672" s="11"/>
    </row>
    <row r="673" spans="2:5" ht="14.25" customHeight="1" x14ac:dyDescent="0.35">
      <c r="B673" s="7"/>
      <c r="C673" s="7"/>
      <c r="D673" s="11"/>
      <c r="E673" s="11"/>
    </row>
    <row r="674" spans="2:5" ht="14.25" customHeight="1" x14ac:dyDescent="0.35">
      <c r="B674" s="7"/>
      <c r="C674" s="7"/>
      <c r="D674" s="11"/>
      <c r="E674" s="11"/>
    </row>
    <row r="675" spans="2:5" ht="14.25" customHeight="1" x14ac:dyDescent="0.35">
      <c r="B675" s="7"/>
      <c r="C675" s="7"/>
      <c r="D675" s="11"/>
      <c r="E675" s="11"/>
    </row>
    <row r="676" spans="2:5" ht="14.25" customHeight="1" x14ac:dyDescent="0.35">
      <c r="B676" s="7"/>
      <c r="C676" s="7"/>
      <c r="D676" s="11"/>
      <c r="E676" s="11"/>
    </row>
    <row r="677" spans="2:5" ht="14.25" customHeight="1" x14ac:dyDescent="0.35">
      <c r="B677" s="7"/>
      <c r="C677" s="7"/>
      <c r="D677" s="11"/>
      <c r="E677" s="11"/>
    </row>
    <row r="678" spans="2:5" ht="14.25" customHeight="1" x14ac:dyDescent="0.35">
      <c r="B678" s="7"/>
      <c r="C678" s="7"/>
      <c r="D678" s="11"/>
      <c r="E678" s="11"/>
    </row>
    <row r="679" spans="2:5" ht="14.25" customHeight="1" x14ac:dyDescent="0.35">
      <c r="B679" s="7"/>
      <c r="C679" s="7"/>
      <c r="D679" s="11"/>
      <c r="E679" s="11"/>
    </row>
    <row r="680" spans="2:5" ht="14.25" customHeight="1" x14ac:dyDescent="0.35">
      <c r="B680" s="7"/>
      <c r="C680" s="7"/>
      <c r="D680" s="11"/>
      <c r="E680" s="11"/>
    </row>
    <row r="681" spans="2:5" ht="14.25" customHeight="1" x14ac:dyDescent="0.35">
      <c r="B681" s="7"/>
      <c r="C681" s="7"/>
      <c r="D681" s="11"/>
      <c r="E681" s="11"/>
    </row>
    <row r="682" spans="2:5" ht="14.25" customHeight="1" x14ac:dyDescent="0.35">
      <c r="B682" s="7"/>
      <c r="C682" s="7"/>
      <c r="D682" s="11"/>
      <c r="E682" s="11"/>
    </row>
    <row r="683" spans="2:5" ht="14.25" customHeight="1" x14ac:dyDescent="0.35">
      <c r="B683" s="7"/>
      <c r="C683" s="7"/>
      <c r="D683" s="11"/>
      <c r="E683" s="11"/>
    </row>
    <row r="684" spans="2:5" ht="14.25" customHeight="1" x14ac:dyDescent="0.35">
      <c r="B684" s="7"/>
      <c r="C684" s="7"/>
      <c r="D684" s="11"/>
      <c r="E684" s="11"/>
    </row>
    <row r="685" spans="2:5" ht="14.25" customHeight="1" x14ac:dyDescent="0.35">
      <c r="B685" s="7"/>
      <c r="C685" s="7"/>
      <c r="D685" s="11"/>
      <c r="E685" s="11"/>
    </row>
    <row r="686" spans="2:5" ht="14.25" customHeight="1" x14ac:dyDescent="0.35">
      <c r="B686" s="7"/>
      <c r="C686" s="7"/>
      <c r="D686" s="11"/>
      <c r="E686" s="11"/>
    </row>
    <row r="687" spans="2:5" ht="14.25" customHeight="1" x14ac:dyDescent="0.35">
      <c r="B687" s="7"/>
      <c r="C687" s="7"/>
      <c r="D687" s="11"/>
      <c r="E687" s="11"/>
    </row>
    <row r="688" spans="2:5" ht="14.25" customHeight="1" x14ac:dyDescent="0.35">
      <c r="B688" s="7"/>
      <c r="C688" s="7"/>
      <c r="D688" s="11"/>
      <c r="E688" s="11"/>
    </row>
    <row r="689" spans="2:5" ht="14.25" customHeight="1" x14ac:dyDescent="0.35">
      <c r="B689" s="7"/>
      <c r="C689" s="7"/>
      <c r="D689" s="11"/>
      <c r="E689" s="11"/>
    </row>
    <row r="690" spans="2:5" ht="14.25" customHeight="1" x14ac:dyDescent="0.35">
      <c r="B690" s="7"/>
      <c r="C690" s="7"/>
      <c r="D690" s="11"/>
      <c r="E690" s="11"/>
    </row>
    <row r="691" spans="2:5" ht="14.25" customHeight="1" x14ac:dyDescent="0.35">
      <c r="B691" s="7"/>
      <c r="C691" s="7"/>
      <c r="D691" s="11"/>
      <c r="E691" s="11"/>
    </row>
    <row r="692" spans="2:5" ht="14.25" customHeight="1" x14ac:dyDescent="0.35">
      <c r="B692" s="7"/>
      <c r="C692" s="7"/>
      <c r="D692" s="11"/>
      <c r="E692" s="11"/>
    </row>
    <row r="693" spans="2:5" ht="14.25" customHeight="1" x14ac:dyDescent="0.35">
      <c r="B693" s="7"/>
      <c r="C693" s="7"/>
      <c r="D693" s="11"/>
      <c r="E693" s="11"/>
    </row>
    <row r="694" spans="2:5" ht="14.25" customHeight="1" x14ac:dyDescent="0.35">
      <c r="B694" s="7"/>
      <c r="C694" s="7"/>
      <c r="D694" s="11"/>
      <c r="E694" s="11"/>
    </row>
    <row r="695" spans="2:5" ht="14.25" customHeight="1" x14ac:dyDescent="0.35">
      <c r="B695" s="7"/>
      <c r="C695" s="7"/>
      <c r="D695" s="11"/>
      <c r="E695" s="11"/>
    </row>
    <row r="696" spans="2:5" ht="14.25" customHeight="1" x14ac:dyDescent="0.35">
      <c r="B696" s="7"/>
      <c r="C696" s="7"/>
      <c r="D696" s="11"/>
      <c r="E696" s="11"/>
    </row>
    <row r="697" spans="2:5" ht="14.25" customHeight="1" x14ac:dyDescent="0.35">
      <c r="B697" s="7"/>
      <c r="C697" s="7"/>
      <c r="D697" s="11"/>
      <c r="E697" s="11"/>
    </row>
    <row r="698" spans="2:5" ht="14.25" customHeight="1" x14ac:dyDescent="0.35">
      <c r="B698" s="7"/>
      <c r="C698" s="7"/>
      <c r="D698" s="11"/>
      <c r="E698" s="11"/>
    </row>
    <row r="699" spans="2:5" ht="14.25" customHeight="1" x14ac:dyDescent="0.35">
      <c r="B699" s="7"/>
      <c r="C699" s="7"/>
      <c r="D699" s="11"/>
      <c r="E699" s="11"/>
    </row>
    <row r="700" spans="2:5" ht="14.25" customHeight="1" x14ac:dyDescent="0.35">
      <c r="B700" s="7"/>
      <c r="C700" s="7"/>
      <c r="D700" s="11"/>
      <c r="E700" s="11"/>
    </row>
    <row r="701" spans="2:5" ht="14.25" customHeight="1" x14ac:dyDescent="0.35">
      <c r="B701" s="7"/>
      <c r="C701" s="7"/>
      <c r="D701" s="11"/>
      <c r="E701" s="11"/>
    </row>
    <row r="702" spans="2:5" ht="14.25" customHeight="1" x14ac:dyDescent="0.35">
      <c r="B702" s="7"/>
      <c r="C702" s="7"/>
      <c r="D702" s="11"/>
      <c r="E702" s="11"/>
    </row>
    <row r="703" spans="2:5" ht="14.25" customHeight="1" x14ac:dyDescent="0.35">
      <c r="B703" s="7"/>
      <c r="C703" s="7"/>
      <c r="D703" s="11"/>
      <c r="E703" s="11"/>
    </row>
    <row r="704" spans="2:5" ht="14.25" customHeight="1" x14ac:dyDescent="0.35">
      <c r="B704" s="7"/>
      <c r="C704" s="7"/>
      <c r="D704" s="11"/>
      <c r="E704" s="11"/>
    </row>
    <row r="705" spans="2:5" ht="14.25" customHeight="1" x14ac:dyDescent="0.35">
      <c r="B705" s="7"/>
      <c r="C705" s="7"/>
      <c r="D705" s="11"/>
      <c r="E705" s="11"/>
    </row>
    <row r="706" spans="2:5" ht="14.25" customHeight="1" x14ac:dyDescent="0.35">
      <c r="B706" s="7"/>
      <c r="C706" s="7"/>
      <c r="D706" s="11"/>
      <c r="E706" s="11"/>
    </row>
    <row r="707" spans="2:5" ht="14.25" customHeight="1" x14ac:dyDescent="0.35">
      <c r="B707" s="7"/>
      <c r="C707" s="7"/>
      <c r="D707" s="11"/>
      <c r="E707" s="11"/>
    </row>
    <row r="708" spans="2:5" ht="14.25" customHeight="1" x14ac:dyDescent="0.35">
      <c r="B708" s="7"/>
      <c r="C708" s="7"/>
      <c r="D708" s="11"/>
      <c r="E708" s="11"/>
    </row>
    <row r="709" spans="2:5" ht="14.25" customHeight="1" x14ac:dyDescent="0.35">
      <c r="B709" s="7"/>
      <c r="C709" s="7"/>
      <c r="D709" s="11"/>
      <c r="E709" s="11"/>
    </row>
    <row r="710" spans="2:5" ht="14.25" customHeight="1" x14ac:dyDescent="0.35">
      <c r="B710" s="7"/>
      <c r="C710" s="7"/>
      <c r="D710" s="11"/>
      <c r="E710" s="11"/>
    </row>
    <row r="711" spans="2:5" ht="14.25" customHeight="1" x14ac:dyDescent="0.35">
      <c r="B711" s="7"/>
      <c r="C711" s="7"/>
      <c r="D711" s="11"/>
      <c r="E711" s="11"/>
    </row>
    <row r="712" spans="2:5" ht="14.25" customHeight="1" x14ac:dyDescent="0.35">
      <c r="B712" s="7"/>
      <c r="C712" s="7"/>
      <c r="D712" s="11"/>
      <c r="E712" s="11"/>
    </row>
    <row r="713" spans="2:5" ht="14.25" customHeight="1" x14ac:dyDescent="0.35">
      <c r="B713" s="7"/>
      <c r="C713" s="7"/>
      <c r="D713" s="11"/>
      <c r="E713" s="11"/>
    </row>
    <row r="714" spans="2:5" ht="14.25" customHeight="1" x14ac:dyDescent="0.35">
      <c r="B714" s="7"/>
      <c r="C714" s="7"/>
      <c r="D714" s="11"/>
      <c r="E714" s="11"/>
    </row>
    <row r="715" spans="2:5" ht="14.25" customHeight="1" x14ac:dyDescent="0.35">
      <c r="B715" s="7"/>
      <c r="C715" s="7"/>
      <c r="D715" s="11"/>
      <c r="E715" s="11"/>
    </row>
    <row r="716" spans="2:5" ht="14.25" customHeight="1" x14ac:dyDescent="0.35">
      <c r="B716" s="7"/>
      <c r="C716" s="7"/>
      <c r="D716" s="11"/>
      <c r="E716" s="11"/>
    </row>
    <row r="717" spans="2:5" ht="14.25" customHeight="1" x14ac:dyDescent="0.35">
      <c r="B717" s="7"/>
      <c r="C717" s="7"/>
      <c r="D717" s="11"/>
      <c r="E717" s="11"/>
    </row>
    <row r="718" spans="2:5" ht="14.25" customHeight="1" x14ac:dyDescent="0.35">
      <c r="B718" s="7"/>
      <c r="C718" s="7"/>
      <c r="D718" s="11"/>
      <c r="E718" s="11"/>
    </row>
    <row r="719" spans="2:5" ht="14.25" customHeight="1" x14ac:dyDescent="0.35">
      <c r="B719" s="7"/>
      <c r="C719" s="7"/>
      <c r="D719" s="11"/>
      <c r="E719" s="11"/>
    </row>
    <row r="720" spans="2:5" ht="14.25" customHeight="1" x14ac:dyDescent="0.35">
      <c r="B720" s="7"/>
      <c r="C720" s="7"/>
      <c r="D720" s="11"/>
      <c r="E720" s="11"/>
    </row>
    <row r="721" spans="2:5" ht="14.25" customHeight="1" x14ac:dyDescent="0.35">
      <c r="B721" s="7"/>
      <c r="C721" s="7"/>
      <c r="D721" s="11"/>
      <c r="E721" s="11"/>
    </row>
    <row r="722" spans="2:5" ht="14.25" customHeight="1" x14ac:dyDescent="0.35">
      <c r="B722" s="7"/>
      <c r="C722" s="7"/>
      <c r="D722" s="11"/>
      <c r="E722" s="11"/>
    </row>
    <row r="723" spans="2:5" ht="14.25" customHeight="1" x14ac:dyDescent="0.35">
      <c r="B723" s="7"/>
      <c r="C723" s="7"/>
      <c r="D723" s="11"/>
      <c r="E723" s="11"/>
    </row>
    <row r="724" spans="2:5" ht="14.25" customHeight="1" x14ac:dyDescent="0.35">
      <c r="B724" s="7"/>
      <c r="C724" s="7"/>
      <c r="D724" s="11"/>
      <c r="E724" s="11"/>
    </row>
    <row r="725" spans="2:5" ht="14.25" customHeight="1" x14ac:dyDescent="0.35">
      <c r="B725" s="7"/>
      <c r="C725" s="7"/>
      <c r="D725" s="11"/>
      <c r="E725" s="11"/>
    </row>
    <row r="726" spans="2:5" ht="14.25" customHeight="1" x14ac:dyDescent="0.35">
      <c r="B726" s="7"/>
      <c r="C726" s="7"/>
      <c r="D726" s="11"/>
      <c r="E726" s="11"/>
    </row>
    <row r="727" spans="2:5" ht="14.25" customHeight="1" x14ac:dyDescent="0.35">
      <c r="B727" s="7"/>
      <c r="C727" s="7"/>
      <c r="D727" s="11"/>
      <c r="E727" s="11"/>
    </row>
    <row r="728" spans="2:5" ht="14.25" customHeight="1" x14ac:dyDescent="0.35">
      <c r="B728" s="7"/>
      <c r="C728" s="7"/>
      <c r="D728" s="11"/>
      <c r="E728" s="11"/>
    </row>
    <row r="729" spans="2:5" ht="14.25" customHeight="1" x14ac:dyDescent="0.35">
      <c r="B729" s="7"/>
      <c r="C729" s="7"/>
      <c r="D729" s="11"/>
      <c r="E729" s="11"/>
    </row>
    <row r="730" spans="2:5" ht="14.25" customHeight="1" x14ac:dyDescent="0.35">
      <c r="B730" s="7"/>
      <c r="C730" s="7"/>
      <c r="D730" s="11"/>
      <c r="E730" s="11"/>
    </row>
    <row r="731" spans="2:5" ht="14.25" customHeight="1" x14ac:dyDescent="0.35">
      <c r="B731" s="7"/>
      <c r="C731" s="7"/>
      <c r="D731" s="11"/>
      <c r="E731" s="11"/>
    </row>
    <row r="732" spans="2:5" ht="14.25" customHeight="1" x14ac:dyDescent="0.35">
      <c r="B732" s="7"/>
      <c r="C732" s="7"/>
      <c r="D732" s="11"/>
      <c r="E732" s="11"/>
    </row>
    <row r="733" spans="2:5" ht="14.25" customHeight="1" x14ac:dyDescent="0.35">
      <c r="B733" s="7"/>
      <c r="C733" s="7"/>
      <c r="D733" s="11"/>
      <c r="E733" s="11"/>
    </row>
    <row r="734" spans="2:5" ht="14.25" customHeight="1" x14ac:dyDescent="0.35">
      <c r="B734" s="7"/>
      <c r="C734" s="7"/>
      <c r="D734" s="11"/>
      <c r="E734" s="11"/>
    </row>
    <row r="735" spans="2:5" ht="14.25" customHeight="1" x14ac:dyDescent="0.35">
      <c r="B735" s="7"/>
      <c r="C735" s="7"/>
      <c r="D735" s="11"/>
      <c r="E735" s="11"/>
    </row>
    <row r="736" spans="2:5" ht="14.25" customHeight="1" x14ac:dyDescent="0.35">
      <c r="B736" s="7"/>
      <c r="C736" s="7"/>
      <c r="D736" s="11"/>
      <c r="E736" s="11"/>
    </row>
    <row r="737" spans="2:5" ht="14.25" customHeight="1" x14ac:dyDescent="0.35">
      <c r="B737" s="7"/>
      <c r="C737" s="7"/>
      <c r="D737" s="11"/>
      <c r="E737" s="11"/>
    </row>
    <row r="738" spans="2:5" ht="14.25" customHeight="1" x14ac:dyDescent="0.35">
      <c r="B738" s="7"/>
      <c r="C738" s="7"/>
      <c r="D738" s="11"/>
      <c r="E738" s="11"/>
    </row>
    <row r="739" spans="2:5" ht="14.25" customHeight="1" x14ac:dyDescent="0.35">
      <c r="B739" s="7"/>
      <c r="C739" s="7"/>
      <c r="D739" s="11"/>
      <c r="E739" s="11"/>
    </row>
    <row r="740" spans="2:5" ht="14.25" customHeight="1" x14ac:dyDescent="0.35">
      <c r="B740" s="7"/>
      <c r="C740" s="7"/>
      <c r="D740" s="11"/>
      <c r="E740" s="11"/>
    </row>
    <row r="741" spans="2:5" ht="14.25" customHeight="1" x14ac:dyDescent="0.35">
      <c r="B741" s="7"/>
      <c r="C741" s="7"/>
      <c r="D741" s="11"/>
      <c r="E741" s="11"/>
    </row>
    <row r="742" spans="2:5" ht="14.25" customHeight="1" x14ac:dyDescent="0.35">
      <c r="B742" s="7"/>
      <c r="C742" s="7"/>
      <c r="D742" s="11"/>
      <c r="E742" s="11"/>
    </row>
    <row r="743" spans="2:5" ht="14.25" customHeight="1" x14ac:dyDescent="0.35">
      <c r="B743" s="7"/>
      <c r="C743" s="7"/>
      <c r="D743" s="11"/>
      <c r="E743" s="11"/>
    </row>
    <row r="744" spans="2:5" ht="14.25" customHeight="1" x14ac:dyDescent="0.35">
      <c r="B744" s="7"/>
      <c r="C744" s="7"/>
      <c r="D744" s="11"/>
      <c r="E744" s="11"/>
    </row>
    <row r="745" spans="2:5" ht="14.25" customHeight="1" x14ac:dyDescent="0.35">
      <c r="B745" s="7"/>
      <c r="C745" s="7"/>
      <c r="D745" s="11"/>
      <c r="E745" s="11"/>
    </row>
    <row r="746" spans="2:5" ht="14.25" customHeight="1" x14ac:dyDescent="0.35">
      <c r="B746" s="7"/>
      <c r="C746" s="7"/>
      <c r="D746" s="11"/>
      <c r="E746" s="11"/>
    </row>
    <row r="747" spans="2:5" ht="14.25" customHeight="1" x14ac:dyDescent="0.35">
      <c r="B747" s="7"/>
      <c r="C747" s="7"/>
      <c r="D747" s="11"/>
      <c r="E747" s="11"/>
    </row>
    <row r="748" spans="2:5" ht="14.25" customHeight="1" x14ac:dyDescent="0.35">
      <c r="B748" s="7"/>
      <c r="C748" s="7"/>
      <c r="D748" s="11"/>
      <c r="E748" s="11"/>
    </row>
    <row r="749" spans="2:5" ht="14.25" customHeight="1" x14ac:dyDescent="0.35">
      <c r="B749" s="7"/>
      <c r="C749" s="7"/>
      <c r="D749" s="11"/>
      <c r="E749" s="11"/>
    </row>
    <row r="750" spans="2:5" ht="14.25" customHeight="1" x14ac:dyDescent="0.35">
      <c r="B750" s="7"/>
      <c r="C750" s="7"/>
      <c r="D750" s="11"/>
      <c r="E750" s="11"/>
    </row>
    <row r="751" spans="2:5" ht="14.25" customHeight="1" x14ac:dyDescent="0.35">
      <c r="B751" s="7"/>
      <c r="C751" s="7"/>
      <c r="D751" s="11"/>
      <c r="E751" s="11"/>
    </row>
    <row r="752" spans="2:5" ht="14.25" customHeight="1" x14ac:dyDescent="0.35">
      <c r="B752" s="7"/>
      <c r="C752" s="7"/>
      <c r="D752" s="11"/>
      <c r="E752" s="11"/>
    </row>
    <row r="753" spans="2:5" ht="14.25" customHeight="1" x14ac:dyDescent="0.35">
      <c r="B753" s="7"/>
      <c r="C753" s="7"/>
      <c r="D753" s="11"/>
      <c r="E753" s="11"/>
    </row>
    <row r="754" spans="2:5" ht="14.25" customHeight="1" x14ac:dyDescent="0.35">
      <c r="B754" s="7"/>
      <c r="C754" s="7"/>
      <c r="D754" s="11"/>
      <c r="E754" s="11"/>
    </row>
    <row r="755" spans="2:5" ht="14.25" customHeight="1" x14ac:dyDescent="0.35">
      <c r="B755" s="7"/>
      <c r="C755" s="7"/>
      <c r="D755" s="11"/>
      <c r="E755" s="11"/>
    </row>
    <row r="756" spans="2:5" ht="14.25" customHeight="1" x14ac:dyDescent="0.35">
      <c r="B756" s="7"/>
      <c r="C756" s="7"/>
      <c r="D756" s="11"/>
      <c r="E756" s="11"/>
    </row>
    <row r="757" spans="2:5" ht="14.25" customHeight="1" x14ac:dyDescent="0.35">
      <c r="B757" s="7"/>
      <c r="C757" s="7"/>
      <c r="D757" s="11"/>
      <c r="E757" s="11"/>
    </row>
    <row r="758" spans="2:5" ht="14.25" customHeight="1" x14ac:dyDescent="0.35">
      <c r="B758" s="7"/>
      <c r="C758" s="7"/>
      <c r="D758" s="11"/>
      <c r="E758" s="11"/>
    </row>
    <row r="759" spans="2:5" ht="14.25" customHeight="1" x14ac:dyDescent="0.35">
      <c r="B759" s="7"/>
      <c r="C759" s="7"/>
      <c r="D759" s="11"/>
      <c r="E759" s="11"/>
    </row>
    <row r="760" spans="2:5" ht="14.25" customHeight="1" x14ac:dyDescent="0.35">
      <c r="B760" s="7"/>
      <c r="C760" s="7"/>
      <c r="D760" s="11"/>
      <c r="E760" s="11"/>
    </row>
    <row r="761" spans="2:5" ht="14.25" customHeight="1" x14ac:dyDescent="0.35">
      <c r="B761" s="7"/>
      <c r="C761" s="7"/>
      <c r="D761" s="11"/>
      <c r="E761" s="11"/>
    </row>
    <row r="762" spans="2:5" ht="14.25" customHeight="1" x14ac:dyDescent="0.35">
      <c r="B762" s="7"/>
      <c r="C762" s="7"/>
      <c r="D762" s="11"/>
      <c r="E762" s="11"/>
    </row>
    <row r="763" spans="2:5" ht="14.25" customHeight="1" x14ac:dyDescent="0.35">
      <c r="B763" s="7"/>
      <c r="C763" s="7"/>
      <c r="D763" s="11"/>
      <c r="E763" s="11"/>
    </row>
    <row r="764" spans="2:5" ht="14.25" customHeight="1" x14ac:dyDescent="0.35">
      <c r="B764" s="7"/>
      <c r="C764" s="7"/>
      <c r="D764" s="11"/>
      <c r="E764" s="11"/>
    </row>
    <row r="765" spans="2:5" ht="14.25" customHeight="1" x14ac:dyDescent="0.35">
      <c r="B765" s="7"/>
      <c r="C765" s="7"/>
      <c r="D765" s="11"/>
      <c r="E765" s="11"/>
    </row>
    <row r="766" spans="2:5" ht="14.25" customHeight="1" x14ac:dyDescent="0.35">
      <c r="B766" s="7"/>
      <c r="C766" s="7"/>
      <c r="D766" s="11"/>
      <c r="E766" s="11"/>
    </row>
    <row r="767" spans="2:5" ht="14.25" customHeight="1" x14ac:dyDescent="0.35">
      <c r="B767" s="7"/>
      <c r="C767" s="7"/>
      <c r="D767" s="11"/>
      <c r="E767" s="11"/>
    </row>
    <row r="768" spans="2:5" ht="14.25" customHeight="1" x14ac:dyDescent="0.35">
      <c r="B768" s="7"/>
      <c r="C768" s="7"/>
      <c r="D768" s="11"/>
      <c r="E768" s="11"/>
    </row>
    <row r="769" spans="2:5" ht="14.25" customHeight="1" x14ac:dyDescent="0.35">
      <c r="B769" s="7"/>
      <c r="C769" s="7"/>
      <c r="D769" s="11"/>
      <c r="E769" s="11"/>
    </row>
    <row r="770" spans="2:5" ht="14.25" customHeight="1" x14ac:dyDescent="0.35">
      <c r="B770" s="7"/>
      <c r="C770" s="7"/>
      <c r="D770" s="11"/>
      <c r="E770" s="11"/>
    </row>
    <row r="771" spans="2:5" ht="14.25" customHeight="1" x14ac:dyDescent="0.35">
      <c r="B771" s="7"/>
      <c r="C771" s="7"/>
      <c r="D771" s="11"/>
      <c r="E771" s="11"/>
    </row>
    <row r="772" spans="2:5" ht="14.25" customHeight="1" x14ac:dyDescent="0.35">
      <c r="B772" s="7"/>
      <c r="C772" s="7"/>
      <c r="D772" s="11"/>
      <c r="E772" s="11"/>
    </row>
    <row r="773" spans="2:5" ht="14.25" customHeight="1" x14ac:dyDescent="0.35">
      <c r="B773" s="7"/>
      <c r="C773" s="7"/>
      <c r="D773" s="11"/>
      <c r="E773" s="11"/>
    </row>
    <row r="774" spans="2:5" ht="14.25" customHeight="1" x14ac:dyDescent="0.35">
      <c r="B774" s="7"/>
      <c r="C774" s="7"/>
      <c r="D774" s="11"/>
      <c r="E774" s="11"/>
    </row>
    <row r="775" spans="2:5" ht="14.25" customHeight="1" x14ac:dyDescent="0.35">
      <c r="B775" s="7"/>
      <c r="C775" s="7"/>
      <c r="D775" s="11"/>
      <c r="E775" s="11"/>
    </row>
    <row r="776" spans="2:5" ht="14.25" customHeight="1" x14ac:dyDescent="0.35">
      <c r="B776" s="7"/>
      <c r="C776" s="7"/>
      <c r="D776" s="11"/>
      <c r="E776" s="11"/>
    </row>
    <row r="777" spans="2:5" ht="14.25" customHeight="1" x14ac:dyDescent="0.35">
      <c r="B777" s="7"/>
      <c r="C777" s="7"/>
      <c r="D777" s="11"/>
      <c r="E777" s="11"/>
    </row>
    <row r="778" spans="2:5" ht="14.25" customHeight="1" x14ac:dyDescent="0.35">
      <c r="B778" s="7"/>
      <c r="C778" s="7"/>
      <c r="D778" s="11"/>
      <c r="E778" s="11"/>
    </row>
    <row r="779" spans="2:5" ht="14.25" customHeight="1" x14ac:dyDescent="0.35">
      <c r="B779" s="7"/>
      <c r="C779" s="7"/>
      <c r="D779" s="11"/>
      <c r="E779" s="11"/>
    </row>
    <row r="780" spans="2:5" ht="14.25" customHeight="1" x14ac:dyDescent="0.35">
      <c r="B780" s="7"/>
      <c r="C780" s="7"/>
      <c r="D780" s="11"/>
      <c r="E780" s="11"/>
    </row>
    <row r="781" spans="2:5" ht="14.25" customHeight="1" x14ac:dyDescent="0.35">
      <c r="B781" s="7"/>
      <c r="C781" s="7"/>
      <c r="D781" s="11"/>
      <c r="E781" s="11"/>
    </row>
    <row r="782" spans="2:5" ht="14.25" customHeight="1" x14ac:dyDescent="0.35">
      <c r="B782" s="7"/>
      <c r="C782" s="7"/>
      <c r="D782" s="11"/>
      <c r="E782" s="11"/>
    </row>
    <row r="783" spans="2:5" ht="14.25" customHeight="1" x14ac:dyDescent="0.35">
      <c r="B783" s="7"/>
      <c r="C783" s="7"/>
      <c r="D783" s="11"/>
      <c r="E783" s="11"/>
    </row>
    <row r="784" spans="2:5" ht="14.25" customHeight="1" x14ac:dyDescent="0.35">
      <c r="B784" s="7"/>
      <c r="C784" s="7"/>
      <c r="D784" s="11"/>
      <c r="E784" s="11"/>
    </row>
    <row r="785" spans="2:5" ht="14.25" customHeight="1" x14ac:dyDescent="0.35">
      <c r="B785" s="7"/>
      <c r="C785" s="7"/>
      <c r="D785" s="11"/>
      <c r="E785" s="11"/>
    </row>
    <row r="786" spans="2:5" ht="14.25" customHeight="1" x14ac:dyDescent="0.35">
      <c r="B786" s="7"/>
      <c r="C786" s="7"/>
      <c r="D786" s="11"/>
      <c r="E786" s="11"/>
    </row>
    <row r="787" spans="2:5" ht="14.25" customHeight="1" x14ac:dyDescent="0.35">
      <c r="B787" s="7"/>
      <c r="C787" s="7"/>
      <c r="D787" s="11"/>
      <c r="E787" s="11"/>
    </row>
    <row r="788" spans="2:5" ht="14.25" customHeight="1" x14ac:dyDescent="0.35">
      <c r="B788" s="7"/>
      <c r="C788" s="7"/>
      <c r="D788" s="11"/>
      <c r="E788" s="11"/>
    </row>
    <row r="789" spans="2:5" ht="14.25" customHeight="1" x14ac:dyDescent="0.35">
      <c r="B789" s="7"/>
      <c r="C789" s="7"/>
      <c r="D789" s="11"/>
      <c r="E789" s="11"/>
    </row>
    <row r="790" spans="2:5" ht="14.25" customHeight="1" x14ac:dyDescent="0.35">
      <c r="B790" s="7"/>
      <c r="C790" s="7"/>
      <c r="D790" s="11"/>
      <c r="E790" s="11"/>
    </row>
    <row r="791" spans="2:5" ht="14.25" customHeight="1" x14ac:dyDescent="0.35">
      <c r="B791" s="7"/>
      <c r="C791" s="7"/>
      <c r="D791" s="11"/>
      <c r="E791" s="11"/>
    </row>
    <row r="792" spans="2:5" ht="14.25" customHeight="1" x14ac:dyDescent="0.35">
      <c r="B792" s="7"/>
      <c r="C792" s="7"/>
      <c r="D792" s="11"/>
      <c r="E792" s="11"/>
    </row>
    <row r="793" spans="2:5" ht="14.25" customHeight="1" x14ac:dyDescent="0.35">
      <c r="B793" s="7"/>
      <c r="C793" s="7"/>
      <c r="D793" s="11"/>
      <c r="E793" s="11"/>
    </row>
    <row r="794" spans="2:5" ht="14.25" customHeight="1" x14ac:dyDescent="0.35">
      <c r="B794" s="7"/>
      <c r="C794" s="7"/>
      <c r="D794" s="11"/>
      <c r="E794" s="11"/>
    </row>
    <row r="795" spans="2:5" ht="14.25" customHeight="1" x14ac:dyDescent="0.35">
      <c r="B795" s="7"/>
      <c r="C795" s="7"/>
      <c r="D795" s="11"/>
      <c r="E795" s="11"/>
    </row>
    <row r="796" spans="2:5" ht="14.25" customHeight="1" x14ac:dyDescent="0.35">
      <c r="B796" s="7"/>
      <c r="C796" s="7"/>
      <c r="D796" s="11"/>
      <c r="E796" s="11"/>
    </row>
    <row r="797" spans="2:5" ht="14.25" customHeight="1" x14ac:dyDescent="0.35">
      <c r="B797" s="7"/>
      <c r="C797" s="7"/>
      <c r="D797" s="11"/>
      <c r="E797" s="11"/>
    </row>
    <row r="798" spans="2:5" ht="14.25" customHeight="1" x14ac:dyDescent="0.35">
      <c r="B798" s="7"/>
      <c r="C798" s="7"/>
      <c r="D798" s="11"/>
      <c r="E798" s="11"/>
    </row>
    <row r="799" spans="2:5" ht="14.25" customHeight="1" x14ac:dyDescent="0.35">
      <c r="B799" s="7"/>
      <c r="C799" s="7"/>
      <c r="D799" s="11"/>
      <c r="E799" s="11"/>
    </row>
    <row r="800" spans="2:5" ht="14.25" customHeight="1" x14ac:dyDescent="0.35">
      <c r="B800" s="7"/>
      <c r="C800" s="7"/>
      <c r="D800" s="11"/>
      <c r="E800" s="11"/>
    </row>
    <row r="801" spans="2:5" ht="14.25" customHeight="1" x14ac:dyDescent="0.35">
      <c r="B801" s="7"/>
      <c r="C801" s="7"/>
      <c r="D801" s="11"/>
      <c r="E801" s="11"/>
    </row>
    <row r="802" spans="2:5" ht="14.25" customHeight="1" x14ac:dyDescent="0.35">
      <c r="B802" s="7"/>
      <c r="C802" s="7"/>
      <c r="D802" s="11"/>
      <c r="E802" s="11"/>
    </row>
    <row r="803" spans="2:5" ht="14.25" customHeight="1" x14ac:dyDescent="0.35">
      <c r="B803" s="7"/>
      <c r="C803" s="7"/>
      <c r="D803" s="11"/>
      <c r="E803" s="11"/>
    </row>
    <row r="804" spans="2:5" ht="14.25" customHeight="1" x14ac:dyDescent="0.35">
      <c r="B804" s="7"/>
      <c r="C804" s="7"/>
      <c r="D804" s="11"/>
      <c r="E804" s="11"/>
    </row>
    <row r="805" spans="2:5" ht="14.25" customHeight="1" x14ac:dyDescent="0.35">
      <c r="B805" s="7"/>
      <c r="C805" s="7"/>
      <c r="D805" s="11"/>
      <c r="E805" s="11"/>
    </row>
    <row r="806" spans="2:5" ht="14.25" customHeight="1" x14ac:dyDescent="0.35">
      <c r="B806" s="7"/>
      <c r="C806" s="7"/>
      <c r="D806" s="11"/>
      <c r="E806" s="11"/>
    </row>
    <row r="807" spans="2:5" ht="14.25" customHeight="1" x14ac:dyDescent="0.35">
      <c r="B807" s="7"/>
      <c r="C807" s="7"/>
      <c r="D807" s="11"/>
      <c r="E807" s="11"/>
    </row>
    <row r="808" spans="2:5" ht="14.25" customHeight="1" x14ac:dyDescent="0.35">
      <c r="B808" s="7"/>
      <c r="C808" s="7"/>
      <c r="D808" s="11"/>
      <c r="E808" s="11"/>
    </row>
    <row r="809" spans="2:5" ht="14.25" customHeight="1" x14ac:dyDescent="0.35">
      <c r="B809" s="7"/>
      <c r="C809" s="7"/>
      <c r="D809" s="11"/>
      <c r="E809" s="11"/>
    </row>
    <row r="810" spans="2:5" ht="14.25" customHeight="1" x14ac:dyDescent="0.35">
      <c r="B810" s="7"/>
      <c r="C810" s="7"/>
      <c r="D810" s="11"/>
      <c r="E810" s="11"/>
    </row>
    <row r="811" spans="2:5" ht="14.25" customHeight="1" x14ac:dyDescent="0.35">
      <c r="B811" s="7"/>
      <c r="C811" s="7"/>
      <c r="D811" s="11"/>
      <c r="E811" s="11"/>
    </row>
    <row r="812" spans="2:5" ht="14.25" customHeight="1" x14ac:dyDescent="0.35">
      <c r="B812" s="7"/>
      <c r="C812" s="7"/>
      <c r="D812" s="11"/>
      <c r="E812" s="11"/>
    </row>
    <row r="813" spans="2:5" ht="14.25" customHeight="1" x14ac:dyDescent="0.35">
      <c r="B813" s="7"/>
      <c r="C813" s="7"/>
      <c r="D813" s="11"/>
      <c r="E813" s="11"/>
    </row>
    <row r="814" spans="2:5" ht="14.25" customHeight="1" x14ac:dyDescent="0.35">
      <c r="B814" s="7"/>
      <c r="C814" s="7"/>
      <c r="D814" s="11"/>
      <c r="E814" s="11"/>
    </row>
    <row r="815" spans="2:5" ht="14.25" customHeight="1" x14ac:dyDescent="0.35">
      <c r="B815" s="7"/>
      <c r="C815" s="7"/>
      <c r="D815" s="11"/>
      <c r="E815" s="11"/>
    </row>
    <row r="816" spans="2:5" ht="14.25" customHeight="1" x14ac:dyDescent="0.35">
      <c r="B816" s="7"/>
      <c r="C816" s="7"/>
      <c r="D816" s="11"/>
      <c r="E816" s="11"/>
    </row>
    <row r="817" spans="2:5" ht="14.25" customHeight="1" x14ac:dyDescent="0.35">
      <c r="B817" s="7"/>
      <c r="C817" s="7"/>
      <c r="D817" s="11"/>
      <c r="E817" s="11"/>
    </row>
    <row r="818" spans="2:5" ht="14.25" customHeight="1" x14ac:dyDescent="0.35">
      <c r="B818" s="7"/>
      <c r="C818" s="7"/>
      <c r="D818" s="11"/>
      <c r="E818" s="11"/>
    </row>
    <row r="819" spans="2:5" ht="14.25" customHeight="1" x14ac:dyDescent="0.35">
      <c r="B819" s="7"/>
      <c r="C819" s="7"/>
      <c r="D819" s="11"/>
      <c r="E819" s="11"/>
    </row>
    <row r="820" spans="2:5" ht="14.25" customHeight="1" x14ac:dyDescent="0.35">
      <c r="B820" s="7"/>
      <c r="C820" s="7"/>
      <c r="D820" s="11"/>
      <c r="E820" s="11"/>
    </row>
    <row r="821" spans="2:5" ht="14.25" customHeight="1" x14ac:dyDescent="0.35">
      <c r="B821" s="7"/>
      <c r="C821" s="7"/>
      <c r="D821" s="11"/>
      <c r="E821" s="11"/>
    </row>
    <row r="822" spans="2:5" ht="14.25" customHeight="1" x14ac:dyDescent="0.35">
      <c r="B822" s="7"/>
      <c r="C822" s="7"/>
      <c r="D822" s="11"/>
      <c r="E822" s="11"/>
    </row>
    <row r="823" spans="2:5" ht="14.25" customHeight="1" x14ac:dyDescent="0.35">
      <c r="B823" s="7"/>
      <c r="C823" s="7"/>
      <c r="D823" s="11"/>
      <c r="E823" s="11"/>
    </row>
    <row r="824" spans="2:5" ht="14.25" customHeight="1" x14ac:dyDescent="0.35">
      <c r="B824" s="7"/>
      <c r="C824" s="7"/>
      <c r="D824" s="11"/>
      <c r="E824" s="11"/>
    </row>
    <row r="825" spans="2:5" ht="14.25" customHeight="1" x14ac:dyDescent="0.35">
      <c r="B825" s="7"/>
      <c r="C825" s="7"/>
      <c r="D825" s="11"/>
      <c r="E825" s="11"/>
    </row>
    <row r="826" spans="2:5" ht="14.25" customHeight="1" x14ac:dyDescent="0.35">
      <c r="B826" s="7"/>
      <c r="C826" s="7"/>
      <c r="D826" s="11"/>
      <c r="E826" s="11"/>
    </row>
    <row r="827" spans="2:5" ht="14.25" customHeight="1" x14ac:dyDescent="0.35">
      <c r="B827" s="7"/>
      <c r="C827" s="7"/>
      <c r="D827" s="11"/>
      <c r="E827" s="11"/>
    </row>
    <row r="828" spans="2:5" ht="14.25" customHeight="1" x14ac:dyDescent="0.35">
      <c r="B828" s="7"/>
      <c r="C828" s="7"/>
      <c r="D828" s="11"/>
      <c r="E828" s="11"/>
    </row>
    <row r="829" spans="2:5" ht="14.25" customHeight="1" x14ac:dyDescent="0.35">
      <c r="B829" s="7"/>
      <c r="C829" s="7"/>
      <c r="D829" s="11"/>
      <c r="E829" s="11"/>
    </row>
    <row r="830" spans="2:5" ht="14.25" customHeight="1" x14ac:dyDescent="0.35">
      <c r="B830" s="7"/>
      <c r="C830" s="7"/>
      <c r="D830" s="11"/>
      <c r="E830" s="11"/>
    </row>
    <row r="831" spans="2:5" ht="14.25" customHeight="1" x14ac:dyDescent="0.35">
      <c r="B831" s="7"/>
      <c r="C831" s="7"/>
      <c r="D831" s="11"/>
      <c r="E831" s="11"/>
    </row>
    <row r="832" spans="2:5" ht="14.25" customHeight="1" x14ac:dyDescent="0.35">
      <c r="B832" s="7"/>
      <c r="C832" s="7"/>
      <c r="D832" s="11"/>
      <c r="E832" s="11"/>
    </row>
    <row r="833" spans="2:5" ht="14.25" customHeight="1" x14ac:dyDescent="0.35">
      <c r="B833" s="7"/>
      <c r="C833" s="7"/>
      <c r="D833" s="11"/>
      <c r="E833" s="11"/>
    </row>
    <row r="834" spans="2:5" ht="14.25" customHeight="1" x14ac:dyDescent="0.35">
      <c r="B834" s="7"/>
      <c r="C834" s="7"/>
      <c r="D834" s="11"/>
      <c r="E834" s="11"/>
    </row>
    <row r="835" spans="2:5" ht="14.25" customHeight="1" x14ac:dyDescent="0.35">
      <c r="B835" s="7"/>
      <c r="C835" s="7"/>
      <c r="D835" s="11"/>
      <c r="E835" s="11"/>
    </row>
    <row r="836" spans="2:5" ht="14.25" customHeight="1" x14ac:dyDescent="0.35">
      <c r="B836" s="7"/>
      <c r="C836" s="7"/>
      <c r="D836" s="11"/>
      <c r="E836" s="11"/>
    </row>
    <row r="837" spans="2:5" ht="14.25" customHeight="1" x14ac:dyDescent="0.35">
      <c r="B837" s="7"/>
      <c r="C837" s="7"/>
      <c r="D837" s="11"/>
      <c r="E837" s="11"/>
    </row>
    <row r="838" spans="2:5" ht="14.25" customHeight="1" x14ac:dyDescent="0.35">
      <c r="B838" s="7"/>
      <c r="C838" s="7"/>
      <c r="D838" s="11"/>
      <c r="E838" s="11"/>
    </row>
    <row r="839" spans="2:5" ht="14.25" customHeight="1" x14ac:dyDescent="0.35">
      <c r="B839" s="7"/>
      <c r="C839" s="7"/>
      <c r="D839" s="11"/>
      <c r="E839" s="11"/>
    </row>
    <row r="840" spans="2:5" ht="14.25" customHeight="1" x14ac:dyDescent="0.35">
      <c r="B840" s="7"/>
      <c r="C840" s="7"/>
      <c r="D840" s="11"/>
      <c r="E840" s="11"/>
    </row>
    <row r="841" spans="2:5" ht="14.25" customHeight="1" x14ac:dyDescent="0.35">
      <c r="B841" s="7"/>
      <c r="C841" s="7"/>
      <c r="D841" s="11"/>
      <c r="E841" s="11"/>
    </row>
    <row r="842" spans="2:5" ht="14.25" customHeight="1" x14ac:dyDescent="0.35">
      <c r="B842" s="7"/>
      <c r="C842" s="7"/>
      <c r="D842" s="11"/>
      <c r="E842" s="11"/>
    </row>
    <row r="843" spans="2:5" ht="14.25" customHeight="1" x14ac:dyDescent="0.35">
      <c r="B843" s="7"/>
      <c r="C843" s="7"/>
      <c r="D843" s="11"/>
      <c r="E843" s="11"/>
    </row>
    <row r="844" spans="2:5" ht="14.25" customHeight="1" x14ac:dyDescent="0.35">
      <c r="B844" s="7"/>
      <c r="C844" s="7"/>
      <c r="D844" s="11"/>
      <c r="E844" s="11"/>
    </row>
    <row r="845" spans="2:5" ht="14.25" customHeight="1" x14ac:dyDescent="0.35">
      <c r="B845" s="7"/>
      <c r="C845" s="7"/>
      <c r="D845" s="11"/>
      <c r="E845" s="11"/>
    </row>
    <row r="846" spans="2:5" ht="14.25" customHeight="1" x14ac:dyDescent="0.35">
      <c r="B846" s="7"/>
      <c r="C846" s="7"/>
      <c r="D846" s="11"/>
      <c r="E846" s="11"/>
    </row>
    <row r="847" spans="2:5" ht="14.25" customHeight="1" x14ac:dyDescent="0.35">
      <c r="B847" s="7"/>
      <c r="C847" s="7"/>
      <c r="D847" s="11"/>
      <c r="E847" s="11"/>
    </row>
    <row r="848" spans="2:5" ht="14.25" customHeight="1" x14ac:dyDescent="0.35">
      <c r="B848" s="7"/>
      <c r="C848" s="7"/>
      <c r="D848" s="11"/>
      <c r="E848" s="11"/>
    </row>
    <row r="849" spans="2:5" ht="14.25" customHeight="1" x14ac:dyDescent="0.35">
      <c r="B849" s="7"/>
      <c r="C849" s="7"/>
      <c r="D849" s="11"/>
      <c r="E849" s="11"/>
    </row>
    <row r="850" spans="2:5" ht="14.25" customHeight="1" x14ac:dyDescent="0.35">
      <c r="B850" s="7"/>
      <c r="C850" s="7"/>
      <c r="D850" s="11"/>
      <c r="E850" s="11"/>
    </row>
    <row r="851" spans="2:5" ht="14.25" customHeight="1" x14ac:dyDescent="0.35">
      <c r="B851" s="7"/>
      <c r="C851" s="7"/>
      <c r="D851" s="11"/>
      <c r="E851" s="11"/>
    </row>
    <row r="852" spans="2:5" ht="14.25" customHeight="1" x14ac:dyDescent="0.35">
      <c r="B852" s="7"/>
      <c r="C852" s="7"/>
      <c r="D852" s="11"/>
      <c r="E852" s="11"/>
    </row>
    <row r="853" spans="2:5" ht="14.25" customHeight="1" x14ac:dyDescent="0.35">
      <c r="B853" s="7"/>
      <c r="C853" s="7"/>
      <c r="D853" s="11"/>
      <c r="E853" s="11"/>
    </row>
    <row r="854" spans="2:5" ht="14.25" customHeight="1" x14ac:dyDescent="0.35">
      <c r="B854" s="7"/>
      <c r="C854" s="7"/>
      <c r="D854" s="11"/>
      <c r="E854" s="11"/>
    </row>
    <row r="855" spans="2:5" ht="14.25" customHeight="1" x14ac:dyDescent="0.35">
      <c r="B855" s="7"/>
      <c r="C855" s="7"/>
      <c r="D855" s="11"/>
      <c r="E855" s="11"/>
    </row>
    <row r="856" spans="2:5" ht="14.25" customHeight="1" x14ac:dyDescent="0.35">
      <c r="B856" s="7"/>
      <c r="C856" s="7"/>
      <c r="D856" s="11"/>
      <c r="E856" s="11"/>
    </row>
    <row r="857" spans="2:5" ht="14.25" customHeight="1" x14ac:dyDescent="0.35">
      <c r="B857" s="7"/>
      <c r="C857" s="7"/>
      <c r="D857" s="11"/>
      <c r="E857" s="11"/>
    </row>
    <row r="858" spans="2:5" ht="14.25" customHeight="1" x14ac:dyDescent="0.35">
      <c r="B858" s="7"/>
      <c r="C858" s="7"/>
      <c r="D858" s="11"/>
      <c r="E858" s="11"/>
    </row>
    <row r="859" spans="2:5" ht="14.25" customHeight="1" x14ac:dyDescent="0.35">
      <c r="B859" s="7"/>
      <c r="C859" s="7"/>
      <c r="D859" s="11"/>
      <c r="E859" s="11"/>
    </row>
    <row r="860" spans="2:5" ht="14.25" customHeight="1" x14ac:dyDescent="0.35">
      <c r="B860" s="7"/>
      <c r="C860" s="7"/>
      <c r="D860" s="11"/>
      <c r="E860" s="11"/>
    </row>
    <row r="861" spans="2:5" ht="14.25" customHeight="1" x14ac:dyDescent="0.35">
      <c r="B861" s="7"/>
      <c r="C861" s="7"/>
      <c r="D861" s="11"/>
      <c r="E861" s="11"/>
    </row>
    <row r="862" spans="2:5" ht="14.25" customHeight="1" x14ac:dyDescent="0.35">
      <c r="B862" s="7"/>
      <c r="C862" s="7"/>
      <c r="D862" s="11"/>
      <c r="E862" s="11"/>
    </row>
    <row r="863" spans="2:5" ht="14.25" customHeight="1" x14ac:dyDescent="0.35">
      <c r="B863" s="7"/>
      <c r="C863" s="7"/>
      <c r="D863" s="11"/>
      <c r="E863" s="11"/>
    </row>
    <row r="864" spans="2:5" ht="14.25" customHeight="1" x14ac:dyDescent="0.35">
      <c r="B864" s="7"/>
      <c r="C864" s="7"/>
      <c r="D864" s="11"/>
      <c r="E864" s="11"/>
    </row>
    <row r="865" spans="2:5" ht="14.25" customHeight="1" x14ac:dyDescent="0.35">
      <c r="B865" s="7"/>
      <c r="C865" s="7"/>
      <c r="D865" s="11"/>
      <c r="E865" s="11"/>
    </row>
    <row r="866" spans="2:5" ht="14.25" customHeight="1" x14ac:dyDescent="0.35">
      <c r="B866" s="7"/>
      <c r="C866" s="7"/>
      <c r="D866" s="11"/>
      <c r="E866" s="11"/>
    </row>
    <row r="867" spans="2:5" ht="14.25" customHeight="1" x14ac:dyDescent="0.35">
      <c r="B867" s="7"/>
      <c r="C867" s="7"/>
      <c r="D867" s="11"/>
      <c r="E867" s="11"/>
    </row>
    <row r="868" spans="2:5" ht="14.25" customHeight="1" x14ac:dyDescent="0.35">
      <c r="B868" s="7"/>
      <c r="C868" s="7"/>
      <c r="D868" s="11"/>
      <c r="E868" s="11"/>
    </row>
    <row r="869" spans="2:5" ht="14.25" customHeight="1" x14ac:dyDescent="0.35">
      <c r="B869" s="7"/>
      <c r="C869" s="7"/>
      <c r="D869" s="11"/>
      <c r="E869" s="11"/>
    </row>
    <row r="870" spans="2:5" ht="14.25" customHeight="1" x14ac:dyDescent="0.35">
      <c r="B870" s="7"/>
      <c r="C870" s="7"/>
      <c r="D870" s="11"/>
      <c r="E870" s="11"/>
    </row>
    <row r="871" spans="2:5" ht="14.25" customHeight="1" x14ac:dyDescent="0.35">
      <c r="B871" s="7"/>
      <c r="C871" s="7"/>
      <c r="D871" s="11"/>
      <c r="E871" s="11"/>
    </row>
    <row r="872" spans="2:5" ht="14.25" customHeight="1" x14ac:dyDescent="0.35">
      <c r="B872" s="7"/>
      <c r="C872" s="7"/>
      <c r="D872" s="11"/>
      <c r="E872" s="11"/>
    </row>
    <row r="873" spans="2:5" ht="14.25" customHeight="1" x14ac:dyDescent="0.35">
      <c r="B873" s="7"/>
      <c r="C873" s="7"/>
      <c r="D873" s="11"/>
      <c r="E873" s="11"/>
    </row>
    <row r="874" spans="2:5" ht="14.25" customHeight="1" x14ac:dyDescent="0.35">
      <c r="B874" s="7"/>
      <c r="C874" s="7"/>
      <c r="D874" s="11"/>
      <c r="E874" s="11"/>
    </row>
    <row r="875" spans="2:5" ht="14.25" customHeight="1" x14ac:dyDescent="0.35">
      <c r="B875" s="7"/>
      <c r="C875" s="7"/>
      <c r="D875" s="11"/>
      <c r="E875" s="11"/>
    </row>
    <row r="876" spans="2:5" ht="14.25" customHeight="1" x14ac:dyDescent="0.35">
      <c r="B876" s="7"/>
      <c r="C876" s="7"/>
      <c r="D876" s="11"/>
      <c r="E876" s="11"/>
    </row>
    <row r="877" spans="2:5" ht="14.25" customHeight="1" x14ac:dyDescent="0.35">
      <c r="B877" s="7"/>
      <c r="C877" s="7"/>
      <c r="D877" s="11"/>
      <c r="E877" s="11"/>
    </row>
    <row r="878" spans="2:5" ht="14.25" customHeight="1" x14ac:dyDescent="0.35">
      <c r="B878" s="7"/>
      <c r="C878" s="7"/>
      <c r="D878" s="11"/>
      <c r="E878" s="11"/>
    </row>
    <row r="879" spans="2:5" ht="14.25" customHeight="1" x14ac:dyDescent="0.35">
      <c r="B879" s="7"/>
      <c r="C879" s="7"/>
      <c r="D879" s="11"/>
      <c r="E879" s="11"/>
    </row>
    <row r="880" spans="2:5" ht="14.25" customHeight="1" x14ac:dyDescent="0.35">
      <c r="B880" s="7"/>
      <c r="C880" s="7"/>
      <c r="D880" s="11"/>
      <c r="E880" s="11"/>
    </row>
    <row r="881" spans="2:5" ht="14.25" customHeight="1" x14ac:dyDescent="0.35">
      <c r="B881" s="7"/>
      <c r="C881" s="7"/>
      <c r="D881" s="11"/>
      <c r="E881" s="11"/>
    </row>
    <row r="882" spans="2:5" ht="14.25" customHeight="1" x14ac:dyDescent="0.35">
      <c r="B882" s="7"/>
      <c r="C882" s="7"/>
      <c r="D882" s="11"/>
      <c r="E882" s="11"/>
    </row>
    <row r="883" spans="2:5" ht="14.25" customHeight="1" x14ac:dyDescent="0.35">
      <c r="B883" s="7"/>
      <c r="C883" s="7"/>
      <c r="D883" s="11"/>
      <c r="E883" s="11"/>
    </row>
    <row r="884" spans="2:5" ht="14.25" customHeight="1" x14ac:dyDescent="0.35">
      <c r="B884" s="7"/>
      <c r="C884" s="7"/>
      <c r="D884" s="11"/>
      <c r="E884" s="11"/>
    </row>
    <row r="885" spans="2:5" ht="14.25" customHeight="1" x14ac:dyDescent="0.35">
      <c r="B885" s="7"/>
      <c r="C885" s="7"/>
      <c r="D885" s="11"/>
      <c r="E885" s="11"/>
    </row>
    <row r="886" spans="2:5" ht="14.25" customHeight="1" x14ac:dyDescent="0.35">
      <c r="B886" s="7"/>
      <c r="C886" s="7"/>
      <c r="D886" s="11"/>
      <c r="E886" s="11"/>
    </row>
    <row r="887" spans="2:5" ht="14.25" customHeight="1" x14ac:dyDescent="0.35">
      <c r="B887" s="7"/>
      <c r="C887" s="7"/>
      <c r="D887" s="11"/>
      <c r="E887" s="11"/>
    </row>
    <row r="888" spans="2:5" ht="14.25" customHeight="1" x14ac:dyDescent="0.35">
      <c r="B888" s="7"/>
      <c r="C888" s="7"/>
      <c r="D888" s="11"/>
      <c r="E888" s="11"/>
    </row>
    <row r="889" spans="2:5" ht="14.25" customHeight="1" x14ac:dyDescent="0.35">
      <c r="B889" s="7"/>
      <c r="C889" s="7"/>
      <c r="D889" s="11"/>
      <c r="E889" s="11"/>
    </row>
    <row r="890" spans="2:5" ht="14.25" customHeight="1" x14ac:dyDescent="0.35">
      <c r="B890" s="7"/>
      <c r="C890" s="7"/>
      <c r="D890" s="11"/>
      <c r="E890" s="11"/>
    </row>
    <row r="891" spans="2:5" ht="14.25" customHeight="1" x14ac:dyDescent="0.35">
      <c r="B891" s="7"/>
      <c r="C891" s="7"/>
      <c r="D891" s="11"/>
      <c r="E891" s="11"/>
    </row>
    <row r="892" spans="2:5" ht="14.25" customHeight="1" x14ac:dyDescent="0.35">
      <c r="B892" s="7"/>
      <c r="C892" s="7"/>
      <c r="D892" s="11"/>
      <c r="E892" s="11"/>
    </row>
    <row r="893" spans="2:5" ht="14.25" customHeight="1" x14ac:dyDescent="0.35">
      <c r="B893" s="7"/>
      <c r="C893" s="7"/>
      <c r="D893" s="11"/>
      <c r="E893" s="11"/>
    </row>
    <row r="894" spans="2:5" ht="14.25" customHeight="1" x14ac:dyDescent="0.35">
      <c r="B894" s="7"/>
      <c r="C894" s="7"/>
      <c r="D894" s="11"/>
      <c r="E894" s="11"/>
    </row>
    <row r="895" spans="2:5" ht="14.25" customHeight="1" x14ac:dyDescent="0.35">
      <c r="B895" s="7"/>
      <c r="C895" s="7"/>
      <c r="D895" s="11"/>
      <c r="E895" s="11"/>
    </row>
    <row r="896" spans="2:5" ht="14.25" customHeight="1" x14ac:dyDescent="0.35">
      <c r="B896" s="7"/>
      <c r="C896" s="7"/>
      <c r="D896" s="11"/>
      <c r="E896" s="11"/>
    </row>
    <row r="897" spans="2:5" ht="14.25" customHeight="1" x14ac:dyDescent="0.35">
      <c r="B897" s="7"/>
      <c r="C897" s="7"/>
      <c r="D897" s="11"/>
      <c r="E897" s="11"/>
    </row>
    <row r="898" spans="2:5" ht="14.25" customHeight="1" x14ac:dyDescent="0.35">
      <c r="B898" s="7"/>
      <c r="C898" s="7"/>
      <c r="D898" s="11"/>
      <c r="E898" s="11"/>
    </row>
    <row r="899" spans="2:5" ht="14.25" customHeight="1" x14ac:dyDescent="0.35">
      <c r="B899" s="7"/>
      <c r="C899" s="7"/>
      <c r="D899" s="11"/>
      <c r="E899" s="11"/>
    </row>
    <row r="900" spans="2:5" ht="14.25" customHeight="1" x14ac:dyDescent="0.35">
      <c r="B900" s="7"/>
      <c r="C900" s="7"/>
      <c r="D900" s="11"/>
      <c r="E900" s="11"/>
    </row>
    <row r="901" spans="2:5" ht="14.25" customHeight="1" x14ac:dyDescent="0.35">
      <c r="B901" s="7"/>
      <c r="C901" s="7"/>
      <c r="D901" s="11"/>
      <c r="E901" s="11"/>
    </row>
    <row r="902" spans="2:5" ht="14.25" customHeight="1" x14ac:dyDescent="0.35">
      <c r="B902" s="7"/>
      <c r="C902" s="7"/>
      <c r="D902" s="11"/>
      <c r="E902" s="11"/>
    </row>
    <row r="903" spans="2:5" ht="14.25" customHeight="1" x14ac:dyDescent="0.35">
      <c r="B903" s="7"/>
      <c r="C903" s="7"/>
      <c r="D903" s="11"/>
      <c r="E903" s="11"/>
    </row>
    <row r="904" spans="2:5" ht="14.25" customHeight="1" x14ac:dyDescent="0.35">
      <c r="B904" s="7"/>
      <c r="C904" s="7"/>
      <c r="D904" s="11"/>
      <c r="E904" s="11"/>
    </row>
    <row r="905" spans="2:5" ht="14.25" customHeight="1" x14ac:dyDescent="0.35">
      <c r="B905" s="7"/>
      <c r="C905" s="7"/>
      <c r="D905" s="11"/>
      <c r="E905" s="11"/>
    </row>
    <row r="906" spans="2:5" ht="14.25" customHeight="1" x14ac:dyDescent="0.35">
      <c r="B906" s="7"/>
      <c r="C906" s="7"/>
      <c r="D906" s="11"/>
      <c r="E906" s="11"/>
    </row>
    <row r="907" spans="2:5" ht="14.25" customHeight="1" x14ac:dyDescent="0.35">
      <c r="B907" s="7"/>
      <c r="C907" s="7"/>
      <c r="D907" s="11"/>
      <c r="E907" s="11"/>
    </row>
    <row r="908" spans="2:5" ht="14.25" customHeight="1" x14ac:dyDescent="0.35">
      <c r="B908" s="7"/>
      <c r="C908" s="7"/>
      <c r="D908" s="11"/>
      <c r="E908" s="11"/>
    </row>
    <row r="909" spans="2:5" ht="14.25" customHeight="1" x14ac:dyDescent="0.35">
      <c r="B909" s="7"/>
      <c r="C909" s="7"/>
      <c r="D909" s="11"/>
      <c r="E909" s="11"/>
    </row>
    <row r="910" spans="2:5" ht="14.25" customHeight="1" x14ac:dyDescent="0.35">
      <c r="B910" s="7"/>
      <c r="C910" s="7"/>
      <c r="D910" s="11"/>
      <c r="E910" s="11"/>
    </row>
    <row r="911" spans="2:5" ht="14.25" customHeight="1" x14ac:dyDescent="0.35">
      <c r="B911" s="7"/>
      <c r="C911" s="7"/>
      <c r="D911" s="11"/>
      <c r="E911" s="11"/>
    </row>
    <row r="912" spans="2:5" ht="14.25" customHeight="1" x14ac:dyDescent="0.35">
      <c r="B912" s="7"/>
      <c r="C912" s="7"/>
      <c r="D912" s="11"/>
      <c r="E912" s="11"/>
    </row>
    <row r="913" spans="2:5" ht="14.25" customHeight="1" x14ac:dyDescent="0.35">
      <c r="B913" s="7"/>
      <c r="C913" s="7"/>
      <c r="D913" s="11"/>
      <c r="E913" s="11"/>
    </row>
    <row r="914" spans="2:5" ht="14.25" customHeight="1" x14ac:dyDescent="0.35">
      <c r="B914" s="7"/>
      <c r="C914" s="7"/>
      <c r="D914" s="11"/>
      <c r="E914" s="11"/>
    </row>
    <row r="915" spans="2:5" ht="14.25" customHeight="1" x14ac:dyDescent="0.35">
      <c r="B915" s="7"/>
      <c r="C915" s="7"/>
      <c r="D915" s="11"/>
      <c r="E915" s="11"/>
    </row>
    <row r="916" spans="2:5" ht="14.25" customHeight="1" x14ac:dyDescent="0.35">
      <c r="B916" s="7"/>
      <c r="C916" s="7"/>
      <c r="D916" s="11"/>
      <c r="E916" s="11"/>
    </row>
    <row r="917" spans="2:5" ht="14.25" customHeight="1" x14ac:dyDescent="0.35">
      <c r="B917" s="7"/>
      <c r="C917" s="7"/>
      <c r="D917" s="11"/>
      <c r="E917" s="11"/>
    </row>
    <row r="918" spans="2:5" ht="14.25" customHeight="1" x14ac:dyDescent="0.35">
      <c r="B918" s="7"/>
      <c r="C918" s="7"/>
      <c r="D918" s="11"/>
      <c r="E918" s="11"/>
    </row>
    <row r="919" spans="2:5" ht="14.25" customHeight="1" x14ac:dyDescent="0.35">
      <c r="B919" s="7"/>
      <c r="C919" s="7"/>
      <c r="D919" s="11"/>
      <c r="E919" s="11"/>
    </row>
    <row r="920" spans="2:5" ht="14.25" customHeight="1" x14ac:dyDescent="0.35">
      <c r="B920" s="7"/>
      <c r="C920" s="7"/>
      <c r="D920" s="11"/>
      <c r="E920" s="11"/>
    </row>
    <row r="921" spans="2:5" ht="14.25" customHeight="1" x14ac:dyDescent="0.35">
      <c r="B921" s="7"/>
      <c r="C921" s="7"/>
      <c r="D921" s="11"/>
      <c r="E921" s="11"/>
    </row>
    <row r="922" spans="2:5" ht="14.25" customHeight="1" x14ac:dyDescent="0.35">
      <c r="B922" s="7"/>
      <c r="C922" s="7"/>
      <c r="D922" s="11"/>
      <c r="E922" s="11"/>
    </row>
    <row r="923" spans="2:5" ht="14.25" customHeight="1" x14ac:dyDescent="0.35">
      <c r="B923" s="7"/>
      <c r="C923" s="7"/>
      <c r="D923" s="11"/>
      <c r="E923" s="11"/>
    </row>
    <row r="924" spans="2:5" ht="14.25" customHeight="1" x14ac:dyDescent="0.35">
      <c r="B924" s="7"/>
      <c r="C924" s="7"/>
      <c r="D924" s="11"/>
      <c r="E924" s="11"/>
    </row>
    <row r="925" spans="2:5" ht="14.25" customHeight="1" x14ac:dyDescent="0.35">
      <c r="B925" s="7"/>
      <c r="C925" s="7"/>
      <c r="D925" s="11"/>
      <c r="E925" s="11"/>
    </row>
    <row r="926" spans="2:5" ht="14.25" customHeight="1" x14ac:dyDescent="0.35">
      <c r="B926" s="7"/>
      <c r="C926" s="7"/>
      <c r="D926" s="11"/>
      <c r="E926" s="11"/>
    </row>
    <row r="927" spans="2:5" ht="14.25" customHeight="1" x14ac:dyDescent="0.35">
      <c r="B927" s="7"/>
      <c r="C927" s="7"/>
      <c r="D927" s="11"/>
      <c r="E927" s="11"/>
    </row>
    <row r="928" spans="2:5" ht="14.25" customHeight="1" x14ac:dyDescent="0.35">
      <c r="B928" s="7"/>
      <c r="C928" s="7"/>
      <c r="D928" s="11"/>
      <c r="E928" s="11"/>
    </row>
    <row r="929" spans="2:5" ht="14.25" customHeight="1" x14ac:dyDescent="0.35">
      <c r="B929" s="7"/>
      <c r="C929" s="7"/>
      <c r="D929" s="11"/>
      <c r="E929" s="11"/>
    </row>
    <row r="930" spans="2:5" ht="14.25" customHeight="1" x14ac:dyDescent="0.35">
      <c r="B930" s="7"/>
      <c r="C930" s="7"/>
      <c r="D930" s="11"/>
      <c r="E930" s="11"/>
    </row>
    <row r="931" spans="2:5" ht="14.25" customHeight="1" x14ac:dyDescent="0.35">
      <c r="B931" s="7"/>
      <c r="C931" s="7"/>
      <c r="D931" s="11"/>
      <c r="E931" s="11"/>
    </row>
    <row r="932" spans="2:5" ht="14.25" customHeight="1" x14ac:dyDescent="0.35">
      <c r="B932" s="7"/>
      <c r="C932" s="7"/>
      <c r="D932" s="11"/>
      <c r="E932" s="11"/>
    </row>
    <row r="933" spans="2:5" ht="14.25" customHeight="1" x14ac:dyDescent="0.35">
      <c r="B933" s="7"/>
      <c r="C933" s="7"/>
      <c r="D933" s="11"/>
      <c r="E933" s="11"/>
    </row>
    <row r="934" spans="2:5" ht="14.25" customHeight="1" x14ac:dyDescent="0.35">
      <c r="B934" s="7"/>
      <c r="C934" s="7"/>
      <c r="D934" s="11"/>
      <c r="E934" s="11"/>
    </row>
    <row r="935" spans="2:5" ht="14.25" customHeight="1" x14ac:dyDescent="0.35">
      <c r="B935" s="7"/>
      <c r="C935" s="7"/>
      <c r="D935" s="11"/>
      <c r="E935" s="11"/>
    </row>
    <row r="936" spans="2:5" ht="14.25" customHeight="1" x14ac:dyDescent="0.35">
      <c r="B936" s="7"/>
      <c r="C936" s="7"/>
      <c r="D936" s="11"/>
      <c r="E936" s="11"/>
    </row>
    <row r="937" spans="2:5" ht="14.25" customHeight="1" x14ac:dyDescent="0.35">
      <c r="B937" s="7"/>
      <c r="C937" s="7"/>
      <c r="D937" s="11"/>
      <c r="E937" s="11"/>
    </row>
    <row r="938" spans="2:5" ht="14.25" customHeight="1" x14ac:dyDescent="0.35">
      <c r="B938" s="7"/>
      <c r="C938" s="7"/>
      <c r="D938" s="11"/>
      <c r="E938" s="11"/>
    </row>
    <row r="939" spans="2:5" ht="14.25" customHeight="1" x14ac:dyDescent="0.35">
      <c r="B939" s="7"/>
      <c r="C939" s="7"/>
      <c r="D939" s="11"/>
      <c r="E939" s="11"/>
    </row>
    <row r="940" spans="2:5" ht="14.25" customHeight="1" x14ac:dyDescent="0.35">
      <c r="B940" s="7"/>
      <c r="C940" s="7"/>
      <c r="D940" s="11"/>
      <c r="E940" s="11"/>
    </row>
    <row r="941" spans="2:5" ht="14.25" customHeight="1" x14ac:dyDescent="0.35">
      <c r="B941" s="7"/>
      <c r="C941" s="7"/>
      <c r="D941" s="11"/>
      <c r="E941" s="11"/>
    </row>
    <row r="942" spans="2:5" ht="14.25" customHeight="1" x14ac:dyDescent="0.35">
      <c r="B942" s="7"/>
      <c r="C942" s="7"/>
      <c r="D942" s="11"/>
      <c r="E942" s="11"/>
    </row>
    <row r="943" spans="2:5" ht="14.25" customHeight="1" x14ac:dyDescent="0.35">
      <c r="B943" s="7"/>
      <c r="C943" s="7"/>
      <c r="D943" s="11"/>
      <c r="E943" s="11"/>
    </row>
    <row r="944" spans="2:5" ht="14.25" customHeight="1" x14ac:dyDescent="0.35">
      <c r="B944" s="7"/>
      <c r="C944" s="7"/>
      <c r="D944" s="11"/>
      <c r="E944" s="11"/>
    </row>
    <row r="945" spans="2:5" ht="14.25" customHeight="1" x14ac:dyDescent="0.35">
      <c r="B945" s="7"/>
      <c r="C945" s="7"/>
      <c r="D945" s="11"/>
      <c r="E945" s="11"/>
    </row>
    <row r="946" spans="2:5" ht="14.25" customHeight="1" x14ac:dyDescent="0.35">
      <c r="B946" s="7"/>
      <c r="C946" s="7"/>
      <c r="D946" s="11"/>
      <c r="E946" s="11"/>
    </row>
    <row r="947" spans="2:5" ht="14.25" customHeight="1" x14ac:dyDescent="0.35">
      <c r="B947" s="7"/>
      <c r="C947" s="7"/>
      <c r="D947" s="11"/>
      <c r="E947" s="11"/>
    </row>
    <row r="948" spans="2:5" ht="14.25" customHeight="1" x14ac:dyDescent="0.35">
      <c r="B948" s="7"/>
      <c r="C948" s="7"/>
      <c r="D948" s="11"/>
      <c r="E948" s="11"/>
    </row>
    <row r="949" spans="2:5" ht="14.25" customHeight="1" x14ac:dyDescent="0.35">
      <c r="B949" s="7"/>
      <c r="C949" s="7"/>
      <c r="D949" s="11"/>
      <c r="E949" s="11"/>
    </row>
    <row r="950" spans="2:5" ht="14.25" customHeight="1" x14ac:dyDescent="0.35">
      <c r="B950" s="7"/>
      <c r="C950" s="7"/>
      <c r="D950" s="11"/>
      <c r="E950" s="11"/>
    </row>
    <row r="951" spans="2:5" ht="14.25" customHeight="1" x14ac:dyDescent="0.35">
      <c r="B951" s="7"/>
      <c r="C951" s="7"/>
      <c r="D951" s="11"/>
      <c r="E951" s="11"/>
    </row>
    <row r="952" spans="2:5" ht="14.25" customHeight="1" x14ac:dyDescent="0.35">
      <c r="B952" s="7"/>
      <c r="C952" s="7"/>
      <c r="D952" s="11"/>
      <c r="E952" s="11"/>
    </row>
    <row r="953" spans="2:5" ht="14.25" customHeight="1" x14ac:dyDescent="0.35">
      <c r="B953" s="7"/>
      <c r="C953" s="7"/>
      <c r="D953" s="11"/>
      <c r="E953" s="11"/>
    </row>
    <row r="954" spans="2:5" ht="14.25" customHeight="1" x14ac:dyDescent="0.35">
      <c r="B954" s="7"/>
      <c r="C954" s="7"/>
      <c r="D954" s="11"/>
      <c r="E954" s="11"/>
    </row>
    <row r="955" spans="2:5" ht="14.25" customHeight="1" x14ac:dyDescent="0.35">
      <c r="B955" s="7"/>
      <c r="C955" s="7"/>
      <c r="D955" s="11"/>
      <c r="E955" s="11"/>
    </row>
    <row r="956" spans="2:5" ht="14.25" customHeight="1" x14ac:dyDescent="0.35">
      <c r="B956" s="7"/>
      <c r="C956" s="7"/>
      <c r="D956" s="11"/>
      <c r="E956" s="11"/>
    </row>
    <row r="957" spans="2:5" ht="14.25" customHeight="1" x14ac:dyDescent="0.35">
      <c r="B957" s="7"/>
      <c r="C957" s="7"/>
      <c r="D957" s="11"/>
      <c r="E957" s="11"/>
    </row>
    <row r="958" spans="2:5" ht="14.25" customHeight="1" x14ac:dyDescent="0.35">
      <c r="B958" s="7"/>
      <c r="C958" s="7"/>
      <c r="D958" s="11"/>
      <c r="E958" s="11"/>
    </row>
    <row r="959" spans="2:5" ht="14.25" customHeight="1" x14ac:dyDescent="0.35">
      <c r="B959" s="7"/>
      <c r="C959" s="7"/>
      <c r="D959" s="11"/>
      <c r="E959" s="11"/>
    </row>
    <row r="960" spans="2:5" ht="14.25" customHeight="1" x14ac:dyDescent="0.35">
      <c r="B960" s="7"/>
      <c r="C960" s="7"/>
      <c r="D960" s="11"/>
      <c r="E960" s="11"/>
    </row>
    <row r="961" spans="2:5" ht="14.25" customHeight="1" x14ac:dyDescent="0.35">
      <c r="B961" s="7"/>
      <c r="C961" s="7"/>
      <c r="D961" s="11"/>
      <c r="E961" s="11"/>
    </row>
    <row r="962" spans="2:5" ht="14.25" customHeight="1" x14ac:dyDescent="0.35">
      <c r="B962" s="7"/>
      <c r="C962" s="7"/>
      <c r="D962" s="11"/>
      <c r="E962" s="11"/>
    </row>
    <row r="963" spans="2:5" ht="14.25" customHeight="1" x14ac:dyDescent="0.35">
      <c r="B963" s="7"/>
      <c r="C963" s="7"/>
      <c r="D963" s="11"/>
      <c r="E963" s="11"/>
    </row>
    <row r="964" spans="2:5" ht="14.25" customHeight="1" x14ac:dyDescent="0.35">
      <c r="B964" s="7"/>
      <c r="C964" s="7"/>
      <c r="D964" s="11"/>
      <c r="E964" s="11"/>
    </row>
    <row r="965" spans="2:5" ht="14.25" customHeight="1" x14ac:dyDescent="0.35">
      <c r="B965" s="7"/>
      <c r="C965" s="7"/>
      <c r="D965" s="11"/>
      <c r="E965" s="11"/>
    </row>
    <row r="966" spans="2:5" ht="14.25" customHeight="1" x14ac:dyDescent="0.35">
      <c r="B966" s="7"/>
      <c r="C966" s="7"/>
      <c r="D966" s="11"/>
      <c r="E966" s="11"/>
    </row>
    <row r="967" spans="2:5" ht="14.25" customHeight="1" x14ac:dyDescent="0.35">
      <c r="B967" s="7"/>
      <c r="C967" s="7"/>
      <c r="D967" s="11"/>
      <c r="E967" s="11"/>
    </row>
    <row r="968" spans="2:5" ht="14.25" customHeight="1" x14ac:dyDescent="0.35">
      <c r="B968" s="7"/>
      <c r="C968" s="7"/>
      <c r="D968" s="11"/>
      <c r="E968" s="11"/>
    </row>
    <row r="969" spans="2:5" ht="14.25" customHeight="1" x14ac:dyDescent="0.35">
      <c r="B969" s="7"/>
      <c r="C969" s="7"/>
      <c r="D969" s="11"/>
      <c r="E969" s="11"/>
    </row>
    <row r="970" spans="2:5" ht="14.25" customHeight="1" x14ac:dyDescent="0.35">
      <c r="B970" s="7"/>
      <c r="C970" s="7"/>
      <c r="D970" s="11"/>
      <c r="E970" s="11"/>
    </row>
    <row r="971" spans="2:5" ht="14.25" customHeight="1" x14ac:dyDescent="0.35">
      <c r="B971" s="7"/>
      <c r="C971" s="7"/>
      <c r="D971" s="11"/>
      <c r="E971" s="11"/>
    </row>
    <row r="972" spans="2:5" ht="14.25" customHeight="1" x14ac:dyDescent="0.35">
      <c r="B972" s="7"/>
      <c r="C972" s="7"/>
      <c r="D972" s="11"/>
      <c r="E972" s="11"/>
    </row>
    <row r="973" spans="2:5" ht="14.25" customHeight="1" x14ac:dyDescent="0.35">
      <c r="B973" s="7"/>
      <c r="C973" s="7"/>
      <c r="D973" s="11"/>
      <c r="E973" s="11"/>
    </row>
    <row r="974" spans="2:5" ht="14.25" customHeight="1" x14ac:dyDescent="0.35">
      <c r="B974" s="7"/>
      <c r="C974" s="7"/>
      <c r="D974" s="11"/>
      <c r="E974" s="11"/>
    </row>
    <row r="975" spans="2:5" ht="14.25" customHeight="1" x14ac:dyDescent="0.35">
      <c r="B975" s="7"/>
      <c r="C975" s="7"/>
      <c r="D975" s="11"/>
      <c r="E975" s="11"/>
    </row>
    <row r="976" spans="2:5" ht="14.25" customHeight="1" x14ac:dyDescent="0.35">
      <c r="B976" s="7"/>
      <c r="C976" s="7"/>
      <c r="D976" s="11"/>
      <c r="E976" s="11"/>
    </row>
    <row r="977" spans="2:5" ht="14.25" customHeight="1" x14ac:dyDescent="0.35">
      <c r="B977" s="7"/>
      <c r="C977" s="7"/>
      <c r="D977" s="11"/>
      <c r="E977" s="11"/>
    </row>
    <row r="978" spans="2:5" ht="14.25" customHeight="1" x14ac:dyDescent="0.35">
      <c r="B978" s="7"/>
      <c r="C978" s="7"/>
      <c r="D978" s="11"/>
      <c r="E978" s="11"/>
    </row>
    <row r="979" spans="2:5" ht="14.25" customHeight="1" x14ac:dyDescent="0.35">
      <c r="B979" s="7"/>
      <c r="C979" s="7"/>
      <c r="D979" s="11"/>
      <c r="E979" s="11"/>
    </row>
    <row r="980" spans="2:5" ht="14.25" customHeight="1" x14ac:dyDescent="0.35">
      <c r="B980" s="7"/>
      <c r="C980" s="7"/>
      <c r="D980" s="11"/>
      <c r="E980" s="11"/>
    </row>
    <row r="981" spans="2:5" ht="14.25" customHeight="1" x14ac:dyDescent="0.35">
      <c r="B981" s="7"/>
      <c r="C981" s="7"/>
      <c r="D981" s="11"/>
      <c r="E981" s="11"/>
    </row>
    <row r="982" spans="2:5" ht="14.25" customHeight="1" x14ac:dyDescent="0.35">
      <c r="B982" s="7"/>
      <c r="C982" s="7"/>
      <c r="D982" s="11"/>
      <c r="E982" s="11"/>
    </row>
    <row r="983" spans="2:5" ht="14.25" customHeight="1" x14ac:dyDescent="0.35">
      <c r="B983" s="7"/>
      <c r="C983" s="7"/>
      <c r="D983" s="11"/>
      <c r="E983" s="11"/>
    </row>
    <row r="984" spans="2:5" ht="14.25" customHeight="1" x14ac:dyDescent="0.35">
      <c r="B984" s="7"/>
      <c r="C984" s="7"/>
      <c r="D984" s="11"/>
      <c r="E984" s="11"/>
    </row>
    <row r="985" spans="2:5" ht="14.25" customHeight="1" x14ac:dyDescent="0.35">
      <c r="B985" s="7"/>
      <c r="C985" s="7"/>
      <c r="D985" s="11"/>
      <c r="E985" s="11"/>
    </row>
    <row r="986" spans="2:5" ht="14.25" customHeight="1" x14ac:dyDescent="0.35">
      <c r="B986" s="7"/>
      <c r="C986" s="7"/>
      <c r="D986" s="11"/>
      <c r="E986" s="11"/>
    </row>
    <row r="987" spans="2:5" ht="14.25" customHeight="1" x14ac:dyDescent="0.35">
      <c r="B987" s="7"/>
      <c r="C987" s="7"/>
      <c r="D987" s="11"/>
      <c r="E987" s="11"/>
    </row>
    <row r="988" spans="2:5" ht="14.25" customHeight="1" x14ac:dyDescent="0.35">
      <c r="B988" s="7"/>
      <c r="C988" s="7"/>
      <c r="D988" s="11"/>
      <c r="E988" s="11"/>
    </row>
    <row r="989" spans="2:5" ht="14.25" customHeight="1" x14ac:dyDescent="0.35">
      <c r="B989" s="7"/>
      <c r="C989" s="7"/>
      <c r="D989" s="11"/>
      <c r="E989" s="11"/>
    </row>
    <row r="990" spans="2:5" ht="14.25" customHeight="1" x14ac:dyDescent="0.35">
      <c r="B990" s="7"/>
      <c r="C990" s="7"/>
      <c r="D990" s="11"/>
      <c r="E990" s="11"/>
    </row>
    <row r="991" spans="2:5" ht="14.25" customHeight="1" x14ac:dyDescent="0.35">
      <c r="B991" s="7"/>
      <c r="C991" s="7"/>
      <c r="D991" s="11"/>
      <c r="E991" s="11"/>
    </row>
    <row r="992" spans="2:5" ht="14.25" customHeight="1" x14ac:dyDescent="0.35">
      <c r="B992" s="7"/>
      <c r="C992" s="7"/>
      <c r="D992" s="11"/>
      <c r="E992" s="11"/>
    </row>
    <row r="993" spans="2:5" ht="14.25" customHeight="1" x14ac:dyDescent="0.35">
      <c r="B993" s="7"/>
      <c r="C993" s="7"/>
      <c r="D993" s="11"/>
      <c r="E993" s="11"/>
    </row>
    <row r="994" spans="2:5" ht="14.25" customHeight="1" x14ac:dyDescent="0.35">
      <c r="B994" s="7"/>
      <c r="C994" s="7"/>
      <c r="D994" s="11"/>
      <c r="E994" s="11"/>
    </row>
    <row r="995" spans="2:5" ht="14.25" customHeight="1" x14ac:dyDescent="0.35">
      <c r="B995" s="7"/>
      <c r="C995" s="7"/>
      <c r="D995" s="11"/>
      <c r="E995" s="11"/>
    </row>
    <row r="996" spans="2:5" ht="14.25" customHeight="1" x14ac:dyDescent="0.35">
      <c r="B996" s="7"/>
      <c r="C996" s="7"/>
      <c r="D996" s="11"/>
      <c r="E996" s="11"/>
    </row>
    <row r="997" spans="2:5" ht="14.25" customHeight="1" x14ac:dyDescent="0.35">
      <c r="B997" s="7"/>
      <c r="C997" s="7"/>
      <c r="D997" s="11"/>
      <c r="E997" s="11"/>
    </row>
    <row r="998" spans="2:5" ht="14.25" customHeight="1" x14ac:dyDescent="0.35">
      <c r="B998" s="7"/>
      <c r="C998" s="7"/>
      <c r="D998" s="11"/>
      <c r="E998" s="11"/>
    </row>
    <row r="999" spans="2:5" ht="14.25" customHeight="1" x14ac:dyDescent="0.35">
      <c r="B999" s="7"/>
      <c r="C999" s="7"/>
      <c r="D999" s="11"/>
      <c r="E999" s="11"/>
    </row>
    <row r="1000" spans="2:5" ht="14.25" customHeight="1" x14ac:dyDescent="0.35">
      <c r="B1000" s="7"/>
      <c r="C1000" s="7"/>
      <c r="D1000" s="11"/>
      <c r="E1000" s="11"/>
    </row>
  </sheetData>
  <conditionalFormatting sqref="A2:D24">
    <cfRule type="expression" dxfId="7" priority="4">
      <formula>MOD(ROW($A2),2)=1</formula>
    </cfRule>
  </conditionalFormatting>
  <conditionalFormatting sqref="E2:E24">
    <cfRule type="expression" dxfId="6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C12"/>
  <sheetViews>
    <sheetView tabSelected="1" zoomScaleNormal="100" workbookViewId="0"/>
  </sheetViews>
  <sheetFormatPr defaultColWidth="8.6328125" defaultRowHeight="14.5" x14ac:dyDescent="0.35"/>
  <cols>
    <col min="1" max="1" width="28.36328125" customWidth="1"/>
    <col min="2" max="2" width="13.90625" style="12" customWidth="1"/>
  </cols>
  <sheetData>
    <row r="1" spans="1:3" ht="14.25" customHeight="1" x14ac:dyDescent="0.35">
      <c r="A1" s="2" t="s">
        <v>0</v>
      </c>
      <c r="B1" s="13" t="s">
        <v>58</v>
      </c>
      <c r="C1" s="3" t="s">
        <v>59</v>
      </c>
    </row>
    <row r="2" spans="1:3" ht="14.25" customHeight="1" x14ac:dyDescent="0.35">
      <c r="A2" s="14" t="s">
        <v>14</v>
      </c>
      <c r="B2" s="16">
        <v>46153</v>
      </c>
      <c r="C2" s="15"/>
    </row>
    <row r="3" spans="1:3" ht="14.25" customHeight="1" x14ac:dyDescent="0.35">
      <c r="A3" s="14" t="s">
        <v>19</v>
      </c>
      <c r="B3" s="16">
        <v>46153</v>
      </c>
      <c r="C3" s="15">
        <v>2</v>
      </c>
    </row>
    <row r="4" spans="1:3" ht="14.25" customHeight="1" x14ac:dyDescent="0.35">
      <c r="A4" s="14" t="s">
        <v>24</v>
      </c>
      <c r="B4" s="16">
        <v>46153</v>
      </c>
      <c r="C4" s="15">
        <v>2</v>
      </c>
    </row>
    <row r="5" spans="1:3" ht="14.25" customHeight="1" x14ac:dyDescent="0.35">
      <c r="A5" s="14" t="s">
        <v>27</v>
      </c>
      <c r="B5" s="16">
        <v>46153</v>
      </c>
      <c r="C5" s="15">
        <v>2</v>
      </c>
    </row>
    <row r="6" spans="1:3" ht="14.25" customHeight="1" x14ac:dyDescent="0.35">
      <c r="A6" s="14" t="s">
        <v>590</v>
      </c>
      <c r="B6" s="16">
        <v>46153</v>
      </c>
      <c r="C6" s="15"/>
    </row>
    <row r="7" spans="1:3" ht="14.25" customHeight="1" x14ac:dyDescent="0.35">
      <c r="A7" s="14" t="s">
        <v>591</v>
      </c>
      <c r="B7" s="16">
        <v>46153</v>
      </c>
      <c r="C7" s="15">
        <v>1</v>
      </c>
    </row>
    <row r="8" spans="1:3" ht="14.25" customHeight="1" x14ac:dyDescent="0.35">
      <c r="A8" s="14" t="s">
        <v>39</v>
      </c>
      <c r="B8" s="16">
        <v>46153</v>
      </c>
      <c r="C8" s="15">
        <v>1</v>
      </c>
    </row>
    <row r="9" spans="1:3" ht="14.25" customHeight="1" x14ac:dyDescent="0.35">
      <c r="A9" s="14" t="s">
        <v>42</v>
      </c>
      <c r="B9" s="16">
        <v>46153</v>
      </c>
      <c r="C9" s="15">
        <v>1</v>
      </c>
    </row>
    <row r="10" spans="1:3" ht="14.25" customHeight="1" x14ac:dyDescent="0.35">
      <c r="A10" s="14" t="s">
        <v>46</v>
      </c>
      <c r="B10" s="16">
        <v>46153</v>
      </c>
      <c r="C10" s="15"/>
    </row>
    <row r="11" spans="1:3" ht="14.25" customHeight="1" x14ac:dyDescent="0.35">
      <c r="A11" s="14" t="s">
        <v>592</v>
      </c>
      <c r="B11" s="16">
        <v>46153</v>
      </c>
      <c r="C11" s="15">
        <v>1</v>
      </c>
    </row>
    <row r="12" spans="1:3" ht="14.25" customHeight="1" x14ac:dyDescent="0.35">
      <c r="A12" s="14" t="s">
        <v>54</v>
      </c>
      <c r="B12" s="16">
        <v>46153</v>
      </c>
      <c r="C12" s="15"/>
    </row>
  </sheetData>
  <conditionalFormatting sqref="B2:C12">
    <cfRule type="expression" dxfId="5" priority="2">
      <formula>MOD(ROW($A2),2)=1</formula>
    </cfRule>
  </conditionalFormatting>
  <conditionalFormatting sqref="A2:A12">
    <cfRule type="expression" dxfId="4" priority="3">
      <formula>MOD(ROW($A2),2)=1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Normal="100" workbookViewId="0">
      <pane xSplit="1" ySplit="1" topLeftCell="C2" activePane="bottomRight" state="frozen"/>
      <selection activeCell="D47" sqref="D47"/>
      <selection pane="topRight" activeCell="D47" sqref="D47"/>
      <selection pane="bottomLeft" activeCell="D47" sqref="D47"/>
      <selection pane="bottomRight" activeCell="D47" sqref="D47"/>
    </sheetView>
  </sheetViews>
  <sheetFormatPr defaultColWidth="14.453125" defaultRowHeight="14.5" x14ac:dyDescent="0.35"/>
  <cols>
    <col min="1" max="1" width="24.54296875" customWidth="1"/>
    <col min="2" max="2" width="13.81640625" customWidth="1"/>
    <col min="3" max="3" width="13.453125" customWidth="1"/>
    <col min="4" max="4" width="11.54296875" customWidth="1"/>
    <col min="5" max="5" width="13.54296875" customWidth="1"/>
    <col min="6" max="6" width="10.54296875" customWidth="1"/>
    <col min="7" max="8" width="10.7265625" customWidth="1"/>
    <col min="9" max="9" width="12.81640625" customWidth="1"/>
    <col min="10" max="10" width="10.453125" customWidth="1"/>
    <col min="11" max="11" width="10.81640625" customWidth="1"/>
    <col min="12" max="13" width="10.54296875" customWidth="1"/>
    <col min="14" max="27" width="8.7265625" customWidth="1"/>
  </cols>
  <sheetData>
    <row r="1" spans="1:27" ht="14.25" customHeigh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3" t="s">
        <v>9</v>
      </c>
      <c r="K1" s="3" t="s">
        <v>10</v>
      </c>
      <c r="L1" s="5" t="s">
        <v>11</v>
      </c>
      <c r="M1" s="5" t="s">
        <v>13</v>
      </c>
      <c r="AA1" s="6">
        <f ca="1">+TODAY()</f>
        <v>46209</v>
      </c>
    </row>
    <row r="2" spans="1:27" ht="14.25" customHeight="1" x14ac:dyDescent="0.35">
      <c r="A2" t="s">
        <v>14</v>
      </c>
      <c r="B2" s="7" t="s">
        <v>15</v>
      </c>
      <c r="C2" s="7" t="s">
        <v>560</v>
      </c>
      <c r="D2" s="7" t="s">
        <v>16</v>
      </c>
      <c r="E2" s="7" t="s">
        <v>17</v>
      </c>
      <c r="F2" s="8">
        <v>591892</v>
      </c>
      <c r="G2" s="9">
        <v>44816</v>
      </c>
      <c r="H2" s="9">
        <v>48469</v>
      </c>
      <c r="I2" s="10">
        <v>46236</v>
      </c>
      <c r="J2" s="10">
        <v>46236</v>
      </c>
      <c r="K2" s="10"/>
      <c r="L2" s="11" t="s">
        <v>18</v>
      </c>
      <c r="M2" s="11" t="str">
        <f>TIPOARMA(B2,CALIBRESTD(C2))</f>
        <v>ALRR</v>
      </c>
    </row>
    <row r="3" spans="1:27" ht="14.25" customHeight="1" x14ac:dyDescent="0.35">
      <c r="A3" t="s">
        <v>19</v>
      </c>
      <c r="B3" s="7" t="s">
        <v>15</v>
      </c>
      <c r="C3" s="7" t="s">
        <v>20</v>
      </c>
      <c r="D3" s="7" t="s">
        <v>21</v>
      </c>
      <c r="E3" s="7" t="s">
        <v>22</v>
      </c>
      <c r="F3" s="8">
        <v>2229014</v>
      </c>
      <c r="G3" s="9">
        <v>44893</v>
      </c>
      <c r="H3" s="9">
        <v>48546</v>
      </c>
      <c r="I3" s="10">
        <v>46236</v>
      </c>
      <c r="J3" s="10">
        <v>46236</v>
      </c>
      <c r="K3" s="10"/>
      <c r="L3" s="11" t="s">
        <v>23</v>
      </c>
      <c r="M3" s="11" t="str">
        <f>TIPOARMA(B3,CALIBRESTD(C3))</f>
        <v>ALRP</v>
      </c>
    </row>
    <row r="4" spans="1:27" ht="14.25" customHeight="1" x14ac:dyDescent="0.35">
      <c r="A4" t="s">
        <v>24</v>
      </c>
      <c r="B4" s="7" t="s">
        <v>15</v>
      </c>
      <c r="C4" s="7" t="s">
        <v>560</v>
      </c>
      <c r="D4" s="7" t="s">
        <v>21</v>
      </c>
      <c r="E4" s="7" t="s">
        <v>25</v>
      </c>
      <c r="F4" s="8">
        <v>1489231</v>
      </c>
      <c r="G4" s="9">
        <v>44663</v>
      </c>
      <c r="H4" s="9">
        <v>48316</v>
      </c>
      <c r="I4" s="10">
        <v>46236</v>
      </c>
      <c r="J4" s="10">
        <v>46236</v>
      </c>
      <c r="K4" s="10"/>
      <c r="L4" s="11" t="s">
        <v>26</v>
      </c>
      <c r="M4" s="11" t="str">
        <f>TIPOARMA(B4,CALIBRESTD(C4))</f>
        <v>ALRR</v>
      </c>
    </row>
    <row r="5" spans="1:27" ht="14.25" customHeight="1" x14ac:dyDescent="0.35">
      <c r="A5" t="s">
        <v>27</v>
      </c>
      <c r="B5" s="7" t="s">
        <v>28</v>
      </c>
      <c r="C5" s="7" t="s">
        <v>29</v>
      </c>
      <c r="D5" s="7" t="s">
        <v>30</v>
      </c>
      <c r="E5" s="7" t="s">
        <v>31</v>
      </c>
      <c r="F5" s="8">
        <v>2113852</v>
      </c>
      <c r="G5" s="9">
        <v>44832</v>
      </c>
      <c r="H5" s="9">
        <v>48485</v>
      </c>
      <c r="I5" s="10">
        <v>46236</v>
      </c>
      <c r="J5" s="10">
        <v>46236</v>
      </c>
      <c r="K5" s="10"/>
      <c r="L5" s="11" t="s">
        <v>32</v>
      </c>
      <c r="M5" s="11" t="str">
        <f>TIPOARMA(B5,CALIBRESTD(C5))</f>
        <v>ACRP</v>
      </c>
    </row>
    <row r="6" spans="1:27" ht="14.25" customHeight="1" x14ac:dyDescent="0.35">
      <c r="A6" t="s">
        <v>33</v>
      </c>
      <c r="B6" s="7" t="s">
        <v>28</v>
      </c>
      <c r="C6" s="7" t="s">
        <v>582</v>
      </c>
      <c r="D6" s="7" t="s">
        <v>16</v>
      </c>
      <c r="E6" s="7" t="s">
        <v>34</v>
      </c>
      <c r="F6" s="8">
        <v>83732</v>
      </c>
      <c r="G6" s="9">
        <v>45106</v>
      </c>
      <c r="H6" s="9">
        <v>46933</v>
      </c>
      <c r="I6" s="10"/>
      <c r="J6" s="10"/>
      <c r="K6" s="10">
        <v>46262</v>
      </c>
      <c r="L6" s="11" t="s">
        <v>35</v>
      </c>
      <c r="M6" s="11" t="str">
        <f>TIPOARMA(B6,CALIBRESTD(C6))</f>
        <v>ACRP</v>
      </c>
    </row>
    <row r="7" spans="1:27" ht="14.25" customHeight="1" x14ac:dyDescent="0.35">
      <c r="A7" t="s">
        <v>33</v>
      </c>
      <c r="B7" s="7" t="s">
        <v>28</v>
      </c>
      <c r="C7" s="7" t="s">
        <v>36</v>
      </c>
      <c r="D7" s="7" t="s">
        <v>16</v>
      </c>
      <c r="E7" s="7" t="s">
        <v>37</v>
      </c>
      <c r="F7" s="8">
        <v>56105</v>
      </c>
      <c r="G7" s="9">
        <v>45118</v>
      </c>
      <c r="H7" s="9">
        <v>46945</v>
      </c>
      <c r="I7" s="10"/>
      <c r="J7" s="10"/>
      <c r="K7" s="10">
        <v>46312</v>
      </c>
      <c r="L7" s="11" t="s">
        <v>38</v>
      </c>
      <c r="M7" s="11" t="str">
        <f>TIPOARMA(B7,CALIBRESTD(C7))</f>
        <v>ACRR</v>
      </c>
    </row>
    <row r="8" spans="1:27" ht="14.25" customHeight="1" x14ac:dyDescent="0.35">
      <c r="A8" t="s">
        <v>39</v>
      </c>
      <c r="B8" s="7" t="s">
        <v>28</v>
      </c>
      <c r="C8" s="7" t="s">
        <v>29</v>
      </c>
      <c r="D8" s="7" t="s">
        <v>40</v>
      </c>
      <c r="E8" s="7" t="s">
        <v>41</v>
      </c>
      <c r="F8" s="8">
        <v>2093493</v>
      </c>
      <c r="G8" s="9">
        <v>44823</v>
      </c>
      <c r="H8" s="9">
        <v>48476</v>
      </c>
      <c r="I8" s="10">
        <v>46236</v>
      </c>
      <c r="J8" s="10">
        <v>46236</v>
      </c>
      <c r="K8" s="10"/>
      <c r="L8" s="11" t="s">
        <v>32</v>
      </c>
      <c r="M8" s="11" t="str">
        <f>TIPOARMA(B8,CALIBRESTD(C8))</f>
        <v>ACRP</v>
      </c>
    </row>
    <row r="9" spans="1:27" ht="14.25" customHeight="1" x14ac:dyDescent="0.35">
      <c r="A9" t="s">
        <v>42</v>
      </c>
      <c r="B9" s="7" t="s">
        <v>28</v>
      </c>
      <c r="C9" s="7" t="s">
        <v>541</v>
      </c>
      <c r="D9" s="7" t="s">
        <v>43</v>
      </c>
      <c r="E9" s="7" t="s">
        <v>44</v>
      </c>
      <c r="F9" s="8">
        <v>2142281</v>
      </c>
      <c r="G9" s="9">
        <v>44847</v>
      </c>
      <c r="H9" s="9">
        <v>48500</v>
      </c>
      <c r="I9" s="10">
        <v>46236</v>
      </c>
      <c r="J9" s="10">
        <v>46236</v>
      </c>
      <c r="K9" s="10"/>
      <c r="L9" s="11" t="s">
        <v>45</v>
      </c>
      <c r="M9" s="11" t="str">
        <f>TIPOARMA(B9,CALIBRESTD(C9))</f>
        <v>ACRR</v>
      </c>
    </row>
    <row r="10" spans="1:27" ht="14.25" customHeight="1" x14ac:dyDescent="0.35">
      <c r="A10" t="s">
        <v>46</v>
      </c>
      <c r="B10" s="7" t="s">
        <v>28</v>
      </c>
      <c r="C10" s="7" t="s">
        <v>29</v>
      </c>
      <c r="D10" s="7" t="s">
        <v>47</v>
      </c>
      <c r="E10" s="7" t="s">
        <v>48</v>
      </c>
      <c r="F10" s="8">
        <v>2221950</v>
      </c>
      <c r="G10" s="9">
        <v>44888</v>
      </c>
      <c r="H10" s="9">
        <v>48541</v>
      </c>
      <c r="I10" s="10">
        <v>46236</v>
      </c>
      <c r="J10" s="10">
        <v>46236</v>
      </c>
      <c r="K10" s="10"/>
      <c r="L10" s="11" t="s">
        <v>49</v>
      </c>
      <c r="M10" s="11" t="str">
        <f>TIPOARMA(B10,CALIBRESTD(C10))</f>
        <v>ACRP</v>
      </c>
    </row>
    <row r="11" spans="1:27" ht="14.25" customHeight="1" x14ac:dyDescent="0.35">
      <c r="A11" t="s">
        <v>50</v>
      </c>
      <c r="B11" s="7" t="s">
        <v>51</v>
      </c>
      <c r="C11" s="7" t="s">
        <v>20</v>
      </c>
      <c r="D11" s="7" t="s">
        <v>21</v>
      </c>
      <c r="E11" s="7" t="s">
        <v>52</v>
      </c>
      <c r="F11" s="8">
        <v>2031950</v>
      </c>
      <c r="G11" s="9">
        <v>44789</v>
      </c>
      <c r="H11" s="9">
        <v>48442</v>
      </c>
      <c r="I11" s="10">
        <v>46236</v>
      </c>
      <c r="J11" s="10">
        <v>46236</v>
      </c>
      <c r="K11" s="10"/>
      <c r="L11" s="11" t="s">
        <v>53</v>
      </c>
      <c r="M11" s="11" t="str">
        <f>TIPOARMA(B11,CALIBRESTD(C11))</f>
        <v>ALLP</v>
      </c>
    </row>
    <row r="12" spans="1:27" ht="14.25" customHeight="1" x14ac:dyDescent="0.35">
      <c r="A12" t="s">
        <v>54</v>
      </c>
      <c r="B12" s="7" t="s">
        <v>51</v>
      </c>
      <c r="C12" s="7" t="s">
        <v>55</v>
      </c>
      <c r="D12" s="7" t="s">
        <v>21</v>
      </c>
      <c r="E12" s="7" t="s">
        <v>56</v>
      </c>
      <c r="F12" s="8">
        <v>2418321</v>
      </c>
      <c r="G12" s="9">
        <v>45089</v>
      </c>
      <c r="H12" s="9">
        <v>46916</v>
      </c>
      <c r="I12" s="10"/>
      <c r="J12" s="10"/>
      <c r="K12" s="10">
        <v>46255</v>
      </c>
      <c r="L12" s="11" t="s">
        <v>57</v>
      </c>
      <c r="M12" s="11" t="str">
        <f>TIPOARMA(B12,CALIBRESTD(C12))</f>
        <v>ACRR</v>
      </c>
    </row>
    <row r="13" spans="1:27" ht="14.25" customHeight="1" x14ac:dyDescent="0.35">
      <c r="B13" s="7"/>
      <c r="C13" s="7"/>
      <c r="D13" s="7"/>
      <c r="E13" s="7"/>
      <c r="F13" s="7"/>
      <c r="G13" s="9"/>
      <c r="H13" s="9"/>
      <c r="I13" s="7"/>
      <c r="J13" s="11"/>
      <c r="K13" s="11"/>
      <c r="L13" s="11"/>
      <c r="M13" s="11"/>
    </row>
    <row r="14" spans="1:27" ht="14.25" customHeight="1" x14ac:dyDescent="0.35">
      <c r="B14" s="7"/>
      <c r="C14" s="7"/>
      <c r="D14" s="7"/>
      <c r="E14" s="7"/>
      <c r="F14" s="7"/>
      <c r="G14" s="9"/>
      <c r="H14" s="9"/>
      <c r="I14" s="7"/>
      <c r="J14" s="11"/>
      <c r="K14" s="11"/>
      <c r="L14" s="11"/>
      <c r="M14" s="11"/>
    </row>
    <row r="15" spans="1:27" ht="14.25" customHeight="1" x14ac:dyDescent="0.35">
      <c r="B15" s="7"/>
      <c r="C15" s="7"/>
      <c r="D15" s="7"/>
      <c r="E15" s="7"/>
      <c r="F15" s="7"/>
      <c r="G15" s="9"/>
      <c r="H15" s="9"/>
      <c r="I15" s="7"/>
      <c r="J15" s="11"/>
      <c r="K15" s="11"/>
      <c r="L15" s="11"/>
      <c r="M15" s="11"/>
    </row>
    <row r="16" spans="1:27" ht="14.25" customHeight="1" x14ac:dyDescent="0.35">
      <c r="B16" s="7"/>
      <c r="C16" s="7"/>
      <c r="D16" s="7"/>
      <c r="E16" s="7"/>
      <c r="F16" s="7"/>
      <c r="G16" s="9"/>
      <c r="H16" s="9"/>
      <c r="I16" s="7"/>
      <c r="J16" s="11"/>
      <c r="K16" s="11"/>
      <c r="L16" s="11"/>
      <c r="M16" s="11"/>
    </row>
    <row r="17" spans="2:13" ht="14.25" customHeight="1" x14ac:dyDescent="0.35">
      <c r="B17" s="7"/>
      <c r="C17" s="7"/>
      <c r="D17" s="7"/>
      <c r="E17" s="7"/>
      <c r="F17" s="7"/>
      <c r="G17" s="9"/>
      <c r="H17" s="9"/>
      <c r="I17" s="7"/>
      <c r="J17" s="11"/>
      <c r="K17" s="11"/>
      <c r="L17" s="11"/>
      <c r="M17" s="11"/>
    </row>
    <row r="18" spans="2:13" ht="14.25" customHeight="1" x14ac:dyDescent="0.35">
      <c r="B18" s="7"/>
      <c r="C18" s="7"/>
      <c r="D18" s="7"/>
      <c r="E18" s="7"/>
      <c r="F18" s="7"/>
      <c r="G18" s="9"/>
      <c r="H18" s="9"/>
      <c r="I18" s="7"/>
      <c r="J18" s="11"/>
      <c r="K18" s="11"/>
      <c r="L18" s="11"/>
      <c r="M18" s="11"/>
    </row>
    <row r="19" spans="2:13" ht="14.25" customHeight="1" x14ac:dyDescent="0.35">
      <c r="B19" s="7"/>
      <c r="C19" s="7"/>
      <c r="D19" s="7"/>
      <c r="E19" s="7"/>
      <c r="F19" s="7"/>
      <c r="G19" s="9"/>
      <c r="H19" s="9"/>
      <c r="I19" s="7"/>
      <c r="J19" s="11"/>
      <c r="K19" s="11"/>
      <c r="L19" s="11"/>
      <c r="M19" s="11"/>
    </row>
    <row r="20" spans="2:13" ht="14.25" customHeight="1" x14ac:dyDescent="0.35">
      <c r="B20" s="7"/>
      <c r="C20" s="7"/>
      <c r="D20" s="7"/>
      <c r="E20" s="7"/>
      <c r="F20" s="7"/>
      <c r="G20" s="9"/>
      <c r="H20" s="9"/>
      <c r="I20" s="7"/>
      <c r="J20" s="11"/>
      <c r="K20" s="11"/>
      <c r="L20" s="11"/>
      <c r="M20" s="11"/>
    </row>
    <row r="21" spans="2:13" ht="14.25" customHeight="1" x14ac:dyDescent="0.35">
      <c r="B21" s="7"/>
      <c r="C21" s="7"/>
      <c r="D21" s="7"/>
      <c r="E21" s="7"/>
      <c r="F21" s="7"/>
      <c r="G21" s="9"/>
      <c r="H21" s="9"/>
      <c r="I21" s="7"/>
      <c r="J21" s="11"/>
      <c r="K21" s="11"/>
      <c r="L21" s="11"/>
      <c r="M21" s="11"/>
    </row>
    <row r="22" spans="2:13" ht="14.25" customHeight="1" x14ac:dyDescent="0.35">
      <c r="B22" s="7"/>
      <c r="C22" s="7"/>
      <c r="D22" s="7"/>
      <c r="E22" s="7"/>
      <c r="F22" s="7"/>
      <c r="G22" s="9"/>
      <c r="H22" s="9"/>
      <c r="I22" s="7"/>
      <c r="J22" s="11"/>
      <c r="K22" s="11"/>
      <c r="L22" s="11"/>
      <c r="M22" s="11"/>
    </row>
    <row r="23" spans="2:13" ht="14.25" customHeight="1" x14ac:dyDescent="0.35">
      <c r="B23" s="7"/>
      <c r="C23" s="7"/>
      <c r="D23" s="7"/>
      <c r="E23" s="7"/>
      <c r="F23" s="7"/>
      <c r="G23" s="9"/>
      <c r="H23" s="9"/>
      <c r="I23" s="7"/>
      <c r="J23" s="11"/>
      <c r="K23" s="11"/>
      <c r="L23" s="11"/>
      <c r="M23" s="11"/>
    </row>
    <row r="24" spans="2:13" ht="14.25" customHeight="1" x14ac:dyDescent="0.35">
      <c r="B24" s="7"/>
      <c r="C24" s="7"/>
      <c r="D24" s="7"/>
      <c r="E24" s="7"/>
      <c r="F24" s="7"/>
      <c r="G24" s="9"/>
      <c r="H24" s="9"/>
      <c r="J24" s="11"/>
      <c r="K24" s="11"/>
      <c r="L24" s="11"/>
      <c r="M24" s="11"/>
    </row>
    <row r="25" spans="2:13" ht="14.25" customHeight="1" x14ac:dyDescent="0.35">
      <c r="B25" s="7"/>
      <c r="C25" s="7"/>
      <c r="D25" s="7"/>
      <c r="E25" s="7"/>
      <c r="F25" s="7"/>
      <c r="G25" s="9"/>
      <c r="H25" s="9"/>
      <c r="J25" s="7"/>
      <c r="K25" s="7"/>
      <c r="L25" s="11"/>
      <c r="M25" s="11"/>
    </row>
    <row r="26" spans="2:13" ht="14.25" customHeight="1" x14ac:dyDescent="0.35">
      <c r="B26" s="7"/>
      <c r="C26" s="7"/>
      <c r="D26" s="7"/>
      <c r="E26" s="7"/>
      <c r="F26" s="7"/>
      <c r="G26" s="9"/>
      <c r="H26" s="9"/>
      <c r="J26" s="7"/>
      <c r="K26" s="7"/>
      <c r="L26" s="11"/>
      <c r="M26" s="11"/>
    </row>
    <row r="27" spans="2:13" ht="14.25" customHeight="1" x14ac:dyDescent="0.35">
      <c r="B27" s="7"/>
      <c r="C27" s="7"/>
      <c r="D27" s="7"/>
      <c r="E27" s="7"/>
      <c r="F27" s="7"/>
      <c r="G27" s="9"/>
      <c r="H27" s="9"/>
      <c r="J27" s="7"/>
      <c r="K27" s="7"/>
      <c r="L27" s="11"/>
      <c r="M27" s="11"/>
    </row>
    <row r="28" spans="2:13" ht="14.25" customHeight="1" x14ac:dyDescent="0.35">
      <c r="B28" s="7"/>
      <c r="C28" s="7"/>
      <c r="D28" s="7"/>
      <c r="E28" s="7"/>
      <c r="F28" s="7"/>
      <c r="G28" s="9"/>
      <c r="H28" s="9"/>
      <c r="J28" s="7"/>
      <c r="K28" s="7"/>
      <c r="L28" s="11"/>
      <c r="M28" s="11"/>
    </row>
    <row r="29" spans="2:13" ht="14.25" customHeight="1" x14ac:dyDescent="0.35">
      <c r="B29" s="7"/>
      <c r="C29" s="7"/>
      <c r="D29" s="7"/>
      <c r="E29" s="7"/>
      <c r="F29" s="7"/>
      <c r="G29" s="9"/>
      <c r="H29" s="9"/>
      <c r="J29" s="7"/>
      <c r="K29" s="7"/>
      <c r="L29" s="11"/>
      <c r="M29" s="11"/>
    </row>
    <row r="30" spans="2:13" ht="14.25" customHeight="1" x14ac:dyDescent="0.35">
      <c r="B30" s="7"/>
      <c r="C30" s="7"/>
      <c r="D30" s="7"/>
      <c r="E30" s="7"/>
      <c r="F30" s="7"/>
      <c r="G30" s="9"/>
      <c r="H30" s="9"/>
      <c r="J30" s="7"/>
      <c r="K30" s="7"/>
      <c r="L30" s="11"/>
      <c r="M30" s="11"/>
    </row>
    <row r="31" spans="2:13" ht="14.25" customHeight="1" x14ac:dyDescent="0.35">
      <c r="B31" s="7"/>
      <c r="C31" s="7"/>
      <c r="D31" s="7"/>
      <c r="E31" s="7"/>
      <c r="F31" s="7"/>
      <c r="G31" s="9"/>
      <c r="H31" s="9"/>
      <c r="J31" s="7"/>
      <c r="K31" s="7"/>
      <c r="L31" s="11"/>
      <c r="M31" s="11"/>
    </row>
    <row r="32" spans="2:13" ht="14.25" customHeight="1" x14ac:dyDescent="0.35">
      <c r="B32" s="7"/>
      <c r="C32" s="7"/>
      <c r="D32" s="7"/>
      <c r="E32" s="7"/>
      <c r="F32" s="7"/>
      <c r="G32" s="9"/>
      <c r="H32" s="9"/>
      <c r="J32" s="7"/>
      <c r="K32" s="7"/>
      <c r="L32" s="11"/>
      <c r="M32" s="11"/>
    </row>
    <row r="33" spans="2:13" ht="14.25" customHeight="1" x14ac:dyDescent="0.35">
      <c r="B33" s="7"/>
      <c r="C33" s="7"/>
      <c r="D33" s="7"/>
      <c r="E33" s="7"/>
      <c r="F33" s="7"/>
      <c r="G33" s="9"/>
      <c r="H33" s="9"/>
      <c r="J33" s="7"/>
      <c r="K33" s="7"/>
      <c r="L33" s="11"/>
      <c r="M33" s="11"/>
    </row>
    <row r="34" spans="2:13" ht="14.25" customHeight="1" x14ac:dyDescent="0.35">
      <c r="B34" s="7"/>
      <c r="C34" s="7"/>
      <c r="D34" s="7"/>
      <c r="E34" s="7"/>
      <c r="F34" s="7"/>
      <c r="G34" s="9"/>
      <c r="H34" s="9"/>
      <c r="J34" s="7"/>
      <c r="K34" s="7"/>
      <c r="L34" s="11"/>
      <c r="M34" s="11"/>
    </row>
    <row r="35" spans="2:13" ht="14.25" customHeight="1" x14ac:dyDescent="0.35">
      <c r="B35" s="7"/>
      <c r="C35" s="7"/>
      <c r="D35" s="7"/>
      <c r="E35" s="7"/>
      <c r="F35" s="7"/>
      <c r="G35" s="9"/>
      <c r="H35" s="9"/>
      <c r="J35" s="7"/>
      <c r="K35" s="7"/>
      <c r="L35" s="11"/>
      <c r="M35" s="11"/>
    </row>
    <row r="36" spans="2:13" ht="14.25" customHeight="1" x14ac:dyDescent="0.35">
      <c r="B36" s="7"/>
      <c r="C36" s="7"/>
      <c r="D36" s="7"/>
      <c r="E36" s="7"/>
      <c r="F36" s="7"/>
      <c r="G36" s="9"/>
      <c r="H36" s="9"/>
      <c r="J36" s="7"/>
      <c r="K36" s="7"/>
      <c r="L36" s="11"/>
      <c r="M36" s="11"/>
    </row>
    <row r="37" spans="2:13" ht="14.25" customHeight="1" x14ac:dyDescent="0.35">
      <c r="B37" s="7"/>
      <c r="C37" s="7"/>
      <c r="D37" s="7"/>
      <c r="E37" s="7"/>
      <c r="F37" s="7"/>
      <c r="G37" s="9"/>
      <c r="H37" s="9"/>
      <c r="J37" s="7"/>
      <c r="K37" s="7"/>
      <c r="L37" s="11"/>
      <c r="M37" s="11"/>
    </row>
    <row r="38" spans="2:13" ht="14.25" customHeight="1" x14ac:dyDescent="0.35">
      <c r="B38" s="7"/>
      <c r="C38" s="7"/>
      <c r="D38" s="7"/>
      <c r="E38" s="7"/>
      <c r="F38" s="7"/>
      <c r="G38" s="9"/>
      <c r="H38" s="9"/>
      <c r="J38" s="7"/>
      <c r="K38" s="7"/>
      <c r="L38" s="11"/>
      <c r="M38" s="11"/>
    </row>
    <row r="39" spans="2:13" ht="14.25" customHeight="1" x14ac:dyDescent="0.35">
      <c r="B39" s="7"/>
      <c r="C39" s="7"/>
      <c r="D39" s="7"/>
      <c r="E39" s="7"/>
      <c r="F39" s="7"/>
      <c r="G39" s="9"/>
      <c r="H39" s="9"/>
      <c r="J39" s="7"/>
      <c r="K39" s="7"/>
      <c r="L39" s="11"/>
      <c r="M39" s="11"/>
    </row>
    <row r="40" spans="2:13" ht="14.25" customHeight="1" x14ac:dyDescent="0.35">
      <c r="B40" s="7"/>
      <c r="C40" s="7"/>
      <c r="D40" s="7"/>
      <c r="E40" s="7"/>
      <c r="F40" s="7"/>
      <c r="G40" s="9"/>
      <c r="H40" s="9"/>
      <c r="J40" s="7"/>
      <c r="K40" s="7"/>
      <c r="L40" s="11"/>
      <c r="M40" s="11"/>
    </row>
    <row r="41" spans="2:13" ht="14.25" customHeight="1" x14ac:dyDescent="0.35">
      <c r="B41" s="7"/>
      <c r="C41" s="7"/>
      <c r="D41" s="7"/>
      <c r="E41" s="7"/>
      <c r="F41" s="7"/>
      <c r="G41" s="9"/>
      <c r="H41" s="9"/>
      <c r="J41" s="7"/>
      <c r="K41" s="7"/>
      <c r="L41" s="11"/>
      <c r="M41" s="11"/>
    </row>
    <row r="42" spans="2:13" ht="14.25" customHeight="1" x14ac:dyDescent="0.35">
      <c r="B42" s="7"/>
      <c r="C42" s="7"/>
      <c r="D42" s="7"/>
      <c r="E42" s="7"/>
      <c r="F42" s="7"/>
      <c r="G42" s="9"/>
      <c r="H42" s="9"/>
      <c r="J42" s="7"/>
      <c r="K42" s="7"/>
      <c r="L42" s="11"/>
      <c r="M42" s="11"/>
    </row>
    <row r="43" spans="2:13" ht="14.25" customHeight="1" x14ac:dyDescent="0.35">
      <c r="B43" s="7"/>
      <c r="C43" s="7"/>
      <c r="D43" s="7"/>
      <c r="E43" s="7"/>
      <c r="F43" s="7"/>
      <c r="G43" s="9"/>
      <c r="H43" s="9"/>
      <c r="J43" s="7"/>
      <c r="K43" s="7"/>
      <c r="L43" s="11"/>
      <c r="M43" s="11"/>
    </row>
    <row r="44" spans="2:13" ht="14.25" customHeight="1" x14ac:dyDescent="0.35">
      <c r="B44" s="7"/>
      <c r="C44" s="7"/>
      <c r="D44" s="7"/>
      <c r="E44" s="7"/>
      <c r="F44" s="7"/>
      <c r="G44" s="9"/>
      <c r="H44" s="9"/>
      <c r="J44" s="7"/>
      <c r="K44" s="7"/>
      <c r="L44" s="11"/>
      <c r="M44" s="11"/>
    </row>
    <row r="45" spans="2:13" ht="14.25" customHeight="1" x14ac:dyDescent="0.35">
      <c r="B45" s="7"/>
      <c r="C45" s="7"/>
      <c r="D45" s="7"/>
      <c r="E45" s="7"/>
      <c r="F45" s="7"/>
      <c r="G45" s="9"/>
      <c r="H45" s="9"/>
      <c r="J45" s="7"/>
      <c r="K45" s="7"/>
      <c r="L45" s="11"/>
      <c r="M45" s="11"/>
    </row>
    <row r="46" spans="2:13" ht="14.25" customHeight="1" x14ac:dyDescent="0.35">
      <c r="B46" s="7"/>
      <c r="C46" s="7"/>
      <c r="D46" s="7"/>
      <c r="E46" s="7"/>
      <c r="F46" s="7"/>
      <c r="G46" s="9"/>
      <c r="H46" s="9"/>
      <c r="J46" s="7"/>
      <c r="K46" s="7"/>
      <c r="L46" s="11"/>
      <c r="M46" s="11"/>
    </row>
    <row r="47" spans="2:13" ht="14.25" customHeight="1" x14ac:dyDescent="0.35">
      <c r="B47" s="7"/>
      <c r="C47" s="7"/>
      <c r="D47" s="7"/>
      <c r="E47" s="7"/>
      <c r="F47" s="7"/>
      <c r="G47" s="9"/>
      <c r="H47" s="9"/>
      <c r="J47" s="7"/>
      <c r="K47" s="7"/>
      <c r="L47" s="11"/>
      <c r="M47" s="11"/>
    </row>
    <row r="48" spans="2:13" ht="14.25" customHeight="1" x14ac:dyDescent="0.35">
      <c r="B48" s="7"/>
      <c r="C48" s="7"/>
      <c r="D48" s="7"/>
      <c r="E48" s="7"/>
      <c r="F48" s="7"/>
      <c r="G48" s="9"/>
      <c r="H48" s="9"/>
      <c r="J48" s="7"/>
      <c r="K48" s="7"/>
      <c r="L48" s="11"/>
      <c r="M48" s="11"/>
    </row>
    <row r="49" spans="2:13" ht="14.25" customHeight="1" x14ac:dyDescent="0.35">
      <c r="B49" s="7"/>
      <c r="C49" s="7"/>
      <c r="D49" s="7"/>
      <c r="E49" s="7"/>
      <c r="F49" s="7"/>
      <c r="G49" s="9"/>
      <c r="H49" s="9"/>
      <c r="J49" s="7"/>
      <c r="K49" s="7"/>
      <c r="L49" s="11"/>
      <c r="M49" s="11"/>
    </row>
    <row r="50" spans="2:13" ht="14.25" customHeight="1" x14ac:dyDescent="0.35">
      <c r="B50" s="7"/>
      <c r="C50" s="7"/>
      <c r="D50" s="7"/>
      <c r="E50" s="7"/>
      <c r="F50" s="7"/>
      <c r="G50" s="9"/>
      <c r="H50" s="9"/>
      <c r="J50" s="7"/>
      <c r="K50" s="7"/>
      <c r="L50" s="11"/>
      <c r="M50" s="11"/>
    </row>
    <row r="51" spans="2:13" ht="14.25" customHeight="1" x14ac:dyDescent="0.35">
      <c r="B51" s="7"/>
      <c r="C51" s="7"/>
      <c r="D51" s="7"/>
      <c r="E51" s="7"/>
      <c r="F51" s="7"/>
      <c r="G51" s="9"/>
      <c r="H51" s="9"/>
      <c r="J51" s="7"/>
      <c r="K51" s="7"/>
      <c r="L51" s="11"/>
      <c r="M51" s="11"/>
    </row>
    <row r="52" spans="2:13" ht="14.25" customHeight="1" x14ac:dyDescent="0.35">
      <c r="B52" s="7"/>
      <c r="C52" s="7"/>
      <c r="D52" s="7"/>
      <c r="E52" s="7"/>
      <c r="F52" s="7"/>
      <c r="G52" s="9"/>
      <c r="H52" s="9"/>
      <c r="J52" s="7"/>
      <c r="K52" s="7"/>
      <c r="L52" s="11"/>
      <c r="M52" s="11"/>
    </row>
    <row r="53" spans="2:13" ht="14.25" customHeight="1" x14ac:dyDescent="0.35">
      <c r="B53" s="7"/>
      <c r="C53" s="7"/>
      <c r="D53" s="7"/>
      <c r="E53" s="7"/>
      <c r="F53" s="7"/>
      <c r="G53" s="9"/>
      <c r="H53" s="9"/>
      <c r="J53" s="7"/>
      <c r="K53" s="7"/>
      <c r="L53" s="11"/>
      <c r="M53" s="11"/>
    </row>
    <row r="54" spans="2:13" ht="14.25" customHeight="1" x14ac:dyDescent="0.35">
      <c r="B54" s="7"/>
      <c r="C54" s="7"/>
      <c r="D54" s="7"/>
      <c r="E54" s="7"/>
      <c r="F54" s="7"/>
      <c r="G54" s="9"/>
      <c r="H54" s="9"/>
      <c r="J54" s="7"/>
      <c r="K54" s="7"/>
      <c r="L54" s="11"/>
      <c r="M54" s="11"/>
    </row>
    <row r="55" spans="2:13" ht="14.25" customHeight="1" x14ac:dyDescent="0.35">
      <c r="B55" s="7"/>
      <c r="C55" s="7"/>
      <c r="D55" s="7"/>
      <c r="E55" s="7"/>
      <c r="F55" s="7"/>
      <c r="G55" s="9"/>
      <c r="H55" s="9"/>
      <c r="J55" s="7"/>
      <c r="K55" s="7"/>
      <c r="L55" s="11"/>
      <c r="M55" s="11"/>
    </row>
    <row r="56" spans="2:13" ht="14.25" customHeight="1" x14ac:dyDescent="0.35">
      <c r="B56" s="7"/>
      <c r="C56" s="7"/>
      <c r="D56" s="7"/>
      <c r="E56" s="7"/>
      <c r="F56" s="7"/>
      <c r="G56" s="9"/>
      <c r="H56" s="9"/>
      <c r="J56" s="7"/>
      <c r="K56" s="7"/>
      <c r="L56" s="11"/>
      <c r="M56" s="11"/>
    </row>
    <row r="57" spans="2:13" ht="14.25" customHeight="1" x14ac:dyDescent="0.35">
      <c r="B57" s="7"/>
      <c r="C57" s="7"/>
      <c r="D57" s="7"/>
      <c r="E57" s="7"/>
      <c r="F57" s="7"/>
      <c r="G57" s="9"/>
      <c r="H57" s="9"/>
      <c r="J57" s="7"/>
      <c r="K57" s="7"/>
      <c r="L57" s="11"/>
      <c r="M57" s="11"/>
    </row>
    <row r="58" spans="2:13" ht="14.25" customHeight="1" x14ac:dyDescent="0.35">
      <c r="B58" s="7"/>
      <c r="C58" s="7"/>
      <c r="D58" s="7"/>
      <c r="E58" s="7"/>
      <c r="F58" s="7"/>
      <c r="G58" s="9"/>
      <c r="H58" s="9"/>
      <c r="J58" s="7"/>
      <c r="K58" s="7"/>
      <c r="L58" s="11"/>
      <c r="M58" s="11"/>
    </row>
    <row r="59" spans="2:13" ht="14.25" customHeight="1" x14ac:dyDescent="0.35">
      <c r="B59" s="7"/>
      <c r="C59" s="7"/>
      <c r="D59" s="7"/>
      <c r="E59" s="7"/>
      <c r="F59" s="7"/>
      <c r="G59" s="9"/>
      <c r="H59" s="9"/>
      <c r="J59" s="7"/>
      <c r="K59" s="7"/>
      <c r="L59" s="11"/>
      <c r="M59" s="11"/>
    </row>
    <row r="60" spans="2:13" ht="14.25" customHeight="1" x14ac:dyDescent="0.35">
      <c r="B60" s="7"/>
      <c r="C60" s="7"/>
      <c r="D60" s="7"/>
      <c r="E60" s="7"/>
      <c r="F60" s="7"/>
      <c r="G60" s="9"/>
      <c r="H60" s="9"/>
      <c r="J60" s="7"/>
      <c r="K60" s="7"/>
      <c r="L60" s="11"/>
      <c r="M60" s="11"/>
    </row>
    <row r="61" spans="2:13" ht="14.25" customHeight="1" x14ac:dyDescent="0.35">
      <c r="B61" s="7"/>
      <c r="C61" s="7"/>
      <c r="D61" s="7"/>
      <c r="E61" s="7"/>
      <c r="F61" s="7"/>
      <c r="G61" s="9"/>
      <c r="H61" s="9"/>
      <c r="J61" s="7"/>
      <c r="K61" s="7"/>
      <c r="L61" s="11"/>
      <c r="M61" s="11"/>
    </row>
    <row r="62" spans="2:13" ht="14.25" customHeight="1" x14ac:dyDescent="0.35">
      <c r="B62" s="7"/>
      <c r="C62" s="7"/>
      <c r="D62" s="7"/>
      <c r="E62" s="7"/>
      <c r="F62" s="7"/>
      <c r="G62" s="9"/>
      <c r="H62" s="9"/>
      <c r="J62" s="7"/>
      <c r="K62" s="7"/>
      <c r="L62" s="11"/>
      <c r="M62" s="11"/>
    </row>
    <row r="63" spans="2:13" ht="14.25" customHeight="1" x14ac:dyDescent="0.35">
      <c r="B63" s="7"/>
      <c r="C63" s="7"/>
      <c r="D63" s="7"/>
      <c r="E63" s="7"/>
      <c r="F63" s="7"/>
      <c r="G63" s="9"/>
      <c r="H63" s="9"/>
      <c r="J63" s="7"/>
      <c r="K63" s="7"/>
      <c r="L63" s="11"/>
      <c r="M63" s="11"/>
    </row>
    <row r="64" spans="2:13" ht="14.25" customHeight="1" x14ac:dyDescent="0.35">
      <c r="B64" s="7"/>
      <c r="C64" s="7"/>
      <c r="D64" s="7"/>
      <c r="E64" s="7"/>
      <c r="F64" s="7"/>
      <c r="G64" s="9"/>
      <c r="H64" s="9"/>
      <c r="J64" s="7"/>
      <c r="K64" s="7"/>
      <c r="L64" s="11"/>
      <c r="M64" s="11"/>
    </row>
    <row r="65" spans="2:13" ht="14.25" customHeight="1" x14ac:dyDescent="0.35">
      <c r="B65" s="7"/>
      <c r="C65" s="7"/>
      <c r="D65" s="7"/>
      <c r="E65" s="7"/>
      <c r="F65" s="7"/>
      <c r="G65" s="9"/>
      <c r="H65" s="9"/>
      <c r="J65" s="7"/>
      <c r="K65" s="7"/>
      <c r="L65" s="11"/>
      <c r="M65" s="11"/>
    </row>
    <row r="66" spans="2:13" ht="14.25" customHeight="1" x14ac:dyDescent="0.35">
      <c r="B66" s="7"/>
      <c r="C66" s="7"/>
      <c r="D66" s="7"/>
      <c r="E66" s="7"/>
      <c r="F66" s="7"/>
      <c r="G66" s="9"/>
      <c r="H66" s="9"/>
      <c r="J66" s="7"/>
      <c r="K66" s="7"/>
      <c r="L66" s="11"/>
      <c r="M66" s="11"/>
    </row>
    <row r="67" spans="2:13" ht="14.25" customHeight="1" x14ac:dyDescent="0.35">
      <c r="B67" s="7"/>
      <c r="C67" s="7"/>
      <c r="D67" s="7"/>
      <c r="E67" s="7"/>
      <c r="F67" s="7"/>
      <c r="G67" s="9"/>
      <c r="H67" s="9"/>
      <c r="J67" s="7"/>
      <c r="K67" s="7"/>
      <c r="L67" s="11"/>
      <c r="M67" s="11"/>
    </row>
    <row r="68" spans="2:13" ht="14.25" customHeight="1" x14ac:dyDescent="0.35">
      <c r="B68" s="7"/>
      <c r="C68" s="7"/>
      <c r="D68" s="7"/>
      <c r="E68" s="7"/>
      <c r="F68" s="7"/>
      <c r="G68" s="9"/>
      <c r="H68" s="9"/>
      <c r="J68" s="7"/>
      <c r="K68" s="7"/>
      <c r="L68" s="11"/>
      <c r="M68" s="11"/>
    </row>
    <row r="69" spans="2:13" ht="14.25" customHeight="1" x14ac:dyDescent="0.35">
      <c r="B69" s="7"/>
      <c r="C69" s="7"/>
      <c r="D69" s="7"/>
      <c r="E69" s="7"/>
      <c r="F69" s="7"/>
      <c r="G69" s="9"/>
      <c r="H69" s="9"/>
      <c r="J69" s="7"/>
      <c r="K69" s="7"/>
      <c r="L69" s="11"/>
      <c r="M69" s="11"/>
    </row>
    <row r="70" spans="2:13" ht="14.25" customHeight="1" x14ac:dyDescent="0.35">
      <c r="B70" s="7"/>
      <c r="C70" s="7"/>
      <c r="D70" s="7"/>
      <c r="E70" s="7"/>
      <c r="F70" s="7"/>
      <c r="G70" s="9"/>
      <c r="H70" s="9"/>
      <c r="J70" s="7"/>
      <c r="K70" s="7"/>
      <c r="L70" s="11"/>
      <c r="M70" s="11"/>
    </row>
    <row r="71" spans="2:13" ht="14.25" customHeight="1" x14ac:dyDescent="0.35">
      <c r="B71" s="7"/>
      <c r="C71" s="7"/>
      <c r="D71" s="7"/>
      <c r="E71" s="7"/>
      <c r="F71" s="7"/>
      <c r="G71" s="9"/>
      <c r="H71" s="9"/>
      <c r="J71" s="7"/>
      <c r="K71" s="7"/>
      <c r="L71" s="11"/>
      <c r="M71" s="11"/>
    </row>
    <row r="72" spans="2:13" ht="14.25" customHeight="1" x14ac:dyDescent="0.35">
      <c r="B72" s="7"/>
      <c r="C72" s="7"/>
      <c r="D72" s="7"/>
      <c r="E72" s="7"/>
      <c r="F72" s="7"/>
      <c r="G72" s="9"/>
      <c r="H72" s="9"/>
      <c r="J72" s="7"/>
      <c r="K72" s="7"/>
      <c r="L72" s="11"/>
      <c r="M72" s="11"/>
    </row>
    <row r="73" spans="2:13" ht="14.25" customHeight="1" x14ac:dyDescent="0.35">
      <c r="B73" s="7"/>
      <c r="C73" s="7"/>
      <c r="D73" s="7"/>
      <c r="E73" s="7"/>
      <c r="F73" s="7"/>
      <c r="G73" s="9"/>
      <c r="H73" s="9"/>
      <c r="J73" s="7"/>
      <c r="K73" s="7"/>
      <c r="L73" s="11"/>
      <c r="M73" s="11"/>
    </row>
    <row r="74" spans="2:13" ht="14.25" customHeight="1" x14ac:dyDescent="0.35">
      <c r="B74" s="7"/>
      <c r="C74" s="7"/>
      <c r="D74" s="7"/>
      <c r="E74" s="7"/>
      <c r="F74" s="7"/>
      <c r="G74" s="9"/>
      <c r="H74" s="9"/>
      <c r="J74" s="7"/>
      <c r="K74" s="7"/>
      <c r="L74" s="11"/>
      <c r="M74" s="11"/>
    </row>
    <row r="75" spans="2:13" ht="14.25" customHeight="1" x14ac:dyDescent="0.35">
      <c r="B75" s="7"/>
      <c r="C75" s="7"/>
      <c r="D75" s="7"/>
      <c r="E75" s="7"/>
      <c r="F75" s="7"/>
      <c r="G75" s="9"/>
      <c r="H75" s="9"/>
      <c r="J75" s="7"/>
      <c r="K75" s="7"/>
      <c r="L75" s="11"/>
      <c r="M75" s="11"/>
    </row>
    <row r="76" spans="2:13" ht="14.25" customHeight="1" x14ac:dyDescent="0.35">
      <c r="B76" s="7"/>
      <c r="C76" s="7"/>
      <c r="D76" s="7"/>
      <c r="E76" s="7"/>
      <c r="F76" s="7"/>
      <c r="G76" s="9"/>
      <c r="H76" s="9"/>
      <c r="J76" s="7"/>
      <c r="K76" s="7"/>
      <c r="L76" s="11"/>
      <c r="M76" s="11"/>
    </row>
    <row r="77" spans="2:13" ht="14.25" customHeight="1" x14ac:dyDescent="0.35">
      <c r="B77" s="7"/>
      <c r="C77" s="7"/>
      <c r="D77" s="7"/>
      <c r="E77" s="7"/>
      <c r="F77" s="7"/>
      <c r="G77" s="9"/>
      <c r="H77" s="9"/>
      <c r="J77" s="7"/>
      <c r="K77" s="7"/>
      <c r="L77" s="11"/>
      <c r="M77" s="11"/>
    </row>
    <row r="78" spans="2:13" ht="14.25" customHeight="1" x14ac:dyDescent="0.35">
      <c r="B78" s="7"/>
      <c r="C78" s="7"/>
      <c r="D78" s="7"/>
      <c r="E78" s="7"/>
      <c r="F78" s="7"/>
      <c r="G78" s="9"/>
      <c r="H78" s="9"/>
      <c r="J78" s="7"/>
      <c r="K78" s="7"/>
      <c r="L78" s="11"/>
      <c r="M78" s="11"/>
    </row>
    <row r="79" spans="2:13" ht="14.25" customHeight="1" x14ac:dyDescent="0.35">
      <c r="B79" s="7"/>
      <c r="C79" s="7"/>
      <c r="D79" s="7"/>
      <c r="E79" s="7"/>
      <c r="F79" s="7"/>
      <c r="G79" s="9"/>
      <c r="H79" s="9"/>
      <c r="J79" s="7"/>
      <c r="K79" s="7"/>
      <c r="L79" s="11"/>
      <c r="M79" s="11"/>
    </row>
    <row r="80" spans="2:13" ht="14.25" customHeight="1" x14ac:dyDescent="0.35">
      <c r="B80" s="7"/>
      <c r="C80" s="7"/>
      <c r="D80" s="7"/>
      <c r="E80" s="7"/>
      <c r="F80" s="7"/>
      <c r="G80" s="9"/>
      <c r="H80" s="9"/>
      <c r="J80" s="7"/>
      <c r="K80" s="7"/>
      <c r="L80" s="11"/>
      <c r="M80" s="11"/>
    </row>
    <row r="81" spans="2:13" ht="14.25" customHeight="1" x14ac:dyDescent="0.35">
      <c r="B81" s="7"/>
      <c r="C81" s="7"/>
      <c r="D81" s="7"/>
      <c r="E81" s="7"/>
      <c r="F81" s="7"/>
      <c r="G81" s="9"/>
      <c r="H81" s="9"/>
      <c r="J81" s="7"/>
      <c r="K81" s="7"/>
      <c r="L81" s="11"/>
      <c r="M81" s="11"/>
    </row>
    <row r="82" spans="2:13" ht="14.25" customHeight="1" x14ac:dyDescent="0.35">
      <c r="B82" s="7"/>
      <c r="C82" s="7"/>
      <c r="D82" s="7"/>
      <c r="E82" s="7"/>
      <c r="F82" s="7"/>
      <c r="G82" s="9"/>
      <c r="H82" s="9"/>
      <c r="J82" s="7"/>
      <c r="K82" s="7"/>
      <c r="L82" s="11"/>
      <c r="M82" s="11"/>
    </row>
    <row r="83" spans="2:13" ht="14.25" customHeight="1" x14ac:dyDescent="0.35">
      <c r="B83" s="7"/>
      <c r="C83" s="7"/>
      <c r="D83" s="7"/>
      <c r="E83" s="7"/>
      <c r="F83" s="7"/>
      <c r="G83" s="9"/>
      <c r="H83" s="9"/>
      <c r="J83" s="7"/>
      <c r="K83" s="7"/>
      <c r="L83" s="11"/>
      <c r="M83" s="11"/>
    </row>
    <row r="84" spans="2:13" ht="14.25" customHeight="1" x14ac:dyDescent="0.35">
      <c r="B84" s="7"/>
      <c r="C84" s="7"/>
      <c r="D84" s="7"/>
      <c r="E84" s="7"/>
      <c r="F84" s="7"/>
      <c r="G84" s="9"/>
      <c r="H84" s="9"/>
      <c r="J84" s="7"/>
      <c r="K84" s="7"/>
      <c r="L84" s="11"/>
      <c r="M84" s="11"/>
    </row>
    <row r="85" spans="2:13" ht="14.25" customHeight="1" x14ac:dyDescent="0.35">
      <c r="B85" s="7"/>
      <c r="C85" s="7"/>
      <c r="D85" s="7"/>
      <c r="E85" s="7"/>
      <c r="F85" s="7"/>
      <c r="G85" s="9"/>
      <c r="H85" s="9"/>
      <c r="J85" s="7"/>
      <c r="K85" s="7"/>
      <c r="L85" s="11"/>
      <c r="M85" s="11"/>
    </row>
    <row r="86" spans="2:13" ht="14.25" customHeight="1" x14ac:dyDescent="0.35">
      <c r="B86" s="7"/>
      <c r="C86" s="7"/>
      <c r="D86" s="7"/>
      <c r="E86" s="7"/>
      <c r="F86" s="7"/>
      <c r="G86" s="9"/>
      <c r="H86" s="9"/>
      <c r="J86" s="7"/>
      <c r="K86" s="7"/>
      <c r="L86" s="11"/>
      <c r="M86" s="11"/>
    </row>
    <row r="87" spans="2:13" ht="14.25" customHeight="1" x14ac:dyDescent="0.35">
      <c r="B87" s="7"/>
      <c r="C87" s="7"/>
      <c r="D87" s="7"/>
      <c r="E87" s="7"/>
      <c r="F87" s="7"/>
      <c r="G87" s="9"/>
      <c r="H87" s="9"/>
      <c r="J87" s="7"/>
      <c r="K87" s="7"/>
      <c r="L87" s="11"/>
      <c r="M87" s="11"/>
    </row>
    <row r="88" spans="2:13" ht="14.25" customHeight="1" x14ac:dyDescent="0.35">
      <c r="B88" s="7"/>
      <c r="C88" s="7"/>
      <c r="D88" s="7"/>
      <c r="E88" s="7"/>
      <c r="F88" s="7"/>
      <c r="G88" s="9"/>
      <c r="H88" s="9"/>
      <c r="J88" s="7"/>
      <c r="K88" s="7"/>
      <c r="L88" s="11"/>
      <c r="M88" s="11"/>
    </row>
    <row r="89" spans="2:13" ht="14.25" customHeight="1" x14ac:dyDescent="0.35">
      <c r="B89" s="7"/>
      <c r="C89" s="7"/>
      <c r="D89" s="7"/>
      <c r="E89" s="7"/>
      <c r="F89" s="7"/>
      <c r="G89" s="9"/>
      <c r="H89" s="9"/>
      <c r="J89" s="7"/>
      <c r="K89" s="7"/>
      <c r="L89" s="11"/>
      <c r="M89" s="11"/>
    </row>
    <row r="90" spans="2:13" ht="14.25" customHeight="1" x14ac:dyDescent="0.35">
      <c r="B90" s="7"/>
      <c r="C90" s="7"/>
      <c r="D90" s="7"/>
      <c r="E90" s="7"/>
      <c r="F90" s="7"/>
      <c r="G90" s="9"/>
      <c r="H90" s="9"/>
      <c r="J90" s="7"/>
      <c r="K90" s="7"/>
      <c r="L90" s="11"/>
      <c r="M90" s="11"/>
    </row>
    <row r="91" spans="2:13" ht="14.25" customHeight="1" x14ac:dyDescent="0.35">
      <c r="B91" s="7"/>
      <c r="C91" s="7"/>
      <c r="D91" s="7"/>
      <c r="E91" s="7"/>
      <c r="F91" s="7"/>
      <c r="G91" s="9"/>
      <c r="H91" s="9"/>
      <c r="J91" s="7"/>
      <c r="K91" s="7"/>
      <c r="L91" s="11"/>
      <c r="M91" s="11"/>
    </row>
    <row r="92" spans="2:13" ht="14.25" customHeight="1" x14ac:dyDescent="0.35">
      <c r="B92" s="7"/>
      <c r="C92" s="7"/>
      <c r="D92" s="7"/>
      <c r="E92" s="7"/>
      <c r="F92" s="7"/>
      <c r="G92" s="9"/>
      <c r="H92" s="9"/>
      <c r="J92" s="7"/>
      <c r="K92" s="7"/>
      <c r="L92" s="11"/>
      <c r="M92" s="11"/>
    </row>
    <row r="93" spans="2:13" ht="14.25" customHeight="1" x14ac:dyDescent="0.35">
      <c r="B93" s="7"/>
      <c r="C93" s="7"/>
      <c r="D93" s="7"/>
      <c r="E93" s="7"/>
      <c r="F93" s="7"/>
      <c r="G93" s="9"/>
      <c r="H93" s="9"/>
      <c r="J93" s="7"/>
      <c r="K93" s="7"/>
      <c r="L93" s="11"/>
      <c r="M93" s="11"/>
    </row>
    <row r="94" spans="2:13" ht="14.25" customHeight="1" x14ac:dyDescent="0.35">
      <c r="B94" s="7"/>
      <c r="C94" s="7"/>
      <c r="D94" s="7"/>
      <c r="E94" s="7"/>
      <c r="F94" s="7"/>
      <c r="G94" s="9"/>
      <c r="H94" s="9"/>
      <c r="J94" s="7"/>
      <c r="K94" s="7"/>
      <c r="L94" s="11"/>
      <c r="M94" s="11"/>
    </row>
    <row r="95" spans="2:13" ht="14.25" customHeight="1" x14ac:dyDescent="0.35">
      <c r="B95" s="7"/>
      <c r="C95" s="7"/>
      <c r="D95" s="7"/>
      <c r="E95" s="7"/>
      <c r="F95" s="7"/>
      <c r="G95" s="9"/>
      <c r="H95" s="9"/>
      <c r="J95" s="7"/>
      <c r="K95" s="7"/>
      <c r="L95" s="11"/>
      <c r="M95" s="11"/>
    </row>
    <row r="96" spans="2:13" ht="14.25" customHeight="1" x14ac:dyDescent="0.35">
      <c r="B96" s="7"/>
      <c r="C96" s="7"/>
      <c r="D96" s="7"/>
      <c r="E96" s="7"/>
      <c r="F96" s="7"/>
      <c r="G96" s="9"/>
      <c r="H96" s="9"/>
      <c r="J96" s="7"/>
      <c r="K96" s="7"/>
      <c r="L96" s="11"/>
      <c r="M96" s="11"/>
    </row>
    <row r="97" spans="2:13" ht="14.25" customHeight="1" x14ac:dyDescent="0.35">
      <c r="B97" s="7"/>
      <c r="C97" s="7"/>
      <c r="D97" s="7"/>
      <c r="E97" s="7"/>
      <c r="F97" s="7"/>
      <c r="G97" s="9"/>
      <c r="H97" s="9"/>
      <c r="J97" s="7"/>
      <c r="K97" s="7"/>
      <c r="L97" s="11"/>
      <c r="M97" s="11"/>
    </row>
    <row r="98" spans="2:13" ht="14.25" customHeight="1" x14ac:dyDescent="0.35">
      <c r="B98" s="7"/>
      <c r="C98" s="7"/>
      <c r="D98" s="7"/>
      <c r="E98" s="7"/>
      <c r="F98" s="7"/>
      <c r="G98" s="9"/>
      <c r="H98" s="9"/>
      <c r="J98" s="7"/>
      <c r="K98" s="7"/>
      <c r="L98" s="11"/>
      <c r="M98" s="11"/>
    </row>
    <row r="99" spans="2:13" ht="14.25" customHeight="1" x14ac:dyDescent="0.35">
      <c r="B99" s="7"/>
      <c r="C99" s="7"/>
      <c r="D99" s="7"/>
      <c r="E99" s="7"/>
      <c r="F99" s="7"/>
      <c r="G99" s="9"/>
      <c r="H99" s="9"/>
      <c r="J99" s="7"/>
      <c r="K99" s="7"/>
      <c r="L99" s="11"/>
      <c r="M99" s="11"/>
    </row>
    <row r="100" spans="2:13" ht="14.25" customHeight="1" x14ac:dyDescent="0.35">
      <c r="B100" s="7"/>
      <c r="C100" s="7"/>
      <c r="D100" s="7"/>
      <c r="E100" s="7"/>
      <c r="F100" s="7"/>
      <c r="G100" s="9"/>
      <c r="H100" s="9"/>
      <c r="J100" s="7"/>
      <c r="K100" s="7"/>
      <c r="L100" s="11"/>
      <c r="M100" s="11"/>
    </row>
    <row r="101" spans="2:13" ht="14.25" customHeight="1" x14ac:dyDescent="0.35">
      <c r="B101" s="7"/>
      <c r="C101" s="7"/>
      <c r="D101" s="7"/>
      <c r="E101" s="7"/>
      <c r="F101" s="7"/>
      <c r="G101" s="9"/>
      <c r="H101" s="9"/>
      <c r="J101" s="7"/>
      <c r="K101" s="7"/>
      <c r="L101" s="11"/>
      <c r="M101" s="11"/>
    </row>
    <row r="102" spans="2:13" ht="14.25" customHeight="1" x14ac:dyDescent="0.35">
      <c r="B102" s="7"/>
      <c r="C102" s="7"/>
      <c r="D102" s="7"/>
      <c r="E102" s="7"/>
      <c r="F102" s="7"/>
      <c r="G102" s="9"/>
      <c r="H102" s="9"/>
      <c r="J102" s="7"/>
      <c r="K102" s="7"/>
      <c r="L102" s="11"/>
      <c r="M102" s="11"/>
    </row>
    <row r="103" spans="2:13" ht="14.25" customHeight="1" x14ac:dyDescent="0.35">
      <c r="B103" s="7"/>
      <c r="C103" s="7"/>
      <c r="D103" s="7"/>
      <c r="E103" s="7"/>
      <c r="F103" s="7"/>
      <c r="G103" s="9"/>
      <c r="H103" s="9"/>
      <c r="J103" s="7"/>
      <c r="K103" s="7"/>
      <c r="L103" s="11"/>
      <c r="M103" s="11"/>
    </row>
    <row r="104" spans="2:13" ht="14.25" customHeight="1" x14ac:dyDescent="0.35">
      <c r="B104" s="7"/>
      <c r="C104" s="7"/>
      <c r="D104" s="7"/>
      <c r="E104" s="7"/>
      <c r="F104" s="7"/>
      <c r="G104" s="9"/>
      <c r="H104" s="9"/>
      <c r="J104" s="7"/>
      <c r="K104" s="7"/>
      <c r="L104" s="11"/>
      <c r="M104" s="11"/>
    </row>
    <row r="105" spans="2:13" ht="14.25" customHeight="1" x14ac:dyDescent="0.35">
      <c r="B105" s="7"/>
      <c r="C105" s="7"/>
      <c r="D105" s="7"/>
      <c r="E105" s="7"/>
      <c r="F105" s="7"/>
      <c r="G105" s="9"/>
      <c r="H105" s="9"/>
      <c r="J105" s="7"/>
      <c r="K105" s="7"/>
      <c r="L105" s="11"/>
      <c r="M105" s="11"/>
    </row>
    <row r="106" spans="2:13" ht="14.25" customHeight="1" x14ac:dyDescent="0.35">
      <c r="B106" s="7"/>
      <c r="C106" s="7"/>
      <c r="D106" s="7"/>
      <c r="E106" s="7"/>
      <c r="F106" s="7"/>
      <c r="G106" s="9"/>
      <c r="H106" s="9"/>
      <c r="J106" s="7"/>
      <c r="K106" s="7"/>
      <c r="L106" s="11"/>
      <c r="M106" s="11"/>
    </row>
    <row r="107" spans="2:13" ht="14.25" customHeight="1" x14ac:dyDescent="0.35">
      <c r="B107" s="7"/>
      <c r="C107" s="7"/>
      <c r="D107" s="7"/>
      <c r="E107" s="7"/>
      <c r="F107" s="7"/>
      <c r="G107" s="9"/>
      <c r="H107" s="9"/>
      <c r="J107" s="7"/>
      <c r="K107" s="7"/>
      <c r="L107" s="11"/>
      <c r="M107" s="11"/>
    </row>
    <row r="108" spans="2:13" ht="14.25" customHeight="1" x14ac:dyDescent="0.35">
      <c r="B108" s="7"/>
      <c r="C108" s="7"/>
      <c r="D108" s="7"/>
      <c r="E108" s="7"/>
      <c r="F108" s="7"/>
      <c r="G108" s="9"/>
      <c r="H108" s="9"/>
      <c r="J108" s="7"/>
      <c r="K108" s="7"/>
      <c r="L108" s="11"/>
      <c r="M108" s="11"/>
    </row>
    <row r="109" spans="2:13" ht="14.25" customHeight="1" x14ac:dyDescent="0.35">
      <c r="B109" s="7"/>
      <c r="C109" s="7"/>
      <c r="D109" s="7"/>
      <c r="E109" s="7"/>
      <c r="F109" s="7"/>
      <c r="G109" s="9"/>
      <c r="H109" s="9"/>
      <c r="J109" s="7"/>
      <c r="K109" s="7"/>
      <c r="L109" s="11"/>
      <c r="M109" s="11"/>
    </row>
    <row r="110" spans="2:13" ht="14.25" customHeight="1" x14ac:dyDescent="0.35">
      <c r="B110" s="7"/>
      <c r="C110" s="7"/>
      <c r="D110" s="7"/>
      <c r="E110" s="7"/>
      <c r="F110" s="7"/>
      <c r="G110" s="9"/>
      <c r="H110" s="9"/>
      <c r="J110" s="7"/>
      <c r="K110" s="7"/>
      <c r="L110" s="11"/>
      <c r="M110" s="11"/>
    </row>
    <row r="111" spans="2:13" ht="14.25" customHeight="1" x14ac:dyDescent="0.35">
      <c r="B111" s="7"/>
      <c r="C111" s="7"/>
      <c r="D111" s="7"/>
      <c r="E111" s="7"/>
      <c r="F111" s="7"/>
      <c r="G111" s="9"/>
      <c r="H111" s="9"/>
      <c r="J111" s="7"/>
      <c r="K111" s="7"/>
      <c r="L111" s="11"/>
      <c r="M111" s="11"/>
    </row>
    <row r="112" spans="2:13" ht="14.25" customHeight="1" x14ac:dyDescent="0.35">
      <c r="B112" s="7"/>
      <c r="C112" s="7"/>
      <c r="D112" s="7"/>
      <c r="E112" s="7"/>
      <c r="F112" s="7"/>
      <c r="G112" s="9"/>
      <c r="H112" s="9"/>
      <c r="J112" s="7"/>
      <c r="K112" s="7"/>
      <c r="L112" s="11"/>
      <c r="M112" s="11"/>
    </row>
    <row r="113" spans="2:13" ht="14.25" customHeight="1" x14ac:dyDescent="0.35">
      <c r="B113" s="7"/>
      <c r="C113" s="7"/>
      <c r="D113" s="7"/>
      <c r="E113" s="7"/>
      <c r="F113" s="7"/>
      <c r="G113" s="9"/>
      <c r="H113" s="9"/>
      <c r="J113" s="7"/>
      <c r="K113" s="7"/>
      <c r="L113" s="11"/>
      <c r="M113" s="11"/>
    </row>
    <row r="114" spans="2:13" ht="14.25" customHeight="1" x14ac:dyDescent="0.35">
      <c r="B114" s="7"/>
      <c r="C114" s="7"/>
      <c r="D114" s="7"/>
      <c r="E114" s="7"/>
      <c r="F114" s="7"/>
      <c r="G114" s="9"/>
      <c r="H114" s="9"/>
      <c r="J114" s="7"/>
      <c r="K114" s="7"/>
      <c r="L114" s="11"/>
      <c r="M114" s="11"/>
    </row>
    <row r="115" spans="2:13" ht="14.25" customHeight="1" x14ac:dyDescent="0.35">
      <c r="B115" s="7"/>
      <c r="C115" s="7"/>
      <c r="D115" s="7"/>
      <c r="E115" s="7"/>
      <c r="F115" s="7"/>
      <c r="G115" s="9"/>
      <c r="H115" s="9"/>
      <c r="J115" s="7"/>
      <c r="K115" s="7"/>
      <c r="L115" s="11"/>
      <c r="M115" s="11"/>
    </row>
    <row r="116" spans="2:13" ht="14.25" customHeight="1" x14ac:dyDescent="0.35">
      <c r="B116" s="7"/>
      <c r="C116" s="7"/>
      <c r="D116" s="7"/>
      <c r="E116" s="7"/>
      <c r="F116" s="7"/>
      <c r="G116" s="9"/>
      <c r="H116" s="9"/>
      <c r="J116" s="7"/>
      <c r="K116" s="7"/>
      <c r="L116" s="11"/>
      <c r="M116" s="11"/>
    </row>
    <row r="117" spans="2:13" ht="14.25" customHeight="1" x14ac:dyDescent="0.35">
      <c r="B117" s="7"/>
      <c r="C117" s="7"/>
      <c r="D117" s="7"/>
      <c r="E117" s="7"/>
      <c r="F117" s="7"/>
      <c r="G117" s="9"/>
      <c r="H117" s="9"/>
      <c r="J117" s="7"/>
      <c r="K117" s="7"/>
      <c r="L117" s="11"/>
      <c r="M117" s="11"/>
    </row>
    <row r="118" spans="2:13" ht="14.25" customHeight="1" x14ac:dyDescent="0.35">
      <c r="B118" s="7"/>
      <c r="C118" s="7"/>
      <c r="D118" s="7"/>
      <c r="E118" s="7"/>
      <c r="F118" s="7"/>
      <c r="G118" s="9"/>
      <c r="H118" s="9"/>
      <c r="J118" s="7"/>
      <c r="K118" s="7"/>
      <c r="L118" s="11"/>
      <c r="M118" s="11"/>
    </row>
    <row r="119" spans="2:13" ht="14.25" customHeight="1" x14ac:dyDescent="0.35">
      <c r="B119" s="7"/>
      <c r="C119" s="7"/>
      <c r="D119" s="7"/>
      <c r="E119" s="7"/>
      <c r="F119" s="7"/>
      <c r="G119" s="9"/>
      <c r="H119" s="9"/>
      <c r="J119" s="7"/>
      <c r="K119" s="7"/>
      <c r="L119" s="11"/>
      <c r="M119" s="11"/>
    </row>
    <row r="120" spans="2:13" ht="14.25" customHeight="1" x14ac:dyDescent="0.35">
      <c r="B120" s="7"/>
      <c r="C120" s="7"/>
      <c r="D120" s="7"/>
      <c r="E120" s="7"/>
      <c r="F120" s="7"/>
      <c r="G120" s="9"/>
      <c r="H120" s="9"/>
      <c r="J120" s="7"/>
      <c r="K120" s="7"/>
      <c r="L120" s="11"/>
      <c r="M120" s="11"/>
    </row>
    <row r="121" spans="2:13" ht="14.25" customHeight="1" x14ac:dyDescent="0.35">
      <c r="B121" s="7"/>
      <c r="C121" s="7"/>
      <c r="D121" s="7"/>
      <c r="E121" s="7"/>
      <c r="F121" s="7"/>
      <c r="G121" s="9"/>
      <c r="H121" s="9"/>
      <c r="J121" s="7"/>
      <c r="K121" s="7"/>
      <c r="L121" s="11"/>
      <c r="M121" s="11"/>
    </row>
    <row r="122" spans="2:13" ht="14.25" customHeight="1" x14ac:dyDescent="0.35">
      <c r="B122" s="7"/>
      <c r="C122" s="7"/>
      <c r="D122" s="7"/>
      <c r="E122" s="7"/>
      <c r="F122" s="7"/>
      <c r="G122" s="9"/>
      <c r="H122" s="9"/>
      <c r="J122" s="7"/>
      <c r="K122" s="7"/>
      <c r="L122" s="11"/>
      <c r="M122" s="11"/>
    </row>
    <row r="123" spans="2:13" ht="14.25" customHeight="1" x14ac:dyDescent="0.35">
      <c r="B123" s="7"/>
      <c r="C123" s="7"/>
      <c r="D123" s="7"/>
      <c r="E123" s="7"/>
      <c r="F123" s="7"/>
      <c r="G123" s="9"/>
      <c r="H123" s="9"/>
      <c r="J123" s="7"/>
      <c r="K123" s="7"/>
      <c r="L123" s="11"/>
      <c r="M123" s="11"/>
    </row>
    <row r="124" spans="2:13" ht="14.25" customHeight="1" x14ac:dyDescent="0.35">
      <c r="B124" s="7"/>
      <c r="C124" s="7"/>
      <c r="D124" s="7"/>
      <c r="E124" s="7"/>
      <c r="F124" s="7"/>
      <c r="G124" s="9"/>
      <c r="H124" s="9"/>
      <c r="J124" s="7"/>
      <c r="K124" s="7"/>
      <c r="L124" s="11"/>
      <c r="M124" s="11"/>
    </row>
    <row r="125" spans="2:13" ht="14.25" customHeight="1" x14ac:dyDescent="0.35">
      <c r="B125" s="7"/>
      <c r="C125" s="7"/>
      <c r="D125" s="7"/>
      <c r="E125" s="7"/>
      <c r="F125" s="7"/>
      <c r="G125" s="9"/>
      <c r="H125" s="9"/>
      <c r="J125" s="7"/>
      <c r="K125" s="7"/>
      <c r="L125" s="11"/>
      <c r="M125" s="11"/>
    </row>
    <row r="126" spans="2:13" ht="14.25" customHeight="1" x14ac:dyDescent="0.35">
      <c r="B126" s="7"/>
      <c r="C126" s="7"/>
      <c r="D126" s="7"/>
      <c r="E126" s="7"/>
      <c r="F126" s="7"/>
      <c r="G126" s="9"/>
      <c r="H126" s="9"/>
      <c r="J126" s="7"/>
      <c r="K126" s="7"/>
      <c r="L126" s="11"/>
      <c r="M126" s="11"/>
    </row>
    <row r="127" spans="2:13" ht="14.25" customHeight="1" x14ac:dyDescent="0.35">
      <c r="B127" s="7"/>
      <c r="C127" s="7"/>
      <c r="D127" s="7"/>
      <c r="E127" s="7"/>
      <c r="F127" s="7"/>
      <c r="G127" s="9"/>
      <c r="H127" s="9"/>
      <c r="J127" s="7"/>
      <c r="K127" s="7"/>
      <c r="L127" s="11"/>
      <c r="M127" s="11"/>
    </row>
    <row r="128" spans="2:13" ht="14.25" customHeight="1" x14ac:dyDescent="0.35">
      <c r="B128" s="7"/>
      <c r="C128" s="7"/>
      <c r="D128" s="7"/>
      <c r="E128" s="7"/>
      <c r="F128" s="7"/>
      <c r="G128" s="9"/>
      <c r="H128" s="9"/>
      <c r="J128" s="7"/>
      <c r="K128" s="7"/>
      <c r="L128" s="11"/>
      <c r="M128" s="11"/>
    </row>
    <row r="129" spans="2:13" ht="14.25" customHeight="1" x14ac:dyDescent="0.35">
      <c r="B129" s="7"/>
      <c r="C129" s="7"/>
      <c r="D129" s="7"/>
      <c r="E129" s="7"/>
      <c r="F129" s="7"/>
      <c r="G129" s="9"/>
      <c r="H129" s="9"/>
      <c r="J129" s="7"/>
      <c r="K129" s="7"/>
      <c r="L129" s="11"/>
      <c r="M129" s="11"/>
    </row>
    <row r="130" spans="2:13" ht="14.25" customHeight="1" x14ac:dyDescent="0.35">
      <c r="B130" s="7"/>
      <c r="C130" s="7"/>
      <c r="D130" s="7"/>
      <c r="E130" s="7"/>
      <c r="F130" s="7"/>
      <c r="G130" s="9"/>
      <c r="H130" s="9"/>
      <c r="J130" s="7"/>
      <c r="K130" s="7"/>
      <c r="L130" s="11"/>
      <c r="M130" s="11"/>
    </row>
    <row r="131" spans="2:13" ht="14.25" customHeight="1" x14ac:dyDescent="0.35">
      <c r="B131" s="7"/>
      <c r="C131" s="7"/>
      <c r="D131" s="7"/>
      <c r="E131" s="7"/>
      <c r="F131" s="7"/>
      <c r="G131" s="9"/>
      <c r="H131" s="9"/>
      <c r="J131" s="7"/>
      <c r="K131" s="7"/>
      <c r="L131" s="11"/>
      <c r="M131" s="11"/>
    </row>
    <row r="132" spans="2:13" ht="14.25" customHeight="1" x14ac:dyDescent="0.35">
      <c r="B132" s="7"/>
      <c r="C132" s="7"/>
      <c r="D132" s="7"/>
      <c r="E132" s="7"/>
      <c r="F132" s="7"/>
      <c r="G132" s="9"/>
      <c r="H132" s="9"/>
      <c r="J132" s="7"/>
      <c r="K132" s="7"/>
      <c r="L132" s="11"/>
      <c r="M132" s="11"/>
    </row>
    <row r="133" spans="2:13" ht="14.25" customHeight="1" x14ac:dyDescent="0.35">
      <c r="B133" s="7"/>
      <c r="C133" s="7"/>
      <c r="D133" s="7"/>
      <c r="E133" s="7"/>
      <c r="F133" s="7"/>
      <c r="G133" s="9"/>
      <c r="H133" s="9"/>
      <c r="J133" s="7"/>
      <c r="K133" s="7"/>
      <c r="L133" s="11"/>
      <c r="M133" s="11"/>
    </row>
    <row r="134" spans="2:13" ht="14.25" customHeight="1" x14ac:dyDescent="0.35">
      <c r="B134" s="7"/>
      <c r="C134" s="7"/>
      <c r="D134" s="7"/>
      <c r="E134" s="7"/>
      <c r="F134" s="7"/>
      <c r="G134" s="9"/>
      <c r="H134" s="9"/>
      <c r="J134" s="7"/>
      <c r="K134" s="7"/>
      <c r="L134" s="11"/>
      <c r="M134" s="11"/>
    </row>
    <row r="135" spans="2:13" ht="14.25" customHeight="1" x14ac:dyDescent="0.35">
      <c r="B135" s="7"/>
      <c r="C135" s="7"/>
      <c r="D135" s="7"/>
      <c r="E135" s="7"/>
      <c r="F135" s="7"/>
      <c r="G135" s="9"/>
      <c r="H135" s="9"/>
      <c r="J135" s="7"/>
      <c r="K135" s="7"/>
      <c r="L135" s="11"/>
      <c r="M135" s="11"/>
    </row>
    <row r="136" spans="2:13" ht="14.25" customHeight="1" x14ac:dyDescent="0.35">
      <c r="B136" s="7"/>
      <c r="C136" s="7"/>
      <c r="D136" s="7"/>
      <c r="E136" s="7"/>
      <c r="F136" s="7"/>
      <c r="G136" s="9"/>
      <c r="H136" s="9"/>
      <c r="J136" s="7"/>
      <c r="K136" s="7"/>
      <c r="L136" s="11"/>
      <c r="M136" s="11"/>
    </row>
    <row r="137" spans="2:13" ht="14.25" customHeight="1" x14ac:dyDescent="0.35">
      <c r="B137" s="7"/>
      <c r="C137" s="7"/>
      <c r="D137" s="7"/>
      <c r="E137" s="7"/>
      <c r="F137" s="7"/>
      <c r="G137" s="9"/>
      <c r="H137" s="9"/>
      <c r="J137" s="7"/>
      <c r="K137" s="7"/>
      <c r="L137" s="11"/>
      <c r="M137" s="11"/>
    </row>
    <row r="138" spans="2:13" ht="14.25" customHeight="1" x14ac:dyDescent="0.35">
      <c r="B138" s="7"/>
      <c r="C138" s="7"/>
      <c r="D138" s="7"/>
      <c r="E138" s="7"/>
      <c r="F138" s="7"/>
      <c r="G138" s="9"/>
      <c r="H138" s="9"/>
      <c r="J138" s="7"/>
      <c r="K138" s="7"/>
      <c r="L138" s="11"/>
      <c r="M138" s="11"/>
    </row>
    <row r="139" spans="2:13" ht="14.25" customHeight="1" x14ac:dyDescent="0.35">
      <c r="B139" s="7"/>
      <c r="C139" s="7"/>
      <c r="D139" s="7"/>
      <c r="E139" s="7"/>
      <c r="F139" s="7"/>
      <c r="G139" s="9"/>
      <c r="H139" s="9"/>
      <c r="J139" s="7"/>
      <c r="K139" s="7"/>
      <c r="L139" s="11"/>
      <c r="M139" s="11"/>
    </row>
    <row r="140" spans="2:13" ht="14.25" customHeight="1" x14ac:dyDescent="0.35">
      <c r="B140" s="7"/>
      <c r="C140" s="7"/>
      <c r="D140" s="7"/>
      <c r="E140" s="7"/>
      <c r="F140" s="7"/>
      <c r="G140" s="9"/>
      <c r="H140" s="9"/>
      <c r="J140" s="7"/>
      <c r="K140" s="7"/>
      <c r="L140" s="11"/>
      <c r="M140" s="11"/>
    </row>
    <row r="141" spans="2:13" ht="14.25" customHeight="1" x14ac:dyDescent="0.35">
      <c r="B141" s="7"/>
      <c r="C141" s="7"/>
      <c r="D141" s="7"/>
      <c r="E141" s="7"/>
      <c r="F141" s="7"/>
      <c r="G141" s="9"/>
      <c r="H141" s="9"/>
      <c r="J141" s="7"/>
      <c r="K141" s="7"/>
      <c r="L141" s="11"/>
      <c r="M141" s="11"/>
    </row>
    <row r="142" spans="2:13" ht="14.25" customHeight="1" x14ac:dyDescent="0.35">
      <c r="B142" s="7"/>
      <c r="C142" s="7"/>
      <c r="D142" s="7"/>
      <c r="E142" s="7"/>
      <c r="F142" s="7"/>
      <c r="G142" s="9"/>
      <c r="H142" s="9"/>
      <c r="J142" s="7"/>
      <c r="K142" s="7"/>
      <c r="L142" s="11"/>
      <c r="M142" s="11"/>
    </row>
    <row r="143" spans="2:13" ht="14.25" customHeight="1" x14ac:dyDescent="0.35">
      <c r="B143" s="7"/>
      <c r="C143" s="7"/>
      <c r="D143" s="7"/>
      <c r="E143" s="7"/>
      <c r="F143" s="7"/>
      <c r="G143" s="9"/>
      <c r="H143" s="9"/>
      <c r="J143" s="7"/>
      <c r="K143" s="7"/>
      <c r="L143" s="11"/>
      <c r="M143" s="11"/>
    </row>
    <row r="144" spans="2:13" ht="14.25" customHeight="1" x14ac:dyDescent="0.35">
      <c r="B144" s="7"/>
      <c r="C144" s="7"/>
      <c r="D144" s="7"/>
      <c r="E144" s="7"/>
      <c r="F144" s="7"/>
      <c r="G144" s="9"/>
      <c r="H144" s="9"/>
      <c r="J144" s="7"/>
      <c r="K144" s="7"/>
      <c r="L144" s="11"/>
      <c r="M144" s="11"/>
    </row>
    <row r="145" spans="2:13" ht="14.25" customHeight="1" x14ac:dyDescent="0.35">
      <c r="B145" s="7"/>
      <c r="C145" s="7"/>
      <c r="D145" s="7"/>
      <c r="E145" s="7"/>
      <c r="F145" s="7"/>
      <c r="G145" s="9"/>
      <c r="H145" s="9"/>
      <c r="J145" s="7"/>
      <c r="K145" s="7"/>
      <c r="L145" s="11"/>
      <c r="M145" s="11"/>
    </row>
    <row r="146" spans="2:13" ht="14.25" customHeight="1" x14ac:dyDescent="0.35">
      <c r="B146" s="7"/>
      <c r="C146" s="7"/>
      <c r="D146" s="7"/>
      <c r="E146" s="7"/>
      <c r="F146" s="7"/>
      <c r="G146" s="9"/>
      <c r="H146" s="9"/>
      <c r="J146" s="7"/>
      <c r="K146" s="7"/>
      <c r="L146" s="11"/>
      <c r="M146" s="11"/>
    </row>
    <row r="147" spans="2:13" ht="14.25" customHeight="1" x14ac:dyDescent="0.35">
      <c r="B147" s="7"/>
      <c r="C147" s="7"/>
      <c r="D147" s="7"/>
      <c r="E147" s="7"/>
      <c r="F147" s="7"/>
      <c r="G147" s="9"/>
      <c r="H147" s="9"/>
      <c r="J147" s="7"/>
      <c r="K147" s="7"/>
      <c r="L147" s="11"/>
      <c r="M147" s="11"/>
    </row>
    <row r="148" spans="2:13" ht="14.25" customHeight="1" x14ac:dyDescent="0.35">
      <c r="B148" s="7"/>
      <c r="C148" s="7"/>
      <c r="D148" s="7"/>
      <c r="E148" s="7"/>
      <c r="F148" s="7"/>
      <c r="G148" s="9"/>
      <c r="H148" s="9"/>
      <c r="J148" s="7"/>
      <c r="K148" s="7"/>
      <c r="L148" s="11"/>
      <c r="M148" s="11"/>
    </row>
    <row r="149" spans="2:13" ht="14.25" customHeight="1" x14ac:dyDescent="0.35">
      <c r="B149" s="7"/>
      <c r="C149" s="7"/>
      <c r="D149" s="7"/>
      <c r="E149" s="7"/>
      <c r="F149" s="7"/>
      <c r="G149" s="9"/>
      <c r="H149" s="9"/>
      <c r="J149" s="7"/>
      <c r="K149" s="7"/>
      <c r="L149" s="11"/>
      <c r="M149" s="11"/>
    </row>
    <row r="150" spans="2:13" ht="14.25" customHeight="1" x14ac:dyDescent="0.35">
      <c r="B150" s="7"/>
      <c r="C150" s="7"/>
      <c r="D150" s="7"/>
      <c r="E150" s="7"/>
      <c r="F150" s="7"/>
      <c r="G150" s="9"/>
      <c r="H150" s="9"/>
      <c r="J150" s="7"/>
      <c r="K150" s="7"/>
      <c r="L150" s="11"/>
      <c r="M150" s="11"/>
    </row>
    <row r="151" spans="2:13" ht="14.25" customHeight="1" x14ac:dyDescent="0.35">
      <c r="B151" s="7"/>
      <c r="C151" s="7"/>
      <c r="D151" s="7"/>
      <c r="E151" s="7"/>
      <c r="F151" s="7"/>
      <c r="G151" s="9"/>
      <c r="H151" s="9"/>
      <c r="J151" s="7"/>
      <c r="K151" s="7"/>
      <c r="L151" s="11"/>
      <c r="M151" s="11"/>
    </row>
    <row r="152" spans="2:13" ht="14.25" customHeight="1" x14ac:dyDescent="0.35">
      <c r="B152" s="7"/>
      <c r="C152" s="7"/>
      <c r="D152" s="7"/>
      <c r="E152" s="7"/>
      <c r="F152" s="7"/>
      <c r="G152" s="9"/>
      <c r="H152" s="9"/>
      <c r="J152" s="7"/>
      <c r="K152" s="7"/>
      <c r="L152" s="11"/>
      <c r="M152" s="11"/>
    </row>
    <row r="153" spans="2:13" ht="14.25" customHeight="1" x14ac:dyDescent="0.35">
      <c r="B153" s="7"/>
      <c r="C153" s="7"/>
      <c r="D153" s="7"/>
      <c r="E153" s="7"/>
      <c r="F153" s="7"/>
      <c r="G153" s="9"/>
      <c r="H153" s="9"/>
      <c r="J153" s="7"/>
      <c r="K153" s="7"/>
      <c r="L153" s="11"/>
      <c r="M153" s="11"/>
    </row>
    <row r="154" spans="2:13" ht="14.25" customHeight="1" x14ac:dyDescent="0.35">
      <c r="B154" s="7"/>
      <c r="C154" s="7"/>
      <c r="D154" s="7"/>
      <c r="E154" s="7"/>
      <c r="F154" s="7"/>
      <c r="G154" s="9"/>
      <c r="H154" s="9"/>
      <c r="J154" s="7"/>
      <c r="K154" s="7"/>
      <c r="L154" s="11"/>
      <c r="M154" s="11"/>
    </row>
    <row r="155" spans="2:13" ht="14.25" customHeight="1" x14ac:dyDescent="0.35">
      <c r="B155" s="7"/>
      <c r="C155" s="7"/>
      <c r="D155" s="7"/>
      <c r="E155" s="7"/>
      <c r="F155" s="7"/>
      <c r="G155" s="9"/>
      <c r="H155" s="9"/>
      <c r="J155" s="7"/>
      <c r="K155" s="7"/>
      <c r="L155" s="11"/>
      <c r="M155" s="11"/>
    </row>
    <row r="156" spans="2:13" ht="14.25" customHeight="1" x14ac:dyDescent="0.35">
      <c r="B156" s="7"/>
      <c r="C156" s="7"/>
      <c r="D156" s="7"/>
      <c r="E156" s="7"/>
      <c r="F156" s="7"/>
      <c r="G156" s="9"/>
      <c r="H156" s="9"/>
      <c r="J156" s="7"/>
      <c r="K156" s="7"/>
      <c r="L156" s="11"/>
      <c r="M156" s="11"/>
    </row>
    <row r="157" spans="2:13" ht="14.25" customHeight="1" x14ac:dyDescent="0.35">
      <c r="B157" s="7"/>
      <c r="C157" s="7"/>
      <c r="D157" s="7"/>
      <c r="E157" s="7"/>
      <c r="F157" s="7"/>
      <c r="G157" s="9"/>
      <c r="H157" s="9"/>
      <c r="J157" s="7"/>
      <c r="K157" s="7"/>
      <c r="L157" s="11"/>
      <c r="M157" s="11"/>
    </row>
    <row r="158" spans="2:13" ht="14.25" customHeight="1" x14ac:dyDescent="0.35">
      <c r="B158" s="7"/>
      <c r="C158" s="7"/>
      <c r="D158" s="7"/>
      <c r="E158" s="7"/>
      <c r="F158" s="7"/>
      <c r="G158" s="9"/>
      <c r="H158" s="9"/>
      <c r="J158" s="7"/>
      <c r="K158" s="7"/>
      <c r="L158" s="11"/>
      <c r="M158" s="11"/>
    </row>
    <row r="159" spans="2:13" ht="14.25" customHeight="1" x14ac:dyDescent="0.35">
      <c r="B159" s="7"/>
      <c r="C159" s="7"/>
      <c r="D159" s="7"/>
      <c r="E159" s="7"/>
      <c r="F159" s="7"/>
      <c r="G159" s="9"/>
      <c r="H159" s="9"/>
      <c r="J159" s="7"/>
      <c r="K159" s="7"/>
      <c r="L159" s="11"/>
      <c r="M159" s="11"/>
    </row>
    <row r="160" spans="2:13" ht="14.25" customHeight="1" x14ac:dyDescent="0.35">
      <c r="B160" s="7"/>
      <c r="C160" s="7"/>
      <c r="D160" s="7"/>
      <c r="E160" s="7"/>
      <c r="F160" s="7"/>
      <c r="G160" s="9"/>
      <c r="H160" s="9"/>
      <c r="J160" s="7"/>
      <c r="K160" s="7"/>
      <c r="L160" s="11"/>
      <c r="M160" s="11"/>
    </row>
    <row r="161" spans="2:13" ht="14.25" customHeight="1" x14ac:dyDescent="0.35">
      <c r="B161" s="7"/>
      <c r="C161" s="7"/>
      <c r="D161" s="7"/>
      <c r="E161" s="7"/>
      <c r="F161" s="7"/>
      <c r="G161" s="9"/>
      <c r="H161" s="9"/>
      <c r="J161" s="7"/>
      <c r="K161" s="7"/>
      <c r="L161" s="11"/>
      <c r="M161" s="11"/>
    </row>
    <row r="162" spans="2:13" ht="14.25" customHeight="1" x14ac:dyDescent="0.35">
      <c r="B162" s="7"/>
      <c r="C162" s="7"/>
      <c r="D162" s="7"/>
      <c r="E162" s="7"/>
      <c r="F162" s="7"/>
      <c r="G162" s="9"/>
      <c r="H162" s="9"/>
      <c r="J162" s="7"/>
      <c r="K162" s="7"/>
      <c r="L162" s="11"/>
      <c r="M162" s="11"/>
    </row>
    <row r="163" spans="2:13" ht="14.25" customHeight="1" x14ac:dyDescent="0.35">
      <c r="B163" s="7"/>
      <c r="C163" s="7"/>
      <c r="D163" s="7"/>
      <c r="E163" s="7"/>
      <c r="F163" s="7"/>
      <c r="G163" s="9"/>
      <c r="H163" s="9"/>
      <c r="J163" s="7"/>
      <c r="K163" s="7"/>
      <c r="L163" s="11"/>
      <c r="M163" s="11"/>
    </row>
    <row r="164" spans="2:13" ht="14.25" customHeight="1" x14ac:dyDescent="0.35">
      <c r="B164" s="7"/>
      <c r="C164" s="7"/>
      <c r="D164" s="7"/>
      <c r="E164" s="7"/>
      <c r="F164" s="7"/>
      <c r="G164" s="9"/>
      <c r="H164" s="9"/>
      <c r="J164" s="7"/>
      <c r="K164" s="7"/>
      <c r="L164" s="11"/>
      <c r="M164" s="11"/>
    </row>
    <row r="165" spans="2:13" ht="14.25" customHeight="1" x14ac:dyDescent="0.35">
      <c r="B165" s="7"/>
      <c r="C165" s="7"/>
      <c r="D165" s="7"/>
      <c r="E165" s="7"/>
      <c r="F165" s="7"/>
      <c r="G165" s="9"/>
      <c r="H165" s="9"/>
      <c r="J165" s="7"/>
      <c r="K165" s="7"/>
      <c r="L165" s="11"/>
      <c r="M165" s="11"/>
    </row>
    <row r="166" spans="2:13" ht="14.25" customHeight="1" x14ac:dyDescent="0.35">
      <c r="B166" s="7"/>
      <c r="C166" s="7"/>
      <c r="D166" s="7"/>
      <c r="E166" s="7"/>
      <c r="F166" s="7"/>
      <c r="G166" s="9"/>
      <c r="H166" s="9"/>
      <c r="J166" s="7"/>
      <c r="K166" s="7"/>
      <c r="L166" s="11"/>
      <c r="M166" s="11"/>
    </row>
    <row r="167" spans="2:13" ht="14.25" customHeight="1" x14ac:dyDescent="0.35">
      <c r="B167" s="7"/>
      <c r="C167" s="7"/>
      <c r="D167" s="7"/>
      <c r="E167" s="7"/>
      <c r="F167" s="7"/>
      <c r="G167" s="9"/>
      <c r="H167" s="9"/>
      <c r="J167" s="7"/>
      <c r="K167" s="7"/>
      <c r="L167" s="11"/>
      <c r="M167" s="11"/>
    </row>
    <row r="168" spans="2:13" ht="14.25" customHeight="1" x14ac:dyDescent="0.35">
      <c r="B168" s="7"/>
      <c r="C168" s="7"/>
      <c r="D168" s="7"/>
      <c r="E168" s="7"/>
      <c r="F168" s="7"/>
      <c r="G168" s="9"/>
      <c r="H168" s="9"/>
      <c r="J168" s="7"/>
      <c r="K168" s="7"/>
      <c r="L168" s="11"/>
      <c r="M168" s="11"/>
    </row>
    <row r="169" spans="2:13" ht="14.25" customHeight="1" x14ac:dyDescent="0.35">
      <c r="B169" s="7"/>
      <c r="C169" s="7"/>
      <c r="D169" s="7"/>
      <c r="E169" s="7"/>
      <c r="F169" s="7"/>
      <c r="G169" s="9"/>
      <c r="H169" s="9"/>
      <c r="J169" s="7"/>
      <c r="K169" s="7"/>
      <c r="L169" s="11"/>
      <c r="M169" s="11"/>
    </row>
    <row r="170" spans="2:13" ht="14.25" customHeight="1" x14ac:dyDescent="0.35">
      <c r="B170" s="7"/>
      <c r="C170" s="7"/>
      <c r="D170" s="7"/>
      <c r="E170" s="7"/>
      <c r="F170" s="7"/>
      <c r="G170" s="9"/>
      <c r="H170" s="9"/>
      <c r="J170" s="7"/>
      <c r="K170" s="7"/>
      <c r="L170" s="11"/>
      <c r="M170" s="11"/>
    </row>
    <row r="171" spans="2:13" ht="14.25" customHeight="1" x14ac:dyDescent="0.35">
      <c r="B171" s="7"/>
      <c r="C171" s="7"/>
      <c r="D171" s="7"/>
      <c r="E171" s="7"/>
      <c r="F171" s="7"/>
      <c r="G171" s="9"/>
      <c r="H171" s="9"/>
      <c r="J171" s="7"/>
      <c r="K171" s="7"/>
      <c r="L171" s="11"/>
      <c r="M171" s="11"/>
    </row>
    <row r="172" spans="2:13" ht="14.25" customHeight="1" x14ac:dyDescent="0.35">
      <c r="B172" s="7"/>
      <c r="C172" s="7"/>
      <c r="D172" s="7"/>
      <c r="E172" s="7"/>
      <c r="F172" s="7"/>
      <c r="G172" s="9"/>
      <c r="H172" s="9"/>
      <c r="J172" s="7"/>
      <c r="K172" s="7"/>
      <c r="L172" s="11"/>
      <c r="M172" s="11"/>
    </row>
    <row r="173" spans="2:13" ht="14.25" customHeight="1" x14ac:dyDescent="0.35">
      <c r="B173" s="7"/>
      <c r="C173" s="7"/>
      <c r="D173" s="7"/>
      <c r="E173" s="7"/>
      <c r="F173" s="7"/>
      <c r="G173" s="9"/>
      <c r="H173" s="9"/>
      <c r="J173" s="7"/>
      <c r="K173" s="7"/>
      <c r="L173" s="11"/>
      <c r="M173" s="11"/>
    </row>
    <row r="174" spans="2:13" ht="14.25" customHeight="1" x14ac:dyDescent="0.35">
      <c r="B174" s="7"/>
      <c r="C174" s="7"/>
      <c r="D174" s="7"/>
      <c r="E174" s="7"/>
      <c r="F174" s="7"/>
      <c r="G174" s="9"/>
      <c r="H174" s="9"/>
      <c r="J174" s="7"/>
      <c r="K174" s="7"/>
      <c r="L174" s="11"/>
      <c r="M174" s="11"/>
    </row>
    <row r="175" spans="2:13" ht="14.25" customHeight="1" x14ac:dyDescent="0.35">
      <c r="B175" s="7"/>
      <c r="C175" s="7"/>
      <c r="D175" s="7"/>
      <c r="E175" s="7"/>
      <c r="F175" s="7"/>
      <c r="G175" s="9"/>
      <c r="H175" s="9"/>
      <c r="J175" s="7"/>
      <c r="K175" s="7"/>
      <c r="L175" s="11"/>
      <c r="M175" s="11"/>
    </row>
    <row r="176" spans="2:13" ht="14.25" customHeight="1" x14ac:dyDescent="0.35">
      <c r="B176" s="7"/>
      <c r="C176" s="7"/>
      <c r="D176" s="7"/>
      <c r="E176" s="7"/>
      <c r="F176" s="7"/>
      <c r="G176" s="9"/>
      <c r="H176" s="9"/>
      <c r="J176" s="7"/>
      <c r="K176" s="7"/>
      <c r="L176" s="11"/>
      <c r="M176" s="11"/>
    </row>
    <row r="177" spans="2:13" ht="14.25" customHeight="1" x14ac:dyDescent="0.35">
      <c r="B177" s="7"/>
      <c r="C177" s="7"/>
      <c r="D177" s="7"/>
      <c r="E177" s="7"/>
      <c r="F177" s="7"/>
      <c r="G177" s="9"/>
      <c r="H177" s="9"/>
      <c r="J177" s="7"/>
      <c r="K177" s="7"/>
      <c r="L177" s="11"/>
      <c r="M177" s="11"/>
    </row>
    <row r="178" spans="2:13" ht="14.25" customHeight="1" x14ac:dyDescent="0.35">
      <c r="B178" s="7"/>
      <c r="C178" s="7"/>
      <c r="D178" s="7"/>
      <c r="E178" s="7"/>
      <c r="F178" s="7"/>
      <c r="G178" s="9"/>
      <c r="H178" s="9"/>
      <c r="J178" s="7"/>
      <c r="K178" s="7"/>
      <c r="L178" s="11"/>
      <c r="M178" s="11"/>
    </row>
    <row r="179" spans="2:13" ht="14.25" customHeight="1" x14ac:dyDescent="0.35">
      <c r="B179" s="7"/>
      <c r="C179" s="7"/>
      <c r="D179" s="7"/>
      <c r="E179" s="7"/>
      <c r="F179" s="7"/>
      <c r="G179" s="9"/>
      <c r="H179" s="9"/>
      <c r="J179" s="7"/>
      <c r="K179" s="7"/>
      <c r="L179" s="11"/>
      <c r="M179" s="11"/>
    </row>
    <row r="180" spans="2:13" ht="14.25" customHeight="1" x14ac:dyDescent="0.35">
      <c r="B180" s="7"/>
      <c r="C180" s="7"/>
      <c r="D180" s="7"/>
      <c r="E180" s="7"/>
      <c r="F180" s="7"/>
      <c r="G180" s="9"/>
      <c r="H180" s="9"/>
      <c r="J180" s="7"/>
      <c r="K180" s="7"/>
      <c r="L180" s="11"/>
      <c r="M180" s="11"/>
    </row>
    <row r="181" spans="2:13" ht="14.25" customHeight="1" x14ac:dyDescent="0.35">
      <c r="B181" s="7"/>
      <c r="C181" s="7"/>
      <c r="D181" s="7"/>
      <c r="E181" s="7"/>
      <c r="F181" s="7"/>
      <c r="G181" s="9"/>
      <c r="H181" s="9"/>
      <c r="J181" s="7"/>
      <c r="K181" s="7"/>
      <c r="L181" s="11"/>
      <c r="M181" s="11"/>
    </row>
    <row r="182" spans="2:13" ht="14.25" customHeight="1" x14ac:dyDescent="0.35">
      <c r="B182" s="7"/>
      <c r="C182" s="7"/>
      <c r="D182" s="7"/>
      <c r="E182" s="7"/>
      <c r="F182" s="7"/>
      <c r="G182" s="9"/>
      <c r="H182" s="9"/>
      <c r="J182" s="7"/>
      <c r="K182" s="7"/>
      <c r="L182" s="11"/>
      <c r="M182" s="11"/>
    </row>
    <row r="183" spans="2:13" ht="14.25" customHeight="1" x14ac:dyDescent="0.35">
      <c r="B183" s="7"/>
      <c r="C183" s="7"/>
      <c r="D183" s="7"/>
      <c r="E183" s="7"/>
      <c r="F183" s="7"/>
      <c r="G183" s="9"/>
      <c r="H183" s="9"/>
      <c r="J183" s="7"/>
      <c r="K183" s="7"/>
      <c r="L183" s="11"/>
      <c r="M183" s="11"/>
    </row>
    <row r="184" spans="2:13" ht="14.25" customHeight="1" x14ac:dyDescent="0.35">
      <c r="B184" s="7"/>
      <c r="C184" s="7"/>
      <c r="D184" s="7"/>
      <c r="E184" s="7"/>
      <c r="F184" s="7"/>
      <c r="G184" s="9"/>
      <c r="H184" s="9"/>
      <c r="J184" s="7"/>
      <c r="K184" s="7"/>
      <c r="L184" s="11"/>
      <c r="M184" s="11"/>
    </row>
    <row r="185" spans="2:13" ht="14.25" customHeight="1" x14ac:dyDescent="0.35">
      <c r="B185" s="7"/>
      <c r="C185" s="7"/>
      <c r="D185" s="7"/>
      <c r="E185" s="7"/>
      <c r="F185" s="7"/>
      <c r="G185" s="9"/>
      <c r="H185" s="9"/>
      <c r="J185" s="7"/>
      <c r="K185" s="7"/>
      <c r="L185" s="11"/>
      <c r="M185" s="11"/>
    </row>
    <row r="186" spans="2:13" ht="14.25" customHeight="1" x14ac:dyDescent="0.35">
      <c r="B186" s="7"/>
      <c r="C186" s="7"/>
      <c r="D186" s="7"/>
      <c r="E186" s="7"/>
      <c r="F186" s="7"/>
      <c r="G186" s="9"/>
      <c r="H186" s="9"/>
      <c r="J186" s="7"/>
      <c r="K186" s="7"/>
      <c r="L186" s="11"/>
      <c r="M186" s="11"/>
    </row>
    <row r="187" spans="2:13" ht="14.25" customHeight="1" x14ac:dyDescent="0.35">
      <c r="B187" s="7"/>
      <c r="C187" s="7"/>
      <c r="D187" s="7"/>
      <c r="E187" s="7"/>
      <c r="F187" s="7"/>
      <c r="G187" s="9"/>
      <c r="H187" s="9"/>
      <c r="J187" s="7"/>
      <c r="K187" s="7"/>
      <c r="L187" s="11"/>
      <c r="M187" s="11"/>
    </row>
    <row r="188" spans="2:13" ht="14.25" customHeight="1" x14ac:dyDescent="0.35">
      <c r="B188" s="7"/>
      <c r="C188" s="7"/>
      <c r="D188" s="7"/>
      <c r="E188" s="7"/>
      <c r="F188" s="7"/>
      <c r="G188" s="9"/>
      <c r="H188" s="9"/>
      <c r="J188" s="7"/>
      <c r="K188" s="7"/>
      <c r="L188" s="11"/>
      <c r="M188" s="11"/>
    </row>
    <row r="189" spans="2:13" ht="14.25" customHeight="1" x14ac:dyDescent="0.35">
      <c r="B189" s="7"/>
      <c r="C189" s="7"/>
      <c r="D189" s="7"/>
      <c r="E189" s="7"/>
      <c r="F189" s="7"/>
      <c r="G189" s="9"/>
      <c r="H189" s="9"/>
      <c r="J189" s="7"/>
      <c r="K189" s="7"/>
      <c r="L189" s="11"/>
      <c r="M189" s="11"/>
    </row>
    <row r="190" spans="2:13" ht="14.25" customHeight="1" x14ac:dyDescent="0.35">
      <c r="B190" s="7"/>
      <c r="C190" s="7"/>
      <c r="D190" s="7"/>
      <c r="E190" s="7"/>
      <c r="F190" s="7"/>
      <c r="G190" s="9"/>
      <c r="H190" s="9"/>
      <c r="J190" s="7"/>
      <c r="K190" s="7"/>
      <c r="L190" s="11"/>
      <c r="M190" s="11"/>
    </row>
    <row r="191" spans="2:13" ht="14.25" customHeight="1" x14ac:dyDescent="0.35">
      <c r="B191" s="7"/>
      <c r="C191" s="7"/>
      <c r="D191" s="7"/>
      <c r="E191" s="7"/>
      <c r="F191" s="7"/>
      <c r="G191" s="9"/>
      <c r="H191" s="9"/>
      <c r="J191" s="7"/>
      <c r="K191" s="7"/>
      <c r="L191" s="11"/>
      <c r="M191" s="11"/>
    </row>
    <row r="192" spans="2:13" ht="14.25" customHeight="1" x14ac:dyDescent="0.35">
      <c r="B192" s="7"/>
      <c r="C192" s="7"/>
      <c r="D192" s="7"/>
      <c r="E192" s="7"/>
      <c r="F192" s="7"/>
      <c r="G192" s="9"/>
      <c r="H192" s="9"/>
      <c r="J192" s="7"/>
      <c r="K192" s="7"/>
      <c r="L192" s="11"/>
      <c r="M192" s="11"/>
    </row>
    <row r="193" spans="2:13" ht="14.25" customHeight="1" x14ac:dyDescent="0.35">
      <c r="B193" s="7"/>
      <c r="C193" s="7"/>
      <c r="D193" s="7"/>
      <c r="E193" s="7"/>
      <c r="F193" s="7"/>
      <c r="G193" s="9"/>
      <c r="H193" s="9"/>
      <c r="J193" s="7"/>
      <c r="K193" s="7"/>
      <c r="L193" s="11"/>
      <c r="M193" s="11"/>
    </row>
    <row r="194" spans="2:13" ht="14.25" customHeight="1" x14ac:dyDescent="0.35">
      <c r="B194" s="7"/>
      <c r="C194" s="7"/>
      <c r="D194" s="7"/>
      <c r="E194" s="7"/>
      <c r="F194" s="7"/>
      <c r="G194" s="9"/>
      <c r="H194" s="9"/>
      <c r="J194" s="7"/>
      <c r="K194" s="7"/>
      <c r="L194" s="11"/>
      <c r="M194" s="11"/>
    </row>
    <row r="195" spans="2:13" ht="14.25" customHeight="1" x14ac:dyDescent="0.35">
      <c r="B195" s="7"/>
      <c r="C195" s="7"/>
      <c r="D195" s="7"/>
      <c r="E195" s="7"/>
      <c r="F195" s="7"/>
      <c r="G195" s="9"/>
      <c r="H195" s="9"/>
      <c r="J195" s="7"/>
      <c r="K195" s="7"/>
      <c r="L195" s="11"/>
      <c r="M195" s="11"/>
    </row>
    <row r="196" spans="2:13" ht="14.25" customHeight="1" x14ac:dyDescent="0.35">
      <c r="B196" s="7"/>
      <c r="C196" s="7"/>
      <c r="D196" s="7"/>
      <c r="E196" s="7"/>
      <c r="F196" s="7"/>
      <c r="G196" s="9"/>
      <c r="H196" s="9"/>
      <c r="J196" s="7"/>
      <c r="K196" s="7"/>
      <c r="L196" s="11"/>
      <c r="M196" s="11"/>
    </row>
    <row r="197" spans="2:13" ht="14.25" customHeight="1" x14ac:dyDescent="0.35">
      <c r="B197" s="7"/>
      <c r="C197" s="7"/>
      <c r="D197" s="7"/>
      <c r="E197" s="7"/>
      <c r="F197" s="7"/>
      <c r="G197" s="9"/>
      <c r="H197" s="9"/>
      <c r="J197" s="7"/>
      <c r="K197" s="7"/>
      <c r="L197" s="11"/>
      <c r="M197" s="11"/>
    </row>
    <row r="198" spans="2:13" ht="14.25" customHeight="1" x14ac:dyDescent="0.35">
      <c r="B198" s="7"/>
      <c r="C198" s="7"/>
      <c r="D198" s="7"/>
      <c r="E198" s="7"/>
      <c r="F198" s="7"/>
      <c r="G198" s="9"/>
      <c r="H198" s="9"/>
      <c r="J198" s="7"/>
      <c r="K198" s="7"/>
      <c r="L198" s="11"/>
      <c r="M198" s="11"/>
    </row>
    <row r="199" spans="2:13" ht="14.25" customHeight="1" x14ac:dyDescent="0.35">
      <c r="B199" s="7"/>
      <c r="C199" s="7"/>
      <c r="D199" s="7"/>
      <c r="E199" s="7"/>
      <c r="F199" s="7"/>
      <c r="G199" s="9"/>
      <c r="H199" s="9"/>
      <c r="J199" s="7"/>
      <c r="K199" s="7"/>
      <c r="L199" s="11"/>
      <c r="M199" s="11"/>
    </row>
    <row r="200" spans="2:13" ht="14.25" customHeight="1" x14ac:dyDescent="0.35">
      <c r="B200" s="7"/>
      <c r="C200" s="7"/>
      <c r="D200" s="7"/>
      <c r="E200" s="7"/>
      <c r="F200" s="7"/>
      <c r="G200" s="9"/>
      <c r="H200" s="9"/>
      <c r="J200" s="7"/>
      <c r="K200" s="7"/>
      <c r="L200" s="11"/>
      <c r="M200" s="11"/>
    </row>
    <row r="201" spans="2:13" ht="14.25" customHeight="1" x14ac:dyDescent="0.35">
      <c r="B201" s="7"/>
      <c r="C201" s="7"/>
      <c r="D201" s="7"/>
      <c r="E201" s="7"/>
      <c r="F201" s="7"/>
      <c r="G201" s="9"/>
      <c r="H201" s="9"/>
      <c r="J201" s="7"/>
      <c r="K201" s="7"/>
      <c r="L201" s="11"/>
      <c r="M201" s="11"/>
    </row>
    <row r="202" spans="2:13" ht="14.25" customHeight="1" x14ac:dyDescent="0.35">
      <c r="B202" s="7"/>
      <c r="C202" s="7"/>
      <c r="D202" s="7"/>
      <c r="E202" s="7"/>
      <c r="F202" s="7"/>
      <c r="G202" s="9"/>
      <c r="H202" s="9"/>
      <c r="J202" s="7"/>
      <c r="K202" s="7"/>
      <c r="L202" s="11"/>
      <c r="M202" s="11"/>
    </row>
    <row r="203" spans="2:13" ht="14.25" customHeight="1" x14ac:dyDescent="0.35">
      <c r="B203" s="7"/>
      <c r="C203" s="7"/>
      <c r="D203" s="7"/>
      <c r="E203" s="7"/>
      <c r="F203" s="7"/>
      <c r="G203" s="9"/>
      <c r="H203" s="9"/>
      <c r="J203" s="7"/>
      <c r="K203" s="7"/>
      <c r="L203" s="11"/>
      <c r="M203" s="11"/>
    </row>
    <row r="204" spans="2:13" ht="14.25" customHeight="1" x14ac:dyDescent="0.35">
      <c r="B204" s="7"/>
      <c r="C204" s="7"/>
      <c r="D204" s="7"/>
      <c r="E204" s="7"/>
      <c r="F204" s="7"/>
      <c r="G204" s="9"/>
      <c r="H204" s="9"/>
      <c r="J204" s="7"/>
      <c r="K204" s="7"/>
      <c r="L204" s="11"/>
      <c r="M204" s="11"/>
    </row>
    <row r="205" spans="2:13" ht="14.25" customHeight="1" x14ac:dyDescent="0.35">
      <c r="B205" s="7"/>
      <c r="C205" s="7"/>
      <c r="D205" s="7"/>
      <c r="E205" s="7"/>
      <c r="F205" s="7"/>
      <c r="G205" s="9"/>
      <c r="H205" s="9"/>
      <c r="J205" s="7"/>
      <c r="K205" s="7"/>
      <c r="L205" s="11"/>
      <c r="M205" s="11"/>
    </row>
    <row r="206" spans="2:13" ht="14.25" customHeight="1" x14ac:dyDescent="0.35">
      <c r="B206" s="7"/>
      <c r="C206" s="7"/>
      <c r="D206" s="7"/>
      <c r="E206" s="7"/>
      <c r="F206" s="7"/>
      <c r="G206" s="9"/>
      <c r="H206" s="9"/>
      <c r="J206" s="7"/>
      <c r="K206" s="7"/>
      <c r="L206" s="11"/>
      <c r="M206" s="11"/>
    </row>
    <row r="207" spans="2:13" ht="14.25" customHeight="1" x14ac:dyDescent="0.35">
      <c r="B207" s="7"/>
      <c r="C207" s="7"/>
      <c r="D207" s="7"/>
      <c r="E207" s="7"/>
      <c r="F207" s="7"/>
      <c r="G207" s="9"/>
      <c r="H207" s="9"/>
      <c r="J207" s="7"/>
      <c r="K207" s="7"/>
      <c r="L207" s="11"/>
      <c r="M207" s="11"/>
    </row>
    <row r="208" spans="2:13" ht="14.25" customHeight="1" x14ac:dyDescent="0.35">
      <c r="B208" s="7"/>
      <c r="C208" s="7"/>
      <c r="D208" s="7"/>
      <c r="E208" s="7"/>
      <c r="F208" s="7"/>
      <c r="G208" s="9"/>
      <c r="H208" s="9"/>
      <c r="J208" s="7"/>
      <c r="K208" s="7"/>
      <c r="L208" s="11"/>
      <c r="M208" s="11"/>
    </row>
    <row r="209" spans="2:13" ht="14.25" customHeight="1" x14ac:dyDescent="0.35">
      <c r="B209" s="7"/>
      <c r="C209" s="7"/>
      <c r="D209" s="7"/>
      <c r="E209" s="7"/>
      <c r="F209" s="7"/>
      <c r="G209" s="9"/>
      <c r="H209" s="9"/>
      <c r="J209" s="7"/>
      <c r="K209" s="7"/>
      <c r="L209" s="11"/>
      <c r="M209" s="11"/>
    </row>
    <row r="210" spans="2:13" ht="14.25" customHeight="1" x14ac:dyDescent="0.35">
      <c r="B210" s="7"/>
      <c r="C210" s="7"/>
      <c r="D210" s="7"/>
      <c r="E210" s="7"/>
      <c r="F210" s="7"/>
      <c r="G210" s="9"/>
      <c r="H210" s="9"/>
      <c r="J210" s="7"/>
      <c r="K210" s="7"/>
      <c r="L210" s="11"/>
      <c r="M210" s="11"/>
    </row>
    <row r="211" spans="2:13" ht="14.25" customHeight="1" x14ac:dyDescent="0.35">
      <c r="B211" s="7"/>
      <c r="C211" s="7"/>
      <c r="D211" s="7"/>
      <c r="E211" s="7"/>
      <c r="F211" s="7"/>
      <c r="G211" s="9"/>
      <c r="H211" s="9"/>
      <c r="J211" s="7"/>
      <c r="K211" s="7"/>
      <c r="L211" s="11"/>
      <c r="M211" s="11"/>
    </row>
    <row r="212" spans="2:13" ht="14.25" customHeight="1" x14ac:dyDescent="0.35">
      <c r="B212" s="7"/>
      <c r="C212" s="7"/>
      <c r="D212" s="7"/>
      <c r="E212" s="7"/>
      <c r="F212" s="7"/>
      <c r="G212" s="9"/>
      <c r="H212" s="9"/>
      <c r="J212" s="7"/>
      <c r="K212" s="7"/>
      <c r="L212" s="11"/>
      <c r="M212" s="11"/>
    </row>
    <row r="213" spans="2:13" ht="14.25" customHeight="1" x14ac:dyDescent="0.35">
      <c r="B213" s="7"/>
      <c r="C213" s="7"/>
      <c r="D213" s="7"/>
      <c r="E213" s="7"/>
      <c r="F213" s="7"/>
      <c r="G213" s="9"/>
      <c r="H213" s="9"/>
      <c r="J213" s="7"/>
      <c r="K213" s="7"/>
      <c r="L213" s="11"/>
      <c r="M213" s="11"/>
    </row>
    <row r="214" spans="2:13" ht="14.25" customHeight="1" x14ac:dyDescent="0.35">
      <c r="B214" s="7"/>
      <c r="C214" s="7"/>
      <c r="D214" s="7"/>
      <c r="E214" s="7"/>
      <c r="F214" s="7"/>
      <c r="G214" s="9"/>
      <c r="H214" s="9"/>
      <c r="J214" s="7"/>
      <c r="K214" s="7"/>
      <c r="L214" s="11"/>
      <c r="M214" s="11"/>
    </row>
    <row r="215" spans="2:13" ht="14.25" customHeight="1" x14ac:dyDescent="0.35">
      <c r="B215" s="7"/>
      <c r="C215" s="7"/>
      <c r="D215" s="7"/>
      <c r="E215" s="7"/>
      <c r="F215" s="7"/>
      <c r="G215" s="9"/>
      <c r="H215" s="9"/>
      <c r="J215" s="7"/>
      <c r="K215" s="7"/>
      <c r="L215" s="11"/>
      <c r="M215" s="11"/>
    </row>
    <row r="216" spans="2:13" ht="14.25" customHeight="1" x14ac:dyDescent="0.35">
      <c r="B216" s="7"/>
      <c r="C216" s="7"/>
      <c r="D216" s="7"/>
      <c r="E216" s="7"/>
      <c r="F216" s="7"/>
      <c r="G216" s="9"/>
      <c r="H216" s="9"/>
      <c r="J216" s="7"/>
      <c r="K216" s="7"/>
      <c r="L216" s="11"/>
      <c r="M216" s="11"/>
    </row>
    <row r="217" spans="2:13" ht="14.25" customHeight="1" x14ac:dyDescent="0.35">
      <c r="B217" s="7"/>
      <c r="C217" s="7"/>
      <c r="D217" s="7"/>
      <c r="E217" s="7"/>
      <c r="F217" s="7"/>
      <c r="G217" s="9"/>
      <c r="H217" s="9"/>
      <c r="J217" s="7"/>
      <c r="K217" s="7"/>
      <c r="L217" s="11"/>
      <c r="M217" s="11"/>
    </row>
    <row r="218" spans="2:13" ht="14.25" customHeight="1" x14ac:dyDescent="0.35">
      <c r="B218" s="7"/>
      <c r="C218" s="7"/>
      <c r="D218" s="7"/>
      <c r="E218" s="7"/>
      <c r="F218" s="7"/>
      <c r="G218" s="9"/>
      <c r="H218" s="9"/>
      <c r="J218" s="7"/>
      <c r="K218" s="7"/>
      <c r="L218" s="11"/>
      <c r="M218" s="11"/>
    </row>
    <row r="219" spans="2:13" ht="14.25" customHeight="1" x14ac:dyDescent="0.35">
      <c r="B219" s="7"/>
      <c r="C219" s="7"/>
      <c r="D219" s="7"/>
      <c r="E219" s="7"/>
      <c r="F219" s="7"/>
      <c r="G219" s="9"/>
      <c r="H219" s="9"/>
      <c r="J219" s="7"/>
      <c r="K219" s="7"/>
      <c r="L219" s="11"/>
      <c r="M219" s="11"/>
    </row>
    <row r="220" spans="2:13" ht="14.25" customHeight="1" x14ac:dyDescent="0.35">
      <c r="B220" s="7"/>
      <c r="C220" s="7"/>
      <c r="D220" s="7"/>
      <c r="E220" s="7"/>
      <c r="F220" s="7"/>
      <c r="G220" s="9"/>
      <c r="H220" s="9"/>
      <c r="J220" s="7"/>
      <c r="K220" s="7"/>
      <c r="L220" s="11"/>
      <c r="M220" s="11"/>
    </row>
    <row r="221" spans="2:13" ht="14.25" customHeight="1" x14ac:dyDescent="0.35">
      <c r="B221" s="7"/>
      <c r="C221" s="7"/>
      <c r="D221" s="7"/>
      <c r="E221" s="7"/>
      <c r="F221" s="7"/>
      <c r="G221" s="9"/>
      <c r="H221" s="9"/>
      <c r="J221" s="7"/>
      <c r="K221" s="7"/>
      <c r="L221" s="11"/>
      <c r="M221" s="11"/>
    </row>
    <row r="222" spans="2:13" ht="14.25" customHeight="1" x14ac:dyDescent="0.35">
      <c r="B222" s="7"/>
      <c r="C222" s="7"/>
      <c r="D222" s="7"/>
      <c r="E222" s="7"/>
      <c r="F222" s="7"/>
      <c r="G222" s="9"/>
      <c r="H222" s="9"/>
      <c r="J222" s="7"/>
      <c r="K222" s="7"/>
      <c r="L222" s="11"/>
      <c r="M222" s="11"/>
    </row>
    <row r="223" spans="2:13" ht="14.25" customHeight="1" x14ac:dyDescent="0.35">
      <c r="B223" s="7"/>
      <c r="C223" s="7"/>
      <c r="D223" s="7"/>
      <c r="E223" s="7"/>
      <c r="F223" s="7"/>
      <c r="G223" s="9"/>
      <c r="H223" s="9"/>
      <c r="J223" s="7"/>
      <c r="K223" s="7"/>
      <c r="L223" s="11"/>
      <c r="M223" s="11"/>
    </row>
    <row r="224" spans="2:13" ht="14.25" customHeight="1" x14ac:dyDescent="0.35">
      <c r="B224" s="7"/>
      <c r="C224" s="7"/>
      <c r="D224" s="7"/>
      <c r="E224" s="7"/>
      <c r="F224" s="7"/>
      <c r="G224" s="9"/>
      <c r="H224" s="9"/>
      <c r="J224" s="7"/>
      <c r="K224" s="7"/>
      <c r="L224" s="11"/>
      <c r="M224" s="11"/>
    </row>
    <row r="225" spans="2:13" ht="14.25" customHeight="1" x14ac:dyDescent="0.35">
      <c r="B225" s="7"/>
      <c r="C225" s="7"/>
      <c r="D225" s="7"/>
      <c r="E225" s="7"/>
      <c r="F225" s="7"/>
      <c r="G225" s="9"/>
      <c r="H225" s="9"/>
      <c r="J225" s="7"/>
      <c r="K225" s="7"/>
      <c r="L225" s="11"/>
      <c r="M225" s="11"/>
    </row>
    <row r="226" spans="2:13" ht="14.25" customHeight="1" x14ac:dyDescent="0.35">
      <c r="B226" s="7"/>
      <c r="C226" s="7"/>
      <c r="D226" s="7"/>
      <c r="E226" s="7"/>
      <c r="F226" s="7"/>
      <c r="G226" s="9"/>
      <c r="H226" s="9"/>
      <c r="J226" s="7"/>
      <c r="K226" s="7"/>
      <c r="L226" s="11"/>
      <c r="M226" s="11"/>
    </row>
    <row r="227" spans="2:13" ht="14.25" customHeight="1" x14ac:dyDescent="0.35">
      <c r="B227" s="7"/>
      <c r="C227" s="7"/>
      <c r="D227" s="7"/>
      <c r="E227" s="7"/>
      <c r="F227" s="7"/>
      <c r="G227" s="9"/>
      <c r="H227" s="9"/>
      <c r="J227" s="7"/>
      <c r="K227" s="7"/>
      <c r="L227" s="11"/>
      <c r="M227" s="11"/>
    </row>
    <row r="228" spans="2:13" ht="14.25" customHeight="1" x14ac:dyDescent="0.35">
      <c r="B228" s="7"/>
      <c r="C228" s="7"/>
      <c r="D228" s="7"/>
      <c r="E228" s="7"/>
      <c r="F228" s="7"/>
      <c r="G228" s="9"/>
      <c r="H228" s="9"/>
      <c r="J228" s="7"/>
      <c r="K228" s="7"/>
      <c r="L228" s="11"/>
      <c r="M228" s="11"/>
    </row>
    <row r="229" spans="2:13" ht="14.25" customHeight="1" x14ac:dyDescent="0.35">
      <c r="B229" s="7"/>
      <c r="C229" s="7"/>
      <c r="D229" s="7"/>
      <c r="E229" s="7"/>
      <c r="F229" s="7"/>
      <c r="G229" s="9"/>
      <c r="H229" s="9"/>
      <c r="J229" s="7"/>
      <c r="K229" s="7"/>
      <c r="L229" s="11"/>
      <c r="M229" s="11"/>
    </row>
    <row r="230" spans="2:13" ht="14.25" customHeight="1" x14ac:dyDescent="0.35">
      <c r="B230" s="7"/>
      <c r="C230" s="7"/>
      <c r="D230" s="7"/>
      <c r="E230" s="7"/>
      <c r="F230" s="7"/>
      <c r="G230" s="9"/>
      <c r="H230" s="9"/>
      <c r="J230" s="7"/>
      <c r="K230" s="7"/>
      <c r="L230" s="11"/>
      <c r="M230" s="11"/>
    </row>
    <row r="231" spans="2:13" ht="14.25" customHeight="1" x14ac:dyDescent="0.35">
      <c r="B231" s="7"/>
      <c r="C231" s="7"/>
      <c r="D231" s="7"/>
      <c r="E231" s="7"/>
      <c r="F231" s="7"/>
      <c r="G231" s="9"/>
      <c r="H231" s="9"/>
      <c r="J231" s="7"/>
      <c r="K231" s="7"/>
      <c r="L231" s="11"/>
      <c r="M231" s="11"/>
    </row>
    <row r="232" spans="2:13" ht="14.25" customHeight="1" x14ac:dyDescent="0.35">
      <c r="B232" s="7"/>
      <c r="C232" s="7"/>
      <c r="D232" s="7"/>
      <c r="E232" s="7"/>
      <c r="F232" s="7"/>
      <c r="G232" s="9"/>
      <c r="H232" s="9"/>
      <c r="J232" s="7"/>
      <c r="K232" s="7"/>
      <c r="L232" s="11"/>
      <c r="M232" s="11"/>
    </row>
    <row r="233" spans="2:13" ht="14.25" customHeight="1" x14ac:dyDescent="0.35">
      <c r="B233" s="7"/>
      <c r="C233" s="7"/>
      <c r="D233" s="7"/>
      <c r="E233" s="7"/>
      <c r="F233" s="7"/>
      <c r="G233" s="9"/>
      <c r="H233" s="9"/>
      <c r="J233" s="7"/>
      <c r="K233" s="7"/>
      <c r="L233" s="11"/>
      <c r="M233" s="11"/>
    </row>
    <row r="234" spans="2:13" ht="14.25" customHeight="1" x14ac:dyDescent="0.35">
      <c r="B234" s="7"/>
      <c r="C234" s="7"/>
      <c r="D234" s="7"/>
      <c r="E234" s="7"/>
      <c r="F234" s="7"/>
      <c r="G234" s="9"/>
      <c r="H234" s="9"/>
      <c r="J234" s="7"/>
      <c r="K234" s="7"/>
      <c r="L234" s="11"/>
      <c r="M234" s="11"/>
    </row>
    <row r="235" spans="2:13" ht="14.25" customHeight="1" x14ac:dyDescent="0.35">
      <c r="B235" s="7"/>
      <c r="C235" s="7"/>
      <c r="D235" s="7"/>
      <c r="E235" s="7"/>
      <c r="F235" s="7"/>
      <c r="G235" s="9"/>
      <c r="H235" s="9"/>
      <c r="J235" s="7"/>
      <c r="K235" s="7"/>
      <c r="L235" s="11"/>
      <c r="M235" s="11"/>
    </row>
    <row r="236" spans="2:13" ht="14.25" customHeight="1" x14ac:dyDescent="0.35">
      <c r="B236" s="7"/>
      <c r="C236" s="7"/>
      <c r="D236" s="7"/>
      <c r="E236" s="7"/>
      <c r="F236" s="7"/>
      <c r="G236" s="9"/>
      <c r="H236" s="9"/>
      <c r="J236" s="7"/>
      <c r="K236" s="7"/>
      <c r="L236" s="11"/>
      <c r="M236" s="11"/>
    </row>
    <row r="237" spans="2:13" ht="14.25" customHeight="1" x14ac:dyDescent="0.35">
      <c r="B237" s="7"/>
      <c r="C237" s="7"/>
      <c r="D237" s="7"/>
      <c r="E237" s="7"/>
      <c r="F237" s="7"/>
      <c r="G237" s="9"/>
      <c r="H237" s="9"/>
      <c r="J237" s="7"/>
      <c r="K237" s="7"/>
      <c r="L237" s="11"/>
      <c r="M237" s="11"/>
    </row>
    <row r="238" spans="2:13" ht="14.25" customHeight="1" x14ac:dyDescent="0.35">
      <c r="B238" s="7"/>
      <c r="C238" s="7"/>
      <c r="D238" s="7"/>
      <c r="E238" s="7"/>
      <c r="F238" s="7"/>
      <c r="G238" s="9"/>
      <c r="H238" s="9"/>
      <c r="J238" s="7"/>
      <c r="K238" s="7"/>
      <c r="L238" s="11"/>
      <c r="M238" s="11"/>
    </row>
    <row r="239" spans="2:13" ht="14.25" customHeight="1" x14ac:dyDescent="0.35">
      <c r="B239" s="7"/>
      <c r="C239" s="7"/>
      <c r="D239" s="7"/>
      <c r="E239" s="7"/>
      <c r="F239" s="7"/>
      <c r="G239" s="9"/>
      <c r="H239" s="9"/>
      <c r="J239" s="7"/>
      <c r="K239" s="7"/>
      <c r="L239" s="11"/>
      <c r="M239" s="11"/>
    </row>
    <row r="240" spans="2:13" ht="14.25" customHeight="1" x14ac:dyDescent="0.35">
      <c r="B240" s="7"/>
      <c r="C240" s="7"/>
      <c r="D240" s="7"/>
      <c r="E240" s="7"/>
      <c r="F240" s="7"/>
      <c r="G240" s="9"/>
      <c r="H240" s="9"/>
      <c r="J240" s="7"/>
      <c r="K240" s="7"/>
      <c r="L240" s="11"/>
      <c r="M240" s="11"/>
    </row>
    <row r="241" spans="2:13" ht="14.25" customHeight="1" x14ac:dyDescent="0.35">
      <c r="B241" s="7"/>
      <c r="C241" s="7"/>
      <c r="D241" s="7"/>
      <c r="E241" s="7"/>
      <c r="F241" s="7"/>
      <c r="G241" s="9"/>
      <c r="H241" s="9"/>
      <c r="J241" s="7"/>
      <c r="K241" s="7"/>
      <c r="L241" s="11"/>
      <c r="M241" s="11"/>
    </row>
    <row r="242" spans="2:13" ht="14.25" customHeight="1" x14ac:dyDescent="0.35">
      <c r="B242" s="7"/>
      <c r="C242" s="7"/>
      <c r="D242" s="7"/>
      <c r="E242" s="7"/>
      <c r="F242" s="7"/>
      <c r="G242" s="9"/>
      <c r="H242" s="9"/>
      <c r="J242" s="7"/>
      <c r="K242" s="7"/>
      <c r="L242" s="11"/>
      <c r="M242" s="11"/>
    </row>
    <row r="243" spans="2:13" ht="14.25" customHeight="1" x14ac:dyDescent="0.35">
      <c r="B243" s="7"/>
      <c r="C243" s="7"/>
      <c r="D243" s="7"/>
      <c r="E243" s="7"/>
      <c r="F243" s="7"/>
      <c r="G243" s="9"/>
      <c r="H243" s="9"/>
      <c r="J243" s="7"/>
      <c r="K243" s="7"/>
      <c r="L243" s="11"/>
      <c r="M243" s="11"/>
    </row>
    <row r="244" spans="2:13" ht="14.25" customHeight="1" x14ac:dyDescent="0.35">
      <c r="B244" s="7"/>
      <c r="C244" s="7"/>
      <c r="D244" s="7"/>
      <c r="E244" s="7"/>
      <c r="F244" s="7"/>
      <c r="G244" s="9"/>
      <c r="H244" s="9"/>
      <c r="J244" s="7"/>
      <c r="K244" s="7"/>
      <c r="L244" s="11"/>
      <c r="M244" s="11"/>
    </row>
    <row r="245" spans="2:13" ht="14.25" customHeight="1" x14ac:dyDescent="0.35">
      <c r="B245" s="7"/>
      <c r="C245" s="7"/>
      <c r="D245" s="7"/>
      <c r="E245" s="7"/>
      <c r="F245" s="7"/>
      <c r="G245" s="9"/>
      <c r="H245" s="9"/>
      <c r="J245" s="7"/>
      <c r="K245" s="7"/>
      <c r="L245" s="11"/>
      <c r="M245" s="11"/>
    </row>
    <row r="246" spans="2:13" ht="14.25" customHeight="1" x14ac:dyDescent="0.35">
      <c r="B246" s="7"/>
      <c r="C246" s="7"/>
      <c r="D246" s="7"/>
      <c r="E246" s="7"/>
      <c r="F246" s="7"/>
      <c r="G246" s="9"/>
      <c r="H246" s="9"/>
      <c r="J246" s="7"/>
      <c r="K246" s="7"/>
      <c r="L246" s="11"/>
      <c r="M246" s="11"/>
    </row>
    <row r="247" spans="2:13" ht="14.25" customHeight="1" x14ac:dyDescent="0.35">
      <c r="B247" s="7"/>
      <c r="C247" s="7"/>
      <c r="D247" s="7"/>
      <c r="E247" s="7"/>
      <c r="F247" s="7"/>
      <c r="G247" s="9"/>
      <c r="H247" s="9"/>
      <c r="J247" s="7"/>
      <c r="K247" s="7"/>
      <c r="L247" s="11"/>
      <c r="M247" s="11"/>
    </row>
    <row r="248" spans="2:13" ht="14.25" customHeight="1" x14ac:dyDescent="0.35">
      <c r="B248" s="7"/>
      <c r="C248" s="7"/>
      <c r="D248" s="7"/>
      <c r="E248" s="7"/>
      <c r="F248" s="7"/>
      <c r="G248" s="9"/>
      <c r="H248" s="9"/>
      <c r="J248" s="7"/>
      <c r="K248" s="7"/>
      <c r="L248" s="11"/>
      <c r="M248" s="11"/>
    </row>
    <row r="249" spans="2:13" ht="14.25" customHeight="1" x14ac:dyDescent="0.35">
      <c r="B249" s="7"/>
      <c r="C249" s="7"/>
      <c r="D249" s="7"/>
      <c r="E249" s="7"/>
      <c r="F249" s="7"/>
      <c r="G249" s="9"/>
      <c r="H249" s="9"/>
      <c r="J249" s="7"/>
      <c r="K249" s="7"/>
      <c r="L249" s="11"/>
      <c r="M249" s="11"/>
    </row>
    <row r="250" spans="2:13" ht="14.25" customHeight="1" x14ac:dyDescent="0.35">
      <c r="B250" s="7"/>
      <c r="C250" s="7"/>
      <c r="D250" s="7"/>
      <c r="E250" s="7"/>
      <c r="F250" s="7"/>
      <c r="G250" s="9"/>
      <c r="H250" s="9"/>
      <c r="J250" s="7"/>
      <c r="K250" s="7"/>
      <c r="L250" s="11"/>
      <c r="M250" s="11"/>
    </row>
    <row r="251" spans="2:13" ht="14.25" customHeight="1" x14ac:dyDescent="0.35">
      <c r="B251" s="7"/>
      <c r="C251" s="7"/>
      <c r="D251" s="7"/>
      <c r="E251" s="7"/>
      <c r="F251" s="7"/>
      <c r="G251" s="9"/>
      <c r="H251" s="9"/>
      <c r="J251" s="7"/>
      <c r="K251" s="7"/>
      <c r="L251" s="11"/>
      <c r="M251" s="11"/>
    </row>
    <row r="252" spans="2:13" ht="14.25" customHeight="1" x14ac:dyDescent="0.35">
      <c r="B252" s="7"/>
      <c r="C252" s="7"/>
      <c r="D252" s="7"/>
      <c r="E252" s="7"/>
      <c r="F252" s="7"/>
      <c r="G252" s="9"/>
      <c r="H252" s="9"/>
      <c r="J252" s="7"/>
      <c r="K252" s="7"/>
      <c r="L252" s="11"/>
      <c r="M252" s="11"/>
    </row>
    <row r="253" spans="2:13" ht="14.25" customHeight="1" x14ac:dyDescent="0.35">
      <c r="B253" s="7"/>
      <c r="C253" s="7"/>
      <c r="D253" s="7"/>
      <c r="E253" s="7"/>
      <c r="F253" s="7"/>
      <c r="G253" s="9"/>
      <c r="H253" s="9"/>
      <c r="J253" s="7"/>
      <c r="K253" s="7"/>
      <c r="L253" s="11"/>
      <c r="M253" s="11"/>
    </row>
    <row r="254" spans="2:13" ht="14.25" customHeight="1" x14ac:dyDescent="0.35">
      <c r="B254" s="7"/>
      <c r="C254" s="7"/>
      <c r="D254" s="7"/>
      <c r="E254" s="7"/>
      <c r="F254" s="7"/>
      <c r="G254" s="9"/>
      <c r="H254" s="9"/>
      <c r="J254" s="7"/>
      <c r="K254" s="7"/>
      <c r="L254" s="11"/>
      <c r="M254" s="11"/>
    </row>
    <row r="255" spans="2:13" ht="14.25" customHeight="1" x14ac:dyDescent="0.35">
      <c r="B255" s="7"/>
      <c r="C255" s="7"/>
      <c r="D255" s="7"/>
      <c r="E255" s="7"/>
      <c r="F255" s="7"/>
      <c r="G255" s="9"/>
      <c r="H255" s="9"/>
      <c r="J255" s="7"/>
      <c r="K255" s="7"/>
      <c r="L255" s="11"/>
      <c r="M255" s="11"/>
    </row>
    <row r="256" spans="2:13" ht="14.25" customHeight="1" x14ac:dyDescent="0.35">
      <c r="B256" s="7"/>
      <c r="C256" s="7"/>
      <c r="D256" s="7"/>
      <c r="E256" s="7"/>
      <c r="F256" s="7"/>
      <c r="G256" s="9"/>
      <c r="H256" s="9"/>
      <c r="J256" s="7"/>
      <c r="K256" s="7"/>
      <c r="L256" s="11"/>
      <c r="M256" s="11"/>
    </row>
    <row r="257" spans="2:13" ht="14.25" customHeight="1" x14ac:dyDescent="0.35">
      <c r="B257" s="7"/>
      <c r="C257" s="7"/>
      <c r="D257" s="7"/>
      <c r="E257" s="7"/>
      <c r="F257" s="7"/>
      <c r="G257" s="9"/>
      <c r="H257" s="9"/>
      <c r="J257" s="7"/>
      <c r="K257" s="7"/>
      <c r="L257" s="11"/>
      <c r="M257" s="11"/>
    </row>
    <row r="258" spans="2:13" ht="14.25" customHeight="1" x14ac:dyDescent="0.35">
      <c r="B258" s="7"/>
      <c r="C258" s="7"/>
      <c r="D258" s="7"/>
      <c r="E258" s="7"/>
      <c r="F258" s="7"/>
      <c r="G258" s="9"/>
      <c r="H258" s="9"/>
      <c r="J258" s="7"/>
      <c r="K258" s="7"/>
      <c r="L258" s="11"/>
      <c r="M258" s="11"/>
    </row>
    <row r="259" spans="2:13" ht="14.25" customHeight="1" x14ac:dyDescent="0.35">
      <c r="B259" s="7"/>
      <c r="C259" s="7"/>
      <c r="D259" s="7"/>
      <c r="E259" s="7"/>
      <c r="F259" s="7"/>
      <c r="G259" s="9"/>
      <c r="H259" s="9"/>
      <c r="J259" s="7"/>
      <c r="K259" s="7"/>
      <c r="L259" s="11"/>
      <c r="M259" s="11"/>
    </row>
    <row r="260" spans="2:13" ht="14.25" customHeight="1" x14ac:dyDescent="0.35">
      <c r="B260" s="7"/>
      <c r="C260" s="7"/>
      <c r="D260" s="7"/>
      <c r="E260" s="7"/>
      <c r="F260" s="7"/>
      <c r="G260" s="9"/>
      <c r="H260" s="9"/>
      <c r="J260" s="7"/>
      <c r="K260" s="7"/>
      <c r="L260" s="11"/>
      <c r="M260" s="11"/>
    </row>
    <row r="261" spans="2:13" ht="14.25" customHeight="1" x14ac:dyDescent="0.35">
      <c r="B261" s="7"/>
      <c r="C261" s="7"/>
      <c r="D261" s="7"/>
      <c r="E261" s="7"/>
      <c r="F261" s="7"/>
      <c r="G261" s="9"/>
      <c r="H261" s="9"/>
      <c r="J261" s="7"/>
      <c r="K261" s="7"/>
      <c r="L261" s="11"/>
      <c r="M261" s="11"/>
    </row>
    <row r="262" spans="2:13" ht="14.25" customHeight="1" x14ac:dyDescent="0.35">
      <c r="B262" s="7"/>
      <c r="C262" s="7"/>
      <c r="D262" s="7"/>
      <c r="E262" s="7"/>
      <c r="F262" s="7"/>
      <c r="G262" s="9"/>
      <c r="H262" s="9"/>
      <c r="J262" s="7"/>
      <c r="K262" s="7"/>
      <c r="L262" s="11"/>
      <c r="M262" s="11"/>
    </row>
    <row r="263" spans="2:13" ht="14.25" customHeight="1" x14ac:dyDescent="0.35">
      <c r="B263" s="7"/>
      <c r="C263" s="7"/>
      <c r="D263" s="7"/>
      <c r="E263" s="7"/>
      <c r="F263" s="7"/>
      <c r="G263" s="9"/>
      <c r="H263" s="9"/>
      <c r="J263" s="7"/>
      <c r="K263" s="7"/>
      <c r="L263" s="11"/>
      <c r="M263" s="11"/>
    </row>
    <row r="264" spans="2:13" ht="14.25" customHeight="1" x14ac:dyDescent="0.35">
      <c r="B264" s="7"/>
      <c r="C264" s="7"/>
      <c r="D264" s="7"/>
      <c r="E264" s="7"/>
      <c r="F264" s="7"/>
      <c r="G264" s="9"/>
      <c r="H264" s="9"/>
      <c r="J264" s="7"/>
      <c r="K264" s="7"/>
      <c r="L264" s="11"/>
      <c r="M264" s="11"/>
    </row>
    <row r="265" spans="2:13" ht="14.25" customHeight="1" x14ac:dyDescent="0.35">
      <c r="B265" s="7"/>
      <c r="C265" s="7"/>
      <c r="D265" s="7"/>
      <c r="E265" s="7"/>
      <c r="F265" s="7"/>
      <c r="G265" s="9"/>
      <c r="H265" s="9"/>
      <c r="J265" s="7"/>
      <c r="K265" s="7"/>
      <c r="L265" s="11"/>
      <c r="M265" s="11"/>
    </row>
    <row r="266" spans="2:13" ht="14.25" customHeight="1" x14ac:dyDescent="0.35">
      <c r="B266" s="7"/>
      <c r="C266" s="7"/>
      <c r="D266" s="7"/>
      <c r="E266" s="7"/>
      <c r="F266" s="7"/>
      <c r="G266" s="9"/>
      <c r="H266" s="9"/>
      <c r="J266" s="7"/>
      <c r="K266" s="7"/>
      <c r="L266" s="11"/>
      <c r="M266" s="11"/>
    </row>
    <row r="267" spans="2:13" ht="14.25" customHeight="1" x14ac:dyDescent="0.35">
      <c r="B267" s="7"/>
      <c r="C267" s="7"/>
      <c r="D267" s="7"/>
      <c r="E267" s="7"/>
      <c r="F267" s="7"/>
      <c r="G267" s="9"/>
      <c r="H267" s="9"/>
      <c r="J267" s="7"/>
      <c r="K267" s="7"/>
      <c r="L267" s="11"/>
      <c r="M267" s="11"/>
    </row>
    <row r="268" spans="2:13" ht="14.25" customHeight="1" x14ac:dyDescent="0.35">
      <c r="B268" s="7"/>
      <c r="C268" s="7"/>
      <c r="D268" s="7"/>
      <c r="E268" s="7"/>
      <c r="F268" s="7"/>
      <c r="G268" s="9"/>
      <c r="H268" s="9"/>
      <c r="J268" s="7"/>
      <c r="K268" s="7"/>
      <c r="L268" s="11"/>
      <c r="M268" s="11"/>
    </row>
    <row r="269" spans="2:13" ht="14.25" customHeight="1" x14ac:dyDescent="0.35">
      <c r="B269" s="7"/>
      <c r="C269" s="7"/>
      <c r="D269" s="7"/>
      <c r="E269" s="7"/>
      <c r="F269" s="7"/>
      <c r="G269" s="9"/>
      <c r="H269" s="9"/>
      <c r="J269" s="7"/>
      <c r="K269" s="7"/>
      <c r="L269" s="11"/>
      <c r="M269" s="11"/>
    </row>
    <row r="270" spans="2:13" ht="14.25" customHeight="1" x14ac:dyDescent="0.35">
      <c r="B270" s="7"/>
      <c r="C270" s="7"/>
      <c r="D270" s="7"/>
      <c r="E270" s="7"/>
      <c r="F270" s="7"/>
      <c r="G270" s="9"/>
      <c r="H270" s="9"/>
      <c r="J270" s="7"/>
      <c r="K270" s="7"/>
      <c r="L270" s="11"/>
      <c r="M270" s="11"/>
    </row>
    <row r="271" spans="2:13" ht="14.25" customHeight="1" x14ac:dyDescent="0.35">
      <c r="B271" s="7"/>
      <c r="C271" s="7"/>
      <c r="D271" s="7"/>
      <c r="E271" s="7"/>
      <c r="F271" s="7"/>
      <c r="G271" s="9"/>
      <c r="H271" s="9"/>
      <c r="J271" s="7"/>
      <c r="K271" s="7"/>
      <c r="L271" s="11"/>
      <c r="M271" s="11"/>
    </row>
    <row r="272" spans="2:13" ht="14.25" customHeight="1" x14ac:dyDescent="0.35">
      <c r="B272" s="7"/>
      <c r="C272" s="7"/>
      <c r="D272" s="7"/>
      <c r="E272" s="7"/>
      <c r="F272" s="7"/>
      <c r="G272" s="9"/>
      <c r="H272" s="9"/>
      <c r="J272" s="7"/>
      <c r="K272" s="7"/>
      <c r="L272" s="11"/>
      <c r="M272" s="11"/>
    </row>
    <row r="273" spans="2:13" ht="14.25" customHeight="1" x14ac:dyDescent="0.35">
      <c r="B273" s="7"/>
      <c r="C273" s="7"/>
      <c r="D273" s="7"/>
      <c r="E273" s="7"/>
      <c r="F273" s="7"/>
      <c r="G273" s="9"/>
      <c r="H273" s="9"/>
      <c r="J273" s="7"/>
      <c r="K273" s="7"/>
      <c r="L273" s="11"/>
      <c r="M273" s="11"/>
    </row>
    <row r="274" spans="2:13" ht="14.25" customHeight="1" x14ac:dyDescent="0.35">
      <c r="B274" s="7"/>
      <c r="C274" s="7"/>
      <c r="D274" s="7"/>
      <c r="E274" s="7"/>
      <c r="F274" s="7"/>
      <c r="G274" s="9"/>
      <c r="H274" s="9"/>
      <c r="J274" s="7"/>
      <c r="K274" s="7"/>
      <c r="L274" s="11"/>
      <c r="M274" s="11"/>
    </row>
    <row r="275" spans="2:13" ht="14.25" customHeight="1" x14ac:dyDescent="0.35">
      <c r="B275" s="7"/>
      <c r="C275" s="7"/>
      <c r="D275" s="7"/>
      <c r="E275" s="7"/>
      <c r="F275" s="7"/>
      <c r="G275" s="9"/>
      <c r="H275" s="9"/>
      <c r="J275" s="7"/>
      <c r="K275" s="7"/>
      <c r="L275" s="11"/>
      <c r="M275" s="11"/>
    </row>
    <row r="276" spans="2:13" ht="14.25" customHeight="1" x14ac:dyDescent="0.35">
      <c r="B276" s="7"/>
      <c r="C276" s="7"/>
      <c r="D276" s="7"/>
      <c r="E276" s="7"/>
      <c r="F276" s="7"/>
      <c r="G276" s="9"/>
      <c r="H276" s="9"/>
      <c r="J276" s="7"/>
      <c r="K276" s="7"/>
      <c r="L276" s="11"/>
      <c r="M276" s="11"/>
    </row>
    <row r="277" spans="2:13" ht="14.25" customHeight="1" x14ac:dyDescent="0.35">
      <c r="B277" s="7"/>
      <c r="C277" s="7"/>
      <c r="D277" s="7"/>
      <c r="E277" s="7"/>
      <c r="F277" s="7"/>
      <c r="G277" s="9"/>
      <c r="H277" s="9"/>
      <c r="J277" s="7"/>
      <c r="K277" s="7"/>
      <c r="L277" s="11"/>
      <c r="M277" s="11"/>
    </row>
    <row r="278" spans="2:13" ht="14.25" customHeight="1" x14ac:dyDescent="0.35">
      <c r="B278" s="7"/>
      <c r="C278" s="7"/>
      <c r="D278" s="7"/>
      <c r="E278" s="7"/>
      <c r="F278" s="7"/>
      <c r="G278" s="9"/>
      <c r="H278" s="9"/>
      <c r="J278" s="7"/>
      <c r="K278" s="7"/>
      <c r="L278" s="11"/>
      <c r="M278" s="11"/>
    </row>
    <row r="279" spans="2:13" ht="14.25" customHeight="1" x14ac:dyDescent="0.35">
      <c r="B279" s="7"/>
      <c r="C279" s="7"/>
      <c r="D279" s="7"/>
      <c r="E279" s="7"/>
      <c r="F279" s="7"/>
      <c r="G279" s="9"/>
      <c r="H279" s="9"/>
      <c r="J279" s="7"/>
      <c r="K279" s="7"/>
      <c r="L279" s="11"/>
      <c r="M279" s="11"/>
    </row>
    <row r="280" spans="2:13" ht="14.25" customHeight="1" x14ac:dyDescent="0.35">
      <c r="B280" s="7"/>
      <c r="C280" s="7"/>
      <c r="D280" s="7"/>
      <c r="E280" s="7"/>
      <c r="F280" s="7"/>
      <c r="G280" s="9"/>
      <c r="H280" s="9"/>
      <c r="J280" s="7"/>
      <c r="K280" s="7"/>
      <c r="L280" s="11"/>
      <c r="M280" s="11"/>
    </row>
    <row r="281" spans="2:13" ht="14.25" customHeight="1" x14ac:dyDescent="0.35">
      <c r="B281" s="7"/>
      <c r="C281" s="7"/>
      <c r="D281" s="7"/>
      <c r="E281" s="7"/>
      <c r="F281" s="7"/>
      <c r="G281" s="9"/>
      <c r="H281" s="9"/>
      <c r="J281" s="7"/>
      <c r="K281" s="7"/>
      <c r="L281" s="11"/>
      <c r="M281" s="11"/>
    </row>
    <row r="282" spans="2:13" ht="14.25" customHeight="1" x14ac:dyDescent="0.35">
      <c r="B282" s="7"/>
      <c r="C282" s="7"/>
      <c r="D282" s="7"/>
      <c r="E282" s="7"/>
      <c r="F282" s="7"/>
      <c r="G282" s="9"/>
      <c r="H282" s="9"/>
      <c r="J282" s="7"/>
      <c r="K282" s="7"/>
      <c r="L282" s="11"/>
      <c r="M282" s="11"/>
    </row>
    <row r="283" spans="2:13" ht="14.25" customHeight="1" x14ac:dyDescent="0.35">
      <c r="B283" s="7"/>
      <c r="C283" s="7"/>
      <c r="D283" s="7"/>
      <c r="E283" s="7"/>
      <c r="F283" s="7"/>
      <c r="G283" s="9"/>
      <c r="H283" s="9"/>
      <c r="J283" s="7"/>
      <c r="K283" s="7"/>
      <c r="L283" s="11"/>
      <c r="M283" s="11"/>
    </row>
    <row r="284" spans="2:13" ht="14.25" customHeight="1" x14ac:dyDescent="0.35">
      <c r="B284" s="7"/>
      <c r="C284" s="7"/>
      <c r="D284" s="7"/>
      <c r="E284" s="7"/>
      <c r="F284" s="7"/>
      <c r="G284" s="9"/>
      <c r="H284" s="9"/>
      <c r="J284" s="7"/>
      <c r="K284" s="7"/>
      <c r="L284" s="11"/>
      <c r="M284" s="11"/>
    </row>
    <row r="285" spans="2:13" ht="14.25" customHeight="1" x14ac:dyDescent="0.35">
      <c r="B285" s="7"/>
      <c r="C285" s="7"/>
      <c r="D285" s="7"/>
      <c r="E285" s="7"/>
      <c r="F285" s="7"/>
      <c r="G285" s="9"/>
      <c r="H285" s="9"/>
      <c r="J285" s="7"/>
      <c r="K285" s="7"/>
      <c r="L285" s="11"/>
      <c r="M285" s="11"/>
    </row>
    <row r="286" spans="2:13" ht="14.25" customHeight="1" x14ac:dyDescent="0.35">
      <c r="B286" s="7"/>
      <c r="C286" s="7"/>
      <c r="D286" s="7"/>
      <c r="E286" s="7"/>
      <c r="F286" s="7"/>
      <c r="G286" s="9"/>
      <c r="H286" s="9"/>
      <c r="J286" s="7"/>
      <c r="K286" s="7"/>
      <c r="L286" s="11"/>
      <c r="M286" s="11"/>
    </row>
    <row r="287" spans="2:13" ht="14.25" customHeight="1" x14ac:dyDescent="0.35">
      <c r="B287" s="7"/>
      <c r="C287" s="7"/>
      <c r="D287" s="7"/>
      <c r="E287" s="7"/>
      <c r="F287" s="7"/>
      <c r="G287" s="9"/>
      <c r="H287" s="9"/>
      <c r="J287" s="7"/>
      <c r="K287" s="7"/>
      <c r="L287" s="11"/>
      <c r="M287" s="11"/>
    </row>
    <row r="288" spans="2:13" ht="14.25" customHeight="1" x14ac:dyDescent="0.35">
      <c r="B288" s="7"/>
      <c r="C288" s="7"/>
      <c r="D288" s="7"/>
      <c r="E288" s="7"/>
      <c r="F288" s="7"/>
      <c r="G288" s="9"/>
      <c r="H288" s="9"/>
      <c r="J288" s="7"/>
      <c r="K288" s="7"/>
      <c r="L288" s="11"/>
      <c r="M288" s="11"/>
    </row>
    <row r="289" spans="2:13" ht="14.25" customHeight="1" x14ac:dyDescent="0.35">
      <c r="B289" s="7"/>
      <c r="C289" s="7"/>
      <c r="D289" s="7"/>
      <c r="E289" s="7"/>
      <c r="F289" s="7"/>
      <c r="G289" s="9"/>
      <c r="H289" s="9"/>
      <c r="J289" s="7"/>
      <c r="K289" s="7"/>
      <c r="L289" s="11"/>
      <c r="M289" s="11"/>
    </row>
    <row r="290" spans="2:13" ht="14.25" customHeight="1" x14ac:dyDescent="0.35">
      <c r="B290" s="7"/>
      <c r="C290" s="7"/>
      <c r="D290" s="7"/>
      <c r="E290" s="7"/>
      <c r="F290" s="7"/>
      <c r="G290" s="9"/>
      <c r="H290" s="9"/>
      <c r="J290" s="7"/>
      <c r="K290" s="7"/>
      <c r="L290" s="11"/>
      <c r="M290" s="11"/>
    </row>
    <row r="291" spans="2:13" ht="14.25" customHeight="1" x14ac:dyDescent="0.35">
      <c r="B291" s="7"/>
      <c r="C291" s="7"/>
      <c r="D291" s="7"/>
      <c r="E291" s="7"/>
      <c r="F291" s="7"/>
      <c r="G291" s="9"/>
      <c r="H291" s="9"/>
      <c r="J291" s="7"/>
      <c r="K291" s="7"/>
      <c r="L291" s="11"/>
      <c r="M291" s="11"/>
    </row>
    <row r="292" spans="2:13" ht="14.25" customHeight="1" x14ac:dyDescent="0.35">
      <c r="B292" s="7"/>
      <c r="C292" s="7"/>
      <c r="D292" s="7"/>
      <c r="E292" s="7"/>
      <c r="F292" s="7"/>
      <c r="G292" s="9"/>
      <c r="H292" s="9"/>
      <c r="J292" s="7"/>
      <c r="K292" s="7"/>
      <c r="L292" s="11"/>
      <c r="M292" s="11"/>
    </row>
    <row r="293" spans="2:13" ht="14.25" customHeight="1" x14ac:dyDescent="0.35">
      <c r="B293" s="7"/>
      <c r="C293" s="7"/>
      <c r="D293" s="7"/>
      <c r="E293" s="7"/>
      <c r="F293" s="7"/>
      <c r="G293" s="9"/>
      <c r="H293" s="9"/>
      <c r="J293" s="7"/>
      <c r="K293" s="7"/>
      <c r="L293" s="11"/>
      <c r="M293" s="11"/>
    </row>
    <row r="294" spans="2:13" ht="14.25" customHeight="1" x14ac:dyDescent="0.35">
      <c r="B294" s="7"/>
      <c r="C294" s="7"/>
      <c r="D294" s="7"/>
      <c r="E294" s="7"/>
      <c r="F294" s="7"/>
      <c r="G294" s="9"/>
      <c r="H294" s="9"/>
      <c r="J294" s="7"/>
      <c r="K294" s="7"/>
      <c r="L294" s="11"/>
      <c r="M294" s="11"/>
    </row>
    <row r="295" spans="2:13" ht="14.25" customHeight="1" x14ac:dyDescent="0.35">
      <c r="B295" s="7"/>
      <c r="C295" s="7"/>
      <c r="D295" s="7"/>
      <c r="E295" s="7"/>
      <c r="F295" s="7"/>
      <c r="G295" s="9"/>
      <c r="H295" s="9"/>
      <c r="J295" s="7"/>
      <c r="K295" s="7"/>
      <c r="L295" s="11"/>
      <c r="M295" s="11"/>
    </row>
    <row r="296" spans="2:13" ht="14.25" customHeight="1" x14ac:dyDescent="0.35">
      <c r="B296" s="7"/>
      <c r="C296" s="7"/>
      <c r="D296" s="7"/>
      <c r="E296" s="7"/>
      <c r="F296" s="7"/>
      <c r="G296" s="9"/>
      <c r="H296" s="9"/>
      <c r="J296" s="7"/>
      <c r="K296" s="7"/>
      <c r="L296" s="11"/>
      <c r="M296" s="11"/>
    </row>
    <row r="297" spans="2:13" ht="14.25" customHeight="1" x14ac:dyDescent="0.35">
      <c r="B297" s="7"/>
      <c r="C297" s="7"/>
      <c r="D297" s="7"/>
      <c r="E297" s="7"/>
      <c r="F297" s="7"/>
      <c r="G297" s="9"/>
      <c r="H297" s="9"/>
      <c r="J297" s="7"/>
      <c r="K297" s="7"/>
      <c r="L297" s="11"/>
      <c r="M297" s="11"/>
    </row>
    <row r="298" spans="2:13" ht="14.25" customHeight="1" x14ac:dyDescent="0.35">
      <c r="B298" s="7"/>
      <c r="C298" s="7"/>
      <c r="D298" s="7"/>
      <c r="E298" s="7"/>
      <c r="F298" s="7"/>
      <c r="G298" s="9"/>
      <c r="H298" s="9"/>
      <c r="J298" s="7"/>
      <c r="K298" s="7"/>
      <c r="L298" s="11"/>
      <c r="M298" s="11"/>
    </row>
    <row r="299" spans="2:13" ht="14.25" customHeight="1" x14ac:dyDescent="0.35">
      <c r="B299" s="7"/>
      <c r="C299" s="7"/>
      <c r="D299" s="7"/>
      <c r="E299" s="7"/>
      <c r="F299" s="7"/>
      <c r="G299" s="9"/>
      <c r="H299" s="9"/>
      <c r="J299" s="7"/>
      <c r="K299" s="7"/>
      <c r="L299" s="11"/>
      <c r="M299" s="11"/>
    </row>
    <row r="300" spans="2:13" ht="14.25" customHeight="1" x14ac:dyDescent="0.35">
      <c r="B300" s="7"/>
      <c r="C300" s="7"/>
      <c r="D300" s="7"/>
      <c r="E300" s="7"/>
      <c r="F300" s="7"/>
      <c r="G300" s="9"/>
      <c r="H300" s="9"/>
      <c r="J300" s="7"/>
      <c r="K300" s="7"/>
      <c r="L300" s="11"/>
      <c r="M300" s="11"/>
    </row>
    <row r="301" spans="2:13" ht="14.25" customHeight="1" x14ac:dyDescent="0.35">
      <c r="B301" s="7"/>
      <c r="C301" s="7"/>
      <c r="D301" s="7"/>
      <c r="E301" s="7"/>
      <c r="F301" s="7"/>
      <c r="G301" s="9"/>
      <c r="H301" s="9"/>
      <c r="J301" s="7"/>
      <c r="K301" s="7"/>
      <c r="L301" s="11"/>
      <c r="M301" s="11"/>
    </row>
    <row r="302" spans="2:13" ht="14.25" customHeight="1" x14ac:dyDescent="0.35">
      <c r="B302" s="7"/>
      <c r="C302" s="7"/>
      <c r="D302" s="7"/>
      <c r="E302" s="7"/>
      <c r="F302" s="7"/>
      <c r="G302" s="9"/>
      <c r="H302" s="9"/>
      <c r="J302" s="7"/>
      <c r="K302" s="7"/>
      <c r="L302" s="11"/>
      <c r="M302" s="11"/>
    </row>
    <row r="303" spans="2:13" ht="14.25" customHeight="1" x14ac:dyDescent="0.35">
      <c r="B303" s="7"/>
      <c r="C303" s="7"/>
      <c r="D303" s="7"/>
      <c r="E303" s="7"/>
      <c r="F303" s="7"/>
      <c r="G303" s="9"/>
      <c r="H303" s="9"/>
      <c r="J303" s="7"/>
      <c r="K303" s="7"/>
      <c r="L303" s="11"/>
      <c r="M303" s="11"/>
    </row>
    <row r="304" spans="2:13" ht="14.25" customHeight="1" x14ac:dyDescent="0.35">
      <c r="B304" s="7"/>
      <c r="C304" s="7"/>
      <c r="D304" s="7"/>
      <c r="E304" s="7"/>
      <c r="F304" s="7"/>
      <c r="G304" s="9"/>
      <c r="H304" s="9"/>
      <c r="J304" s="7"/>
      <c r="K304" s="7"/>
      <c r="L304" s="11"/>
      <c r="M304" s="11"/>
    </row>
    <row r="305" spans="2:13" ht="14.25" customHeight="1" x14ac:dyDescent="0.35">
      <c r="B305" s="7"/>
      <c r="C305" s="7"/>
      <c r="D305" s="7"/>
      <c r="E305" s="7"/>
      <c r="F305" s="7"/>
      <c r="G305" s="9"/>
      <c r="H305" s="9"/>
      <c r="J305" s="7"/>
      <c r="K305" s="7"/>
      <c r="L305" s="11"/>
      <c r="M305" s="11"/>
    </row>
    <row r="306" spans="2:13" ht="14.25" customHeight="1" x14ac:dyDescent="0.35">
      <c r="B306" s="7"/>
      <c r="C306" s="7"/>
      <c r="D306" s="7"/>
      <c r="E306" s="7"/>
      <c r="F306" s="7"/>
      <c r="G306" s="9"/>
      <c r="H306" s="9"/>
      <c r="J306" s="7"/>
      <c r="K306" s="7"/>
      <c r="L306" s="11"/>
      <c r="M306" s="11"/>
    </row>
    <row r="307" spans="2:13" ht="14.25" customHeight="1" x14ac:dyDescent="0.35">
      <c r="B307" s="7"/>
      <c r="C307" s="7"/>
      <c r="D307" s="7"/>
      <c r="E307" s="7"/>
      <c r="F307" s="7"/>
      <c r="G307" s="9"/>
      <c r="H307" s="9"/>
      <c r="J307" s="7"/>
      <c r="K307" s="7"/>
      <c r="L307" s="11"/>
      <c r="M307" s="11"/>
    </row>
    <row r="308" spans="2:13" ht="14.25" customHeight="1" x14ac:dyDescent="0.35">
      <c r="B308" s="7"/>
      <c r="C308" s="7"/>
      <c r="D308" s="7"/>
      <c r="E308" s="7"/>
      <c r="F308" s="7"/>
      <c r="G308" s="9"/>
      <c r="H308" s="9"/>
      <c r="J308" s="7"/>
      <c r="K308" s="7"/>
      <c r="L308" s="11"/>
      <c r="M308" s="11"/>
    </row>
    <row r="309" spans="2:13" ht="14.25" customHeight="1" x14ac:dyDescent="0.35">
      <c r="B309" s="7"/>
      <c r="C309" s="7"/>
      <c r="D309" s="7"/>
      <c r="E309" s="7"/>
      <c r="F309" s="7"/>
      <c r="G309" s="9"/>
      <c r="H309" s="9"/>
      <c r="J309" s="7"/>
      <c r="K309" s="7"/>
      <c r="L309" s="11"/>
      <c r="M309" s="11"/>
    </row>
    <row r="310" spans="2:13" ht="14.25" customHeight="1" x14ac:dyDescent="0.35">
      <c r="B310" s="7"/>
      <c r="C310" s="7"/>
      <c r="D310" s="7"/>
      <c r="E310" s="7"/>
      <c r="F310" s="7"/>
      <c r="G310" s="9"/>
      <c r="H310" s="9"/>
      <c r="J310" s="7"/>
      <c r="K310" s="7"/>
      <c r="L310" s="11"/>
      <c r="M310" s="11"/>
    </row>
    <row r="311" spans="2:13" ht="14.25" customHeight="1" x14ac:dyDescent="0.35">
      <c r="B311" s="7"/>
      <c r="C311" s="7"/>
      <c r="D311" s="7"/>
      <c r="E311" s="7"/>
      <c r="F311" s="7"/>
      <c r="G311" s="9"/>
      <c r="H311" s="9"/>
      <c r="J311" s="7"/>
      <c r="K311" s="7"/>
      <c r="L311" s="11"/>
      <c r="M311" s="11"/>
    </row>
    <row r="312" spans="2:13" ht="14.25" customHeight="1" x14ac:dyDescent="0.35">
      <c r="B312" s="7"/>
      <c r="C312" s="7"/>
      <c r="D312" s="7"/>
      <c r="E312" s="7"/>
      <c r="F312" s="7"/>
      <c r="G312" s="9"/>
      <c r="H312" s="9"/>
      <c r="J312" s="7"/>
      <c r="K312" s="7"/>
      <c r="L312" s="11"/>
      <c r="M312" s="11"/>
    </row>
    <row r="313" spans="2:13" ht="14.25" customHeight="1" x14ac:dyDescent="0.35">
      <c r="B313" s="7"/>
      <c r="C313" s="7"/>
      <c r="D313" s="7"/>
      <c r="E313" s="7"/>
      <c r="F313" s="7"/>
      <c r="G313" s="9"/>
      <c r="H313" s="9"/>
      <c r="J313" s="7"/>
      <c r="K313" s="7"/>
      <c r="L313" s="11"/>
      <c r="M313" s="11"/>
    </row>
    <row r="314" spans="2:13" ht="14.25" customHeight="1" x14ac:dyDescent="0.35">
      <c r="B314" s="7"/>
      <c r="C314" s="7"/>
      <c r="D314" s="7"/>
      <c r="E314" s="7"/>
      <c r="F314" s="7"/>
      <c r="G314" s="9"/>
      <c r="H314" s="9"/>
      <c r="J314" s="7"/>
      <c r="K314" s="7"/>
      <c r="L314" s="11"/>
      <c r="M314" s="11"/>
    </row>
    <row r="315" spans="2:13" ht="14.25" customHeight="1" x14ac:dyDescent="0.35">
      <c r="B315" s="7"/>
      <c r="C315" s="7"/>
      <c r="D315" s="7"/>
      <c r="E315" s="7"/>
      <c r="F315" s="7"/>
      <c r="G315" s="9"/>
      <c r="H315" s="9"/>
      <c r="J315" s="7"/>
      <c r="K315" s="7"/>
      <c r="L315" s="11"/>
      <c r="M315" s="11"/>
    </row>
    <row r="316" spans="2:13" ht="14.25" customHeight="1" x14ac:dyDescent="0.35">
      <c r="B316" s="7"/>
      <c r="C316" s="7"/>
      <c r="D316" s="7"/>
      <c r="E316" s="7"/>
      <c r="F316" s="7"/>
      <c r="G316" s="9"/>
      <c r="H316" s="9"/>
      <c r="J316" s="7"/>
      <c r="K316" s="7"/>
      <c r="L316" s="11"/>
      <c r="M316" s="11"/>
    </row>
    <row r="317" spans="2:13" ht="14.25" customHeight="1" x14ac:dyDescent="0.35">
      <c r="B317" s="7"/>
      <c r="C317" s="7"/>
      <c r="D317" s="7"/>
      <c r="E317" s="7"/>
      <c r="F317" s="7"/>
      <c r="G317" s="9"/>
      <c r="H317" s="9"/>
      <c r="J317" s="7"/>
      <c r="K317" s="7"/>
      <c r="L317" s="11"/>
      <c r="M317" s="11"/>
    </row>
    <row r="318" spans="2:13" ht="14.25" customHeight="1" x14ac:dyDescent="0.35">
      <c r="B318" s="7"/>
      <c r="C318" s="7"/>
      <c r="D318" s="7"/>
      <c r="E318" s="7"/>
      <c r="F318" s="7"/>
      <c r="G318" s="9"/>
      <c r="H318" s="9"/>
      <c r="J318" s="7"/>
      <c r="K318" s="7"/>
      <c r="L318" s="11"/>
      <c r="M318" s="11"/>
    </row>
    <row r="319" spans="2:13" ht="14.25" customHeight="1" x14ac:dyDescent="0.35">
      <c r="B319" s="7"/>
      <c r="C319" s="7"/>
      <c r="D319" s="7"/>
      <c r="E319" s="7"/>
      <c r="F319" s="7"/>
      <c r="G319" s="9"/>
      <c r="H319" s="9"/>
      <c r="J319" s="7"/>
      <c r="K319" s="7"/>
      <c r="L319" s="11"/>
      <c r="M319" s="11"/>
    </row>
    <row r="320" spans="2:13" ht="14.25" customHeight="1" x14ac:dyDescent="0.35">
      <c r="B320" s="7"/>
      <c r="C320" s="7"/>
      <c r="D320" s="7"/>
      <c r="E320" s="7"/>
      <c r="F320" s="7"/>
      <c r="G320" s="9"/>
      <c r="H320" s="9"/>
      <c r="J320" s="7"/>
      <c r="K320" s="7"/>
      <c r="L320" s="11"/>
      <c r="M320" s="11"/>
    </row>
    <row r="321" spans="2:13" ht="14.25" customHeight="1" x14ac:dyDescent="0.35">
      <c r="B321" s="7"/>
      <c r="C321" s="7"/>
      <c r="D321" s="7"/>
      <c r="E321" s="7"/>
      <c r="F321" s="7"/>
      <c r="G321" s="9"/>
      <c r="H321" s="9"/>
      <c r="J321" s="7"/>
      <c r="K321" s="7"/>
      <c r="L321" s="11"/>
      <c r="M321" s="11"/>
    </row>
    <row r="322" spans="2:13" ht="14.25" customHeight="1" x14ac:dyDescent="0.35">
      <c r="B322" s="7"/>
      <c r="C322" s="7"/>
      <c r="D322" s="7"/>
      <c r="E322" s="7"/>
      <c r="F322" s="7"/>
      <c r="G322" s="9"/>
      <c r="H322" s="9"/>
      <c r="J322" s="7"/>
      <c r="K322" s="7"/>
      <c r="L322" s="11"/>
      <c r="M322" s="11"/>
    </row>
    <row r="323" spans="2:13" ht="14.25" customHeight="1" x14ac:dyDescent="0.35">
      <c r="B323" s="7"/>
      <c r="C323" s="7"/>
      <c r="D323" s="7"/>
      <c r="E323" s="7"/>
      <c r="F323" s="7"/>
      <c r="G323" s="9"/>
      <c r="H323" s="9"/>
      <c r="J323" s="7"/>
      <c r="K323" s="7"/>
      <c r="L323" s="11"/>
      <c r="M323" s="11"/>
    </row>
    <row r="324" spans="2:13" ht="14.25" customHeight="1" x14ac:dyDescent="0.35">
      <c r="B324" s="7"/>
      <c r="C324" s="7"/>
      <c r="D324" s="7"/>
      <c r="E324" s="7"/>
      <c r="F324" s="7"/>
      <c r="G324" s="9"/>
      <c r="H324" s="9"/>
      <c r="J324" s="7"/>
      <c r="K324" s="7"/>
      <c r="L324" s="11"/>
      <c r="M324" s="11"/>
    </row>
    <row r="325" spans="2:13" ht="14.25" customHeight="1" x14ac:dyDescent="0.35">
      <c r="B325" s="7"/>
      <c r="C325" s="7"/>
      <c r="D325" s="7"/>
      <c r="E325" s="7"/>
      <c r="F325" s="7"/>
      <c r="G325" s="9"/>
      <c r="H325" s="9"/>
      <c r="J325" s="7"/>
      <c r="K325" s="7"/>
      <c r="L325" s="11"/>
      <c r="M325" s="11"/>
    </row>
    <row r="326" spans="2:13" ht="14.25" customHeight="1" x14ac:dyDescent="0.35">
      <c r="B326" s="7"/>
      <c r="C326" s="7"/>
      <c r="D326" s="7"/>
      <c r="E326" s="7"/>
      <c r="F326" s="7"/>
      <c r="G326" s="9"/>
      <c r="H326" s="9"/>
      <c r="J326" s="7"/>
      <c r="K326" s="7"/>
      <c r="L326" s="11"/>
      <c r="M326" s="11"/>
    </row>
    <row r="327" spans="2:13" ht="14.25" customHeight="1" x14ac:dyDescent="0.35">
      <c r="B327" s="7"/>
      <c r="C327" s="7"/>
      <c r="D327" s="7"/>
      <c r="E327" s="7"/>
      <c r="F327" s="7"/>
      <c r="G327" s="9"/>
      <c r="H327" s="9"/>
      <c r="J327" s="7"/>
      <c r="K327" s="7"/>
      <c r="L327" s="11"/>
      <c r="M327" s="11"/>
    </row>
    <row r="328" spans="2:13" ht="14.25" customHeight="1" x14ac:dyDescent="0.35">
      <c r="B328" s="7"/>
      <c r="C328" s="7"/>
      <c r="D328" s="7"/>
      <c r="E328" s="7"/>
      <c r="F328" s="7"/>
      <c r="G328" s="9"/>
      <c r="H328" s="9"/>
      <c r="J328" s="7"/>
      <c r="K328" s="7"/>
      <c r="L328" s="11"/>
      <c r="M328" s="11"/>
    </row>
    <row r="329" spans="2:13" ht="14.25" customHeight="1" x14ac:dyDescent="0.35">
      <c r="B329" s="7"/>
      <c r="C329" s="7"/>
      <c r="D329" s="7"/>
      <c r="E329" s="7"/>
      <c r="F329" s="7"/>
      <c r="G329" s="9"/>
      <c r="H329" s="9"/>
      <c r="J329" s="7"/>
      <c r="K329" s="7"/>
      <c r="L329" s="11"/>
      <c r="M329" s="11"/>
    </row>
    <row r="330" spans="2:13" ht="14.25" customHeight="1" x14ac:dyDescent="0.35">
      <c r="B330" s="7"/>
      <c r="C330" s="7"/>
      <c r="D330" s="7"/>
      <c r="E330" s="7"/>
      <c r="F330" s="7"/>
      <c r="G330" s="9"/>
      <c r="H330" s="9"/>
      <c r="J330" s="7"/>
      <c r="K330" s="7"/>
      <c r="L330" s="11"/>
      <c r="M330" s="11"/>
    </row>
    <row r="331" spans="2:13" ht="14.25" customHeight="1" x14ac:dyDescent="0.35">
      <c r="B331" s="7"/>
      <c r="C331" s="7"/>
      <c r="D331" s="7"/>
      <c r="E331" s="7"/>
      <c r="F331" s="7"/>
      <c r="G331" s="9"/>
      <c r="H331" s="9"/>
      <c r="J331" s="7"/>
      <c r="K331" s="7"/>
      <c r="L331" s="11"/>
      <c r="M331" s="11"/>
    </row>
    <row r="332" spans="2:13" ht="14.25" customHeight="1" x14ac:dyDescent="0.35">
      <c r="B332" s="7"/>
      <c r="C332" s="7"/>
      <c r="D332" s="7"/>
      <c r="E332" s="7"/>
      <c r="F332" s="7"/>
      <c r="G332" s="9"/>
      <c r="H332" s="9"/>
      <c r="J332" s="7"/>
      <c r="K332" s="7"/>
      <c r="L332" s="11"/>
      <c r="M332" s="11"/>
    </row>
    <row r="333" spans="2:13" ht="14.25" customHeight="1" x14ac:dyDescent="0.35">
      <c r="B333" s="7"/>
      <c r="C333" s="7"/>
      <c r="D333" s="7"/>
      <c r="E333" s="7"/>
      <c r="F333" s="7"/>
      <c r="G333" s="9"/>
      <c r="H333" s="9"/>
      <c r="J333" s="7"/>
      <c r="K333" s="7"/>
      <c r="L333" s="11"/>
      <c r="M333" s="11"/>
    </row>
    <row r="334" spans="2:13" ht="14.25" customHeight="1" x14ac:dyDescent="0.35">
      <c r="B334" s="7"/>
      <c r="C334" s="7"/>
      <c r="D334" s="7"/>
      <c r="E334" s="7"/>
      <c r="F334" s="7"/>
      <c r="G334" s="9"/>
      <c r="H334" s="9"/>
      <c r="J334" s="7"/>
      <c r="K334" s="7"/>
      <c r="L334" s="11"/>
      <c r="M334" s="11"/>
    </row>
    <row r="335" spans="2:13" ht="14.25" customHeight="1" x14ac:dyDescent="0.35">
      <c r="B335" s="7"/>
      <c r="C335" s="7"/>
      <c r="D335" s="7"/>
      <c r="E335" s="7"/>
      <c r="F335" s="7"/>
      <c r="G335" s="9"/>
      <c r="H335" s="9"/>
      <c r="J335" s="7"/>
      <c r="K335" s="7"/>
      <c r="L335" s="11"/>
      <c r="M335" s="11"/>
    </row>
    <row r="336" spans="2:13" ht="14.25" customHeight="1" x14ac:dyDescent="0.35">
      <c r="B336" s="7"/>
      <c r="C336" s="7"/>
      <c r="D336" s="7"/>
      <c r="E336" s="7"/>
      <c r="F336" s="7"/>
      <c r="G336" s="9"/>
      <c r="H336" s="9"/>
      <c r="J336" s="7"/>
      <c r="K336" s="7"/>
      <c r="L336" s="11"/>
      <c r="M336" s="11"/>
    </row>
    <row r="337" spans="2:13" ht="14.25" customHeight="1" x14ac:dyDescent="0.35">
      <c r="B337" s="7"/>
      <c r="C337" s="7"/>
      <c r="D337" s="7"/>
      <c r="E337" s="7"/>
      <c r="F337" s="7"/>
      <c r="G337" s="9"/>
      <c r="H337" s="9"/>
      <c r="J337" s="7"/>
      <c r="K337" s="7"/>
      <c r="L337" s="11"/>
      <c r="M337" s="11"/>
    </row>
    <row r="338" spans="2:13" ht="14.25" customHeight="1" x14ac:dyDescent="0.35">
      <c r="B338" s="7"/>
      <c r="C338" s="7"/>
      <c r="D338" s="7"/>
      <c r="E338" s="7"/>
      <c r="F338" s="7"/>
      <c r="G338" s="9"/>
      <c r="H338" s="9"/>
      <c r="J338" s="7"/>
      <c r="K338" s="7"/>
      <c r="L338" s="11"/>
      <c r="M338" s="11"/>
    </row>
    <row r="339" spans="2:13" ht="14.25" customHeight="1" x14ac:dyDescent="0.35">
      <c r="B339" s="7"/>
      <c r="C339" s="7"/>
      <c r="D339" s="7"/>
      <c r="E339" s="7"/>
      <c r="F339" s="7"/>
      <c r="G339" s="9"/>
      <c r="H339" s="9"/>
      <c r="J339" s="7"/>
      <c r="K339" s="7"/>
      <c r="L339" s="11"/>
      <c r="M339" s="11"/>
    </row>
    <row r="340" spans="2:13" ht="14.25" customHeight="1" x14ac:dyDescent="0.35">
      <c r="B340" s="7"/>
      <c r="C340" s="7"/>
      <c r="D340" s="7"/>
      <c r="E340" s="7"/>
      <c r="F340" s="7"/>
      <c r="G340" s="9"/>
      <c r="H340" s="9"/>
      <c r="J340" s="7"/>
      <c r="K340" s="7"/>
      <c r="L340" s="11"/>
      <c r="M340" s="11"/>
    </row>
    <row r="341" spans="2:13" ht="14.25" customHeight="1" x14ac:dyDescent="0.35">
      <c r="B341" s="7"/>
      <c r="C341" s="7"/>
      <c r="D341" s="7"/>
      <c r="E341" s="7"/>
      <c r="F341" s="7"/>
      <c r="G341" s="9"/>
      <c r="H341" s="9"/>
      <c r="J341" s="7"/>
      <c r="K341" s="7"/>
      <c r="L341" s="11"/>
      <c r="M341" s="11"/>
    </row>
    <row r="342" spans="2:13" ht="14.25" customHeight="1" x14ac:dyDescent="0.35">
      <c r="B342" s="7"/>
      <c r="C342" s="7"/>
      <c r="D342" s="7"/>
      <c r="E342" s="7"/>
      <c r="F342" s="7"/>
      <c r="G342" s="9"/>
      <c r="H342" s="9"/>
      <c r="J342" s="7"/>
      <c r="K342" s="7"/>
      <c r="L342" s="11"/>
      <c r="M342" s="11"/>
    </row>
    <row r="343" spans="2:13" ht="14.25" customHeight="1" x14ac:dyDescent="0.35">
      <c r="B343" s="7"/>
      <c r="C343" s="7"/>
      <c r="D343" s="7"/>
      <c r="E343" s="7"/>
      <c r="F343" s="7"/>
      <c r="G343" s="9"/>
      <c r="H343" s="9"/>
      <c r="J343" s="7"/>
      <c r="K343" s="7"/>
      <c r="L343" s="11"/>
      <c r="M343" s="11"/>
    </row>
    <row r="344" spans="2:13" ht="14.25" customHeight="1" x14ac:dyDescent="0.35">
      <c r="B344" s="7"/>
      <c r="C344" s="7"/>
      <c r="D344" s="7"/>
      <c r="E344" s="7"/>
      <c r="F344" s="7"/>
      <c r="G344" s="9"/>
      <c r="H344" s="9"/>
      <c r="J344" s="7"/>
      <c r="K344" s="7"/>
      <c r="L344" s="11"/>
      <c r="M344" s="11"/>
    </row>
    <row r="345" spans="2:13" ht="14.25" customHeight="1" x14ac:dyDescent="0.35">
      <c r="B345" s="7"/>
      <c r="C345" s="7"/>
      <c r="D345" s="7"/>
      <c r="E345" s="7"/>
      <c r="F345" s="7"/>
      <c r="G345" s="9"/>
      <c r="H345" s="9"/>
      <c r="J345" s="7"/>
      <c r="K345" s="7"/>
      <c r="L345" s="11"/>
      <c r="M345" s="11"/>
    </row>
    <row r="346" spans="2:13" ht="14.25" customHeight="1" x14ac:dyDescent="0.35">
      <c r="B346" s="7"/>
      <c r="C346" s="7"/>
      <c r="D346" s="7"/>
      <c r="E346" s="7"/>
      <c r="F346" s="7"/>
      <c r="G346" s="9"/>
      <c r="H346" s="9"/>
      <c r="J346" s="7"/>
      <c r="K346" s="7"/>
      <c r="L346" s="11"/>
      <c r="M346" s="11"/>
    </row>
    <row r="347" spans="2:13" ht="14.25" customHeight="1" x14ac:dyDescent="0.35">
      <c r="B347" s="7"/>
      <c r="C347" s="7"/>
      <c r="D347" s="7"/>
      <c r="E347" s="7"/>
      <c r="F347" s="7"/>
      <c r="G347" s="9"/>
      <c r="H347" s="9"/>
      <c r="J347" s="7"/>
      <c r="K347" s="7"/>
      <c r="L347" s="11"/>
      <c r="M347" s="11"/>
    </row>
    <row r="348" spans="2:13" ht="14.25" customHeight="1" x14ac:dyDescent="0.35">
      <c r="B348" s="7"/>
      <c r="C348" s="7"/>
      <c r="D348" s="7"/>
      <c r="E348" s="7"/>
      <c r="F348" s="7"/>
      <c r="G348" s="9"/>
      <c r="H348" s="9"/>
      <c r="J348" s="7"/>
      <c r="K348" s="7"/>
      <c r="L348" s="11"/>
      <c r="M348" s="11"/>
    </row>
    <row r="349" spans="2:13" ht="14.25" customHeight="1" x14ac:dyDescent="0.35">
      <c r="B349" s="7"/>
      <c r="C349" s="7"/>
      <c r="D349" s="7"/>
      <c r="E349" s="7"/>
      <c r="F349" s="7"/>
      <c r="G349" s="9"/>
      <c r="H349" s="9"/>
      <c r="J349" s="7"/>
      <c r="K349" s="7"/>
      <c r="L349" s="11"/>
      <c r="M349" s="11"/>
    </row>
    <row r="350" spans="2:13" ht="14.25" customHeight="1" x14ac:dyDescent="0.35">
      <c r="B350" s="7"/>
      <c r="C350" s="7"/>
      <c r="D350" s="7"/>
      <c r="E350" s="7"/>
      <c r="F350" s="7"/>
      <c r="G350" s="9"/>
      <c r="H350" s="9"/>
      <c r="J350" s="7"/>
      <c r="K350" s="7"/>
      <c r="L350" s="11"/>
      <c r="M350" s="11"/>
    </row>
    <row r="351" spans="2:13" ht="14.25" customHeight="1" x14ac:dyDescent="0.35">
      <c r="B351" s="7"/>
      <c r="C351" s="7"/>
      <c r="D351" s="7"/>
      <c r="E351" s="7"/>
      <c r="F351" s="7"/>
      <c r="G351" s="9"/>
      <c r="H351" s="9"/>
      <c r="J351" s="7"/>
      <c r="K351" s="7"/>
      <c r="L351" s="11"/>
      <c r="M351" s="11"/>
    </row>
    <row r="352" spans="2:13" ht="14.25" customHeight="1" x14ac:dyDescent="0.35">
      <c r="B352" s="7"/>
      <c r="C352" s="7"/>
      <c r="D352" s="7"/>
      <c r="E352" s="7"/>
      <c r="F352" s="7"/>
      <c r="G352" s="9"/>
      <c r="H352" s="9"/>
      <c r="J352" s="7"/>
      <c r="K352" s="7"/>
      <c r="L352" s="11"/>
      <c r="M352" s="11"/>
    </row>
    <row r="353" spans="2:13" ht="14.25" customHeight="1" x14ac:dyDescent="0.35">
      <c r="B353" s="7"/>
      <c r="C353" s="7"/>
      <c r="D353" s="7"/>
      <c r="E353" s="7"/>
      <c r="F353" s="7"/>
      <c r="G353" s="9"/>
      <c r="H353" s="9"/>
      <c r="J353" s="7"/>
      <c r="K353" s="7"/>
      <c r="L353" s="11"/>
      <c r="M353" s="11"/>
    </row>
    <row r="354" spans="2:13" ht="14.25" customHeight="1" x14ac:dyDescent="0.35">
      <c r="B354" s="7"/>
      <c r="C354" s="7"/>
      <c r="D354" s="7"/>
      <c r="E354" s="7"/>
      <c r="F354" s="7"/>
      <c r="G354" s="9"/>
      <c r="H354" s="9"/>
      <c r="J354" s="7"/>
      <c r="K354" s="7"/>
      <c r="L354" s="11"/>
      <c r="M354" s="11"/>
    </row>
    <row r="355" spans="2:13" ht="14.25" customHeight="1" x14ac:dyDescent="0.35">
      <c r="B355" s="7"/>
      <c r="C355" s="7"/>
      <c r="D355" s="7"/>
      <c r="E355" s="7"/>
      <c r="F355" s="7"/>
      <c r="G355" s="9"/>
      <c r="H355" s="9"/>
      <c r="J355" s="7"/>
      <c r="K355" s="7"/>
      <c r="L355" s="11"/>
      <c r="M355" s="11"/>
    </row>
    <row r="356" spans="2:13" ht="14.25" customHeight="1" x14ac:dyDescent="0.35">
      <c r="B356" s="7"/>
      <c r="C356" s="7"/>
      <c r="D356" s="7"/>
      <c r="E356" s="7"/>
      <c r="F356" s="7"/>
      <c r="G356" s="9"/>
      <c r="H356" s="9"/>
      <c r="J356" s="7"/>
      <c r="K356" s="7"/>
      <c r="L356" s="11"/>
      <c r="M356" s="11"/>
    </row>
    <row r="357" spans="2:13" ht="14.25" customHeight="1" x14ac:dyDescent="0.35">
      <c r="B357" s="7"/>
      <c r="C357" s="7"/>
      <c r="D357" s="7"/>
      <c r="E357" s="7"/>
      <c r="F357" s="7"/>
      <c r="G357" s="9"/>
      <c r="H357" s="9"/>
      <c r="J357" s="7"/>
      <c r="K357" s="7"/>
      <c r="L357" s="11"/>
      <c r="M357" s="11"/>
    </row>
    <row r="358" spans="2:13" ht="14.25" customHeight="1" x14ac:dyDescent="0.35">
      <c r="B358" s="7"/>
      <c r="C358" s="7"/>
      <c r="D358" s="7"/>
      <c r="E358" s="7"/>
      <c r="F358" s="7"/>
      <c r="G358" s="9"/>
      <c r="H358" s="9"/>
      <c r="J358" s="7"/>
      <c r="K358" s="7"/>
      <c r="L358" s="11"/>
      <c r="M358" s="11"/>
    </row>
    <row r="359" spans="2:13" ht="14.25" customHeight="1" x14ac:dyDescent="0.35">
      <c r="B359" s="7"/>
      <c r="C359" s="7"/>
      <c r="D359" s="7"/>
      <c r="E359" s="7"/>
      <c r="F359" s="7"/>
      <c r="G359" s="9"/>
      <c r="H359" s="9"/>
      <c r="J359" s="7"/>
      <c r="K359" s="7"/>
      <c r="L359" s="11"/>
      <c r="M359" s="11"/>
    </row>
    <row r="360" spans="2:13" ht="14.25" customHeight="1" x14ac:dyDescent="0.35">
      <c r="B360" s="7"/>
      <c r="C360" s="7"/>
      <c r="D360" s="7"/>
      <c r="E360" s="7"/>
      <c r="F360" s="7"/>
      <c r="G360" s="9"/>
      <c r="H360" s="9"/>
      <c r="J360" s="7"/>
      <c r="K360" s="7"/>
      <c r="L360" s="11"/>
      <c r="M360" s="11"/>
    </row>
    <row r="361" spans="2:13" ht="14.25" customHeight="1" x14ac:dyDescent="0.35">
      <c r="B361" s="7"/>
      <c r="C361" s="7"/>
      <c r="D361" s="7"/>
      <c r="E361" s="7"/>
      <c r="F361" s="7"/>
      <c r="G361" s="9"/>
      <c r="H361" s="9"/>
      <c r="J361" s="7"/>
      <c r="K361" s="7"/>
      <c r="L361" s="11"/>
      <c r="M361" s="11"/>
    </row>
    <row r="362" spans="2:13" ht="14.25" customHeight="1" x14ac:dyDescent="0.35">
      <c r="B362" s="7"/>
      <c r="C362" s="7"/>
      <c r="D362" s="7"/>
      <c r="E362" s="7"/>
      <c r="F362" s="7"/>
      <c r="G362" s="9"/>
      <c r="H362" s="9"/>
      <c r="J362" s="7"/>
      <c r="K362" s="7"/>
      <c r="L362" s="11"/>
      <c r="M362" s="11"/>
    </row>
    <row r="363" spans="2:13" ht="14.25" customHeight="1" x14ac:dyDescent="0.35">
      <c r="B363" s="7"/>
      <c r="C363" s="7"/>
      <c r="D363" s="7"/>
      <c r="E363" s="7"/>
      <c r="F363" s="7"/>
      <c r="G363" s="9"/>
      <c r="H363" s="9"/>
      <c r="J363" s="7"/>
      <c r="K363" s="7"/>
      <c r="L363" s="11"/>
      <c r="M363" s="11"/>
    </row>
    <row r="364" spans="2:13" ht="14.25" customHeight="1" x14ac:dyDescent="0.35">
      <c r="B364" s="7"/>
      <c r="C364" s="7"/>
      <c r="D364" s="7"/>
      <c r="E364" s="7"/>
      <c r="F364" s="7"/>
      <c r="G364" s="9"/>
      <c r="H364" s="9"/>
      <c r="J364" s="7"/>
      <c r="K364" s="7"/>
      <c r="L364" s="11"/>
      <c r="M364" s="11"/>
    </row>
    <row r="365" spans="2:13" ht="14.25" customHeight="1" x14ac:dyDescent="0.35">
      <c r="B365" s="7"/>
      <c r="C365" s="7"/>
      <c r="D365" s="7"/>
      <c r="E365" s="7"/>
      <c r="F365" s="7"/>
      <c r="G365" s="9"/>
      <c r="H365" s="9"/>
      <c r="J365" s="7"/>
      <c r="K365" s="7"/>
      <c r="L365" s="11"/>
      <c r="M365" s="11"/>
    </row>
    <row r="366" spans="2:13" ht="14.25" customHeight="1" x14ac:dyDescent="0.35">
      <c r="B366" s="7"/>
      <c r="C366" s="7"/>
      <c r="D366" s="7"/>
      <c r="E366" s="7"/>
      <c r="F366" s="7"/>
      <c r="G366" s="9"/>
      <c r="H366" s="9"/>
      <c r="J366" s="7"/>
      <c r="K366" s="7"/>
      <c r="L366" s="11"/>
      <c r="M366" s="11"/>
    </row>
    <row r="367" spans="2:13" ht="14.25" customHeight="1" x14ac:dyDescent="0.35">
      <c r="B367" s="7"/>
      <c r="C367" s="7"/>
      <c r="D367" s="7"/>
      <c r="E367" s="7"/>
      <c r="F367" s="7"/>
      <c r="G367" s="9"/>
      <c r="H367" s="9"/>
      <c r="J367" s="7"/>
      <c r="K367" s="7"/>
      <c r="L367" s="11"/>
      <c r="M367" s="11"/>
    </row>
    <row r="368" spans="2:13" ht="14.25" customHeight="1" x14ac:dyDescent="0.35">
      <c r="B368" s="7"/>
      <c r="C368" s="7"/>
      <c r="D368" s="7"/>
      <c r="E368" s="7"/>
      <c r="F368" s="7"/>
      <c r="G368" s="9"/>
      <c r="H368" s="9"/>
      <c r="J368" s="7"/>
      <c r="K368" s="7"/>
      <c r="L368" s="11"/>
      <c r="M368" s="11"/>
    </row>
    <row r="369" spans="2:13" ht="14.25" customHeight="1" x14ac:dyDescent="0.35">
      <c r="B369" s="7"/>
      <c r="C369" s="7"/>
      <c r="D369" s="7"/>
      <c r="E369" s="7"/>
      <c r="F369" s="7"/>
      <c r="G369" s="9"/>
      <c r="H369" s="9"/>
      <c r="J369" s="7"/>
      <c r="K369" s="7"/>
      <c r="L369" s="11"/>
      <c r="M369" s="11"/>
    </row>
    <row r="370" spans="2:13" ht="14.25" customHeight="1" x14ac:dyDescent="0.35">
      <c r="B370" s="7"/>
      <c r="C370" s="7"/>
      <c r="D370" s="7"/>
      <c r="E370" s="7"/>
      <c r="F370" s="7"/>
      <c r="G370" s="9"/>
      <c r="H370" s="9"/>
      <c r="J370" s="7"/>
      <c r="K370" s="7"/>
      <c r="L370" s="11"/>
      <c r="M370" s="11"/>
    </row>
    <row r="371" spans="2:13" ht="14.25" customHeight="1" x14ac:dyDescent="0.35">
      <c r="B371" s="7"/>
      <c r="C371" s="7"/>
      <c r="D371" s="7"/>
      <c r="E371" s="7"/>
      <c r="F371" s="7"/>
      <c r="G371" s="9"/>
      <c r="H371" s="9"/>
      <c r="J371" s="7"/>
      <c r="K371" s="7"/>
      <c r="L371" s="11"/>
      <c r="M371" s="11"/>
    </row>
    <row r="372" spans="2:13" ht="14.25" customHeight="1" x14ac:dyDescent="0.35">
      <c r="B372" s="7"/>
      <c r="C372" s="7"/>
      <c r="D372" s="7"/>
      <c r="E372" s="7"/>
      <c r="F372" s="7"/>
      <c r="G372" s="9"/>
      <c r="H372" s="9"/>
      <c r="J372" s="7"/>
      <c r="K372" s="7"/>
      <c r="L372" s="11"/>
      <c r="M372" s="11"/>
    </row>
    <row r="373" spans="2:13" ht="14.25" customHeight="1" x14ac:dyDescent="0.35">
      <c r="B373" s="7"/>
      <c r="C373" s="7"/>
      <c r="D373" s="7"/>
      <c r="E373" s="7"/>
      <c r="F373" s="7"/>
      <c r="G373" s="9"/>
      <c r="H373" s="9"/>
      <c r="J373" s="7"/>
      <c r="K373" s="7"/>
      <c r="L373" s="11"/>
      <c r="M373" s="11"/>
    </row>
    <row r="374" spans="2:13" ht="14.25" customHeight="1" x14ac:dyDescent="0.35">
      <c r="B374" s="7"/>
      <c r="C374" s="7"/>
      <c r="D374" s="7"/>
      <c r="E374" s="7"/>
      <c r="F374" s="7"/>
      <c r="G374" s="9"/>
      <c r="H374" s="9"/>
      <c r="J374" s="7"/>
      <c r="K374" s="7"/>
      <c r="L374" s="11"/>
      <c r="M374" s="11"/>
    </row>
    <row r="375" spans="2:13" ht="14.25" customHeight="1" x14ac:dyDescent="0.35">
      <c r="B375" s="7"/>
      <c r="C375" s="7"/>
      <c r="D375" s="7"/>
      <c r="E375" s="7"/>
      <c r="F375" s="7"/>
      <c r="G375" s="9"/>
      <c r="H375" s="9"/>
      <c r="J375" s="7"/>
      <c r="K375" s="7"/>
      <c r="L375" s="11"/>
      <c r="M375" s="11"/>
    </row>
    <row r="376" spans="2:13" ht="14.25" customHeight="1" x14ac:dyDescent="0.35">
      <c r="B376" s="7"/>
      <c r="C376" s="7"/>
      <c r="D376" s="7"/>
      <c r="E376" s="7"/>
      <c r="F376" s="7"/>
      <c r="G376" s="9"/>
      <c r="H376" s="9"/>
      <c r="J376" s="7"/>
      <c r="K376" s="7"/>
      <c r="L376" s="11"/>
      <c r="M376" s="11"/>
    </row>
    <row r="377" spans="2:13" ht="14.25" customHeight="1" x14ac:dyDescent="0.35">
      <c r="B377" s="7"/>
      <c r="C377" s="7"/>
      <c r="D377" s="7"/>
      <c r="E377" s="7"/>
      <c r="F377" s="7"/>
      <c r="G377" s="9"/>
      <c r="H377" s="9"/>
      <c r="J377" s="7"/>
      <c r="K377" s="7"/>
      <c r="L377" s="11"/>
      <c r="M377" s="11"/>
    </row>
    <row r="378" spans="2:13" ht="14.25" customHeight="1" x14ac:dyDescent="0.35">
      <c r="B378" s="7"/>
      <c r="C378" s="7"/>
      <c r="D378" s="7"/>
      <c r="E378" s="7"/>
      <c r="F378" s="7"/>
      <c r="G378" s="9"/>
      <c r="H378" s="9"/>
      <c r="J378" s="7"/>
      <c r="K378" s="7"/>
      <c r="L378" s="11"/>
      <c r="M378" s="11"/>
    </row>
    <row r="379" spans="2:13" ht="14.25" customHeight="1" x14ac:dyDescent="0.35">
      <c r="B379" s="7"/>
      <c r="C379" s="7"/>
      <c r="D379" s="7"/>
      <c r="E379" s="7"/>
      <c r="F379" s="7"/>
      <c r="G379" s="9"/>
      <c r="H379" s="9"/>
      <c r="J379" s="7"/>
      <c r="K379" s="7"/>
      <c r="L379" s="11"/>
      <c r="M379" s="11"/>
    </row>
    <row r="380" spans="2:13" ht="14.25" customHeight="1" x14ac:dyDescent="0.35">
      <c r="B380" s="7"/>
      <c r="C380" s="7"/>
      <c r="D380" s="7"/>
      <c r="E380" s="7"/>
      <c r="F380" s="7"/>
      <c r="G380" s="9"/>
      <c r="H380" s="9"/>
      <c r="J380" s="7"/>
      <c r="K380" s="7"/>
      <c r="L380" s="11"/>
      <c r="M380" s="11"/>
    </row>
    <row r="381" spans="2:13" ht="14.25" customHeight="1" x14ac:dyDescent="0.35">
      <c r="B381" s="7"/>
      <c r="C381" s="7"/>
      <c r="D381" s="7"/>
      <c r="E381" s="7"/>
      <c r="F381" s="7"/>
      <c r="G381" s="9"/>
      <c r="H381" s="9"/>
      <c r="J381" s="7"/>
      <c r="K381" s="7"/>
      <c r="L381" s="11"/>
      <c r="M381" s="11"/>
    </row>
    <row r="382" spans="2:13" ht="14.25" customHeight="1" x14ac:dyDescent="0.35">
      <c r="B382" s="7"/>
      <c r="C382" s="7"/>
      <c r="D382" s="7"/>
      <c r="E382" s="7"/>
      <c r="F382" s="7"/>
      <c r="G382" s="9"/>
      <c r="H382" s="9"/>
      <c r="J382" s="7"/>
      <c r="K382" s="7"/>
      <c r="L382" s="11"/>
      <c r="M382" s="11"/>
    </row>
    <row r="383" spans="2:13" ht="14.25" customHeight="1" x14ac:dyDescent="0.35">
      <c r="B383" s="7"/>
      <c r="C383" s="7"/>
      <c r="D383" s="7"/>
      <c r="E383" s="7"/>
      <c r="F383" s="7"/>
      <c r="G383" s="9"/>
      <c r="H383" s="9"/>
      <c r="J383" s="7"/>
      <c r="K383" s="7"/>
      <c r="L383" s="11"/>
      <c r="M383" s="11"/>
    </row>
    <row r="384" spans="2:13" ht="14.25" customHeight="1" x14ac:dyDescent="0.35">
      <c r="B384" s="7"/>
      <c r="C384" s="7"/>
      <c r="D384" s="7"/>
      <c r="E384" s="7"/>
      <c r="F384" s="7"/>
      <c r="G384" s="9"/>
      <c r="H384" s="9"/>
      <c r="J384" s="7"/>
      <c r="K384" s="7"/>
      <c r="L384" s="11"/>
      <c r="M384" s="11"/>
    </row>
    <row r="385" spans="2:13" ht="14.25" customHeight="1" x14ac:dyDescent="0.35">
      <c r="B385" s="7"/>
      <c r="C385" s="7"/>
      <c r="D385" s="7"/>
      <c r="E385" s="7"/>
      <c r="F385" s="7"/>
      <c r="G385" s="9"/>
      <c r="H385" s="9"/>
      <c r="J385" s="7"/>
      <c r="K385" s="7"/>
      <c r="L385" s="11"/>
      <c r="M385" s="11"/>
    </row>
    <row r="386" spans="2:13" ht="14.25" customHeight="1" x14ac:dyDescent="0.35">
      <c r="B386" s="7"/>
      <c r="C386" s="7"/>
      <c r="D386" s="7"/>
      <c r="E386" s="7"/>
      <c r="F386" s="7"/>
      <c r="G386" s="9"/>
      <c r="H386" s="9"/>
      <c r="J386" s="7"/>
      <c r="K386" s="7"/>
      <c r="L386" s="11"/>
      <c r="M386" s="11"/>
    </row>
    <row r="387" spans="2:13" ht="14.25" customHeight="1" x14ac:dyDescent="0.35">
      <c r="B387" s="7"/>
      <c r="C387" s="7"/>
      <c r="D387" s="7"/>
      <c r="E387" s="7"/>
      <c r="F387" s="7"/>
      <c r="G387" s="9"/>
      <c r="H387" s="9"/>
      <c r="J387" s="7"/>
      <c r="K387" s="7"/>
      <c r="L387" s="11"/>
      <c r="M387" s="11"/>
    </row>
    <row r="388" spans="2:13" ht="14.25" customHeight="1" x14ac:dyDescent="0.35">
      <c r="B388" s="7"/>
      <c r="C388" s="7"/>
      <c r="D388" s="7"/>
      <c r="E388" s="7"/>
      <c r="F388" s="7"/>
      <c r="G388" s="9"/>
      <c r="H388" s="9"/>
      <c r="J388" s="7"/>
      <c r="K388" s="7"/>
      <c r="L388" s="11"/>
      <c r="M388" s="11"/>
    </row>
    <row r="389" spans="2:13" ht="14.25" customHeight="1" x14ac:dyDescent="0.35">
      <c r="B389" s="7"/>
      <c r="C389" s="7"/>
      <c r="D389" s="7"/>
      <c r="E389" s="7"/>
      <c r="F389" s="7"/>
      <c r="G389" s="9"/>
      <c r="H389" s="9"/>
      <c r="J389" s="7"/>
      <c r="K389" s="7"/>
      <c r="L389" s="11"/>
      <c r="M389" s="11"/>
    </row>
    <row r="390" spans="2:13" ht="14.25" customHeight="1" x14ac:dyDescent="0.35">
      <c r="B390" s="7"/>
      <c r="C390" s="7"/>
      <c r="D390" s="7"/>
      <c r="E390" s="7"/>
      <c r="F390" s="7"/>
      <c r="G390" s="9"/>
      <c r="H390" s="9"/>
      <c r="J390" s="7"/>
      <c r="K390" s="7"/>
      <c r="L390" s="11"/>
      <c r="M390" s="11"/>
    </row>
    <row r="391" spans="2:13" ht="14.25" customHeight="1" x14ac:dyDescent="0.35">
      <c r="B391" s="7"/>
      <c r="C391" s="7"/>
      <c r="D391" s="7"/>
      <c r="E391" s="7"/>
      <c r="F391" s="7"/>
      <c r="G391" s="9"/>
      <c r="H391" s="9"/>
      <c r="J391" s="7"/>
      <c r="K391" s="7"/>
      <c r="L391" s="11"/>
      <c r="M391" s="11"/>
    </row>
    <row r="392" spans="2:13" ht="14.25" customHeight="1" x14ac:dyDescent="0.35">
      <c r="B392" s="7"/>
      <c r="C392" s="7"/>
      <c r="D392" s="7"/>
      <c r="E392" s="7"/>
      <c r="F392" s="7"/>
      <c r="G392" s="9"/>
      <c r="H392" s="9"/>
      <c r="J392" s="7"/>
      <c r="K392" s="7"/>
      <c r="L392" s="11"/>
      <c r="M392" s="11"/>
    </row>
    <row r="393" spans="2:13" ht="14.25" customHeight="1" x14ac:dyDescent="0.35">
      <c r="B393" s="7"/>
      <c r="C393" s="7"/>
      <c r="D393" s="7"/>
      <c r="E393" s="7"/>
      <c r="F393" s="7"/>
      <c r="G393" s="9"/>
      <c r="H393" s="9"/>
      <c r="J393" s="7"/>
      <c r="K393" s="7"/>
      <c r="L393" s="11"/>
      <c r="M393" s="11"/>
    </row>
    <row r="394" spans="2:13" ht="14.25" customHeight="1" x14ac:dyDescent="0.35">
      <c r="B394" s="7"/>
      <c r="C394" s="7"/>
      <c r="D394" s="7"/>
      <c r="E394" s="7"/>
      <c r="F394" s="7"/>
      <c r="G394" s="9"/>
      <c r="H394" s="9"/>
      <c r="J394" s="7"/>
      <c r="K394" s="7"/>
      <c r="L394" s="11"/>
      <c r="M394" s="11"/>
    </row>
    <row r="395" spans="2:13" ht="14.25" customHeight="1" x14ac:dyDescent="0.35">
      <c r="B395" s="7"/>
      <c r="C395" s="7"/>
      <c r="D395" s="7"/>
      <c r="E395" s="7"/>
      <c r="F395" s="7"/>
      <c r="G395" s="9"/>
      <c r="H395" s="9"/>
      <c r="J395" s="7"/>
      <c r="K395" s="7"/>
      <c r="L395" s="11"/>
      <c r="M395" s="11"/>
    </row>
    <row r="396" spans="2:13" ht="14.25" customHeight="1" x14ac:dyDescent="0.35">
      <c r="B396" s="7"/>
      <c r="C396" s="7"/>
      <c r="D396" s="7"/>
      <c r="E396" s="7"/>
      <c r="F396" s="7"/>
      <c r="G396" s="9"/>
      <c r="H396" s="9"/>
      <c r="J396" s="7"/>
      <c r="K396" s="7"/>
      <c r="L396" s="11"/>
      <c r="M396" s="11"/>
    </row>
    <row r="397" spans="2:13" ht="14.25" customHeight="1" x14ac:dyDescent="0.35">
      <c r="B397" s="7"/>
      <c r="C397" s="7"/>
      <c r="D397" s="7"/>
      <c r="E397" s="7"/>
      <c r="F397" s="7"/>
      <c r="G397" s="9"/>
      <c r="H397" s="9"/>
      <c r="J397" s="7"/>
      <c r="K397" s="7"/>
      <c r="L397" s="11"/>
      <c r="M397" s="11"/>
    </row>
    <row r="398" spans="2:13" ht="14.25" customHeight="1" x14ac:dyDescent="0.35">
      <c r="B398" s="7"/>
      <c r="C398" s="7"/>
      <c r="D398" s="7"/>
      <c r="E398" s="7"/>
      <c r="F398" s="7"/>
      <c r="G398" s="9"/>
      <c r="H398" s="9"/>
      <c r="J398" s="7"/>
      <c r="K398" s="7"/>
      <c r="L398" s="11"/>
      <c r="M398" s="11"/>
    </row>
    <row r="399" spans="2:13" ht="14.25" customHeight="1" x14ac:dyDescent="0.35">
      <c r="B399" s="7"/>
      <c r="C399" s="7"/>
      <c r="D399" s="7"/>
      <c r="E399" s="7"/>
      <c r="F399" s="7"/>
      <c r="G399" s="9"/>
      <c r="H399" s="9"/>
      <c r="J399" s="7"/>
      <c r="K399" s="7"/>
      <c r="L399" s="11"/>
      <c r="M399" s="11"/>
    </row>
    <row r="400" spans="2:13" ht="14.25" customHeight="1" x14ac:dyDescent="0.35">
      <c r="B400" s="7"/>
      <c r="C400" s="7"/>
      <c r="D400" s="7"/>
      <c r="E400" s="7"/>
      <c r="F400" s="7"/>
      <c r="G400" s="9"/>
      <c r="H400" s="9"/>
      <c r="J400" s="7"/>
      <c r="K400" s="7"/>
      <c r="L400" s="11"/>
      <c r="M400" s="11"/>
    </row>
    <row r="401" spans="2:13" ht="14.25" customHeight="1" x14ac:dyDescent="0.35">
      <c r="B401" s="7"/>
      <c r="C401" s="7"/>
      <c r="D401" s="7"/>
      <c r="E401" s="7"/>
      <c r="F401" s="7"/>
      <c r="G401" s="9"/>
      <c r="H401" s="9"/>
      <c r="J401" s="7"/>
      <c r="K401" s="7"/>
      <c r="L401" s="11"/>
      <c r="M401" s="11"/>
    </row>
    <row r="402" spans="2:13" ht="14.25" customHeight="1" x14ac:dyDescent="0.35">
      <c r="B402" s="7"/>
      <c r="C402" s="7"/>
      <c r="D402" s="7"/>
      <c r="E402" s="7"/>
      <c r="F402" s="7"/>
      <c r="G402" s="9"/>
      <c r="H402" s="9"/>
      <c r="J402" s="7"/>
      <c r="K402" s="7"/>
      <c r="L402" s="11"/>
      <c r="M402" s="11"/>
    </row>
    <row r="403" spans="2:13" ht="14.25" customHeight="1" x14ac:dyDescent="0.35">
      <c r="B403" s="7"/>
      <c r="C403" s="7"/>
      <c r="D403" s="7"/>
      <c r="E403" s="7"/>
      <c r="F403" s="7"/>
      <c r="G403" s="9"/>
      <c r="H403" s="9"/>
      <c r="J403" s="7"/>
      <c r="K403" s="7"/>
      <c r="L403" s="11"/>
      <c r="M403" s="11"/>
    </row>
    <row r="404" spans="2:13" ht="14.25" customHeight="1" x14ac:dyDescent="0.35">
      <c r="B404" s="7"/>
      <c r="C404" s="7"/>
      <c r="D404" s="7"/>
      <c r="E404" s="7"/>
      <c r="F404" s="7"/>
      <c r="G404" s="9"/>
      <c r="H404" s="9"/>
      <c r="J404" s="7"/>
      <c r="K404" s="7"/>
      <c r="L404" s="11"/>
      <c r="M404" s="11"/>
    </row>
    <row r="405" spans="2:13" ht="14.25" customHeight="1" x14ac:dyDescent="0.35">
      <c r="B405" s="7"/>
      <c r="C405" s="7"/>
      <c r="D405" s="7"/>
      <c r="E405" s="7"/>
      <c r="F405" s="7"/>
      <c r="G405" s="9"/>
      <c r="H405" s="9"/>
      <c r="J405" s="7"/>
      <c r="K405" s="7"/>
      <c r="L405" s="11"/>
      <c r="M405" s="11"/>
    </row>
    <row r="406" spans="2:13" ht="14.25" customHeight="1" x14ac:dyDescent="0.35">
      <c r="B406" s="7"/>
      <c r="C406" s="7"/>
      <c r="D406" s="7"/>
      <c r="E406" s="7"/>
      <c r="F406" s="7"/>
      <c r="G406" s="9"/>
      <c r="H406" s="9"/>
      <c r="J406" s="7"/>
      <c r="K406" s="7"/>
      <c r="L406" s="11"/>
      <c r="M406" s="11"/>
    </row>
    <row r="407" spans="2:13" ht="14.25" customHeight="1" x14ac:dyDescent="0.35">
      <c r="B407" s="7"/>
      <c r="C407" s="7"/>
      <c r="D407" s="7"/>
      <c r="E407" s="7"/>
      <c r="F407" s="7"/>
      <c r="G407" s="9"/>
      <c r="H407" s="9"/>
      <c r="J407" s="7"/>
      <c r="K407" s="7"/>
      <c r="L407" s="11"/>
      <c r="M407" s="11"/>
    </row>
    <row r="408" spans="2:13" ht="14.25" customHeight="1" x14ac:dyDescent="0.35">
      <c r="B408" s="7"/>
      <c r="C408" s="7"/>
      <c r="D408" s="7"/>
      <c r="E408" s="7"/>
      <c r="F408" s="7"/>
      <c r="G408" s="9"/>
      <c r="H408" s="9"/>
      <c r="J408" s="7"/>
      <c r="K408" s="7"/>
      <c r="L408" s="11"/>
      <c r="M408" s="11"/>
    </row>
    <row r="409" spans="2:13" ht="14.25" customHeight="1" x14ac:dyDescent="0.35">
      <c r="B409" s="7"/>
      <c r="C409" s="7"/>
      <c r="D409" s="7"/>
      <c r="E409" s="7"/>
      <c r="F409" s="7"/>
      <c r="G409" s="9"/>
      <c r="H409" s="9"/>
      <c r="J409" s="7"/>
      <c r="K409" s="7"/>
      <c r="L409" s="11"/>
      <c r="M409" s="11"/>
    </row>
    <row r="410" spans="2:13" ht="14.25" customHeight="1" x14ac:dyDescent="0.35">
      <c r="B410" s="7"/>
      <c r="C410" s="7"/>
      <c r="D410" s="7"/>
      <c r="E410" s="7"/>
      <c r="F410" s="7"/>
      <c r="G410" s="9"/>
      <c r="H410" s="9"/>
      <c r="J410" s="7"/>
      <c r="K410" s="7"/>
      <c r="L410" s="11"/>
      <c r="M410" s="11"/>
    </row>
    <row r="411" spans="2:13" ht="14.25" customHeight="1" x14ac:dyDescent="0.35">
      <c r="B411" s="7"/>
      <c r="C411" s="7"/>
      <c r="D411" s="7"/>
      <c r="E411" s="7"/>
      <c r="F411" s="7"/>
      <c r="G411" s="9"/>
      <c r="H411" s="9"/>
      <c r="J411" s="7"/>
      <c r="K411" s="7"/>
      <c r="L411" s="11"/>
      <c r="M411" s="11"/>
    </row>
    <row r="412" spans="2:13" ht="14.25" customHeight="1" x14ac:dyDescent="0.35">
      <c r="B412" s="7"/>
      <c r="C412" s="7"/>
      <c r="D412" s="7"/>
      <c r="E412" s="7"/>
      <c r="F412" s="7"/>
      <c r="G412" s="9"/>
      <c r="H412" s="9"/>
      <c r="J412" s="7"/>
      <c r="K412" s="7"/>
      <c r="L412" s="11"/>
      <c r="M412" s="11"/>
    </row>
    <row r="413" spans="2:13" ht="14.25" customHeight="1" x14ac:dyDescent="0.35">
      <c r="B413" s="7"/>
      <c r="C413" s="7"/>
      <c r="D413" s="7"/>
      <c r="E413" s="7"/>
      <c r="F413" s="7"/>
      <c r="G413" s="9"/>
      <c r="H413" s="9"/>
      <c r="J413" s="7"/>
      <c r="K413" s="7"/>
      <c r="L413" s="11"/>
      <c r="M413" s="11"/>
    </row>
    <row r="414" spans="2:13" ht="14.25" customHeight="1" x14ac:dyDescent="0.35">
      <c r="B414" s="7"/>
      <c r="C414" s="7"/>
      <c r="D414" s="7"/>
      <c r="E414" s="7"/>
      <c r="F414" s="7"/>
      <c r="G414" s="9"/>
      <c r="H414" s="9"/>
      <c r="J414" s="7"/>
      <c r="K414" s="7"/>
      <c r="L414" s="11"/>
      <c r="M414" s="11"/>
    </row>
    <row r="415" spans="2:13" ht="14.25" customHeight="1" x14ac:dyDescent="0.35">
      <c r="B415" s="7"/>
      <c r="C415" s="7"/>
      <c r="D415" s="7"/>
      <c r="E415" s="7"/>
      <c r="F415" s="7"/>
      <c r="G415" s="9"/>
      <c r="H415" s="9"/>
      <c r="J415" s="7"/>
      <c r="K415" s="7"/>
      <c r="L415" s="11"/>
      <c r="M415" s="11"/>
    </row>
    <row r="416" spans="2:13" ht="14.25" customHeight="1" x14ac:dyDescent="0.35">
      <c r="B416" s="7"/>
      <c r="C416" s="7"/>
      <c r="D416" s="7"/>
      <c r="E416" s="7"/>
      <c r="F416" s="7"/>
      <c r="G416" s="9"/>
      <c r="H416" s="9"/>
      <c r="J416" s="7"/>
      <c r="K416" s="7"/>
      <c r="L416" s="11"/>
      <c r="M416" s="11"/>
    </row>
    <row r="417" spans="2:13" ht="14.25" customHeight="1" x14ac:dyDescent="0.35">
      <c r="B417" s="7"/>
      <c r="C417" s="7"/>
      <c r="D417" s="7"/>
      <c r="E417" s="7"/>
      <c r="F417" s="7"/>
      <c r="G417" s="9"/>
      <c r="H417" s="9"/>
      <c r="J417" s="7"/>
      <c r="K417" s="7"/>
      <c r="L417" s="11"/>
      <c r="M417" s="11"/>
    </row>
    <row r="418" spans="2:13" ht="14.25" customHeight="1" x14ac:dyDescent="0.35">
      <c r="B418" s="7"/>
      <c r="C418" s="7"/>
      <c r="D418" s="7"/>
      <c r="E418" s="7"/>
      <c r="F418" s="7"/>
      <c r="G418" s="9"/>
      <c r="H418" s="9"/>
      <c r="J418" s="7"/>
      <c r="K418" s="7"/>
      <c r="L418" s="11"/>
      <c r="M418" s="11"/>
    </row>
    <row r="419" spans="2:13" ht="14.25" customHeight="1" x14ac:dyDescent="0.35">
      <c r="B419" s="7"/>
      <c r="C419" s="7"/>
      <c r="D419" s="7"/>
      <c r="E419" s="7"/>
      <c r="F419" s="7"/>
      <c r="G419" s="9"/>
      <c r="H419" s="9"/>
      <c r="J419" s="7"/>
      <c r="K419" s="7"/>
      <c r="L419" s="11"/>
      <c r="M419" s="11"/>
    </row>
    <row r="420" spans="2:13" ht="14.25" customHeight="1" x14ac:dyDescent="0.35">
      <c r="B420" s="7"/>
      <c r="C420" s="7"/>
      <c r="D420" s="7"/>
      <c r="E420" s="7"/>
      <c r="F420" s="7"/>
      <c r="G420" s="9"/>
      <c r="H420" s="9"/>
      <c r="J420" s="7"/>
      <c r="K420" s="7"/>
      <c r="L420" s="11"/>
      <c r="M420" s="11"/>
    </row>
    <row r="421" spans="2:13" ht="14.25" customHeight="1" x14ac:dyDescent="0.35">
      <c r="B421" s="7"/>
      <c r="C421" s="7"/>
      <c r="D421" s="7"/>
      <c r="E421" s="7"/>
      <c r="F421" s="7"/>
      <c r="G421" s="9"/>
      <c r="H421" s="9"/>
      <c r="J421" s="7"/>
      <c r="K421" s="7"/>
      <c r="L421" s="11"/>
      <c r="M421" s="11"/>
    </row>
    <row r="422" spans="2:13" ht="14.25" customHeight="1" x14ac:dyDescent="0.35">
      <c r="B422" s="7"/>
      <c r="C422" s="7"/>
      <c r="D422" s="7"/>
      <c r="E422" s="7"/>
      <c r="F422" s="7"/>
      <c r="G422" s="9"/>
      <c r="H422" s="9"/>
      <c r="J422" s="7"/>
      <c r="K422" s="7"/>
      <c r="L422" s="11"/>
      <c r="M422" s="11"/>
    </row>
    <row r="423" spans="2:13" ht="14.25" customHeight="1" x14ac:dyDescent="0.35">
      <c r="B423" s="7"/>
      <c r="C423" s="7"/>
      <c r="D423" s="7"/>
      <c r="E423" s="7"/>
      <c r="F423" s="7"/>
      <c r="G423" s="9"/>
      <c r="H423" s="9"/>
      <c r="J423" s="7"/>
      <c r="K423" s="7"/>
      <c r="L423" s="11"/>
      <c r="M423" s="11"/>
    </row>
    <row r="424" spans="2:13" ht="14.25" customHeight="1" x14ac:dyDescent="0.35">
      <c r="B424" s="7"/>
      <c r="C424" s="7"/>
      <c r="D424" s="7"/>
      <c r="E424" s="7"/>
      <c r="F424" s="7"/>
      <c r="G424" s="9"/>
      <c r="H424" s="9"/>
      <c r="J424" s="7"/>
      <c r="K424" s="7"/>
      <c r="L424" s="11"/>
      <c r="M424" s="11"/>
    </row>
    <row r="425" spans="2:13" ht="14.25" customHeight="1" x14ac:dyDescent="0.35">
      <c r="B425" s="7"/>
      <c r="C425" s="7"/>
      <c r="D425" s="7"/>
      <c r="E425" s="7"/>
      <c r="F425" s="7"/>
      <c r="G425" s="9"/>
      <c r="H425" s="9"/>
      <c r="J425" s="7"/>
      <c r="K425" s="7"/>
      <c r="L425" s="11"/>
      <c r="M425" s="11"/>
    </row>
    <row r="426" spans="2:13" ht="14.25" customHeight="1" x14ac:dyDescent="0.35">
      <c r="B426" s="7"/>
      <c r="C426" s="7"/>
      <c r="D426" s="7"/>
      <c r="E426" s="7"/>
      <c r="F426" s="7"/>
      <c r="G426" s="9"/>
      <c r="H426" s="9"/>
      <c r="J426" s="7"/>
      <c r="K426" s="7"/>
      <c r="L426" s="11"/>
      <c r="M426" s="11"/>
    </row>
    <row r="427" spans="2:13" ht="14.25" customHeight="1" x14ac:dyDescent="0.35">
      <c r="B427" s="7"/>
      <c r="C427" s="7"/>
      <c r="D427" s="7"/>
      <c r="E427" s="7"/>
      <c r="F427" s="7"/>
      <c r="G427" s="9"/>
      <c r="H427" s="9"/>
      <c r="J427" s="7"/>
      <c r="K427" s="7"/>
      <c r="L427" s="11"/>
      <c r="M427" s="11"/>
    </row>
    <row r="428" spans="2:13" ht="14.25" customHeight="1" x14ac:dyDescent="0.35">
      <c r="B428" s="7"/>
      <c r="C428" s="7"/>
      <c r="D428" s="7"/>
      <c r="E428" s="7"/>
      <c r="F428" s="7"/>
      <c r="G428" s="9"/>
      <c r="H428" s="9"/>
      <c r="J428" s="7"/>
      <c r="K428" s="7"/>
      <c r="L428" s="11"/>
      <c r="M428" s="11"/>
    </row>
    <row r="429" spans="2:13" ht="14.25" customHeight="1" x14ac:dyDescent="0.35">
      <c r="B429" s="7"/>
      <c r="C429" s="7"/>
      <c r="D429" s="7"/>
      <c r="E429" s="7"/>
      <c r="F429" s="7"/>
      <c r="G429" s="9"/>
      <c r="H429" s="9"/>
      <c r="J429" s="7"/>
      <c r="K429" s="7"/>
      <c r="L429" s="11"/>
      <c r="M429" s="11"/>
    </row>
    <row r="430" spans="2:13" ht="14.25" customHeight="1" x14ac:dyDescent="0.35">
      <c r="B430" s="7"/>
      <c r="C430" s="7"/>
      <c r="D430" s="7"/>
      <c r="E430" s="7"/>
      <c r="F430" s="7"/>
      <c r="G430" s="9"/>
      <c r="H430" s="9"/>
      <c r="J430" s="7"/>
      <c r="K430" s="7"/>
      <c r="L430" s="11"/>
      <c r="M430" s="11"/>
    </row>
    <row r="431" spans="2:13" ht="14.25" customHeight="1" x14ac:dyDescent="0.35">
      <c r="B431" s="7"/>
      <c r="C431" s="7"/>
      <c r="D431" s="7"/>
      <c r="E431" s="7"/>
      <c r="F431" s="7"/>
      <c r="G431" s="9"/>
      <c r="H431" s="9"/>
      <c r="J431" s="7"/>
      <c r="K431" s="7"/>
      <c r="L431" s="11"/>
      <c r="M431" s="11"/>
    </row>
    <row r="432" spans="2:13" ht="14.25" customHeight="1" x14ac:dyDescent="0.35">
      <c r="B432" s="7"/>
      <c r="C432" s="7"/>
      <c r="D432" s="7"/>
      <c r="E432" s="7"/>
      <c r="F432" s="7"/>
      <c r="G432" s="9"/>
      <c r="H432" s="9"/>
      <c r="J432" s="7"/>
      <c r="K432" s="7"/>
      <c r="L432" s="11"/>
      <c r="M432" s="11"/>
    </row>
    <row r="433" spans="2:13" ht="14.25" customHeight="1" x14ac:dyDescent="0.35">
      <c r="B433" s="7"/>
      <c r="C433" s="7"/>
      <c r="D433" s="7"/>
      <c r="E433" s="7"/>
      <c r="F433" s="7"/>
      <c r="G433" s="9"/>
      <c r="H433" s="9"/>
      <c r="J433" s="7"/>
      <c r="K433" s="7"/>
      <c r="L433" s="11"/>
      <c r="M433" s="11"/>
    </row>
    <row r="434" spans="2:13" ht="14.25" customHeight="1" x14ac:dyDescent="0.35">
      <c r="B434" s="7"/>
      <c r="C434" s="7"/>
      <c r="D434" s="7"/>
      <c r="E434" s="7"/>
      <c r="F434" s="7"/>
      <c r="G434" s="9"/>
      <c r="H434" s="9"/>
      <c r="J434" s="7"/>
      <c r="K434" s="7"/>
      <c r="L434" s="11"/>
      <c r="M434" s="11"/>
    </row>
    <row r="435" spans="2:13" ht="14.25" customHeight="1" x14ac:dyDescent="0.35">
      <c r="B435" s="7"/>
      <c r="C435" s="7"/>
      <c r="D435" s="7"/>
      <c r="E435" s="7"/>
      <c r="F435" s="7"/>
      <c r="G435" s="9"/>
      <c r="H435" s="9"/>
      <c r="J435" s="7"/>
      <c r="K435" s="7"/>
      <c r="L435" s="11"/>
      <c r="M435" s="11"/>
    </row>
    <row r="436" spans="2:13" ht="14.25" customHeight="1" x14ac:dyDescent="0.35">
      <c r="B436" s="7"/>
      <c r="C436" s="7"/>
      <c r="D436" s="7"/>
      <c r="E436" s="7"/>
      <c r="F436" s="7"/>
      <c r="G436" s="9"/>
      <c r="H436" s="9"/>
      <c r="J436" s="7"/>
      <c r="K436" s="7"/>
      <c r="L436" s="11"/>
      <c r="M436" s="11"/>
    </row>
    <row r="437" spans="2:13" ht="14.25" customHeight="1" x14ac:dyDescent="0.35">
      <c r="B437" s="7"/>
      <c r="C437" s="7"/>
      <c r="D437" s="7"/>
      <c r="E437" s="7"/>
      <c r="F437" s="7"/>
      <c r="G437" s="9"/>
      <c r="H437" s="9"/>
      <c r="J437" s="7"/>
      <c r="K437" s="7"/>
      <c r="L437" s="11"/>
      <c r="M437" s="11"/>
    </row>
    <row r="438" spans="2:13" ht="14.25" customHeight="1" x14ac:dyDescent="0.35">
      <c r="B438" s="7"/>
      <c r="C438" s="7"/>
      <c r="D438" s="7"/>
      <c r="E438" s="7"/>
      <c r="F438" s="7"/>
      <c r="G438" s="9"/>
      <c r="H438" s="9"/>
      <c r="J438" s="7"/>
      <c r="K438" s="7"/>
      <c r="L438" s="11"/>
      <c r="M438" s="11"/>
    </row>
    <row r="439" spans="2:13" ht="14.25" customHeight="1" x14ac:dyDescent="0.35">
      <c r="B439" s="7"/>
      <c r="C439" s="7"/>
      <c r="D439" s="7"/>
      <c r="E439" s="7"/>
      <c r="F439" s="7"/>
      <c r="G439" s="9"/>
      <c r="H439" s="9"/>
      <c r="J439" s="7"/>
      <c r="K439" s="7"/>
      <c r="L439" s="11"/>
      <c r="M439" s="11"/>
    </row>
    <row r="440" spans="2:13" ht="14.25" customHeight="1" x14ac:dyDescent="0.35">
      <c r="B440" s="7"/>
      <c r="C440" s="7"/>
      <c r="D440" s="7"/>
      <c r="E440" s="7"/>
      <c r="F440" s="7"/>
      <c r="G440" s="9"/>
      <c r="H440" s="9"/>
      <c r="J440" s="7"/>
      <c r="K440" s="7"/>
      <c r="L440" s="11"/>
      <c r="M440" s="11"/>
    </row>
    <row r="441" spans="2:13" ht="14.25" customHeight="1" x14ac:dyDescent="0.35">
      <c r="B441" s="7"/>
      <c r="C441" s="7"/>
      <c r="D441" s="7"/>
      <c r="E441" s="7"/>
      <c r="F441" s="7"/>
      <c r="G441" s="9"/>
      <c r="H441" s="9"/>
      <c r="J441" s="7"/>
      <c r="K441" s="7"/>
      <c r="L441" s="11"/>
      <c r="M441" s="11"/>
    </row>
    <row r="442" spans="2:13" ht="14.25" customHeight="1" x14ac:dyDescent="0.35">
      <c r="B442" s="7"/>
      <c r="C442" s="7"/>
      <c r="D442" s="7"/>
      <c r="E442" s="7"/>
      <c r="F442" s="7"/>
      <c r="G442" s="9"/>
      <c r="H442" s="9"/>
      <c r="J442" s="7"/>
      <c r="K442" s="7"/>
      <c r="L442" s="11"/>
      <c r="M442" s="11"/>
    </row>
    <row r="443" spans="2:13" ht="14.25" customHeight="1" x14ac:dyDescent="0.35">
      <c r="B443" s="7"/>
      <c r="C443" s="7"/>
      <c r="D443" s="7"/>
      <c r="E443" s="7"/>
      <c r="F443" s="7"/>
      <c r="G443" s="9"/>
      <c r="H443" s="9"/>
      <c r="J443" s="7"/>
      <c r="K443" s="7"/>
      <c r="L443" s="11"/>
      <c r="M443" s="11"/>
    </row>
    <row r="444" spans="2:13" ht="14.25" customHeight="1" x14ac:dyDescent="0.35">
      <c r="B444" s="7"/>
      <c r="C444" s="7"/>
      <c r="D444" s="7"/>
      <c r="E444" s="7"/>
      <c r="F444" s="7"/>
      <c r="G444" s="9"/>
      <c r="H444" s="9"/>
      <c r="J444" s="7"/>
      <c r="K444" s="7"/>
      <c r="L444" s="11"/>
      <c r="M444" s="11"/>
    </row>
    <row r="445" spans="2:13" ht="14.25" customHeight="1" x14ac:dyDescent="0.35">
      <c r="B445" s="7"/>
      <c r="C445" s="7"/>
      <c r="D445" s="7"/>
      <c r="E445" s="7"/>
      <c r="F445" s="7"/>
      <c r="G445" s="9"/>
      <c r="H445" s="9"/>
      <c r="J445" s="7"/>
      <c r="K445" s="7"/>
      <c r="L445" s="11"/>
      <c r="M445" s="11"/>
    </row>
    <row r="446" spans="2:13" ht="14.25" customHeight="1" x14ac:dyDescent="0.35">
      <c r="B446" s="7"/>
      <c r="C446" s="7"/>
      <c r="D446" s="7"/>
      <c r="E446" s="7"/>
      <c r="F446" s="7"/>
      <c r="G446" s="9"/>
      <c r="H446" s="9"/>
      <c r="J446" s="7"/>
      <c r="K446" s="7"/>
      <c r="L446" s="11"/>
      <c r="M446" s="11"/>
    </row>
    <row r="447" spans="2:13" ht="14.25" customHeight="1" x14ac:dyDescent="0.35">
      <c r="B447" s="7"/>
      <c r="C447" s="7"/>
      <c r="D447" s="7"/>
      <c r="E447" s="7"/>
      <c r="F447" s="7"/>
      <c r="G447" s="9"/>
      <c r="H447" s="9"/>
      <c r="J447" s="7"/>
      <c r="K447" s="7"/>
      <c r="L447" s="11"/>
      <c r="M447" s="11"/>
    </row>
    <row r="448" spans="2:13" ht="14.25" customHeight="1" x14ac:dyDescent="0.35">
      <c r="B448" s="7"/>
      <c r="C448" s="7"/>
      <c r="D448" s="7"/>
      <c r="E448" s="7"/>
      <c r="F448" s="7"/>
      <c r="G448" s="9"/>
      <c r="H448" s="9"/>
      <c r="J448" s="7"/>
      <c r="K448" s="7"/>
      <c r="L448" s="11"/>
      <c r="M448" s="11"/>
    </row>
    <row r="449" spans="2:13" ht="14.25" customHeight="1" x14ac:dyDescent="0.35">
      <c r="B449" s="7"/>
      <c r="C449" s="7"/>
      <c r="D449" s="7"/>
      <c r="E449" s="7"/>
      <c r="F449" s="7"/>
      <c r="G449" s="9"/>
      <c r="H449" s="9"/>
      <c r="J449" s="7"/>
      <c r="K449" s="7"/>
      <c r="L449" s="11"/>
      <c r="M449" s="11"/>
    </row>
    <row r="450" spans="2:13" ht="14.25" customHeight="1" x14ac:dyDescent="0.35">
      <c r="B450" s="7"/>
      <c r="C450" s="7"/>
      <c r="D450" s="7"/>
      <c r="E450" s="7"/>
      <c r="F450" s="7"/>
      <c r="G450" s="9"/>
      <c r="H450" s="9"/>
      <c r="J450" s="7"/>
      <c r="K450" s="7"/>
      <c r="L450" s="11"/>
      <c r="M450" s="11"/>
    </row>
    <row r="451" spans="2:13" ht="14.25" customHeight="1" x14ac:dyDescent="0.35">
      <c r="B451" s="7"/>
      <c r="C451" s="7"/>
      <c r="D451" s="7"/>
      <c r="E451" s="7"/>
      <c r="F451" s="7"/>
      <c r="G451" s="9"/>
      <c r="H451" s="9"/>
      <c r="J451" s="7"/>
      <c r="K451" s="7"/>
      <c r="L451" s="11"/>
      <c r="M451" s="11"/>
    </row>
    <row r="452" spans="2:13" ht="14.25" customHeight="1" x14ac:dyDescent="0.35">
      <c r="B452" s="7"/>
      <c r="C452" s="7"/>
      <c r="D452" s="7"/>
      <c r="E452" s="7"/>
      <c r="F452" s="7"/>
      <c r="G452" s="9"/>
      <c r="H452" s="9"/>
      <c r="J452" s="7"/>
      <c r="K452" s="7"/>
      <c r="L452" s="11"/>
      <c r="M452" s="11"/>
    </row>
    <row r="453" spans="2:13" ht="14.25" customHeight="1" x14ac:dyDescent="0.35">
      <c r="B453" s="7"/>
      <c r="C453" s="7"/>
      <c r="D453" s="7"/>
      <c r="E453" s="7"/>
      <c r="F453" s="7"/>
      <c r="G453" s="9"/>
      <c r="H453" s="9"/>
      <c r="J453" s="7"/>
      <c r="K453" s="7"/>
      <c r="L453" s="11"/>
      <c r="M453" s="11"/>
    </row>
    <row r="454" spans="2:13" ht="14.25" customHeight="1" x14ac:dyDescent="0.35">
      <c r="B454" s="7"/>
      <c r="C454" s="7"/>
      <c r="D454" s="7"/>
      <c r="E454" s="7"/>
      <c r="F454" s="7"/>
      <c r="G454" s="9"/>
      <c r="H454" s="9"/>
      <c r="J454" s="7"/>
      <c r="K454" s="7"/>
      <c r="L454" s="11"/>
      <c r="M454" s="11"/>
    </row>
    <row r="455" spans="2:13" ht="14.25" customHeight="1" x14ac:dyDescent="0.35">
      <c r="B455" s="7"/>
      <c r="C455" s="7"/>
      <c r="D455" s="7"/>
      <c r="E455" s="7"/>
      <c r="F455" s="7"/>
      <c r="G455" s="9"/>
      <c r="H455" s="9"/>
      <c r="J455" s="7"/>
      <c r="K455" s="7"/>
      <c r="L455" s="11"/>
      <c r="M455" s="11"/>
    </row>
    <row r="456" spans="2:13" ht="14.25" customHeight="1" x14ac:dyDescent="0.35">
      <c r="B456" s="7"/>
      <c r="C456" s="7"/>
      <c r="D456" s="7"/>
      <c r="E456" s="7"/>
      <c r="F456" s="7"/>
      <c r="G456" s="9"/>
      <c r="H456" s="9"/>
      <c r="J456" s="7"/>
      <c r="K456" s="7"/>
      <c r="L456" s="11"/>
      <c r="M456" s="11"/>
    </row>
    <row r="457" spans="2:13" ht="14.25" customHeight="1" x14ac:dyDescent="0.35">
      <c r="B457" s="7"/>
      <c r="C457" s="7"/>
      <c r="D457" s="7"/>
      <c r="E457" s="7"/>
      <c r="F457" s="7"/>
      <c r="G457" s="9"/>
      <c r="H457" s="9"/>
      <c r="J457" s="7"/>
      <c r="K457" s="7"/>
      <c r="L457" s="11"/>
      <c r="M457" s="11"/>
    </row>
    <row r="458" spans="2:13" ht="14.25" customHeight="1" x14ac:dyDescent="0.35">
      <c r="B458" s="7"/>
      <c r="C458" s="7"/>
      <c r="D458" s="7"/>
      <c r="E458" s="7"/>
      <c r="F458" s="7"/>
      <c r="G458" s="9"/>
      <c r="H458" s="9"/>
      <c r="J458" s="7"/>
      <c r="K458" s="7"/>
      <c r="L458" s="11"/>
      <c r="M458" s="11"/>
    </row>
    <row r="459" spans="2:13" ht="14.25" customHeight="1" x14ac:dyDescent="0.35">
      <c r="B459" s="7"/>
      <c r="C459" s="7"/>
      <c r="D459" s="7"/>
      <c r="E459" s="7"/>
      <c r="F459" s="7"/>
      <c r="G459" s="9"/>
      <c r="H459" s="9"/>
      <c r="J459" s="7"/>
      <c r="K459" s="7"/>
      <c r="L459" s="11"/>
      <c r="M459" s="11"/>
    </row>
    <row r="460" spans="2:13" ht="14.25" customHeight="1" x14ac:dyDescent="0.35">
      <c r="B460" s="7"/>
      <c r="C460" s="7"/>
      <c r="D460" s="7"/>
      <c r="E460" s="7"/>
      <c r="F460" s="7"/>
      <c r="G460" s="9"/>
      <c r="H460" s="9"/>
      <c r="J460" s="7"/>
      <c r="K460" s="7"/>
      <c r="L460" s="11"/>
      <c r="M460" s="11"/>
    </row>
    <row r="461" spans="2:13" ht="14.25" customHeight="1" x14ac:dyDescent="0.35">
      <c r="B461" s="7"/>
      <c r="C461" s="7"/>
      <c r="D461" s="7"/>
      <c r="E461" s="7"/>
      <c r="F461" s="7"/>
      <c r="G461" s="9"/>
      <c r="H461" s="9"/>
      <c r="J461" s="7"/>
      <c r="K461" s="7"/>
      <c r="L461" s="11"/>
      <c r="M461" s="11"/>
    </row>
    <row r="462" spans="2:13" ht="14.25" customHeight="1" x14ac:dyDescent="0.35">
      <c r="B462" s="7"/>
      <c r="C462" s="7"/>
      <c r="D462" s="7"/>
      <c r="E462" s="7"/>
      <c r="F462" s="7"/>
      <c r="G462" s="9"/>
      <c r="H462" s="9"/>
      <c r="J462" s="7"/>
      <c r="K462" s="7"/>
      <c r="L462" s="11"/>
      <c r="M462" s="11"/>
    </row>
    <row r="463" spans="2:13" ht="14.25" customHeight="1" x14ac:dyDescent="0.35">
      <c r="B463" s="7"/>
      <c r="C463" s="7"/>
      <c r="D463" s="7"/>
      <c r="E463" s="7"/>
      <c r="F463" s="7"/>
      <c r="G463" s="9"/>
      <c r="H463" s="9"/>
      <c r="J463" s="7"/>
      <c r="K463" s="7"/>
      <c r="L463" s="11"/>
      <c r="M463" s="11"/>
    </row>
    <row r="464" spans="2:13" ht="14.25" customHeight="1" x14ac:dyDescent="0.35">
      <c r="B464" s="7"/>
      <c r="C464" s="7"/>
      <c r="D464" s="7"/>
      <c r="E464" s="7"/>
      <c r="F464" s="7"/>
      <c r="G464" s="9"/>
      <c r="H464" s="9"/>
      <c r="J464" s="7"/>
      <c r="K464" s="7"/>
      <c r="L464" s="11"/>
      <c r="M464" s="11"/>
    </row>
    <row r="465" spans="2:13" ht="14.25" customHeight="1" x14ac:dyDescent="0.35">
      <c r="B465" s="7"/>
      <c r="C465" s="7"/>
      <c r="D465" s="7"/>
      <c r="E465" s="7"/>
      <c r="F465" s="7"/>
      <c r="G465" s="9"/>
      <c r="H465" s="9"/>
      <c r="J465" s="7"/>
      <c r="K465" s="7"/>
      <c r="L465" s="11"/>
      <c r="M465" s="11"/>
    </row>
    <row r="466" spans="2:13" ht="14.25" customHeight="1" x14ac:dyDescent="0.35">
      <c r="B466" s="7"/>
      <c r="C466" s="7"/>
      <c r="D466" s="7"/>
      <c r="E466" s="7"/>
      <c r="F466" s="7"/>
      <c r="G466" s="9"/>
      <c r="H466" s="9"/>
      <c r="J466" s="7"/>
      <c r="K466" s="7"/>
      <c r="L466" s="11"/>
      <c r="M466" s="11"/>
    </row>
    <row r="467" spans="2:13" ht="14.25" customHeight="1" x14ac:dyDescent="0.35">
      <c r="B467" s="7"/>
      <c r="C467" s="7"/>
      <c r="D467" s="7"/>
      <c r="E467" s="7"/>
      <c r="F467" s="7"/>
      <c r="G467" s="9"/>
      <c r="H467" s="9"/>
      <c r="J467" s="7"/>
      <c r="K467" s="7"/>
      <c r="L467" s="11"/>
      <c r="M467" s="11"/>
    </row>
    <row r="468" spans="2:13" ht="14.25" customHeight="1" x14ac:dyDescent="0.35">
      <c r="B468" s="7"/>
      <c r="C468" s="7"/>
      <c r="D468" s="7"/>
      <c r="E468" s="7"/>
      <c r="F468" s="7"/>
      <c r="G468" s="9"/>
      <c r="H468" s="9"/>
      <c r="J468" s="7"/>
      <c r="K468" s="7"/>
      <c r="L468" s="11"/>
      <c r="M468" s="11"/>
    </row>
    <row r="469" spans="2:13" ht="14.25" customHeight="1" x14ac:dyDescent="0.35">
      <c r="B469" s="7"/>
      <c r="C469" s="7"/>
      <c r="D469" s="7"/>
      <c r="E469" s="7"/>
      <c r="F469" s="7"/>
      <c r="G469" s="9"/>
      <c r="H469" s="9"/>
      <c r="J469" s="7"/>
      <c r="K469" s="7"/>
      <c r="L469" s="11"/>
      <c r="M469" s="11"/>
    </row>
    <row r="470" spans="2:13" ht="14.25" customHeight="1" x14ac:dyDescent="0.35">
      <c r="B470" s="7"/>
      <c r="C470" s="7"/>
      <c r="D470" s="7"/>
      <c r="E470" s="7"/>
      <c r="F470" s="7"/>
      <c r="G470" s="9"/>
      <c r="H470" s="9"/>
      <c r="J470" s="7"/>
      <c r="K470" s="7"/>
      <c r="L470" s="11"/>
      <c r="M470" s="11"/>
    </row>
    <row r="471" spans="2:13" ht="14.25" customHeight="1" x14ac:dyDescent="0.35">
      <c r="B471" s="7"/>
      <c r="C471" s="7"/>
      <c r="D471" s="7"/>
      <c r="E471" s="7"/>
      <c r="F471" s="7"/>
      <c r="G471" s="9"/>
      <c r="H471" s="9"/>
      <c r="J471" s="7"/>
      <c r="K471" s="7"/>
      <c r="L471" s="11"/>
      <c r="M471" s="11"/>
    </row>
    <row r="472" spans="2:13" ht="14.25" customHeight="1" x14ac:dyDescent="0.35">
      <c r="B472" s="7"/>
      <c r="C472" s="7"/>
      <c r="D472" s="7"/>
      <c r="E472" s="7"/>
      <c r="F472" s="7"/>
      <c r="G472" s="9"/>
      <c r="H472" s="9"/>
      <c r="J472" s="7"/>
      <c r="K472" s="7"/>
      <c r="L472" s="11"/>
      <c r="M472" s="11"/>
    </row>
    <row r="473" spans="2:13" ht="14.25" customHeight="1" x14ac:dyDescent="0.35">
      <c r="B473" s="7"/>
      <c r="C473" s="7"/>
      <c r="D473" s="7"/>
      <c r="E473" s="7"/>
      <c r="F473" s="7"/>
      <c r="G473" s="9"/>
      <c r="H473" s="9"/>
      <c r="J473" s="7"/>
      <c r="K473" s="7"/>
      <c r="L473" s="11"/>
      <c r="M473" s="11"/>
    </row>
    <row r="474" spans="2:13" ht="14.25" customHeight="1" x14ac:dyDescent="0.35">
      <c r="B474" s="7"/>
      <c r="C474" s="7"/>
      <c r="D474" s="7"/>
      <c r="E474" s="7"/>
      <c r="F474" s="7"/>
      <c r="G474" s="9"/>
      <c r="H474" s="9"/>
      <c r="J474" s="7"/>
      <c r="K474" s="7"/>
      <c r="L474" s="11"/>
      <c r="M474" s="11"/>
    </row>
    <row r="475" spans="2:13" ht="14.25" customHeight="1" x14ac:dyDescent="0.35">
      <c r="B475" s="7"/>
      <c r="C475" s="7"/>
      <c r="D475" s="7"/>
      <c r="E475" s="7"/>
      <c r="F475" s="7"/>
      <c r="G475" s="9"/>
      <c r="H475" s="9"/>
      <c r="J475" s="7"/>
      <c r="K475" s="7"/>
      <c r="L475" s="11"/>
      <c r="M475" s="11"/>
    </row>
    <row r="476" spans="2:13" ht="14.25" customHeight="1" x14ac:dyDescent="0.35">
      <c r="B476" s="7"/>
      <c r="C476" s="7"/>
      <c r="D476" s="7"/>
      <c r="E476" s="7"/>
      <c r="F476" s="7"/>
      <c r="G476" s="9"/>
      <c r="H476" s="9"/>
      <c r="J476" s="7"/>
      <c r="K476" s="7"/>
      <c r="L476" s="11"/>
      <c r="M476" s="11"/>
    </row>
    <row r="477" spans="2:13" ht="14.25" customHeight="1" x14ac:dyDescent="0.35">
      <c r="B477" s="7"/>
      <c r="C477" s="7"/>
      <c r="D477" s="7"/>
      <c r="E477" s="7"/>
      <c r="F477" s="7"/>
      <c r="G477" s="9"/>
      <c r="H477" s="9"/>
      <c r="J477" s="7"/>
      <c r="K477" s="7"/>
      <c r="L477" s="11"/>
      <c r="M477" s="11"/>
    </row>
    <row r="478" spans="2:13" ht="14.25" customHeight="1" x14ac:dyDescent="0.35">
      <c r="B478" s="7"/>
      <c r="C478" s="7"/>
      <c r="D478" s="7"/>
      <c r="E478" s="7"/>
      <c r="F478" s="7"/>
      <c r="G478" s="9"/>
      <c r="H478" s="9"/>
      <c r="J478" s="7"/>
      <c r="K478" s="7"/>
      <c r="L478" s="11"/>
      <c r="M478" s="11"/>
    </row>
    <row r="479" spans="2:13" ht="14.25" customHeight="1" x14ac:dyDescent="0.35">
      <c r="B479" s="7"/>
      <c r="C479" s="7"/>
      <c r="D479" s="7"/>
      <c r="E479" s="7"/>
      <c r="F479" s="7"/>
      <c r="G479" s="9"/>
      <c r="H479" s="9"/>
      <c r="J479" s="7"/>
      <c r="K479" s="7"/>
      <c r="L479" s="11"/>
      <c r="M479" s="11"/>
    </row>
    <row r="480" spans="2:13" ht="14.25" customHeight="1" x14ac:dyDescent="0.35">
      <c r="B480" s="7"/>
      <c r="C480" s="7"/>
      <c r="D480" s="7"/>
      <c r="E480" s="7"/>
      <c r="F480" s="7"/>
      <c r="G480" s="9"/>
      <c r="H480" s="9"/>
      <c r="J480" s="7"/>
      <c r="K480" s="7"/>
      <c r="L480" s="11"/>
      <c r="M480" s="11"/>
    </row>
    <row r="481" spans="2:13" ht="14.25" customHeight="1" x14ac:dyDescent="0.35">
      <c r="B481" s="7"/>
      <c r="C481" s="7"/>
      <c r="D481" s="7"/>
      <c r="E481" s="7"/>
      <c r="F481" s="7"/>
      <c r="G481" s="9"/>
      <c r="H481" s="9"/>
      <c r="J481" s="7"/>
      <c r="K481" s="7"/>
      <c r="L481" s="11"/>
      <c r="M481" s="11"/>
    </row>
    <row r="482" spans="2:13" ht="14.25" customHeight="1" x14ac:dyDescent="0.35">
      <c r="B482" s="7"/>
      <c r="C482" s="7"/>
      <c r="D482" s="7"/>
      <c r="E482" s="7"/>
      <c r="F482" s="7"/>
      <c r="G482" s="9"/>
      <c r="H482" s="9"/>
      <c r="J482" s="7"/>
      <c r="K482" s="7"/>
      <c r="L482" s="11"/>
      <c r="M482" s="11"/>
    </row>
    <row r="483" spans="2:13" ht="14.25" customHeight="1" x14ac:dyDescent="0.35">
      <c r="B483" s="7"/>
      <c r="C483" s="7"/>
      <c r="D483" s="7"/>
      <c r="E483" s="7"/>
      <c r="F483" s="7"/>
      <c r="G483" s="9"/>
      <c r="H483" s="9"/>
      <c r="J483" s="7"/>
      <c r="K483" s="7"/>
      <c r="L483" s="11"/>
      <c r="M483" s="11"/>
    </row>
    <row r="484" spans="2:13" ht="14.25" customHeight="1" x14ac:dyDescent="0.35">
      <c r="B484" s="7"/>
      <c r="C484" s="7"/>
      <c r="D484" s="7"/>
      <c r="E484" s="7"/>
      <c r="F484" s="7"/>
      <c r="G484" s="9"/>
      <c r="H484" s="9"/>
      <c r="J484" s="7"/>
      <c r="K484" s="7"/>
      <c r="L484" s="11"/>
      <c r="M484" s="11"/>
    </row>
    <row r="485" spans="2:13" ht="14.25" customHeight="1" x14ac:dyDescent="0.35">
      <c r="B485" s="7"/>
      <c r="C485" s="7"/>
      <c r="D485" s="7"/>
      <c r="E485" s="7"/>
      <c r="F485" s="7"/>
      <c r="G485" s="9"/>
      <c r="H485" s="9"/>
      <c r="J485" s="7"/>
      <c r="K485" s="7"/>
      <c r="L485" s="11"/>
      <c r="M485" s="11"/>
    </row>
    <row r="486" spans="2:13" ht="14.25" customHeight="1" x14ac:dyDescent="0.35">
      <c r="B486" s="7"/>
      <c r="C486" s="7"/>
      <c r="D486" s="7"/>
      <c r="E486" s="7"/>
      <c r="F486" s="7"/>
      <c r="G486" s="9"/>
      <c r="H486" s="9"/>
      <c r="J486" s="7"/>
      <c r="K486" s="7"/>
      <c r="L486" s="11"/>
      <c r="M486" s="11"/>
    </row>
    <row r="487" spans="2:13" ht="14.25" customHeight="1" x14ac:dyDescent="0.35">
      <c r="B487" s="7"/>
      <c r="C487" s="7"/>
      <c r="D487" s="7"/>
      <c r="E487" s="7"/>
      <c r="F487" s="7"/>
      <c r="G487" s="9"/>
      <c r="H487" s="9"/>
      <c r="J487" s="7"/>
      <c r="K487" s="7"/>
      <c r="L487" s="11"/>
      <c r="M487" s="11"/>
    </row>
    <row r="488" spans="2:13" ht="14.25" customHeight="1" x14ac:dyDescent="0.35">
      <c r="B488" s="7"/>
      <c r="C488" s="7"/>
      <c r="D488" s="7"/>
      <c r="E488" s="7"/>
      <c r="F488" s="7"/>
      <c r="G488" s="9"/>
      <c r="H488" s="9"/>
      <c r="J488" s="7"/>
      <c r="K488" s="7"/>
      <c r="L488" s="11"/>
      <c r="M488" s="11"/>
    </row>
    <row r="489" spans="2:13" ht="14.25" customHeight="1" x14ac:dyDescent="0.35">
      <c r="B489" s="7"/>
      <c r="C489" s="7"/>
      <c r="D489" s="7"/>
      <c r="E489" s="7"/>
      <c r="F489" s="7"/>
      <c r="G489" s="9"/>
      <c r="H489" s="9"/>
      <c r="J489" s="7"/>
      <c r="K489" s="7"/>
      <c r="L489" s="11"/>
      <c r="M489" s="11"/>
    </row>
    <row r="490" spans="2:13" ht="14.25" customHeight="1" x14ac:dyDescent="0.35">
      <c r="B490" s="7"/>
      <c r="C490" s="7"/>
      <c r="D490" s="7"/>
      <c r="E490" s="7"/>
      <c r="F490" s="7"/>
      <c r="G490" s="9"/>
      <c r="H490" s="9"/>
      <c r="J490" s="7"/>
      <c r="K490" s="7"/>
      <c r="L490" s="11"/>
      <c r="M490" s="11"/>
    </row>
    <row r="491" spans="2:13" ht="14.25" customHeight="1" x14ac:dyDescent="0.35">
      <c r="B491" s="7"/>
      <c r="C491" s="7"/>
      <c r="D491" s="7"/>
      <c r="E491" s="7"/>
      <c r="F491" s="7"/>
      <c r="G491" s="9"/>
      <c r="H491" s="9"/>
      <c r="J491" s="7"/>
      <c r="K491" s="7"/>
      <c r="L491" s="11"/>
      <c r="M491" s="11"/>
    </row>
    <row r="492" spans="2:13" ht="14.25" customHeight="1" x14ac:dyDescent="0.35">
      <c r="B492" s="7"/>
      <c r="C492" s="7"/>
      <c r="D492" s="7"/>
      <c r="E492" s="7"/>
      <c r="F492" s="7"/>
      <c r="G492" s="9"/>
      <c r="H492" s="9"/>
      <c r="J492" s="7"/>
      <c r="K492" s="7"/>
      <c r="L492" s="11"/>
      <c r="M492" s="11"/>
    </row>
    <row r="493" spans="2:13" ht="14.25" customHeight="1" x14ac:dyDescent="0.35">
      <c r="B493" s="7"/>
      <c r="C493" s="7"/>
      <c r="D493" s="7"/>
      <c r="E493" s="7"/>
      <c r="F493" s="7"/>
      <c r="G493" s="9"/>
      <c r="H493" s="9"/>
      <c r="J493" s="7"/>
      <c r="K493" s="7"/>
      <c r="L493" s="11"/>
      <c r="M493" s="11"/>
    </row>
    <row r="494" spans="2:13" ht="14.25" customHeight="1" x14ac:dyDescent="0.35">
      <c r="B494" s="7"/>
      <c r="C494" s="7"/>
      <c r="D494" s="7"/>
      <c r="E494" s="7"/>
      <c r="F494" s="7"/>
      <c r="G494" s="9"/>
      <c r="H494" s="9"/>
      <c r="J494" s="7"/>
      <c r="K494" s="7"/>
      <c r="L494" s="11"/>
      <c r="M494" s="11"/>
    </row>
    <row r="495" spans="2:13" ht="14.25" customHeight="1" x14ac:dyDescent="0.35">
      <c r="B495" s="7"/>
      <c r="C495" s="7"/>
      <c r="D495" s="7"/>
      <c r="E495" s="7"/>
      <c r="F495" s="7"/>
      <c r="G495" s="9"/>
      <c r="H495" s="9"/>
      <c r="J495" s="7"/>
      <c r="K495" s="7"/>
      <c r="L495" s="11"/>
      <c r="M495" s="11"/>
    </row>
    <row r="496" spans="2:13" ht="14.25" customHeight="1" x14ac:dyDescent="0.35">
      <c r="B496" s="7"/>
      <c r="C496" s="7"/>
      <c r="D496" s="7"/>
      <c r="E496" s="7"/>
      <c r="F496" s="7"/>
      <c r="G496" s="9"/>
      <c r="H496" s="9"/>
      <c r="J496" s="7"/>
      <c r="K496" s="7"/>
      <c r="L496" s="11"/>
      <c r="M496" s="11"/>
    </row>
    <row r="497" spans="2:13" ht="14.25" customHeight="1" x14ac:dyDescent="0.35">
      <c r="B497" s="7"/>
      <c r="C497" s="7"/>
      <c r="D497" s="7"/>
      <c r="E497" s="7"/>
      <c r="F497" s="7"/>
      <c r="G497" s="9"/>
      <c r="H497" s="9"/>
      <c r="J497" s="7"/>
      <c r="K497" s="7"/>
      <c r="L497" s="11"/>
      <c r="M497" s="11"/>
    </row>
    <row r="498" spans="2:13" ht="14.25" customHeight="1" x14ac:dyDescent="0.35">
      <c r="B498" s="7"/>
      <c r="C498" s="7"/>
      <c r="D498" s="7"/>
      <c r="E498" s="7"/>
      <c r="F498" s="7"/>
      <c r="G498" s="9"/>
      <c r="H498" s="9"/>
      <c r="J498" s="7"/>
      <c r="K498" s="7"/>
      <c r="L498" s="11"/>
      <c r="M498" s="11"/>
    </row>
    <row r="499" spans="2:13" ht="14.25" customHeight="1" x14ac:dyDescent="0.35">
      <c r="B499" s="7"/>
      <c r="C499" s="7"/>
      <c r="D499" s="7"/>
      <c r="E499" s="7"/>
      <c r="F499" s="7"/>
      <c r="G499" s="9"/>
      <c r="H499" s="9"/>
      <c r="J499" s="7"/>
      <c r="K499" s="7"/>
      <c r="L499" s="11"/>
      <c r="M499" s="11"/>
    </row>
    <row r="500" spans="2:13" ht="14.25" customHeight="1" x14ac:dyDescent="0.35">
      <c r="B500" s="7"/>
      <c r="C500" s="7"/>
      <c r="D500" s="7"/>
      <c r="E500" s="7"/>
      <c r="F500" s="7"/>
      <c r="G500" s="9"/>
      <c r="H500" s="9"/>
      <c r="J500" s="7"/>
      <c r="K500" s="7"/>
      <c r="L500" s="11"/>
      <c r="M500" s="11"/>
    </row>
    <row r="501" spans="2:13" ht="14.25" customHeight="1" x14ac:dyDescent="0.35">
      <c r="B501" s="7"/>
      <c r="C501" s="7"/>
      <c r="D501" s="7"/>
      <c r="E501" s="7"/>
      <c r="F501" s="7"/>
      <c r="G501" s="9"/>
      <c r="H501" s="9"/>
      <c r="J501" s="7"/>
      <c r="K501" s="7"/>
      <c r="L501" s="11"/>
      <c r="M501" s="11"/>
    </row>
    <row r="502" spans="2:13" ht="14.25" customHeight="1" x14ac:dyDescent="0.35">
      <c r="B502" s="7"/>
      <c r="C502" s="7"/>
      <c r="D502" s="7"/>
      <c r="E502" s="7"/>
      <c r="F502" s="7"/>
      <c r="G502" s="9"/>
      <c r="H502" s="9"/>
      <c r="J502" s="7"/>
      <c r="K502" s="7"/>
      <c r="L502" s="11"/>
      <c r="M502" s="11"/>
    </row>
    <row r="503" spans="2:13" ht="14.25" customHeight="1" x14ac:dyDescent="0.35">
      <c r="B503" s="7"/>
      <c r="C503" s="7"/>
      <c r="D503" s="7"/>
      <c r="E503" s="7"/>
      <c r="F503" s="7"/>
      <c r="G503" s="9"/>
      <c r="H503" s="9"/>
      <c r="J503" s="7"/>
      <c r="K503" s="7"/>
      <c r="L503" s="11"/>
      <c r="M503" s="11"/>
    </row>
    <row r="504" spans="2:13" ht="14.25" customHeight="1" x14ac:dyDescent="0.35">
      <c r="B504" s="7"/>
      <c r="C504" s="7"/>
      <c r="D504" s="7"/>
      <c r="E504" s="7"/>
      <c r="F504" s="7"/>
      <c r="G504" s="9"/>
      <c r="H504" s="9"/>
      <c r="J504" s="7"/>
      <c r="K504" s="7"/>
      <c r="L504" s="11"/>
      <c r="M504" s="11"/>
    </row>
    <row r="505" spans="2:13" ht="14.25" customHeight="1" x14ac:dyDescent="0.35">
      <c r="B505" s="7"/>
      <c r="C505" s="7"/>
      <c r="D505" s="7"/>
      <c r="E505" s="7"/>
      <c r="F505" s="7"/>
      <c r="G505" s="9"/>
      <c r="H505" s="9"/>
      <c r="J505" s="7"/>
      <c r="K505" s="7"/>
      <c r="L505" s="11"/>
      <c r="M505" s="11"/>
    </row>
    <row r="506" spans="2:13" ht="14.25" customHeight="1" x14ac:dyDescent="0.35">
      <c r="B506" s="7"/>
      <c r="C506" s="7"/>
      <c r="D506" s="7"/>
      <c r="E506" s="7"/>
      <c r="F506" s="7"/>
      <c r="G506" s="9"/>
      <c r="H506" s="9"/>
      <c r="J506" s="7"/>
      <c r="K506" s="7"/>
      <c r="L506" s="11"/>
      <c r="M506" s="11"/>
    </row>
    <row r="507" spans="2:13" ht="14.25" customHeight="1" x14ac:dyDescent="0.35">
      <c r="B507" s="7"/>
      <c r="C507" s="7"/>
      <c r="D507" s="7"/>
      <c r="E507" s="7"/>
      <c r="F507" s="7"/>
      <c r="G507" s="9"/>
      <c r="H507" s="9"/>
      <c r="J507" s="7"/>
      <c r="K507" s="7"/>
      <c r="L507" s="11"/>
      <c r="M507" s="11"/>
    </row>
    <row r="508" spans="2:13" ht="14.25" customHeight="1" x14ac:dyDescent="0.35">
      <c r="B508" s="7"/>
      <c r="C508" s="7"/>
      <c r="D508" s="7"/>
      <c r="E508" s="7"/>
      <c r="F508" s="7"/>
      <c r="G508" s="9"/>
      <c r="H508" s="9"/>
      <c r="J508" s="7"/>
      <c r="K508" s="7"/>
      <c r="L508" s="11"/>
      <c r="M508" s="11"/>
    </row>
    <row r="509" spans="2:13" ht="14.25" customHeight="1" x14ac:dyDescent="0.35">
      <c r="B509" s="7"/>
      <c r="C509" s="7"/>
      <c r="D509" s="7"/>
      <c r="E509" s="7"/>
      <c r="F509" s="7"/>
      <c r="G509" s="9"/>
      <c r="H509" s="9"/>
      <c r="J509" s="7"/>
      <c r="K509" s="7"/>
      <c r="L509" s="11"/>
      <c r="M509" s="11"/>
    </row>
    <row r="510" spans="2:13" ht="14.25" customHeight="1" x14ac:dyDescent="0.35">
      <c r="B510" s="7"/>
      <c r="C510" s="7"/>
      <c r="D510" s="7"/>
      <c r="E510" s="7"/>
      <c r="F510" s="7"/>
      <c r="G510" s="9"/>
      <c r="H510" s="9"/>
      <c r="J510" s="7"/>
      <c r="K510" s="7"/>
      <c r="L510" s="11"/>
      <c r="M510" s="11"/>
    </row>
    <row r="511" spans="2:13" ht="14.25" customHeight="1" x14ac:dyDescent="0.35">
      <c r="B511" s="7"/>
      <c r="C511" s="7"/>
      <c r="D511" s="7"/>
      <c r="E511" s="7"/>
      <c r="F511" s="7"/>
      <c r="G511" s="9"/>
      <c r="H511" s="9"/>
      <c r="J511" s="7"/>
      <c r="K511" s="7"/>
      <c r="L511" s="11"/>
      <c r="M511" s="11"/>
    </row>
    <row r="512" spans="2:13" ht="14.25" customHeight="1" x14ac:dyDescent="0.35">
      <c r="B512" s="7"/>
      <c r="C512" s="7"/>
      <c r="D512" s="7"/>
      <c r="E512" s="7"/>
      <c r="F512" s="7"/>
      <c r="G512" s="9"/>
      <c r="H512" s="9"/>
      <c r="J512" s="7"/>
      <c r="K512" s="7"/>
      <c r="L512" s="11"/>
      <c r="M512" s="11"/>
    </row>
    <row r="513" spans="2:13" ht="14.25" customHeight="1" x14ac:dyDescent="0.35">
      <c r="B513" s="7"/>
      <c r="C513" s="7"/>
      <c r="D513" s="7"/>
      <c r="E513" s="7"/>
      <c r="F513" s="7"/>
      <c r="G513" s="9"/>
      <c r="H513" s="9"/>
      <c r="J513" s="7"/>
      <c r="K513" s="7"/>
      <c r="L513" s="11"/>
      <c r="M513" s="11"/>
    </row>
    <row r="514" spans="2:13" ht="14.25" customHeight="1" x14ac:dyDescent="0.35">
      <c r="B514" s="7"/>
      <c r="C514" s="7"/>
      <c r="D514" s="7"/>
      <c r="E514" s="7"/>
      <c r="F514" s="7"/>
      <c r="G514" s="9"/>
      <c r="H514" s="9"/>
      <c r="J514" s="7"/>
      <c r="K514" s="7"/>
      <c r="L514" s="11"/>
      <c r="M514" s="11"/>
    </row>
    <row r="515" spans="2:13" ht="14.25" customHeight="1" x14ac:dyDescent="0.35">
      <c r="B515" s="7"/>
      <c r="C515" s="7"/>
      <c r="D515" s="7"/>
      <c r="E515" s="7"/>
      <c r="F515" s="7"/>
      <c r="G515" s="9"/>
      <c r="H515" s="9"/>
      <c r="J515" s="7"/>
      <c r="K515" s="7"/>
      <c r="L515" s="11"/>
      <c r="M515" s="11"/>
    </row>
    <row r="516" spans="2:13" ht="14.25" customHeight="1" x14ac:dyDescent="0.35">
      <c r="B516" s="7"/>
      <c r="C516" s="7"/>
      <c r="D516" s="7"/>
      <c r="E516" s="7"/>
      <c r="F516" s="7"/>
      <c r="G516" s="9"/>
      <c r="H516" s="9"/>
      <c r="J516" s="7"/>
      <c r="K516" s="7"/>
      <c r="L516" s="11"/>
      <c r="M516" s="11"/>
    </row>
    <row r="517" spans="2:13" ht="14.25" customHeight="1" x14ac:dyDescent="0.35">
      <c r="B517" s="7"/>
      <c r="C517" s="7"/>
      <c r="D517" s="7"/>
      <c r="E517" s="7"/>
      <c r="F517" s="7"/>
      <c r="G517" s="9"/>
      <c r="H517" s="9"/>
      <c r="J517" s="7"/>
      <c r="K517" s="7"/>
      <c r="L517" s="11"/>
      <c r="M517" s="11"/>
    </row>
    <row r="518" spans="2:13" ht="14.25" customHeight="1" x14ac:dyDescent="0.35">
      <c r="B518" s="7"/>
      <c r="C518" s="7"/>
      <c r="D518" s="7"/>
      <c r="E518" s="7"/>
      <c r="F518" s="7"/>
      <c r="G518" s="9"/>
      <c r="H518" s="9"/>
      <c r="J518" s="7"/>
      <c r="K518" s="7"/>
      <c r="L518" s="11"/>
      <c r="M518" s="11"/>
    </row>
    <row r="519" spans="2:13" ht="14.25" customHeight="1" x14ac:dyDescent="0.35">
      <c r="B519" s="7"/>
      <c r="C519" s="7"/>
      <c r="D519" s="7"/>
      <c r="E519" s="7"/>
      <c r="F519" s="7"/>
      <c r="G519" s="9"/>
      <c r="H519" s="9"/>
      <c r="J519" s="7"/>
      <c r="K519" s="7"/>
      <c r="L519" s="11"/>
      <c r="M519" s="11"/>
    </row>
    <row r="520" spans="2:13" ht="14.25" customHeight="1" x14ac:dyDescent="0.35">
      <c r="B520" s="7"/>
      <c r="C520" s="7"/>
      <c r="D520" s="7"/>
      <c r="E520" s="7"/>
      <c r="F520" s="7"/>
      <c r="G520" s="9"/>
      <c r="H520" s="9"/>
      <c r="J520" s="7"/>
      <c r="K520" s="7"/>
      <c r="L520" s="11"/>
      <c r="M520" s="11"/>
    </row>
    <row r="521" spans="2:13" ht="14.25" customHeight="1" x14ac:dyDescent="0.35">
      <c r="B521" s="7"/>
      <c r="C521" s="7"/>
      <c r="D521" s="7"/>
      <c r="E521" s="7"/>
      <c r="F521" s="7"/>
      <c r="G521" s="9"/>
      <c r="H521" s="9"/>
      <c r="J521" s="7"/>
      <c r="K521" s="7"/>
      <c r="L521" s="11"/>
      <c r="M521" s="11"/>
    </row>
    <row r="522" spans="2:13" ht="14.25" customHeight="1" x14ac:dyDescent="0.35">
      <c r="B522" s="7"/>
      <c r="C522" s="7"/>
      <c r="D522" s="7"/>
      <c r="E522" s="7"/>
      <c r="F522" s="7"/>
      <c r="G522" s="9"/>
      <c r="H522" s="9"/>
      <c r="J522" s="7"/>
      <c r="K522" s="7"/>
      <c r="L522" s="11"/>
      <c r="M522" s="11"/>
    </row>
    <row r="523" spans="2:13" ht="14.25" customHeight="1" x14ac:dyDescent="0.35">
      <c r="B523" s="7"/>
      <c r="C523" s="7"/>
      <c r="D523" s="7"/>
      <c r="E523" s="7"/>
      <c r="F523" s="7"/>
      <c r="G523" s="9"/>
      <c r="H523" s="9"/>
      <c r="J523" s="7"/>
      <c r="K523" s="7"/>
      <c r="L523" s="11"/>
      <c r="M523" s="11"/>
    </row>
    <row r="524" spans="2:13" ht="14.25" customHeight="1" x14ac:dyDescent="0.35">
      <c r="B524" s="7"/>
      <c r="C524" s="7"/>
      <c r="D524" s="7"/>
      <c r="E524" s="7"/>
      <c r="F524" s="7"/>
      <c r="G524" s="9"/>
      <c r="H524" s="9"/>
      <c r="J524" s="7"/>
      <c r="K524" s="7"/>
      <c r="L524" s="11"/>
      <c r="M524" s="11"/>
    </row>
    <row r="525" spans="2:13" ht="14.25" customHeight="1" x14ac:dyDescent="0.35">
      <c r="B525" s="7"/>
      <c r="C525" s="7"/>
      <c r="D525" s="7"/>
      <c r="E525" s="7"/>
      <c r="F525" s="7"/>
      <c r="G525" s="9"/>
      <c r="H525" s="9"/>
      <c r="J525" s="7"/>
      <c r="K525" s="7"/>
      <c r="L525" s="11"/>
      <c r="M525" s="11"/>
    </row>
    <row r="526" spans="2:13" ht="14.25" customHeight="1" x14ac:dyDescent="0.35">
      <c r="B526" s="7"/>
      <c r="C526" s="7"/>
      <c r="D526" s="7"/>
      <c r="E526" s="7"/>
      <c r="F526" s="7"/>
      <c r="G526" s="9"/>
      <c r="H526" s="9"/>
      <c r="J526" s="7"/>
      <c r="K526" s="7"/>
      <c r="L526" s="11"/>
      <c r="M526" s="11"/>
    </row>
    <row r="527" spans="2:13" ht="14.25" customHeight="1" x14ac:dyDescent="0.35">
      <c r="B527" s="7"/>
      <c r="C527" s="7"/>
      <c r="D527" s="7"/>
      <c r="E527" s="7"/>
      <c r="F527" s="7"/>
      <c r="G527" s="9"/>
      <c r="H527" s="9"/>
      <c r="J527" s="7"/>
      <c r="K527" s="7"/>
      <c r="L527" s="11"/>
      <c r="M527" s="11"/>
    </row>
    <row r="528" spans="2:13" ht="14.25" customHeight="1" x14ac:dyDescent="0.35">
      <c r="B528" s="7"/>
      <c r="C528" s="7"/>
      <c r="D528" s="7"/>
      <c r="E528" s="7"/>
      <c r="F528" s="7"/>
      <c r="G528" s="9"/>
      <c r="H528" s="9"/>
      <c r="J528" s="7"/>
      <c r="K528" s="7"/>
      <c r="L528" s="11"/>
      <c r="M528" s="11"/>
    </row>
    <row r="529" spans="2:13" ht="14.25" customHeight="1" x14ac:dyDescent="0.35">
      <c r="B529" s="7"/>
      <c r="C529" s="7"/>
      <c r="D529" s="7"/>
      <c r="E529" s="7"/>
      <c r="F529" s="7"/>
      <c r="G529" s="9"/>
      <c r="H529" s="9"/>
      <c r="J529" s="7"/>
      <c r="K529" s="7"/>
      <c r="L529" s="11"/>
      <c r="M529" s="11"/>
    </row>
    <row r="530" spans="2:13" ht="14.25" customHeight="1" x14ac:dyDescent="0.35">
      <c r="B530" s="7"/>
      <c r="C530" s="7"/>
      <c r="D530" s="7"/>
      <c r="E530" s="7"/>
      <c r="F530" s="7"/>
      <c r="G530" s="9"/>
      <c r="H530" s="9"/>
      <c r="J530" s="7"/>
      <c r="K530" s="7"/>
      <c r="L530" s="11"/>
      <c r="M530" s="11"/>
    </row>
    <row r="531" spans="2:13" ht="14.25" customHeight="1" x14ac:dyDescent="0.35">
      <c r="B531" s="7"/>
      <c r="C531" s="7"/>
      <c r="D531" s="7"/>
      <c r="E531" s="7"/>
      <c r="F531" s="7"/>
      <c r="G531" s="9"/>
      <c r="H531" s="9"/>
      <c r="J531" s="7"/>
      <c r="K531" s="7"/>
      <c r="L531" s="11"/>
      <c r="M531" s="11"/>
    </row>
    <row r="532" spans="2:13" ht="14.25" customHeight="1" x14ac:dyDescent="0.35">
      <c r="B532" s="7"/>
      <c r="C532" s="7"/>
      <c r="D532" s="7"/>
      <c r="E532" s="7"/>
      <c r="F532" s="7"/>
      <c r="G532" s="9"/>
      <c r="H532" s="9"/>
      <c r="J532" s="7"/>
      <c r="K532" s="7"/>
      <c r="L532" s="11"/>
      <c r="M532" s="11"/>
    </row>
    <row r="533" spans="2:13" ht="14.25" customHeight="1" x14ac:dyDescent="0.35">
      <c r="B533" s="7"/>
      <c r="C533" s="7"/>
      <c r="D533" s="7"/>
      <c r="E533" s="7"/>
      <c r="F533" s="7"/>
      <c r="G533" s="9"/>
      <c r="H533" s="9"/>
      <c r="J533" s="7"/>
      <c r="K533" s="7"/>
      <c r="L533" s="11"/>
      <c r="M533" s="11"/>
    </row>
    <row r="534" spans="2:13" ht="14.25" customHeight="1" x14ac:dyDescent="0.35">
      <c r="B534" s="7"/>
      <c r="C534" s="7"/>
      <c r="D534" s="7"/>
      <c r="E534" s="7"/>
      <c r="F534" s="7"/>
      <c r="G534" s="9"/>
      <c r="H534" s="9"/>
      <c r="J534" s="7"/>
      <c r="K534" s="7"/>
      <c r="L534" s="11"/>
      <c r="M534" s="11"/>
    </row>
    <row r="535" spans="2:13" ht="14.25" customHeight="1" x14ac:dyDescent="0.35">
      <c r="B535" s="7"/>
      <c r="C535" s="7"/>
      <c r="D535" s="7"/>
      <c r="E535" s="7"/>
      <c r="F535" s="7"/>
      <c r="G535" s="9"/>
      <c r="H535" s="9"/>
      <c r="J535" s="7"/>
      <c r="K535" s="7"/>
      <c r="L535" s="11"/>
      <c r="M535" s="11"/>
    </row>
    <row r="536" spans="2:13" ht="14.25" customHeight="1" x14ac:dyDescent="0.35">
      <c r="B536" s="7"/>
      <c r="C536" s="7"/>
      <c r="D536" s="7"/>
      <c r="E536" s="7"/>
      <c r="F536" s="7"/>
      <c r="G536" s="9"/>
      <c r="H536" s="9"/>
      <c r="J536" s="7"/>
      <c r="K536" s="7"/>
      <c r="L536" s="11"/>
      <c r="M536" s="11"/>
    </row>
    <row r="537" spans="2:13" ht="14.25" customHeight="1" x14ac:dyDescent="0.35">
      <c r="B537" s="7"/>
      <c r="C537" s="7"/>
      <c r="D537" s="7"/>
      <c r="E537" s="7"/>
      <c r="F537" s="7"/>
      <c r="G537" s="9"/>
      <c r="H537" s="9"/>
      <c r="J537" s="7"/>
      <c r="K537" s="7"/>
      <c r="L537" s="11"/>
      <c r="M537" s="11"/>
    </row>
    <row r="538" spans="2:13" ht="14.25" customHeight="1" x14ac:dyDescent="0.35">
      <c r="B538" s="7"/>
      <c r="C538" s="7"/>
      <c r="D538" s="7"/>
      <c r="E538" s="7"/>
      <c r="F538" s="7"/>
      <c r="G538" s="9"/>
      <c r="H538" s="9"/>
      <c r="J538" s="7"/>
      <c r="K538" s="7"/>
      <c r="L538" s="11"/>
      <c r="M538" s="11"/>
    </row>
    <row r="539" spans="2:13" ht="14.25" customHeight="1" x14ac:dyDescent="0.35">
      <c r="B539" s="7"/>
      <c r="C539" s="7"/>
      <c r="D539" s="7"/>
      <c r="E539" s="7"/>
      <c r="F539" s="7"/>
      <c r="G539" s="9"/>
      <c r="H539" s="9"/>
      <c r="J539" s="7"/>
      <c r="K539" s="7"/>
      <c r="L539" s="11"/>
      <c r="M539" s="11"/>
    </row>
    <row r="540" spans="2:13" ht="14.25" customHeight="1" x14ac:dyDescent="0.35">
      <c r="B540" s="7"/>
      <c r="C540" s="7"/>
      <c r="D540" s="7"/>
      <c r="E540" s="7"/>
      <c r="F540" s="7"/>
      <c r="G540" s="9"/>
      <c r="H540" s="9"/>
      <c r="J540" s="7"/>
      <c r="K540" s="7"/>
      <c r="L540" s="11"/>
      <c r="M540" s="11"/>
    </row>
    <row r="541" spans="2:13" ht="14.25" customHeight="1" x14ac:dyDescent="0.35">
      <c r="B541" s="7"/>
      <c r="C541" s="7"/>
      <c r="D541" s="7"/>
      <c r="E541" s="7"/>
      <c r="F541" s="7"/>
      <c r="G541" s="9"/>
      <c r="H541" s="9"/>
      <c r="J541" s="7"/>
      <c r="K541" s="7"/>
      <c r="L541" s="11"/>
      <c r="M541" s="11"/>
    </row>
    <row r="542" spans="2:13" ht="14.25" customHeight="1" x14ac:dyDescent="0.35">
      <c r="B542" s="7"/>
      <c r="C542" s="7"/>
      <c r="D542" s="7"/>
      <c r="E542" s="7"/>
      <c r="F542" s="7"/>
      <c r="G542" s="9"/>
      <c r="H542" s="9"/>
      <c r="J542" s="7"/>
      <c r="K542" s="7"/>
      <c r="L542" s="11"/>
      <c r="M542" s="11"/>
    </row>
    <row r="543" spans="2:13" ht="14.25" customHeight="1" x14ac:dyDescent="0.35">
      <c r="B543" s="7"/>
      <c r="C543" s="7"/>
      <c r="D543" s="7"/>
      <c r="E543" s="7"/>
      <c r="F543" s="7"/>
      <c r="G543" s="9"/>
      <c r="H543" s="9"/>
      <c r="J543" s="7"/>
      <c r="K543" s="7"/>
      <c r="L543" s="11"/>
      <c r="M543" s="11"/>
    </row>
    <row r="544" spans="2:13" ht="14.25" customHeight="1" x14ac:dyDescent="0.35">
      <c r="B544" s="7"/>
      <c r="C544" s="7"/>
      <c r="D544" s="7"/>
      <c r="E544" s="7"/>
      <c r="F544" s="7"/>
      <c r="G544" s="9"/>
      <c r="H544" s="9"/>
      <c r="J544" s="7"/>
      <c r="K544" s="7"/>
      <c r="L544" s="11"/>
      <c r="M544" s="11"/>
    </row>
    <row r="545" spans="2:13" ht="14.25" customHeight="1" x14ac:dyDescent="0.35">
      <c r="B545" s="7"/>
      <c r="C545" s="7"/>
      <c r="D545" s="7"/>
      <c r="E545" s="7"/>
      <c r="F545" s="7"/>
      <c r="G545" s="9"/>
      <c r="H545" s="9"/>
      <c r="J545" s="7"/>
      <c r="K545" s="7"/>
      <c r="L545" s="11"/>
      <c r="M545" s="11"/>
    </row>
    <row r="546" spans="2:13" ht="14.25" customHeight="1" x14ac:dyDescent="0.35">
      <c r="B546" s="7"/>
      <c r="C546" s="7"/>
      <c r="D546" s="7"/>
      <c r="E546" s="7"/>
      <c r="F546" s="7"/>
      <c r="G546" s="9"/>
      <c r="H546" s="9"/>
      <c r="J546" s="7"/>
      <c r="K546" s="7"/>
      <c r="L546" s="11"/>
      <c r="M546" s="11"/>
    </row>
    <row r="547" spans="2:13" ht="14.25" customHeight="1" x14ac:dyDescent="0.35">
      <c r="B547" s="7"/>
      <c r="C547" s="7"/>
      <c r="D547" s="7"/>
      <c r="E547" s="7"/>
      <c r="F547" s="7"/>
      <c r="G547" s="9"/>
      <c r="H547" s="9"/>
      <c r="J547" s="7"/>
      <c r="K547" s="7"/>
      <c r="L547" s="11"/>
      <c r="M547" s="11"/>
    </row>
    <row r="548" spans="2:13" ht="14.25" customHeight="1" x14ac:dyDescent="0.35">
      <c r="B548" s="7"/>
      <c r="C548" s="7"/>
      <c r="D548" s="7"/>
      <c r="E548" s="7"/>
      <c r="F548" s="7"/>
      <c r="G548" s="9"/>
      <c r="H548" s="9"/>
      <c r="J548" s="7"/>
      <c r="K548" s="7"/>
      <c r="L548" s="11"/>
      <c r="M548" s="11"/>
    </row>
    <row r="549" spans="2:13" ht="14.25" customHeight="1" x14ac:dyDescent="0.35">
      <c r="B549" s="7"/>
      <c r="C549" s="7"/>
      <c r="D549" s="7"/>
      <c r="E549" s="7"/>
      <c r="F549" s="7"/>
      <c r="G549" s="9"/>
      <c r="H549" s="9"/>
      <c r="J549" s="7"/>
      <c r="K549" s="7"/>
      <c r="L549" s="11"/>
      <c r="M549" s="11"/>
    </row>
    <row r="550" spans="2:13" ht="14.25" customHeight="1" x14ac:dyDescent="0.35">
      <c r="B550" s="7"/>
      <c r="C550" s="7"/>
      <c r="D550" s="7"/>
      <c r="E550" s="7"/>
      <c r="F550" s="7"/>
      <c r="G550" s="9"/>
      <c r="H550" s="9"/>
      <c r="J550" s="7"/>
      <c r="K550" s="7"/>
      <c r="L550" s="11"/>
      <c r="M550" s="11"/>
    </row>
    <row r="551" spans="2:13" ht="14.25" customHeight="1" x14ac:dyDescent="0.35">
      <c r="B551" s="7"/>
      <c r="C551" s="7"/>
      <c r="D551" s="7"/>
      <c r="E551" s="7"/>
      <c r="F551" s="7"/>
      <c r="G551" s="9"/>
      <c r="H551" s="9"/>
      <c r="J551" s="7"/>
      <c r="K551" s="7"/>
      <c r="L551" s="11"/>
      <c r="M551" s="11"/>
    </row>
    <row r="552" spans="2:13" ht="14.25" customHeight="1" x14ac:dyDescent="0.35">
      <c r="B552" s="7"/>
      <c r="C552" s="7"/>
      <c r="D552" s="7"/>
      <c r="E552" s="7"/>
      <c r="F552" s="7"/>
      <c r="G552" s="9"/>
      <c r="H552" s="9"/>
      <c r="J552" s="7"/>
      <c r="K552" s="7"/>
      <c r="L552" s="11"/>
      <c r="M552" s="11"/>
    </row>
    <row r="553" spans="2:13" ht="14.25" customHeight="1" x14ac:dyDescent="0.35">
      <c r="B553" s="7"/>
      <c r="C553" s="7"/>
      <c r="D553" s="7"/>
      <c r="E553" s="7"/>
      <c r="F553" s="7"/>
      <c r="G553" s="9"/>
      <c r="H553" s="9"/>
      <c r="J553" s="7"/>
      <c r="K553" s="7"/>
      <c r="L553" s="11"/>
      <c r="M553" s="11"/>
    </row>
    <row r="554" spans="2:13" ht="14.25" customHeight="1" x14ac:dyDescent="0.35">
      <c r="B554" s="7"/>
      <c r="C554" s="7"/>
      <c r="D554" s="7"/>
      <c r="E554" s="7"/>
      <c r="F554" s="7"/>
      <c r="G554" s="9"/>
      <c r="H554" s="9"/>
      <c r="J554" s="7"/>
      <c r="K554" s="7"/>
      <c r="L554" s="11"/>
      <c r="M554" s="11"/>
    </row>
    <row r="555" spans="2:13" ht="14.25" customHeight="1" x14ac:dyDescent="0.35">
      <c r="B555" s="7"/>
      <c r="C555" s="7"/>
      <c r="D555" s="7"/>
      <c r="E555" s="7"/>
      <c r="F555" s="7"/>
      <c r="G555" s="9"/>
      <c r="H555" s="9"/>
      <c r="J555" s="7"/>
      <c r="K555" s="7"/>
      <c r="L555" s="11"/>
      <c r="M555" s="11"/>
    </row>
    <row r="556" spans="2:13" ht="14.25" customHeight="1" x14ac:dyDescent="0.35">
      <c r="B556" s="7"/>
      <c r="C556" s="7"/>
      <c r="D556" s="7"/>
      <c r="E556" s="7"/>
      <c r="F556" s="7"/>
      <c r="G556" s="9"/>
      <c r="H556" s="9"/>
      <c r="J556" s="7"/>
      <c r="K556" s="7"/>
      <c r="L556" s="11"/>
      <c r="M556" s="11"/>
    </row>
    <row r="557" spans="2:13" ht="14.25" customHeight="1" x14ac:dyDescent="0.35">
      <c r="B557" s="7"/>
      <c r="C557" s="7"/>
      <c r="D557" s="7"/>
      <c r="E557" s="7"/>
      <c r="F557" s="7"/>
      <c r="G557" s="9"/>
      <c r="H557" s="9"/>
      <c r="J557" s="7"/>
      <c r="K557" s="7"/>
      <c r="L557" s="11"/>
      <c r="M557" s="11"/>
    </row>
    <row r="558" spans="2:13" ht="14.25" customHeight="1" x14ac:dyDescent="0.35">
      <c r="B558" s="7"/>
      <c r="C558" s="7"/>
      <c r="D558" s="7"/>
      <c r="E558" s="7"/>
      <c r="F558" s="7"/>
      <c r="G558" s="9"/>
      <c r="H558" s="9"/>
      <c r="J558" s="7"/>
      <c r="K558" s="7"/>
      <c r="L558" s="11"/>
      <c r="M558" s="11"/>
    </row>
    <row r="559" spans="2:13" ht="14.25" customHeight="1" x14ac:dyDescent="0.35">
      <c r="B559" s="7"/>
      <c r="C559" s="7"/>
      <c r="D559" s="7"/>
      <c r="E559" s="7"/>
      <c r="F559" s="7"/>
      <c r="G559" s="9"/>
      <c r="H559" s="9"/>
      <c r="J559" s="7"/>
      <c r="K559" s="7"/>
      <c r="L559" s="11"/>
      <c r="M559" s="11"/>
    </row>
    <row r="560" spans="2:13" ht="14.25" customHeight="1" x14ac:dyDescent="0.35">
      <c r="B560" s="7"/>
      <c r="C560" s="7"/>
      <c r="D560" s="7"/>
      <c r="E560" s="7"/>
      <c r="F560" s="7"/>
      <c r="G560" s="9"/>
      <c r="H560" s="9"/>
      <c r="J560" s="7"/>
      <c r="K560" s="7"/>
      <c r="L560" s="11"/>
      <c r="M560" s="11"/>
    </row>
    <row r="561" spans="2:13" ht="14.25" customHeight="1" x14ac:dyDescent="0.35">
      <c r="B561" s="7"/>
      <c r="C561" s="7"/>
      <c r="D561" s="7"/>
      <c r="E561" s="7"/>
      <c r="F561" s="7"/>
      <c r="G561" s="9"/>
      <c r="H561" s="9"/>
      <c r="J561" s="7"/>
      <c r="K561" s="7"/>
      <c r="L561" s="11"/>
      <c r="M561" s="11"/>
    </row>
    <row r="562" spans="2:13" ht="14.25" customHeight="1" x14ac:dyDescent="0.35">
      <c r="B562" s="7"/>
      <c r="C562" s="7"/>
      <c r="D562" s="7"/>
      <c r="E562" s="7"/>
      <c r="F562" s="7"/>
      <c r="G562" s="9"/>
      <c r="H562" s="9"/>
      <c r="J562" s="7"/>
      <c r="K562" s="7"/>
      <c r="L562" s="11"/>
      <c r="M562" s="11"/>
    </row>
    <row r="563" spans="2:13" ht="14.25" customHeight="1" x14ac:dyDescent="0.35">
      <c r="B563" s="7"/>
      <c r="C563" s="7"/>
      <c r="D563" s="7"/>
      <c r="E563" s="7"/>
      <c r="F563" s="7"/>
      <c r="G563" s="9"/>
      <c r="H563" s="9"/>
      <c r="J563" s="7"/>
      <c r="K563" s="7"/>
      <c r="L563" s="11"/>
      <c r="M563" s="11"/>
    </row>
    <row r="564" spans="2:13" ht="14.25" customHeight="1" x14ac:dyDescent="0.35">
      <c r="B564" s="7"/>
      <c r="C564" s="7"/>
      <c r="D564" s="7"/>
      <c r="E564" s="7"/>
      <c r="F564" s="7"/>
      <c r="G564" s="9"/>
      <c r="H564" s="9"/>
      <c r="J564" s="7"/>
      <c r="K564" s="7"/>
      <c r="L564" s="11"/>
      <c r="M564" s="11"/>
    </row>
    <row r="565" spans="2:13" ht="14.25" customHeight="1" x14ac:dyDescent="0.35">
      <c r="B565" s="7"/>
      <c r="C565" s="7"/>
      <c r="D565" s="7"/>
      <c r="E565" s="7"/>
      <c r="F565" s="7"/>
      <c r="G565" s="9"/>
      <c r="H565" s="9"/>
      <c r="J565" s="7"/>
      <c r="K565" s="7"/>
      <c r="L565" s="11"/>
      <c r="M565" s="11"/>
    </row>
    <row r="566" spans="2:13" ht="14.25" customHeight="1" x14ac:dyDescent="0.35">
      <c r="B566" s="7"/>
      <c r="C566" s="7"/>
      <c r="D566" s="7"/>
      <c r="E566" s="7"/>
      <c r="F566" s="7"/>
      <c r="G566" s="9"/>
      <c r="H566" s="9"/>
      <c r="J566" s="7"/>
      <c r="K566" s="7"/>
      <c r="L566" s="11"/>
      <c r="M566" s="11"/>
    </row>
    <row r="567" spans="2:13" ht="14.25" customHeight="1" x14ac:dyDescent="0.35">
      <c r="B567" s="7"/>
      <c r="C567" s="7"/>
      <c r="D567" s="7"/>
      <c r="E567" s="7"/>
      <c r="F567" s="7"/>
      <c r="G567" s="9"/>
      <c r="H567" s="9"/>
      <c r="J567" s="7"/>
      <c r="K567" s="7"/>
      <c r="L567" s="11"/>
      <c r="M567" s="11"/>
    </row>
    <row r="568" spans="2:13" ht="14.25" customHeight="1" x14ac:dyDescent="0.35">
      <c r="B568" s="7"/>
      <c r="C568" s="7"/>
      <c r="D568" s="7"/>
      <c r="E568" s="7"/>
      <c r="F568" s="7"/>
      <c r="G568" s="9"/>
      <c r="H568" s="9"/>
      <c r="J568" s="7"/>
      <c r="K568" s="7"/>
      <c r="L568" s="11"/>
      <c r="M568" s="11"/>
    </row>
    <row r="569" spans="2:13" ht="14.25" customHeight="1" x14ac:dyDescent="0.35">
      <c r="B569" s="7"/>
      <c r="C569" s="7"/>
      <c r="D569" s="7"/>
      <c r="E569" s="7"/>
      <c r="F569" s="7"/>
      <c r="G569" s="9"/>
      <c r="H569" s="9"/>
      <c r="J569" s="7"/>
      <c r="K569" s="7"/>
      <c r="L569" s="11"/>
      <c r="M569" s="11"/>
    </row>
    <row r="570" spans="2:13" ht="14.25" customHeight="1" x14ac:dyDescent="0.35">
      <c r="B570" s="7"/>
      <c r="C570" s="7"/>
      <c r="D570" s="7"/>
      <c r="E570" s="7"/>
      <c r="F570" s="7"/>
      <c r="G570" s="9"/>
      <c r="H570" s="9"/>
      <c r="J570" s="7"/>
      <c r="K570" s="7"/>
      <c r="L570" s="11"/>
      <c r="M570" s="11"/>
    </row>
    <row r="571" spans="2:13" ht="14.25" customHeight="1" x14ac:dyDescent="0.35">
      <c r="B571" s="7"/>
      <c r="C571" s="7"/>
      <c r="D571" s="7"/>
      <c r="E571" s="7"/>
      <c r="F571" s="7"/>
      <c r="G571" s="9"/>
      <c r="H571" s="9"/>
      <c r="J571" s="7"/>
      <c r="K571" s="7"/>
      <c r="L571" s="11"/>
      <c r="M571" s="11"/>
    </row>
    <row r="572" spans="2:13" ht="14.25" customHeight="1" x14ac:dyDescent="0.35">
      <c r="B572" s="7"/>
      <c r="C572" s="7"/>
      <c r="D572" s="7"/>
      <c r="E572" s="7"/>
      <c r="F572" s="7"/>
      <c r="G572" s="9"/>
      <c r="H572" s="9"/>
      <c r="J572" s="7"/>
      <c r="K572" s="7"/>
      <c r="L572" s="11"/>
      <c r="M572" s="11"/>
    </row>
    <row r="573" spans="2:13" ht="14.25" customHeight="1" x14ac:dyDescent="0.35">
      <c r="B573" s="7"/>
      <c r="C573" s="7"/>
      <c r="D573" s="7"/>
      <c r="E573" s="7"/>
      <c r="F573" s="7"/>
      <c r="G573" s="9"/>
      <c r="H573" s="9"/>
      <c r="J573" s="7"/>
      <c r="K573" s="7"/>
      <c r="L573" s="11"/>
      <c r="M573" s="11"/>
    </row>
    <row r="574" spans="2:13" ht="14.25" customHeight="1" x14ac:dyDescent="0.35">
      <c r="B574" s="7"/>
      <c r="C574" s="7"/>
      <c r="D574" s="7"/>
      <c r="E574" s="7"/>
      <c r="F574" s="7"/>
      <c r="G574" s="9"/>
      <c r="H574" s="9"/>
      <c r="J574" s="7"/>
      <c r="K574" s="7"/>
      <c r="L574" s="11"/>
      <c r="M574" s="11"/>
    </row>
    <row r="575" spans="2:13" ht="14.25" customHeight="1" x14ac:dyDescent="0.35">
      <c r="B575" s="7"/>
      <c r="C575" s="7"/>
      <c r="D575" s="7"/>
      <c r="E575" s="7"/>
      <c r="F575" s="7"/>
      <c r="G575" s="9"/>
      <c r="H575" s="9"/>
      <c r="J575" s="7"/>
      <c r="K575" s="7"/>
      <c r="L575" s="11"/>
      <c r="M575" s="11"/>
    </row>
    <row r="576" spans="2:13" ht="14.25" customHeight="1" x14ac:dyDescent="0.35">
      <c r="B576" s="7"/>
      <c r="C576" s="7"/>
      <c r="D576" s="7"/>
      <c r="E576" s="7"/>
      <c r="F576" s="7"/>
      <c r="G576" s="9"/>
      <c r="H576" s="9"/>
      <c r="J576" s="7"/>
      <c r="K576" s="7"/>
      <c r="L576" s="11"/>
      <c r="M576" s="11"/>
    </row>
    <row r="577" spans="2:13" ht="14.25" customHeight="1" x14ac:dyDescent="0.35">
      <c r="B577" s="7"/>
      <c r="C577" s="7"/>
      <c r="D577" s="7"/>
      <c r="E577" s="7"/>
      <c r="F577" s="7"/>
      <c r="G577" s="9"/>
      <c r="H577" s="9"/>
      <c r="J577" s="7"/>
      <c r="K577" s="7"/>
      <c r="L577" s="11"/>
      <c r="M577" s="11"/>
    </row>
    <row r="578" spans="2:13" ht="14.25" customHeight="1" x14ac:dyDescent="0.35">
      <c r="B578" s="7"/>
      <c r="C578" s="7"/>
      <c r="D578" s="7"/>
      <c r="E578" s="7"/>
      <c r="F578" s="7"/>
      <c r="G578" s="9"/>
      <c r="H578" s="9"/>
      <c r="J578" s="7"/>
      <c r="K578" s="7"/>
      <c r="L578" s="11"/>
      <c r="M578" s="11"/>
    </row>
    <row r="579" spans="2:13" ht="14.25" customHeight="1" x14ac:dyDescent="0.35">
      <c r="B579" s="7"/>
      <c r="C579" s="7"/>
      <c r="D579" s="7"/>
      <c r="E579" s="7"/>
      <c r="F579" s="7"/>
      <c r="G579" s="9"/>
      <c r="H579" s="9"/>
      <c r="J579" s="7"/>
      <c r="K579" s="7"/>
      <c r="L579" s="11"/>
      <c r="M579" s="11"/>
    </row>
    <row r="580" spans="2:13" ht="14.25" customHeight="1" x14ac:dyDescent="0.35">
      <c r="B580" s="7"/>
      <c r="C580" s="7"/>
      <c r="D580" s="7"/>
      <c r="E580" s="7"/>
      <c r="F580" s="7"/>
      <c r="G580" s="9"/>
      <c r="H580" s="9"/>
      <c r="J580" s="7"/>
      <c r="K580" s="7"/>
      <c r="L580" s="11"/>
      <c r="M580" s="11"/>
    </row>
    <row r="581" spans="2:13" ht="14.25" customHeight="1" x14ac:dyDescent="0.35">
      <c r="B581" s="7"/>
      <c r="C581" s="7"/>
      <c r="D581" s="7"/>
      <c r="E581" s="7"/>
      <c r="F581" s="7"/>
      <c r="G581" s="9"/>
      <c r="H581" s="9"/>
      <c r="J581" s="7"/>
      <c r="K581" s="7"/>
      <c r="L581" s="11"/>
      <c r="M581" s="11"/>
    </row>
    <row r="582" spans="2:13" ht="14.25" customHeight="1" x14ac:dyDescent="0.35">
      <c r="B582" s="7"/>
      <c r="C582" s="7"/>
      <c r="D582" s="7"/>
      <c r="E582" s="7"/>
      <c r="F582" s="7"/>
      <c r="G582" s="9"/>
      <c r="H582" s="9"/>
      <c r="J582" s="7"/>
      <c r="K582" s="7"/>
      <c r="L582" s="11"/>
      <c r="M582" s="11"/>
    </row>
    <row r="583" spans="2:13" ht="14.25" customHeight="1" x14ac:dyDescent="0.35">
      <c r="B583" s="7"/>
      <c r="C583" s="7"/>
      <c r="D583" s="7"/>
      <c r="E583" s="7"/>
      <c r="F583" s="7"/>
      <c r="G583" s="9"/>
      <c r="H583" s="9"/>
      <c r="J583" s="7"/>
      <c r="K583" s="7"/>
      <c r="L583" s="11"/>
      <c r="M583" s="11"/>
    </row>
    <row r="584" spans="2:13" ht="14.25" customHeight="1" x14ac:dyDescent="0.35">
      <c r="B584" s="7"/>
      <c r="C584" s="7"/>
      <c r="D584" s="7"/>
      <c r="E584" s="7"/>
      <c r="F584" s="7"/>
      <c r="G584" s="9"/>
      <c r="H584" s="9"/>
      <c r="J584" s="7"/>
      <c r="K584" s="7"/>
      <c r="L584" s="11"/>
      <c r="M584" s="11"/>
    </row>
    <row r="585" spans="2:13" ht="14.25" customHeight="1" x14ac:dyDescent="0.35">
      <c r="B585" s="7"/>
      <c r="C585" s="7"/>
      <c r="D585" s="7"/>
      <c r="E585" s="7"/>
      <c r="F585" s="7"/>
      <c r="G585" s="9"/>
      <c r="H585" s="9"/>
      <c r="J585" s="7"/>
      <c r="K585" s="7"/>
      <c r="L585" s="11"/>
      <c r="M585" s="11"/>
    </row>
    <row r="586" spans="2:13" ht="14.25" customHeight="1" x14ac:dyDescent="0.35">
      <c r="B586" s="7"/>
      <c r="C586" s="7"/>
      <c r="D586" s="7"/>
      <c r="E586" s="7"/>
      <c r="F586" s="7"/>
      <c r="G586" s="9"/>
      <c r="H586" s="9"/>
      <c r="J586" s="7"/>
      <c r="K586" s="7"/>
      <c r="L586" s="11"/>
      <c r="M586" s="11"/>
    </row>
    <row r="587" spans="2:13" ht="14.25" customHeight="1" x14ac:dyDescent="0.35">
      <c r="B587" s="7"/>
      <c r="C587" s="7"/>
      <c r="D587" s="7"/>
      <c r="E587" s="7"/>
      <c r="F587" s="7"/>
      <c r="G587" s="9"/>
      <c r="H587" s="9"/>
      <c r="J587" s="7"/>
      <c r="K587" s="7"/>
      <c r="L587" s="11"/>
      <c r="M587" s="11"/>
    </row>
    <row r="588" spans="2:13" ht="14.25" customHeight="1" x14ac:dyDescent="0.35">
      <c r="B588" s="7"/>
      <c r="C588" s="7"/>
      <c r="D588" s="7"/>
      <c r="E588" s="7"/>
      <c r="F588" s="7"/>
      <c r="G588" s="9"/>
      <c r="H588" s="9"/>
      <c r="J588" s="7"/>
      <c r="K588" s="7"/>
      <c r="L588" s="11"/>
      <c r="M588" s="11"/>
    </row>
    <row r="589" spans="2:13" ht="14.25" customHeight="1" x14ac:dyDescent="0.35">
      <c r="B589" s="7"/>
      <c r="C589" s="7"/>
      <c r="D589" s="7"/>
      <c r="E589" s="7"/>
      <c r="F589" s="7"/>
      <c r="G589" s="9"/>
      <c r="H589" s="9"/>
      <c r="J589" s="7"/>
      <c r="K589" s="7"/>
      <c r="L589" s="11"/>
      <c r="M589" s="11"/>
    </row>
    <row r="590" spans="2:13" ht="14.25" customHeight="1" x14ac:dyDescent="0.35">
      <c r="B590" s="7"/>
      <c r="C590" s="7"/>
      <c r="D590" s="7"/>
      <c r="E590" s="7"/>
      <c r="F590" s="7"/>
      <c r="G590" s="9"/>
      <c r="H590" s="9"/>
      <c r="J590" s="7"/>
      <c r="K590" s="7"/>
      <c r="L590" s="11"/>
      <c r="M590" s="11"/>
    </row>
    <row r="591" spans="2:13" ht="14.25" customHeight="1" x14ac:dyDescent="0.35">
      <c r="B591" s="7"/>
      <c r="C591" s="7"/>
      <c r="D591" s="7"/>
      <c r="E591" s="7"/>
      <c r="F591" s="7"/>
      <c r="G591" s="9"/>
      <c r="H591" s="9"/>
      <c r="J591" s="7"/>
      <c r="K591" s="7"/>
      <c r="L591" s="11"/>
      <c r="M591" s="11"/>
    </row>
    <row r="592" spans="2:13" ht="14.25" customHeight="1" x14ac:dyDescent="0.35">
      <c r="B592" s="7"/>
      <c r="C592" s="7"/>
      <c r="D592" s="7"/>
      <c r="E592" s="7"/>
      <c r="F592" s="7"/>
      <c r="G592" s="9"/>
      <c r="H592" s="9"/>
      <c r="J592" s="7"/>
      <c r="K592" s="7"/>
      <c r="L592" s="11"/>
      <c r="M592" s="11"/>
    </row>
    <row r="593" spans="2:13" ht="14.25" customHeight="1" x14ac:dyDescent="0.35">
      <c r="B593" s="7"/>
      <c r="C593" s="7"/>
      <c r="D593" s="7"/>
      <c r="E593" s="7"/>
      <c r="F593" s="7"/>
      <c r="G593" s="9"/>
      <c r="H593" s="9"/>
      <c r="J593" s="7"/>
      <c r="K593" s="7"/>
      <c r="L593" s="11"/>
      <c r="M593" s="11"/>
    </row>
    <row r="594" spans="2:13" ht="14.25" customHeight="1" x14ac:dyDescent="0.35">
      <c r="B594" s="7"/>
      <c r="C594" s="7"/>
      <c r="D594" s="7"/>
      <c r="E594" s="7"/>
      <c r="F594" s="7"/>
      <c r="G594" s="9"/>
      <c r="H594" s="9"/>
      <c r="J594" s="7"/>
      <c r="K594" s="7"/>
      <c r="L594" s="11"/>
      <c r="M594" s="11"/>
    </row>
    <row r="595" spans="2:13" ht="14.25" customHeight="1" x14ac:dyDescent="0.35">
      <c r="B595" s="7"/>
      <c r="C595" s="7"/>
      <c r="D595" s="7"/>
      <c r="E595" s="7"/>
      <c r="F595" s="7"/>
      <c r="G595" s="9"/>
      <c r="H595" s="9"/>
      <c r="J595" s="7"/>
      <c r="K595" s="7"/>
      <c r="L595" s="11"/>
      <c r="M595" s="11"/>
    </row>
    <row r="596" spans="2:13" ht="14.25" customHeight="1" x14ac:dyDescent="0.35">
      <c r="B596" s="7"/>
      <c r="C596" s="7"/>
      <c r="D596" s="7"/>
      <c r="E596" s="7"/>
      <c r="F596" s="7"/>
      <c r="G596" s="9"/>
      <c r="H596" s="9"/>
      <c r="J596" s="7"/>
      <c r="K596" s="7"/>
      <c r="L596" s="11"/>
      <c r="M596" s="11"/>
    </row>
    <row r="597" spans="2:13" ht="14.25" customHeight="1" x14ac:dyDescent="0.35">
      <c r="B597" s="7"/>
      <c r="C597" s="7"/>
      <c r="D597" s="7"/>
      <c r="E597" s="7"/>
      <c r="F597" s="7"/>
      <c r="G597" s="9"/>
      <c r="H597" s="9"/>
      <c r="J597" s="7"/>
      <c r="K597" s="7"/>
      <c r="L597" s="11"/>
      <c r="M597" s="11"/>
    </row>
    <row r="598" spans="2:13" ht="14.25" customHeight="1" x14ac:dyDescent="0.35">
      <c r="B598" s="7"/>
      <c r="C598" s="7"/>
      <c r="D598" s="7"/>
      <c r="E598" s="7"/>
      <c r="F598" s="7"/>
      <c r="G598" s="9"/>
      <c r="H598" s="9"/>
      <c r="J598" s="7"/>
      <c r="K598" s="7"/>
      <c r="L598" s="11"/>
      <c r="M598" s="11"/>
    </row>
    <row r="599" spans="2:13" ht="14.25" customHeight="1" x14ac:dyDescent="0.35">
      <c r="B599" s="7"/>
      <c r="C599" s="7"/>
      <c r="D599" s="7"/>
      <c r="E599" s="7"/>
      <c r="F599" s="7"/>
      <c r="G599" s="9"/>
      <c r="H599" s="9"/>
      <c r="J599" s="7"/>
      <c r="K599" s="7"/>
      <c r="L599" s="11"/>
      <c r="M599" s="11"/>
    </row>
    <row r="600" spans="2:13" ht="14.25" customHeight="1" x14ac:dyDescent="0.35">
      <c r="B600" s="7"/>
      <c r="C600" s="7"/>
      <c r="D600" s="7"/>
      <c r="E600" s="7"/>
      <c r="F600" s="7"/>
      <c r="G600" s="9"/>
      <c r="H600" s="9"/>
      <c r="J600" s="7"/>
      <c r="K600" s="7"/>
      <c r="L600" s="11"/>
      <c r="M600" s="11"/>
    </row>
    <row r="601" spans="2:13" ht="14.25" customHeight="1" x14ac:dyDescent="0.35">
      <c r="B601" s="7"/>
      <c r="C601" s="7"/>
      <c r="D601" s="7"/>
      <c r="E601" s="7"/>
      <c r="F601" s="7"/>
      <c r="G601" s="9"/>
      <c r="H601" s="9"/>
      <c r="J601" s="7"/>
      <c r="K601" s="7"/>
      <c r="L601" s="11"/>
      <c r="M601" s="11"/>
    </row>
    <row r="602" spans="2:13" ht="14.25" customHeight="1" x14ac:dyDescent="0.35">
      <c r="B602" s="7"/>
      <c r="C602" s="7"/>
      <c r="D602" s="7"/>
      <c r="E602" s="7"/>
      <c r="F602" s="7"/>
      <c r="G602" s="9"/>
      <c r="H602" s="9"/>
      <c r="J602" s="7"/>
      <c r="K602" s="7"/>
      <c r="L602" s="11"/>
      <c r="M602" s="11"/>
    </row>
    <row r="603" spans="2:13" ht="14.25" customHeight="1" x14ac:dyDescent="0.35">
      <c r="B603" s="7"/>
      <c r="C603" s="7"/>
      <c r="D603" s="7"/>
      <c r="E603" s="7"/>
      <c r="F603" s="7"/>
      <c r="G603" s="9"/>
      <c r="H603" s="9"/>
      <c r="J603" s="7"/>
      <c r="K603" s="7"/>
      <c r="L603" s="11"/>
      <c r="M603" s="11"/>
    </row>
    <row r="604" spans="2:13" ht="14.25" customHeight="1" x14ac:dyDescent="0.35">
      <c r="B604" s="7"/>
      <c r="C604" s="7"/>
      <c r="D604" s="7"/>
      <c r="E604" s="7"/>
      <c r="F604" s="7"/>
      <c r="G604" s="9"/>
      <c r="H604" s="9"/>
      <c r="J604" s="7"/>
      <c r="K604" s="7"/>
      <c r="L604" s="11"/>
      <c r="M604" s="11"/>
    </row>
    <row r="605" spans="2:13" ht="14.25" customHeight="1" x14ac:dyDescent="0.35">
      <c r="B605" s="7"/>
      <c r="C605" s="7"/>
      <c r="D605" s="7"/>
      <c r="E605" s="7"/>
      <c r="F605" s="7"/>
      <c r="G605" s="9"/>
      <c r="H605" s="9"/>
      <c r="J605" s="7"/>
      <c r="K605" s="7"/>
      <c r="L605" s="11"/>
      <c r="M605" s="11"/>
    </row>
    <row r="606" spans="2:13" ht="14.25" customHeight="1" x14ac:dyDescent="0.35">
      <c r="B606" s="7"/>
      <c r="C606" s="7"/>
      <c r="D606" s="7"/>
      <c r="E606" s="7"/>
      <c r="F606" s="7"/>
      <c r="G606" s="9"/>
      <c r="H606" s="9"/>
      <c r="J606" s="7"/>
      <c r="K606" s="7"/>
      <c r="L606" s="11"/>
      <c r="M606" s="11"/>
    </row>
    <row r="607" spans="2:13" ht="14.25" customHeight="1" x14ac:dyDescent="0.35">
      <c r="B607" s="7"/>
      <c r="C607" s="7"/>
      <c r="D607" s="7"/>
      <c r="E607" s="7"/>
      <c r="F607" s="7"/>
      <c r="G607" s="9"/>
      <c r="H607" s="9"/>
      <c r="J607" s="7"/>
      <c r="K607" s="7"/>
      <c r="L607" s="11"/>
      <c r="M607" s="11"/>
    </row>
    <row r="608" spans="2:13" ht="14.25" customHeight="1" x14ac:dyDescent="0.35">
      <c r="B608" s="7"/>
      <c r="C608" s="7"/>
      <c r="D608" s="7"/>
      <c r="E608" s="7"/>
      <c r="F608" s="7"/>
      <c r="G608" s="9"/>
      <c r="H608" s="9"/>
      <c r="J608" s="7"/>
      <c r="K608" s="7"/>
      <c r="L608" s="11"/>
      <c r="M608" s="11"/>
    </row>
    <row r="609" spans="2:13" ht="14.25" customHeight="1" x14ac:dyDescent="0.35">
      <c r="B609" s="7"/>
      <c r="C609" s="7"/>
      <c r="D609" s="7"/>
      <c r="E609" s="7"/>
      <c r="F609" s="7"/>
      <c r="G609" s="9"/>
      <c r="H609" s="9"/>
      <c r="J609" s="7"/>
      <c r="K609" s="7"/>
      <c r="L609" s="11"/>
      <c r="M609" s="11"/>
    </row>
    <row r="610" spans="2:13" ht="14.25" customHeight="1" x14ac:dyDescent="0.35">
      <c r="B610" s="7"/>
      <c r="C610" s="7"/>
      <c r="D610" s="7"/>
      <c r="E610" s="7"/>
      <c r="F610" s="7"/>
      <c r="G610" s="9"/>
      <c r="H610" s="9"/>
      <c r="J610" s="7"/>
      <c r="K610" s="7"/>
      <c r="L610" s="11"/>
      <c r="M610" s="11"/>
    </row>
    <row r="611" spans="2:13" ht="14.25" customHeight="1" x14ac:dyDescent="0.35">
      <c r="B611" s="7"/>
      <c r="C611" s="7"/>
      <c r="D611" s="7"/>
      <c r="E611" s="7"/>
      <c r="F611" s="7"/>
      <c r="G611" s="9"/>
      <c r="H611" s="9"/>
      <c r="J611" s="7"/>
      <c r="K611" s="7"/>
      <c r="L611" s="11"/>
      <c r="M611" s="11"/>
    </row>
    <row r="612" spans="2:13" ht="14.25" customHeight="1" x14ac:dyDescent="0.35">
      <c r="B612" s="7"/>
      <c r="C612" s="7"/>
      <c r="D612" s="7"/>
      <c r="E612" s="7"/>
      <c r="F612" s="7"/>
      <c r="G612" s="9"/>
      <c r="H612" s="9"/>
      <c r="J612" s="7"/>
      <c r="K612" s="7"/>
      <c r="L612" s="11"/>
      <c r="M612" s="11"/>
    </row>
    <row r="613" spans="2:13" ht="14.25" customHeight="1" x14ac:dyDescent="0.35">
      <c r="B613" s="7"/>
      <c r="C613" s="7"/>
      <c r="D613" s="7"/>
      <c r="E613" s="7"/>
      <c r="F613" s="7"/>
      <c r="G613" s="9"/>
      <c r="H613" s="9"/>
      <c r="J613" s="7"/>
      <c r="K613" s="7"/>
      <c r="L613" s="11"/>
      <c r="M613" s="11"/>
    </row>
    <row r="614" spans="2:13" ht="14.25" customHeight="1" x14ac:dyDescent="0.35">
      <c r="B614" s="7"/>
      <c r="C614" s="7"/>
      <c r="D614" s="7"/>
      <c r="E614" s="7"/>
      <c r="F614" s="7"/>
      <c r="G614" s="9"/>
      <c r="H614" s="9"/>
      <c r="J614" s="7"/>
      <c r="K614" s="7"/>
      <c r="L614" s="11"/>
      <c r="M614" s="11"/>
    </row>
    <row r="615" spans="2:13" ht="14.25" customHeight="1" x14ac:dyDescent="0.35">
      <c r="B615" s="7"/>
      <c r="C615" s="7"/>
      <c r="D615" s="7"/>
      <c r="E615" s="7"/>
      <c r="F615" s="7"/>
      <c r="G615" s="9"/>
      <c r="H615" s="9"/>
      <c r="J615" s="7"/>
      <c r="K615" s="7"/>
      <c r="L615" s="11"/>
      <c r="M615" s="11"/>
    </row>
    <row r="616" spans="2:13" ht="14.25" customHeight="1" x14ac:dyDescent="0.35">
      <c r="B616" s="7"/>
      <c r="C616" s="7"/>
      <c r="D616" s="7"/>
      <c r="E616" s="7"/>
      <c r="F616" s="7"/>
      <c r="G616" s="9"/>
      <c r="H616" s="9"/>
      <c r="J616" s="7"/>
      <c r="K616" s="7"/>
      <c r="L616" s="11"/>
      <c r="M616" s="11"/>
    </row>
    <row r="617" spans="2:13" ht="14.25" customHeight="1" x14ac:dyDescent="0.35">
      <c r="B617" s="7"/>
      <c r="C617" s="7"/>
      <c r="D617" s="7"/>
      <c r="E617" s="7"/>
      <c r="F617" s="7"/>
      <c r="G617" s="9"/>
      <c r="H617" s="9"/>
      <c r="J617" s="7"/>
      <c r="K617" s="7"/>
      <c r="L617" s="11"/>
      <c r="M617" s="11"/>
    </row>
    <row r="618" spans="2:13" ht="14.25" customHeight="1" x14ac:dyDescent="0.35">
      <c r="B618" s="7"/>
      <c r="C618" s="7"/>
      <c r="D618" s="7"/>
      <c r="E618" s="7"/>
      <c r="F618" s="7"/>
      <c r="G618" s="9"/>
      <c r="H618" s="9"/>
      <c r="J618" s="7"/>
      <c r="K618" s="7"/>
      <c r="L618" s="11"/>
      <c r="M618" s="11"/>
    </row>
    <row r="619" spans="2:13" ht="14.25" customHeight="1" x14ac:dyDescent="0.35">
      <c r="B619" s="7"/>
      <c r="C619" s="7"/>
      <c r="D619" s="7"/>
      <c r="E619" s="7"/>
      <c r="F619" s="7"/>
      <c r="G619" s="9"/>
      <c r="H619" s="9"/>
      <c r="J619" s="7"/>
      <c r="K619" s="7"/>
      <c r="L619" s="11"/>
      <c r="M619" s="11"/>
    </row>
    <row r="620" spans="2:13" ht="14.25" customHeight="1" x14ac:dyDescent="0.35">
      <c r="B620" s="7"/>
      <c r="C620" s="7"/>
      <c r="D620" s="7"/>
      <c r="E620" s="7"/>
      <c r="F620" s="7"/>
      <c r="G620" s="9"/>
      <c r="H620" s="9"/>
      <c r="J620" s="7"/>
      <c r="K620" s="7"/>
      <c r="L620" s="11"/>
      <c r="M620" s="11"/>
    </row>
    <row r="621" spans="2:13" ht="14.25" customHeight="1" x14ac:dyDescent="0.35">
      <c r="B621" s="7"/>
      <c r="C621" s="7"/>
      <c r="D621" s="7"/>
      <c r="E621" s="7"/>
      <c r="F621" s="7"/>
      <c r="G621" s="9"/>
      <c r="H621" s="9"/>
      <c r="J621" s="7"/>
      <c r="K621" s="7"/>
      <c r="L621" s="11"/>
      <c r="M621" s="11"/>
    </row>
    <row r="622" spans="2:13" ht="14.25" customHeight="1" x14ac:dyDescent="0.35">
      <c r="B622" s="7"/>
      <c r="C622" s="7"/>
      <c r="D622" s="7"/>
      <c r="E622" s="7"/>
      <c r="F622" s="7"/>
      <c r="G622" s="9"/>
      <c r="H622" s="9"/>
      <c r="J622" s="7"/>
      <c r="K622" s="7"/>
      <c r="L622" s="11"/>
      <c r="M622" s="11"/>
    </row>
    <row r="623" spans="2:13" ht="14.25" customHeight="1" x14ac:dyDescent="0.35">
      <c r="B623" s="7"/>
      <c r="C623" s="7"/>
      <c r="D623" s="7"/>
      <c r="E623" s="7"/>
      <c r="F623" s="7"/>
      <c r="G623" s="9"/>
      <c r="H623" s="9"/>
      <c r="J623" s="7"/>
      <c r="K623" s="7"/>
      <c r="L623" s="11"/>
      <c r="M623" s="11"/>
    </row>
    <row r="624" spans="2:13" ht="14.25" customHeight="1" x14ac:dyDescent="0.35">
      <c r="B624" s="7"/>
      <c r="C624" s="7"/>
      <c r="D624" s="7"/>
      <c r="E624" s="7"/>
      <c r="F624" s="7"/>
      <c r="G624" s="9"/>
      <c r="H624" s="9"/>
      <c r="J624" s="7"/>
      <c r="K624" s="7"/>
      <c r="L624" s="11"/>
      <c r="M624" s="11"/>
    </row>
    <row r="625" spans="2:13" ht="14.25" customHeight="1" x14ac:dyDescent="0.35">
      <c r="B625" s="7"/>
      <c r="C625" s="7"/>
      <c r="D625" s="7"/>
      <c r="E625" s="7"/>
      <c r="F625" s="7"/>
      <c r="G625" s="9"/>
      <c r="H625" s="9"/>
      <c r="J625" s="7"/>
      <c r="K625" s="7"/>
      <c r="L625" s="11"/>
      <c r="M625" s="11"/>
    </row>
    <row r="626" spans="2:13" ht="14.25" customHeight="1" x14ac:dyDescent="0.35">
      <c r="B626" s="7"/>
      <c r="C626" s="7"/>
      <c r="D626" s="7"/>
      <c r="E626" s="7"/>
      <c r="F626" s="7"/>
      <c r="G626" s="9"/>
      <c r="H626" s="9"/>
      <c r="J626" s="7"/>
      <c r="K626" s="7"/>
      <c r="L626" s="11"/>
      <c r="M626" s="11"/>
    </row>
    <row r="627" spans="2:13" ht="14.25" customHeight="1" x14ac:dyDescent="0.35">
      <c r="B627" s="7"/>
      <c r="C627" s="7"/>
      <c r="D627" s="7"/>
      <c r="E627" s="7"/>
      <c r="F627" s="7"/>
      <c r="G627" s="9"/>
      <c r="H627" s="9"/>
      <c r="J627" s="7"/>
      <c r="K627" s="7"/>
      <c r="L627" s="11"/>
      <c r="M627" s="11"/>
    </row>
    <row r="628" spans="2:13" ht="14.25" customHeight="1" x14ac:dyDescent="0.35">
      <c r="B628" s="7"/>
      <c r="C628" s="7"/>
      <c r="D628" s="7"/>
      <c r="E628" s="7"/>
      <c r="F628" s="7"/>
      <c r="G628" s="9"/>
      <c r="H628" s="9"/>
      <c r="J628" s="7"/>
      <c r="K628" s="7"/>
      <c r="L628" s="11"/>
      <c r="M628" s="11"/>
    </row>
    <row r="629" spans="2:13" ht="14.25" customHeight="1" x14ac:dyDescent="0.35">
      <c r="B629" s="7"/>
      <c r="C629" s="7"/>
      <c r="D629" s="7"/>
      <c r="E629" s="7"/>
      <c r="F629" s="7"/>
      <c r="G629" s="9"/>
      <c r="H629" s="9"/>
      <c r="J629" s="7"/>
      <c r="K629" s="7"/>
      <c r="L629" s="11"/>
      <c r="M629" s="11"/>
    </row>
    <row r="630" spans="2:13" ht="14.25" customHeight="1" x14ac:dyDescent="0.35">
      <c r="B630" s="7"/>
      <c r="C630" s="7"/>
      <c r="D630" s="7"/>
      <c r="E630" s="7"/>
      <c r="F630" s="7"/>
      <c r="G630" s="9"/>
      <c r="H630" s="9"/>
      <c r="J630" s="7"/>
      <c r="K630" s="7"/>
      <c r="L630" s="11"/>
      <c r="M630" s="11"/>
    </row>
    <row r="631" spans="2:13" ht="14.25" customHeight="1" x14ac:dyDescent="0.35">
      <c r="B631" s="7"/>
      <c r="C631" s="7"/>
      <c r="D631" s="7"/>
      <c r="E631" s="7"/>
      <c r="F631" s="7"/>
      <c r="G631" s="9"/>
      <c r="H631" s="9"/>
      <c r="J631" s="7"/>
      <c r="K631" s="7"/>
      <c r="L631" s="11"/>
      <c r="M631" s="11"/>
    </row>
    <row r="632" spans="2:13" ht="14.25" customHeight="1" x14ac:dyDescent="0.35">
      <c r="B632" s="7"/>
      <c r="C632" s="7"/>
      <c r="D632" s="7"/>
      <c r="E632" s="7"/>
      <c r="F632" s="7"/>
      <c r="G632" s="9"/>
      <c r="H632" s="9"/>
      <c r="J632" s="7"/>
      <c r="K632" s="7"/>
      <c r="L632" s="11"/>
      <c r="M632" s="11"/>
    </row>
    <row r="633" spans="2:13" ht="14.25" customHeight="1" x14ac:dyDescent="0.35">
      <c r="B633" s="7"/>
      <c r="C633" s="7"/>
      <c r="D633" s="7"/>
      <c r="E633" s="7"/>
      <c r="F633" s="7"/>
      <c r="G633" s="9"/>
      <c r="H633" s="9"/>
      <c r="J633" s="7"/>
      <c r="K633" s="7"/>
      <c r="L633" s="11"/>
      <c r="M633" s="11"/>
    </row>
    <row r="634" spans="2:13" ht="14.25" customHeight="1" x14ac:dyDescent="0.35">
      <c r="B634" s="7"/>
      <c r="C634" s="7"/>
      <c r="D634" s="7"/>
      <c r="E634" s="7"/>
      <c r="F634" s="7"/>
      <c r="G634" s="9"/>
      <c r="H634" s="9"/>
      <c r="J634" s="7"/>
      <c r="K634" s="7"/>
      <c r="L634" s="11"/>
      <c r="M634" s="11"/>
    </row>
    <row r="635" spans="2:13" ht="14.25" customHeight="1" x14ac:dyDescent="0.35">
      <c r="B635" s="7"/>
      <c r="C635" s="7"/>
      <c r="D635" s="7"/>
      <c r="E635" s="7"/>
      <c r="F635" s="7"/>
      <c r="G635" s="9"/>
      <c r="H635" s="9"/>
      <c r="J635" s="7"/>
      <c r="K635" s="7"/>
      <c r="L635" s="11"/>
      <c r="M635" s="11"/>
    </row>
    <row r="636" spans="2:13" ht="14.25" customHeight="1" x14ac:dyDescent="0.35">
      <c r="B636" s="7"/>
      <c r="C636" s="7"/>
      <c r="D636" s="7"/>
      <c r="E636" s="7"/>
      <c r="F636" s="7"/>
      <c r="G636" s="9"/>
      <c r="H636" s="9"/>
      <c r="J636" s="7"/>
      <c r="K636" s="7"/>
      <c r="L636" s="11"/>
      <c r="M636" s="11"/>
    </row>
    <row r="637" spans="2:13" ht="14.25" customHeight="1" x14ac:dyDescent="0.35">
      <c r="B637" s="7"/>
      <c r="C637" s="7"/>
      <c r="D637" s="7"/>
      <c r="E637" s="7"/>
      <c r="F637" s="7"/>
      <c r="G637" s="9"/>
      <c r="H637" s="9"/>
      <c r="J637" s="7"/>
      <c r="K637" s="7"/>
      <c r="L637" s="11"/>
      <c r="M637" s="11"/>
    </row>
    <row r="638" spans="2:13" ht="14.25" customHeight="1" x14ac:dyDescent="0.35">
      <c r="B638" s="7"/>
      <c r="C638" s="7"/>
      <c r="D638" s="7"/>
      <c r="E638" s="7"/>
      <c r="F638" s="7"/>
      <c r="G638" s="9"/>
      <c r="H638" s="9"/>
      <c r="J638" s="7"/>
      <c r="K638" s="7"/>
      <c r="L638" s="11"/>
      <c r="M638" s="11"/>
    </row>
    <row r="639" spans="2:13" ht="14.25" customHeight="1" x14ac:dyDescent="0.35">
      <c r="B639" s="7"/>
      <c r="C639" s="7"/>
      <c r="D639" s="7"/>
      <c r="E639" s="7"/>
      <c r="F639" s="7"/>
      <c r="G639" s="9"/>
      <c r="H639" s="9"/>
      <c r="J639" s="7"/>
      <c r="K639" s="7"/>
      <c r="L639" s="11"/>
      <c r="M639" s="11"/>
    </row>
    <row r="640" spans="2:13" ht="14.25" customHeight="1" x14ac:dyDescent="0.35">
      <c r="B640" s="7"/>
      <c r="C640" s="7"/>
      <c r="D640" s="7"/>
      <c r="E640" s="7"/>
      <c r="F640" s="7"/>
      <c r="G640" s="9"/>
      <c r="H640" s="9"/>
      <c r="J640" s="7"/>
      <c r="K640" s="7"/>
      <c r="L640" s="11"/>
      <c r="M640" s="11"/>
    </row>
    <row r="641" spans="2:13" ht="14.25" customHeight="1" x14ac:dyDescent="0.35">
      <c r="B641" s="7"/>
      <c r="C641" s="7"/>
      <c r="D641" s="7"/>
      <c r="E641" s="7"/>
      <c r="F641" s="7"/>
      <c r="G641" s="9"/>
      <c r="H641" s="9"/>
      <c r="J641" s="7"/>
      <c r="K641" s="7"/>
      <c r="L641" s="11"/>
      <c r="M641" s="11"/>
    </row>
    <row r="642" spans="2:13" ht="14.25" customHeight="1" x14ac:dyDescent="0.35">
      <c r="B642" s="7"/>
      <c r="C642" s="7"/>
      <c r="D642" s="7"/>
      <c r="E642" s="7"/>
      <c r="F642" s="7"/>
      <c r="G642" s="9"/>
      <c r="H642" s="9"/>
      <c r="J642" s="7"/>
      <c r="K642" s="7"/>
      <c r="L642" s="11"/>
      <c r="M642" s="11"/>
    </row>
    <row r="643" spans="2:13" ht="14.25" customHeight="1" x14ac:dyDescent="0.35">
      <c r="B643" s="7"/>
      <c r="C643" s="7"/>
      <c r="D643" s="7"/>
      <c r="E643" s="7"/>
      <c r="F643" s="7"/>
      <c r="G643" s="9"/>
      <c r="H643" s="9"/>
      <c r="J643" s="7"/>
      <c r="K643" s="7"/>
      <c r="L643" s="11"/>
      <c r="M643" s="11"/>
    </row>
    <row r="644" spans="2:13" ht="14.25" customHeight="1" x14ac:dyDescent="0.35">
      <c r="B644" s="7"/>
      <c r="C644" s="7"/>
      <c r="D644" s="7"/>
      <c r="E644" s="7"/>
      <c r="F644" s="7"/>
      <c r="G644" s="9"/>
      <c r="H644" s="9"/>
      <c r="J644" s="7"/>
      <c r="K644" s="7"/>
      <c r="L644" s="11"/>
      <c r="M644" s="11"/>
    </row>
    <row r="645" spans="2:13" ht="14.25" customHeight="1" x14ac:dyDescent="0.35">
      <c r="B645" s="7"/>
      <c r="C645" s="7"/>
      <c r="D645" s="7"/>
      <c r="E645" s="7"/>
      <c r="F645" s="7"/>
      <c r="G645" s="9"/>
      <c r="H645" s="9"/>
      <c r="J645" s="7"/>
      <c r="K645" s="7"/>
      <c r="L645" s="11"/>
      <c r="M645" s="11"/>
    </row>
    <row r="646" spans="2:13" ht="14.25" customHeight="1" x14ac:dyDescent="0.35">
      <c r="B646" s="7"/>
      <c r="C646" s="7"/>
      <c r="D646" s="7"/>
      <c r="E646" s="7"/>
      <c r="F646" s="7"/>
      <c r="G646" s="9"/>
      <c r="H646" s="9"/>
      <c r="J646" s="7"/>
      <c r="K646" s="7"/>
      <c r="L646" s="11"/>
      <c r="M646" s="11"/>
    </row>
    <row r="647" spans="2:13" ht="14.25" customHeight="1" x14ac:dyDescent="0.35">
      <c r="B647" s="7"/>
      <c r="C647" s="7"/>
      <c r="D647" s="7"/>
      <c r="E647" s="7"/>
      <c r="F647" s="7"/>
      <c r="G647" s="9"/>
      <c r="H647" s="9"/>
      <c r="J647" s="7"/>
      <c r="K647" s="7"/>
      <c r="L647" s="11"/>
      <c r="M647" s="11"/>
    </row>
    <row r="648" spans="2:13" ht="14.25" customHeight="1" x14ac:dyDescent="0.35">
      <c r="B648" s="7"/>
      <c r="C648" s="7"/>
      <c r="D648" s="7"/>
      <c r="E648" s="7"/>
      <c r="F648" s="7"/>
      <c r="G648" s="9"/>
      <c r="H648" s="9"/>
      <c r="J648" s="7"/>
      <c r="K648" s="7"/>
      <c r="L648" s="11"/>
      <c r="M648" s="11"/>
    </row>
    <row r="649" spans="2:13" ht="14.25" customHeight="1" x14ac:dyDescent="0.35">
      <c r="B649" s="7"/>
      <c r="C649" s="7"/>
      <c r="D649" s="7"/>
      <c r="E649" s="7"/>
      <c r="F649" s="7"/>
      <c r="G649" s="9"/>
      <c r="H649" s="9"/>
      <c r="J649" s="7"/>
      <c r="K649" s="7"/>
      <c r="L649" s="11"/>
      <c r="M649" s="11"/>
    </row>
    <row r="650" spans="2:13" ht="14.25" customHeight="1" x14ac:dyDescent="0.35">
      <c r="B650" s="7"/>
      <c r="C650" s="7"/>
      <c r="D650" s="7"/>
      <c r="E650" s="7"/>
      <c r="F650" s="7"/>
      <c r="G650" s="9"/>
      <c r="H650" s="9"/>
      <c r="J650" s="7"/>
      <c r="K650" s="7"/>
      <c r="L650" s="11"/>
      <c r="M650" s="11"/>
    </row>
    <row r="651" spans="2:13" ht="14.25" customHeight="1" x14ac:dyDescent="0.35">
      <c r="B651" s="7"/>
      <c r="C651" s="7"/>
      <c r="D651" s="7"/>
      <c r="E651" s="7"/>
      <c r="F651" s="7"/>
      <c r="G651" s="9"/>
      <c r="H651" s="9"/>
      <c r="J651" s="7"/>
      <c r="K651" s="7"/>
      <c r="L651" s="11"/>
      <c r="M651" s="11"/>
    </row>
    <row r="652" spans="2:13" ht="14.25" customHeight="1" x14ac:dyDescent="0.35">
      <c r="B652" s="7"/>
      <c r="C652" s="7"/>
      <c r="D652" s="7"/>
      <c r="E652" s="7"/>
      <c r="F652" s="7"/>
      <c r="G652" s="9"/>
      <c r="H652" s="9"/>
      <c r="J652" s="7"/>
      <c r="K652" s="7"/>
      <c r="L652" s="11"/>
      <c r="M652" s="11"/>
    </row>
    <row r="653" spans="2:13" ht="14.25" customHeight="1" x14ac:dyDescent="0.35">
      <c r="B653" s="7"/>
      <c r="C653" s="7"/>
      <c r="D653" s="7"/>
      <c r="E653" s="7"/>
      <c r="F653" s="7"/>
      <c r="G653" s="9"/>
      <c r="H653" s="9"/>
      <c r="J653" s="7"/>
      <c r="K653" s="7"/>
      <c r="L653" s="11"/>
      <c r="M653" s="11"/>
    </row>
    <row r="654" spans="2:13" ht="14.25" customHeight="1" x14ac:dyDescent="0.35">
      <c r="B654" s="7"/>
      <c r="C654" s="7"/>
      <c r="D654" s="7"/>
      <c r="E654" s="7"/>
      <c r="F654" s="7"/>
      <c r="G654" s="9"/>
      <c r="H654" s="9"/>
      <c r="J654" s="7"/>
      <c r="K654" s="7"/>
      <c r="L654" s="11"/>
      <c r="M654" s="11"/>
    </row>
    <row r="655" spans="2:13" ht="14.25" customHeight="1" x14ac:dyDescent="0.35">
      <c r="B655" s="7"/>
      <c r="C655" s="7"/>
      <c r="D655" s="7"/>
      <c r="E655" s="7"/>
      <c r="F655" s="7"/>
      <c r="G655" s="9"/>
      <c r="H655" s="9"/>
      <c r="J655" s="7"/>
      <c r="K655" s="7"/>
      <c r="L655" s="11"/>
      <c r="M655" s="11"/>
    </row>
    <row r="656" spans="2:13" ht="14.25" customHeight="1" x14ac:dyDescent="0.35">
      <c r="B656" s="7"/>
      <c r="C656" s="7"/>
      <c r="D656" s="7"/>
      <c r="E656" s="7"/>
      <c r="F656" s="7"/>
      <c r="G656" s="9"/>
      <c r="H656" s="9"/>
      <c r="J656" s="7"/>
      <c r="K656" s="7"/>
      <c r="L656" s="11"/>
      <c r="M656" s="11"/>
    </row>
    <row r="657" spans="2:13" ht="14.25" customHeight="1" x14ac:dyDescent="0.35">
      <c r="B657" s="7"/>
      <c r="C657" s="7"/>
      <c r="D657" s="7"/>
      <c r="E657" s="7"/>
      <c r="F657" s="7"/>
      <c r="G657" s="9"/>
      <c r="H657" s="9"/>
      <c r="J657" s="7"/>
      <c r="K657" s="7"/>
      <c r="L657" s="11"/>
      <c r="M657" s="11"/>
    </row>
    <row r="658" spans="2:13" ht="14.25" customHeight="1" x14ac:dyDescent="0.35">
      <c r="B658" s="7"/>
      <c r="C658" s="7"/>
      <c r="D658" s="7"/>
      <c r="E658" s="7"/>
      <c r="F658" s="7"/>
      <c r="G658" s="9"/>
      <c r="H658" s="9"/>
      <c r="J658" s="7"/>
      <c r="K658" s="7"/>
      <c r="L658" s="11"/>
      <c r="M658" s="11"/>
    </row>
    <row r="659" spans="2:13" ht="14.25" customHeight="1" x14ac:dyDescent="0.35">
      <c r="B659" s="7"/>
      <c r="C659" s="7"/>
      <c r="D659" s="7"/>
      <c r="E659" s="7"/>
      <c r="F659" s="7"/>
      <c r="G659" s="9"/>
      <c r="H659" s="9"/>
      <c r="J659" s="7"/>
      <c r="K659" s="7"/>
      <c r="L659" s="11"/>
      <c r="M659" s="11"/>
    </row>
    <row r="660" spans="2:13" ht="14.25" customHeight="1" x14ac:dyDescent="0.35">
      <c r="B660" s="7"/>
      <c r="C660" s="7"/>
      <c r="D660" s="7"/>
      <c r="E660" s="7"/>
      <c r="F660" s="7"/>
      <c r="G660" s="9"/>
      <c r="H660" s="9"/>
      <c r="J660" s="7"/>
      <c r="K660" s="7"/>
      <c r="L660" s="11"/>
      <c r="M660" s="11"/>
    </row>
    <row r="661" spans="2:13" ht="14.25" customHeight="1" x14ac:dyDescent="0.35">
      <c r="B661" s="7"/>
      <c r="C661" s="7"/>
      <c r="D661" s="7"/>
      <c r="E661" s="7"/>
      <c r="F661" s="7"/>
      <c r="G661" s="9"/>
      <c r="H661" s="9"/>
      <c r="J661" s="7"/>
      <c r="K661" s="7"/>
      <c r="L661" s="11"/>
      <c r="M661" s="11"/>
    </row>
    <row r="662" spans="2:13" ht="14.25" customHeight="1" x14ac:dyDescent="0.35">
      <c r="B662" s="7"/>
      <c r="C662" s="7"/>
      <c r="D662" s="7"/>
      <c r="E662" s="7"/>
      <c r="F662" s="7"/>
      <c r="G662" s="9"/>
      <c r="H662" s="9"/>
      <c r="J662" s="7"/>
      <c r="K662" s="7"/>
      <c r="L662" s="11"/>
      <c r="M662" s="11"/>
    </row>
    <row r="663" spans="2:13" ht="14.25" customHeight="1" x14ac:dyDescent="0.35">
      <c r="B663" s="7"/>
      <c r="C663" s="7"/>
      <c r="D663" s="7"/>
      <c r="E663" s="7"/>
      <c r="F663" s="7"/>
      <c r="G663" s="9"/>
      <c r="H663" s="9"/>
      <c r="J663" s="7"/>
      <c r="K663" s="7"/>
      <c r="L663" s="11"/>
      <c r="M663" s="11"/>
    </row>
    <row r="664" spans="2:13" ht="14.25" customHeight="1" x14ac:dyDescent="0.35">
      <c r="B664" s="7"/>
      <c r="C664" s="7"/>
      <c r="D664" s="7"/>
      <c r="E664" s="7"/>
      <c r="F664" s="7"/>
      <c r="G664" s="9"/>
      <c r="H664" s="9"/>
      <c r="J664" s="7"/>
      <c r="K664" s="7"/>
      <c r="L664" s="11"/>
      <c r="M664" s="11"/>
    </row>
    <row r="665" spans="2:13" ht="14.25" customHeight="1" x14ac:dyDescent="0.35">
      <c r="B665" s="7"/>
      <c r="C665" s="7"/>
      <c r="D665" s="7"/>
      <c r="E665" s="7"/>
      <c r="F665" s="7"/>
      <c r="G665" s="9"/>
      <c r="H665" s="9"/>
      <c r="J665" s="7"/>
      <c r="K665" s="7"/>
      <c r="L665" s="11"/>
      <c r="M665" s="11"/>
    </row>
    <row r="666" spans="2:13" ht="14.25" customHeight="1" x14ac:dyDescent="0.35">
      <c r="B666" s="7"/>
      <c r="C666" s="7"/>
      <c r="D666" s="7"/>
      <c r="E666" s="7"/>
      <c r="F666" s="7"/>
      <c r="G666" s="9"/>
      <c r="H666" s="9"/>
      <c r="J666" s="7"/>
      <c r="K666" s="7"/>
      <c r="L666" s="11"/>
      <c r="M666" s="11"/>
    </row>
    <row r="667" spans="2:13" ht="14.25" customHeight="1" x14ac:dyDescent="0.35">
      <c r="B667" s="7"/>
      <c r="C667" s="7"/>
      <c r="D667" s="7"/>
      <c r="E667" s="7"/>
      <c r="F667" s="7"/>
      <c r="G667" s="9"/>
      <c r="H667" s="9"/>
      <c r="J667" s="7"/>
      <c r="K667" s="7"/>
      <c r="L667" s="11"/>
      <c r="M667" s="11"/>
    </row>
    <row r="668" spans="2:13" ht="14.25" customHeight="1" x14ac:dyDescent="0.35">
      <c r="B668" s="7"/>
      <c r="C668" s="7"/>
      <c r="D668" s="7"/>
      <c r="E668" s="7"/>
      <c r="F668" s="7"/>
      <c r="G668" s="9"/>
      <c r="H668" s="9"/>
      <c r="J668" s="7"/>
      <c r="K668" s="7"/>
      <c r="L668" s="11"/>
      <c r="M668" s="11"/>
    </row>
    <row r="669" spans="2:13" ht="14.25" customHeight="1" x14ac:dyDescent="0.35">
      <c r="B669" s="7"/>
      <c r="C669" s="7"/>
      <c r="D669" s="7"/>
      <c r="E669" s="7"/>
      <c r="F669" s="7"/>
      <c r="G669" s="9"/>
      <c r="H669" s="9"/>
      <c r="J669" s="7"/>
      <c r="K669" s="7"/>
      <c r="L669" s="11"/>
      <c r="M669" s="11"/>
    </row>
    <row r="670" spans="2:13" ht="14.25" customHeight="1" x14ac:dyDescent="0.35">
      <c r="B670" s="7"/>
      <c r="C670" s="7"/>
      <c r="D670" s="7"/>
      <c r="E670" s="7"/>
      <c r="F670" s="7"/>
      <c r="G670" s="9"/>
      <c r="H670" s="9"/>
      <c r="J670" s="7"/>
      <c r="K670" s="7"/>
      <c r="L670" s="11"/>
      <c r="M670" s="11"/>
    </row>
    <row r="671" spans="2:13" ht="14.25" customHeight="1" x14ac:dyDescent="0.35">
      <c r="B671" s="7"/>
      <c r="C671" s="7"/>
      <c r="D671" s="7"/>
      <c r="E671" s="7"/>
      <c r="F671" s="7"/>
      <c r="G671" s="9"/>
      <c r="H671" s="9"/>
      <c r="J671" s="7"/>
      <c r="K671" s="7"/>
      <c r="L671" s="11"/>
      <c r="M671" s="11"/>
    </row>
    <row r="672" spans="2:13" ht="14.25" customHeight="1" x14ac:dyDescent="0.35">
      <c r="B672" s="7"/>
      <c r="C672" s="7"/>
      <c r="D672" s="7"/>
      <c r="E672" s="7"/>
      <c r="F672" s="7"/>
      <c r="G672" s="9"/>
      <c r="H672" s="9"/>
      <c r="J672" s="7"/>
      <c r="K672" s="7"/>
      <c r="L672" s="11"/>
      <c r="M672" s="11"/>
    </row>
    <row r="673" spans="2:13" ht="14.25" customHeight="1" x14ac:dyDescent="0.35">
      <c r="B673" s="7"/>
      <c r="C673" s="7"/>
      <c r="D673" s="7"/>
      <c r="E673" s="7"/>
      <c r="F673" s="7"/>
      <c r="G673" s="9"/>
      <c r="H673" s="9"/>
      <c r="J673" s="7"/>
      <c r="K673" s="7"/>
      <c r="L673" s="11"/>
      <c r="M673" s="11"/>
    </row>
    <row r="674" spans="2:13" ht="14.25" customHeight="1" x14ac:dyDescent="0.35">
      <c r="B674" s="7"/>
      <c r="C674" s="7"/>
      <c r="D674" s="7"/>
      <c r="E674" s="7"/>
      <c r="F674" s="7"/>
      <c r="G674" s="9"/>
      <c r="H674" s="9"/>
      <c r="J674" s="7"/>
      <c r="K674" s="7"/>
      <c r="L674" s="11"/>
      <c r="M674" s="11"/>
    </row>
    <row r="675" spans="2:13" ht="14.25" customHeight="1" x14ac:dyDescent="0.35">
      <c r="B675" s="7"/>
      <c r="C675" s="7"/>
      <c r="D675" s="7"/>
      <c r="E675" s="7"/>
      <c r="F675" s="7"/>
      <c r="G675" s="9"/>
      <c r="H675" s="9"/>
      <c r="J675" s="7"/>
      <c r="K675" s="7"/>
      <c r="L675" s="11"/>
      <c r="M675" s="11"/>
    </row>
    <row r="676" spans="2:13" ht="14.25" customHeight="1" x14ac:dyDescent="0.35">
      <c r="B676" s="7"/>
      <c r="C676" s="7"/>
      <c r="D676" s="7"/>
      <c r="E676" s="7"/>
      <c r="F676" s="7"/>
      <c r="G676" s="9"/>
      <c r="H676" s="9"/>
      <c r="J676" s="7"/>
      <c r="K676" s="7"/>
      <c r="L676" s="11"/>
      <c r="M676" s="11"/>
    </row>
    <row r="677" spans="2:13" ht="14.25" customHeight="1" x14ac:dyDescent="0.35">
      <c r="B677" s="7"/>
      <c r="C677" s="7"/>
      <c r="D677" s="7"/>
      <c r="E677" s="7"/>
      <c r="F677" s="7"/>
      <c r="G677" s="9"/>
      <c r="H677" s="9"/>
      <c r="J677" s="7"/>
      <c r="K677" s="7"/>
      <c r="L677" s="11"/>
      <c r="M677" s="11"/>
    </row>
    <row r="678" spans="2:13" ht="14.25" customHeight="1" x14ac:dyDescent="0.35">
      <c r="B678" s="7"/>
      <c r="C678" s="7"/>
      <c r="D678" s="7"/>
      <c r="E678" s="7"/>
      <c r="F678" s="7"/>
      <c r="G678" s="9"/>
      <c r="H678" s="9"/>
      <c r="J678" s="7"/>
      <c r="K678" s="7"/>
      <c r="L678" s="11"/>
      <c r="M678" s="11"/>
    </row>
    <row r="679" spans="2:13" ht="14.25" customHeight="1" x14ac:dyDescent="0.35">
      <c r="B679" s="7"/>
      <c r="C679" s="7"/>
      <c r="D679" s="7"/>
      <c r="E679" s="7"/>
      <c r="F679" s="7"/>
      <c r="G679" s="9"/>
      <c r="H679" s="9"/>
      <c r="J679" s="7"/>
      <c r="K679" s="7"/>
      <c r="L679" s="11"/>
      <c r="M679" s="11"/>
    </row>
    <row r="680" spans="2:13" ht="14.25" customHeight="1" x14ac:dyDescent="0.35">
      <c r="B680" s="7"/>
      <c r="C680" s="7"/>
      <c r="D680" s="7"/>
      <c r="E680" s="7"/>
      <c r="F680" s="7"/>
      <c r="G680" s="9"/>
      <c r="H680" s="9"/>
      <c r="J680" s="7"/>
      <c r="K680" s="7"/>
      <c r="L680" s="11"/>
      <c r="M680" s="11"/>
    </row>
    <row r="681" spans="2:13" ht="14.25" customHeight="1" x14ac:dyDescent="0.35">
      <c r="B681" s="7"/>
      <c r="C681" s="7"/>
      <c r="D681" s="7"/>
      <c r="E681" s="7"/>
      <c r="F681" s="7"/>
      <c r="G681" s="9"/>
      <c r="H681" s="9"/>
      <c r="J681" s="7"/>
      <c r="K681" s="7"/>
      <c r="L681" s="11"/>
      <c r="M681" s="11"/>
    </row>
    <row r="682" spans="2:13" ht="14.25" customHeight="1" x14ac:dyDescent="0.35">
      <c r="B682" s="7"/>
      <c r="C682" s="7"/>
      <c r="D682" s="7"/>
      <c r="E682" s="7"/>
      <c r="F682" s="7"/>
      <c r="G682" s="9"/>
      <c r="H682" s="9"/>
      <c r="J682" s="7"/>
      <c r="K682" s="7"/>
      <c r="L682" s="11"/>
      <c r="M682" s="11"/>
    </row>
    <row r="683" spans="2:13" ht="14.25" customHeight="1" x14ac:dyDescent="0.35">
      <c r="B683" s="7"/>
      <c r="C683" s="7"/>
      <c r="D683" s="7"/>
      <c r="E683" s="7"/>
      <c r="F683" s="7"/>
      <c r="G683" s="9"/>
      <c r="H683" s="9"/>
      <c r="J683" s="7"/>
      <c r="K683" s="7"/>
      <c r="L683" s="11"/>
      <c r="M683" s="11"/>
    </row>
    <row r="684" spans="2:13" ht="14.25" customHeight="1" x14ac:dyDescent="0.35">
      <c r="B684" s="7"/>
      <c r="C684" s="7"/>
      <c r="D684" s="7"/>
      <c r="E684" s="7"/>
      <c r="F684" s="7"/>
      <c r="G684" s="9"/>
      <c r="H684" s="9"/>
      <c r="J684" s="7"/>
      <c r="K684" s="7"/>
      <c r="L684" s="11"/>
      <c r="M684" s="11"/>
    </row>
    <row r="685" spans="2:13" ht="14.25" customHeight="1" x14ac:dyDescent="0.35">
      <c r="B685" s="7"/>
      <c r="C685" s="7"/>
      <c r="D685" s="7"/>
      <c r="E685" s="7"/>
      <c r="F685" s="7"/>
      <c r="G685" s="9"/>
      <c r="H685" s="9"/>
      <c r="J685" s="7"/>
      <c r="K685" s="7"/>
      <c r="L685" s="11"/>
      <c r="M685" s="11"/>
    </row>
    <row r="686" spans="2:13" ht="14.25" customHeight="1" x14ac:dyDescent="0.35">
      <c r="B686" s="7"/>
      <c r="C686" s="7"/>
      <c r="D686" s="7"/>
      <c r="E686" s="7"/>
      <c r="F686" s="7"/>
      <c r="G686" s="9"/>
      <c r="H686" s="9"/>
      <c r="J686" s="7"/>
      <c r="K686" s="7"/>
      <c r="L686" s="11"/>
      <c r="M686" s="11"/>
    </row>
    <row r="687" spans="2:13" ht="14.25" customHeight="1" x14ac:dyDescent="0.35">
      <c r="B687" s="7"/>
      <c r="C687" s="7"/>
      <c r="D687" s="7"/>
      <c r="E687" s="7"/>
      <c r="F687" s="7"/>
      <c r="G687" s="9"/>
      <c r="H687" s="9"/>
      <c r="J687" s="7"/>
      <c r="K687" s="7"/>
      <c r="L687" s="11"/>
      <c r="M687" s="11"/>
    </row>
    <row r="688" spans="2:13" ht="14.25" customHeight="1" x14ac:dyDescent="0.35">
      <c r="B688" s="7"/>
      <c r="C688" s="7"/>
      <c r="D688" s="7"/>
      <c r="E688" s="7"/>
      <c r="F688" s="7"/>
      <c r="G688" s="9"/>
      <c r="H688" s="9"/>
      <c r="J688" s="7"/>
      <c r="K688" s="7"/>
      <c r="L688" s="11"/>
      <c r="M688" s="11"/>
    </row>
    <row r="689" spans="2:13" ht="14.25" customHeight="1" x14ac:dyDescent="0.35">
      <c r="B689" s="7"/>
      <c r="C689" s="7"/>
      <c r="D689" s="7"/>
      <c r="E689" s="7"/>
      <c r="F689" s="7"/>
      <c r="G689" s="9"/>
      <c r="H689" s="9"/>
      <c r="J689" s="7"/>
      <c r="K689" s="7"/>
      <c r="L689" s="11"/>
      <c r="M689" s="11"/>
    </row>
    <row r="690" spans="2:13" ht="14.25" customHeight="1" x14ac:dyDescent="0.35">
      <c r="B690" s="7"/>
      <c r="C690" s="7"/>
      <c r="D690" s="7"/>
      <c r="E690" s="7"/>
      <c r="F690" s="7"/>
      <c r="G690" s="9"/>
      <c r="H690" s="9"/>
      <c r="J690" s="7"/>
      <c r="K690" s="7"/>
      <c r="L690" s="11"/>
      <c r="M690" s="11"/>
    </row>
    <row r="691" spans="2:13" ht="14.25" customHeight="1" x14ac:dyDescent="0.35">
      <c r="B691" s="7"/>
      <c r="C691" s="7"/>
      <c r="D691" s="7"/>
      <c r="E691" s="7"/>
      <c r="F691" s="7"/>
      <c r="G691" s="9"/>
      <c r="H691" s="9"/>
      <c r="J691" s="7"/>
      <c r="K691" s="7"/>
      <c r="L691" s="11"/>
      <c r="M691" s="11"/>
    </row>
    <row r="692" spans="2:13" ht="14.25" customHeight="1" x14ac:dyDescent="0.35">
      <c r="B692" s="7"/>
      <c r="C692" s="7"/>
      <c r="D692" s="7"/>
      <c r="E692" s="7"/>
      <c r="F692" s="7"/>
      <c r="G692" s="9"/>
      <c r="H692" s="9"/>
      <c r="J692" s="7"/>
      <c r="K692" s="7"/>
      <c r="L692" s="11"/>
      <c r="M692" s="11"/>
    </row>
    <row r="693" spans="2:13" ht="14.25" customHeight="1" x14ac:dyDescent="0.35">
      <c r="B693" s="7"/>
      <c r="C693" s="7"/>
      <c r="D693" s="7"/>
      <c r="E693" s="7"/>
      <c r="F693" s="7"/>
      <c r="G693" s="9"/>
      <c r="H693" s="9"/>
      <c r="J693" s="7"/>
      <c r="K693" s="7"/>
      <c r="L693" s="11"/>
      <c r="M693" s="11"/>
    </row>
    <row r="694" spans="2:13" ht="14.25" customHeight="1" x14ac:dyDescent="0.35">
      <c r="B694" s="7"/>
      <c r="C694" s="7"/>
      <c r="D694" s="7"/>
      <c r="E694" s="7"/>
      <c r="F694" s="7"/>
      <c r="G694" s="9"/>
      <c r="H694" s="9"/>
      <c r="J694" s="7"/>
      <c r="K694" s="7"/>
      <c r="L694" s="11"/>
      <c r="M694" s="11"/>
    </row>
    <row r="695" spans="2:13" ht="14.25" customHeight="1" x14ac:dyDescent="0.35">
      <c r="B695" s="7"/>
      <c r="C695" s="7"/>
      <c r="D695" s="7"/>
      <c r="E695" s="7"/>
      <c r="F695" s="7"/>
      <c r="G695" s="9"/>
      <c r="H695" s="9"/>
      <c r="J695" s="7"/>
      <c r="K695" s="7"/>
      <c r="L695" s="11"/>
      <c r="M695" s="11"/>
    </row>
    <row r="696" spans="2:13" ht="14.25" customHeight="1" x14ac:dyDescent="0.35">
      <c r="B696" s="7"/>
      <c r="C696" s="7"/>
      <c r="D696" s="7"/>
      <c r="E696" s="7"/>
      <c r="F696" s="7"/>
      <c r="G696" s="9"/>
      <c r="H696" s="9"/>
      <c r="J696" s="7"/>
      <c r="K696" s="7"/>
      <c r="L696" s="11"/>
      <c r="M696" s="11"/>
    </row>
    <row r="697" spans="2:13" ht="14.25" customHeight="1" x14ac:dyDescent="0.35">
      <c r="B697" s="7"/>
      <c r="C697" s="7"/>
      <c r="D697" s="7"/>
      <c r="E697" s="7"/>
      <c r="F697" s="7"/>
      <c r="G697" s="9"/>
      <c r="H697" s="9"/>
      <c r="J697" s="7"/>
      <c r="K697" s="7"/>
      <c r="L697" s="11"/>
      <c r="M697" s="11"/>
    </row>
    <row r="698" spans="2:13" ht="14.25" customHeight="1" x14ac:dyDescent="0.35">
      <c r="B698" s="7"/>
      <c r="C698" s="7"/>
      <c r="D698" s="7"/>
      <c r="E698" s="7"/>
      <c r="F698" s="7"/>
      <c r="G698" s="9"/>
      <c r="H698" s="9"/>
      <c r="J698" s="7"/>
      <c r="K698" s="7"/>
      <c r="L698" s="11"/>
      <c r="M698" s="11"/>
    </row>
    <row r="699" spans="2:13" ht="14.25" customHeight="1" x14ac:dyDescent="0.35">
      <c r="B699" s="7"/>
      <c r="C699" s="7"/>
      <c r="D699" s="7"/>
      <c r="E699" s="7"/>
      <c r="F699" s="7"/>
      <c r="G699" s="9"/>
      <c r="H699" s="9"/>
      <c r="J699" s="7"/>
      <c r="K699" s="7"/>
      <c r="L699" s="11"/>
      <c r="M699" s="11"/>
    </row>
    <row r="700" spans="2:13" ht="14.25" customHeight="1" x14ac:dyDescent="0.35">
      <c r="B700" s="7"/>
      <c r="C700" s="7"/>
      <c r="D700" s="7"/>
      <c r="E700" s="7"/>
      <c r="F700" s="7"/>
      <c r="G700" s="9"/>
      <c r="H700" s="9"/>
      <c r="J700" s="7"/>
      <c r="K700" s="7"/>
      <c r="L700" s="11"/>
      <c r="M700" s="11"/>
    </row>
    <row r="701" spans="2:13" ht="14.25" customHeight="1" x14ac:dyDescent="0.35">
      <c r="B701" s="7"/>
      <c r="C701" s="7"/>
      <c r="D701" s="7"/>
      <c r="E701" s="7"/>
      <c r="F701" s="7"/>
      <c r="G701" s="9"/>
      <c r="H701" s="9"/>
      <c r="J701" s="7"/>
      <c r="K701" s="7"/>
      <c r="L701" s="11"/>
      <c r="M701" s="11"/>
    </row>
    <row r="702" spans="2:13" ht="14.25" customHeight="1" x14ac:dyDescent="0.35">
      <c r="B702" s="7"/>
      <c r="C702" s="7"/>
      <c r="D702" s="7"/>
      <c r="E702" s="7"/>
      <c r="F702" s="7"/>
      <c r="G702" s="9"/>
      <c r="H702" s="9"/>
      <c r="J702" s="7"/>
      <c r="K702" s="7"/>
      <c r="L702" s="11"/>
      <c r="M702" s="11"/>
    </row>
    <row r="703" spans="2:13" ht="14.25" customHeight="1" x14ac:dyDescent="0.35">
      <c r="B703" s="7"/>
      <c r="C703" s="7"/>
      <c r="D703" s="7"/>
      <c r="E703" s="7"/>
      <c r="F703" s="7"/>
      <c r="G703" s="9"/>
      <c r="H703" s="9"/>
      <c r="J703" s="7"/>
      <c r="K703" s="7"/>
      <c r="L703" s="11"/>
      <c r="M703" s="11"/>
    </row>
    <row r="704" spans="2:13" ht="14.25" customHeight="1" x14ac:dyDescent="0.35">
      <c r="B704" s="7"/>
      <c r="C704" s="7"/>
      <c r="D704" s="7"/>
      <c r="E704" s="7"/>
      <c r="F704" s="7"/>
      <c r="G704" s="9"/>
      <c r="H704" s="9"/>
      <c r="J704" s="7"/>
      <c r="K704" s="7"/>
      <c r="L704" s="11"/>
      <c r="M704" s="11"/>
    </row>
    <row r="705" spans="2:13" ht="14.25" customHeight="1" x14ac:dyDescent="0.35">
      <c r="B705" s="7"/>
      <c r="C705" s="7"/>
      <c r="D705" s="7"/>
      <c r="E705" s="7"/>
      <c r="F705" s="7"/>
      <c r="G705" s="9"/>
      <c r="H705" s="9"/>
      <c r="J705" s="7"/>
      <c r="K705" s="7"/>
      <c r="L705" s="11"/>
      <c r="M705" s="11"/>
    </row>
    <row r="706" spans="2:13" ht="14.25" customHeight="1" x14ac:dyDescent="0.35">
      <c r="B706" s="7"/>
      <c r="C706" s="7"/>
      <c r="D706" s="7"/>
      <c r="E706" s="7"/>
      <c r="F706" s="7"/>
      <c r="G706" s="9"/>
      <c r="H706" s="9"/>
      <c r="J706" s="7"/>
      <c r="K706" s="7"/>
      <c r="L706" s="11"/>
      <c r="M706" s="11"/>
    </row>
    <row r="707" spans="2:13" ht="14.25" customHeight="1" x14ac:dyDescent="0.35">
      <c r="B707" s="7"/>
      <c r="C707" s="7"/>
      <c r="D707" s="7"/>
      <c r="E707" s="7"/>
      <c r="F707" s="7"/>
      <c r="G707" s="9"/>
      <c r="H707" s="9"/>
      <c r="J707" s="7"/>
      <c r="K707" s="7"/>
      <c r="L707" s="11"/>
      <c r="M707" s="11"/>
    </row>
    <row r="708" spans="2:13" ht="14.25" customHeight="1" x14ac:dyDescent="0.35">
      <c r="B708" s="7"/>
      <c r="C708" s="7"/>
      <c r="D708" s="7"/>
      <c r="E708" s="7"/>
      <c r="F708" s="7"/>
      <c r="G708" s="9"/>
      <c r="H708" s="9"/>
      <c r="J708" s="7"/>
      <c r="K708" s="7"/>
      <c r="L708" s="11"/>
      <c r="M708" s="11"/>
    </row>
    <row r="709" spans="2:13" ht="14.25" customHeight="1" x14ac:dyDescent="0.35">
      <c r="B709" s="7"/>
      <c r="C709" s="7"/>
      <c r="D709" s="7"/>
      <c r="E709" s="7"/>
      <c r="F709" s="7"/>
      <c r="G709" s="9"/>
      <c r="H709" s="9"/>
      <c r="J709" s="7"/>
      <c r="K709" s="7"/>
      <c r="L709" s="11"/>
      <c r="M709" s="11"/>
    </row>
    <row r="710" spans="2:13" ht="14.25" customHeight="1" x14ac:dyDescent="0.35">
      <c r="B710" s="7"/>
      <c r="C710" s="7"/>
      <c r="D710" s="7"/>
      <c r="E710" s="7"/>
      <c r="F710" s="7"/>
      <c r="G710" s="9"/>
      <c r="H710" s="9"/>
      <c r="J710" s="7"/>
      <c r="K710" s="7"/>
      <c r="L710" s="11"/>
      <c r="M710" s="11"/>
    </row>
    <row r="711" spans="2:13" ht="14.25" customHeight="1" x14ac:dyDescent="0.35">
      <c r="B711" s="7"/>
      <c r="C711" s="7"/>
      <c r="D711" s="7"/>
      <c r="E711" s="7"/>
      <c r="F711" s="7"/>
      <c r="G711" s="9"/>
      <c r="H711" s="9"/>
      <c r="J711" s="7"/>
      <c r="K711" s="7"/>
      <c r="L711" s="11"/>
      <c r="M711" s="11"/>
    </row>
    <row r="712" spans="2:13" ht="14.25" customHeight="1" x14ac:dyDescent="0.35">
      <c r="B712" s="7"/>
      <c r="C712" s="7"/>
      <c r="D712" s="7"/>
      <c r="E712" s="7"/>
      <c r="F712" s="7"/>
      <c r="G712" s="9"/>
      <c r="H712" s="9"/>
      <c r="J712" s="7"/>
      <c r="K712" s="7"/>
      <c r="L712" s="11"/>
      <c r="M712" s="11"/>
    </row>
    <row r="713" spans="2:13" ht="14.25" customHeight="1" x14ac:dyDescent="0.35">
      <c r="B713" s="7"/>
      <c r="C713" s="7"/>
      <c r="D713" s="7"/>
      <c r="E713" s="7"/>
      <c r="F713" s="7"/>
      <c r="G713" s="9"/>
      <c r="H713" s="9"/>
      <c r="J713" s="7"/>
      <c r="K713" s="7"/>
      <c r="L713" s="11"/>
      <c r="M713" s="11"/>
    </row>
    <row r="714" spans="2:13" ht="14.25" customHeight="1" x14ac:dyDescent="0.35">
      <c r="B714" s="7"/>
      <c r="C714" s="7"/>
      <c r="D714" s="7"/>
      <c r="E714" s="7"/>
      <c r="F714" s="7"/>
      <c r="G714" s="9"/>
      <c r="H714" s="9"/>
      <c r="J714" s="7"/>
      <c r="K714" s="7"/>
      <c r="L714" s="11"/>
      <c r="M714" s="11"/>
    </row>
    <row r="715" spans="2:13" ht="14.25" customHeight="1" x14ac:dyDescent="0.35">
      <c r="B715" s="7"/>
      <c r="C715" s="7"/>
      <c r="D715" s="7"/>
      <c r="E715" s="7"/>
      <c r="F715" s="7"/>
      <c r="G715" s="9"/>
      <c r="H715" s="9"/>
      <c r="J715" s="7"/>
      <c r="K715" s="7"/>
      <c r="L715" s="11"/>
      <c r="M715" s="11"/>
    </row>
    <row r="716" spans="2:13" ht="14.25" customHeight="1" x14ac:dyDescent="0.35">
      <c r="B716" s="7"/>
      <c r="C716" s="7"/>
      <c r="D716" s="7"/>
      <c r="E716" s="7"/>
      <c r="F716" s="7"/>
      <c r="G716" s="9"/>
      <c r="H716" s="9"/>
      <c r="J716" s="7"/>
      <c r="K716" s="7"/>
      <c r="L716" s="11"/>
      <c r="M716" s="11"/>
    </row>
    <row r="717" spans="2:13" ht="14.25" customHeight="1" x14ac:dyDescent="0.35">
      <c r="B717" s="7"/>
      <c r="C717" s="7"/>
      <c r="D717" s="7"/>
      <c r="E717" s="7"/>
      <c r="F717" s="7"/>
      <c r="G717" s="9"/>
      <c r="H717" s="9"/>
      <c r="J717" s="7"/>
      <c r="K717" s="7"/>
      <c r="L717" s="11"/>
      <c r="M717" s="11"/>
    </row>
    <row r="718" spans="2:13" ht="14.25" customHeight="1" x14ac:dyDescent="0.35">
      <c r="B718" s="7"/>
      <c r="C718" s="7"/>
      <c r="D718" s="7"/>
      <c r="E718" s="7"/>
      <c r="F718" s="7"/>
      <c r="G718" s="9"/>
      <c r="H718" s="9"/>
      <c r="J718" s="7"/>
      <c r="K718" s="7"/>
      <c r="L718" s="11"/>
      <c r="M718" s="11"/>
    </row>
    <row r="719" spans="2:13" ht="14.25" customHeight="1" x14ac:dyDescent="0.35">
      <c r="B719" s="7"/>
      <c r="C719" s="7"/>
      <c r="D719" s="7"/>
      <c r="E719" s="7"/>
      <c r="F719" s="7"/>
      <c r="G719" s="9"/>
      <c r="H719" s="9"/>
      <c r="J719" s="7"/>
      <c r="K719" s="7"/>
      <c r="L719" s="11"/>
      <c r="M719" s="11"/>
    </row>
    <row r="720" spans="2:13" ht="14.25" customHeight="1" x14ac:dyDescent="0.35">
      <c r="B720" s="7"/>
      <c r="C720" s="7"/>
      <c r="D720" s="7"/>
      <c r="E720" s="7"/>
      <c r="F720" s="7"/>
      <c r="G720" s="9"/>
      <c r="H720" s="9"/>
      <c r="J720" s="7"/>
      <c r="K720" s="7"/>
      <c r="L720" s="11"/>
      <c r="M720" s="11"/>
    </row>
    <row r="721" spans="2:13" ht="14.25" customHeight="1" x14ac:dyDescent="0.35">
      <c r="B721" s="7"/>
      <c r="C721" s="7"/>
      <c r="D721" s="7"/>
      <c r="E721" s="7"/>
      <c r="F721" s="7"/>
      <c r="G721" s="9"/>
      <c r="H721" s="9"/>
      <c r="J721" s="7"/>
      <c r="K721" s="7"/>
      <c r="L721" s="11"/>
      <c r="M721" s="11"/>
    </row>
    <row r="722" spans="2:13" ht="14.25" customHeight="1" x14ac:dyDescent="0.35">
      <c r="B722" s="7"/>
      <c r="C722" s="7"/>
      <c r="D722" s="7"/>
      <c r="E722" s="7"/>
      <c r="F722" s="7"/>
      <c r="G722" s="9"/>
      <c r="H722" s="9"/>
      <c r="J722" s="7"/>
      <c r="K722" s="7"/>
      <c r="L722" s="11"/>
      <c r="M722" s="11"/>
    </row>
    <row r="723" spans="2:13" ht="14.25" customHeight="1" x14ac:dyDescent="0.35">
      <c r="B723" s="7"/>
      <c r="C723" s="7"/>
      <c r="D723" s="7"/>
      <c r="E723" s="7"/>
      <c r="F723" s="7"/>
      <c r="G723" s="9"/>
      <c r="H723" s="9"/>
      <c r="J723" s="7"/>
      <c r="K723" s="7"/>
      <c r="L723" s="11"/>
      <c r="M723" s="11"/>
    </row>
    <row r="724" spans="2:13" ht="14.25" customHeight="1" x14ac:dyDescent="0.35">
      <c r="B724" s="7"/>
      <c r="C724" s="7"/>
      <c r="D724" s="7"/>
      <c r="E724" s="7"/>
      <c r="F724" s="7"/>
      <c r="G724" s="9"/>
      <c r="H724" s="9"/>
      <c r="J724" s="7"/>
      <c r="K724" s="7"/>
      <c r="L724" s="11"/>
      <c r="M724" s="11"/>
    </row>
    <row r="725" spans="2:13" ht="14.25" customHeight="1" x14ac:dyDescent="0.35">
      <c r="B725" s="7"/>
      <c r="C725" s="7"/>
      <c r="D725" s="7"/>
      <c r="E725" s="7"/>
      <c r="F725" s="7"/>
      <c r="G725" s="9"/>
      <c r="H725" s="9"/>
      <c r="J725" s="7"/>
      <c r="K725" s="7"/>
      <c r="L725" s="11"/>
      <c r="M725" s="11"/>
    </row>
    <row r="726" spans="2:13" ht="14.25" customHeight="1" x14ac:dyDescent="0.35">
      <c r="B726" s="7"/>
      <c r="C726" s="7"/>
      <c r="D726" s="7"/>
      <c r="E726" s="7"/>
      <c r="F726" s="7"/>
      <c r="G726" s="9"/>
      <c r="H726" s="9"/>
      <c r="J726" s="7"/>
      <c r="K726" s="7"/>
      <c r="L726" s="11"/>
      <c r="M726" s="11"/>
    </row>
    <row r="727" spans="2:13" ht="14.25" customHeight="1" x14ac:dyDescent="0.35">
      <c r="B727" s="7"/>
      <c r="C727" s="7"/>
      <c r="D727" s="7"/>
      <c r="E727" s="7"/>
      <c r="F727" s="7"/>
      <c r="G727" s="9"/>
      <c r="H727" s="9"/>
      <c r="J727" s="7"/>
      <c r="K727" s="7"/>
      <c r="L727" s="11"/>
      <c r="M727" s="11"/>
    </row>
    <row r="728" spans="2:13" ht="14.25" customHeight="1" x14ac:dyDescent="0.35">
      <c r="B728" s="7"/>
      <c r="C728" s="7"/>
      <c r="D728" s="7"/>
      <c r="E728" s="7"/>
      <c r="F728" s="7"/>
      <c r="G728" s="9"/>
      <c r="H728" s="9"/>
      <c r="J728" s="7"/>
      <c r="K728" s="7"/>
      <c r="L728" s="11"/>
      <c r="M728" s="11"/>
    </row>
    <row r="729" spans="2:13" ht="14.25" customHeight="1" x14ac:dyDescent="0.35">
      <c r="B729" s="7"/>
      <c r="C729" s="7"/>
      <c r="D729" s="7"/>
      <c r="E729" s="7"/>
      <c r="F729" s="7"/>
      <c r="G729" s="9"/>
      <c r="H729" s="9"/>
      <c r="J729" s="7"/>
      <c r="K729" s="7"/>
      <c r="L729" s="11"/>
      <c r="M729" s="11"/>
    </row>
    <row r="730" spans="2:13" ht="14.25" customHeight="1" x14ac:dyDescent="0.35">
      <c r="B730" s="7"/>
      <c r="C730" s="7"/>
      <c r="D730" s="7"/>
      <c r="E730" s="7"/>
      <c r="F730" s="7"/>
      <c r="G730" s="9"/>
      <c r="H730" s="9"/>
      <c r="J730" s="7"/>
      <c r="K730" s="7"/>
      <c r="L730" s="11"/>
      <c r="M730" s="11"/>
    </row>
    <row r="731" spans="2:13" ht="14.25" customHeight="1" x14ac:dyDescent="0.35">
      <c r="B731" s="7"/>
      <c r="C731" s="7"/>
      <c r="D731" s="7"/>
      <c r="E731" s="7"/>
      <c r="F731" s="7"/>
      <c r="G731" s="9"/>
      <c r="H731" s="9"/>
      <c r="J731" s="7"/>
      <c r="K731" s="7"/>
      <c r="L731" s="11"/>
      <c r="M731" s="11"/>
    </row>
    <row r="732" spans="2:13" ht="14.25" customHeight="1" x14ac:dyDescent="0.35">
      <c r="B732" s="7"/>
      <c r="C732" s="7"/>
      <c r="D732" s="7"/>
      <c r="E732" s="7"/>
      <c r="F732" s="7"/>
      <c r="G732" s="9"/>
      <c r="H732" s="9"/>
      <c r="J732" s="7"/>
      <c r="K732" s="7"/>
      <c r="L732" s="11"/>
      <c r="M732" s="11"/>
    </row>
    <row r="733" spans="2:13" ht="14.25" customHeight="1" x14ac:dyDescent="0.35">
      <c r="B733" s="7"/>
      <c r="C733" s="7"/>
      <c r="D733" s="7"/>
      <c r="E733" s="7"/>
      <c r="F733" s="7"/>
      <c r="G733" s="9"/>
      <c r="H733" s="9"/>
      <c r="J733" s="7"/>
      <c r="K733" s="7"/>
      <c r="L733" s="11"/>
      <c r="M733" s="11"/>
    </row>
    <row r="734" spans="2:13" ht="14.25" customHeight="1" x14ac:dyDescent="0.35">
      <c r="B734" s="7"/>
      <c r="C734" s="7"/>
      <c r="D734" s="7"/>
      <c r="E734" s="7"/>
      <c r="F734" s="7"/>
      <c r="G734" s="9"/>
      <c r="H734" s="9"/>
      <c r="J734" s="7"/>
      <c r="K734" s="7"/>
      <c r="L734" s="11"/>
      <c r="M734" s="11"/>
    </row>
    <row r="735" spans="2:13" ht="14.25" customHeight="1" x14ac:dyDescent="0.35">
      <c r="B735" s="7"/>
      <c r="C735" s="7"/>
      <c r="D735" s="7"/>
      <c r="E735" s="7"/>
      <c r="F735" s="7"/>
      <c r="G735" s="9"/>
      <c r="H735" s="9"/>
      <c r="J735" s="7"/>
      <c r="K735" s="7"/>
      <c r="L735" s="11"/>
      <c r="M735" s="11"/>
    </row>
    <row r="736" spans="2:13" ht="14.25" customHeight="1" x14ac:dyDescent="0.35">
      <c r="B736" s="7"/>
      <c r="C736" s="7"/>
      <c r="D736" s="7"/>
      <c r="E736" s="7"/>
      <c r="F736" s="7"/>
      <c r="G736" s="9"/>
      <c r="H736" s="9"/>
      <c r="J736" s="7"/>
      <c r="K736" s="7"/>
      <c r="L736" s="11"/>
      <c r="M736" s="11"/>
    </row>
    <row r="737" spans="2:13" ht="14.25" customHeight="1" x14ac:dyDescent="0.35">
      <c r="B737" s="7"/>
      <c r="C737" s="7"/>
      <c r="D737" s="7"/>
      <c r="E737" s="7"/>
      <c r="F737" s="7"/>
      <c r="G737" s="9"/>
      <c r="H737" s="9"/>
      <c r="J737" s="7"/>
      <c r="K737" s="7"/>
      <c r="L737" s="11"/>
      <c r="M737" s="11"/>
    </row>
    <row r="738" spans="2:13" ht="14.25" customHeight="1" x14ac:dyDescent="0.35">
      <c r="B738" s="7"/>
      <c r="C738" s="7"/>
      <c r="D738" s="7"/>
      <c r="E738" s="7"/>
      <c r="F738" s="7"/>
      <c r="G738" s="9"/>
      <c r="H738" s="9"/>
      <c r="J738" s="7"/>
      <c r="K738" s="7"/>
      <c r="L738" s="11"/>
      <c r="M738" s="11"/>
    </row>
    <row r="739" spans="2:13" ht="14.25" customHeight="1" x14ac:dyDescent="0.35">
      <c r="B739" s="7"/>
      <c r="C739" s="7"/>
      <c r="D739" s="7"/>
      <c r="E739" s="7"/>
      <c r="F739" s="7"/>
      <c r="G739" s="9"/>
      <c r="H739" s="9"/>
      <c r="J739" s="7"/>
      <c r="K739" s="7"/>
      <c r="L739" s="11"/>
      <c r="M739" s="11"/>
    </row>
    <row r="740" spans="2:13" ht="14.25" customHeight="1" x14ac:dyDescent="0.35">
      <c r="B740" s="7"/>
      <c r="C740" s="7"/>
      <c r="D740" s="7"/>
      <c r="E740" s="7"/>
      <c r="F740" s="7"/>
      <c r="G740" s="9"/>
      <c r="H740" s="9"/>
      <c r="J740" s="7"/>
      <c r="K740" s="7"/>
      <c r="L740" s="11"/>
      <c r="M740" s="11"/>
    </row>
    <row r="741" spans="2:13" ht="14.25" customHeight="1" x14ac:dyDescent="0.35">
      <c r="B741" s="7"/>
      <c r="C741" s="7"/>
      <c r="D741" s="7"/>
      <c r="E741" s="7"/>
      <c r="F741" s="7"/>
      <c r="G741" s="9"/>
      <c r="H741" s="9"/>
      <c r="J741" s="7"/>
      <c r="K741" s="7"/>
      <c r="L741" s="11"/>
      <c r="M741" s="11"/>
    </row>
    <row r="742" spans="2:13" ht="14.25" customHeight="1" x14ac:dyDescent="0.35">
      <c r="B742" s="7"/>
      <c r="C742" s="7"/>
      <c r="D742" s="7"/>
      <c r="E742" s="7"/>
      <c r="F742" s="7"/>
      <c r="G742" s="9"/>
      <c r="H742" s="9"/>
      <c r="J742" s="7"/>
      <c r="K742" s="7"/>
      <c r="L742" s="11"/>
      <c r="M742" s="11"/>
    </row>
    <row r="743" spans="2:13" ht="14.25" customHeight="1" x14ac:dyDescent="0.35">
      <c r="B743" s="7"/>
      <c r="C743" s="7"/>
      <c r="D743" s="7"/>
      <c r="E743" s="7"/>
      <c r="F743" s="7"/>
      <c r="G743" s="9"/>
      <c r="H743" s="9"/>
      <c r="J743" s="7"/>
      <c r="K743" s="7"/>
      <c r="L743" s="11"/>
      <c r="M743" s="11"/>
    </row>
    <row r="744" spans="2:13" ht="14.25" customHeight="1" x14ac:dyDescent="0.35">
      <c r="B744" s="7"/>
      <c r="C744" s="7"/>
      <c r="D744" s="7"/>
      <c r="E744" s="7"/>
      <c r="F744" s="7"/>
      <c r="G744" s="9"/>
      <c r="H744" s="9"/>
      <c r="J744" s="7"/>
      <c r="K744" s="7"/>
      <c r="L744" s="11"/>
      <c r="M744" s="11"/>
    </row>
    <row r="745" spans="2:13" ht="14.25" customHeight="1" x14ac:dyDescent="0.35">
      <c r="B745" s="7"/>
      <c r="C745" s="7"/>
      <c r="D745" s="7"/>
      <c r="E745" s="7"/>
      <c r="F745" s="7"/>
      <c r="G745" s="9"/>
      <c r="H745" s="9"/>
      <c r="J745" s="7"/>
      <c r="K745" s="7"/>
      <c r="L745" s="11"/>
      <c r="M745" s="11"/>
    </row>
    <row r="746" spans="2:13" ht="14.25" customHeight="1" x14ac:dyDescent="0.35">
      <c r="B746" s="7"/>
      <c r="C746" s="7"/>
      <c r="D746" s="7"/>
      <c r="E746" s="7"/>
      <c r="F746" s="7"/>
      <c r="G746" s="9"/>
      <c r="H746" s="9"/>
      <c r="J746" s="7"/>
      <c r="K746" s="7"/>
      <c r="L746" s="11"/>
      <c r="M746" s="11"/>
    </row>
    <row r="747" spans="2:13" ht="14.25" customHeight="1" x14ac:dyDescent="0.35">
      <c r="B747" s="7"/>
      <c r="C747" s="7"/>
      <c r="D747" s="7"/>
      <c r="E747" s="7"/>
      <c r="F747" s="7"/>
      <c r="G747" s="9"/>
      <c r="H747" s="9"/>
      <c r="J747" s="7"/>
      <c r="K747" s="7"/>
      <c r="L747" s="11"/>
      <c r="M747" s="11"/>
    </row>
    <row r="748" spans="2:13" ht="14.25" customHeight="1" x14ac:dyDescent="0.35">
      <c r="B748" s="7"/>
      <c r="C748" s="7"/>
      <c r="D748" s="7"/>
      <c r="E748" s="7"/>
      <c r="F748" s="7"/>
      <c r="G748" s="9"/>
      <c r="H748" s="9"/>
      <c r="J748" s="7"/>
      <c r="K748" s="7"/>
      <c r="L748" s="11"/>
      <c r="M748" s="11"/>
    </row>
    <row r="749" spans="2:13" ht="14.25" customHeight="1" x14ac:dyDescent="0.35">
      <c r="B749" s="7"/>
      <c r="C749" s="7"/>
      <c r="D749" s="7"/>
      <c r="E749" s="7"/>
      <c r="F749" s="7"/>
      <c r="G749" s="9"/>
      <c r="H749" s="9"/>
      <c r="J749" s="7"/>
      <c r="K749" s="7"/>
      <c r="L749" s="11"/>
      <c r="M749" s="11"/>
    </row>
    <row r="750" spans="2:13" ht="14.25" customHeight="1" x14ac:dyDescent="0.35">
      <c r="B750" s="7"/>
      <c r="C750" s="7"/>
      <c r="D750" s="7"/>
      <c r="E750" s="7"/>
      <c r="F750" s="7"/>
      <c r="G750" s="9"/>
      <c r="H750" s="9"/>
      <c r="J750" s="7"/>
      <c r="K750" s="7"/>
      <c r="L750" s="11"/>
      <c r="M750" s="11"/>
    </row>
    <row r="751" spans="2:13" ht="14.25" customHeight="1" x14ac:dyDescent="0.35">
      <c r="B751" s="7"/>
      <c r="C751" s="7"/>
      <c r="D751" s="7"/>
      <c r="E751" s="7"/>
      <c r="F751" s="7"/>
      <c r="G751" s="9"/>
      <c r="H751" s="9"/>
      <c r="J751" s="7"/>
      <c r="K751" s="7"/>
      <c r="L751" s="11"/>
      <c r="M751" s="11"/>
    </row>
    <row r="752" spans="2:13" ht="14.25" customHeight="1" x14ac:dyDescent="0.35">
      <c r="B752" s="7"/>
      <c r="C752" s="7"/>
      <c r="D752" s="7"/>
      <c r="E752" s="7"/>
      <c r="F752" s="7"/>
      <c r="G752" s="9"/>
      <c r="H752" s="9"/>
      <c r="J752" s="7"/>
      <c r="K752" s="7"/>
      <c r="L752" s="11"/>
      <c r="M752" s="11"/>
    </row>
    <row r="753" spans="2:13" ht="14.25" customHeight="1" x14ac:dyDescent="0.35">
      <c r="B753" s="7"/>
      <c r="C753" s="7"/>
      <c r="D753" s="7"/>
      <c r="E753" s="7"/>
      <c r="F753" s="7"/>
      <c r="G753" s="9"/>
      <c r="H753" s="9"/>
      <c r="J753" s="7"/>
      <c r="K753" s="7"/>
      <c r="L753" s="11"/>
      <c r="M753" s="11"/>
    </row>
    <row r="754" spans="2:13" ht="14.25" customHeight="1" x14ac:dyDescent="0.35">
      <c r="B754" s="7"/>
      <c r="C754" s="7"/>
      <c r="D754" s="7"/>
      <c r="E754" s="7"/>
      <c r="F754" s="7"/>
      <c r="G754" s="9"/>
      <c r="H754" s="9"/>
      <c r="J754" s="7"/>
      <c r="K754" s="7"/>
      <c r="L754" s="11"/>
      <c r="M754" s="11"/>
    </row>
    <row r="755" spans="2:13" ht="14.25" customHeight="1" x14ac:dyDescent="0.35">
      <c r="B755" s="7"/>
      <c r="C755" s="7"/>
      <c r="D755" s="7"/>
      <c r="E755" s="7"/>
      <c r="F755" s="7"/>
      <c r="G755" s="9"/>
      <c r="H755" s="9"/>
      <c r="J755" s="7"/>
      <c r="K755" s="7"/>
      <c r="L755" s="11"/>
      <c r="M755" s="11"/>
    </row>
    <row r="756" spans="2:13" ht="14.25" customHeight="1" x14ac:dyDescent="0.35">
      <c r="B756" s="7"/>
      <c r="C756" s="7"/>
      <c r="D756" s="7"/>
      <c r="E756" s="7"/>
      <c r="F756" s="7"/>
      <c r="G756" s="9"/>
      <c r="H756" s="9"/>
      <c r="J756" s="7"/>
      <c r="K756" s="7"/>
      <c r="L756" s="11"/>
      <c r="M756" s="11"/>
    </row>
    <row r="757" spans="2:13" ht="14.25" customHeight="1" x14ac:dyDescent="0.35">
      <c r="B757" s="7"/>
      <c r="C757" s="7"/>
      <c r="D757" s="7"/>
      <c r="E757" s="7"/>
      <c r="F757" s="7"/>
      <c r="G757" s="9"/>
      <c r="H757" s="9"/>
      <c r="J757" s="7"/>
      <c r="K757" s="7"/>
      <c r="L757" s="11"/>
      <c r="M757" s="11"/>
    </row>
    <row r="758" spans="2:13" ht="14.25" customHeight="1" x14ac:dyDescent="0.35">
      <c r="B758" s="7"/>
      <c r="C758" s="7"/>
      <c r="D758" s="7"/>
      <c r="E758" s="7"/>
      <c r="F758" s="7"/>
      <c r="G758" s="9"/>
      <c r="H758" s="9"/>
      <c r="J758" s="7"/>
      <c r="K758" s="7"/>
      <c r="L758" s="11"/>
      <c r="M758" s="11"/>
    </row>
    <row r="759" spans="2:13" ht="14.25" customHeight="1" x14ac:dyDescent="0.35">
      <c r="B759" s="7"/>
      <c r="C759" s="7"/>
      <c r="D759" s="7"/>
      <c r="E759" s="7"/>
      <c r="F759" s="7"/>
      <c r="G759" s="9"/>
      <c r="H759" s="9"/>
      <c r="J759" s="7"/>
      <c r="K759" s="7"/>
      <c r="L759" s="11"/>
      <c r="M759" s="11"/>
    </row>
    <row r="760" spans="2:13" ht="14.25" customHeight="1" x14ac:dyDescent="0.35">
      <c r="B760" s="7"/>
      <c r="C760" s="7"/>
      <c r="D760" s="7"/>
      <c r="E760" s="7"/>
      <c r="F760" s="7"/>
      <c r="G760" s="9"/>
      <c r="H760" s="9"/>
      <c r="J760" s="7"/>
      <c r="K760" s="7"/>
      <c r="L760" s="11"/>
      <c r="M760" s="11"/>
    </row>
    <row r="761" spans="2:13" ht="14.25" customHeight="1" x14ac:dyDescent="0.35">
      <c r="B761" s="7"/>
      <c r="C761" s="7"/>
      <c r="D761" s="7"/>
      <c r="E761" s="7"/>
      <c r="F761" s="7"/>
      <c r="G761" s="9"/>
      <c r="H761" s="9"/>
      <c r="J761" s="7"/>
      <c r="K761" s="7"/>
      <c r="L761" s="11"/>
      <c r="M761" s="11"/>
    </row>
    <row r="762" spans="2:13" ht="14.25" customHeight="1" x14ac:dyDescent="0.35">
      <c r="B762" s="7"/>
      <c r="C762" s="7"/>
      <c r="D762" s="7"/>
      <c r="E762" s="7"/>
      <c r="F762" s="7"/>
      <c r="G762" s="9"/>
      <c r="H762" s="9"/>
      <c r="J762" s="7"/>
      <c r="K762" s="7"/>
      <c r="L762" s="11"/>
      <c r="M762" s="11"/>
    </row>
    <row r="763" spans="2:13" ht="14.25" customHeight="1" x14ac:dyDescent="0.35">
      <c r="B763" s="7"/>
      <c r="C763" s="7"/>
      <c r="D763" s="7"/>
      <c r="E763" s="7"/>
      <c r="F763" s="7"/>
      <c r="G763" s="9"/>
      <c r="H763" s="9"/>
      <c r="J763" s="7"/>
      <c r="K763" s="7"/>
      <c r="L763" s="11"/>
      <c r="M763" s="11"/>
    </row>
    <row r="764" spans="2:13" ht="14.25" customHeight="1" x14ac:dyDescent="0.35">
      <c r="B764" s="7"/>
      <c r="C764" s="7"/>
      <c r="D764" s="7"/>
      <c r="E764" s="7"/>
      <c r="F764" s="7"/>
      <c r="G764" s="9"/>
      <c r="H764" s="9"/>
      <c r="J764" s="7"/>
      <c r="K764" s="7"/>
      <c r="L764" s="11"/>
      <c r="M764" s="11"/>
    </row>
    <row r="765" spans="2:13" ht="14.25" customHeight="1" x14ac:dyDescent="0.35">
      <c r="B765" s="7"/>
      <c r="C765" s="7"/>
      <c r="D765" s="7"/>
      <c r="E765" s="7"/>
      <c r="F765" s="7"/>
      <c r="G765" s="9"/>
      <c r="H765" s="9"/>
      <c r="J765" s="7"/>
      <c r="K765" s="7"/>
      <c r="L765" s="11"/>
      <c r="M765" s="11"/>
    </row>
    <row r="766" spans="2:13" ht="14.25" customHeight="1" x14ac:dyDescent="0.35">
      <c r="B766" s="7"/>
      <c r="C766" s="7"/>
      <c r="D766" s="7"/>
      <c r="E766" s="7"/>
      <c r="F766" s="7"/>
      <c r="G766" s="9"/>
      <c r="H766" s="9"/>
      <c r="J766" s="7"/>
      <c r="K766" s="7"/>
      <c r="L766" s="11"/>
      <c r="M766" s="11"/>
    </row>
    <row r="767" spans="2:13" ht="14.25" customHeight="1" x14ac:dyDescent="0.35">
      <c r="B767" s="7"/>
      <c r="C767" s="7"/>
      <c r="D767" s="7"/>
      <c r="E767" s="7"/>
      <c r="F767" s="7"/>
      <c r="G767" s="9"/>
      <c r="H767" s="9"/>
      <c r="J767" s="7"/>
      <c r="K767" s="7"/>
      <c r="L767" s="11"/>
      <c r="M767" s="11"/>
    </row>
    <row r="768" spans="2:13" ht="14.25" customHeight="1" x14ac:dyDescent="0.35">
      <c r="B768" s="7"/>
      <c r="C768" s="7"/>
      <c r="D768" s="7"/>
      <c r="E768" s="7"/>
      <c r="F768" s="7"/>
      <c r="G768" s="9"/>
      <c r="H768" s="9"/>
      <c r="J768" s="7"/>
      <c r="K768" s="7"/>
      <c r="L768" s="11"/>
      <c r="M768" s="11"/>
    </row>
    <row r="769" spans="2:13" ht="14.25" customHeight="1" x14ac:dyDescent="0.35">
      <c r="B769" s="7"/>
      <c r="C769" s="7"/>
      <c r="D769" s="7"/>
      <c r="E769" s="7"/>
      <c r="F769" s="7"/>
      <c r="G769" s="9"/>
      <c r="H769" s="9"/>
      <c r="J769" s="7"/>
      <c r="K769" s="7"/>
      <c r="L769" s="11"/>
      <c r="M769" s="11"/>
    </row>
    <row r="770" spans="2:13" ht="14.25" customHeight="1" x14ac:dyDescent="0.35">
      <c r="B770" s="7"/>
      <c r="C770" s="7"/>
      <c r="D770" s="7"/>
      <c r="E770" s="7"/>
      <c r="F770" s="7"/>
      <c r="G770" s="9"/>
      <c r="H770" s="9"/>
      <c r="J770" s="7"/>
      <c r="K770" s="7"/>
      <c r="L770" s="11"/>
      <c r="M770" s="11"/>
    </row>
    <row r="771" spans="2:13" ht="14.25" customHeight="1" x14ac:dyDescent="0.35">
      <c r="B771" s="7"/>
      <c r="C771" s="7"/>
      <c r="D771" s="7"/>
      <c r="E771" s="7"/>
      <c r="F771" s="7"/>
      <c r="G771" s="9"/>
      <c r="H771" s="9"/>
      <c r="J771" s="7"/>
      <c r="K771" s="7"/>
      <c r="L771" s="11"/>
      <c r="M771" s="11"/>
    </row>
    <row r="772" spans="2:13" ht="14.25" customHeight="1" x14ac:dyDescent="0.35">
      <c r="B772" s="7"/>
      <c r="C772" s="7"/>
      <c r="D772" s="7"/>
      <c r="E772" s="7"/>
      <c r="F772" s="7"/>
      <c r="G772" s="9"/>
      <c r="H772" s="9"/>
      <c r="J772" s="7"/>
      <c r="K772" s="7"/>
      <c r="L772" s="11"/>
      <c r="M772" s="11"/>
    </row>
    <row r="773" spans="2:13" ht="14.25" customHeight="1" x14ac:dyDescent="0.35">
      <c r="B773" s="7"/>
      <c r="C773" s="7"/>
      <c r="D773" s="7"/>
      <c r="E773" s="7"/>
      <c r="F773" s="7"/>
      <c r="G773" s="9"/>
      <c r="H773" s="9"/>
      <c r="J773" s="7"/>
      <c r="K773" s="7"/>
      <c r="L773" s="11"/>
      <c r="M773" s="11"/>
    </row>
    <row r="774" spans="2:13" ht="14.25" customHeight="1" x14ac:dyDescent="0.35">
      <c r="B774" s="7"/>
      <c r="C774" s="7"/>
      <c r="D774" s="7"/>
      <c r="E774" s="7"/>
      <c r="F774" s="7"/>
      <c r="G774" s="9"/>
      <c r="H774" s="9"/>
      <c r="J774" s="7"/>
      <c r="K774" s="7"/>
      <c r="L774" s="11"/>
      <c r="M774" s="11"/>
    </row>
    <row r="775" spans="2:13" ht="14.25" customHeight="1" x14ac:dyDescent="0.35">
      <c r="B775" s="7"/>
      <c r="C775" s="7"/>
      <c r="D775" s="7"/>
      <c r="E775" s="7"/>
      <c r="F775" s="7"/>
      <c r="G775" s="9"/>
      <c r="H775" s="9"/>
      <c r="J775" s="7"/>
      <c r="K775" s="7"/>
      <c r="L775" s="11"/>
      <c r="M775" s="11"/>
    </row>
    <row r="776" spans="2:13" ht="14.25" customHeight="1" x14ac:dyDescent="0.35">
      <c r="B776" s="7"/>
      <c r="C776" s="7"/>
      <c r="D776" s="7"/>
      <c r="E776" s="7"/>
      <c r="F776" s="7"/>
      <c r="G776" s="9"/>
      <c r="H776" s="9"/>
      <c r="J776" s="7"/>
      <c r="K776" s="7"/>
      <c r="L776" s="11"/>
      <c r="M776" s="11"/>
    </row>
    <row r="777" spans="2:13" ht="14.25" customHeight="1" x14ac:dyDescent="0.35">
      <c r="B777" s="7"/>
      <c r="C777" s="7"/>
      <c r="D777" s="7"/>
      <c r="E777" s="7"/>
      <c r="F777" s="7"/>
      <c r="G777" s="9"/>
      <c r="H777" s="9"/>
      <c r="J777" s="7"/>
      <c r="K777" s="7"/>
      <c r="L777" s="11"/>
      <c r="M777" s="11"/>
    </row>
    <row r="778" spans="2:13" ht="14.25" customHeight="1" x14ac:dyDescent="0.35">
      <c r="B778" s="7"/>
      <c r="C778" s="7"/>
      <c r="D778" s="7"/>
      <c r="E778" s="7"/>
      <c r="F778" s="7"/>
      <c r="G778" s="9"/>
      <c r="H778" s="9"/>
      <c r="J778" s="7"/>
      <c r="K778" s="7"/>
      <c r="L778" s="11"/>
      <c r="M778" s="11"/>
    </row>
    <row r="779" spans="2:13" ht="14.25" customHeight="1" x14ac:dyDescent="0.35">
      <c r="B779" s="7"/>
      <c r="C779" s="7"/>
      <c r="D779" s="7"/>
      <c r="E779" s="7"/>
      <c r="F779" s="7"/>
      <c r="G779" s="9"/>
      <c r="H779" s="9"/>
      <c r="J779" s="7"/>
      <c r="K779" s="7"/>
      <c r="L779" s="11"/>
      <c r="M779" s="11"/>
    </row>
    <row r="780" spans="2:13" ht="14.25" customHeight="1" x14ac:dyDescent="0.35">
      <c r="B780" s="7"/>
      <c r="C780" s="7"/>
      <c r="D780" s="7"/>
      <c r="E780" s="7"/>
      <c r="F780" s="7"/>
      <c r="G780" s="9"/>
      <c r="H780" s="9"/>
      <c r="J780" s="7"/>
      <c r="K780" s="7"/>
      <c r="L780" s="11"/>
      <c r="M780" s="11"/>
    </row>
    <row r="781" spans="2:13" ht="14.25" customHeight="1" x14ac:dyDescent="0.35">
      <c r="B781" s="7"/>
      <c r="C781" s="7"/>
      <c r="D781" s="7"/>
      <c r="E781" s="7"/>
      <c r="F781" s="7"/>
      <c r="G781" s="9"/>
      <c r="H781" s="9"/>
      <c r="J781" s="7"/>
      <c r="K781" s="7"/>
      <c r="L781" s="11"/>
      <c r="M781" s="11"/>
    </row>
    <row r="782" spans="2:13" ht="14.25" customHeight="1" x14ac:dyDescent="0.35">
      <c r="B782" s="7"/>
      <c r="C782" s="7"/>
      <c r="D782" s="7"/>
      <c r="E782" s="7"/>
      <c r="F782" s="7"/>
      <c r="G782" s="9"/>
      <c r="H782" s="9"/>
      <c r="J782" s="7"/>
      <c r="K782" s="7"/>
      <c r="L782" s="11"/>
      <c r="M782" s="11"/>
    </row>
    <row r="783" spans="2:13" ht="14.25" customHeight="1" x14ac:dyDescent="0.35">
      <c r="B783" s="7"/>
      <c r="C783" s="7"/>
      <c r="D783" s="7"/>
      <c r="E783" s="7"/>
      <c r="F783" s="7"/>
      <c r="G783" s="9"/>
      <c r="H783" s="9"/>
      <c r="J783" s="7"/>
      <c r="K783" s="7"/>
      <c r="L783" s="11"/>
      <c r="M783" s="11"/>
    </row>
    <row r="784" spans="2:13" ht="14.25" customHeight="1" x14ac:dyDescent="0.35">
      <c r="B784" s="7"/>
      <c r="C784" s="7"/>
      <c r="D784" s="7"/>
      <c r="E784" s="7"/>
      <c r="F784" s="7"/>
      <c r="G784" s="9"/>
      <c r="H784" s="9"/>
      <c r="J784" s="7"/>
      <c r="K784" s="7"/>
      <c r="L784" s="11"/>
      <c r="M784" s="11"/>
    </row>
    <row r="785" spans="2:13" ht="14.25" customHeight="1" x14ac:dyDescent="0.35">
      <c r="B785" s="7"/>
      <c r="C785" s="7"/>
      <c r="D785" s="7"/>
      <c r="E785" s="7"/>
      <c r="F785" s="7"/>
      <c r="G785" s="9"/>
      <c r="H785" s="9"/>
      <c r="J785" s="7"/>
      <c r="K785" s="7"/>
      <c r="L785" s="11"/>
      <c r="M785" s="11"/>
    </row>
    <row r="786" spans="2:13" ht="14.25" customHeight="1" x14ac:dyDescent="0.35">
      <c r="B786" s="7"/>
      <c r="C786" s="7"/>
      <c r="D786" s="7"/>
      <c r="E786" s="7"/>
      <c r="F786" s="7"/>
      <c r="G786" s="9"/>
      <c r="H786" s="9"/>
      <c r="J786" s="7"/>
      <c r="K786" s="7"/>
      <c r="L786" s="11"/>
      <c r="M786" s="11"/>
    </row>
    <row r="787" spans="2:13" ht="14.25" customHeight="1" x14ac:dyDescent="0.35">
      <c r="B787" s="7"/>
      <c r="C787" s="7"/>
      <c r="D787" s="7"/>
      <c r="E787" s="7"/>
      <c r="F787" s="7"/>
      <c r="G787" s="9"/>
      <c r="H787" s="9"/>
      <c r="J787" s="7"/>
      <c r="K787" s="7"/>
      <c r="L787" s="11"/>
      <c r="M787" s="11"/>
    </row>
    <row r="788" spans="2:13" ht="14.25" customHeight="1" x14ac:dyDescent="0.35">
      <c r="B788" s="7"/>
      <c r="C788" s="7"/>
      <c r="D788" s="7"/>
      <c r="E788" s="7"/>
      <c r="F788" s="7"/>
      <c r="G788" s="9"/>
      <c r="H788" s="9"/>
      <c r="J788" s="7"/>
      <c r="K788" s="7"/>
      <c r="L788" s="11"/>
      <c r="M788" s="11"/>
    </row>
    <row r="789" spans="2:13" ht="14.25" customHeight="1" x14ac:dyDescent="0.35">
      <c r="B789" s="7"/>
      <c r="C789" s="7"/>
      <c r="D789" s="7"/>
      <c r="E789" s="7"/>
      <c r="F789" s="7"/>
      <c r="G789" s="9"/>
      <c r="H789" s="9"/>
      <c r="J789" s="7"/>
      <c r="K789" s="7"/>
      <c r="L789" s="11"/>
      <c r="M789" s="11"/>
    </row>
    <row r="790" spans="2:13" ht="14.25" customHeight="1" x14ac:dyDescent="0.35">
      <c r="B790" s="7"/>
      <c r="C790" s="7"/>
      <c r="D790" s="7"/>
      <c r="E790" s="7"/>
      <c r="F790" s="7"/>
      <c r="G790" s="9"/>
      <c r="H790" s="9"/>
      <c r="J790" s="7"/>
      <c r="K790" s="7"/>
      <c r="L790" s="11"/>
      <c r="M790" s="11"/>
    </row>
    <row r="791" spans="2:13" ht="14.25" customHeight="1" x14ac:dyDescent="0.35">
      <c r="B791" s="7"/>
      <c r="C791" s="7"/>
      <c r="D791" s="7"/>
      <c r="E791" s="7"/>
      <c r="F791" s="7"/>
      <c r="G791" s="9"/>
      <c r="H791" s="9"/>
      <c r="J791" s="7"/>
      <c r="K791" s="7"/>
      <c r="L791" s="11"/>
      <c r="M791" s="11"/>
    </row>
    <row r="792" spans="2:13" ht="14.25" customHeight="1" x14ac:dyDescent="0.35">
      <c r="B792" s="7"/>
      <c r="C792" s="7"/>
      <c r="D792" s="7"/>
      <c r="E792" s="7"/>
      <c r="F792" s="7"/>
      <c r="G792" s="9"/>
      <c r="H792" s="9"/>
      <c r="J792" s="7"/>
      <c r="K792" s="7"/>
      <c r="L792" s="11"/>
      <c r="M792" s="11"/>
    </row>
    <row r="793" spans="2:13" ht="14.25" customHeight="1" x14ac:dyDescent="0.35">
      <c r="B793" s="7"/>
      <c r="C793" s="7"/>
      <c r="D793" s="7"/>
      <c r="E793" s="7"/>
      <c r="F793" s="7"/>
      <c r="G793" s="9"/>
      <c r="H793" s="9"/>
      <c r="J793" s="7"/>
      <c r="K793" s="7"/>
      <c r="L793" s="11"/>
      <c r="M793" s="11"/>
    </row>
    <row r="794" spans="2:13" ht="14.25" customHeight="1" x14ac:dyDescent="0.35">
      <c r="B794" s="7"/>
      <c r="C794" s="7"/>
      <c r="D794" s="7"/>
      <c r="E794" s="7"/>
      <c r="F794" s="7"/>
      <c r="G794" s="9"/>
      <c r="H794" s="9"/>
      <c r="J794" s="7"/>
      <c r="K794" s="7"/>
      <c r="L794" s="11"/>
      <c r="M794" s="11"/>
    </row>
    <row r="795" spans="2:13" ht="14.25" customHeight="1" x14ac:dyDescent="0.35">
      <c r="B795" s="7"/>
      <c r="C795" s="7"/>
      <c r="D795" s="7"/>
      <c r="E795" s="7"/>
      <c r="F795" s="7"/>
      <c r="G795" s="9"/>
      <c r="H795" s="9"/>
      <c r="J795" s="7"/>
      <c r="K795" s="7"/>
      <c r="L795" s="11"/>
      <c r="M795" s="11"/>
    </row>
    <row r="796" spans="2:13" ht="14.25" customHeight="1" x14ac:dyDescent="0.35">
      <c r="B796" s="7"/>
      <c r="C796" s="7"/>
      <c r="D796" s="7"/>
      <c r="E796" s="7"/>
      <c r="F796" s="7"/>
      <c r="G796" s="9"/>
      <c r="H796" s="9"/>
      <c r="J796" s="7"/>
      <c r="K796" s="7"/>
      <c r="L796" s="11"/>
      <c r="M796" s="11"/>
    </row>
    <row r="797" spans="2:13" ht="14.25" customHeight="1" x14ac:dyDescent="0.35">
      <c r="B797" s="7"/>
      <c r="C797" s="7"/>
      <c r="D797" s="7"/>
      <c r="E797" s="7"/>
      <c r="F797" s="7"/>
      <c r="G797" s="9"/>
      <c r="H797" s="9"/>
      <c r="J797" s="7"/>
      <c r="K797" s="7"/>
      <c r="L797" s="11"/>
      <c r="M797" s="11"/>
    </row>
    <row r="798" spans="2:13" ht="14.25" customHeight="1" x14ac:dyDescent="0.35">
      <c r="B798" s="7"/>
      <c r="C798" s="7"/>
      <c r="D798" s="7"/>
      <c r="E798" s="7"/>
      <c r="F798" s="7"/>
      <c r="G798" s="9"/>
      <c r="H798" s="9"/>
      <c r="J798" s="7"/>
      <c r="K798" s="7"/>
      <c r="L798" s="11"/>
      <c r="M798" s="11"/>
    </row>
    <row r="799" spans="2:13" ht="14.25" customHeight="1" x14ac:dyDescent="0.35">
      <c r="B799" s="7"/>
      <c r="C799" s="7"/>
      <c r="D799" s="7"/>
      <c r="E799" s="7"/>
      <c r="F799" s="7"/>
      <c r="G799" s="9"/>
      <c r="H799" s="9"/>
      <c r="J799" s="7"/>
      <c r="K799" s="7"/>
      <c r="L799" s="11"/>
      <c r="M799" s="11"/>
    </row>
    <row r="800" spans="2:13" ht="14.25" customHeight="1" x14ac:dyDescent="0.35">
      <c r="B800" s="7"/>
      <c r="C800" s="7"/>
      <c r="D800" s="7"/>
      <c r="E800" s="7"/>
      <c r="F800" s="7"/>
      <c r="G800" s="9"/>
      <c r="H800" s="9"/>
      <c r="J800" s="7"/>
      <c r="K800" s="7"/>
      <c r="L800" s="11"/>
      <c r="M800" s="11"/>
    </row>
    <row r="801" spans="2:13" ht="14.25" customHeight="1" x14ac:dyDescent="0.35">
      <c r="B801" s="7"/>
      <c r="C801" s="7"/>
      <c r="D801" s="7"/>
      <c r="E801" s="7"/>
      <c r="F801" s="7"/>
      <c r="G801" s="9"/>
      <c r="H801" s="9"/>
      <c r="J801" s="7"/>
      <c r="K801" s="7"/>
      <c r="L801" s="11"/>
      <c r="M801" s="11"/>
    </row>
    <row r="802" spans="2:13" ht="14.25" customHeight="1" x14ac:dyDescent="0.35">
      <c r="B802" s="7"/>
      <c r="C802" s="7"/>
      <c r="D802" s="7"/>
      <c r="E802" s="7"/>
      <c r="F802" s="7"/>
      <c r="G802" s="9"/>
      <c r="H802" s="9"/>
      <c r="J802" s="7"/>
      <c r="K802" s="7"/>
      <c r="L802" s="11"/>
      <c r="M802" s="11"/>
    </row>
    <row r="803" spans="2:13" ht="14.25" customHeight="1" x14ac:dyDescent="0.35">
      <c r="B803" s="7"/>
      <c r="C803" s="7"/>
      <c r="D803" s="7"/>
      <c r="E803" s="7"/>
      <c r="F803" s="7"/>
      <c r="G803" s="9"/>
      <c r="H803" s="9"/>
      <c r="J803" s="7"/>
      <c r="K803" s="7"/>
      <c r="L803" s="11"/>
      <c r="M803" s="11"/>
    </row>
    <row r="804" spans="2:13" ht="14.25" customHeight="1" x14ac:dyDescent="0.35">
      <c r="B804" s="7"/>
      <c r="C804" s="7"/>
      <c r="D804" s="7"/>
      <c r="E804" s="7"/>
      <c r="F804" s="7"/>
      <c r="G804" s="9"/>
      <c r="H804" s="9"/>
      <c r="J804" s="7"/>
      <c r="K804" s="7"/>
      <c r="L804" s="11"/>
      <c r="M804" s="11"/>
    </row>
    <row r="805" spans="2:13" ht="14.25" customHeight="1" x14ac:dyDescent="0.35">
      <c r="B805" s="7"/>
      <c r="C805" s="7"/>
      <c r="D805" s="7"/>
      <c r="E805" s="7"/>
      <c r="F805" s="7"/>
      <c r="G805" s="9"/>
      <c r="H805" s="9"/>
      <c r="J805" s="7"/>
      <c r="K805" s="7"/>
      <c r="L805" s="11"/>
      <c r="M805" s="11"/>
    </row>
    <row r="806" spans="2:13" ht="14.25" customHeight="1" x14ac:dyDescent="0.35">
      <c r="B806" s="7"/>
      <c r="C806" s="7"/>
      <c r="D806" s="7"/>
      <c r="E806" s="7"/>
      <c r="F806" s="7"/>
      <c r="G806" s="9"/>
      <c r="H806" s="9"/>
      <c r="J806" s="7"/>
      <c r="K806" s="7"/>
      <c r="L806" s="11"/>
      <c r="M806" s="11"/>
    </row>
    <row r="807" spans="2:13" ht="14.25" customHeight="1" x14ac:dyDescent="0.35">
      <c r="B807" s="7"/>
      <c r="C807" s="7"/>
      <c r="D807" s="7"/>
      <c r="E807" s="7"/>
      <c r="F807" s="7"/>
      <c r="G807" s="9"/>
      <c r="H807" s="9"/>
      <c r="J807" s="7"/>
      <c r="K807" s="7"/>
      <c r="L807" s="11"/>
      <c r="M807" s="11"/>
    </row>
    <row r="808" spans="2:13" ht="14.25" customHeight="1" x14ac:dyDescent="0.35">
      <c r="B808" s="7"/>
      <c r="C808" s="7"/>
      <c r="D808" s="7"/>
      <c r="E808" s="7"/>
      <c r="F808" s="7"/>
      <c r="G808" s="9"/>
      <c r="H808" s="9"/>
      <c r="J808" s="7"/>
      <c r="K808" s="7"/>
      <c r="L808" s="11"/>
      <c r="M808" s="11"/>
    </row>
    <row r="809" spans="2:13" ht="14.25" customHeight="1" x14ac:dyDescent="0.35">
      <c r="B809" s="7"/>
      <c r="C809" s="7"/>
      <c r="D809" s="7"/>
      <c r="E809" s="7"/>
      <c r="F809" s="7"/>
      <c r="G809" s="9"/>
      <c r="H809" s="9"/>
      <c r="J809" s="7"/>
      <c r="K809" s="7"/>
      <c r="L809" s="11"/>
      <c r="M809" s="11"/>
    </row>
    <row r="810" spans="2:13" ht="14.25" customHeight="1" x14ac:dyDescent="0.35">
      <c r="B810" s="7"/>
      <c r="C810" s="7"/>
      <c r="D810" s="7"/>
      <c r="E810" s="7"/>
      <c r="F810" s="7"/>
      <c r="G810" s="9"/>
      <c r="H810" s="9"/>
      <c r="J810" s="7"/>
      <c r="K810" s="7"/>
      <c r="L810" s="11"/>
      <c r="M810" s="11"/>
    </row>
    <row r="811" spans="2:13" ht="14.25" customHeight="1" x14ac:dyDescent="0.35">
      <c r="B811" s="7"/>
      <c r="C811" s="7"/>
      <c r="D811" s="7"/>
      <c r="E811" s="7"/>
      <c r="F811" s="7"/>
      <c r="G811" s="9"/>
      <c r="H811" s="9"/>
      <c r="J811" s="7"/>
      <c r="K811" s="7"/>
      <c r="L811" s="11"/>
      <c r="M811" s="11"/>
    </row>
    <row r="812" spans="2:13" ht="14.25" customHeight="1" x14ac:dyDescent="0.35">
      <c r="B812" s="7"/>
      <c r="C812" s="7"/>
      <c r="D812" s="7"/>
      <c r="E812" s="7"/>
      <c r="F812" s="7"/>
      <c r="G812" s="9"/>
      <c r="H812" s="9"/>
      <c r="J812" s="7"/>
      <c r="K812" s="7"/>
      <c r="L812" s="11"/>
      <c r="M812" s="11"/>
    </row>
    <row r="813" spans="2:13" ht="14.25" customHeight="1" x14ac:dyDescent="0.35">
      <c r="B813" s="7"/>
      <c r="C813" s="7"/>
      <c r="D813" s="7"/>
      <c r="E813" s="7"/>
      <c r="F813" s="7"/>
      <c r="G813" s="9"/>
      <c r="H813" s="9"/>
      <c r="J813" s="7"/>
      <c r="K813" s="7"/>
      <c r="L813" s="11"/>
      <c r="M813" s="11"/>
    </row>
    <row r="814" spans="2:13" ht="14.25" customHeight="1" x14ac:dyDescent="0.35">
      <c r="B814" s="7"/>
      <c r="C814" s="7"/>
      <c r="D814" s="7"/>
      <c r="E814" s="7"/>
      <c r="F814" s="7"/>
      <c r="G814" s="9"/>
      <c r="H814" s="9"/>
      <c r="J814" s="7"/>
      <c r="K814" s="7"/>
      <c r="L814" s="11"/>
      <c r="M814" s="11"/>
    </row>
    <row r="815" spans="2:13" ht="14.25" customHeight="1" x14ac:dyDescent="0.35">
      <c r="B815" s="7"/>
      <c r="C815" s="7"/>
      <c r="D815" s="7"/>
      <c r="E815" s="7"/>
      <c r="F815" s="7"/>
      <c r="G815" s="9"/>
      <c r="H815" s="9"/>
      <c r="J815" s="7"/>
      <c r="K815" s="7"/>
      <c r="L815" s="11"/>
      <c r="M815" s="11"/>
    </row>
    <row r="816" spans="2:13" ht="14.25" customHeight="1" x14ac:dyDescent="0.35">
      <c r="B816" s="7"/>
      <c r="C816" s="7"/>
      <c r="D816" s="7"/>
      <c r="E816" s="7"/>
      <c r="F816" s="7"/>
      <c r="G816" s="9"/>
      <c r="H816" s="9"/>
      <c r="J816" s="7"/>
      <c r="K816" s="7"/>
      <c r="L816" s="11"/>
      <c r="M816" s="11"/>
    </row>
    <row r="817" spans="2:13" ht="14.25" customHeight="1" x14ac:dyDescent="0.35">
      <c r="B817" s="7"/>
      <c r="C817" s="7"/>
      <c r="D817" s="7"/>
      <c r="E817" s="7"/>
      <c r="F817" s="7"/>
      <c r="G817" s="9"/>
      <c r="H817" s="9"/>
      <c r="J817" s="7"/>
      <c r="K817" s="7"/>
      <c r="L817" s="11"/>
      <c r="M817" s="11"/>
    </row>
    <row r="818" spans="2:13" ht="14.25" customHeight="1" x14ac:dyDescent="0.35">
      <c r="B818" s="7"/>
      <c r="C818" s="7"/>
      <c r="D818" s="7"/>
      <c r="E818" s="7"/>
      <c r="F818" s="7"/>
      <c r="G818" s="9"/>
      <c r="H818" s="9"/>
      <c r="J818" s="7"/>
      <c r="K818" s="7"/>
      <c r="L818" s="11"/>
      <c r="M818" s="11"/>
    </row>
    <row r="819" spans="2:13" ht="14.25" customHeight="1" x14ac:dyDescent="0.35">
      <c r="B819" s="7"/>
      <c r="C819" s="7"/>
      <c r="D819" s="7"/>
      <c r="E819" s="7"/>
      <c r="F819" s="7"/>
      <c r="G819" s="9"/>
      <c r="H819" s="9"/>
      <c r="J819" s="7"/>
      <c r="K819" s="7"/>
      <c r="L819" s="11"/>
      <c r="M819" s="11"/>
    </row>
    <row r="820" spans="2:13" ht="14.25" customHeight="1" x14ac:dyDescent="0.35">
      <c r="B820" s="7"/>
      <c r="C820" s="7"/>
      <c r="D820" s="7"/>
      <c r="E820" s="7"/>
      <c r="F820" s="7"/>
      <c r="G820" s="9"/>
      <c r="H820" s="9"/>
      <c r="J820" s="7"/>
      <c r="K820" s="7"/>
      <c r="L820" s="11"/>
      <c r="M820" s="11"/>
    </row>
    <row r="821" spans="2:13" ht="14.25" customHeight="1" x14ac:dyDescent="0.35">
      <c r="B821" s="7"/>
      <c r="C821" s="7"/>
      <c r="D821" s="7"/>
      <c r="E821" s="7"/>
      <c r="F821" s="7"/>
      <c r="G821" s="9"/>
      <c r="H821" s="9"/>
      <c r="J821" s="7"/>
      <c r="K821" s="7"/>
      <c r="L821" s="11"/>
      <c r="M821" s="11"/>
    </row>
    <row r="822" spans="2:13" ht="14.25" customHeight="1" x14ac:dyDescent="0.35">
      <c r="B822" s="7"/>
      <c r="C822" s="7"/>
      <c r="D822" s="7"/>
      <c r="E822" s="7"/>
      <c r="F822" s="7"/>
      <c r="G822" s="9"/>
      <c r="H822" s="9"/>
      <c r="J822" s="7"/>
      <c r="K822" s="7"/>
      <c r="L822" s="11"/>
      <c r="M822" s="11"/>
    </row>
    <row r="823" spans="2:13" ht="14.25" customHeight="1" x14ac:dyDescent="0.35">
      <c r="B823" s="7"/>
      <c r="C823" s="7"/>
      <c r="D823" s="7"/>
      <c r="E823" s="7"/>
      <c r="F823" s="7"/>
      <c r="G823" s="9"/>
      <c r="H823" s="9"/>
      <c r="J823" s="7"/>
      <c r="K823" s="7"/>
      <c r="L823" s="11"/>
      <c r="M823" s="11"/>
    </row>
    <row r="824" spans="2:13" ht="14.25" customHeight="1" x14ac:dyDescent="0.35">
      <c r="B824" s="7"/>
      <c r="C824" s="7"/>
      <c r="D824" s="7"/>
      <c r="E824" s="7"/>
      <c r="F824" s="7"/>
      <c r="G824" s="9"/>
      <c r="H824" s="9"/>
      <c r="J824" s="7"/>
      <c r="K824" s="7"/>
      <c r="L824" s="11"/>
      <c r="M824" s="11"/>
    </row>
    <row r="825" spans="2:13" ht="14.25" customHeight="1" x14ac:dyDescent="0.35">
      <c r="B825" s="7"/>
      <c r="C825" s="7"/>
      <c r="D825" s="7"/>
      <c r="E825" s="7"/>
      <c r="F825" s="7"/>
      <c r="G825" s="9"/>
      <c r="H825" s="9"/>
      <c r="J825" s="7"/>
      <c r="K825" s="7"/>
      <c r="L825" s="11"/>
      <c r="M825" s="11"/>
    </row>
    <row r="826" spans="2:13" ht="14.25" customHeight="1" x14ac:dyDescent="0.35">
      <c r="B826" s="7"/>
      <c r="C826" s="7"/>
      <c r="D826" s="7"/>
      <c r="E826" s="7"/>
      <c r="F826" s="7"/>
      <c r="G826" s="9"/>
      <c r="H826" s="9"/>
      <c r="J826" s="7"/>
      <c r="K826" s="7"/>
      <c r="L826" s="11"/>
      <c r="M826" s="11"/>
    </row>
    <row r="827" spans="2:13" ht="14.25" customHeight="1" x14ac:dyDescent="0.35">
      <c r="B827" s="7"/>
      <c r="C827" s="7"/>
      <c r="D827" s="7"/>
      <c r="E827" s="7"/>
      <c r="F827" s="7"/>
      <c r="G827" s="9"/>
      <c r="H827" s="9"/>
      <c r="J827" s="7"/>
      <c r="K827" s="7"/>
      <c r="L827" s="11"/>
      <c r="M827" s="11"/>
    </row>
    <row r="828" spans="2:13" ht="14.25" customHeight="1" x14ac:dyDescent="0.35">
      <c r="B828" s="7"/>
      <c r="C828" s="7"/>
      <c r="D828" s="7"/>
      <c r="E828" s="7"/>
      <c r="F828" s="7"/>
      <c r="G828" s="9"/>
      <c r="H828" s="9"/>
      <c r="J828" s="7"/>
      <c r="K828" s="7"/>
      <c r="L828" s="11"/>
      <c r="M828" s="11"/>
    </row>
    <row r="829" spans="2:13" ht="14.25" customHeight="1" x14ac:dyDescent="0.35">
      <c r="B829" s="7"/>
      <c r="C829" s="7"/>
      <c r="D829" s="7"/>
      <c r="E829" s="7"/>
      <c r="F829" s="7"/>
      <c r="G829" s="9"/>
      <c r="H829" s="9"/>
      <c r="J829" s="7"/>
      <c r="K829" s="7"/>
      <c r="L829" s="11"/>
      <c r="M829" s="11"/>
    </row>
    <row r="830" spans="2:13" ht="14.25" customHeight="1" x14ac:dyDescent="0.35">
      <c r="B830" s="7"/>
      <c r="C830" s="7"/>
      <c r="D830" s="7"/>
      <c r="E830" s="7"/>
      <c r="F830" s="7"/>
      <c r="G830" s="9"/>
      <c r="H830" s="9"/>
      <c r="J830" s="7"/>
      <c r="K830" s="7"/>
      <c r="L830" s="11"/>
      <c r="M830" s="11"/>
    </row>
    <row r="831" spans="2:13" ht="14.25" customHeight="1" x14ac:dyDescent="0.35">
      <c r="B831" s="7"/>
      <c r="C831" s="7"/>
      <c r="D831" s="7"/>
      <c r="E831" s="7"/>
      <c r="F831" s="7"/>
      <c r="G831" s="9"/>
      <c r="H831" s="9"/>
      <c r="J831" s="7"/>
      <c r="K831" s="7"/>
      <c r="L831" s="11"/>
      <c r="M831" s="11"/>
    </row>
    <row r="832" spans="2:13" ht="14.25" customHeight="1" x14ac:dyDescent="0.35">
      <c r="B832" s="7"/>
      <c r="C832" s="7"/>
      <c r="D832" s="7"/>
      <c r="E832" s="7"/>
      <c r="F832" s="7"/>
      <c r="G832" s="9"/>
      <c r="H832" s="9"/>
      <c r="J832" s="7"/>
      <c r="K832" s="7"/>
      <c r="L832" s="11"/>
      <c r="M832" s="11"/>
    </row>
    <row r="833" spans="2:13" ht="14.25" customHeight="1" x14ac:dyDescent="0.35">
      <c r="B833" s="7"/>
      <c r="C833" s="7"/>
      <c r="D833" s="7"/>
      <c r="E833" s="7"/>
      <c r="F833" s="7"/>
      <c r="G833" s="9"/>
      <c r="H833" s="9"/>
      <c r="J833" s="7"/>
      <c r="K833" s="7"/>
      <c r="L833" s="11"/>
      <c r="M833" s="11"/>
    </row>
    <row r="834" spans="2:13" ht="14.25" customHeight="1" x14ac:dyDescent="0.35">
      <c r="B834" s="7"/>
      <c r="C834" s="7"/>
      <c r="D834" s="7"/>
      <c r="E834" s="7"/>
      <c r="F834" s="7"/>
      <c r="G834" s="9"/>
      <c r="H834" s="9"/>
      <c r="J834" s="7"/>
      <c r="K834" s="7"/>
      <c r="L834" s="11"/>
      <c r="M834" s="11"/>
    </row>
    <row r="835" spans="2:13" ht="14.25" customHeight="1" x14ac:dyDescent="0.35">
      <c r="B835" s="7"/>
      <c r="C835" s="7"/>
      <c r="D835" s="7"/>
      <c r="E835" s="7"/>
      <c r="F835" s="7"/>
      <c r="G835" s="9"/>
      <c r="H835" s="9"/>
      <c r="J835" s="7"/>
      <c r="K835" s="7"/>
      <c r="L835" s="11"/>
      <c r="M835" s="11"/>
    </row>
    <row r="836" spans="2:13" ht="14.25" customHeight="1" x14ac:dyDescent="0.35">
      <c r="B836" s="7"/>
      <c r="C836" s="7"/>
      <c r="D836" s="7"/>
      <c r="E836" s="7"/>
      <c r="F836" s="7"/>
      <c r="G836" s="9"/>
      <c r="H836" s="9"/>
      <c r="J836" s="7"/>
      <c r="K836" s="7"/>
      <c r="L836" s="11"/>
      <c r="M836" s="11"/>
    </row>
    <row r="837" spans="2:13" ht="14.25" customHeight="1" x14ac:dyDescent="0.35">
      <c r="B837" s="7"/>
      <c r="C837" s="7"/>
      <c r="D837" s="7"/>
      <c r="E837" s="7"/>
      <c r="F837" s="7"/>
      <c r="G837" s="9"/>
      <c r="H837" s="9"/>
      <c r="J837" s="7"/>
      <c r="K837" s="7"/>
      <c r="L837" s="11"/>
      <c r="M837" s="11"/>
    </row>
    <row r="838" spans="2:13" ht="14.25" customHeight="1" x14ac:dyDescent="0.35">
      <c r="B838" s="7"/>
      <c r="C838" s="7"/>
      <c r="D838" s="7"/>
      <c r="E838" s="7"/>
      <c r="F838" s="7"/>
      <c r="G838" s="9"/>
      <c r="H838" s="9"/>
      <c r="J838" s="7"/>
      <c r="K838" s="7"/>
      <c r="L838" s="11"/>
      <c r="M838" s="11"/>
    </row>
    <row r="839" spans="2:13" ht="14.25" customHeight="1" x14ac:dyDescent="0.35">
      <c r="B839" s="7"/>
      <c r="C839" s="7"/>
      <c r="D839" s="7"/>
      <c r="E839" s="7"/>
      <c r="F839" s="7"/>
      <c r="G839" s="9"/>
      <c r="H839" s="9"/>
      <c r="J839" s="7"/>
      <c r="K839" s="7"/>
      <c r="L839" s="11"/>
      <c r="M839" s="11"/>
    </row>
    <row r="840" spans="2:13" ht="14.25" customHeight="1" x14ac:dyDescent="0.35">
      <c r="B840" s="7"/>
      <c r="C840" s="7"/>
      <c r="D840" s="7"/>
      <c r="E840" s="7"/>
      <c r="F840" s="7"/>
      <c r="G840" s="9"/>
      <c r="H840" s="9"/>
      <c r="J840" s="7"/>
      <c r="K840" s="7"/>
      <c r="L840" s="11"/>
      <c r="M840" s="11"/>
    </row>
    <row r="841" spans="2:13" ht="14.25" customHeight="1" x14ac:dyDescent="0.35">
      <c r="B841" s="7"/>
      <c r="C841" s="7"/>
      <c r="D841" s="7"/>
      <c r="E841" s="7"/>
      <c r="F841" s="7"/>
      <c r="G841" s="9"/>
      <c r="H841" s="9"/>
      <c r="J841" s="7"/>
      <c r="K841" s="7"/>
      <c r="L841" s="11"/>
      <c r="M841" s="11"/>
    </row>
    <row r="842" spans="2:13" ht="14.25" customHeight="1" x14ac:dyDescent="0.35">
      <c r="B842" s="7"/>
      <c r="C842" s="7"/>
      <c r="D842" s="7"/>
      <c r="E842" s="7"/>
      <c r="F842" s="7"/>
      <c r="G842" s="9"/>
      <c r="H842" s="9"/>
      <c r="J842" s="7"/>
      <c r="K842" s="7"/>
      <c r="L842" s="11"/>
      <c r="M842" s="11"/>
    </row>
    <row r="843" spans="2:13" ht="14.25" customHeight="1" x14ac:dyDescent="0.35">
      <c r="B843" s="7"/>
      <c r="C843" s="7"/>
      <c r="D843" s="7"/>
      <c r="E843" s="7"/>
      <c r="F843" s="7"/>
      <c r="G843" s="9"/>
      <c r="H843" s="9"/>
      <c r="J843" s="7"/>
      <c r="K843" s="7"/>
      <c r="L843" s="11"/>
      <c r="M843" s="11"/>
    </row>
    <row r="844" spans="2:13" ht="14.25" customHeight="1" x14ac:dyDescent="0.35">
      <c r="B844" s="7"/>
      <c r="C844" s="7"/>
      <c r="D844" s="7"/>
      <c r="E844" s="7"/>
      <c r="F844" s="7"/>
      <c r="G844" s="9"/>
      <c r="H844" s="9"/>
      <c r="J844" s="7"/>
      <c r="K844" s="7"/>
      <c r="L844" s="11"/>
      <c r="M844" s="11"/>
    </row>
    <row r="845" spans="2:13" ht="14.25" customHeight="1" x14ac:dyDescent="0.35">
      <c r="B845" s="7"/>
      <c r="C845" s="7"/>
      <c r="D845" s="7"/>
      <c r="E845" s="7"/>
      <c r="F845" s="7"/>
      <c r="G845" s="9"/>
      <c r="H845" s="9"/>
      <c r="J845" s="7"/>
      <c r="K845" s="7"/>
      <c r="L845" s="11"/>
      <c r="M845" s="11"/>
    </row>
    <row r="846" spans="2:13" ht="14.25" customHeight="1" x14ac:dyDescent="0.35">
      <c r="B846" s="7"/>
      <c r="C846" s="7"/>
      <c r="D846" s="7"/>
      <c r="E846" s="7"/>
      <c r="F846" s="7"/>
      <c r="G846" s="9"/>
      <c r="H846" s="9"/>
      <c r="J846" s="7"/>
      <c r="K846" s="7"/>
      <c r="L846" s="11"/>
      <c r="M846" s="11"/>
    </row>
    <row r="847" spans="2:13" ht="14.25" customHeight="1" x14ac:dyDescent="0.35">
      <c r="B847" s="7"/>
      <c r="C847" s="7"/>
      <c r="D847" s="7"/>
      <c r="E847" s="7"/>
      <c r="F847" s="7"/>
      <c r="G847" s="9"/>
      <c r="H847" s="9"/>
      <c r="J847" s="7"/>
      <c r="K847" s="7"/>
      <c r="L847" s="11"/>
      <c r="M847" s="11"/>
    </row>
    <row r="848" spans="2:13" ht="14.25" customHeight="1" x14ac:dyDescent="0.35">
      <c r="B848" s="7"/>
      <c r="C848" s="7"/>
      <c r="D848" s="7"/>
      <c r="E848" s="7"/>
      <c r="F848" s="7"/>
      <c r="G848" s="9"/>
      <c r="H848" s="9"/>
      <c r="J848" s="7"/>
      <c r="K848" s="7"/>
      <c r="L848" s="11"/>
      <c r="M848" s="11"/>
    </row>
    <row r="849" spans="2:13" ht="14.25" customHeight="1" x14ac:dyDescent="0.35">
      <c r="B849" s="7"/>
      <c r="C849" s="7"/>
      <c r="D849" s="7"/>
      <c r="E849" s="7"/>
      <c r="F849" s="7"/>
      <c r="G849" s="9"/>
      <c r="H849" s="9"/>
      <c r="J849" s="7"/>
      <c r="K849" s="7"/>
      <c r="L849" s="11"/>
      <c r="M849" s="11"/>
    </row>
    <row r="850" spans="2:13" ht="14.25" customHeight="1" x14ac:dyDescent="0.35">
      <c r="B850" s="7"/>
      <c r="C850" s="7"/>
      <c r="D850" s="7"/>
      <c r="E850" s="7"/>
      <c r="F850" s="7"/>
      <c r="G850" s="9"/>
      <c r="H850" s="9"/>
      <c r="J850" s="7"/>
      <c r="K850" s="7"/>
      <c r="L850" s="11"/>
      <c r="M850" s="11"/>
    </row>
    <row r="851" spans="2:13" ht="14.25" customHeight="1" x14ac:dyDescent="0.35">
      <c r="B851" s="7"/>
      <c r="C851" s="7"/>
      <c r="D851" s="7"/>
      <c r="E851" s="7"/>
      <c r="F851" s="7"/>
      <c r="G851" s="9"/>
      <c r="H851" s="9"/>
      <c r="J851" s="7"/>
      <c r="K851" s="7"/>
      <c r="L851" s="11"/>
      <c r="M851" s="11"/>
    </row>
    <row r="852" spans="2:13" ht="14.25" customHeight="1" x14ac:dyDescent="0.35">
      <c r="B852" s="7"/>
      <c r="C852" s="7"/>
      <c r="D852" s="7"/>
      <c r="E852" s="7"/>
      <c r="F852" s="7"/>
      <c r="G852" s="9"/>
      <c r="H852" s="9"/>
      <c r="J852" s="7"/>
      <c r="K852" s="7"/>
      <c r="L852" s="11"/>
      <c r="M852" s="11"/>
    </row>
    <row r="853" spans="2:13" ht="14.25" customHeight="1" x14ac:dyDescent="0.35">
      <c r="B853" s="7"/>
      <c r="C853" s="7"/>
      <c r="D853" s="7"/>
      <c r="E853" s="7"/>
      <c r="F853" s="7"/>
      <c r="G853" s="9"/>
      <c r="H853" s="9"/>
      <c r="J853" s="7"/>
      <c r="K853" s="7"/>
      <c r="L853" s="11"/>
      <c r="M853" s="11"/>
    </row>
    <row r="854" spans="2:13" ht="14.25" customHeight="1" x14ac:dyDescent="0.35">
      <c r="B854" s="7"/>
      <c r="C854" s="7"/>
      <c r="D854" s="7"/>
      <c r="E854" s="7"/>
      <c r="F854" s="7"/>
      <c r="G854" s="9"/>
      <c r="H854" s="9"/>
      <c r="J854" s="7"/>
      <c r="K854" s="7"/>
      <c r="L854" s="11"/>
      <c r="M854" s="11"/>
    </row>
    <row r="855" spans="2:13" ht="14.25" customHeight="1" x14ac:dyDescent="0.35">
      <c r="B855" s="7"/>
      <c r="C855" s="7"/>
      <c r="D855" s="7"/>
      <c r="E855" s="7"/>
      <c r="F855" s="7"/>
      <c r="G855" s="9"/>
      <c r="H855" s="9"/>
      <c r="J855" s="7"/>
      <c r="K855" s="7"/>
      <c r="L855" s="11"/>
      <c r="M855" s="11"/>
    </row>
    <row r="856" spans="2:13" ht="14.25" customHeight="1" x14ac:dyDescent="0.35">
      <c r="B856" s="7"/>
      <c r="C856" s="7"/>
      <c r="D856" s="7"/>
      <c r="E856" s="7"/>
      <c r="F856" s="7"/>
      <c r="G856" s="9"/>
      <c r="H856" s="9"/>
      <c r="J856" s="7"/>
      <c r="K856" s="7"/>
      <c r="L856" s="11"/>
      <c r="M856" s="11"/>
    </row>
    <row r="857" spans="2:13" ht="14.25" customHeight="1" x14ac:dyDescent="0.35">
      <c r="B857" s="7"/>
      <c r="C857" s="7"/>
      <c r="D857" s="7"/>
      <c r="E857" s="7"/>
      <c r="F857" s="7"/>
      <c r="G857" s="9"/>
      <c r="H857" s="9"/>
      <c r="J857" s="7"/>
      <c r="K857" s="7"/>
      <c r="L857" s="11"/>
      <c r="M857" s="11"/>
    </row>
    <row r="858" spans="2:13" ht="14.25" customHeight="1" x14ac:dyDescent="0.35">
      <c r="B858" s="7"/>
      <c r="C858" s="7"/>
      <c r="D858" s="7"/>
      <c r="E858" s="7"/>
      <c r="F858" s="7"/>
      <c r="G858" s="9"/>
      <c r="H858" s="9"/>
      <c r="J858" s="7"/>
      <c r="K858" s="7"/>
      <c r="L858" s="11"/>
      <c r="M858" s="11"/>
    </row>
    <row r="859" spans="2:13" ht="14.25" customHeight="1" x14ac:dyDescent="0.35">
      <c r="B859" s="7"/>
      <c r="C859" s="7"/>
      <c r="D859" s="7"/>
      <c r="E859" s="7"/>
      <c r="F859" s="7"/>
      <c r="G859" s="9"/>
      <c r="H859" s="9"/>
      <c r="J859" s="7"/>
      <c r="K859" s="7"/>
      <c r="L859" s="11"/>
      <c r="M859" s="11"/>
    </row>
    <row r="860" spans="2:13" ht="14.25" customHeight="1" x14ac:dyDescent="0.35">
      <c r="B860" s="7"/>
      <c r="C860" s="7"/>
      <c r="D860" s="7"/>
      <c r="E860" s="7"/>
      <c r="F860" s="7"/>
      <c r="G860" s="9"/>
      <c r="H860" s="9"/>
      <c r="J860" s="7"/>
      <c r="K860" s="7"/>
      <c r="L860" s="11"/>
      <c r="M860" s="11"/>
    </row>
    <row r="861" spans="2:13" ht="14.25" customHeight="1" x14ac:dyDescent="0.35">
      <c r="B861" s="7"/>
      <c r="C861" s="7"/>
      <c r="D861" s="7"/>
      <c r="E861" s="7"/>
      <c r="F861" s="7"/>
      <c r="G861" s="9"/>
      <c r="H861" s="9"/>
      <c r="J861" s="7"/>
      <c r="K861" s="7"/>
      <c r="L861" s="11"/>
      <c r="M861" s="11"/>
    </row>
    <row r="862" spans="2:13" ht="14.25" customHeight="1" x14ac:dyDescent="0.35">
      <c r="B862" s="7"/>
      <c r="C862" s="7"/>
      <c r="D862" s="7"/>
      <c r="E862" s="7"/>
      <c r="F862" s="7"/>
      <c r="G862" s="9"/>
      <c r="H862" s="9"/>
      <c r="J862" s="7"/>
      <c r="K862" s="7"/>
      <c r="L862" s="11"/>
      <c r="M862" s="11"/>
    </row>
    <row r="863" spans="2:13" ht="14.25" customHeight="1" x14ac:dyDescent="0.35">
      <c r="B863" s="7"/>
      <c r="C863" s="7"/>
      <c r="D863" s="7"/>
      <c r="E863" s="7"/>
      <c r="F863" s="7"/>
      <c r="G863" s="9"/>
      <c r="H863" s="9"/>
      <c r="J863" s="7"/>
      <c r="K863" s="7"/>
      <c r="L863" s="11"/>
      <c r="M863" s="11"/>
    </row>
    <row r="864" spans="2:13" ht="14.25" customHeight="1" x14ac:dyDescent="0.35">
      <c r="B864" s="7"/>
      <c r="C864" s="7"/>
      <c r="D864" s="7"/>
      <c r="E864" s="7"/>
      <c r="F864" s="7"/>
      <c r="G864" s="9"/>
      <c r="H864" s="9"/>
      <c r="J864" s="7"/>
      <c r="K864" s="7"/>
      <c r="L864" s="11"/>
      <c r="M864" s="11"/>
    </row>
    <row r="865" spans="2:13" ht="14.25" customHeight="1" x14ac:dyDescent="0.35">
      <c r="B865" s="7"/>
      <c r="C865" s="7"/>
      <c r="D865" s="7"/>
      <c r="E865" s="7"/>
      <c r="F865" s="7"/>
      <c r="G865" s="9"/>
      <c r="H865" s="9"/>
      <c r="J865" s="7"/>
      <c r="K865" s="7"/>
      <c r="L865" s="11"/>
      <c r="M865" s="11"/>
    </row>
    <row r="866" spans="2:13" ht="14.25" customHeight="1" x14ac:dyDescent="0.35">
      <c r="B866" s="7"/>
      <c r="C866" s="7"/>
      <c r="D866" s="7"/>
      <c r="E866" s="7"/>
      <c r="F866" s="7"/>
      <c r="G866" s="9"/>
      <c r="H866" s="9"/>
      <c r="J866" s="7"/>
      <c r="K866" s="7"/>
      <c r="L866" s="11"/>
      <c r="M866" s="11"/>
    </row>
    <row r="867" spans="2:13" ht="14.25" customHeight="1" x14ac:dyDescent="0.35">
      <c r="B867" s="7"/>
      <c r="C867" s="7"/>
      <c r="D867" s="7"/>
      <c r="E867" s="7"/>
      <c r="F867" s="7"/>
      <c r="G867" s="9"/>
      <c r="H867" s="9"/>
      <c r="J867" s="7"/>
      <c r="K867" s="7"/>
      <c r="L867" s="11"/>
      <c r="M867" s="11"/>
    </row>
    <row r="868" spans="2:13" ht="14.25" customHeight="1" x14ac:dyDescent="0.35">
      <c r="B868" s="7"/>
      <c r="C868" s="7"/>
      <c r="D868" s="7"/>
      <c r="E868" s="7"/>
      <c r="F868" s="7"/>
      <c r="G868" s="9"/>
      <c r="H868" s="9"/>
      <c r="J868" s="7"/>
      <c r="K868" s="7"/>
      <c r="L868" s="11"/>
      <c r="M868" s="11"/>
    </row>
    <row r="869" spans="2:13" ht="14.25" customHeight="1" x14ac:dyDescent="0.35">
      <c r="B869" s="7"/>
      <c r="C869" s="7"/>
      <c r="D869" s="7"/>
      <c r="E869" s="7"/>
      <c r="F869" s="7"/>
      <c r="G869" s="9"/>
      <c r="H869" s="9"/>
      <c r="J869" s="7"/>
      <c r="K869" s="7"/>
      <c r="L869" s="11"/>
      <c r="M869" s="11"/>
    </row>
    <row r="870" spans="2:13" ht="14.25" customHeight="1" x14ac:dyDescent="0.35">
      <c r="B870" s="7"/>
      <c r="C870" s="7"/>
      <c r="D870" s="7"/>
      <c r="E870" s="7"/>
      <c r="F870" s="7"/>
      <c r="G870" s="9"/>
      <c r="H870" s="9"/>
      <c r="J870" s="7"/>
      <c r="K870" s="7"/>
      <c r="L870" s="11"/>
      <c r="M870" s="11"/>
    </row>
    <row r="871" spans="2:13" ht="14.25" customHeight="1" x14ac:dyDescent="0.35">
      <c r="B871" s="7"/>
      <c r="C871" s="7"/>
      <c r="D871" s="7"/>
      <c r="E871" s="7"/>
      <c r="F871" s="7"/>
      <c r="G871" s="9"/>
      <c r="H871" s="9"/>
      <c r="J871" s="7"/>
      <c r="K871" s="7"/>
      <c r="L871" s="11"/>
      <c r="M871" s="11"/>
    </row>
    <row r="872" spans="2:13" ht="14.25" customHeight="1" x14ac:dyDescent="0.35">
      <c r="B872" s="7"/>
      <c r="C872" s="7"/>
      <c r="D872" s="7"/>
      <c r="E872" s="7"/>
      <c r="F872" s="7"/>
      <c r="G872" s="9"/>
      <c r="H872" s="9"/>
      <c r="J872" s="7"/>
      <c r="K872" s="7"/>
      <c r="L872" s="11"/>
      <c r="M872" s="11"/>
    </row>
    <row r="873" spans="2:13" ht="14.25" customHeight="1" x14ac:dyDescent="0.35">
      <c r="B873" s="7"/>
      <c r="C873" s="7"/>
      <c r="D873" s="7"/>
      <c r="E873" s="7"/>
      <c r="F873" s="7"/>
      <c r="G873" s="9"/>
      <c r="H873" s="9"/>
      <c r="J873" s="7"/>
      <c r="K873" s="7"/>
      <c r="L873" s="11"/>
      <c r="M873" s="11"/>
    </row>
    <row r="874" spans="2:13" ht="14.25" customHeight="1" x14ac:dyDescent="0.35">
      <c r="B874" s="7"/>
      <c r="C874" s="7"/>
      <c r="D874" s="7"/>
      <c r="E874" s="7"/>
      <c r="F874" s="7"/>
      <c r="G874" s="9"/>
      <c r="H874" s="9"/>
      <c r="J874" s="7"/>
      <c r="K874" s="7"/>
      <c r="L874" s="11"/>
      <c r="M874" s="11"/>
    </row>
    <row r="875" spans="2:13" ht="14.25" customHeight="1" x14ac:dyDescent="0.35">
      <c r="B875" s="7"/>
      <c r="C875" s="7"/>
      <c r="D875" s="7"/>
      <c r="E875" s="7"/>
      <c r="F875" s="7"/>
      <c r="G875" s="9"/>
      <c r="H875" s="9"/>
      <c r="J875" s="7"/>
      <c r="K875" s="7"/>
      <c r="L875" s="11"/>
      <c r="M875" s="11"/>
    </row>
    <row r="876" spans="2:13" ht="14.25" customHeight="1" x14ac:dyDescent="0.35">
      <c r="B876" s="7"/>
      <c r="C876" s="7"/>
      <c r="D876" s="7"/>
      <c r="E876" s="7"/>
      <c r="F876" s="7"/>
      <c r="G876" s="9"/>
      <c r="H876" s="9"/>
      <c r="J876" s="7"/>
      <c r="K876" s="7"/>
      <c r="L876" s="11"/>
      <c r="M876" s="11"/>
    </row>
    <row r="877" spans="2:13" ht="14.25" customHeight="1" x14ac:dyDescent="0.35">
      <c r="B877" s="7"/>
      <c r="C877" s="7"/>
      <c r="D877" s="7"/>
      <c r="E877" s="7"/>
      <c r="F877" s="7"/>
      <c r="G877" s="9"/>
      <c r="H877" s="9"/>
      <c r="J877" s="7"/>
      <c r="K877" s="7"/>
      <c r="L877" s="11"/>
      <c r="M877" s="11"/>
    </row>
    <row r="878" spans="2:13" ht="14.25" customHeight="1" x14ac:dyDescent="0.35">
      <c r="B878" s="7"/>
      <c r="C878" s="7"/>
      <c r="D878" s="7"/>
      <c r="E878" s="7"/>
      <c r="F878" s="7"/>
      <c r="G878" s="9"/>
      <c r="H878" s="9"/>
      <c r="J878" s="7"/>
      <c r="K878" s="7"/>
      <c r="L878" s="11"/>
      <c r="M878" s="11"/>
    </row>
    <row r="879" spans="2:13" ht="14.25" customHeight="1" x14ac:dyDescent="0.35">
      <c r="B879" s="7"/>
      <c r="C879" s="7"/>
      <c r="D879" s="7"/>
      <c r="E879" s="7"/>
      <c r="F879" s="7"/>
      <c r="G879" s="9"/>
      <c r="H879" s="9"/>
      <c r="J879" s="7"/>
      <c r="K879" s="7"/>
      <c r="L879" s="11"/>
      <c r="M879" s="11"/>
    </row>
    <row r="880" spans="2:13" ht="14.25" customHeight="1" x14ac:dyDescent="0.35">
      <c r="B880" s="7"/>
      <c r="C880" s="7"/>
      <c r="D880" s="7"/>
      <c r="E880" s="7"/>
      <c r="F880" s="7"/>
      <c r="G880" s="9"/>
      <c r="H880" s="9"/>
      <c r="J880" s="7"/>
      <c r="K880" s="7"/>
      <c r="L880" s="11"/>
      <c r="M880" s="11"/>
    </row>
    <row r="881" spans="2:13" ht="14.25" customHeight="1" x14ac:dyDescent="0.35">
      <c r="B881" s="7"/>
      <c r="C881" s="7"/>
      <c r="D881" s="7"/>
      <c r="E881" s="7"/>
      <c r="F881" s="7"/>
      <c r="G881" s="9"/>
      <c r="H881" s="9"/>
      <c r="J881" s="7"/>
      <c r="K881" s="7"/>
      <c r="L881" s="11"/>
      <c r="M881" s="11"/>
    </row>
    <row r="882" spans="2:13" ht="14.25" customHeight="1" x14ac:dyDescent="0.35">
      <c r="B882" s="7"/>
      <c r="C882" s="7"/>
      <c r="D882" s="7"/>
      <c r="E882" s="7"/>
      <c r="F882" s="7"/>
      <c r="G882" s="9"/>
      <c r="H882" s="9"/>
      <c r="J882" s="7"/>
      <c r="K882" s="7"/>
      <c r="L882" s="11"/>
      <c r="M882" s="11"/>
    </row>
    <row r="883" spans="2:13" ht="14.25" customHeight="1" x14ac:dyDescent="0.35">
      <c r="B883" s="7"/>
      <c r="C883" s="7"/>
      <c r="D883" s="7"/>
      <c r="E883" s="7"/>
      <c r="F883" s="7"/>
      <c r="G883" s="9"/>
      <c r="H883" s="9"/>
      <c r="J883" s="7"/>
      <c r="K883" s="7"/>
      <c r="L883" s="11"/>
      <c r="M883" s="11"/>
    </row>
    <row r="884" spans="2:13" ht="14.25" customHeight="1" x14ac:dyDescent="0.35">
      <c r="B884" s="7"/>
      <c r="C884" s="7"/>
      <c r="D884" s="7"/>
      <c r="E884" s="7"/>
      <c r="F884" s="7"/>
      <c r="G884" s="9"/>
      <c r="H884" s="9"/>
      <c r="J884" s="7"/>
      <c r="K884" s="7"/>
      <c r="L884" s="11"/>
      <c r="M884" s="11"/>
    </row>
    <row r="885" spans="2:13" ht="14.25" customHeight="1" x14ac:dyDescent="0.35">
      <c r="B885" s="7"/>
      <c r="C885" s="7"/>
      <c r="D885" s="7"/>
      <c r="E885" s="7"/>
      <c r="F885" s="7"/>
      <c r="G885" s="9"/>
      <c r="H885" s="9"/>
      <c r="J885" s="7"/>
      <c r="K885" s="7"/>
      <c r="L885" s="11"/>
      <c r="M885" s="11"/>
    </row>
    <row r="886" spans="2:13" ht="14.25" customHeight="1" x14ac:dyDescent="0.35">
      <c r="B886" s="7"/>
      <c r="C886" s="7"/>
      <c r="D886" s="7"/>
      <c r="E886" s="7"/>
      <c r="F886" s="7"/>
      <c r="G886" s="9"/>
      <c r="H886" s="9"/>
      <c r="J886" s="7"/>
      <c r="K886" s="7"/>
      <c r="L886" s="11"/>
      <c r="M886" s="11"/>
    </row>
    <row r="887" spans="2:13" ht="14.25" customHeight="1" x14ac:dyDescent="0.35">
      <c r="B887" s="7"/>
      <c r="C887" s="7"/>
      <c r="D887" s="7"/>
      <c r="E887" s="7"/>
      <c r="F887" s="7"/>
      <c r="G887" s="9"/>
      <c r="H887" s="9"/>
      <c r="J887" s="7"/>
      <c r="K887" s="7"/>
      <c r="L887" s="11"/>
      <c r="M887" s="11"/>
    </row>
    <row r="888" spans="2:13" ht="14.25" customHeight="1" x14ac:dyDescent="0.35">
      <c r="B888" s="7"/>
      <c r="C888" s="7"/>
      <c r="D888" s="7"/>
      <c r="E888" s="7"/>
      <c r="F888" s="7"/>
      <c r="G888" s="9"/>
      <c r="H888" s="9"/>
      <c r="J888" s="7"/>
      <c r="K888" s="7"/>
      <c r="L888" s="11"/>
      <c r="M888" s="11"/>
    </row>
    <row r="889" spans="2:13" ht="14.25" customHeight="1" x14ac:dyDescent="0.35">
      <c r="B889" s="7"/>
      <c r="C889" s="7"/>
      <c r="D889" s="7"/>
      <c r="E889" s="7"/>
      <c r="F889" s="7"/>
      <c r="G889" s="9"/>
      <c r="H889" s="9"/>
      <c r="J889" s="7"/>
      <c r="K889" s="7"/>
      <c r="L889" s="11"/>
      <c r="M889" s="11"/>
    </row>
    <row r="890" spans="2:13" ht="14.25" customHeight="1" x14ac:dyDescent="0.35">
      <c r="B890" s="7"/>
      <c r="C890" s="7"/>
      <c r="D890" s="7"/>
      <c r="E890" s="7"/>
      <c r="F890" s="7"/>
      <c r="G890" s="9"/>
      <c r="H890" s="9"/>
      <c r="J890" s="7"/>
      <c r="K890" s="7"/>
      <c r="L890" s="11"/>
      <c r="M890" s="11"/>
    </row>
    <row r="891" spans="2:13" ht="14.25" customHeight="1" x14ac:dyDescent="0.35">
      <c r="B891" s="7"/>
      <c r="C891" s="7"/>
      <c r="D891" s="7"/>
      <c r="E891" s="7"/>
      <c r="F891" s="7"/>
      <c r="G891" s="9"/>
      <c r="H891" s="9"/>
      <c r="J891" s="7"/>
      <c r="K891" s="7"/>
      <c r="L891" s="11"/>
      <c r="M891" s="11"/>
    </row>
    <row r="892" spans="2:13" ht="14.25" customHeight="1" x14ac:dyDescent="0.35">
      <c r="B892" s="7"/>
      <c r="C892" s="7"/>
      <c r="D892" s="7"/>
      <c r="E892" s="7"/>
      <c r="F892" s="7"/>
      <c r="G892" s="9"/>
      <c r="H892" s="9"/>
      <c r="J892" s="7"/>
      <c r="K892" s="7"/>
      <c r="L892" s="11"/>
      <c r="M892" s="11"/>
    </row>
    <row r="893" spans="2:13" ht="14.25" customHeight="1" x14ac:dyDescent="0.35">
      <c r="B893" s="7"/>
      <c r="C893" s="7"/>
      <c r="D893" s="7"/>
      <c r="E893" s="7"/>
      <c r="F893" s="7"/>
      <c r="G893" s="9"/>
      <c r="H893" s="9"/>
      <c r="J893" s="7"/>
      <c r="K893" s="7"/>
      <c r="L893" s="11"/>
      <c r="M893" s="11"/>
    </row>
    <row r="894" spans="2:13" ht="14.25" customHeight="1" x14ac:dyDescent="0.35">
      <c r="B894" s="7"/>
      <c r="C894" s="7"/>
      <c r="D894" s="7"/>
      <c r="E894" s="7"/>
      <c r="F894" s="7"/>
      <c r="G894" s="9"/>
      <c r="H894" s="9"/>
      <c r="J894" s="7"/>
      <c r="K894" s="7"/>
      <c r="L894" s="11"/>
      <c r="M894" s="11"/>
    </row>
    <row r="895" spans="2:13" ht="14.25" customHeight="1" x14ac:dyDescent="0.35">
      <c r="B895" s="7"/>
      <c r="C895" s="7"/>
      <c r="D895" s="7"/>
      <c r="E895" s="7"/>
      <c r="F895" s="7"/>
      <c r="G895" s="9"/>
      <c r="H895" s="9"/>
      <c r="J895" s="7"/>
      <c r="K895" s="7"/>
      <c r="L895" s="11"/>
      <c r="M895" s="11"/>
    </row>
    <row r="896" spans="2:13" ht="14.25" customHeight="1" x14ac:dyDescent="0.35">
      <c r="B896" s="7"/>
      <c r="C896" s="7"/>
      <c r="D896" s="7"/>
      <c r="E896" s="7"/>
      <c r="F896" s="7"/>
      <c r="G896" s="9"/>
      <c r="H896" s="9"/>
      <c r="J896" s="7"/>
      <c r="K896" s="7"/>
      <c r="L896" s="11"/>
      <c r="M896" s="11"/>
    </row>
    <row r="897" spans="2:13" ht="14.25" customHeight="1" x14ac:dyDescent="0.35">
      <c r="B897" s="7"/>
      <c r="C897" s="7"/>
      <c r="D897" s="7"/>
      <c r="E897" s="7"/>
      <c r="F897" s="7"/>
      <c r="G897" s="9"/>
      <c r="H897" s="9"/>
      <c r="J897" s="7"/>
      <c r="K897" s="7"/>
      <c r="L897" s="11"/>
      <c r="M897" s="11"/>
    </row>
    <row r="898" spans="2:13" ht="14.25" customHeight="1" x14ac:dyDescent="0.35">
      <c r="B898" s="7"/>
      <c r="C898" s="7"/>
      <c r="D898" s="7"/>
      <c r="E898" s="7"/>
      <c r="F898" s="7"/>
      <c r="G898" s="9"/>
      <c r="H898" s="9"/>
      <c r="J898" s="7"/>
      <c r="K898" s="7"/>
      <c r="L898" s="11"/>
      <c r="M898" s="11"/>
    </row>
    <row r="899" spans="2:13" ht="14.25" customHeight="1" x14ac:dyDescent="0.35">
      <c r="B899" s="7"/>
      <c r="C899" s="7"/>
      <c r="D899" s="7"/>
      <c r="E899" s="7"/>
      <c r="F899" s="7"/>
      <c r="G899" s="9"/>
      <c r="H899" s="9"/>
      <c r="J899" s="7"/>
      <c r="K899" s="7"/>
      <c r="L899" s="11"/>
      <c r="M899" s="11"/>
    </row>
    <row r="900" spans="2:13" ht="14.25" customHeight="1" x14ac:dyDescent="0.35">
      <c r="B900" s="7"/>
      <c r="C900" s="7"/>
      <c r="D900" s="7"/>
      <c r="E900" s="7"/>
      <c r="F900" s="7"/>
      <c r="G900" s="9"/>
      <c r="H900" s="9"/>
      <c r="J900" s="7"/>
      <c r="K900" s="7"/>
      <c r="L900" s="11"/>
      <c r="M900" s="11"/>
    </row>
    <row r="901" spans="2:13" ht="14.25" customHeight="1" x14ac:dyDescent="0.35">
      <c r="B901" s="7"/>
      <c r="C901" s="7"/>
      <c r="D901" s="7"/>
      <c r="E901" s="7"/>
      <c r="F901" s="7"/>
      <c r="G901" s="9"/>
      <c r="H901" s="9"/>
      <c r="J901" s="7"/>
      <c r="K901" s="7"/>
      <c r="L901" s="11"/>
      <c r="M901" s="11"/>
    </row>
    <row r="902" spans="2:13" ht="14.25" customHeight="1" x14ac:dyDescent="0.35">
      <c r="B902" s="7"/>
      <c r="C902" s="7"/>
      <c r="D902" s="7"/>
      <c r="E902" s="7"/>
      <c r="F902" s="7"/>
      <c r="G902" s="9"/>
      <c r="H902" s="9"/>
      <c r="J902" s="7"/>
      <c r="K902" s="7"/>
      <c r="L902" s="11"/>
      <c r="M902" s="11"/>
    </row>
    <row r="903" spans="2:13" ht="14.25" customHeight="1" x14ac:dyDescent="0.35">
      <c r="B903" s="7"/>
      <c r="C903" s="7"/>
      <c r="D903" s="7"/>
      <c r="E903" s="7"/>
      <c r="F903" s="7"/>
      <c r="G903" s="9"/>
      <c r="H903" s="9"/>
      <c r="J903" s="7"/>
      <c r="K903" s="7"/>
      <c r="L903" s="11"/>
      <c r="M903" s="11"/>
    </row>
    <row r="904" spans="2:13" ht="14.25" customHeight="1" x14ac:dyDescent="0.35">
      <c r="B904" s="7"/>
      <c r="C904" s="7"/>
      <c r="D904" s="7"/>
      <c r="E904" s="7"/>
      <c r="F904" s="7"/>
      <c r="G904" s="9"/>
      <c r="H904" s="9"/>
      <c r="J904" s="7"/>
      <c r="K904" s="7"/>
      <c r="L904" s="11"/>
      <c r="M904" s="11"/>
    </row>
    <row r="905" spans="2:13" ht="14.25" customHeight="1" x14ac:dyDescent="0.35">
      <c r="B905" s="7"/>
      <c r="C905" s="7"/>
      <c r="D905" s="7"/>
      <c r="E905" s="7"/>
      <c r="F905" s="7"/>
      <c r="G905" s="9"/>
      <c r="H905" s="9"/>
      <c r="J905" s="7"/>
      <c r="K905" s="7"/>
      <c r="L905" s="11"/>
      <c r="M905" s="11"/>
    </row>
    <row r="906" spans="2:13" ht="14.25" customHeight="1" x14ac:dyDescent="0.35">
      <c r="B906" s="7"/>
      <c r="C906" s="7"/>
      <c r="D906" s="7"/>
      <c r="E906" s="7"/>
      <c r="F906" s="7"/>
      <c r="G906" s="9"/>
      <c r="H906" s="9"/>
      <c r="J906" s="7"/>
      <c r="K906" s="7"/>
      <c r="L906" s="11"/>
      <c r="M906" s="11"/>
    </row>
    <row r="907" spans="2:13" ht="14.25" customHeight="1" x14ac:dyDescent="0.35">
      <c r="B907" s="7"/>
      <c r="C907" s="7"/>
      <c r="D907" s="7"/>
      <c r="E907" s="7"/>
      <c r="F907" s="7"/>
      <c r="G907" s="9"/>
      <c r="H907" s="9"/>
      <c r="J907" s="7"/>
      <c r="K907" s="7"/>
      <c r="L907" s="11"/>
      <c r="M907" s="11"/>
    </row>
    <row r="908" spans="2:13" ht="14.25" customHeight="1" x14ac:dyDescent="0.35">
      <c r="B908" s="7"/>
      <c r="C908" s="7"/>
      <c r="D908" s="7"/>
      <c r="E908" s="7"/>
      <c r="F908" s="7"/>
      <c r="G908" s="9"/>
      <c r="H908" s="9"/>
      <c r="J908" s="7"/>
      <c r="K908" s="7"/>
      <c r="L908" s="11"/>
      <c r="M908" s="11"/>
    </row>
    <row r="909" spans="2:13" ht="14.25" customHeight="1" x14ac:dyDescent="0.35">
      <c r="B909" s="7"/>
      <c r="C909" s="7"/>
      <c r="D909" s="7"/>
      <c r="E909" s="7"/>
      <c r="F909" s="7"/>
      <c r="G909" s="9"/>
      <c r="H909" s="9"/>
      <c r="J909" s="7"/>
      <c r="K909" s="7"/>
      <c r="L909" s="11"/>
      <c r="M909" s="11"/>
    </row>
    <row r="910" spans="2:13" ht="14.25" customHeight="1" x14ac:dyDescent="0.35">
      <c r="B910" s="7"/>
      <c r="C910" s="7"/>
      <c r="D910" s="7"/>
      <c r="E910" s="7"/>
      <c r="F910" s="7"/>
      <c r="G910" s="9"/>
      <c r="H910" s="9"/>
      <c r="J910" s="7"/>
      <c r="K910" s="7"/>
      <c r="L910" s="11"/>
      <c r="M910" s="11"/>
    </row>
    <row r="911" spans="2:13" ht="14.25" customHeight="1" x14ac:dyDescent="0.35">
      <c r="B911" s="7"/>
      <c r="C911" s="7"/>
      <c r="D911" s="7"/>
      <c r="E911" s="7"/>
      <c r="F911" s="7"/>
      <c r="G911" s="9"/>
      <c r="H911" s="9"/>
      <c r="J911" s="7"/>
      <c r="K911" s="7"/>
      <c r="L911" s="11"/>
      <c r="M911" s="11"/>
    </row>
    <row r="912" spans="2:13" ht="14.25" customHeight="1" x14ac:dyDescent="0.35">
      <c r="B912" s="7"/>
      <c r="C912" s="7"/>
      <c r="D912" s="7"/>
      <c r="E912" s="7"/>
      <c r="F912" s="7"/>
      <c r="G912" s="9"/>
      <c r="H912" s="9"/>
      <c r="J912" s="7"/>
      <c r="K912" s="7"/>
      <c r="L912" s="11"/>
      <c r="M912" s="11"/>
    </row>
    <row r="913" spans="2:13" ht="14.25" customHeight="1" x14ac:dyDescent="0.35">
      <c r="B913" s="7"/>
      <c r="C913" s="7"/>
      <c r="D913" s="7"/>
      <c r="E913" s="7"/>
      <c r="F913" s="7"/>
      <c r="G913" s="9"/>
      <c r="H913" s="9"/>
      <c r="J913" s="7"/>
      <c r="K913" s="7"/>
      <c r="L913" s="11"/>
      <c r="M913" s="11"/>
    </row>
    <row r="914" spans="2:13" ht="14.25" customHeight="1" x14ac:dyDescent="0.35">
      <c r="B914" s="7"/>
      <c r="C914" s="7"/>
      <c r="D914" s="7"/>
      <c r="E914" s="7"/>
      <c r="F914" s="7"/>
      <c r="G914" s="9"/>
      <c r="H914" s="9"/>
      <c r="J914" s="7"/>
      <c r="K914" s="7"/>
      <c r="L914" s="11"/>
      <c r="M914" s="11"/>
    </row>
    <row r="915" spans="2:13" ht="14.25" customHeight="1" x14ac:dyDescent="0.35">
      <c r="B915" s="7"/>
      <c r="C915" s="7"/>
      <c r="D915" s="7"/>
      <c r="E915" s="7"/>
      <c r="F915" s="7"/>
      <c r="G915" s="9"/>
      <c r="H915" s="9"/>
      <c r="J915" s="7"/>
      <c r="K915" s="7"/>
      <c r="L915" s="11"/>
      <c r="M915" s="11"/>
    </row>
    <row r="916" spans="2:13" ht="14.25" customHeight="1" x14ac:dyDescent="0.35">
      <c r="B916" s="7"/>
      <c r="C916" s="7"/>
      <c r="D916" s="7"/>
      <c r="E916" s="7"/>
      <c r="F916" s="7"/>
      <c r="G916" s="9"/>
      <c r="H916" s="9"/>
      <c r="J916" s="7"/>
      <c r="K916" s="7"/>
      <c r="L916" s="11"/>
      <c r="M916" s="11"/>
    </row>
    <row r="917" spans="2:13" ht="14.25" customHeight="1" x14ac:dyDescent="0.35">
      <c r="B917" s="7"/>
      <c r="C917" s="7"/>
      <c r="D917" s="7"/>
      <c r="E917" s="7"/>
      <c r="F917" s="7"/>
      <c r="G917" s="9"/>
      <c r="H917" s="9"/>
      <c r="J917" s="7"/>
      <c r="K917" s="7"/>
      <c r="L917" s="11"/>
      <c r="M917" s="11"/>
    </row>
    <row r="918" spans="2:13" ht="14.25" customHeight="1" x14ac:dyDescent="0.35">
      <c r="B918" s="7"/>
      <c r="C918" s="7"/>
      <c r="D918" s="7"/>
      <c r="E918" s="7"/>
      <c r="F918" s="7"/>
      <c r="G918" s="9"/>
      <c r="H918" s="9"/>
      <c r="J918" s="7"/>
      <c r="K918" s="7"/>
      <c r="L918" s="11"/>
      <c r="M918" s="11"/>
    </row>
    <row r="919" spans="2:13" ht="14.25" customHeight="1" x14ac:dyDescent="0.35">
      <c r="B919" s="7"/>
      <c r="C919" s="7"/>
      <c r="D919" s="7"/>
      <c r="E919" s="7"/>
      <c r="F919" s="7"/>
      <c r="G919" s="9"/>
      <c r="H919" s="9"/>
      <c r="J919" s="7"/>
      <c r="K919" s="7"/>
      <c r="L919" s="11"/>
      <c r="M919" s="11"/>
    </row>
    <row r="920" spans="2:13" ht="14.25" customHeight="1" x14ac:dyDescent="0.35">
      <c r="B920" s="7"/>
      <c r="C920" s="7"/>
      <c r="D920" s="7"/>
      <c r="E920" s="7"/>
      <c r="F920" s="7"/>
      <c r="G920" s="9"/>
      <c r="H920" s="9"/>
      <c r="J920" s="7"/>
      <c r="K920" s="7"/>
      <c r="L920" s="11"/>
      <c r="M920" s="11"/>
    </row>
    <row r="921" spans="2:13" ht="14.25" customHeight="1" x14ac:dyDescent="0.35">
      <c r="B921" s="7"/>
      <c r="C921" s="7"/>
      <c r="D921" s="7"/>
      <c r="E921" s="7"/>
      <c r="F921" s="7"/>
      <c r="G921" s="9"/>
      <c r="H921" s="9"/>
      <c r="J921" s="7"/>
      <c r="K921" s="7"/>
      <c r="L921" s="11"/>
      <c r="M921" s="11"/>
    </row>
    <row r="922" spans="2:13" ht="14.25" customHeight="1" x14ac:dyDescent="0.35">
      <c r="B922" s="7"/>
      <c r="C922" s="7"/>
      <c r="D922" s="7"/>
      <c r="E922" s="7"/>
      <c r="F922" s="7"/>
      <c r="G922" s="9"/>
      <c r="H922" s="9"/>
      <c r="J922" s="7"/>
      <c r="K922" s="7"/>
      <c r="L922" s="11"/>
      <c r="M922" s="11"/>
    </row>
    <row r="923" spans="2:13" ht="14.25" customHeight="1" x14ac:dyDescent="0.35">
      <c r="B923" s="7"/>
      <c r="C923" s="7"/>
      <c r="D923" s="7"/>
      <c r="E923" s="7"/>
      <c r="F923" s="7"/>
      <c r="G923" s="9"/>
      <c r="H923" s="9"/>
      <c r="J923" s="7"/>
      <c r="K923" s="7"/>
      <c r="L923" s="11"/>
      <c r="M923" s="11"/>
    </row>
    <row r="924" spans="2:13" ht="14.25" customHeight="1" x14ac:dyDescent="0.35">
      <c r="B924" s="7"/>
      <c r="C924" s="7"/>
      <c r="D924" s="7"/>
      <c r="E924" s="7"/>
      <c r="F924" s="7"/>
      <c r="G924" s="9"/>
      <c r="H924" s="9"/>
      <c r="J924" s="7"/>
      <c r="K924" s="7"/>
      <c r="L924" s="11"/>
      <c r="M924" s="11"/>
    </row>
    <row r="925" spans="2:13" ht="14.25" customHeight="1" x14ac:dyDescent="0.35">
      <c r="B925" s="7"/>
      <c r="C925" s="7"/>
      <c r="D925" s="7"/>
      <c r="E925" s="7"/>
      <c r="F925" s="7"/>
      <c r="G925" s="9"/>
      <c r="H925" s="9"/>
      <c r="J925" s="7"/>
      <c r="K925" s="7"/>
      <c r="L925" s="11"/>
      <c r="M925" s="11"/>
    </row>
    <row r="926" spans="2:13" ht="14.25" customHeight="1" x14ac:dyDescent="0.35">
      <c r="B926" s="7"/>
      <c r="C926" s="7"/>
      <c r="D926" s="7"/>
      <c r="E926" s="7"/>
      <c r="F926" s="7"/>
      <c r="G926" s="9"/>
      <c r="H926" s="9"/>
      <c r="J926" s="7"/>
      <c r="K926" s="7"/>
      <c r="L926" s="11"/>
      <c r="M926" s="11"/>
    </row>
    <row r="927" spans="2:13" ht="14.25" customHeight="1" x14ac:dyDescent="0.35">
      <c r="B927" s="7"/>
      <c r="C927" s="7"/>
      <c r="D927" s="7"/>
      <c r="E927" s="7"/>
      <c r="F927" s="7"/>
      <c r="G927" s="9"/>
      <c r="H927" s="9"/>
      <c r="J927" s="7"/>
      <c r="K927" s="7"/>
      <c r="L927" s="11"/>
      <c r="M927" s="11"/>
    </row>
    <row r="928" spans="2:13" ht="14.25" customHeight="1" x14ac:dyDescent="0.35">
      <c r="B928" s="7"/>
      <c r="C928" s="7"/>
      <c r="D928" s="7"/>
      <c r="E928" s="7"/>
      <c r="F928" s="7"/>
      <c r="G928" s="9"/>
      <c r="H928" s="9"/>
      <c r="J928" s="7"/>
      <c r="K928" s="7"/>
      <c r="L928" s="11"/>
      <c r="M928" s="11"/>
    </row>
    <row r="929" spans="2:13" ht="14.25" customHeight="1" x14ac:dyDescent="0.35">
      <c r="B929" s="7"/>
      <c r="C929" s="7"/>
      <c r="D929" s="7"/>
      <c r="E929" s="7"/>
      <c r="F929" s="7"/>
      <c r="G929" s="9"/>
      <c r="H929" s="9"/>
      <c r="J929" s="7"/>
      <c r="K929" s="7"/>
      <c r="L929" s="11"/>
      <c r="M929" s="11"/>
    </row>
    <row r="930" spans="2:13" ht="14.25" customHeight="1" x14ac:dyDescent="0.35">
      <c r="B930" s="7"/>
      <c r="C930" s="7"/>
      <c r="D930" s="7"/>
      <c r="E930" s="7"/>
      <c r="F930" s="7"/>
      <c r="G930" s="9"/>
      <c r="H930" s="9"/>
      <c r="J930" s="7"/>
      <c r="K930" s="7"/>
      <c r="L930" s="11"/>
      <c r="M930" s="11"/>
    </row>
    <row r="931" spans="2:13" ht="14.25" customHeight="1" x14ac:dyDescent="0.35">
      <c r="B931" s="7"/>
      <c r="C931" s="7"/>
      <c r="D931" s="7"/>
      <c r="E931" s="7"/>
      <c r="F931" s="7"/>
      <c r="G931" s="9"/>
      <c r="H931" s="9"/>
      <c r="J931" s="7"/>
      <c r="K931" s="7"/>
      <c r="L931" s="11"/>
      <c r="M931" s="11"/>
    </row>
    <row r="932" spans="2:13" ht="14.25" customHeight="1" x14ac:dyDescent="0.35">
      <c r="B932" s="7"/>
      <c r="C932" s="7"/>
      <c r="D932" s="7"/>
      <c r="E932" s="7"/>
      <c r="F932" s="7"/>
      <c r="G932" s="9"/>
      <c r="H932" s="9"/>
      <c r="J932" s="7"/>
      <c r="K932" s="7"/>
      <c r="L932" s="11"/>
      <c r="M932" s="11"/>
    </row>
    <row r="933" spans="2:13" ht="14.25" customHeight="1" x14ac:dyDescent="0.35">
      <c r="B933" s="7"/>
      <c r="C933" s="7"/>
      <c r="D933" s="7"/>
      <c r="E933" s="7"/>
      <c r="F933" s="7"/>
      <c r="G933" s="9"/>
      <c r="H933" s="9"/>
      <c r="J933" s="7"/>
      <c r="K933" s="7"/>
      <c r="L933" s="11"/>
      <c r="M933" s="11"/>
    </row>
    <row r="934" spans="2:13" ht="14.25" customHeight="1" x14ac:dyDescent="0.35">
      <c r="B934" s="7"/>
      <c r="C934" s="7"/>
      <c r="D934" s="7"/>
      <c r="E934" s="7"/>
      <c r="F934" s="7"/>
      <c r="G934" s="9"/>
      <c r="H934" s="9"/>
      <c r="J934" s="7"/>
      <c r="K934" s="7"/>
      <c r="L934" s="11"/>
      <c r="M934" s="11"/>
    </row>
    <row r="935" spans="2:13" ht="14.25" customHeight="1" x14ac:dyDescent="0.35">
      <c r="B935" s="7"/>
      <c r="C935" s="7"/>
      <c r="D935" s="7"/>
      <c r="E935" s="7"/>
      <c r="F935" s="7"/>
      <c r="G935" s="9"/>
      <c r="H935" s="9"/>
      <c r="J935" s="7"/>
      <c r="K935" s="7"/>
      <c r="L935" s="11"/>
      <c r="M935" s="11"/>
    </row>
    <row r="936" spans="2:13" ht="14.25" customHeight="1" x14ac:dyDescent="0.35">
      <c r="B936" s="7"/>
      <c r="C936" s="7"/>
      <c r="D936" s="7"/>
      <c r="E936" s="7"/>
      <c r="F936" s="7"/>
      <c r="G936" s="9"/>
      <c r="H936" s="9"/>
      <c r="J936" s="7"/>
      <c r="K936" s="7"/>
      <c r="L936" s="11"/>
      <c r="M936" s="11"/>
    </row>
    <row r="937" spans="2:13" ht="14.25" customHeight="1" x14ac:dyDescent="0.35">
      <c r="B937" s="7"/>
      <c r="C937" s="7"/>
      <c r="D937" s="7"/>
      <c r="E937" s="7"/>
      <c r="F937" s="7"/>
      <c r="G937" s="9"/>
      <c r="H937" s="9"/>
      <c r="J937" s="7"/>
      <c r="K937" s="7"/>
      <c r="L937" s="11"/>
      <c r="M937" s="11"/>
    </row>
    <row r="938" spans="2:13" ht="14.25" customHeight="1" x14ac:dyDescent="0.35">
      <c r="B938" s="7"/>
      <c r="C938" s="7"/>
      <c r="D938" s="7"/>
      <c r="E938" s="7"/>
      <c r="F938" s="7"/>
      <c r="G938" s="9"/>
      <c r="H938" s="9"/>
      <c r="J938" s="7"/>
      <c r="K938" s="7"/>
      <c r="L938" s="11"/>
      <c r="M938" s="11"/>
    </row>
    <row r="939" spans="2:13" ht="14.25" customHeight="1" x14ac:dyDescent="0.35">
      <c r="B939" s="7"/>
      <c r="C939" s="7"/>
      <c r="D939" s="7"/>
      <c r="E939" s="7"/>
      <c r="F939" s="7"/>
      <c r="G939" s="9"/>
      <c r="H939" s="9"/>
      <c r="J939" s="7"/>
      <c r="K939" s="7"/>
      <c r="L939" s="11"/>
      <c r="M939" s="11"/>
    </row>
    <row r="940" spans="2:13" ht="14.25" customHeight="1" x14ac:dyDescent="0.35">
      <c r="B940" s="7"/>
      <c r="C940" s="7"/>
      <c r="D940" s="7"/>
      <c r="E940" s="7"/>
      <c r="F940" s="7"/>
      <c r="G940" s="9"/>
      <c r="H940" s="9"/>
      <c r="J940" s="7"/>
      <c r="K940" s="7"/>
      <c r="L940" s="11"/>
      <c r="M940" s="11"/>
    </row>
    <row r="941" spans="2:13" ht="14.25" customHeight="1" x14ac:dyDescent="0.35">
      <c r="B941" s="7"/>
      <c r="C941" s="7"/>
      <c r="D941" s="7"/>
      <c r="E941" s="7"/>
      <c r="F941" s="7"/>
      <c r="G941" s="9"/>
      <c r="H941" s="9"/>
      <c r="J941" s="7"/>
      <c r="K941" s="7"/>
      <c r="L941" s="11"/>
      <c r="M941" s="11"/>
    </row>
    <row r="942" spans="2:13" ht="14.25" customHeight="1" x14ac:dyDescent="0.35">
      <c r="B942" s="7"/>
      <c r="C942" s="7"/>
      <c r="D942" s="7"/>
      <c r="E942" s="7"/>
      <c r="F942" s="7"/>
      <c r="G942" s="9"/>
      <c r="H942" s="9"/>
      <c r="J942" s="7"/>
      <c r="K942" s="7"/>
      <c r="L942" s="11"/>
      <c r="M942" s="11"/>
    </row>
    <row r="943" spans="2:13" ht="14.25" customHeight="1" x14ac:dyDescent="0.35">
      <c r="B943" s="7"/>
      <c r="C943" s="7"/>
      <c r="D943" s="7"/>
      <c r="E943" s="7"/>
      <c r="F943" s="7"/>
      <c r="G943" s="9"/>
      <c r="H943" s="9"/>
      <c r="J943" s="7"/>
      <c r="K943" s="7"/>
      <c r="L943" s="11"/>
      <c r="M943" s="11"/>
    </row>
    <row r="944" spans="2:13" ht="14.25" customHeight="1" x14ac:dyDescent="0.35">
      <c r="B944" s="7"/>
      <c r="C944" s="7"/>
      <c r="D944" s="7"/>
      <c r="E944" s="7"/>
      <c r="F944" s="7"/>
      <c r="G944" s="9"/>
      <c r="H944" s="9"/>
      <c r="J944" s="7"/>
      <c r="K944" s="7"/>
      <c r="L944" s="11"/>
      <c r="M944" s="11"/>
    </row>
    <row r="945" spans="2:13" ht="14.25" customHeight="1" x14ac:dyDescent="0.35">
      <c r="B945" s="7"/>
      <c r="C945" s="7"/>
      <c r="D945" s="7"/>
      <c r="E945" s="7"/>
      <c r="F945" s="7"/>
      <c r="G945" s="9"/>
      <c r="H945" s="9"/>
      <c r="J945" s="7"/>
      <c r="K945" s="7"/>
      <c r="L945" s="11"/>
      <c r="M945" s="11"/>
    </row>
    <row r="946" spans="2:13" ht="14.25" customHeight="1" x14ac:dyDescent="0.35">
      <c r="B946" s="7"/>
      <c r="C946" s="7"/>
      <c r="D946" s="7"/>
      <c r="E946" s="7"/>
      <c r="F946" s="7"/>
      <c r="G946" s="9"/>
      <c r="H946" s="9"/>
      <c r="J946" s="7"/>
      <c r="K946" s="7"/>
      <c r="L946" s="11"/>
      <c r="M946" s="11"/>
    </row>
    <row r="947" spans="2:13" ht="14.25" customHeight="1" x14ac:dyDescent="0.35">
      <c r="B947" s="7"/>
      <c r="C947" s="7"/>
      <c r="D947" s="7"/>
      <c r="E947" s="7"/>
      <c r="F947" s="7"/>
      <c r="G947" s="9"/>
      <c r="H947" s="9"/>
      <c r="J947" s="7"/>
      <c r="K947" s="7"/>
      <c r="L947" s="11"/>
      <c r="M947" s="11"/>
    </row>
    <row r="948" spans="2:13" ht="14.25" customHeight="1" x14ac:dyDescent="0.35">
      <c r="B948" s="7"/>
      <c r="C948" s="7"/>
      <c r="D948" s="7"/>
      <c r="E948" s="7"/>
      <c r="F948" s="7"/>
      <c r="G948" s="9"/>
      <c r="H948" s="9"/>
      <c r="J948" s="7"/>
      <c r="K948" s="7"/>
      <c r="L948" s="11"/>
      <c r="M948" s="11"/>
    </row>
    <row r="949" spans="2:13" ht="14.25" customHeight="1" x14ac:dyDescent="0.35">
      <c r="B949" s="7"/>
      <c r="C949" s="7"/>
      <c r="D949" s="7"/>
      <c r="E949" s="7"/>
      <c r="F949" s="7"/>
      <c r="G949" s="9"/>
      <c r="H949" s="9"/>
      <c r="J949" s="7"/>
      <c r="K949" s="7"/>
      <c r="L949" s="11"/>
      <c r="M949" s="11"/>
    </row>
    <row r="950" spans="2:13" ht="14.25" customHeight="1" x14ac:dyDescent="0.35">
      <c r="B950" s="7"/>
      <c r="C950" s="7"/>
      <c r="D950" s="7"/>
      <c r="E950" s="7"/>
      <c r="F950" s="7"/>
      <c r="G950" s="9"/>
      <c r="H950" s="9"/>
      <c r="J950" s="7"/>
      <c r="K950" s="7"/>
      <c r="L950" s="11"/>
      <c r="M950" s="11"/>
    </row>
    <row r="951" spans="2:13" ht="14.25" customHeight="1" x14ac:dyDescent="0.35">
      <c r="B951" s="7"/>
      <c r="C951" s="7"/>
      <c r="D951" s="7"/>
      <c r="E951" s="7"/>
      <c r="F951" s="7"/>
      <c r="G951" s="9"/>
      <c r="H951" s="9"/>
      <c r="J951" s="7"/>
      <c r="K951" s="7"/>
      <c r="L951" s="11"/>
      <c r="M951" s="11"/>
    </row>
    <row r="952" spans="2:13" ht="14.25" customHeight="1" x14ac:dyDescent="0.35">
      <c r="B952" s="7"/>
      <c r="C952" s="7"/>
      <c r="D952" s="7"/>
      <c r="E952" s="7"/>
      <c r="F952" s="7"/>
      <c r="G952" s="9"/>
      <c r="H952" s="9"/>
      <c r="J952" s="7"/>
      <c r="K952" s="7"/>
      <c r="L952" s="11"/>
      <c r="M952" s="11"/>
    </row>
    <row r="953" spans="2:13" ht="14.25" customHeight="1" x14ac:dyDescent="0.35">
      <c r="B953" s="7"/>
      <c r="C953" s="7"/>
      <c r="D953" s="7"/>
      <c r="E953" s="7"/>
      <c r="F953" s="7"/>
      <c r="G953" s="9"/>
      <c r="H953" s="9"/>
      <c r="J953" s="7"/>
      <c r="K953" s="7"/>
      <c r="L953" s="11"/>
      <c r="M953" s="11"/>
    </row>
    <row r="954" spans="2:13" ht="14.25" customHeight="1" x14ac:dyDescent="0.35">
      <c r="B954" s="7"/>
      <c r="C954" s="7"/>
      <c r="D954" s="7"/>
      <c r="E954" s="7"/>
      <c r="F954" s="7"/>
      <c r="G954" s="9"/>
      <c r="H954" s="9"/>
      <c r="J954" s="7"/>
      <c r="K954" s="7"/>
      <c r="L954" s="11"/>
      <c r="M954" s="11"/>
    </row>
    <row r="955" spans="2:13" ht="14.25" customHeight="1" x14ac:dyDescent="0.35">
      <c r="B955" s="7"/>
      <c r="C955" s="7"/>
      <c r="D955" s="7"/>
      <c r="E955" s="7"/>
      <c r="F955" s="7"/>
      <c r="G955" s="9"/>
      <c r="H955" s="9"/>
      <c r="J955" s="7"/>
      <c r="K955" s="7"/>
      <c r="L955" s="11"/>
      <c r="M955" s="11"/>
    </row>
    <row r="956" spans="2:13" ht="14.25" customHeight="1" x14ac:dyDescent="0.35">
      <c r="B956" s="7"/>
      <c r="C956" s="7"/>
      <c r="D956" s="7"/>
      <c r="E956" s="7"/>
      <c r="F956" s="7"/>
      <c r="G956" s="9"/>
      <c r="H956" s="9"/>
      <c r="J956" s="7"/>
      <c r="K956" s="7"/>
      <c r="L956" s="11"/>
      <c r="M956" s="11"/>
    </row>
    <row r="957" spans="2:13" ht="14.25" customHeight="1" x14ac:dyDescent="0.35">
      <c r="B957" s="7"/>
      <c r="C957" s="7"/>
      <c r="D957" s="7"/>
      <c r="E957" s="7"/>
      <c r="F957" s="7"/>
      <c r="G957" s="9"/>
      <c r="H957" s="9"/>
      <c r="J957" s="7"/>
      <c r="K957" s="7"/>
      <c r="L957" s="11"/>
      <c r="M957" s="11"/>
    </row>
    <row r="958" spans="2:13" ht="14.25" customHeight="1" x14ac:dyDescent="0.35">
      <c r="B958" s="7"/>
      <c r="C958" s="7"/>
      <c r="D958" s="7"/>
      <c r="E958" s="7"/>
      <c r="F958" s="7"/>
      <c r="G958" s="9"/>
      <c r="H958" s="9"/>
      <c r="J958" s="7"/>
      <c r="K958" s="7"/>
      <c r="L958" s="11"/>
      <c r="M958" s="11"/>
    </row>
    <row r="959" spans="2:13" ht="14.25" customHeight="1" x14ac:dyDescent="0.35">
      <c r="B959" s="7"/>
      <c r="C959" s="7"/>
      <c r="D959" s="7"/>
      <c r="E959" s="7"/>
      <c r="F959" s="7"/>
      <c r="G959" s="9"/>
      <c r="H959" s="9"/>
      <c r="J959" s="7"/>
      <c r="K959" s="7"/>
      <c r="L959" s="11"/>
      <c r="M959" s="11"/>
    </row>
    <row r="960" spans="2:13" ht="14.25" customHeight="1" x14ac:dyDescent="0.35">
      <c r="B960" s="7"/>
      <c r="C960" s="7"/>
      <c r="D960" s="7"/>
      <c r="E960" s="7"/>
      <c r="F960" s="7"/>
      <c r="G960" s="9"/>
      <c r="H960" s="9"/>
      <c r="J960" s="7"/>
      <c r="K960" s="7"/>
      <c r="L960" s="11"/>
      <c r="M960" s="11"/>
    </row>
    <row r="961" spans="2:13" ht="14.25" customHeight="1" x14ac:dyDescent="0.35">
      <c r="B961" s="7"/>
      <c r="C961" s="7"/>
      <c r="D961" s="7"/>
      <c r="E961" s="7"/>
      <c r="F961" s="7"/>
      <c r="G961" s="9"/>
      <c r="H961" s="9"/>
      <c r="J961" s="7"/>
      <c r="K961" s="7"/>
      <c r="L961" s="11"/>
      <c r="M961" s="11"/>
    </row>
    <row r="962" spans="2:13" ht="14.25" customHeight="1" x14ac:dyDescent="0.35">
      <c r="B962" s="7"/>
      <c r="C962" s="7"/>
      <c r="D962" s="7"/>
      <c r="E962" s="7"/>
      <c r="F962" s="7"/>
      <c r="G962" s="9"/>
      <c r="H962" s="9"/>
      <c r="J962" s="7"/>
      <c r="K962" s="7"/>
      <c r="L962" s="11"/>
      <c r="M962" s="11"/>
    </row>
    <row r="963" spans="2:13" ht="14.25" customHeight="1" x14ac:dyDescent="0.35">
      <c r="B963" s="7"/>
      <c r="C963" s="7"/>
      <c r="D963" s="7"/>
      <c r="E963" s="7"/>
      <c r="F963" s="7"/>
      <c r="G963" s="9"/>
      <c r="H963" s="9"/>
      <c r="J963" s="7"/>
      <c r="K963" s="7"/>
      <c r="L963" s="11"/>
      <c r="M963" s="11"/>
    </row>
    <row r="964" spans="2:13" ht="14.25" customHeight="1" x14ac:dyDescent="0.35">
      <c r="B964" s="7"/>
      <c r="C964" s="7"/>
      <c r="D964" s="7"/>
      <c r="E964" s="7"/>
      <c r="F964" s="7"/>
      <c r="G964" s="9"/>
      <c r="H964" s="9"/>
      <c r="J964" s="7"/>
      <c r="K964" s="7"/>
      <c r="L964" s="11"/>
      <c r="M964" s="11"/>
    </row>
    <row r="965" spans="2:13" ht="14.25" customHeight="1" x14ac:dyDescent="0.35">
      <c r="B965" s="7"/>
      <c r="C965" s="7"/>
      <c r="D965" s="7"/>
      <c r="E965" s="7"/>
      <c r="F965" s="7"/>
      <c r="G965" s="9"/>
      <c r="H965" s="9"/>
      <c r="J965" s="7"/>
      <c r="K965" s="7"/>
      <c r="L965" s="11"/>
      <c r="M965" s="11"/>
    </row>
    <row r="966" spans="2:13" ht="14.25" customHeight="1" x14ac:dyDescent="0.35">
      <c r="B966" s="7"/>
      <c r="C966" s="7"/>
      <c r="D966" s="7"/>
      <c r="E966" s="7"/>
      <c r="F966" s="7"/>
      <c r="G966" s="9"/>
      <c r="H966" s="9"/>
      <c r="J966" s="7"/>
      <c r="K966" s="7"/>
      <c r="L966" s="11"/>
      <c r="M966" s="11"/>
    </row>
    <row r="967" spans="2:13" ht="14.25" customHeight="1" x14ac:dyDescent="0.35">
      <c r="B967" s="7"/>
      <c r="C967" s="7"/>
      <c r="D967" s="7"/>
      <c r="E967" s="7"/>
      <c r="F967" s="7"/>
      <c r="G967" s="9"/>
      <c r="H967" s="9"/>
      <c r="J967" s="7"/>
      <c r="K967" s="7"/>
      <c r="L967" s="11"/>
      <c r="M967" s="11"/>
    </row>
    <row r="968" spans="2:13" ht="14.25" customHeight="1" x14ac:dyDescent="0.35">
      <c r="B968" s="7"/>
      <c r="C968" s="7"/>
      <c r="D968" s="7"/>
      <c r="E968" s="7"/>
      <c r="F968" s="7"/>
      <c r="G968" s="9"/>
      <c r="H968" s="9"/>
      <c r="J968" s="7"/>
      <c r="K968" s="7"/>
      <c r="L968" s="11"/>
      <c r="M968" s="11"/>
    </row>
    <row r="969" spans="2:13" ht="14.25" customHeight="1" x14ac:dyDescent="0.35">
      <c r="B969" s="7"/>
      <c r="C969" s="7"/>
      <c r="D969" s="7"/>
      <c r="E969" s="7"/>
      <c r="F969" s="7"/>
      <c r="G969" s="9"/>
      <c r="H969" s="9"/>
      <c r="J969" s="7"/>
      <c r="K969" s="7"/>
      <c r="L969" s="11"/>
      <c r="M969" s="11"/>
    </row>
    <row r="970" spans="2:13" ht="14.25" customHeight="1" x14ac:dyDescent="0.35">
      <c r="B970" s="7"/>
      <c r="C970" s="7"/>
      <c r="D970" s="7"/>
      <c r="E970" s="7"/>
      <c r="F970" s="7"/>
      <c r="G970" s="9"/>
      <c r="H970" s="9"/>
      <c r="J970" s="7"/>
      <c r="K970" s="7"/>
      <c r="L970" s="11"/>
      <c r="M970" s="11"/>
    </row>
    <row r="971" spans="2:13" ht="14.25" customHeight="1" x14ac:dyDescent="0.35">
      <c r="B971" s="7"/>
      <c r="C971" s="7"/>
      <c r="D971" s="7"/>
      <c r="E971" s="7"/>
      <c r="F971" s="7"/>
      <c r="G971" s="9"/>
      <c r="H971" s="9"/>
      <c r="J971" s="7"/>
      <c r="K971" s="7"/>
      <c r="L971" s="11"/>
      <c r="M971" s="11"/>
    </row>
    <row r="972" spans="2:13" ht="14.25" customHeight="1" x14ac:dyDescent="0.35">
      <c r="B972" s="7"/>
      <c r="C972" s="7"/>
      <c r="D972" s="7"/>
      <c r="E972" s="7"/>
      <c r="F972" s="7"/>
      <c r="G972" s="9"/>
      <c r="H972" s="9"/>
      <c r="J972" s="7"/>
      <c r="K972" s="7"/>
      <c r="L972" s="11"/>
      <c r="M972" s="11"/>
    </row>
    <row r="973" spans="2:13" ht="14.25" customHeight="1" x14ac:dyDescent="0.35">
      <c r="B973" s="7"/>
      <c r="C973" s="7"/>
      <c r="D973" s="7"/>
      <c r="E973" s="7"/>
      <c r="F973" s="7"/>
      <c r="G973" s="9"/>
      <c r="H973" s="9"/>
      <c r="J973" s="7"/>
      <c r="K973" s="7"/>
      <c r="L973" s="11"/>
      <c r="M973" s="11"/>
    </row>
    <row r="974" spans="2:13" ht="14.25" customHeight="1" x14ac:dyDescent="0.35">
      <c r="B974" s="7"/>
      <c r="C974" s="7"/>
      <c r="D974" s="7"/>
      <c r="E974" s="7"/>
      <c r="F974" s="7"/>
      <c r="G974" s="9"/>
      <c r="H974" s="9"/>
      <c r="J974" s="7"/>
      <c r="K974" s="7"/>
      <c r="L974" s="11"/>
      <c r="M974" s="11"/>
    </row>
    <row r="975" spans="2:13" ht="14.25" customHeight="1" x14ac:dyDescent="0.35">
      <c r="B975" s="7"/>
      <c r="C975" s="7"/>
      <c r="D975" s="7"/>
      <c r="E975" s="7"/>
      <c r="F975" s="7"/>
      <c r="G975" s="9"/>
      <c r="H975" s="9"/>
      <c r="J975" s="7"/>
      <c r="K975" s="7"/>
      <c r="L975" s="11"/>
      <c r="M975" s="11"/>
    </row>
    <row r="976" spans="2:13" ht="14.25" customHeight="1" x14ac:dyDescent="0.35">
      <c r="B976" s="7"/>
      <c r="C976" s="7"/>
      <c r="D976" s="7"/>
      <c r="E976" s="7"/>
      <c r="F976" s="7"/>
      <c r="G976" s="9"/>
      <c r="H976" s="9"/>
      <c r="J976" s="7"/>
      <c r="K976" s="7"/>
      <c r="L976" s="11"/>
      <c r="M976" s="11"/>
    </row>
    <row r="977" spans="2:13" ht="14.25" customHeight="1" x14ac:dyDescent="0.35">
      <c r="B977" s="7"/>
      <c r="C977" s="7"/>
      <c r="D977" s="7"/>
      <c r="E977" s="7"/>
      <c r="F977" s="7"/>
      <c r="G977" s="9"/>
      <c r="H977" s="9"/>
      <c r="J977" s="7"/>
      <c r="K977" s="7"/>
      <c r="L977" s="11"/>
      <c r="M977" s="11"/>
    </row>
    <row r="978" spans="2:13" ht="14.25" customHeight="1" x14ac:dyDescent="0.35">
      <c r="B978" s="7"/>
      <c r="C978" s="7"/>
      <c r="D978" s="7"/>
      <c r="E978" s="7"/>
      <c r="F978" s="7"/>
      <c r="G978" s="9"/>
      <c r="H978" s="9"/>
      <c r="J978" s="7"/>
      <c r="K978" s="7"/>
      <c r="L978" s="11"/>
      <c r="M978" s="11"/>
    </row>
    <row r="979" spans="2:13" ht="14.25" customHeight="1" x14ac:dyDescent="0.35">
      <c r="B979" s="7"/>
      <c r="C979" s="7"/>
      <c r="D979" s="7"/>
      <c r="E979" s="7"/>
      <c r="F979" s="7"/>
      <c r="G979" s="9"/>
      <c r="H979" s="9"/>
      <c r="J979" s="7"/>
      <c r="K979" s="7"/>
      <c r="L979" s="11"/>
      <c r="M979" s="11"/>
    </row>
    <row r="980" spans="2:13" ht="14.25" customHeight="1" x14ac:dyDescent="0.35">
      <c r="B980" s="7"/>
      <c r="C980" s="7"/>
      <c r="D980" s="7"/>
      <c r="E980" s="7"/>
      <c r="F980" s="7"/>
      <c r="G980" s="9"/>
      <c r="H980" s="9"/>
      <c r="J980" s="7"/>
      <c r="K980" s="7"/>
      <c r="L980" s="11"/>
      <c r="M980" s="11"/>
    </row>
    <row r="981" spans="2:13" ht="14.25" customHeight="1" x14ac:dyDescent="0.35">
      <c r="B981" s="7"/>
      <c r="C981" s="7"/>
      <c r="D981" s="7"/>
      <c r="E981" s="7"/>
      <c r="F981" s="7"/>
      <c r="G981" s="9"/>
      <c r="H981" s="9"/>
      <c r="J981" s="7"/>
      <c r="K981" s="7"/>
      <c r="L981" s="11"/>
      <c r="M981" s="11"/>
    </row>
    <row r="982" spans="2:13" ht="14.25" customHeight="1" x14ac:dyDescent="0.35">
      <c r="B982" s="7"/>
      <c r="C982" s="7"/>
      <c r="D982" s="7"/>
      <c r="E982" s="7"/>
      <c r="F982" s="7"/>
      <c r="G982" s="9"/>
      <c r="H982" s="9"/>
      <c r="J982" s="7"/>
      <c r="K982" s="7"/>
      <c r="L982" s="11"/>
      <c r="M982" s="11"/>
    </row>
    <row r="983" spans="2:13" ht="14.25" customHeight="1" x14ac:dyDescent="0.35">
      <c r="B983" s="7"/>
      <c r="C983" s="7"/>
      <c r="D983" s="7"/>
      <c r="E983" s="7"/>
      <c r="F983" s="7"/>
      <c r="G983" s="9"/>
      <c r="H983" s="9"/>
      <c r="J983" s="7"/>
      <c r="K983" s="7"/>
      <c r="L983" s="11"/>
      <c r="M983" s="11"/>
    </row>
    <row r="984" spans="2:13" ht="14.25" customHeight="1" x14ac:dyDescent="0.35">
      <c r="B984" s="7"/>
      <c r="C984" s="7"/>
      <c r="D984" s="7"/>
      <c r="E984" s="7"/>
      <c r="F984" s="7"/>
      <c r="G984" s="9"/>
      <c r="H984" s="9"/>
      <c r="J984" s="7"/>
      <c r="K984" s="7"/>
      <c r="L984" s="11"/>
      <c r="M984" s="11"/>
    </row>
    <row r="985" spans="2:13" ht="14.25" customHeight="1" x14ac:dyDescent="0.35">
      <c r="B985" s="7"/>
      <c r="C985" s="7"/>
      <c r="D985" s="7"/>
      <c r="E985" s="7"/>
      <c r="F985" s="7"/>
      <c r="G985" s="9"/>
      <c r="H985" s="9"/>
      <c r="J985" s="7"/>
      <c r="K985" s="7"/>
      <c r="L985" s="11"/>
      <c r="M985" s="11"/>
    </row>
    <row r="986" spans="2:13" ht="14.25" customHeight="1" x14ac:dyDescent="0.35">
      <c r="B986" s="7"/>
      <c r="C986" s="7"/>
      <c r="D986" s="7"/>
      <c r="E986" s="7"/>
      <c r="F986" s="7"/>
      <c r="G986" s="9"/>
      <c r="H986" s="9"/>
      <c r="J986" s="7"/>
      <c r="K986" s="7"/>
      <c r="L986" s="11"/>
      <c r="M986" s="11"/>
    </row>
    <row r="987" spans="2:13" ht="14.25" customHeight="1" x14ac:dyDescent="0.35">
      <c r="B987" s="7"/>
      <c r="C987" s="7"/>
      <c r="D987" s="7"/>
      <c r="E987" s="7"/>
      <c r="F987" s="7"/>
      <c r="G987" s="9"/>
      <c r="H987" s="9"/>
      <c r="J987" s="7"/>
      <c r="K987" s="7"/>
      <c r="L987" s="11"/>
      <c r="M987" s="11"/>
    </row>
    <row r="988" spans="2:13" ht="14.25" customHeight="1" x14ac:dyDescent="0.35">
      <c r="B988" s="7"/>
      <c r="C988" s="7"/>
      <c r="D988" s="7"/>
      <c r="E988" s="7"/>
      <c r="F988" s="7"/>
      <c r="G988" s="9"/>
      <c r="H988" s="9"/>
      <c r="J988" s="7"/>
      <c r="K988" s="7"/>
      <c r="L988" s="11"/>
      <c r="M988" s="11"/>
    </row>
    <row r="989" spans="2:13" ht="14.25" customHeight="1" x14ac:dyDescent="0.35">
      <c r="B989" s="7"/>
      <c r="C989" s="7"/>
      <c r="D989" s="7"/>
      <c r="E989" s="7"/>
      <c r="F989" s="7"/>
      <c r="G989" s="9"/>
      <c r="H989" s="9"/>
      <c r="J989" s="7"/>
      <c r="K989" s="7"/>
      <c r="L989" s="11"/>
      <c r="M989" s="11"/>
    </row>
    <row r="990" spans="2:13" ht="14.25" customHeight="1" x14ac:dyDescent="0.35">
      <c r="B990" s="7"/>
      <c r="C990" s="7"/>
      <c r="D990" s="7"/>
      <c r="E990" s="7"/>
      <c r="F990" s="7"/>
      <c r="G990" s="9"/>
      <c r="H990" s="9"/>
      <c r="J990" s="7"/>
      <c r="K990" s="7"/>
      <c r="L990" s="11"/>
      <c r="M990" s="11"/>
    </row>
    <row r="991" spans="2:13" ht="14.25" customHeight="1" x14ac:dyDescent="0.35">
      <c r="B991" s="7"/>
      <c r="C991" s="7"/>
      <c r="D991" s="7"/>
      <c r="E991" s="7"/>
      <c r="F991" s="7"/>
      <c r="G991" s="9"/>
      <c r="H991" s="9"/>
      <c r="J991" s="7"/>
      <c r="K991" s="7"/>
      <c r="L991" s="11"/>
      <c r="M991" s="11"/>
    </row>
    <row r="992" spans="2:13" ht="14.25" customHeight="1" x14ac:dyDescent="0.35">
      <c r="B992" s="7"/>
      <c r="C992" s="7"/>
      <c r="D992" s="7"/>
      <c r="E992" s="7"/>
      <c r="F992" s="7"/>
      <c r="G992" s="9"/>
      <c r="H992" s="9"/>
      <c r="J992" s="7"/>
      <c r="K992" s="7"/>
      <c r="L992" s="11"/>
      <c r="M992" s="11"/>
    </row>
    <row r="993" spans="2:13" ht="14.25" customHeight="1" x14ac:dyDescent="0.35">
      <c r="B993" s="7"/>
      <c r="C993" s="7"/>
      <c r="D993" s="7"/>
      <c r="E993" s="7"/>
      <c r="F993" s="7"/>
      <c r="G993" s="9"/>
      <c r="H993" s="9"/>
      <c r="J993" s="7"/>
      <c r="K993" s="7"/>
      <c r="L993" s="11"/>
      <c r="M993" s="11"/>
    </row>
    <row r="994" spans="2:13" ht="14.25" customHeight="1" x14ac:dyDescent="0.35">
      <c r="B994" s="7"/>
      <c r="C994" s="7"/>
      <c r="D994" s="7"/>
      <c r="E994" s="7"/>
      <c r="F994" s="7"/>
      <c r="G994" s="9"/>
      <c r="H994" s="9"/>
      <c r="J994" s="7"/>
      <c r="K994" s="7"/>
      <c r="L994" s="11"/>
      <c r="M994" s="11"/>
    </row>
    <row r="995" spans="2:13" ht="14.25" customHeight="1" x14ac:dyDescent="0.35">
      <c r="B995" s="7"/>
      <c r="C995" s="7"/>
      <c r="D995" s="7"/>
      <c r="E995" s="7"/>
      <c r="F995" s="7"/>
      <c r="G995" s="9"/>
      <c r="H995" s="9"/>
      <c r="J995" s="7"/>
      <c r="K995" s="7"/>
      <c r="L995" s="11"/>
      <c r="M995" s="11"/>
    </row>
    <row r="996" spans="2:13" ht="14.25" customHeight="1" x14ac:dyDescent="0.35">
      <c r="B996" s="7"/>
      <c r="C996" s="7"/>
      <c r="D996" s="7"/>
      <c r="E996" s="7"/>
      <c r="F996" s="7"/>
      <c r="G996" s="9"/>
      <c r="H996" s="9"/>
      <c r="J996" s="7"/>
      <c r="K996" s="7"/>
      <c r="L996" s="11"/>
      <c r="M996" s="11"/>
    </row>
    <row r="997" spans="2:13" ht="14.25" customHeight="1" x14ac:dyDescent="0.35">
      <c r="B997" s="7"/>
      <c r="C997" s="7"/>
      <c r="D997" s="7"/>
      <c r="E997" s="7"/>
      <c r="F997" s="7"/>
      <c r="G997" s="9"/>
      <c r="H997" s="9"/>
      <c r="J997" s="7"/>
      <c r="K997" s="7"/>
      <c r="L997" s="11"/>
      <c r="M997" s="11"/>
    </row>
    <row r="998" spans="2:13" ht="14.25" customHeight="1" x14ac:dyDescent="0.35">
      <c r="B998" s="7"/>
      <c r="C998" s="7"/>
      <c r="D998" s="7"/>
      <c r="E998" s="7"/>
      <c r="F998" s="7"/>
      <c r="G998" s="9"/>
      <c r="H998" s="9"/>
      <c r="J998" s="7"/>
      <c r="K998" s="7"/>
      <c r="L998" s="11"/>
      <c r="M998" s="11"/>
    </row>
    <row r="999" spans="2:13" ht="14.25" customHeight="1" x14ac:dyDescent="0.35">
      <c r="B999" s="7"/>
      <c r="C999" s="7"/>
      <c r="D999" s="7"/>
      <c r="E999" s="7"/>
      <c r="F999" s="7"/>
      <c r="G999" s="9"/>
      <c r="H999" s="9"/>
      <c r="J999" s="7"/>
      <c r="K999" s="7"/>
      <c r="L999" s="11"/>
      <c r="M999" s="11"/>
    </row>
    <row r="1000" spans="2:13" ht="14.25" customHeight="1" x14ac:dyDescent="0.35">
      <c r="B1000" s="7"/>
      <c r="C1000" s="7"/>
      <c r="D1000" s="7"/>
      <c r="E1000" s="7"/>
      <c r="F1000" s="7"/>
      <c r="G1000" s="9"/>
      <c r="H1000" s="9"/>
      <c r="J1000" s="7"/>
      <c r="K1000" s="7"/>
      <c r="L1000" s="11"/>
      <c r="M1000" s="11"/>
    </row>
  </sheetData>
  <conditionalFormatting sqref="A2:H24 I2:I23 J2:L24">
    <cfRule type="expression" dxfId="3" priority="3">
      <formula>MOD(ROW($A2),2)=1</formula>
    </cfRule>
  </conditionalFormatting>
  <conditionalFormatting sqref="I2:J12">
    <cfRule type="expression" dxfId="2" priority="16">
      <formula>AND($H2&lt;&gt;"",I2&lt;$AA$1)</formula>
    </cfRule>
  </conditionalFormatting>
  <conditionalFormatting sqref="M2:M24">
    <cfRule type="expression" dxfId="1" priority="1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4999"/>
  <sheetViews>
    <sheetView zoomScaleNormal="100" workbookViewId="0">
      <pane ySplit="1" topLeftCell="A474" activePane="bottomLeft" state="frozen"/>
      <selection activeCell="D47" sqref="D47"/>
      <selection pane="bottomLeft" activeCell="D47" sqref="D47"/>
    </sheetView>
  </sheetViews>
  <sheetFormatPr defaultColWidth="14.453125" defaultRowHeight="14.5" x14ac:dyDescent="0.35"/>
  <cols>
    <col min="1" max="1" width="52.81640625" customWidth="1"/>
    <col min="2" max="2" width="14.81640625" customWidth="1"/>
    <col min="3" max="4" width="8.7265625" customWidth="1"/>
    <col min="5" max="5" width="9.81640625" customWidth="1"/>
    <col min="6" max="6" width="11.81640625" customWidth="1"/>
    <col min="7" max="7" width="48.08984375" customWidth="1"/>
    <col min="8" max="8" width="44.7265625" customWidth="1"/>
    <col min="9" max="9" width="12.81640625" customWidth="1"/>
    <col min="10" max="10" width="18" customWidth="1"/>
  </cols>
  <sheetData>
    <row r="1" spans="1:10" ht="14.25" customHeight="1" x14ac:dyDescent="0.35">
      <c r="A1" s="25" t="s">
        <v>94</v>
      </c>
      <c r="B1" s="26" t="s">
        <v>95</v>
      </c>
      <c r="C1" s="26" t="s">
        <v>96</v>
      </c>
      <c r="D1" s="26" t="s">
        <v>97</v>
      </c>
      <c r="E1" s="27" t="s">
        <v>98</v>
      </c>
      <c r="F1" s="28" t="s">
        <v>99</v>
      </c>
      <c r="G1" s="29" t="s">
        <v>100</v>
      </c>
      <c r="H1" s="29" t="s">
        <v>101</v>
      </c>
      <c r="I1" s="29" t="s">
        <v>102</v>
      </c>
      <c r="J1" s="29" t="s">
        <v>103</v>
      </c>
    </row>
    <row r="2" spans="1:10" ht="14.25" hidden="1" customHeight="1" x14ac:dyDescent="0.35">
      <c r="A2" s="30" t="s">
        <v>104</v>
      </c>
      <c r="B2" t="s">
        <v>105</v>
      </c>
      <c r="C2" t="s">
        <v>76</v>
      </c>
      <c r="D2" t="s">
        <v>106</v>
      </c>
      <c r="E2" s="31">
        <v>45059</v>
      </c>
      <c r="F2" t="s">
        <v>72</v>
      </c>
      <c r="G2" s="32" t="str">
        <f t="shared" ref="G2:G65" si="0">IF(D2="T",
E2&amp;"|"&amp;F2,
A2&amp;"|"&amp;B2&amp;"|"&amp;C2&amp;"|"&amp;YEAR(E2)&amp;"|"&amp;F2)</f>
        <v>Copa FPTE|2|FPTE|2023|ACRR</v>
      </c>
      <c r="H2" s="32" t="str">
        <f t="shared" ref="H2:H65" si="1">A2&amp;"|"&amp;C2&amp;"|"&amp;YEAR(E2)&amp;"|"&amp;F2</f>
        <v>Copa FPTE|FPTE|2023|ACRR</v>
      </c>
      <c r="I2" s="32">
        <f>IF(G2="",0,IF(COUNTIF($G$2:G2,G2)=1,1,0))</f>
        <v>1</v>
      </c>
      <c r="J2" s="32">
        <f>IF(H2="",0,IF(COUNTIF($H$2:H2,H2)=1,1,0))</f>
        <v>1</v>
      </c>
    </row>
    <row r="3" spans="1:10" ht="14.25" hidden="1" customHeight="1" x14ac:dyDescent="0.35">
      <c r="A3" s="30" t="s">
        <v>107</v>
      </c>
      <c r="B3" t="s">
        <v>108</v>
      </c>
      <c r="C3" t="s">
        <v>76</v>
      </c>
      <c r="D3" t="s">
        <v>106</v>
      </c>
      <c r="E3" s="31">
        <v>45067</v>
      </c>
      <c r="F3" t="s">
        <v>71</v>
      </c>
      <c r="G3" s="32" t="str">
        <f t="shared" si="0"/>
        <v>Campeonato Paulista de Car/Pst/RF 2023|4|FPTE|2023|ACRP</v>
      </c>
      <c r="H3" s="32" t="str">
        <f t="shared" si="1"/>
        <v>Campeonato Paulista de Car/Pst/RF 2023|FPTE|2023|ACRP</v>
      </c>
      <c r="I3" s="32">
        <f>IF(G3="",0,IF(COUNTIF($G$2:G3,G3)=1,1,0))</f>
        <v>1</v>
      </c>
      <c r="J3" s="32">
        <f>IF(H3="",0,IF(COUNTIF($H$2:H3,H3)=1,1,0))</f>
        <v>1</v>
      </c>
    </row>
    <row r="4" spans="1:10" ht="14.25" hidden="1" customHeight="1" x14ac:dyDescent="0.35">
      <c r="A4" s="30" t="s">
        <v>107</v>
      </c>
      <c r="B4" t="s">
        <v>108</v>
      </c>
      <c r="C4" t="s">
        <v>76</v>
      </c>
      <c r="D4" t="s">
        <v>106</v>
      </c>
      <c r="E4" s="31">
        <v>45067</v>
      </c>
      <c r="F4" t="s">
        <v>72</v>
      </c>
      <c r="G4" s="32" t="str">
        <f t="shared" si="0"/>
        <v>Campeonato Paulista de Car/Pst/RF 2023|4|FPTE|2023|ACRR</v>
      </c>
      <c r="H4" s="32" t="str">
        <f t="shared" si="1"/>
        <v>Campeonato Paulista de Car/Pst/RF 2023|FPTE|2023|ACRR</v>
      </c>
      <c r="I4" s="32">
        <f>IF(G4="",0,IF(COUNTIF($G$2:G4,G4)=1,1,0))</f>
        <v>1</v>
      </c>
      <c r="J4" s="32">
        <f>IF(H4="",0,IF(COUNTIF($H$2:H4,H4)=1,1,0))</f>
        <v>1</v>
      </c>
    </row>
    <row r="5" spans="1:10" ht="14.25" hidden="1" customHeight="1" x14ac:dyDescent="0.35">
      <c r="A5" s="30" t="s">
        <v>107</v>
      </c>
      <c r="B5" t="s">
        <v>108</v>
      </c>
      <c r="C5" t="s">
        <v>76</v>
      </c>
      <c r="D5" t="s">
        <v>106</v>
      </c>
      <c r="E5" s="31">
        <v>45067</v>
      </c>
      <c r="F5" t="s">
        <v>72</v>
      </c>
      <c r="G5" s="32" t="str">
        <f t="shared" si="0"/>
        <v>Campeonato Paulista de Car/Pst/RF 2023|4|FPTE|2023|ACRR</v>
      </c>
      <c r="H5" s="32" t="str">
        <f t="shared" si="1"/>
        <v>Campeonato Paulista de Car/Pst/RF 2023|FPTE|2023|ACRR</v>
      </c>
      <c r="I5" s="32">
        <f>IF(G5="",0,IF(COUNTIF($G$2:G5,G5)=1,1,0))</f>
        <v>0</v>
      </c>
      <c r="J5" s="32">
        <f>IF(H5="",0,IF(COUNTIF($H$2:H5,H5)=1,1,0))</f>
        <v>0</v>
      </c>
    </row>
    <row r="6" spans="1:10" ht="14.25" hidden="1" customHeight="1" x14ac:dyDescent="0.35">
      <c r="A6" s="30" t="s">
        <v>107</v>
      </c>
      <c r="B6" t="s">
        <v>108</v>
      </c>
      <c r="C6" t="s">
        <v>76</v>
      </c>
      <c r="D6" t="s">
        <v>106</v>
      </c>
      <c r="E6" s="31">
        <v>45067</v>
      </c>
      <c r="F6" t="s">
        <v>72</v>
      </c>
      <c r="G6" s="32" t="str">
        <f t="shared" si="0"/>
        <v>Campeonato Paulista de Car/Pst/RF 2023|4|FPTE|2023|ACRR</v>
      </c>
      <c r="H6" s="32" t="str">
        <f t="shared" si="1"/>
        <v>Campeonato Paulista de Car/Pst/RF 2023|FPTE|2023|ACRR</v>
      </c>
      <c r="I6" s="32">
        <f>IF(G6="",0,IF(COUNTIF($G$2:G6,G6)=1,1,0))</f>
        <v>0</v>
      </c>
      <c r="J6" s="32">
        <f>IF(H6="",0,IF(COUNTIF($H$2:H6,H6)=1,1,0))</f>
        <v>0</v>
      </c>
    </row>
    <row r="7" spans="1:10" ht="14.25" hidden="1" customHeight="1" x14ac:dyDescent="0.35">
      <c r="A7" s="30" t="s">
        <v>107</v>
      </c>
      <c r="B7" t="s">
        <v>108</v>
      </c>
      <c r="C7" t="s">
        <v>76</v>
      </c>
      <c r="D7" t="s">
        <v>106</v>
      </c>
      <c r="E7" s="31">
        <v>45067</v>
      </c>
      <c r="F7" t="s">
        <v>72</v>
      </c>
      <c r="G7" s="32" t="str">
        <f t="shared" si="0"/>
        <v>Campeonato Paulista de Car/Pst/RF 2023|4|FPTE|2023|ACRR</v>
      </c>
      <c r="H7" s="32" t="str">
        <f t="shared" si="1"/>
        <v>Campeonato Paulista de Car/Pst/RF 2023|FPTE|2023|ACRR</v>
      </c>
      <c r="I7" s="32">
        <f>IF(G7="",0,IF(COUNTIF($G$2:G7,G7)=1,1,0))</f>
        <v>0</v>
      </c>
      <c r="J7" s="32">
        <f>IF(H7="",0,IF(COUNTIF($H$2:H7,H7)=1,1,0))</f>
        <v>0</v>
      </c>
    </row>
    <row r="8" spans="1:10" ht="14.25" hidden="1" customHeight="1" x14ac:dyDescent="0.35">
      <c r="A8" s="30" t="s">
        <v>107</v>
      </c>
      <c r="B8" t="s">
        <v>108</v>
      </c>
      <c r="C8" t="s">
        <v>76</v>
      </c>
      <c r="D8" t="s">
        <v>106</v>
      </c>
      <c r="E8" s="31">
        <v>45067</v>
      </c>
      <c r="F8" t="s">
        <v>71</v>
      </c>
      <c r="G8" s="32" t="str">
        <f t="shared" si="0"/>
        <v>Campeonato Paulista de Car/Pst/RF 2023|4|FPTE|2023|ACRP</v>
      </c>
      <c r="H8" s="32" t="str">
        <f t="shared" si="1"/>
        <v>Campeonato Paulista de Car/Pst/RF 2023|FPTE|2023|ACRP</v>
      </c>
      <c r="I8" s="32">
        <f>IF(G8="",0,IF(COUNTIF($G$2:G8,G8)=1,1,0))</f>
        <v>0</v>
      </c>
      <c r="J8" s="32">
        <f>IF(H8="",0,IF(COUNTIF($H$2:H8,H8)=1,1,0))</f>
        <v>0</v>
      </c>
    </row>
    <row r="9" spans="1:10" ht="14.25" hidden="1" customHeight="1" x14ac:dyDescent="0.35">
      <c r="A9" s="30" t="s">
        <v>107</v>
      </c>
      <c r="B9" t="s">
        <v>109</v>
      </c>
      <c r="C9" t="s">
        <v>76</v>
      </c>
      <c r="D9" t="s">
        <v>106</v>
      </c>
      <c r="E9" s="31">
        <v>45095</v>
      </c>
      <c r="F9" t="s">
        <v>72</v>
      </c>
      <c r="G9" s="32" t="str">
        <f t="shared" si="0"/>
        <v>Campeonato Paulista de Car/Pst/RF 2023|5|FPTE|2023|ACRR</v>
      </c>
      <c r="H9" s="32" t="str">
        <f t="shared" si="1"/>
        <v>Campeonato Paulista de Car/Pst/RF 2023|FPTE|2023|ACRR</v>
      </c>
      <c r="I9" s="32">
        <f>IF(G9="",0,IF(COUNTIF($G$2:G9,G9)=1,1,0))</f>
        <v>1</v>
      </c>
      <c r="J9" s="32">
        <f>IF(H9="",0,IF(COUNTIF($H$2:H9,H9)=1,1,0))</f>
        <v>0</v>
      </c>
    </row>
    <row r="10" spans="1:10" ht="14.25" hidden="1" customHeight="1" x14ac:dyDescent="0.35">
      <c r="A10" s="30" t="s">
        <v>107</v>
      </c>
      <c r="B10" t="s">
        <v>109</v>
      </c>
      <c r="C10" t="s">
        <v>76</v>
      </c>
      <c r="D10" t="s">
        <v>106</v>
      </c>
      <c r="E10" s="31">
        <v>45095</v>
      </c>
      <c r="F10" t="s">
        <v>71</v>
      </c>
      <c r="G10" s="32" t="str">
        <f t="shared" si="0"/>
        <v>Campeonato Paulista de Car/Pst/RF 2023|5|FPTE|2023|ACRP</v>
      </c>
      <c r="H10" s="32" t="str">
        <f t="shared" si="1"/>
        <v>Campeonato Paulista de Car/Pst/RF 2023|FPTE|2023|ACRP</v>
      </c>
      <c r="I10" s="32">
        <f>IF(G10="",0,IF(COUNTIF($G$2:G10,G10)=1,1,0))</f>
        <v>1</v>
      </c>
      <c r="J10" s="32">
        <f>IF(H10="",0,IF(COUNTIF($H$2:H10,H10)=1,1,0))</f>
        <v>0</v>
      </c>
    </row>
    <row r="11" spans="1:10" ht="14.25" hidden="1" customHeight="1" x14ac:dyDescent="0.35">
      <c r="A11" s="30" t="s">
        <v>107</v>
      </c>
      <c r="B11" t="s">
        <v>109</v>
      </c>
      <c r="C11" t="s">
        <v>76</v>
      </c>
      <c r="D11" t="s">
        <v>106</v>
      </c>
      <c r="E11" s="31">
        <v>45095</v>
      </c>
      <c r="F11" t="s">
        <v>72</v>
      </c>
      <c r="G11" s="32" t="str">
        <f t="shared" si="0"/>
        <v>Campeonato Paulista de Car/Pst/RF 2023|5|FPTE|2023|ACRR</v>
      </c>
      <c r="H11" s="32" t="str">
        <f t="shared" si="1"/>
        <v>Campeonato Paulista de Car/Pst/RF 2023|FPTE|2023|ACRR</v>
      </c>
      <c r="I11" s="32">
        <f>IF(G11="",0,IF(COUNTIF($G$2:G11,G11)=1,1,0))</f>
        <v>0</v>
      </c>
      <c r="J11" s="32">
        <f>IF(H11="",0,IF(COUNTIF($H$2:H11,H11)=1,1,0))</f>
        <v>0</v>
      </c>
    </row>
    <row r="12" spans="1:10" ht="14.25" hidden="1" customHeight="1" x14ac:dyDescent="0.35">
      <c r="A12" s="30" t="s">
        <v>110</v>
      </c>
      <c r="B12" t="s">
        <v>111</v>
      </c>
      <c r="C12" t="s">
        <v>76</v>
      </c>
      <c r="D12" t="s">
        <v>106</v>
      </c>
      <c r="E12" s="31">
        <v>45095</v>
      </c>
      <c r="F12" t="s">
        <v>74</v>
      </c>
      <c r="G12" s="32" t="str">
        <f t="shared" si="0"/>
        <v>Fuzil 50 e 20 Metros|3|FPTE|2023|ALRR</v>
      </c>
      <c r="H12" s="32" t="str">
        <f t="shared" si="1"/>
        <v>Fuzil 50 e 20 Metros|FPTE|2023|ALRR</v>
      </c>
      <c r="I12" s="32">
        <f>IF(G12="",0,IF(COUNTIF($G$2:G12,G12)=1,1,0))</f>
        <v>1</v>
      </c>
      <c r="J12" s="32">
        <f>IF(H12="",0,IF(COUNTIF($H$2:H12,H12)=1,1,0))</f>
        <v>1</v>
      </c>
    </row>
    <row r="13" spans="1:10" ht="14.25" hidden="1" customHeight="1" x14ac:dyDescent="0.35">
      <c r="A13" s="30" t="s">
        <v>107</v>
      </c>
      <c r="B13" t="s">
        <v>112</v>
      </c>
      <c r="C13" t="s">
        <v>76</v>
      </c>
      <c r="D13" t="s">
        <v>106</v>
      </c>
      <c r="E13" s="31">
        <v>45151</v>
      </c>
      <c r="F13" t="s">
        <v>71</v>
      </c>
      <c r="G13" s="32" t="str">
        <f t="shared" si="0"/>
        <v>Campeonato Paulista de Car/Pst/RF 2023|7|FPTE|2023|ACRP</v>
      </c>
      <c r="H13" s="32" t="str">
        <f t="shared" si="1"/>
        <v>Campeonato Paulista de Car/Pst/RF 2023|FPTE|2023|ACRP</v>
      </c>
      <c r="I13" s="32">
        <f>IF(G13="",0,IF(COUNTIF($G$2:G13,G13)=1,1,0))</f>
        <v>1</v>
      </c>
      <c r="J13" s="32">
        <f>IF(H13="",0,IF(COUNTIF($H$2:H13,H13)=1,1,0))</f>
        <v>0</v>
      </c>
    </row>
    <row r="14" spans="1:10" ht="14.25" hidden="1" customHeight="1" x14ac:dyDescent="0.35">
      <c r="A14" s="30" t="s">
        <v>107</v>
      </c>
      <c r="B14" t="s">
        <v>112</v>
      </c>
      <c r="C14" t="s">
        <v>76</v>
      </c>
      <c r="D14" t="s">
        <v>106</v>
      </c>
      <c r="E14" s="31">
        <v>45151</v>
      </c>
      <c r="F14" t="s">
        <v>72</v>
      </c>
      <c r="G14" s="32" t="str">
        <f t="shared" si="0"/>
        <v>Campeonato Paulista de Car/Pst/RF 2023|7|FPTE|2023|ACRR</v>
      </c>
      <c r="H14" s="32" t="str">
        <f t="shared" si="1"/>
        <v>Campeonato Paulista de Car/Pst/RF 2023|FPTE|2023|ACRR</v>
      </c>
      <c r="I14" s="32">
        <f>IF(G14="",0,IF(COUNTIF($G$2:G14,G14)=1,1,0))</f>
        <v>1</v>
      </c>
      <c r="J14" s="32">
        <f>IF(H14="",0,IF(COUNTIF($H$2:H14,H14)=1,1,0))</f>
        <v>0</v>
      </c>
    </row>
    <row r="15" spans="1:10" ht="14.25" hidden="1" customHeight="1" x14ac:dyDescent="0.35">
      <c r="A15" s="30" t="s">
        <v>107</v>
      </c>
      <c r="B15" t="s">
        <v>112</v>
      </c>
      <c r="C15" t="s">
        <v>76</v>
      </c>
      <c r="D15" t="s">
        <v>106</v>
      </c>
      <c r="E15" s="31">
        <v>45151</v>
      </c>
      <c r="F15" t="s">
        <v>72</v>
      </c>
      <c r="G15" s="32" t="str">
        <f t="shared" si="0"/>
        <v>Campeonato Paulista de Car/Pst/RF 2023|7|FPTE|2023|ACRR</v>
      </c>
      <c r="H15" s="32" t="str">
        <f t="shared" si="1"/>
        <v>Campeonato Paulista de Car/Pst/RF 2023|FPTE|2023|ACRR</v>
      </c>
      <c r="I15" s="32">
        <f>IF(G15="",0,IF(COUNTIF($G$2:G15,G15)=1,1,0))</f>
        <v>0</v>
      </c>
      <c r="J15" s="32">
        <f>IF(H15="",0,IF(COUNTIF($H$2:H15,H15)=1,1,0))</f>
        <v>0</v>
      </c>
    </row>
    <row r="16" spans="1:10" ht="14.25" hidden="1" customHeight="1" x14ac:dyDescent="0.35">
      <c r="A16" s="30" t="s">
        <v>107</v>
      </c>
      <c r="B16" t="s">
        <v>112</v>
      </c>
      <c r="C16" t="s">
        <v>76</v>
      </c>
      <c r="D16" t="s">
        <v>106</v>
      </c>
      <c r="E16" s="31">
        <v>45151</v>
      </c>
      <c r="F16" t="s">
        <v>71</v>
      </c>
      <c r="G16" s="32" t="str">
        <f t="shared" si="0"/>
        <v>Campeonato Paulista de Car/Pst/RF 2023|7|FPTE|2023|ACRP</v>
      </c>
      <c r="H16" s="32" t="str">
        <f t="shared" si="1"/>
        <v>Campeonato Paulista de Car/Pst/RF 2023|FPTE|2023|ACRP</v>
      </c>
      <c r="I16" s="32">
        <f>IF(G16="",0,IF(COUNTIF($G$2:G16,G16)=1,1,0))</f>
        <v>0</v>
      </c>
      <c r="J16" s="32">
        <f>IF(H16="",0,IF(COUNTIF($H$2:H16,H16)=1,1,0))</f>
        <v>0</v>
      </c>
    </row>
    <row r="17" spans="1:10" ht="14.25" hidden="1" customHeight="1" x14ac:dyDescent="0.35">
      <c r="A17" s="30" t="s">
        <v>107</v>
      </c>
      <c r="B17" t="s">
        <v>112</v>
      </c>
      <c r="C17" t="s">
        <v>76</v>
      </c>
      <c r="D17" t="s">
        <v>106</v>
      </c>
      <c r="E17" s="31">
        <v>45151</v>
      </c>
      <c r="F17" t="s">
        <v>72</v>
      </c>
      <c r="G17" s="32" t="str">
        <f t="shared" si="0"/>
        <v>Campeonato Paulista de Car/Pst/RF 2023|7|FPTE|2023|ACRR</v>
      </c>
      <c r="H17" s="32" t="str">
        <f t="shared" si="1"/>
        <v>Campeonato Paulista de Car/Pst/RF 2023|FPTE|2023|ACRR</v>
      </c>
      <c r="I17" s="32">
        <f>IF(G17="",0,IF(COUNTIF($G$2:G17,G17)=1,1,0))</f>
        <v>0</v>
      </c>
      <c r="J17" s="32">
        <f>IF(H17="",0,IF(COUNTIF($H$2:H17,H17)=1,1,0))</f>
        <v>0</v>
      </c>
    </row>
    <row r="18" spans="1:10" ht="14.25" hidden="1" customHeight="1" x14ac:dyDescent="0.35">
      <c r="A18" s="30" t="s">
        <v>107</v>
      </c>
      <c r="B18" t="s">
        <v>112</v>
      </c>
      <c r="C18" t="s">
        <v>76</v>
      </c>
      <c r="D18" t="s">
        <v>106</v>
      </c>
      <c r="E18" s="31">
        <v>45151</v>
      </c>
      <c r="F18" t="s">
        <v>72</v>
      </c>
      <c r="G18" s="32" t="str">
        <f t="shared" si="0"/>
        <v>Campeonato Paulista de Car/Pst/RF 2023|7|FPTE|2023|ACRR</v>
      </c>
      <c r="H18" s="32" t="str">
        <f t="shared" si="1"/>
        <v>Campeonato Paulista de Car/Pst/RF 2023|FPTE|2023|ACRR</v>
      </c>
      <c r="I18" s="32">
        <f>IF(G18="",0,IF(COUNTIF($G$2:G18,G18)=1,1,0))</f>
        <v>0</v>
      </c>
      <c r="J18" s="32">
        <f>IF(H18="",0,IF(COUNTIF($H$2:H18,H18)=1,1,0))</f>
        <v>0</v>
      </c>
    </row>
    <row r="19" spans="1:10" ht="14.25" hidden="1" customHeight="1" x14ac:dyDescent="0.35">
      <c r="A19" s="30" t="s">
        <v>113</v>
      </c>
      <c r="B19" t="s">
        <v>114</v>
      </c>
      <c r="C19" t="s">
        <v>78</v>
      </c>
      <c r="D19" t="s">
        <v>115</v>
      </c>
      <c r="E19" s="31">
        <v>45169</v>
      </c>
      <c r="F19" t="s">
        <v>72</v>
      </c>
      <c r="G19" s="32" t="str">
        <f t="shared" si="0"/>
        <v>Campeonato Brasileiro de Car/Pst/RF 2023|8|CBTE|2023|ACRR</v>
      </c>
      <c r="H19" s="32" t="str">
        <f t="shared" si="1"/>
        <v>Campeonato Brasileiro de Car/Pst/RF 2023|CBTE|2023|ACRR</v>
      </c>
      <c r="I19" s="32">
        <f>IF(G19="",0,IF(COUNTIF($G$2:G19,G19)=1,1,0))</f>
        <v>1</v>
      </c>
      <c r="J19" s="32">
        <f>IF(H19="",0,IF(COUNTIF($H$2:H19,H19)=1,1,0))</f>
        <v>1</v>
      </c>
    </row>
    <row r="20" spans="1:10" ht="14.25" hidden="1" customHeight="1" x14ac:dyDescent="0.35">
      <c r="A20" s="30" t="s">
        <v>113</v>
      </c>
      <c r="B20" t="s">
        <v>114</v>
      </c>
      <c r="C20" t="s">
        <v>78</v>
      </c>
      <c r="D20" t="s">
        <v>115</v>
      </c>
      <c r="E20" s="31">
        <v>45169</v>
      </c>
      <c r="F20" s="7" t="s">
        <v>71</v>
      </c>
      <c r="G20" s="32" t="str">
        <f t="shared" si="0"/>
        <v>Campeonato Brasileiro de Car/Pst/RF 2023|8|CBTE|2023|ACRP</v>
      </c>
      <c r="H20" s="32" t="str">
        <f t="shared" si="1"/>
        <v>Campeonato Brasileiro de Car/Pst/RF 2023|CBTE|2023|ACRP</v>
      </c>
      <c r="I20" s="32">
        <f>IF(G20="",0,IF(COUNTIF($G$2:G20,G20)=1,1,0))</f>
        <v>1</v>
      </c>
      <c r="J20" s="32">
        <f>IF(H20="",0,IF(COUNTIF($H$2:H20,H20)=1,1,0))</f>
        <v>1</v>
      </c>
    </row>
    <row r="21" spans="1:10" ht="14.25" hidden="1" customHeight="1" x14ac:dyDescent="0.35">
      <c r="A21" s="30" t="s">
        <v>113</v>
      </c>
      <c r="B21" t="s">
        <v>114</v>
      </c>
      <c r="C21" t="s">
        <v>78</v>
      </c>
      <c r="D21" t="s">
        <v>115</v>
      </c>
      <c r="E21" s="31">
        <v>45169</v>
      </c>
      <c r="F21" s="7" t="s">
        <v>72</v>
      </c>
      <c r="G21" s="32" t="str">
        <f t="shared" si="0"/>
        <v>Campeonato Brasileiro de Car/Pst/RF 2023|8|CBTE|2023|ACRR</v>
      </c>
      <c r="H21" s="32" t="str">
        <f t="shared" si="1"/>
        <v>Campeonato Brasileiro de Car/Pst/RF 2023|CBTE|2023|ACRR</v>
      </c>
      <c r="I21" s="32">
        <f>IF(G21="",0,IF(COUNTIF($G$2:G21,G21)=1,1,0))</f>
        <v>0</v>
      </c>
      <c r="J21" s="32">
        <f>IF(H21="",0,IF(COUNTIF($H$2:H21,H21)=1,1,0))</f>
        <v>0</v>
      </c>
    </row>
    <row r="22" spans="1:10" ht="14.25" hidden="1" customHeight="1" x14ac:dyDescent="0.35">
      <c r="A22" s="30" t="s">
        <v>113</v>
      </c>
      <c r="B22" t="s">
        <v>114</v>
      </c>
      <c r="C22" t="s">
        <v>78</v>
      </c>
      <c r="D22" t="s">
        <v>115</v>
      </c>
      <c r="E22" s="31">
        <v>45169</v>
      </c>
      <c r="F22" s="7" t="s">
        <v>72</v>
      </c>
      <c r="G22" s="32" t="str">
        <f t="shared" si="0"/>
        <v>Campeonato Brasileiro de Car/Pst/RF 2023|8|CBTE|2023|ACRR</v>
      </c>
      <c r="H22" s="32" t="str">
        <f t="shared" si="1"/>
        <v>Campeonato Brasileiro de Car/Pst/RF 2023|CBTE|2023|ACRR</v>
      </c>
      <c r="I22" s="32">
        <f>IF(G22="",0,IF(COUNTIF($G$2:G22,G22)=1,1,0))</f>
        <v>0</v>
      </c>
      <c r="J22" s="32">
        <f>IF(H22="",0,IF(COUNTIF($H$2:H22,H22)=1,1,0))</f>
        <v>0</v>
      </c>
    </row>
    <row r="23" spans="1:10" ht="14.25" hidden="1" customHeight="1" x14ac:dyDescent="0.35">
      <c r="A23" s="30" t="s">
        <v>113</v>
      </c>
      <c r="B23" t="s">
        <v>114</v>
      </c>
      <c r="C23" t="s">
        <v>78</v>
      </c>
      <c r="D23" t="s">
        <v>115</v>
      </c>
      <c r="E23" s="31">
        <v>45169</v>
      </c>
      <c r="F23" s="7" t="s">
        <v>72</v>
      </c>
      <c r="G23" s="32" t="str">
        <f t="shared" si="0"/>
        <v>Campeonato Brasileiro de Car/Pst/RF 2023|8|CBTE|2023|ACRR</v>
      </c>
      <c r="H23" s="32" t="str">
        <f t="shared" si="1"/>
        <v>Campeonato Brasileiro de Car/Pst/RF 2023|CBTE|2023|ACRR</v>
      </c>
      <c r="I23" s="32">
        <f>IF(G23="",0,IF(COUNTIF($G$2:G23,G23)=1,1,0))</f>
        <v>0</v>
      </c>
      <c r="J23" s="32">
        <f>IF(H23="",0,IF(COUNTIF($H$2:H23,H23)=1,1,0))</f>
        <v>0</v>
      </c>
    </row>
    <row r="24" spans="1:10" ht="14.25" hidden="1" customHeight="1" x14ac:dyDescent="0.35">
      <c r="A24" s="30" t="s">
        <v>113</v>
      </c>
      <c r="B24" t="s">
        <v>114</v>
      </c>
      <c r="C24" t="s">
        <v>78</v>
      </c>
      <c r="D24" t="s">
        <v>115</v>
      </c>
      <c r="E24" s="31">
        <v>45169</v>
      </c>
      <c r="F24" s="7" t="s">
        <v>72</v>
      </c>
      <c r="G24" s="32" t="str">
        <f t="shared" si="0"/>
        <v>Campeonato Brasileiro de Car/Pst/RF 2023|8|CBTE|2023|ACRR</v>
      </c>
      <c r="H24" s="32" t="str">
        <f t="shared" si="1"/>
        <v>Campeonato Brasileiro de Car/Pst/RF 2023|CBTE|2023|ACRR</v>
      </c>
      <c r="I24" s="32">
        <f>IF(G24="",0,IF(COUNTIF($G$2:G24,G24)=1,1,0))</f>
        <v>0</v>
      </c>
      <c r="J24" s="32">
        <f>IF(H24="",0,IF(COUNTIF($H$2:H24,H24)=1,1,0))</f>
        <v>0</v>
      </c>
    </row>
    <row r="25" spans="1:10" ht="14.25" hidden="1" customHeight="1" x14ac:dyDescent="0.35">
      <c r="A25" s="30" t="s">
        <v>107</v>
      </c>
      <c r="B25" t="s">
        <v>114</v>
      </c>
      <c r="C25" t="s">
        <v>76</v>
      </c>
      <c r="D25" t="s">
        <v>106</v>
      </c>
      <c r="E25" s="31">
        <v>45172</v>
      </c>
      <c r="F25" t="s">
        <v>72</v>
      </c>
      <c r="G25" s="32" t="str">
        <f t="shared" si="0"/>
        <v>Campeonato Paulista de Car/Pst/RF 2023|8|FPTE|2023|ACRR</v>
      </c>
      <c r="H25" s="32" t="str">
        <f t="shared" si="1"/>
        <v>Campeonato Paulista de Car/Pst/RF 2023|FPTE|2023|ACRR</v>
      </c>
      <c r="I25" s="32">
        <f>IF(G25="",0,IF(COUNTIF($G$2:G25,G25)=1,1,0))</f>
        <v>1</v>
      </c>
      <c r="J25" s="32">
        <f>IF(H25="",0,IF(COUNTIF($H$2:H25,H25)=1,1,0))</f>
        <v>0</v>
      </c>
    </row>
    <row r="26" spans="1:10" ht="14.25" hidden="1" customHeight="1" x14ac:dyDescent="0.35">
      <c r="A26" s="30" t="s">
        <v>107</v>
      </c>
      <c r="B26" t="s">
        <v>114</v>
      </c>
      <c r="C26" t="s">
        <v>76</v>
      </c>
      <c r="D26" t="s">
        <v>106</v>
      </c>
      <c r="E26" s="31">
        <v>45172</v>
      </c>
      <c r="F26" t="s">
        <v>72</v>
      </c>
      <c r="G26" s="32" t="str">
        <f t="shared" si="0"/>
        <v>Campeonato Paulista de Car/Pst/RF 2023|8|FPTE|2023|ACRR</v>
      </c>
      <c r="H26" s="32" t="str">
        <f t="shared" si="1"/>
        <v>Campeonato Paulista de Car/Pst/RF 2023|FPTE|2023|ACRR</v>
      </c>
      <c r="I26" s="32">
        <f>IF(G26="",0,IF(COUNTIF($G$2:G26,G26)=1,1,0))</f>
        <v>0</v>
      </c>
      <c r="J26" s="32">
        <f>IF(H26="",0,IF(COUNTIF($H$2:H26,H26)=1,1,0))</f>
        <v>0</v>
      </c>
    </row>
    <row r="27" spans="1:10" ht="14.25" hidden="1" customHeight="1" x14ac:dyDescent="0.35">
      <c r="A27" s="30" t="s">
        <v>116</v>
      </c>
      <c r="B27" t="s">
        <v>109</v>
      </c>
      <c r="C27" t="s">
        <v>76</v>
      </c>
      <c r="D27" t="s">
        <v>106</v>
      </c>
      <c r="E27" s="31">
        <v>45200</v>
      </c>
      <c r="F27" t="s">
        <v>72</v>
      </c>
      <c r="G27" s="32" t="str">
        <f t="shared" si="0"/>
        <v>Baixa Luminosidade e Shotgun 2023|5|FPTE|2023|ACRR</v>
      </c>
      <c r="H27" s="32" t="str">
        <f t="shared" si="1"/>
        <v>Baixa Luminosidade e Shotgun 2023|FPTE|2023|ACRR</v>
      </c>
      <c r="I27" s="32">
        <f>IF(G27="",0,IF(COUNTIF($G$2:G27,G27)=1,1,0))</f>
        <v>1</v>
      </c>
      <c r="J27" s="32">
        <f>IF(H27="",0,IF(COUNTIF($H$2:H27,H27)=1,1,0))</f>
        <v>1</v>
      </c>
    </row>
    <row r="28" spans="1:10" ht="14.25" hidden="1" customHeight="1" x14ac:dyDescent="0.35">
      <c r="A28" s="30" t="s">
        <v>116</v>
      </c>
      <c r="B28" t="s">
        <v>109</v>
      </c>
      <c r="C28" t="s">
        <v>76</v>
      </c>
      <c r="D28" t="s">
        <v>106</v>
      </c>
      <c r="E28" s="31">
        <v>45200</v>
      </c>
      <c r="F28" t="s">
        <v>72</v>
      </c>
      <c r="G28" s="32" t="str">
        <f t="shared" si="0"/>
        <v>Baixa Luminosidade e Shotgun 2023|5|FPTE|2023|ACRR</v>
      </c>
      <c r="H28" s="32" t="str">
        <f t="shared" si="1"/>
        <v>Baixa Luminosidade e Shotgun 2023|FPTE|2023|ACRR</v>
      </c>
      <c r="I28" s="32">
        <f>IF(G28="",0,IF(COUNTIF($G$2:G28,G28)=1,1,0))</f>
        <v>0</v>
      </c>
      <c r="J28" s="32">
        <f>IF(H28="",0,IF(COUNTIF($H$2:H28,H28)=1,1,0))</f>
        <v>0</v>
      </c>
    </row>
    <row r="29" spans="1:10" ht="14.25" hidden="1" customHeight="1" x14ac:dyDescent="0.35">
      <c r="A29" s="30" t="s">
        <v>116</v>
      </c>
      <c r="B29" t="s">
        <v>109</v>
      </c>
      <c r="C29" t="s">
        <v>76</v>
      </c>
      <c r="D29" t="s">
        <v>106</v>
      </c>
      <c r="E29" s="31">
        <v>45200</v>
      </c>
      <c r="F29" t="s">
        <v>72</v>
      </c>
      <c r="G29" s="32" t="str">
        <f t="shared" si="0"/>
        <v>Baixa Luminosidade e Shotgun 2023|5|FPTE|2023|ACRR</v>
      </c>
      <c r="H29" s="32" t="str">
        <f t="shared" si="1"/>
        <v>Baixa Luminosidade e Shotgun 2023|FPTE|2023|ACRR</v>
      </c>
      <c r="I29" s="32">
        <f>IF(G29="",0,IF(COUNTIF($G$2:G29,G29)=1,1,0))</f>
        <v>0</v>
      </c>
      <c r="J29" s="32">
        <f>IF(H29="",0,IF(COUNTIF($H$2:H29,H29)=1,1,0))</f>
        <v>0</v>
      </c>
    </row>
    <row r="30" spans="1:10" ht="14.25" hidden="1" customHeight="1" x14ac:dyDescent="0.35">
      <c r="A30" s="30" t="s">
        <v>110</v>
      </c>
      <c r="B30" t="s">
        <v>109</v>
      </c>
      <c r="C30" t="s">
        <v>76</v>
      </c>
      <c r="D30" t="s">
        <v>106</v>
      </c>
      <c r="E30" s="31">
        <v>45200</v>
      </c>
      <c r="F30" t="s">
        <v>74</v>
      </c>
      <c r="G30" s="32" t="str">
        <f t="shared" si="0"/>
        <v>Fuzil 50 e 20 Metros|5|FPTE|2023|ALRR</v>
      </c>
      <c r="H30" s="32" t="str">
        <f t="shared" si="1"/>
        <v>Fuzil 50 e 20 Metros|FPTE|2023|ALRR</v>
      </c>
      <c r="I30" s="32">
        <f>IF(G30="",0,IF(COUNTIF($G$2:G30,G30)=1,1,0))</f>
        <v>1</v>
      </c>
      <c r="J30" s="32">
        <f>IF(H30="",0,IF(COUNTIF($H$2:H30,H30)=1,1,0))</f>
        <v>0</v>
      </c>
    </row>
    <row r="31" spans="1:10" ht="14.25" hidden="1" customHeight="1" x14ac:dyDescent="0.35">
      <c r="A31" s="30" t="s">
        <v>107</v>
      </c>
      <c r="B31" t="s">
        <v>117</v>
      </c>
      <c r="C31" t="s">
        <v>76</v>
      </c>
      <c r="D31" t="s">
        <v>106</v>
      </c>
      <c r="E31" s="31">
        <v>45221</v>
      </c>
      <c r="F31" t="s">
        <v>72</v>
      </c>
      <c r="G31" s="32" t="str">
        <f t="shared" si="0"/>
        <v>Campeonato Paulista de Car/Pst/RF 2023|9|FPTE|2023|ACRR</v>
      </c>
      <c r="H31" s="32" t="str">
        <f t="shared" si="1"/>
        <v>Campeonato Paulista de Car/Pst/RF 2023|FPTE|2023|ACRR</v>
      </c>
      <c r="I31" s="32">
        <f>IF(G31="",0,IF(COUNTIF($G$2:G31,G31)=1,1,0))</f>
        <v>1</v>
      </c>
      <c r="J31" s="32">
        <f>IF(H31="",0,IF(COUNTIF($H$2:H31,H31)=1,1,0))</f>
        <v>0</v>
      </c>
    </row>
    <row r="32" spans="1:10" ht="14.25" hidden="1" customHeight="1" x14ac:dyDescent="0.35">
      <c r="A32" s="30" t="s">
        <v>107</v>
      </c>
      <c r="B32" t="s">
        <v>117</v>
      </c>
      <c r="C32" t="s">
        <v>76</v>
      </c>
      <c r="D32" t="s">
        <v>106</v>
      </c>
      <c r="E32" s="31">
        <v>45221</v>
      </c>
      <c r="F32" t="s">
        <v>72</v>
      </c>
      <c r="G32" s="32" t="str">
        <f t="shared" si="0"/>
        <v>Campeonato Paulista de Car/Pst/RF 2023|9|FPTE|2023|ACRR</v>
      </c>
      <c r="H32" s="32" t="str">
        <f t="shared" si="1"/>
        <v>Campeonato Paulista de Car/Pst/RF 2023|FPTE|2023|ACRR</v>
      </c>
      <c r="I32" s="32">
        <f>IF(G32="",0,IF(COUNTIF($G$2:G32,G32)=1,1,0))</f>
        <v>0</v>
      </c>
      <c r="J32" s="32">
        <f>IF(H32="",0,IF(COUNTIF($H$2:H32,H32)=1,1,0))</f>
        <v>0</v>
      </c>
    </row>
    <row r="33" spans="1:10" ht="14.25" hidden="1" customHeight="1" x14ac:dyDescent="0.35">
      <c r="A33" s="30" t="s">
        <v>113</v>
      </c>
      <c r="B33" t="s">
        <v>118</v>
      </c>
      <c r="C33" t="s">
        <v>78</v>
      </c>
      <c r="D33" t="s">
        <v>115</v>
      </c>
      <c r="E33" s="31">
        <v>45239</v>
      </c>
      <c r="F33" s="7" t="s">
        <v>72</v>
      </c>
      <c r="G33" s="32" t="str">
        <f t="shared" si="0"/>
        <v>Campeonato Brasileiro de Car/Pst/RF 2023|1|CBTE|2023|ACRR</v>
      </c>
      <c r="H33" s="32" t="str">
        <f t="shared" si="1"/>
        <v>Campeonato Brasileiro de Car/Pst/RF 2023|CBTE|2023|ACRR</v>
      </c>
      <c r="I33" s="32">
        <f>IF(G33="",0,IF(COUNTIF($G$2:G33,G33)=1,1,0))</f>
        <v>1</v>
      </c>
      <c r="J33" s="32">
        <f>IF(H33="",0,IF(COUNTIF($H$2:H33,H33)=1,1,0))</f>
        <v>0</v>
      </c>
    </row>
    <row r="34" spans="1:10" ht="14.25" hidden="1" customHeight="1" x14ac:dyDescent="0.35">
      <c r="A34" s="30" t="s">
        <v>113</v>
      </c>
      <c r="B34" t="s">
        <v>118</v>
      </c>
      <c r="C34" t="s">
        <v>78</v>
      </c>
      <c r="D34" t="s">
        <v>115</v>
      </c>
      <c r="E34" s="31">
        <v>45239</v>
      </c>
      <c r="F34" s="7" t="s">
        <v>72</v>
      </c>
      <c r="G34" s="32" t="str">
        <f t="shared" si="0"/>
        <v>Campeonato Brasileiro de Car/Pst/RF 2023|1|CBTE|2023|ACRR</v>
      </c>
      <c r="H34" s="32" t="str">
        <f t="shared" si="1"/>
        <v>Campeonato Brasileiro de Car/Pst/RF 2023|CBTE|2023|ACRR</v>
      </c>
      <c r="I34" s="32">
        <f>IF(G34="",0,IF(COUNTIF($G$2:G34,G34)=1,1,0))</f>
        <v>0</v>
      </c>
      <c r="J34" s="32">
        <f>IF(H34="",0,IF(COUNTIF($H$2:H34,H34)=1,1,0))</f>
        <v>0</v>
      </c>
    </row>
    <row r="35" spans="1:10" ht="14.25" hidden="1" customHeight="1" x14ac:dyDescent="0.35">
      <c r="A35" s="30" t="s">
        <v>113</v>
      </c>
      <c r="B35" t="s">
        <v>118</v>
      </c>
      <c r="C35" t="s">
        <v>78</v>
      </c>
      <c r="D35" t="s">
        <v>115</v>
      </c>
      <c r="E35" s="31">
        <v>45239</v>
      </c>
      <c r="F35" s="7" t="s">
        <v>72</v>
      </c>
      <c r="G35" s="32" t="str">
        <f t="shared" si="0"/>
        <v>Campeonato Brasileiro de Car/Pst/RF 2023|1|CBTE|2023|ACRR</v>
      </c>
      <c r="H35" s="32" t="str">
        <f t="shared" si="1"/>
        <v>Campeonato Brasileiro de Car/Pst/RF 2023|CBTE|2023|ACRR</v>
      </c>
      <c r="I35" s="32">
        <f>IF(G35="",0,IF(COUNTIF($G$2:G35,G35)=1,1,0))</f>
        <v>0</v>
      </c>
      <c r="J35" s="32">
        <f>IF(H35="",0,IF(COUNTIF($H$2:H35,H35)=1,1,0))</f>
        <v>0</v>
      </c>
    </row>
    <row r="36" spans="1:10" ht="14.25" hidden="1" customHeight="1" x14ac:dyDescent="0.35">
      <c r="A36" s="30" t="s">
        <v>113</v>
      </c>
      <c r="B36" t="s">
        <v>118</v>
      </c>
      <c r="C36" t="s">
        <v>78</v>
      </c>
      <c r="D36" t="s">
        <v>115</v>
      </c>
      <c r="E36" s="31">
        <v>45239</v>
      </c>
      <c r="F36" s="7" t="s">
        <v>71</v>
      </c>
      <c r="G36" s="32" t="str">
        <f t="shared" si="0"/>
        <v>Campeonato Brasileiro de Car/Pst/RF 2023|1|CBTE|2023|ACRP</v>
      </c>
      <c r="H36" s="32" t="str">
        <f t="shared" si="1"/>
        <v>Campeonato Brasileiro de Car/Pst/RF 2023|CBTE|2023|ACRP</v>
      </c>
      <c r="I36" s="32">
        <f>IF(G36="",0,IF(COUNTIF($G$2:G36,G36)=1,1,0))</f>
        <v>1</v>
      </c>
      <c r="J36" s="32">
        <f>IF(H36="",0,IF(COUNTIF($H$2:H36,H36)=1,1,0))</f>
        <v>0</v>
      </c>
    </row>
    <row r="37" spans="1:10" ht="14.25" hidden="1" customHeight="1" x14ac:dyDescent="0.35">
      <c r="A37" s="30" t="s">
        <v>113</v>
      </c>
      <c r="B37" t="s">
        <v>118</v>
      </c>
      <c r="C37" t="s">
        <v>78</v>
      </c>
      <c r="D37" t="s">
        <v>115</v>
      </c>
      <c r="E37" s="31">
        <v>45239</v>
      </c>
      <c r="F37" s="7" t="s">
        <v>72</v>
      </c>
      <c r="G37" s="32" t="str">
        <f t="shared" si="0"/>
        <v>Campeonato Brasileiro de Car/Pst/RF 2023|1|CBTE|2023|ACRR</v>
      </c>
      <c r="H37" s="32" t="str">
        <f t="shared" si="1"/>
        <v>Campeonato Brasileiro de Car/Pst/RF 2023|CBTE|2023|ACRR</v>
      </c>
      <c r="I37" s="32">
        <f>IF(G37="",0,IF(COUNTIF($G$2:G37,G37)=1,1,0))</f>
        <v>0</v>
      </c>
      <c r="J37" s="32">
        <f>IF(H37="",0,IF(COUNTIF($H$2:H37,H37)=1,1,0))</f>
        <v>0</v>
      </c>
    </row>
    <row r="38" spans="1:10" ht="14.25" hidden="1" customHeight="1" x14ac:dyDescent="0.35">
      <c r="A38" s="30" t="s">
        <v>113</v>
      </c>
      <c r="B38" t="s">
        <v>118</v>
      </c>
      <c r="C38" t="s">
        <v>78</v>
      </c>
      <c r="D38" t="s">
        <v>115</v>
      </c>
      <c r="E38" s="31">
        <v>45239</v>
      </c>
      <c r="F38" s="7" t="s">
        <v>72</v>
      </c>
      <c r="G38" s="32" t="str">
        <f t="shared" si="0"/>
        <v>Campeonato Brasileiro de Car/Pst/RF 2023|1|CBTE|2023|ACRR</v>
      </c>
      <c r="H38" s="32" t="str">
        <f t="shared" si="1"/>
        <v>Campeonato Brasileiro de Car/Pst/RF 2023|CBTE|2023|ACRR</v>
      </c>
      <c r="I38" s="32">
        <f>IF(G38="",0,IF(COUNTIF($G$2:G38,G38)=1,1,0))</f>
        <v>0</v>
      </c>
      <c r="J38" s="32">
        <f>IF(H38="",0,IF(COUNTIF($H$2:H38,H38)=1,1,0))</f>
        <v>0</v>
      </c>
    </row>
    <row r="39" spans="1:10" ht="14.25" hidden="1" customHeight="1" x14ac:dyDescent="0.35">
      <c r="A39" s="30" t="s">
        <v>107</v>
      </c>
      <c r="B39" t="s">
        <v>118</v>
      </c>
      <c r="C39" t="s">
        <v>76</v>
      </c>
      <c r="D39" t="s">
        <v>106</v>
      </c>
      <c r="E39" s="31">
        <v>45242</v>
      </c>
      <c r="F39" t="s">
        <v>72</v>
      </c>
      <c r="G39" s="32" t="str">
        <f t="shared" si="0"/>
        <v>Campeonato Paulista de Car/Pst/RF 2023|1|FPTE|2023|ACRR</v>
      </c>
      <c r="H39" s="32" t="str">
        <f t="shared" si="1"/>
        <v>Campeonato Paulista de Car/Pst/RF 2023|FPTE|2023|ACRR</v>
      </c>
      <c r="I39" s="32">
        <f>IF(G39="",0,IF(COUNTIF($G$2:G39,G39)=1,1,0))</f>
        <v>1</v>
      </c>
      <c r="J39" s="32">
        <f>IF(H39="",0,IF(COUNTIF($H$2:H39,H39)=1,1,0))</f>
        <v>0</v>
      </c>
    </row>
    <row r="40" spans="1:10" ht="14.25" hidden="1" customHeight="1" x14ac:dyDescent="0.35">
      <c r="A40" s="30" t="s">
        <v>107</v>
      </c>
      <c r="B40" t="s">
        <v>118</v>
      </c>
      <c r="C40" t="s">
        <v>76</v>
      </c>
      <c r="D40" t="s">
        <v>106</v>
      </c>
      <c r="E40" s="31">
        <v>45242</v>
      </c>
      <c r="F40" t="s">
        <v>72</v>
      </c>
      <c r="G40" s="32" t="str">
        <f t="shared" si="0"/>
        <v>Campeonato Paulista de Car/Pst/RF 2023|1|FPTE|2023|ACRR</v>
      </c>
      <c r="H40" s="32" t="str">
        <f t="shared" si="1"/>
        <v>Campeonato Paulista de Car/Pst/RF 2023|FPTE|2023|ACRR</v>
      </c>
      <c r="I40" s="32">
        <f>IF(G40="",0,IF(COUNTIF($G$2:G40,G40)=1,1,0))</f>
        <v>0</v>
      </c>
      <c r="J40" s="32">
        <f>IF(H40="",0,IF(COUNTIF($H$2:H40,H40)=1,1,0))</f>
        <v>0</v>
      </c>
    </row>
    <row r="41" spans="1:10" ht="14.25" hidden="1" customHeight="1" x14ac:dyDescent="0.35">
      <c r="A41" s="30" t="s">
        <v>107</v>
      </c>
      <c r="B41" t="s">
        <v>118</v>
      </c>
      <c r="C41" t="s">
        <v>76</v>
      </c>
      <c r="D41" t="s">
        <v>106</v>
      </c>
      <c r="E41" s="31">
        <v>45242</v>
      </c>
      <c r="F41" t="s">
        <v>72</v>
      </c>
      <c r="G41" s="32" t="str">
        <f t="shared" si="0"/>
        <v>Campeonato Paulista de Car/Pst/RF 2023|1|FPTE|2023|ACRR</v>
      </c>
      <c r="H41" s="32" t="str">
        <f t="shared" si="1"/>
        <v>Campeonato Paulista de Car/Pst/RF 2023|FPTE|2023|ACRR</v>
      </c>
      <c r="I41" s="32">
        <f>IF(G41="",0,IF(COUNTIF($G$2:G41,G41)=1,1,0))</f>
        <v>0</v>
      </c>
      <c r="J41" s="32">
        <f>IF(H41="",0,IF(COUNTIF($H$2:H41,H41)=1,1,0))</f>
        <v>0</v>
      </c>
    </row>
    <row r="42" spans="1:10" ht="14.25" hidden="1" customHeight="1" x14ac:dyDescent="0.35">
      <c r="A42" s="30" t="s">
        <v>107</v>
      </c>
      <c r="B42" t="s">
        <v>118</v>
      </c>
      <c r="C42" t="s">
        <v>76</v>
      </c>
      <c r="D42" t="s">
        <v>106</v>
      </c>
      <c r="E42" s="31">
        <v>45242</v>
      </c>
      <c r="F42" t="s">
        <v>71</v>
      </c>
      <c r="G42" s="32" t="str">
        <f t="shared" si="0"/>
        <v>Campeonato Paulista de Car/Pst/RF 2023|1|FPTE|2023|ACRP</v>
      </c>
      <c r="H42" s="32" t="str">
        <f t="shared" si="1"/>
        <v>Campeonato Paulista de Car/Pst/RF 2023|FPTE|2023|ACRP</v>
      </c>
      <c r="I42" s="32">
        <f>IF(G42="",0,IF(COUNTIF($G$2:G42,G42)=1,1,0))</f>
        <v>1</v>
      </c>
      <c r="J42" s="32">
        <f>IF(H42="",0,IF(COUNTIF($H$2:H42,H42)=1,1,0))</f>
        <v>0</v>
      </c>
    </row>
    <row r="43" spans="1:10" ht="14.25" hidden="1" customHeight="1" x14ac:dyDescent="0.35">
      <c r="A43" s="30" t="s">
        <v>107</v>
      </c>
      <c r="B43" t="s">
        <v>118</v>
      </c>
      <c r="C43" t="s">
        <v>76</v>
      </c>
      <c r="D43" t="s">
        <v>106</v>
      </c>
      <c r="E43" s="31">
        <v>45242</v>
      </c>
      <c r="F43" t="s">
        <v>72</v>
      </c>
      <c r="G43" s="32" t="str">
        <f t="shared" si="0"/>
        <v>Campeonato Paulista de Car/Pst/RF 2023|1|FPTE|2023|ACRR</v>
      </c>
      <c r="H43" s="32" t="str">
        <f t="shared" si="1"/>
        <v>Campeonato Paulista de Car/Pst/RF 2023|FPTE|2023|ACRR</v>
      </c>
      <c r="I43" s="32">
        <f>IF(G43="",0,IF(COUNTIF($G$2:G43,G43)=1,1,0))</f>
        <v>0</v>
      </c>
      <c r="J43" s="32">
        <f>IF(H43="",0,IF(COUNTIF($H$2:H43,H43)=1,1,0))</f>
        <v>0</v>
      </c>
    </row>
    <row r="44" spans="1:10" ht="14.25" hidden="1" customHeight="1" x14ac:dyDescent="0.35">
      <c r="A44" s="30" t="s">
        <v>107</v>
      </c>
      <c r="B44" t="s">
        <v>118</v>
      </c>
      <c r="C44" t="s">
        <v>76</v>
      </c>
      <c r="D44" t="s">
        <v>106</v>
      </c>
      <c r="E44" s="31">
        <v>45242</v>
      </c>
      <c r="F44" t="s">
        <v>72</v>
      </c>
      <c r="G44" s="32" t="str">
        <f t="shared" si="0"/>
        <v>Campeonato Paulista de Car/Pst/RF 2023|1|FPTE|2023|ACRR</v>
      </c>
      <c r="H44" s="32" t="str">
        <f t="shared" si="1"/>
        <v>Campeonato Paulista de Car/Pst/RF 2023|FPTE|2023|ACRR</v>
      </c>
      <c r="I44" s="32">
        <f>IF(G44="",0,IF(COUNTIF($G$2:G44,G44)=1,1,0))</f>
        <v>0</v>
      </c>
      <c r="J44" s="32">
        <f>IF(H44="",0,IF(COUNTIF($H$2:H44,H44)=1,1,0))</f>
        <v>0</v>
      </c>
    </row>
    <row r="45" spans="1:10" ht="14.25" hidden="1" customHeight="1" x14ac:dyDescent="0.35">
      <c r="A45" s="30" t="s">
        <v>119</v>
      </c>
      <c r="B45" t="s">
        <v>118</v>
      </c>
      <c r="C45" t="s">
        <v>77</v>
      </c>
      <c r="D45" t="s">
        <v>106</v>
      </c>
      <c r="E45" s="31">
        <v>45344</v>
      </c>
      <c r="F45" t="s">
        <v>72</v>
      </c>
      <c r="G45" s="32" t="str">
        <f t="shared" si="0"/>
        <v>DUELO THE RANGE|1|TR|2024|ACRR</v>
      </c>
      <c r="H45" s="32" t="str">
        <f t="shared" si="1"/>
        <v>DUELO THE RANGE|TR|2024|ACRR</v>
      </c>
      <c r="I45" s="32">
        <f>IF(G45="",0,IF(COUNTIF($G$2:G45,G45)=1,1,0))</f>
        <v>1</v>
      </c>
      <c r="J45" s="32">
        <f>IF(H45="",0,IF(COUNTIF($H$2:H45,H45)=1,1,0))</f>
        <v>1</v>
      </c>
    </row>
    <row r="46" spans="1:10" ht="14.25" hidden="1" customHeight="1" x14ac:dyDescent="0.35">
      <c r="A46" s="30" t="s">
        <v>119</v>
      </c>
      <c r="B46" t="s">
        <v>118</v>
      </c>
      <c r="C46" t="s">
        <v>77</v>
      </c>
      <c r="D46" t="s">
        <v>106</v>
      </c>
      <c r="E46" s="31">
        <v>45344</v>
      </c>
      <c r="F46" t="s">
        <v>72</v>
      </c>
      <c r="G46" s="32" t="str">
        <f t="shared" si="0"/>
        <v>DUELO THE RANGE|1|TR|2024|ACRR</v>
      </c>
      <c r="H46" s="32" t="str">
        <f t="shared" si="1"/>
        <v>DUELO THE RANGE|TR|2024|ACRR</v>
      </c>
      <c r="I46" s="32">
        <f>IF(G46="",0,IF(COUNTIF($G$2:G46,G46)=1,1,0))</f>
        <v>0</v>
      </c>
      <c r="J46" s="32">
        <f>IF(H46="",0,IF(COUNTIF($H$2:H46,H46)=1,1,0))</f>
        <v>0</v>
      </c>
    </row>
    <row r="47" spans="1:10" ht="14.25" hidden="1" customHeight="1" x14ac:dyDescent="0.35">
      <c r="A47" s="30" t="s">
        <v>120</v>
      </c>
      <c r="B47" t="s">
        <v>118</v>
      </c>
      <c r="C47" t="s">
        <v>79</v>
      </c>
      <c r="D47" t="s">
        <v>115</v>
      </c>
      <c r="E47" s="31">
        <v>45359</v>
      </c>
      <c r="F47" t="s">
        <v>72</v>
      </c>
      <c r="G47" s="32" t="str">
        <f t="shared" si="0"/>
        <v>CAMPEONATO NACIONAL MULTICALIBRES|1|Linade|2024|ACRR</v>
      </c>
      <c r="H47" s="32" t="str">
        <f t="shared" si="1"/>
        <v>CAMPEONATO NACIONAL MULTICALIBRES|Linade|2024|ACRR</v>
      </c>
      <c r="I47" s="32">
        <f>IF(G47="",0,IF(COUNTIF($G$2:G47,G47)=1,1,0))</f>
        <v>1</v>
      </c>
      <c r="J47" s="32">
        <f>IF(H47="",0,IF(COUNTIF($H$2:H47,H47)=1,1,0))</f>
        <v>1</v>
      </c>
    </row>
    <row r="48" spans="1:10" ht="14.25" hidden="1" customHeight="1" x14ac:dyDescent="0.35">
      <c r="A48" s="30" t="s">
        <v>120</v>
      </c>
      <c r="B48" t="s">
        <v>118</v>
      </c>
      <c r="C48" t="s">
        <v>79</v>
      </c>
      <c r="D48" t="s">
        <v>115</v>
      </c>
      <c r="E48" s="31">
        <v>45359</v>
      </c>
      <c r="F48" t="s">
        <v>71</v>
      </c>
      <c r="G48" s="32" t="str">
        <f t="shared" si="0"/>
        <v>CAMPEONATO NACIONAL MULTICALIBRES|1|Linade|2024|ACRP</v>
      </c>
      <c r="H48" s="32" t="str">
        <f t="shared" si="1"/>
        <v>CAMPEONATO NACIONAL MULTICALIBRES|Linade|2024|ACRP</v>
      </c>
      <c r="I48" s="32">
        <f>IF(G48="",0,IF(COUNTIF($G$2:G48,G48)=1,1,0))</f>
        <v>1</v>
      </c>
      <c r="J48" s="32">
        <f>IF(H48="",0,IF(COUNTIF($H$2:H48,H48)=1,1,0))</f>
        <v>1</v>
      </c>
    </row>
    <row r="49" spans="1:10" ht="14.25" hidden="1" customHeight="1" x14ac:dyDescent="0.35">
      <c r="A49" s="30" t="s">
        <v>120</v>
      </c>
      <c r="B49" t="s">
        <v>118</v>
      </c>
      <c r="C49" t="s">
        <v>79</v>
      </c>
      <c r="D49" t="s">
        <v>115</v>
      </c>
      <c r="E49" s="31">
        <v>45359</v>
      </c>
      <c r="F49" t="s">
        <v>72</v>
      </c>
      <c r="G49" s="32" t="str">
        <f t="shared" si="0"/>
        <v>CAMPEONATO NACIONAL MULTICALIBRES|1|Linade|2024|ACRR</v>
      </c>
      <c r="H49" s="32" t="str">
        <f t="shared" si="1"/>
        <v>CAMPEONATO NACIONAL MULTICALIBRES|Linade|2024|ACRR</v>
      </c>
      <c r="I49" s="32">
        <f>IF(G49="",0,IF(COUNTIF($G$2:G49,G49)=1,1,0))</f>
        <v>0</v>
      </c>
      <c r="J49" s="32">
        <f>IF(H49="",0,IF(COUNTIF($H$2:H49,H49)=1,1,0))</f>
        <v>0</v>
      </c>
    </row>
    <row r="50" spans="1:10" ht="14.25" hidden="1" customHeight="1" x14ac:dyDescent="0.35">
      <c r="A50" s="30" t="s">
        <v>120</v>
      </c>
      <c r="B50" t="s">
        <v>118</v>
      </c>
      <c r="C50" t="s">
        <v>79</v>
      </c>
      <c r="D50" t="s">
        <v>115</v>
      </c>
      <c r="E50" s="31">
        <v>45359</v>
      </c>
      <c r="F50" t="s">
        <v>71</v>
      </c>
      <c r="G50" s="32" t="str">
        <f t="shared" si="0"/>
        <v>CAMPEONATO NACIONAL MULTICALIBRES|1|Linade|2024|ACRP</v>
      </c>
      <c r="H50" s="32" t="str">
        <f t="shared" si="1"/>
        <v>CAMPEONATO NACIONAL MULTICALIBRES|Linade|2024|ACRP</v>
      </c>
      <c r="I50" s="32">
        <f>IF(G50="",0,IF(COUNTIF($G$2:G50,G50)=1,1,0))</f>
        <v>0</v>
      </c>
      <c r="J50" s="32">
        <f>IF(H50="",0,IF(COUNTIF($H$2:H50,H50)=1,1,0))</f>
        <v>0</v>
      </c>
    </row>
    <row r="51" spans="1:10" ht="14.25" hidden="1" customHeight="1" x14ac:dyDescent="0.35">
      <c r="A51" s="30" t="s">
        <v>120</v>
      </c>
      <c r="B51" t="s">
        <v>118</v>
      </c>
      <c r="C51" t="s">
        <v>79</v>
      </c>
      <c r="D51" t="s">
        <v>115</v>
      </c>
      <c r="E51" s="31">
        <v>45359</v>
      </c>
      <c r="F51" t="s">
        <v>74</v>
      </c>
      <c r="G51" s="32" t="str">
        <f t="shared" si="0"/>
        <v>CAMPEONATO NACIONAL MULTICALIBRES|1|Linade|2024|ALRR</v>
      </c>
      <c r="H51" s="32" t="str">
        <f t="shared" si="1"/>
        <v>CAMPEONATO NACIONAL MULTICALIBRES|Linade|2024|ALRR</v>
      </c>
      <c r="I51" s="32">
        <f>IF(G51="",0,IF(COUNTIF($G$2:G51,G51)=1,1,0))</f>
        <v>1</v>
      </c>
      <c r="J51" s="32">
        <f>IF(H51="",0,IF(COUNTIF($H$2:H51,H51)=1,1,0))</f>
        <v>1</v>
      </c>
    </row>
    <row r="52" spans="1:10" ht="14.25" hidden="1" customHeight="1" x14ac:dyDescent="0.35">
      <c r="A52" s="30" t="s">
        <v>120</v>
      </c>
      <c r="B52" t="s">
        <v>118</v>
      </c>
      <c r="C52" t="s">
        <v>79</v>
      </c>
      <c r="D52" t="s">
        <v>115</v>
      </c>
      <c r="E52" s="31">
        <v>45359</v>
      </c>
      <c r="F52" t="s">
        <v>73</v>
      </c>
      <c r="G52" s="32" t="str">
        <f t="shared" si="0"/>
        <v>CAMPEONATO NACIONAL MULTICALIBRES|1|Linade|2024|ALRP</v>
      </c>
      <c r="H52" s="32" t="str">
        <f t="shared" si="1"/>
        <v>CAMPEONATO NACIONAL MULTICALIBRES|Linade|2024|ALRP</v>
      </c>
      <c r="I52" s="32">
        <f>IF(G52="",0,IF(COUNTIF($G$2:G52,G52)=1,1,0))</f>
        <v>1</v>
      </c>
      <c r="J52" s="32">
        <f>IF(H52="",0,IF(COUNTIF($H$2:H52,H52)=1,1,0))</f>
        <v>1</v>
      </c>
    </row>
    <row r="53" spans="1:10" ht="14.25" hidden="1" customHeight="1" x14ac:dyDescent="0.35">
      <c r="A53" s="30" t="s">
        <v>121</v>
      </c>
      <c r="B53" t="s">
        <v>105</v>
      </c>
      <c r="C53" t="s">
        <v>76</v>
      </c>
      <c r="D53" t="s">
        <v>106</v>
      </c>
      <c r="E53" s="31">
        <v>45372</v>
      </c>
      <c r="F53" t="s">
        <v>73</v>
      </c>
      <c r="G53" s="32" t="str">
        <f t="shared" si="0"/>
        <v>Campeonato Paulista de Fuzil 50 e 20 metros , Baixa Luminosidade e Shotgun 2024|2|FPTE|2024|ALRP</v>
      </c>
      <c r="H53" s="32" t="str">
        <f t="shared" si="1"/>
        <v>Campeonato Paulista de Fuzil 50 e 20 metros , Baixa Luminosidade e Shotgun 2024|FPTE|2024|ALRP</v>
      </c>
      <c r="I53" s="32">
        <f>IF(G53="",0,IF(COUNTIF($G$2:G53,G53)=1,1,0))</f>
        <v>1</v>
      </c>
      <c r="J53" s="32">
        <f>IF(H53="",0,IF(COUNTIF($H$2:H53,H53)=1,1,0))</f>
        <v>1</v>
      </c>
    </row>
    <row r="54" spans="1:10" ht="14.25" hidden="1" customHeight="1" x14ac:dyDescent="0.35">
      <c r="A54" s="30" t="s">
        <v>122</v>
      </c>
      <c r="B54" t="s">
        <v>105</v>
      </c>
      <c r="C54" t="s">
        <v>78</v>
      </c>
      <c r="D54" t="s">
        <v>115</v>
      </c>
      <c r="E54" s="31">
        <v>45372</v>
      </c>
      <c r="F54" s="7" t="s">
        <v>72</v>
      </c>
      <c r="G54" s="32" t="str">
        <f t="shared" si="0"/>
        <v>CAMPEONATO BRASILEIRO DE CAR/PST/RF 2024|2|CBTE|2024|ACRR</v>
      </c>
      <c r="H54" s="32" t="str">
        <f t="shared" si="1"/>
        <v>CAMPEONATO BRASILEIRO DE CAR/PST/RF 2024|CBTE|2024|ACRR</v>
      </c>
      <c r="I54" s="32">
        <f>IF(G54="",0,IF(COUNTIF($G$2:G54,G54)=1,1,0))</f>
        <v>1</v>
      </c>
      <c r="J54" s="32">
        <f>IF(H54="",0,IF(COUNTIF($H$2:H54,H54)=1,1,0))</f>
        <v>1</v>
      </c>
    </row>
    <row r="55" spans="1:10" ht="14.25" hidden="1" customHeight="1" x14ac:dyDescent="0.35">
      <c r="A55" s="30" t="s">
        <v>122</v>
      </c>
      <c r="B55" t="s">
        <v>105</v>
      </c>
      <c r="C55" t="s">
        <v>78</v>
      </c>
      <c r="D55" t="s">
        <v>115</v>
      </c>
      <c r="E55" s="31">
        <v>45372</v>
      </c>
      <c r="F55" s="7" t="s">
        <v>72</v>
      </c>
      <c r="G55" s="32" t="str">
        <f t="shared" si="0"/>
        <v>CAMPEONATO BRASILEIRO DE CAR/PST/RF 2024|2|CBTE|2024|ACRR</v>
      </c>
      <c r="H55" s="32" t="str">
        <f t="shared" si="1"/>
        <v>CAMPEONATO BRASILEIRO DE CAR/PST/RF 2024|CBTE|2024|ACRR</v>
      </c>
      <c r="I55" s="32">
        <f>IF(G55="",0,IF(COUNTIF($G$2:G55,G55)=1,1,0))</f>
        <v>0</v>
      </c>
      <c r="J55" s="32">
        <f>IF(H55="",0,IF(COUNTIF($H$2:H55,H55)=1,1,0))</f>
        <v>0</v>
      </c>
    </row>
    <row r="56" spans="1:10" ht="14.25" hidden="1" customHeight="1" x14ac:dyDescent="0.35">
      <c r="A56" s="30" t="s">
        <v>122</v>
      </c>
      <c r="B56" t="s">
        <v>105</v>
      </c>
      <c r="C56" t="s">
        <v>78</v>
      </c>
      <c r="D56" t="s">
        <v>115</v>
      </c>
      <c r="E56" s="31">
        <v>45372</v>
      </c>
      <c r="F56" s="7" t="s">
        <v>71</v>
      </c>
      <c r="G56" s="32" t="str">
        <f t="shared" si="0"/>
        <v>CAMPEONATO BRASILEIRO DE CAR/PST/RF 2024|2|CBTE|2024|ACRP</v>
      </c>
      <c r="H56" s="32" t="str">
        <f t="shared" si="1"/>
        <v>CAMPEONATO BRASILEIRO DE CAR/PST/RF 2024|CBTE|2024|ACRP</v>
      </c>
      <c r="I56" s="32">
        <f>IF(G56="",0,IF(COUNTIF($G$2:G56,G56)=1,1,0))</f>
        <v>1</v>
      </c>
      <c r="J56" s="32">
        <f>IF(H56="",0,IF(COUNTIF($H$2:H56,H56)=1,1,0))</f>
        <v>1</v>
      </c>
    </row>
    <row r="57" spans="1:10" ht="14.25" hidden="1" customHeight="1" x14ac:dyDescent="0.35">
      <c r="A57" s="30" t="s">
        <v>122</v>
      </c>
      <c r="B57" t="s">
        <v>105</v>
      </c>
      <c r="C57" t="s">
        <v>78</v>
      </c>
      <c r="D57" t="s">
        <v>115</v>
      </c>
      <c r="E57" s="31">
        <v>45372</v>
      </c>
      <c r="F57" s="7" t="s">
        <v>72</v>
      </c>
      <c r="G57" s="32" t="str">
        <f t="shared" si="0"/>
        <v>CAMPEONATO BRASILEIRO DE CAR/PST/RF 2024|2|CBTE|2024|ACRR</v>
      </c>
      <c r="H57" s="32" t="str">
        <f t="shared" si="1"/>
        <v>CAMPEONATO BRASILEIRO DE CAR/PST/RF 2024|CBTE|2024|ACRR</v>
      </c>
      <c r="I57" s="32">
        <f>IF(G57="",0,IF(COUNTIF($G$2:G57,G57)=1,1,0))</f>
        <v>0</v>
      </c>
      <c r="J57" s="32">
        <f>IF(H57="",0,IF(COUNTIF($H$2:H57,H57)=1,1,0))</f>
        <v>0</v>
      </c>
    </row>
    <row r="58" spans="1:10" ht="14.25" hidden="1" customHeight="1" x14ac:dyDescent="0.35">
      <c r="A58" s="30" t="s">
        <v>122</v>
      </c>
      <c r="B58" t="s">
        <v>105</v>
      </c>
      <c r="C58" t="s">
        <v>78</v>
      </c>
      <c r="D58" t="s">
        <v>115</v>
      </c>
      <c r="E58" s="31">
        <v>45372</v>
      </c>
      <c r="F58" s="7" t="s">
        <v>71</v>
      </c>
      <c r="G58" s="32" t="str">
        <f t="shared" si="0"/>
        <v>CAMPEONATO BRASILEIRO DE CAR/PST/RF 2024|2|CBTE|2024|ACRP</v>
      </c>
      <c r="H58" s="32" t="str">
        <f t="shared" si="1"/>
        <v>CAMPEONATO BRASILEIRO DE CAR/PST/RF 2024|CBTE|2024|ACRP</v>
      </c>
      <c r="I58" s="32">
        <f>IF(G58="",0,IF(COUNTIF($G$2:G58,G58)=1,1,0))</f>
        <v>0</v>
      </c>
      <c r="J58" s="32">
        <f>IF(H58="",0,IF(COUNTIF($H$2:H58,H58)=1,1,0))</f>
        <v>0</v>
      </c>
    </row>
    <row r="59" spans="1:10" ht="14.25" hidden="1" customHeight="1" x14ac:dyDescent="0.35">
      <c r="A59" s="30" t="s">
        <v>122</v>
      </c>
      <c r="B59" t="s">
        <v>105</v>
      </c>
      <c r="C59" t="s">
        <v>78</v>
      </c>
      <c r="D59" t="s">
        <v>115</v>
      </c>
      <c r="E59" s="31">
        <v>45372</v>
      </c>
      <c r="F59" s="7" t="s">
        <v>72</v>
      </c>
      <c r="G59" s="32" t="str">
        <f t="shared" si="0"/>
        <v>CAMPEONATO BRASILEIRO DE CAR/PST/RF 2024|2|CBTE|2024|ACRR</v>
      </c>
      <c r="H59" s="32" t="str">
        <f t="shared" si="1"/>
        <v>CAMPEONATO BRASILEIRO DE CAR/PST/RF 2024|CBTE|2024|ACRR</v>
      </c>
      <c r="I59" s="32">
        <f>IF(G59="",0,IF(COUNTIF($G$2:G59,G59)=1,1,0))</f>
        <v>0</v>
      </c>
      <c r="J59" s="32">
        <f>IF(H59="",0,IF(COUNTIF($H$2:H59,H59)=1,1,0))</f>
        <v>0</v>
      </c>
    </row>
    <row r="60" spans="1:10" ht="14.25" hidden="1" customHeight="1" x14ac:dyDescent="0.35">
      <c r="A60" s="30" t="s">
        <v>123</v>
      </c>
      <c r="B60" t="s">
        <v>105</v>
      </c>
      <c r="C60" t="s">
        <v>76</v>
      </c>
      <c r="D60" t="s">
        <v>106</v>
      </c>
      <c r="E60" s="31">
        <v>45374</v>
      </c>
      <c r="F60" t="s">
        <v>73</v>
      </c>
      <c r="G60" s="32" t="str">
        <f t="shared" si="0"/>
        <v>Campeonato Paulista e Brasileiro de Car/Pst/RF 2024|2|FPTE|2024|ALRP</v>
      </c>
      <c r="H60" s="32" t="str">
        <f t="shared" si="1"/>
        <v>Campeonato Paulista e Brasileiro de Car/Pst/RF 2024|FPTE|2024|ALRP</v>
      </c>
      <c r="I60" s="32">
        <f>IF(G60="",0,IF(COUNTIF($G$2:G60,G60)=1,1,0))</f>
        <v>1</v>
      </c>
      <c r="J60" s="32">
        <f>IF(H60="",0,IF(COUNTIF($H$2:H60,H60)=1,1,0))</f>
        <v>1</v>
      </c>
    </row>
    <row r="61" spans="1:10" ht="14.25" hidden="1" customHeight="1" x14ac:dyDescent="0.35">
      <c r="A61" s="30" t="s">
        <v>123</v>
      </c>
      <c r="B61" t="s">
        <v>105</v>
      </c>
      <c r="C61" t="s">
        <v>76</v>
      </c>
      <c r="D61" t="s">
        <v>106</v>
      </c>
      <c r="E61" s="31">
        <v>45374</v>
      </c>
      <c r="F61" t="s">
        <v>73</v>
      </c>
      <c r="G61" s="32" t="str">
        <f t="shared" si="0"/>
        <v>Campeonato Paulista e Brasileiro de Car/Pst/RF 2024|2|FPTE|2024|ALRP</v>
      </c>
      <c r="H61" s="32" t="str">
        <f t="shared" si="1"/>
        <v>Campeonato Paulista e Brasileiro de Car/Pst/RF 2024|FPTE|2024|ALRP</v>
      </c>
      <c r="I61" s="32">
        <f>IF(G61="",0,IF(COUNTIF($G$2:G61,G61)=1,1,0))</f>
        <v>0</v>
      </c>
      <c r="J61" s="32">
        <f>IF(H61="",0,IF(COUNTIF($H$2:H61,H61)=1,1,0))</f>
        <v>0</v>
      </c>
    </row>
    <row r="62" spans="1:10" ht="14.25" hidden="1" customHeight="1" x14ac:dyDescent="0.35">
      <c r="A62" s="30" t="s">
        <v>123</v>
      </c>
      <c r="B62" t="s">
        <v>105</v>
      </c>
      <c r="C62" t="s">
        <v>76</v>
      </c>
      <c r="D62" t="s">
        <v>106</v>
      </c>
      <c r="E62" s="31">
        <v>45374</v>
      </c>
      <c r="F62" t="s">
        <v>73</v>
      </c>
      <c r="G62" s="32" t="str">
        <f t="shared" si="0"/>
        <v>Campeonato Paulista e Brasileiro de Car/Pst/RF 2024|2|FPTE|2024|ALRP</v>
      </c>
      <c r="H62" s="32" t="str">
        <f t="shared" si="1"/>
        <v>Campeonato Paulista e Brasileiro de Car/Pst/RF 2024|FPTE|2024|ALRP</v>
      </c>
      <c r="I62" s="32">
        <f>IF(G62="",0,IF(COUNTIF($G$2:G62,G62)=1,1,0))</f>
        <v>0</v>
      </c>
      <c r="J62" s="32">
        <f>IF(H62="",0,IF(COUNTIF($H$2:H62,H62)=1,1,0))</f>
        <v>0</v>
      </c>
    </row>
    <row r="63" spans="1:10" ht="14.25" hidden="1" customHeight="1" x14ac:dyDescent="0.35">
      <c r="A63" s="30" t="s">
        <v>123</v>
      </c>
      <c r="B63" t="s">
        <v>105</v>
      </c>
      <c r="C63" t="s">
        <v>76</v>
      </c>
      <c r="D63" t="s">
        <v>106</v>
      </c>
      <c r="E63" s="31">
        <v>45374</v>
      </c>
      <c r="F63" t="s">
        <v>71</v>
      </c>
      <c r="G63" s="32" t="str">
        <f t="shared" si="0"/>
        <v>Campeonato Paulista e Brasileiro de Car/Pst/RF 2024|2|FPTE|2024|ACRP</v>
      </c>
      <c r="H63" s="32" t="str">
        <f t="shared" si="1"/>
        <v>Campeonato Paulista e Brasileiro de Car/Pst/RF 2024|FPTE|2024|ACRP</v>
      </c>
      <c r="I63" s="32">
        <f>IF(G63="",0,IF(COUNTIF($G$2:G63,G63)=1,1,0))</f>
        <v>1</v>
      </c>
      <c r="J63" s="32">
        <f>IF(H63="",0,IF(COUNTIF($H$2:H63,H63)=1,1,0))</f>
        <v>1</v>
      </c>
    </row>
    <row r="64" spans="1:10" ht="14.25" hidden="1" customHeight="1" x14ac:dyDescent="0.35">
      <c r="A64" s="30" t="s">
        <v>121</v>
      </c>
      <c r="B64" t="s">
        <v>105</v>
      </c>
      <c r="C64" t="s">
        <v>76</v>
      </c>
      <c r="D64" t="s">
        <v>106</v>
      </c>
      <c r="E64" s="31">
        <v>45374</v>
      </c>
      <c r="F64" t="s">
        <v>74</v>
      </c>
      <c r="G64" s="32" t="str">
        <f t="shared" si="0"/>
        <v>Campeonato Paulista de Fuzil 50 e 20 metros , Baixa Luminosidade e Shotgun 2024|2|FPTE|2024|ALRR</v>
      </c>
      <c r="H64" s="32" t="str">
        <f t="shared" si="1"/>
        <v>Campeonato Paulista de Fuzil 50 e 20 metros , Baixa Luminosidade e Shotgun 2024|FPTE|2024|ALRR</v>
      </c>
      <c r="I64" s="32">
        <f>IF(G64="",0,IF(COUNTIF($G$2:G64,G64)=1,1,0))</f>
        <v>1</v>
      </c>
      <c r="J64" s="32">
        <f>IF(H64="",0,IF(COUNTIF($H$2:H64,H64)=1,1,0))</f>
        <v>1</v>
      </c>
    </row>
    <row r="65" spans="1:10" ht="14.25" hidden="1" customHeight="1" x14ac:dyDescent="0.35">
      <c r="A65" s="30" t="s">
        <v>123</v>
      </c>
      <c r="B65" t="s">
        <v>105</v>
      </c>
      <c r="C65" t="s">
        <v>76</v>
      </c>
      <c r="D65" t="s">
        <v>106</v>
      </c>
      <c r="E65" s="31">
        <v>45374</v>
      </c>
      <c r="F65" t="s">
        <v>71</v>
      </c>
      <c r="G65" s="32" t="str">
        <f t="shared" si="0"/>
        <v>Campeonato Paulista e Brasileiro de Car/Pst/RF 2024|2|FPTE|2024|ACRP</v>
      </c>
      <c r="H65" s="32" t="str">
        <f t="shared" si="1"/>
        <v>Campeonato Paulista e Brasileiro de Car/Pst/RF 2024|FPTE|2024|ACRP</v>
      </c>
      <c r="I65" s="32">
        <f>IF(G65="",0,IF(COUNTIF($G$2:G65,G65)=1,1,0))</f>
        <v>0</v>
      </c>
      <c r="J65" s="32">
        <f>IF(H65="",0,IF(COUNTIF($H$2:H65,H65)=1,1,0))</f>
        <v>0</v>
      </c>
    </row>
    <row r="66" spans="1:10" ht="14.25" hidden="1" customHeight="1" x14ac:dyDescent="0.35">
      <c r="A66" s="30" t="s">
        <v>123</v>
      </c>
      <c r="B66" t="s">
        <v>105</v>
      </c>
      <c r="C66" t="s">
        <v>76</v>
      </c>
      <c r="D66" t="s">
        <v>106</v>
      </c>
      <c r="E66" s="31">
        <v>45374</v>
      </c>
      <c r="F66" t="s">
        <v>71</v>
      </c>
      <c r="G66" s="32" t="str">
        <f t="shared" ref="G66:G129" si="2">IF(D66="T",
E66&amp;"|"&amp;F66,
A66&amp;"|"&amp;B66&amp;"|"&amp;C66&amp;"|"&amp;YEAR(E66)&amp;"|"&amp;F66)</f>
        <v>Campeonato Paulista e Brasileiro de Car/Pst/RF 2024|2|FPTE|2024|ACRP</v>
      </c>
      <c r="H66" s="32" t="str">
        <f t="shared" ref="H66:H129" si="3">A66&amp;"|"&amp;C66&amp;"|"&amp;YEAR(E66)&amp;"|"&amp;F66</f>
        <v>Campeonato Paulista e Brasileiro de Car/Pst/RF 2024|FPTE|2024|ACRP</v>
      </c>
      <c r="I66" s="32">
        <f>IF(G66="",0,IF(COUNTIF($G$2:G66,G66)=1,1,0))</f>
        <v>0</v>
      </c>
      <c r="J66" s="32">
        <f>IF(H66="",0,IF(COUNTIF($H$2:H66,H66)=1,1,0))</f>
        <v>0</v>
      </c>
    </row>
    <row r="67" spans="1:10" ht="14.25" hidden="1" customHeight="1" x14ac:dyDescent="0.35">
      <c r="A67" s="30" t="s">
        <v>123</v>
      </c>
      <c r="B67" t="s">
        <v>105</v>
      </c>
      <c r="C67" t="s">
        <v>76</v>
      </c>
      <c r="D67" t="s">
        <v>106</v>
      </c>
      <c r="E67" s="31">
        <v>45374</v>
      </c>
      <c r="F67" t="s">
        <v>72</v>
      </c>
      <c r="G67" s="32" t="str">
        <f t="shared" si="2"/>
        <v>Campeonato Paulista e Brasileiro de Car/Pst/RF 2024|2|FPTE|2024|ACRR</v>
      </c>
      <c r="H67" s="32" t="str">
        <f t="shared" si="3"/>
        <v>Campeonato Paulista e Brasileiro de Car/Pst/RF 2024|FPTE|2024|ACRR</v>
      </c>
      <c r="I67" s="32">
        <f>IF(G67="",0,IF(COUNTIF($G$2:G67,G67)=1,1,0))</f>
        <v>1</v>
      </c>
      <c r="J67" s="32">
        <f>IF(H67="",0,IF(COUNTIF($H$2:H67,H67)=1,1,0))</f>
        <v>1</v>
      </c>
    </row>
    <row r="68" spans="1:10" ht="14.25" hidden="1" customHeight="1" x14ac:dyDescent="0.35">
      <c r="A68" s="30" t="s">
        <v>123</v>
      </c>
      <c r="B68" t="s">
        <v>105</v>
      </c>
      <c r="C68" t="s">
        <v>76</v>
      </c>
      <c r="D68" t="s">
        <v>106</v>
      </c>
      <c r="E68" s="31">
        <v>45374</v>
      </c>
      <c r="F68" t="s">
        <v>72</v>
      </c>
      <c r="G68" s="32" t="str">
        <f t="shared" si="2"/>
        <v>Campeonato Paulista e Brasileiro de Car/Pst/RF 2024|2|FPTE|2024|ACRR</v>
      </c>
      <c r="H68" s="32" t="str">
        <f t="shared" si="3"/>
        <v>Campeonato Paulista e Brasileiro de Car/Pst/RF 2024|FPTE|2024|ACRR</v>
      </c>
      <c r="I68" s="32">
        <f>IF(G68="",0,IF(COUNTIF($G$2:G68,G68)=1,1,0))</f>
        <v>0</v>
      </c>
      <c r="J68" s="32">
        <f>IF(H68="",0,IF(COUNTIF($H$2:H68,H68)=1,1,0))</f>
        <v>0</v>
      </c>
    </row>
    <row r="69" spans="1:10" ht="14.25" hidden="1" customHeight="1" x14ac:dyDescent="0.35">
      <c r="A69" s="30" t="s">
        <v>123</v>
      </c>
      <c r="B69" t="s">
        <v>105</v>
      </c>
      <c r="C69" t="s">
        <v>76</v>
      </c>
      <c r="D69" t="s">
        <v>106</v>
      </c>
      <c r="E69" s="31">
        <v>45374</v>
      </c>
      <c r="F69" t="s">
        <v>72</v>
      </c>
      <c r="G69" s="32" t="str">
        <f t="shared" si="2"/>
        <v>Campeonato Paulista e Brasileiro de Car/Pst/RF 2024|2|FPTE|2024|ACRR</v>
      </c>
      <c r="H69" s="32" t="str">
        <f t="shared" si="3"/>
        <v>Campeonato Paulista e Brasileiro de Car/Pst/RF 2024|FPTE|2024|ACRR</v>
      </c>
      <c r="I69" s="32">
        <f>IF(G69="",0,IF(COUNTIF($G$2:G69,G69)=1,1,0))</f>
        <v>0</v>
      </c>
      <c r="J69" s="32">
        <f>IF(H69="",0,IF(COUNTIF($H$2:H69,H69)=1,1,0))</f>
        <v>0</v>
      </c>
    </row>
    <row r="70" spans="1:10" ht="14.25" hidden="1" customHeight="1" x14ac:dyDescent="0.35">
      <c r="A70" s="30" t="s">
        <v>124</v>
      </c>
      <c r="B70" t="s">
        <v>111</v>
      </c>
      <c r="C70" t="s">
        <v>78</v>
      </c>
      <c r="D70" t="s">
        <v>115</v>
      </c>
      <c r="E70" s="31">
        <v>45383</v>
      </c>
      <c r="F70" s="7" t="s">
        <v>71</v>
      </c>
      <c r="G70" s="32" t="str">
        <f t="shared" si="2"/>
        <v>NACIONAL LIGHT|3|CBTE|2024|ACRP</v>
      </c>
      <c r="H70" s="32" t="str">
        <f t="shared" si="3"/>
        <v>NACIONAL LIGHT|CBTE|2024|ACRP</v>
      </c>
      <c r="I70" s="32">
        <f>IF(G70="",0,IF(COUNTIF($G$2:G70,G70)=1,1,0))</f>
        <v>1</v>
      </c>
      <c r="J70" s="32">
        <f>IF(H70="",0,IF(COUNTIF($H$2:H70,H70)=1,1,0))</f>
        <v>1</v>
      </c>
    </row>
    <row r="71" spans="1:10" ht="14.25" hidden="1" customHeight="1" x14ac:dyDescent="0.35">
      <c r="A71" s="30" t="s">
        <v>124</v>
      </c>
      <c r="B71" t="s">
        <v>111</v>
      </c>
      <c r="C71" t="s">
        <v>78</v>
      </c>
      <c r="D71" t="s">
        <v>115</v>
      </c>
      <c r="E71" s="31">
        <v>45383</v>
      </c>
      <c r="F71" s="7" t="s">
        <v>71</v>
      </c>
      <c r="G71" s="32" t="str">
        <f t="shared" si="2"/>
        <v>NACIONAL LIGHT|3|CBTE|2024|ACRP</v>
      </c>
      <c r="H71" s="32" t="str">
        <f t="shared" si="3"/>
        <v>NACIONAL LIGHT|CBTE|2024|ACRP</v>
      </c>
      <c r="I71" s="32">
        <f>IF(G71="",0,IF(COUNTIF($G$2:G71,G71)=1,1,0))</f>
        <v>0</v>
      </c>
      <c r="J71" s="32">
        <f>IF(H71="",0,IF(COUNTIF($H$2:H71,H71)=1,1,0))</f>
        <v>0</v>
      </c>
    </row>
    <row r="72" spans="1:10" ht="14.25" hidden="1" customHeight="1" x14ac:dyDescent="0.35">
      <c r="A72" s="30" t="s">
        <v>124</v>
      </c>
      <c r="B72" t="s">
        <v>111</v>
      </c>
      <c r="C72" t="s">
        <v>78</v>
      </c>
      <c r="D72" t="s">
        <v>115</v>
      </c>
      <c r="E72" s="31">
        <v>45383</v>
      </c>
      <c r="F72" s="7" t="s">
        <v>72</v>
      </c>
      <c r="G72" s="32" t="str">
        <f t="shared" si="2"/>
        <v>NACIONAL LIGHT|3|CBTE|2024|ACRR</v>
      </c>
      <c r="H72" s="32" t="str">
        <f t="shared" si="3"/>
        <v>NACIONAL LIGHT|CBTE|2024|ACRR</v>
      </c>
      <c r="I72" s="32">
        <f>IF(G72="",0,IF(COUNTIF($G$2:G72,G72)=1,1,0))</f>
        <v>1</v>
      </c>
      <c r="J72" s="32">
        <f>IF(H72="",0,IF(COUNTIF($H$2:H72,H72)=1,1,0))</f>
        <v>1</v>
      </c>
    </row>
    <row r="73" spans="1:10" ht="14.25" hidden="1" customHeight="1" x14ac:dyDescent="0.35">
      <c r="A73" s="30" t="s">
        <v>124</v>
      </c>
      <c r="B73" t="s">
        <v>111</v>
      </c>
      <c r="C73" t="s">
        <v>78</v>
      </c>
      <c r="D73" t="s">
        <v>115</v>
      </c>
      <c r="E73" s="31">
        <v>45383</v>
      </c>
      <c r="F73" s="7" t="s">
        <v>72</v>
      </c>
      <c r="G73" s="32" t="str">
        <f t="shared" si="2"/>
        <v>NACIONAL LIGHT|3|CBTE|2024|ACRR</v>
      </c>
      <c r="H73" s="32" t="str">
        <f t="shared" si="3"/>
        <v>NACIONAL LIGHT|CBTE|2024|ACRR</v>
      </c>
      <c r="I73" s="32">
        <f>IF(G73="",0,IF(COUNTIF($G$2:G73,G73)=1,1,0))</f>
        <v>0</v>
      </c>
      <c r="J73" s="32">
        <f>IF(H73="",0,IF(COUNTIF($H$2:H73,H73)=1,1,0))</f>
        <v>0</v>
      </c>
    </row>
    <row r="74" spans="1:10" ht="14.25" hidden="1" customHeight="1" x14ac:dyDescent="0.35">
      <c r="A74" s="30" t="s">
        <v>124</v>
      </c>
      <c r="B74" t="s">
        <v>111</v>
      </c>
      <c r="C74" t="s">
        <v>78</v>
      </c>
      <c r="D74" t="s">
        <v>115</v>
      </c>
      <c r="E74" s="31">
        <v>45383</v>
      </c>
      <c r="F74" s="7" t="s">
        <v>72</v>
      </c>
      <c r="G74" s="32" t="str">
        <f t="shared" si="2"/>
        <v>NACIONAL LIGHT|3|CBTE|2024|ACRR</v>
      </c>
      <c r="H74" s="32" t="str">
        <f t="shared" si="3"/>
        <v>NACIONAL LIGHT|CBTE|2024|ACRR</v>
      </c>
      <c r="I74" s="32">
        <f>IF(G74="",0,IF(COUNTIF($G$2:G74,G74)=1,1,0))</f>
        <v>0</v>
      </c>
      <c r="J74" s="32">
        <f>IF(H74="",0,IF(COUNTIF($H$2:H74,H74)=1,1,0))</f>
        <v>0</v>
      </c>
    </row>
    <row r="75" spans="1:10" ht="14.25" hidden="1" customHeight="1" x14ac:dyDescent="0.35">
      <c r="A75" s="30" t="s">
        <v>125</v>
      </c>
      <c r="B75" t="s">
        <v>111</v>
      </c>
      <c r="C75" t="s">
        <v>76</v>
      </c>
      <c r="D75" t="s">
        <v>106</v>
      </c>
      <c r="E75" s="31">
        <v>45386</v>
      </c>
      <c r="F75" t="s">
        <v>71</v>
      </c>
      <c r="G75" s="32" t="str">
        <f t="shared" si="2"/>
        <v>Paulista e Nacional Light|3|FPTE|2024|ACRP</v>
      </c>
      <c r="H75" s="32" t="str">
        <f t="shared" si="3"/>
        <v>Paulista e Nacional Light|FPTE|2024|ACRP</v>
      </c>
      <c r="I75" s="32">
        <f>IF(G75="",0,IF(COUNTIF($G$2:G75,G75)=1,1,0))</f>
        <v>1</v>
      </c>
      <c r="J75" s="32">
        <f>IF(H75="",0,IF(COUNTIF($H$2:H75,H75)=1,1,0))</f>
        <v>1</v>
      </c>
    </row>
    <row r="76" spans="1:10" ht="14.25" hidden="1" customHeight="1" x14ac:dyDescent="0.35">
      <c r="A76" s="30" t="s">
        <v>125</v>
      </c>
      <c r="B76" t="s">
        <v>111</v>
      </c>
      <c r="C76" t="s">
        <v>76</v>
      </c>
      <c r="D76" t="s">
        <v>106</v>
      </c>
      <c r="E76" s="31">
        <v>45398</v>
      </c>
      <c r="F76" t="s">
        <v>72</v>
      </c>
      <c r="G76" s="32" t="str">
        <f t="shared" si="2"/>
        <v>Paulista e Nacional Light|3|FPTE|2024|ACRR</v>
      </c>
      <c r="H76" s="32" t="str">
        <f t="shared" si="3"/>
        <v>Paulista e Nacional Light|FPTE|2024|ACRR</v>
      </c>
      <c r="I76" s="32">
        <f>IF(G76="",0,IF(COUNTIF($G$2:G76,G76)=1,1,0))</f>
        <v>1</v>
      </c>
      <c r="J76" s="32">
        <f>IF(H76="",0,IF(COUNTIF($H$2:H76,H76)=1,1,0))</f>
        <v>1</v>
      </c>
    </row>
    <row r="77" spans="1:10" ht="14.25" hidden="1" customHeight="1" x14ac:dyDescent="0.35">
      <c r="A77" s="30" t="s">
        <v>125</v>
      </c>
      <c r="B77" t="s">
        <v>111</v>
      </c>
      <c r="C77" t="s">
        <v>76</v>
      </c>
      <c r="D77" t="s">
        <v>106</v>
      </c>
      <c r="E77" s="31">
        <v>45398</v>
      </c>
      <c r="F77" t="s">
        <v>72</v>
      </c>
      <c r="G77" s="32" t="str">
        <f t="shared" si="2"/>
        <v>Paulista e Nacional Light|3|FPTE|2024|ACRR</v>
      </c>
      <c r="H77" s="32" t="str">
        <f t="shared" si="3"/>
        <v>Paulista e Nacional Light|FPTE|2024|ACRR</v>
      </c>
      <c r="I77" s="32">
        <f>IF(G77="",0,IF(COUNTIF($G$2:G77,G77)=1,1,0))</f>
        <v>0</v>
      </c>
      <c r="J77" s="32">
        <f>IF(H77="",0,IF(COUNTIF($H$2:H77,H77)=1,1,0))</f>
        <v>0</v>
      </c>
    </row>
    <row r="78" spans="1:10" ht="14.25" hidden="1" customHeight="1" x14ac:dyDescent="0.35">
      <c r="A78" s="30" t="s">
        <v>125</v>
      </c>
      <c r="B78" t="s">
        <v>111</v>
      </c>
      <c r="C78" t="s">
        <v>76</v>
      </c>
      <c r="D78" t="s">
        <v>106</v>
      </c>
      <c r="E78" s="31">
        <v>45398</v>
      </c>
      <c r="F78" t="s">
        <v>72</v>
      </c>
      <c r="G78" s="32" t="str">
        <f t="shared" si="2"/>
        <v>Paulista e Nacional Light|3|FPTE|2024|ACRR</v>
      </c>
      <c r="H78" s="32" t="str">
        <f t="shared" si="3"/>
        <v>Paulista e Nacional Light|FPTE|2024|ACRR</v>
      </c>
      <c r="I78" s="32">
        <f>IF(G78="",0,IF(COUNTIF($G$2:G78,G78)=1,1,0))</f>
        <v>0</v>
      </c>
      <c r="J78" s="32">
        <f>IF(H78="",0,IF(COUNTIF($H$2:H78,H78)=1,1,0))</f>
        <v>0</v>
      </c>
    </row>
    <row r="79" spans="1:10" ht="14.25" hidden="1" customHeight="1" x14ac:dyDescent="0.35">
      <c r="A79" s="30" t="s">
        <v>125</v>
      </c>
      <c r="B79" t="s">
        <v>111</v>
      </c>
      <c r="C79" t="s">
        <v>76</v>
      </c>
      <c r="D79" t="s">
        <v>106</v>
      </c>
      <c r="E79" s="31">
        <v>45398</v>
      </c>
      <c r="F79" t="s">
        <v>71</v>
      </c>
      <c r="G79" s="32" t="str">
        <f t="shared" si="2"/>
        <v>Paulista e Nacional Light|3|FPTE|2024|ACRP</v>
      </c>
      <c r="H79" s="32" t="str">
        <f t="shared" si="3"/>
        <v>Paulista e Nacional Light|FPTE|2024|ACRP</v>
      </c>
      <c r="I79" s="32">
        <f>IF(G79="",0,IF(COUNTIF($G$2:G79,G79)=1,1,0))</f>
        <v>0</v>
      </c>
      <c r="J79" s="32">
        <f>IF(H79="",0,IF(COUNTIF($H$2:H79,H79)=1,1,0))</f>
        <v>0</v>
      </c>
    </row>
    <row r="80" spans="1:10" ht="14.25" hidden="1" customHeight="1" x14ac:dyDescent="0.35">
      <c r="A80" s="30" t="s">
        <v>121</v>
      </c>
      <c r="B80" t="s">
        <v>111</v>
      </c>
      <c r="C80" t="s">
        <v>76</v>
      </c>
      <c r="D80" t="s">
        <v>106</v>
      </c>
      <c r="E80" s="31">
        <v>45400</v>
      </c>
      <c r="F80" t="s">
        <v>74</v>
      </c>
      <c r="G80" s="32" t="str">
        <f t="shared" si="2"/>
        <v>Campeonato Paulista de Fuzil 50 e 20 metros , Baixa Luminosidade e Shotgun 2024|3|FPTE|2024|ALRR</v>
      </c>
      <c r="H80" s="32" t="str">
        <f t="shared" si="3"/>
        <v>Campeonato Paulista de Fuzil 50 e 20 metros , Baixa Luminosidade e Shotgun 2024|FPTE|2024|ALRR</v>
      </c>
      <c r="I80" s="32">
        <f>IF(G80="",0,IF(COUNTIF($G$2:G80,G80)=1,1,0))</f>
        <v>1</v>
      </c>
      <c r="J80" s="32">
        <f>IF(H80="",0,IF(COUNTIF($H$2:H80,H80)=1,1,0))</f>
        <v>0</v>
      </c>
    </row>
    <row r="81" spans="1:10" ht="14.25" hidden="1" customHeight="1" x14ac:dyDescent="0.35">
      <c r="A81" s="30" t="s">
        <v>125</v>
      </c>
      <c r="B81" t="s">
        <v>111</v>
      </c>
      <c r="C81" t="s">
        <v>76</v>
      </c>
      <c r="D81" t="s">
        <v>106</v>
      </c>
      <c r="E81" s="31">
        <v>45412</v>
      </c>
      <c r="F81" t="s">
        <v>74</v>
      </c>
      <c r="G81" s="32" t="str">
        <f t="shared" si="2"/>
        <v>Paulista e Nacional Light|3|FPTE|2024|ALRR</v>
      </c>
      <c r="H81" s="32" t="str">
        <f t="shared" si="3"/>
        <v>Paulista e Nacional Light|FPTE|2024|ALRR</v>
      </c>
      <c r="I81" s="32">
        <f>IF(G81="",0,IF(COUNTIF($G$2:G81,G81)=1,1,0))</f>
        <v>1</v>
      </c>
      <c r="J81" s="32">
        <f>IF(H81="",0,IF(COUNTIF($H$2:H81,H81)=1,1,0))</f>
        <v>1</v>
      </c>
    </row>
    <row r="82" spans="1:10" ht="14.25" hidden="1" customHeight="1" x14ac:dyDescent="0.35">
      <c r="A82" s="30" t="s">
        <v>124</v>
      </c>
      <c r="B82" t="s">
        <v>108</v>
      </c>
      <c r="C82" t="s">
        <v>78</v>
      </c>
      <c r="D82" t="s">
        <v>115</v>
      </c>
      <c r="E82" s="31">
        <v>45413</v>
      </c>
      <c r="F82" s="7" t="s">
        <v>71</v>
      </c>
      <c r="G82" s="32" t="str">
        <f t="shared" si="2"/>
        <v>NACIONAL LIGHT|4|CBTE|2024|ACRP</v>
      </c>
      <c r="H82" s="32" t="str">
        <f t="shared" si="3"/>
        <v>NACIONAL LIGHT|CBTE|2024|ACRP</v>
      </c>
      <c r="I82" s="32">
        <f>IF(G82="",0,IF(COUNTIF($G$2:G82,G82)=1,1,0))</f>
        <v>1</v>
      </c>
      <c r="J82" s="32">
        <f>IF(H82="",0,IF(COUNTIF($H$2:H82,H82)=1,1,0))</f>
        <v>0</v>
      </c>
    </row>
    <row r="83" spans="1:10" ht="14.25" hidden="1" customHeight="1" x14ac:dyDescent="0.35">
      <c r="A83" s="30" t="s">
        <v>124</v>
      </c>
      <c r="B83" t="s">
        <v>108</v>
      </c>
      <c r="C83" t="s">
        <v>78</v>
      </c>
      <c r="D83" t="s">
        <v>115</v>
      </c>
      <c r="E83" s="31">
        <v>45413</v>
      </c>
      <c r="F83" s="7" t="s">
        <v>72</v>
      </c>
      <c r="G83" s="32" t="str">
        <f t="shared" si="2"/>
        <v>NACIONAL LIGHT|4|CBTE|2024|ACRR</v>
      </c>
      <c r="H83" s="32" t="str">
        <f t="shared" si="3"/>
        <v>NACIONAL LIGHT|CBTE|2024|ACRR</v>
      </c>
      <c r="I83" s="32">
        <f>IF(G83="",0,IF(COUNTIF($G$2:G83,G83)=1,1,0))</f>
        <v>1</v>
      </c>
      <c r="J83" s="32">
        <f>IF(H83="",0,IF(COUNTIF($H$2:H83,H83)=1,1,0))</f>
        <v>0</v>
      </c>
    </row>
    <row r="84" spans="1:10" ht="14.25" hidden="1" customHeight="1" x14ac:dyDescent="0.35">
      <c r="A84" s="30" t="s">
        <v>124</v>
      </c>
      <c r="B84" t="s">
        <v>108</v>
      </c>
      <c r="C84" t="s">
        <v>78</v>
      </c>
      <c r="D84" t="s">
        <v>115</v>
      </c>
      <c r="E84" s="31">
        <v>45413</v>
      </c>
      <c r="F84" s="7" t="s">
        <v>72</v>
      </c>
      <c r="G84" s="32" t="str">
        <f t="shared" si="2"/>
        <v>NACIONAL LIGHT|4|CBTE|2024|ACRR</v>
      </c>
      <c r="H84" s="32" t="str">
        <f t="shared" si="3"/>
        <v>NACIONAL LIGHT|CBTE|2024|ACRR</v>
      </c>
      <c r="I84" s="32">
        <f>IF(G84="",0,IF(COUNTIF($G$2:G84,G84)=1,1,0))</f>
        <v>0</v>
      </c>
      <c r="J84" s="32">
        <f>IF(H84="",0,IF(COUNTIF($H$2:H84,H84)=1,1,0))</f>
        <v>0</v>
      </c>
    </row>
    <row r="85" spans="1:10" ht="14.25" hidden="1" customHeight="1" x14ac:dyDescent="0.35">
      <c r="A85" s="30" t="s">
        <v>124</v>
      </c>
      <c r="B85" t="s">
        <v>108</v>
      </c>
      <c r="C85" t="s">
        <v>78</v>
      </c>
      <c r="D85" t="s">
        <v>115</v>
      </c>
      <c r="E85" s="31">
        <v>45413</v>
      </c>
      <c r="F85" s="7" t="s">
        <v>72</v>
      </c>
      <c r="G85" s="32" t="str">
        <f t="shared" si="2"/>
        <v>NACIONAL LIGHT|4|CBTE|2024|ACRR</v>
      </c>
      <c r="H85" s="32" t="str">
        <f t="shared" si="3"/>
        <v>NACIONAL LIGHT|CBTE|2024|ACRR</v>
      </c>
      <c r="I85" s="32">
        <f>IF(G85="",0,IF(COUNTIF($G$2:G85,G85)=1,1,0))</f>
        <v>0</v>
      </c>
      <c r="J85" s="32">
        <f>IF(H85="",0,IF(COUNTIF($H$2:H85,H85)=1,1,0))</f>
        <v>0</v>
      </c>
    </row>
    <row r="86" spans="1:10" ht="14.25" hidden="1" customHeight="1" x14ac:dyDescent="0.35">
      <c r="A86" s="30" t="s">
        <v>124</v>
      </c>
      <c r="B86" t="s">
        <v>108</v>
      </c>
      <c r="C86" t="s">
        <v>78</v>
      </c>
      <c r="D86" t="s">
        <v>115</v>
      </c>
      <c r="E86" s="31">
        <v>45413</v>
      </c>
      <c r="F86" s="7" t="s">
        <v>72</v>
      </c>
      <c r="G86" s="32" t="str">
        <f t="shared" si="2"/>
        <v>NACIONAL LIGHT|4|CBTE|2024|ACRR</v>
      </c>
      <c r="H86" s="32" t="str">
        <f t="shared" si="3"/>
        <v>NACIONAL LIGHT|CBTE|2024|ACRR</v>
      </c>
      <c r="I86" s="32">
        <f>IF(G86="",0,IF(COUNTIF($G$2:G86,G86)=1,1,0))</f>
        <v>0</v>
      </c>
      <c r="J86" s="32">
        <f>IF(H86="",0,IF(COUNTIF($H$2:H86,H86)=1,1,0))</f>
        <v>0</v>
      </c>
    </row>
    <row r="87" spans="1:10" ht="14.25" hidden="1" customHeight="1" x14ac:dyDescent="0.35">
      <c r="A87" s="30" t="s">
        <v>124</v>
      </c>
      <c r="B87" t="s">
        <v>108</v>
      </c>
      <c r="C87" t="s">
        <v>78</v>
      </c>
      <c r="D87" t="s">
        <v>115</v>
      </c>
      <c r="E87" s="31">
        <v>45413</v>
      </c>
      <c r="F87" s="7" t="s">
        <v>71</v>
      </c>
      <c r="G87" s="32" t="str">
        <f t="shared" si="2"/>
        <v>NACIONAL LIGHT|4|CBTE|2024|ACRP</v>
      </c>
      <c r="H87" s="32" t="str">
        <f t="shared" si="3"/>
        <v>NACIONAL LIGHT|CBTE|2024|ACRP</v>
      </c>
      <c r="I87" s="32">
        <f>IF(G87="",0,IF(COUNTIF($G$2:G87,G87)=1,1,0))</f>
        <v>0</v>
      </c>
      <c r="J87" s="32">
        <f>IF(H87="",0,IF(COUNTIF($H$2:H87,H87)=1,1,0))</f>
        <v>0</v>
      </c>
    </row>
    <row r="88" spans="1:10" ht="14.25" hidden="1" customHeight="1" x14ac:dyDescent="0.35">
      <c r="A88" s="30" t="s">
        <v>123</v>
      </c>
      <c r="B88" t="s">
        <v>108</v>
      </c>
      <c r="C88" t="s">
        <v>76</v>
      </c>
      <c r="D88" t="s">
        <v>106</v>
      </c>
      <c r="E88" s="31">
        <v>45414</v>
      </c>
      <c r="F88" t="s">
        <v>71</v>
      </c>
      <c r="G88" s="32" t="str">
        <f t="shared" si="2"/>
        <v>Campeonato Paulista e Brasileiro de Car/Pst/RF 2024|4|FPTE|2024|ACRP</v>
      </c>
      <c r="H88" s="32" t="str">
        <f t="shared" si="3"/>
        <v>Campeonato Paulista e Brasileiro de Car/Pst/RF 2024|FPTE|2024|ACRP</v>
      </c>
      <c r="I88" s="32">
        <f>IF(G88="",0,IF(COUNTIF($G$2:G88,G88)=1,1,0))</f>
        <v>1</v>
      </c>
      <c r="J88" s="32">
        <f>IF(H88="",0,IF(COUNTIF($H$2:H88,H88)=1,1,0))</f>
        <v>0</v>
      </c>
    </row>
    <row r="89" spans="1:10" ht="14.25" hidden="1" customHeight="1" x14ac:dyDescent="0.35">
      <c r="A89" s="30" t="s">
        <v>123</v>
      </c>
      <c r="B89" t="s">
        <v>108</v>
      </c>
      <c r="C89" t="s">
        <v>76</v>
      </c>
      <c r="D89" t="s">
        <v>106</v>
      </c>
      <c r="E89" s="31">
        <v>45414</v>
      </c>
      <c r="F89" t="s">
        <v>72</v>
      </c>
      <c r="G89" s="32" t="str">
        <f t="shared" si="2"/>
        <v>Campeonato Paulista e Brasileiro de Car/Pst/RF 2024|4|FPTE|2024|ACRR</v>
      </c>
      <c r="H89" s="32" t="str">
        <f t="shared" si="3"/>
        <v>Campeonato Paulista e Brasileiro de Car/Pst/RF 2024|FPTE|2024|ACRR</v>
      </c>
      <c r="I89" s="32">
        <f>IF(G89="",0,IF(COUNTIF($G$2:G89,G89)=1,1,0))</f>
        <v>1</v>
      </c>
      <c r="J89" s="32">
        <f>IF(H89="",0,IF(COUNTIF($H$2:H89,H89)=1,1,0))</f>
        <v>0</v>
      </c>
    </row>
    <row r="90" spans="1:10" ht="14.25" hidden="1" customHeight="1" x14ac:dyDescent="0.35">
      <c r="A90" s="30" t="s">
        <v>123</v>
      </c>
      <c r="B90" t="s">
        <v>108</v>
      </c>
      <c r="C90" t="s">
        <v>76</v>
      </c>
      <c r="D90" t="s">
        <v>106</v>
      </c>
      <c r="E90" s="31">
        <v>45414</v>
      </c>
      <c r="F90" t="s">
        <v>72</v>
      </c>
      <c r="G90" s="32" t="str">
        <f t="shared" si="2"/>
        <v>Campeonato Paulista e Brasileiro de Car/Pst/RF 2024|4|FPTE|2024|ACRR</v>
      </c>
      <c r="H90" s="32" t="str">
        <f t="shared" si="3"/>
        <v>Campeonato Paulista e Brasileiro de Car/Pst/RF 2024|FPTE|2024|ACRR</v>
      </c>
      <c r="I90" s="32">
        <f>IF(G90="",0,IF(COUNTIF($G$2:G90,G90)=1,1,0))</f>
        <v>0</v>
      </c>
      <c r="J90" s="32">
        <f>IF(H90="",0,IF(COUNTIF($H$2:H90,H90)=1,1,0))</f>
        <v>0</v>
      </c>
    </row>
    <row r="91" spans="1:10" ht="14.25" hidden="1" customHeight="1" x14ac:dyDescent="0.35">
      <c r="A91" s="30" t="s">
        <v>123</v>
      </c>
      <c r="B91" t="s">
        <v>108</v>
      </c>
      <c r="C91" t="s">
        <v>76</v>
      </c>
      <c r="D91" t="s">
        <v>106</v>
      </c>
      <c r="E91" s="31">
        <v>45414</v>
      </c>
      <c r="F91" t="s">
        <v>72</v>
      </c>
      <c r="G91" s="32" t="str">
        <f t="shared" si="2"/>
        <v>Campeonato Paulista e Brasileiro de Car/Pst/RF 2024|4|FPTE|2024|ACRR</v>
      </c>
      <c r="H91" s="32" t="str">
        <f t="shared" si="3"/>
        <v>Campeonato Paulista e Brasileiro de Car/Pst/RF 2024|FPTE|2024|ACRR</v>
      </c>
      <c r="I91" s="32">
        <f>IF(G91="",0,IF(COUNTIF($G$2:G91,G91)=1,1,0))</f>
        <v>0</v>
      </c>
      <c r="J91" s="32">
        <f>IF(H91="",0,IF(COUNTIF($H$2:H91,H91)=1,1,0))</f>
        <v>0</v>
      </c>
    </row>
    <row r="92" spans="1:10" ht="14.25" hidden="1" customHeight="1" x14ac:dyDescent="0.35">
      <c r="A92" s="30" t="s">
        <v>123</v>
      </c>
      <c r="B92" t="s">
        <v>108</v>
      </c>
      <c r="C92" t="s">
        <v>76</v>
      </c>
      <c r="D92" t="s">
        <v>106</v>
      </c>
      <c r="E92" s="31">
        <v>45414</v>
      </c>
      <c r="F92" t="s">
        <v>71</v>
      </c>
      <c r="G92" s="32" t="str">
        <f t="shared" si="2"/>
        <v>Campeonato Paulista e Brasileiro de Car/Pst/RF 2024|4|FPTE|2024|ACRP</v>
      </c>
      <c r="H92" s="32" t="str">
        <f t="shared" si="3"/>
        <v>Campeonato Paulista e Brasileiro de Car/Pst/RF 2024|FPTE|2024|ACRP</v>
      </c>
      <c r="I92" s="32">
        <f>IF(G92="",0,IF(COUNTIF($G$2:G92,G92)=1,1,0))</f>
        <v>0</v>
      </c>
      <c r="J92" s="32">
        <f>IF(H92="",0,IF(COUNTIF($H$2:H92,H92)=1,1,0))</f>
        <v>0</v>
      </c>
    </row>
    <row r="93" spans="1:10" ht="14.25" hidden="1" customHeight="1" x14ac:dyDescent="0.35">
      <c r="A93" s="30" t="s">
        <v>123</v>
      </c>
      <c r="B93" t="s">
        <v>108</v>
      </c>
      <c r="C93" t="s">
        <v>76</v>
      </c>
      <c r="D93" t="s">
        <v>106</v>
      </c>
      <c r="E93" s="31">
        <v>45414</v>
      </c>
      <c r="F93" t="s">
        <v>72</v>
      </c>
      <c r="G93" s="32" t="str">
        <f t="shared" si="2"/>
        <v>Campeonato Paulista e Brasileiro de Car/Pst/RF 2024|4|FPTE|2024|ACRR</v>
      </c>
      <c r="H93" s="32" t="str">
        <f t="shared" si="3"/>
        <v>Campeonato Paulista e Brasileiro de Car/Pst/RF 2024|FPTE|2024|ACRR</v>
      </c>
      <c r="I93" s="32">
        <f>IF(G93="",0,IF(COUNTIF($G$2:G93,G93)=1,1,0))</f>
        <v>0</v>
      </c>
      <c r="J93" s="32">
        <f>IF(H93="",0,IF(COUNTIF($H$2:H93,H93)=1,1,0))</f>
        <v>0</v>
      </c>
    </row>
    <row r="94" spans="1:10" ht="14.25" hidden="1" customHeight="1" x14ac:dyDescent="0.35">
      <c r="A94" s="30" t="s">
        <v>122</v>
      </c>
      <c r="B94" t="s">
        <v>108</v>
      </c>
      <c r="C94" t="s">
        <v>78</v>
      </c>
      <c r="D94" t="s">
        <v>115</v>
      </c>
      <c r="E94" s="31">
        <v>45414</v>
      </c>
      <c r="F94" s="7" t="s">
        <v>71</v>
      </c>
      <c r="G94" s="32" t="str">
        <f t="shared" si="2"/>
        <v>CAMPEONATO BRASILEIRO DE CAR/PST/RF 2024|4|CBTE|2024|ACRP</v>
      </c>
      <c r="H94" s="32" t="str">
        <f t="shared" si="3"/>
        <v>CAMPEONATO BRASILEIRO DE CAR/PST/RF 2024|CBTE|2024|ACRP</v>
      </c>
      <c r="I94" s="32">
        <f>IF(G94="",0,IF(COUNTIF($G$2:G94,G94)=1,1,0))</f>
        <v>1</v>
      </c>
      <c r="J94" s="32">
        <f>IF(H94="",0,IF(COUNTIF($H$2:H94,H94)=1,1,0))</f>
        <v>0</v>
      </c>
    </row>
    <row r="95" spans="1:10" ht="14.25" hidden="1" customHeight="1" x14ac:dyDescent="0.35">
      <c r="A95" s="30" t="s">
        <v>122</v>
      </c>
      <c r="B95" t="s">
        <v>108</v>
      </c>
      <c r="C95" t="s">
        <v>78</v>
      </c>
      <c r="D95" t="s">
        <v>115</v>
      </c>
      <c r="E95" s="31">
        <v>45414</v>
      </c>
      <c r="F95" s="7" t="s">
        <v>72</v>
      </c>
      <c r="G95" s="32" t="str">
        <f t="shared" si="2"/>
        <v>CAMPEONATO BRASILEIRO DE CAR/PST/RF 2024|4|CBTE|2024|ACRR</v>
      </c>
      <c r="H95" s="32" t="str">
        <f t="shared" si="3"/>
        <v>CAMPEONATO BRASILEIRO DE CAR/PST/RF 2024|CBTE|2024|ACRR</v>
      </c>
      <c r="I95" s="32">
        <f>IF(G95="",0,IF(COUNTIF($G$2:G95,G95)=1,1,0))</f>
        <v>1</v>
      </c>
      <c r="J95" s="32">
        <f>IF(H95="",0,IF(COUNTIF($H$2:H95,H95)=1,1,0))</f>
        <v>0</v>
      </c>
    </row>
    <row r="96" spans="1:10" ht="14.25" hidden="1" customHeight="1" x14ac:dyDescent="0.35">
      <c r="A96" s="30" t="s">
        <v>122</v>
      </c>
      <c r="B96" t="s">
        <v>108</v>
      </c>
      <c r="C96" t="s">
        <v>78</v>
      </c>
      <c r="D96" t="s">
        <v>115</v>
      </c>
      <c r="E96" s="31">
        <v>45414</v>
      </c>
      <c r="F96" s="7" t="s">
        <v>72</v>
      </c>
      <c r="G96" s="32" t="str">
        <f t="shared" si="2"/>
        <v>CAMPEONATO BRASILEIRO DE CAR/PST/RF 2024|4|CBTE|2024|ACRR</v>
      </c>
      <c r="H96" s="32" t="str">
        <f t="shared" si="3"/>
        <v>CAMPEONATO BRASILEIRO DE CAR/PST/RF 2024|CBTE|2024|ACRR</v>
      </c>
      <c r="I96" s="32">
        <f>IF(G96="",0,IF(COUNTIF($G$2:G96,G96)=1,1,0))</f>
        <v>0</v>
      </c>
      <c r="J96" s="32">
        <f>IF(H96="",0,IF(COUNTIF($H$2:H96,H96)=1,1,0))</f>
        <v>0</v>
      </c>
    </row>
    <row r="97" spans="1:10" ht="14.25" hidden="1" customHeight="1" x14ac:dyDescent="0.35">
      <c r="A97" s="30" t="s">
        <v>122</v>
      </c>
      <c r="B97" t="s">
        <v>108</v>
      </c>
      <c r="C97" t="s">
        <v>78</v>
      </c>
      <c r="D97" t="s">
        <v>115</v>
      </c>
      <c r="E97" s="31">
        <v>45414</v>
      </c>
      <c r="F97" s="7" t="s">
        <v>71</v>
      </c>
      <c r="G97" s="32" t="str">
        <f t="shared" si="2"/>
        <v>CAMPEONATO BRASILEIRO DE CAR/PST/RF 2024|4|CBTE|2024|ACRP</v>
      </c>
      <c r="H97" s="32" t="str">
        <f t="shared" si="3"/>
        <v>CAMPEONATO BRASILEIRO DE CAR/PST/RF 2024|CBTE|2024|ACRP</v>
      </c>
      <c r="I97" s="32">
        <f>IF(G97="",0,IF(COUNTIF($G$2:G97,G97)=1,1,0))</f>
        <v>0</v>
      </c>
      <c r="J97" s="32">
        <f>IF(H97="",0,IF(COUNTIF($H$2:H97,H97)=1,1,0))</f>
        <v>0</v>
      </c>
    </row>
    <row r="98" spans="1:10" ht="14.25" hidden="1" customHeight="1" x14ac:dyDescent="0.35">
      <c r="A98" s="30" t="s">
        <v>122</v>
      </c>
      <c r="B98" t="s">
        <v>108</v>
      </c>
      <c r="C98" t="s">
        <v>78</v>
      </c>
      <c r="D98" t="s">
        <v>115</v>
      </c>
      <c r="E98" s="31">
        <v>45414</v>
      </c>
      <c r="F98" s="7" t="s">
        <v>72</v>
      </c>
      <c r="G98" s="32" t="str">
        <f t="shared" si="2"/>
        <v>CAMPEONATO BRASILEIRO DE CAR/PST/RF 2024|4|CBTE|2024|ACRR</v>
      </c>
      <c r="H98" s="32" t="str">
        <f t="shared" si="3"/>
        <v>CAMPEONATO BRASILEIRO DE CAR/PST/RF 2024|CBTE|2024|ACRR</v>
      </c>
      <c r="I98" s="32">
        <f>IF(G98="",0,IF(COUNTIF($G$2:G98,G98)=1,1,0))</f>
        <v>0</v>
      </c>
      <c r="J98" s="32">
        <f>IF(H98="",0,IF(COUNTIF($H$2:H98,H98)=1,1,0))</f>
        <v>0</v>
      </c>
    </row>
    <row r="99" spans="1:10" ht="14.25" hidden="1" customHeight="1" x14ac:dyDescent="0.35">
      <c r="A99" s="30" t="s">
        <v>125</v>
      </c>
      <c r="B99" t="s">
        <v>108</v>
      </c>
      <c r="C99" t="s">
        <v>76</v>
      </c>
      <c r="D99" t="s">
        <v>106</v>
      </c>
      <c r="E99" s="31">
        <v>45443</v>
      </c>
      <c r="F99" t="s">
        <v>72</v>
      </c>
      <c r="G99" s="32" t="str">
        <f t="shared" si="2"/>
        <v>Paulista e Nacional Light|4|FPTE|2024|ACRR</v>
      </c>
      <c r="H99" s="32" t="str">
        <f t="shared" si="3"/>
        <v>Paulista e Nacional Light|FPTE|2024|ACRR</v>
      </c>
      <c r="I99" s="32">
        <f>IF(G99="",0,IF(COUNTIF($G$2:G99,G99)=1,1,0))</f>
        <v>1</v>
      </c>
      <c r="J99" s="32">
        <f>IF(H99="",0,IF(COUNTIF($H$2:H99,H99)=1,1,0))</f>
        <v>0</v>
      </c>
    </row>
    <row r="100" spans="1:10" ht="14.25" hidden="1" customHeight="1" x14ac:dyDescent="0.35">
      <c r="A100" s="30" t="s">
        <v>125</v>
      </c>
      <c r="B100" t="s">
        <v>108</v>
      </c>
      <c r="C100" t="s">
        <v>76</v>
      </c>
      <c r="D100" t="s">
        <v>106</v>
      </c>
      <c r="E100" s="31">
        <v>45443</v>
      </c>
      <c r="F100" t="s">
        <v>71</v>
      </c>
      <c r="G100" s="32" t="str">
        <f t="shared" si="2"/>
        <v>Paulista e Nacional Light|4|FPTE|2024|ACRP</v>
      </c>
      <c r="H100" s="32" t="str">
        <f t="shared" si="3"/>
        <v>Paulista e Nacional Light|FPTE|2024|ACRP</v>
      </c>
      <c r="I100" s="32">
        <f>IF(G100="",0,IF(COUNTIF($G$2:G100,G100)=1,1,0))</f>
        <v>1</v>
      </c>
      <c r="J100" s="32">
        <f>IF(H100="",0,IF(COUNTIF($H$2:H100,H100)=1,1,0))</f>
        <v>0</v>
      </c>
    </row>
    <row r="101" spans="1:10" ht="14.25" hidden="1" customHeight="1" x14ac:dyDescent="0.35">
      <c r="A101" s="30" t="s">
        <v>125</v>
      </c>
      <c r="B101" t="s">
        <v>108</v>
      </c>
      <c r="C101" t="s">
        <v>76</v>
      </c>
      <c r="D101" t="s">
        <v>106</v>
      </c>
      <c r="E101" s="31">
        <v>45443</v>
      </c>
      <c r="F101" t="s">
        <v>72</v>
      </c>
      <c r="G101" s="32" t="str">
        <f t="shared" si="2"/>
        <v>Paulista e Nacional Light|4|FPTE|2024|ACRR</v>
      </c>
      <c r="H101" s="32" t="str">
        <f t="shared" si="3"/>
        <v>Paulista e Nacional Light|FPTE|2024|ACRR</v>
      </c>
      <c r="I101" s="32">
        <f>IF(G101="",0,IF(COUNTIF($G$2:G101,G101)=1,1,0))</f>
        <v>0</v>
      </c>
      <c r="J101" s="32">
        <f>IF(H101="",0,IF(COUNTIF($H$2:H101,H101)=1,1,0))</f>
        <v>0</v>
      </c>
    </row>
    <row r="102" spans="1:10" ht="14.25" hidden="1" customHeight="1" x14ac:dyDescent="0.35">
      <c r="A102" s="30" t="s">
        <v>125</v>
      </c>
      <c r="B102" t="s">
        <v>108</v>
      </c>
      <c r="C102" t="s">
        <v>76</v>
      </c>
      <c r="D102" t="s">
        <v>106</v>
      </c>
      <c r="E102" s="31">
        <v>45443</v>
      </c>
      <c r="F102" t="s">
        <v>72</v>
      </c>
      <c r="G102" s="32" t="str">
        <f t="shared" si="2"/>
        <v>Paulista e Nacional Light|4|FPTE|2024|ACRR</v>
      </c>
      <c r="H102" s="32" t="str">
        <f t="shared" si="3"/>
        <v>Paulista e Nacional Light|FPTE|2024|ACRR</v>
      </c>
      <c r="I102" s="32">
        <f>IF(G102="",0,IF(COUNTIF($G$2:G102,G102)=1,1,0))</f>
        <v>0</v>
      </c>
      <c r="J102" s="32">
        <f>IF(H102="",0,IF(COUNTIF($H$2:H102,H102)=1,1,0))</f>
        <v>0</v>
      </c>
    </row>
    <row r="103" spans="1:10" ht="14.25" hidden="1" customHeight="1" x14ac:dyDescent="0.35">
      <c r="A103" s="30" t="s">
        <v>125</v>
      </c>
      <c r="B103" t="s">
        <v>108</v>
      </c>
      <c r="C103" t="s">
        <v>76</v>
      </c>
      <c r="D103" t="s">
        <v>106</v>
      </c>
      <c r="E103" s="31">
        <v>45443</v>
      </c>
      <c r="F103" t="s">
        <v>72</v>
      </c>
      <c r="G103" s="32" t="str">
        <f t="shared" si="2"/>
        <v>Paulista e Nacional Light|4|FPTE|2024|ACRR</v>
      </c>
      <c r="H103" s="32" t="str">
        <f t="shared" si="3"/>
        <v>Paulista e Nacional Light|FPTE|2024|ACRR</v>
      </c>
      <c r="I103" s="32">
        <f>IF(G103="",0,IF(COUNTIF($G$2:G103,G103)=1,1,0))</f>
        <v>0</v>
      </c>
      <c r="J103" s="32">
        <f>IF(H103="",0,IF(COUNTIF($H$2:H103,H103)=1,1,0))</f>
        <v>0</v>
      </c>
    </row>
    <row r="104" spans="1:10" ht="14.25" hidden="1" customHeight="1" x14ac:dyDescent="0.35">
      <c r="A104" s="30" t="s">
        <v>125</v>
      </c>
      <c r="B104" t="s">
        <v>108</v>
      </c>
      <c r="C104" t="s">
        <v>76</v>
      </c>
      <c r="D104" t="s">
        <v>106</v>
      </c>
      <c r="E104" s="31">
        <v>45443</v>
      </c>
      <c r="F104" t="s">
        <v>72</v>
      </c>
      <c r="G104" s="32" t="str">
        <f t="shared" si="2"/>
        <v>Paulista e Nacional Light|4|FPTE|2024|ACRR</v>
      </c>
      <c r="H104" s="32" t="str">
        <f t="shared" si="3"/>
        <v>Paulista e Nacional Light|FPTE|2024|ACRR</v>
      </c>
      <c r="I104" s="32">
        <f>IF(G104="",0,IF(COUNTIF($G$2:G104,G104)=1,1,0))</f>
        <v>0</v>
      </c>
      <c r="J104" s="32">
        <f>IF(H104="",0,IF(COUNTIF($H$2:H104,H104)=1,1,0))</f>
        <v>0</v>
      </c>
    </row>
    <row r="105" spans="1:10" ht="14.25" hidden="1" customHeight="1" x14ac:dyDescent="0.35">
      <c r="A105" s="30" t="s">
        <v>126</v>
      </c>
      <c r="B105" t="s">
        <v>127</v>
      </c>
      <c r="C105" t="s">
        <v>77</v>
      </c>
      <c r="D105" t="s">
        <v>128</v>
      </c>
      <c r="E105" s="31">
        <v>45511</v>
      </c>
      <c r="F105" t="s">
        <v>74</v>
      </c>
      <c r="G105" s="32" t="str">
        <f t="shared" si="2"/>
        <v>45511|ALRR</v>
      </c>
      <c r="H105" s="32" t="str">
        <f t="shared" si="3"/>
        <v>TREINO|TR|2024|ALRR</v>
      </c>
      <c r="I105" s="32">
        <f>IF(G105="",0,IF(COUNTIF($G$2:G105,G105)=1,1,0))</f>
        <v>1</v>
      </c>
      <c r="J105" s="32">
        <f>IF(H105="",0,IF(COUNTIF($H$2:H105,H105)=1,1,0))</f>
        <v>1</v>
      </c>
    </row>
    <row r="106" spans="1:10" ht="14.25" hidden="1" customHeight="1" x14ac:dyDescent="0.35">
      <c r="A106" s="30" t="s">
        <v>126</v>
      </c>
      <c r="B106" t="s">
        <v>127</v>
      </c>
      <c r="C106" t="s">
        <v>77</v>
      </c>
      <c r="D106" t="s">
        <v>128</v>
      </c>
      <c r="E106" s="31">
        <v>45511</v>
      </c>
      <c r="F106" t="s">
        <v>72</v>
      </c>
      <c r="G106" s="32" t="str">
        <f t="shared" si="2"/>
        <v>45511|ACRR</v>
      </c>
      <c r="H106" s="32" t="str">
        <f t="shared" si="3"/>
        <v>TREINO|TR|2024|ACRR</v>
      </c>
      <c r="I106" s="32">
        <f>IF(G106="",0,IF(COUNTIF($G$2:G106,G106)=1,1,0))</f>
        <v>1</v>
      </c>
      <c r="J106" s="32">
        <f>IF(H106="",0,IF(COUNTIF($H$2:H106,H106)=1,1,0))</f>
        <v>1</v>
      </c>
    </row>
    <row r="107" spans="1:10" ht="14.25" hidden="1" customHeight="1" x14ac:dyDescent="0.35">
      <c r="A107" s="30" t="s">
        <v>126</v>
      </c>
      <c r="B107" t="s">
        <v>127</v>
      </c>
      <c r="C107" t="s">
        <v>77</v>
      </c>
      <c r="D107" t="s">
        <v>128</v>
      </c>
      <c r="E107" s="31">
        <v>45511</v>
      </c>
      <c r="F107" t="s">
        <v>72</v>
      </c>
      <c r="G107" s="32" t="str">
        <f t="shared" si="2"/>
        <v>45511|ACRR</v>
      </c>
      <c r="H107" s="32" t="str">
        <f t="shared" si="3"/>
        <v>TREINO|TR|2024|ACRR</v>
      </c>
      <c r="I107" s="32">
        <f>IF(G107="",0,IF(COUNTIF($G$2:G107,G107)=1,1,0))</f>
        <v>0</v>
      </c>
      <c r="J107" s="32">
        <f>IF(H107="",0,IF(COUNTIF($H$2:H107,H107)=1,1,0))</f>
        <v>0</v>
      </c>
    </row>
    <row r="108" spans="1:10" ht="14.25" hidden="1" customHeight="1" x14ac:dyDescent="0.35">
      <c r="A108" s="30" t="s">
        <v>126</v>
      </c>
      <c r="B108" t="s">
        <v>127</v>
      </c>
      <c r="C108" t="s">
        <v>77</v>
      </c>
      <c r="D108" t="s">
        <v>128</v>
      </c>
      <c r="E108" s="31">
        <v>45511</v>
      </c>
      <c r="F108" t="s">
        <v>71</v>
      </c>
      <c r="G108" s="32" t="str">
        <f t="shared" si="2"/>
        <v>45511|ACRP</v>
      </c>
      <c r="H108" s="32" t="str">
        <f t="shared" si="3"/>
        <v>TREINO|TR|2024|ACRP</v>
      </c>
      <c r="I108" s="32">
        <f>IF(G108="",0,IF(COUNTIF($G$2:G108,G108)=1,1,0))</f>
        <v>1</v>
      </c>
      <c r="J108" s="32">
        <f>IF(H108="",0,IF(COUNTIF($H$2:H108,H108)=1,1,0))</f>
        <v>1</v>
      </c>
    </row>
    <row r="109" spans="1:10" ht="14.25" hidden="1" customHeight="1" x14ac:dyDescent="0.35">
      <c r="A109" s="30" t="s">
        <v>126</v>
      </c>
      <c r="B109" t="s">
        <v>127</v>
      </c>
      <c r="C109" t="s">
        <v>77</v>
      </c>
      <c r="D109" t="s">
        <v>128</v>
      </c>
      <c r="E109" s="31">
        <v>45511</v>
      </c>
      <c r="F109" t="s">
        <v>71</v>
      </c>
      <c r="G109" s="32" t="str">
        <f t="shared" si="2"/>
        <v>45511|ACRP</v>
      </c>
      <c r="H109" s="32" t="str">
        <f t="shared" si="3"/>
        <v>TREINO|TR|2024|ACRP</v>
      </c>
      <c r="I109" s="32">
        <f>IF(G109="",0,IF(COUNTIF($G$2:G109,G109)=1,1,0))</f>
        <v>0</v>
      </c>
      <c r="J109" s="32">
        <f>IF(H109="",0,IF(COUNTIF($H$2:H109,H109)=1,1,0))</f>
        <v>0</v>
      </c>
    </row>
    <row r="110" spans="1:10" ht="14.25" hidden="1" customHeight="1" x14ac:dyDescent="0.35">
      <c r="A110" s="30" t="s">
        <v>126</v>
      </c>
      <c r="B110" t="s">
        <v>127</v>
      </c>
      <c r="C110" t="s">
        <v>77</v>
      </c>
      <c r="D110" t="s">
        <v>128</v>
      </c>
      <c r="E110" s="31">
        <v>45511</v>
      </c>
      <c r="F110" t="s">
        <v>72</v>
      </c>
      <c r="G110" s="32" t="str">
        <f t="shared" si="2"/>
        <v>45511|ACRR</v>
      </c>
      <c r="H110" s="32" t="str">
        <f t="shared" si="3"/>
        <v>TREINO|TR|2024|ACRR</v>
      </c>
      <c r="I110" s="32">
        <f>IF(G110="",0,IF(COUNTIF($G$2:G110,G110)=1,1,0))</f>
        <v>0</v>
      </c>
      <c r="J110" s="32">
        <f>IF(H110="",0,IF(COUNTIF($H$2:H110,H110)=1,1,0))</f>
        <v>0</v>
      </c>
    </row>
    <row r="111" spans="1:10" ht="14.25" hidden="1" customHeight="1" x14ac:dyDescent="0.35">
      <c r="A111" s="30" t="s">
        <v>126</v>
      </c>
      <c r="B111" t="s">
        <v>127</v>
      </c>
      <c r="C111" t="s">
        <v>77</v>
      </c>
      <c r="D111" t="s">
        <v>128</v>
      </c>
      <c r="E111" s="31">
        <v>45515</v>
      </c>
      <c r="F111" t="s">
        <v>72</v>
      </c>
      <c r="G111" s="32" t="str">
        <f t="shared" si="2"/>
        <v>45515|ACRR</v>
      </c>
      <c r="H111" s="32" t="str">
        <f t="shared" si="3"/>
        <v>TREINO|TR|2024|ACRR</v>
      </c>
      <c r="I111" s="32">
        <f>IF(G111="",0,IF(COUNTIF($G$2:G111,G111)=1,1,0))</f>
        <v>1</v>
      </c>
      <c r="J111" s="32">
        <f>IF(H111="",0,IF(COUNTIF($H$2:H111,H111)=1,1,0))</f>
        <v>0</v>
      </c>
    </row>
    <row r="112" spans="1:10" ht="14.25" hidden="1" customHeight="1" x14ac:dyDescent="0.35">
      <c r="A112" s="30" t="s">
        <v>126</v>
      </c>
      <c r="B112" t="s">
        <v>127</v>
      </c>
      <c r="C112" t="s">
        <v>77</v>
      </c>
      <c r="D112" t="s">
        <v>128</v>
      </c>
      <c r="E112" s="31">
        <v>45515</v>
      </c>
      <c r="F112" t="s">
        <v>72</v>
      </c>
      <c r="G112" s="32" t="str">
        <f t="shared" si="2"/>
        <v>45515|ACRR</v>
      </c>
      <c r="H112" s="32" t="str">
        <f t="shared" si="3"/>
        <v>TREINO|TR|2024|ACRR</v>
      </c>
      <c r="I112" s="32">
        <f>IF(G112="",0,IF(COUNTIF($G$2:G112,G112)=1,1,0))</f>
        <v>0</v>
      </c>
      <c r="J112" s="32">
        <f>IF(H112="",0,IF(COUNTIF($H$2:H112,H112)=1,1,0))</f>
        <v>0</v>
      </c>
    </row>
    <row r="113" spans="1:10" ht="14.25" hidden="1" customHeight="1" x14ac:dyDescent="0.35">
      <c r="A113" s="30" t="s">
        <v>126</v>
      </c>
      <c r="B113" t="s">
        <v>127</v>
      </c>
      <c r="C113" t="s">
        <v>77</v>
      </c>
      <c r="D113" t="s">
        <v>128</v>
      </c>
      <c r="E113" s="31">
        <v>45515</v>
      </c>
      <c r="F113" t="s">
        <v>74</v>
      </c>
      <c r="G113" s="32" t="str">
        <f t="shared" si="2"/>
        <v>45515|ALRR</v>
      </c>
      <c r="H113" s="32" t="str">
        <f t="shared" si="3"/>
        <v>TREINO|TR|2024|ALRR</v>
      </c>
      <c r="I113" s="32">
        <f>IF(G113="",0,IF(COUNTIF($G$2:G113,G113)=1,1,0))</f>
        <v>1</v>
      </c>
      <c r="J113" s="32">
        <f>IF(H113="",0,IF(COUNTIF($H$2:H113,H113)=1,1,0))</f>
        <v>0</v>
      </c>
    </row>
    <row r="114" spans="1:10" ht="14.25" hidden="1" customHeight="1" x14ac:dyDescent="0.35">
      <c r="A114" s="30" t="s">
        <v>126</v>
      </c>
      <c r="B114" t="s">
        <v>127</v>
      </c>
      <c r="C114" t="s">
        <v>77</v>
      </c>
      <c r="D114" t="s">
        <v>128</v>
      </c>
      <c r="E114" s="31">
        <v>45515</v>
      </c>
      <c r="F114" t="s">
        <v>71</v>
      </c>
      <c r="G114" s="32" t="str">
        <f t="shared" si="2"/>
        <v>45515|ACRP</v>
      </c>
      <c r="H114" s="32" t="str">
        <f t="shared" si="3"/>
        <v>TREINO|TR|2024|ACRP</v>
      </c>
      <c r="I114" s="32">
        <f>IF(G114="",0,IF(COUNTIF($G$2:G114,G114)=1,1,0))</f>
        <v>1</v>
      </c>
      <c r="J114" s="32">
        <f>IF(H114="",0,IF(COUNTIF($H$2:H114,H114)=1,1,0))</f>
        <v>0</v>
      </c>
    </row>
    <row r="115" spans="1:10" ht="14.25" hidden="1" customHeight="1" x14ac:dyDescent="0.35">
      <c r="A115" s="30" t="s">
        <v>126</v>
      </c>
      <c r="B115" t="s">
        <v>127</v>
      </c>
      <c r="C115" t="s">
        <v>77</v>
      </c>
      <c r="D115" t="s">
        <v>128</v>
      </c>
      <c r="E115" s="31">
        <v>45519</v>
      </c>
      <c r="F115" t="s">
        <v>72</v>
      </c>
      <c r="G115" s="32" t="str">
        <f t="shared" si="2"/>
        <v>45519|ACRR</v>
      </c>
      <c r="H115" s="32" t="str">
        <f t="shared" si="3"/>
        <v>TREINO|TR|2024|ACRR</v>
      </c>
      <c r="I115" s="32">
        <f>IF(G115="",0,IF(COUNTIF($G$2:G115,G115)=1,1,0))</f>
        <v>1</v>
      </c>
      <c r="J115" s="32">
        <f>IF(H115="",0,IF(COUNTIF($H$2:H115,H115)=1,1,0))</f>
        <v>0</v>
      </c>
    </row>
    <row r="116" spans="1:10" ht="14.25" hidden="1" customHeight="1" x14ac:dyDescent="0.35">
      <c r="A116" s="30" t="s">
        <v>126</v>
      </c>
      <c r="B116" t="s">
        <v>127</v>
      </c>
      <c r="C116" t="s">
        <v>77</v>
      </c>
      <c r="D116" t="s">
        <v>128</v>
      </c>
      <c r="E116" s="31">
        <v>45519</v>
      </c>
      <c r="F116" t="s">
        <v>72</v>
      </c>
      <c r="G116" s="32" t="str">
        <f t="shared" si="2"/>
        <v>45519|ACRR</v>
      </c>
      <c r="H116" s="32" t="str">
        <f t="shared" si="3"/>
        <v>TREINO|TR|2024|ACRR</v>
      </c>
      <c r="I116" s="32">
        <f>IF(G116="",0,IF(COUNTIF($G$2:G116,G116)=1,1,0))</f>
        <v>0</v>
      </c>
      <c r="J116" s="32">
        <f>IF(H116="",0,IF(COUNTIF($H$2:H116,H116)=1,1,0))</f>
        <v>0</v>
      </c>
    </row>
    <row r="117" spans="1:10" ht="14.25" hidden="1" customHeight="1" x14ac:dyDescent="0.35">
      <c r="A117" s="30" t="s">
        <v>126</v>
      </c>
      <c r="B117" t="s">
        <v>127</v>
      </c>
      <c r="C117" t="s">
        <v>77</v>
      </c>
      <c r="D117" t="s">
        <v>128</v>
      </c>
      <c r="E117" s="31">
        <v>45519</v>
      </c>
      <c r="F117" t="s">
        <v>72</v>
      </c>
      <c r="G117" s="32" t="str">
        <f t="shared" si="2"/>
        <v>45519|ACRR</v>
      </c>
      <c r="H117" s="32" t="str">
        <f t="shared" si="3"/>
        <v>TREINO|TR|2024|ACRR</v>
      </c>
      <c r="I117" s="32">
        <f>IF(G117="",0,IF(COUNTIF($G$2:G117,G117)=1,1,0))</f>
        <v>0</v>
      </c>
      <c r="J117" s="32">
        <f>IF(H117="",0,IF(COUNTIF($H$2:H117,H117)=1,1,0))</f>
        <v>0</v>
      </c>
    </row>
    <row r="118" spans="1:10" ht="14.25" hidden="1" customHeight="1" x14ac:dyDescent="0.35">
      <c r="A118" s="30" t="s">
        <v>126</v>
      </c>
      <c r="B118" t="s">
        <v>127</v>
      </c>
      <c r="C118" t="s">
        <v>77</v>
      </c>
      <c r="D118" t="s">
        <v>128</v>
      </c>
      <c r="E118" s="31">
        <v>45519</v>
      </c>
      <c r="F118" t="s">
        <v>71</v>
      </c>
      <c r="G118" s="32" t="str">
        <f t="shared" si="2"/>
        <v>45519|ACRP</v>
      </c>
      <c r="H118" s="32" t="str">
        <f t="shared" si="3"/>
        <v>TREINO|TR|2024|ACRP</v>
      </c>
      <c r="I118" s="32">
        <f>IF(G118="",0,IF(COUNTIF($G$2:G118,G118)=1,1,0))</f>
        <v>1</v>
      </c>
      <c r="J118" s="32">
        <f>IF(H118="",0,IF(COUNTIF($H$2:H118,H118)=1,1,0))</f>
        <v>0</v>
      </c>
    </row>
    <row r="119" spans="1:10" ht="14.25" hidden="1" customHeight="1" x14ac:dyDescent="0.35">
      <c r="A119" s="30" t="s">
        <v>126</v>
      </c>
      <c r="B119" t="s">
        <v>127</v>
      </c>
      <c r="C119" t="s">
        <v>77</v>
      </c>
      <c r="D119" t="s">
        <v>128</v>
      </c>
      <c r="E119" s="31">
        <v>45519</v>
      </c>
      <c r="F119" t="s">
        <v>71</v>
      </c>
      <c r="G119" s="32" t="str">
        <f t="shared" si="2"/>
        <v>45519|ACRP</v>
      </c>
      <c r="H119" s="32" t="str">
        <f t="shared" si="3"/>
        <v>TREINO|TR|2024|ACRP</v>
      </c>
      <c r="I119" s="32">
        <f>IF(G119="",0,IF(COUNTIF($G$2:G119,G119)=1,1,0))</f>
        <v>0</v>
      </c>
      <c r="J119" s="32">
        <f>IF(H119="",0,IF(COUNTIF($H$2:H119,H119)=1,1,0))</f>
        <v>0</v>
      </c>
    </row>
    <row r="120" spans="1:10" ht="14.25" hidden="1" customHeight="1" x14ac:dyDescent="0.35">
      <c r="A120" s="30" t="s">
        <v>126</v>
      </c>
      <c r="B120" t="s">
        <v>127</v>
      </c>
      <c r="C120" t="s">
        <v>77</v>
      </c>
      <c r="D120" t="s">
        <v>128</v>
      </c>
      <c r="E120" s="31">
        <v>45533</v>
      </c>
      <c r="F120" t="s">
        <v>72</v>
      </c>
      <c r="G120" s="32" t="str">
        <f t="shared" si="2"/>
        <v>45533|ACRR</v>
      </c>
      <c r="H120" s="32" t="str">
        <f t="shared" si="3"/>
        <v>TREINO|TR|2024|ACRR</v>
      </c>
      <c r="I120" s="32">
        <f>IF(G120="",0,IF(COUNTIF($G$2:G120,G120)=1,1,0))</f>
        <v>1</v>
      </c>
      <c r="J120" s="32">
        <f>IF(H120="",0,IF(COUNTIF($H$2:H120,H120)=1,1,0))</f>
        <v>0</v>
      </c>
    </row>
    <row r="121" spans="1:10" ht="14.25" hidden="1" customHeight="1" x14ac:dyDescent="0.35">
      <c r="A121" s="30" t="s">
        <v>126</v>
      </c>
      <c r="B121" t="s">
        <v>127</v>
      </c>
      <c r="C121" t="s">
        <v>77</v>
      </c>
      <c r="D121" t="s">
        <v>128</v>
      </c>
      <c r="E121" s="31">
        <v>45533</v>
      </c>
      <c r="F121" t="s">
        <v>72</v>
      </c>
      <c r="G121" s="32" t="str">
        <f t="shared" si="2"/>
        <v>45533|ACRR</v>
      </c>
      <c r="H121" s="32" t="str">
        <f t="shared" si="3"/>
        <v>TREINO|TR|2024|ACRR</v>
      </c>
      <c r="I121" s="32">
        <f>IF(G121="",0,IF(COUNTIF($G$2:G121,G121)=1,1,0))</f>
        <v>0</v>
      </c>
      <c r="J121" s="32">
        <f>IF(H121="",0,IF(COUNTIF($H$2:H121,H121)=1,1,0))</f>
        <v>0</v>
      </c>
    </row>
    <row r="122" spans="1:10" ht="14.25" hidden="1" customHeight="1" x14ac:dyDescent="0.35">
      <c r="A122" s="30" t="s">
        <v>126</v>
      </c>
      <c r="B122" t="s">
        <v>127</v>
      </c>
      <c r="C122" t="s">
        <v>77</v>
      </c>
      <c r="D122" t="s">
        <v>128</v>
      </c>
      <c r="E122" s="31">
        <v>45533</v>
      </c>
      <c r="F122" t="s">
        <v>72</v>
      </c>
      <c r="G122" s="32" t="str">
        <f t="shared" si="2"/>
        <v>45533|ACRR</v>
      </c>
      <c r="H122" s="32" t="str">
        <f t="shared" si="3"/>
        <v>TREINO|TR|2024|ACRR</v>
      </c>
      <c r="I122" s="32">
        <f>IF(G122="",0,IF(COUNTIF($G$2:G122,G122)=1,1,0))</f>
        <v>0</v>
      </c>
      <c r="J122" s="32">
        <f>IF(H122="",0,IF(COUNTIF($H$2:H122,H122)=1,1,0))</f>
        <v>0</v>
      </c>
    </row>
    <row r="123" spans="1:10" ht="14.25" hidden="1" customHeight="1" x14ac:dyDescent="0.35">
      <c r="A123" s="30" t="s">
        <v>126</v>
      </c>
      <c r="B123" t="s">
        <v>127</v>
      </c>
      <c r="C123" t="s">
        <v>77</v>
      </c>
      <c r="D123" t="s">
        <v>128</v>
      </c>
      <c r="E123" s="31">
        <v>45533</v>
      </c>
      <c r="F123" t="s">
        <v>71</v>
      </c>
      <c r="G123" s="32" t="str">
        <f t="shared" si="2"/>
        <v>45533|ACRP</v>
      </c>
      <c r="H123" s="32" t="str">
        <f t="shared" si="3"/>
        <v>TREINO|TR|2024|ACRP</v>
      </c>
      <c r="I123" s="32">
        <f>IF(G123="",0,IF(COUNTIF($G$2:G123,G123)=1,1,0))</f>
        <v>1</v>
      </c>
      <c r="J123" s="32">
        <f>IF(H123="",0,IF(COUNTIF($H$2:H123,H123)=1,1,0))</f>
        <v>0</v>
      </c>
    </row>
    <row r="124" spans="1:10" ht="14.25" hidden="1" customHeight="1" x14ac:dyDescent="0.35">
      <c r="A124" s="30" t="s">
        <v>126</v>
      </c>
      <c r="B124" t="s">
        <v>127</v>
      </c>
      <c r="C124" t="s">
        <v>77</v>
      </c>
      <c r="D124" t="s">
        <v>128</v>
      </c>
      <c r="E124" s="31">
        <v>45533</v>
      </c>
      <c r="F124" t="s">
        <v>74</v>
      </c>
      <c r="G124" s="32" t="str">
        <f t="shared" si="2"/>
        <v>45533|ALRR</v>
      </c>
      <c r="H124" s="32" t="str">
        <f t="shared" si="3"/>
        <v>TREINO|TR|2024|ALRR</v>
      </c>
      <c r="I124" s="32">
        <f>IF(G124="",0,IF(COUNTIF($G$2:G124,G124)=1,1,0))</f>
        <v>1</v>
      </c>
      <c r="J124" s="32">
        <f>IF(H124="",0,IF(COUNTIF($H$2:H124,H124)=1,1,0))</f>
        <v>0</v>
      </c>
    </row>
    <row r="125" spans="1:10" ht="14.25" hidden="1" customHeight="1" x14ac:dyDescent="0.35">
      <c r="A125" s="30" t="s">
        <v>125</v>
      </c>
      <c r="B125" t="s">
        <v>114</v>
      </c>
      <c r="C125" t="s">
        <v>76</v>
      </c>
      <c r="D125" t="s">
        <v>106</v>
      </c>
      <c r="E125" s="31">
        <v>45546</v>
      </c>
      <c r="F125" t="s">
        <v>72</v>
      </c>
      <c r="G125" s="32" t="str">
        <f t="shared" si="2"/>
        <v>Paulista e Nacional Light|8|FPTE|2024|ACRR</v>
      </c>
      <c r="H125" s="32" t="str">
        <f t="shared" si="3"/>
        <v>Paulista e Nacional Light|FPTE|2024|ACRR</v>
      </c>
      <c r="I125" s="32">
        <f>IF(G125="",0,IF(COUNTIF($G$2:G125,G125)=1,1,0))</f>
        <v>1</v>
      </c>
      <c r="J125" s="32">
        <f>IF(H125="",0,IF(COUNTIF($H$2:H125,H125)=1,1,0))</f>
        <v>0</v>
      </c>
    </row>
    <row r="126" spans="1:10" ht="14.25" hidden="1" customHeight="1" x14ac:dyDescent="0.35">
      <c r="A126" s="30" t="s">
        <v>125</v>
      </c>
      <c r="B126" t="s">
        <v>114</v>
      </c>
      <c r="C126" t="s">
        <v>76</v>
      </c>
      <c r="D126" t="s">
        <v>106</v>
      </c>
      <c r="E126" s="31">
        <v>45546</v>
      </c>
      <c r="F126" t="s">
        <v>72</v>
      </c>
      <c r="G126" s="32" t="str">
        <f t="shared" si="2"/>
        <v>Paulista e Nacional Light|8|FPTE|2024|ACRR</v>
      </c>
      <c r="H126" s="32" t="str">
        <f t="shared" si="3"/>
        <v>Paulista e Nacional Light|FPTE|2024|ACRR</v>
      </c>
      <c r="I126" s="32">
        <f>IF(G126="",0,IF(COUNTIF($G$2:G126,G126)=1,1,0))</f>
        <v>0</v>
      </c>
      <c r="J126" s="32">
        <f>IF(H126="",0,IF(COUNTIF($H$2:H126,H126)=1,1,0))</f>
        <v>0</v>
      </c>
    </row>
    <row r="127" spans="1:10" ht="14.25" hidden="1" customHeight="1" x14ac:dyDescent="0.35">
      <c r="A127" s="30" t="s">
        <v>125</v>
      </c>
      <c r="B127" t="s">
        <v>114</v>
      </c>
      <c r="C127" t="s">
        <v>76</v>
      </c>
      <c r="D127" t="s">
        <v>106</v>
      </c>
      <c r="E127" s="31">
        <v>45546</v>
      </c>
      <c r="F127" t="s">
        <v>71</v>
      </c>
      <c r="G127" s="32" t="str">
        <f t="shared" si="2"/>
        <v>Paulista e Nacional Light|8|FPTE|2024|ACRP</v>
      </c>
      <c r="H127" s="32" t="str">
        <f t="shared" si="3"/>
        <v>Paulista e Nacional Light|FPTE|2024|ACRP</v>
      </c>
      <c r="I127" s="32">
        <f>IF(G127="",0,IF(COUNTIF($G$2:G127,G127)=1,1,0))</f>
        <v>1</v>
      </c>
      <c r="J127" s="32">
        <f>IF(H127="",0,IF(COUNTIF($H$2:H127,H127)=1,1,0))</f>
        <v>0</v>
      </c>
    </row>
    <row r="128" spans="1:10" ht="14.25" hidden="1" customHeight="1" x14ac:dyDescent="0.35">
      <c r="A128" s="30" t="s">
        <v>125</v>
      </c>
      <c r="B128" t="s">
        <v>114</v>
      </c>
      <c r="C128" t="s">
        <v>76</v>
      </c>
      <c r="D128" t="s">
        <v>106</v>
      </c>
      <c r="E128" s="31">
        <v>45546</v>
      </c>
      <c r="F128" t="s">
        <v>72</v>
      </c>
      <c r="G128" s="32" t="str">
        <f t="shared" si="2"/>
        <v>Paulista e Nacional Light|8|FPTE|2024|ACRR</v>
      </c>
      <c r="H128" s="32" t="str">
        <f t="shared" si="3"/>
        <v>Paulista e Nacional Light|FPTE|2024|ACRR</v>
      </c>
      <c r="I128" s="32">
        <f>IF(G128="",0,IF(COUNTIF($G$2:G128,G128)=1,1,0))</f>
        <v>0</v>
      </c>
      <c r="J128" s="32">
        <f>IF(H128="",0,IF(COUNTIF($H$2:H128,H128)=1,1,0))</f>
        <v>0</v>
      </c>
    </row>
    <row r="129" spans="1:10" ht="14.25" hidden="1" customHeight="1" x14ac:dyDescent="0.35">
      <c r="A129" s="30" t="s">
        <v>125</v>
      </c>
      <c r="B129" t="s">
        <v>114</v>
      </c>
      <c r="C129" t="s">
        <v>76</v>
      </c>
      <c r="D129" t="s">
        <v>106</v>
      </c>
      <c r="E129" s="31">
        <v>45546</v>
      </c>
      <c r="F129" t="s">
        <v>74</v>
      </c>
      <c r="G129" s="32" t="str">
        <f t="shared" si="2"/>
        <v>Paulista e Nacional Light|8|FPTE|2024|ALRR</v>
      </c>
      <c r="H129" s="32" t="str">
        <f t="shared" si="3"/>
        <v>Paulista e Nacional Light|FPTE|2024|ALRR</v>
      </c>
      <c r="I129" s="32">
        <f>IF(G129="",0,IF(COUNTIF($G$2:G129,G129)=1,1,0))</f>
        <v>1</v>
      </c>
      <c r="J129" s="32">
        <f>IF(H129="",0,IF(COUNTIF($H$2:H129,H129)=1,1,0))</f>
        <v>0</v>
      </c>
    </row>
    <row r="130" spans="1:10" ht="14.25" hidden="1" customHeight="1" x14ac:dyDescent="0.35">
      <c r="A130" s="30" t="s">
        <v>125</v>
      </c>
      <c r="B130" t="s">
        <v>114</v>
      </c>
      <c r="C130" t="s">
        <v>76</v>
      </c>
      <c r="D130" t="s">
        <v>106</v>
      </c>
      <c r="E130" s="31">
        <v>45546</v>
      </c>
      <c r="F130" t="s">
        <v>72</v>
      </c>
      <c r="G130" s="32" t="str">
        <f t="shared" ref="G130:G193" si="4">IF(D130="T",
E130&amp;"|"&amp;F130,
A130&amp;"|"&amp;B130&amp;"|"&amp;C130&amp;"|"&amp;YEAR(E130)&amp;"|"&amp;F130)</f>
        <v>Paulista e Nacional Light|8|FPTE|2024|ACRR</v>
      </c>
      <c r="H130" s="32" t="str">
        <f t="shared" ref="H130:H193" si="5">A130&amp;"|"&amp;C130&amp;"|"&amp;YEAR(E130)&amp;"|"&amp;F130</f>
        <v>Paulista e Nacional Light|FPTE|2024|ACRR</v>
      </c>
      <c r="I130" s="32">
        <f>IF(G130="",0,IF(COUNTIF($G$2:G130,G130)=1,1,0))</f>
        <v>0</v>
      </c>
      <c r="J130" s="32">
        <f>IF(H130="",0,IF(COUNTIF($H$2:H130,H130)=1,1,0))</f>
        <v>0</v>
      </c>
    </row>
    <row r="131" spans="1:10" ht="14.25" hidden="1" customHeight="1" x14ac:dyDescent="0.35">
      <c r="A131" s="30" t="s">
        <v>125</v>
      </c>
      <c r="B131" t="s">
        <v>114</v>
      </c>
      <c r="C131" t="s">
        <v>76</v>
      </c>
      <c r="D131" t="s">
        <v>106</v>
      </c>
      <c r="E131" s="31">
        <v>45546</v>
      </c>
      <c r="F131" t="s">
        <v>71</v>
      </c>
      <c r="G131" s="32" t="str">
        <f t="shared" si="4"/>
        <v>Paulista e Nacional Light|8|FPTE|2024|ACRP</v>
      </c>
      <c r="H131" s="32" t="str">
        <f t="shared" si="5"/>
        <v>Paulista e Nacional Light|FPTE|2024|ACRP</v>
      </c>
      <c r="I131" s="32">
        <f>IF(G131="",0,IF(COUNTIF($G$2:G131,G131)=1,1,0))</f>
        <v>0</v>
      </c>
      <c r="J131" s="32">
        <f>IF(H131="",0,IF(COUNTIF($H$2:H131,H131)=1,1,0))</f>
        <v>0</v>
      </c>
    </row>
    <row r="132" spans="1:10" ht="14.25" hidden="1" customHeight="1" x14ac:dyDescent="0.35">
      <c r="A132" s="30" t="s">
        <v>126</v>
      </c>
      <c r="B132" t="s">
        <v>127</v>
      </c>
      <c r="C132" t="s">
        <v>77</v>
      </c>
      <c r="D132" t="s">
        <v>128</v>
      </c>
      <c r="E132" s="31">
        <v>45546</v>
      </c>
      <c r="F132" t="s">
        <v>74</v>
      </c>
      <c r="G132" s="32" t="str">
        <f t="shared" si="4"/>
        <v>45546|ALRR</v>
      </c>
      <c r="H132" s="32" t="str">
        <f t="shared" si="5"/>
        <v>TREINO|TR|2024|ALRR</v>
      </c>
      <c r="I132" s="32">
        <f>IF(G132="",0,IF(COUNTIF($G$2:G132,G132)=1,1,0))</f>
        <v>1</v>
      </c>
      <c r="J132" s="32">
        <f>IF(H132="",0,IF(COUNTIF($H$2:H132,H132)=1,1,0))</f>
        <v>0</v>
      </c>
    </row>
    <row r="133" spans="1:10" ht="14.25" hidden="1" customHeight="1" x14ac:dyDescent="0.35">
      <c r="A133" s="30" t="s">
        <v>126</v>
      </c>
      <c r="B133" t="s">
        <v>127</v>
      </c>
      <c r="C133" t="s">
        <v>77</v>
      </c>
      <c r="D133" t="s">
        <v>128</v>
      </c>
      <c r="E133" s="31">
        <v>45546</v>
      </c>
      <c r="F133" t="s">
        <v>72</v>
      </c>
      <c r="G133" s="32" t="str">
        <f t="shared" si="4"/>
        <v>45546|ACRR</v>
      </c>
      <c r="H133" s="32" t="str">
        <f t="shared" si="5"/>
        <v>TREINO|TR|2024|ACRR</v>
      </c>
      <c r="I133" s="32">
        <f>IF(G133="",0,IF(COUNTIF($G$2:G133,G133)=1,1,0))</f>
        <v>1</v>
      </c>
      <c r="J133" s="32">
        <f>IF(H133="",0,IF(COUNTIF($H$2:H133,H133)=1,1,0))</f>
        <v>0</v>
      </c>
    </row>
    <row r="134" spans="1:10" ht="14.25" hidden="1" customHeight="1" x14ac:dyDescent="0.35">
      <c r="A134" s="30" t="s">
        <v>126</v>
      </c>
      <c r="B134" t="s">
        <v>127</v>
      </c>
      <c r="C134" t="s">
        <v>77</v>
      </c>
      <c r="D134" t="s">
        <v>128</v>
      </c>
      <c r="E134" s="31">
        <v>45546</v>
      </c>
      <c r="F134" t="s">
        <v>71</v>
      </c>
      <c r="G134" s="32" t="str">
        <f t="shared" si="4"/>
        <v>45546|ACRP</v>
      </c>
      <c r="H134" s="32" t="str">
        <f t="shared" si="5"/>
        <v>TREINO|TR|2024|ACRP</v>
      </c>
      <c r="I134" s="32">
        <f>IF(G134="",0,IF(COUNTIF($G$2:G134,G134)=1,1,0))</f>
        <v>1</v>
      </c>
      <c r="J134" s="32">
        <f>IF(H134="",0,IF(COUNTIF($H$2:H134,H134)=1,1,0))</f>
        <v>0</v>
      </c>
    </row>
    <row r="135" spans="1:10" ht="14.25" hidden="1" customHeight="1" x14ac:dyDescent="0.35">
      <c r="A135" s="30" t="s">
        <v>126</v>
      </c>
      <c r="B135" t="s">
        <v>127</v>
      </c>
      <c r="C135" t="s">
        <v>77</v>
      </c>
      <c r="D135" t="s">
        <v>128</v>
      </c>
      <c r="E135" s="31">
        <v>45546</v>
      </c>
      <c r="F135" t="s">
        <v>72</v>
      </c>
      <c r="G135" s="32" t="str">
        <f t="shared" si="4"/>
        <v>45546|ACRR</v>
      </c>
      <c r="H135" s="32" t="str">
        <f t="shared" si="5"/>
        <v>TREINO|TR|2024|ACRR</v>
      </c>
      <c r="I135" s="32">
        <f>IF(G135="",0,IF(COUNTIF($G$2:G135,G135)=1,1,0))</f>
        <v>0</v>
      </c>
      <c r="J135" s="32">
        <f>IF(H135="",0,IF(COUNTIF($H$2:H135,H135)=1,1,0))</f>
        <v>0</v>
      </c>
    </row>
    <row r="136" spans="1:10" ht="14.25" hidden="1" customHeight="1" x14ac:dyDescent="0.35">
      <c r="A136" s="30" t="s">
        <v>126</v>
      </c>
      <c r="B136" t="s">
        <v>127</v>
      </c>
      <c r="C136" t="s">
        <v>77</v>
      </c>
      <c r="D136" t="s">
        <v>128</v>
      </c>
      <c r="E136" s="31">
        <v>45546</v>
      </c>
      <c r="F136" t="s">
        <v>72</v>
      </c>
      <c r="G136" s="32" t="str">
        <f t="shared" si="4"/>
        <v>45546|ACRR</v>
      </c>
      <c r="H136" s="32" t="str">
        <f t="shared" si="5"/>
        <v>TREINO|TR|2024|ACRR</v>
      </c>
      <c r="I136" s="32">
        <f>IF(G136="",0,IF(COUNTIF($G$2:G136,G136)=1,1,0))</f>
        <v>0</v>
      </c>
      <c r="J136" s="32">
        <f>IF(H136="",0,IF(COUNTIF($H$2:H136,H136)=1,1,0))</f>
        <v>0</v>
      </c>
    </row>
    <row r="137" spans="1:10" ht="14.25" hidden="1" customHeight="1" x14ac:dyDescent="0.35">
      <c r="A137" s="30" t="s">
        <v>126</v>
      </c>
      <c r="B137" t="s">
        <v>127</v>
      </c>
      <c r="C137" t="s">
        <v>77</v>
      </c>
      <c r="D137" t="s">
        <v>128</v>
      </c>
      <c r="E137" s="31">
        <v>45546</v>
      </c>
      <c r="F137" t="s">
        <v>72</v>
      </c>
      <c r="G137" s="32" t="str">
        <f t="shared" si="4"/>
        <v>45546|ACRR</v>
      </c>
      <c r="H137" s="32" t="str">
        <f t="shared" si="5"/>
        <v>TREINO|TR|2024|ACRR</v>
      </c>
      <c r="I137" s="32">
        <f>IF(G137="",0,IF(COUNTIF($G$2:G137,G137)=1,1,0))</f>
        <v>0</v>
      </c>
      <c r="J137" s="32">
        <f>IF(H137="",0,IF(COUNTIF($H$2:H137,H137)=1,1,0))</f>
        <v>0</v>
      </c>
    </row>
    <row r="138" spans="1:10" ht="14.25" hidden="1" customHeight="1" x14ac:dyDescent="0.35">
      <c r="A138" s="30" t="s">
        <v>126</v>
      </c>
      <c r="B138" t="s">
        <v>127</v>
      </c>
      <c r="C138" t="s">
        <v>77</v>
      </c>
      <c r="D138" t="s">
        <v>128</v>
      </c>
      <c r="E138" s="31">
        <v>45546</v>
      </c>
      <c r="F138" t="s">
        <v>71</v>
      </c>
      <c r="G138" s="32" t="str">
        <f t="shared" si="4"/>
        <v>45546|ACRP</v>
      </c>
      <c r="H138" s="32" t="str">
        <f t="shared" si="5"/>
        <v>TREINO|TR|2024|ACRP</v>
      </c>
      <c r="I138" s="32">
        <f>IF(G138="",0,IF(COUNTIF($G$2:G138,G138)=1,1,0))</f>
        <v>0</v>
      </c>
      <c r="J138" s="32">
        <f>IF(H138="",0,IF(COUNTIF($H$2:H138,H138)=1,1,0))</f>
        <v>0</v>
      </c>
    </row>
    <row r="139" spans="1:10" ht="14.25" hidden="1" customHeight="1" x14ac:dyDescent="0.35">
      <c r="A139" s="30" t="s">
        <v>129</v>
      </c>
      <c r="B139" t="s">
        <v>114</v>
      </c>
      <c r="C139" t="s">
        <v>77</v>
      </c>
      <c r="D139" t="s">
        <v>106</v>
      </c>
      <c r="E139" s="31">
        <v>45546</v>
      </c>
      <c r="F139" t="s">
        <v>74</v>
      </c>
      <c r="G139" s="32" t="str">
        <f t="shared" si="4"/>
        <v>1 Shot Challenge|8|TR|2024|ALRR</v>
      </c>
      <c r="H139" s="32" t="str">
        <f t="shared" si="5"/>
        <v>1 Shot Challenge|TR|2024|ALRR</v>
      </c>
      <c r="I139" s="32">
        <f>IF(G139="",0,IF(COUNTIF($G$2:G139,G139)=1,1,0))</f>
        <v>1</v>
      </c>
      <c r="J139" s="32">
        <f>IF(H139="",0,IF(COUNTIF($H$2:H139,H139)=1,1,0))</f>
        <v>1</v>
      </c>
    </row>
    <row r="140" spans="1:10" ht="14.25" hidden="1" customHeight="1" x14ac:dyDescent="0.35">
      <c r="A140" s="30" t="s">
        <v>130</v>
      </c>
      <c r="B140" t="s">
        <v>112</v>
      </c>
      <c r="C140" t="s">
        <v>79</v>
      </c>
      <c r="D140" t="s">
        <v>115</v>
      </c>
      <c r="E140" s="31">
        <v>45546</v>
      </c>
      <c r="F140" t="s">
        <v>74</v>
      </c>
      <c r="G140" s="32" t="str">
        <f t="shared" si="4"/>
        <v>COPA BRASIL DE TIRO DESPORTIVO|7|Linade|2024|ALRR</v>
      </c>
      <c r="H140" s="32" t="str">
        <f t="shared" si="5"/>
        <v>COPA BRASIL DE TIRO DESPORTIVO|Linade|2024|ALRR</v>
      </c>
      <c r="I140" s="32">
        <f>IF(G140="",0,IF(COUNTIF($G$2:G140,G140)=1,1,0))</f>
        <v>1</v>
      </c>
      <c r="J140" s="32">
        <f>IF(H140="",0,IF(COUNTIF($H$2:H140,H140)=1,1,0))</f>
        <v>1</v>
      </c>
    </row>
    <row r="141" spans="1:10" ht="14.25" hidden="1" customHeight="1" x14ac:dyDescent="0.35">
      <c r="A141" s="30" t="s">
        <v>124</v>
      </c>
      <c r="B141" t="s">
        <v>114</v>
      </c>
      <c r="C141" t="s">
        <v>78</v>
      </c>
      <c r="D141" t="s">
        <v>115</v>
      </c>
      <c r="E141" s="31">
        <v>45546</v>
      </c>
      <c r="F141" s="7" t="s">
        <v>71</v>
      </c>
      <c r="G141" s="32" t="str">
        <f t="shared" si="4"/>
        <v>NACIONAL LIGHT|8|CBTE|2024|ACRP</v>
      </c>
      <c r="H141" s="32" t="str">
        <f t="shared" si="5"/>
        <v>NACIONAL LIGHT|CBTE|2024|ACRP</v>
      </c>
      <c r="I141" s="32">
        <f>IF(G141="",0,IF(COUNTIF($G$2:G141,G141)=1,1,0))</f>
        <v>1</v>
      </c>
      <c r="J141" s="32">
        <f>IF(H141="",0,IF(COUNTIF($H$2:H141,H141)=1,1,0))</f>
        <v>0</v>
      </c>
    </row>
    <row r="142" spans="1:10" ht="14.25" hidden="1" customHeight="1" x14ac:dyDescent="0.35">
      <c r="A142" s="30" t="s">
        <v>124</v>
      </c>
      <c r="B142" t="s">
        <v>114</v>
      </c>
      <c r="C142" t="s">
        <v>78</v>
      </c>
      <c r="D142" t="s">
        <v>115</v>
      </c>
      <c r="E142" s="31">
        <v>45546</v>
      </c>
      <c r="F142" s="7" t="s">
        <v>72</v>
      </c>
      <c r="G142" s="32" t="str">
        <f t="shared" si="4"/>
        <v>NACIONAL LIGHT|8|CBTE|2024|ACRR</v>
      </c>
      <c r="H142" s="32" t="str">
        <f t="shared" si="5"/>
        <v>NACIONAL LIGHT|CBTE|2024|ACRR</v>
      </c>
      <c r="I142" s="32">
        <f>IF(G142="",0,IF(COUNTIF($G$2:G142,G142)=1,1,0))</f>
        <v>1</v>
      </c>
      <c r="J142" s="32">
        <f>IF(H142="",0,IF(COUNTIF($H$2:H142,H142)=1,1,0))</f>
        <v>0</v>
      </c>
    </row>
    <row r="143" spans="1:10" ht="14.25" hidden="1" customHeight="1" x14ac:dyDescent="0.35">
      <c r="A143" s="30" t="s">
        <v>124</v>
      </c>
      <c r="B143" t="s">
        <v>114</v>
      </c>
      <c r="C143" t="s">
        <v>78</v>
      </c>
      <c r="D143" t="s">
        <v>115</v>
      </c>
      <c r="E143" s="31">
        <v>45546</v>
      </c>
      <c r="F143" s="7" t="s">
        <v>72</v>
      </c>
      <c r="G143" s="32" t="str">
        <f t="shared" si="4"/>
        <v>NACIONAL LIGHT|8|CBTE|2024|ACRR</v>
      </c>
      <c r="H143" s="32" t="str">
        <f t="shared" si="5"/>
        <v>NACIONAL LIGHT|CBTE|2024|ACRR</v>
      </c>
      <c r="I143" s="32">
        <f>IF(G143="",0,IF(COUNTIF($G$2:G143,G143)=1,1,0))</f>
        <v>0</v>
      </c>
      <c r="J143" s="32">
        <f>IF(H143="",0,IF(COUNTIF($H$2:H143,H143)=1,1,0))</f>
        <v>0</v>
      </c>
    </row>
    <row r="144" spans="1:10" ht="14.25" hidden="1" customHeight="1" x14ac:dyDescent="0.35">
      <c r="A144" s="30" t="s">
        <v>124</v>
      </c>
      <c r="B144" t="s">
        <v>114</v>
      </c>
      <c r="C144" t="s">
        <v>78</v>
      </c>
      <c r="D144" t="s">
        <v>115</v>
      </c>
      <c r="E144" s="31">
        <v>45546</v>
      </c>
      <c r="F144" s="7" t="s">
        <v>72</v>
      </c>
      <c r="G144" s="32" t="str">
        <f t="shared" si="4"/>
        <v>NACIONAL LIGHT|8|CBTE|2024|ACRR</v>
      </c>
      <c r="H144" s="32" t="str">
        <f t="shared" si="5"/>
        <v>NACIONAL LIGHT|CBTE|2024|ACRR</v>
      </c>
      <c r="I144" s="32">
        <f>IF(G144="",0,IF(COUNTIF($G$2:G144,G144)=1,1,0))</f>
        <v>0</v>
      </c>
      <c r="J144" s="32">
        <f>IF(H144="",0,IF(COUNTIF($H$2:H144,H144)=1,1,0))</f>
        <v>0</v>
      </c>
    </row>
    <row r="145" spans="1:10" ht="14.25" hidden="1" customHeight="1" x14ac:dyDescent="0.35">
      <c r="A145" s="30" t="s">
        <v>124</v>
      </c>
      <c r="B145" t="s">
        <v>114</v>
      </c>
      <c r="C145" t="s">
        <v>78</v>
      </c>
      <c r="D145" t="s">
        <v>115</v>
      </c>
      <c r="E145" s="31">
        <v>45546</v>
      </c>
      <c r="F145" s="7" t="s">
        <v>72</v>
      </c>
      <c r="G145" s="32" t="str">
        <f t="shared" si="4"/>
        <v>NACIONAL LIGHT|8|CBTE|2024|ACRR</v>
      </c>
      <c r="H145" s="32" t="str">
        <f t="shared" si="5"/>
        <v>NACIONAL LIGHT|CBTE|2024|ACRR</v>
      </c>
      <c r="I145" s="32">
        <f>IF(G145="",0,IF(COUNTIF($G$2:G145,G145)=1,1,0))</f>
        <v>0</v>
      </c>
      <c r="J145" s="32">
        <f>IF(H145="",0,IF(COUNTIF($H$2:H145,H145)=1,1,0))</f>
        <v>0</v>
      </c>
    </row>
    <row r="146" spans="1:10" ht="14.25" hidden="1" customHeight="1" x14ac:dyDescent="0.35">
      <c r="A146" s="30" t="s">
        <v>124</v>
      </c>
      <c r="B146" t="s">
        <v>114</v>
      </c>
      <c r="C146" t="s">
        <v>78</v>
      </c>
      <c r="D146" t="s">
        <v>115</v>
      </c>
      <c r="E146" s="31">
        <v>45546</v>
      </c>
      <c r="F146" s="7" t="s">
        <v>71</v>
      </c>
      <c r="G146" s="32" t="str">
        <f t="shared" si="4"/>
        <v>NACIONAL LIGHT|8|CBTE|2024|ACRP</v>
      </c>
      <c r="H146" s="32" t="str">
        <f t="shared" si="5"/>
        <v>NACIONAL LIGHT|CBTE|2024|ACRP</v>
      </c>
      <c r="I146" s="32">
        <f>IF(G146="",0,IF(COUNTIF($G$2:G146,G146)=1,1,0))</f>
        <v>0</v>
      </c>
      <c r="J146" s="32">
        <f>IF(H146="",0,IF(COUNTIF($H$2:H146,H146)=1,1,0))</f>
        <v>0</v>
      </c>
    </row>
    <row r="147" spans="1:10" ht="14.25" hidden="1" customHeight="1" x14ac:dyDescent="0.35">
      <c r="A147" s="30" t="s">
        <v>124</v>
      </c>
      <c r="B147" t="s">
        <v>114</v>
      </c>
      <c r="C147" t="s">
        <v>78</v>
      </c>
      <c r="D147" t="s">
        <v>115</v>
      </c>
      <c r="E147" s="31">
        <v>45546</v>
      </c>
      <c r="F147" s="7" t="s">
        <v>74</v>
      </c>
      <c r="G147" s="32" t="str">
        <f t="shared" si="4"/>
        <v>NACIONAL LIGHT|8|CBTE|2024|ALRR</v>
      </c>
      <c r="H147" s="32" t="str">
        <f t="shared" si="5"/>
        <v>NACIONAL LIGHT|CBTE|2024|ALRR</v>
      </c>
      <c r="I147" s="32">
        <f>IF(G147="",0,IF(COUNTIF($G$2:G147,G147)=1,1,0))</f>
        <v>1</v>
      </c>
      <c r="J147" s="32">
        <f>IF(H147="",0,IF(COUNTIF($H$2:H147,H147)=1,1,0))</f>
        <v>1</v>
      </c>
    </row>
    <row r="148" spans="1:10" ht="14.25" hidden="1" customHeight="1" x14ac:dyDescent="0.35">
      <c r="A148" s="30" t="s">
        <v>123</v>
      </c>
      <c r="B148" t="s">
        <v>114</v>
      </c>
      <c r="C148" t="s">
        <v>76</v>
      </c>
      <c r="D148" t="s">
        <v>106</v>
      </c>
      <c r="E148" s="31">
        <v>45549</v>
      </c>
      <c r="F148" t="s">
        <v>72</v>
      </c>
      <c r="G148" s="32" t="str">
        <f t="shared" si="4"/>
        <v>Campeonato Paulista e Brasileiro de Car/Pst/RF 2024|8|FPTE|2024|ACRR</v>
      </c>
      <c r="H148" s="32" t="str">
        <f t="shared" si="5"/>
        <v>Campeonato Paulista e Brasileiro de Car/Pst/RF 2024|FPTE|2024|ACRR</v>
      </c>
      <c r="I148" s="32">
        <f>IF(G148="",0,IF(COUNTIF($G$2:G148,G148)=1,1,0))</f>
        <v>1</v>
      </c>
      <c r="J148" s="32">
        <f>IF(H148="",0,IF(COUNTIF($H$2:H148,H148)=1,1,0))</f>
        <v>0</v>
      </c>
    </row>
    <row r="149" spans="1:10" ht="14.25" hidden="1" customHeight="1" x14ac:dyDescent="0.35">
      <c r="A149" s="30" t="s">
        <v>123</v>
      </c>
      <c r="B149" t="s">
        <v>114</v>
      </c>
      <c r="C149" t="s">
        <v>76</v>
      </c>
      <c r="D149" t="s">
        <v>106</v>
      </c>
      <c r="E149" s="31">
        <v>45549</v>
      </c>
      <c r="F149" t="s">
        <v>72</v>
      </c>
      <c r="G149" s="32" t="str">
        <f t="shared" si="4"/>
        <v>Campeonato Paulista e Brasileiro de Car/Pst/RF 2024|8|FPTE|2024|ACRR</v>
      </c>
      <c r="H149" s="32" t="str">
        <f t="shared" si="5"/>
        <v>Campeonato Paulista e Brasileiro de Car/Pst/RF 2024|FPTE|2024|ACRR</v>
      </c>
      <c r="I149" s="32">
        <f>IF(G149="",0,IF(COUNTIF($G$2:G149,G149)=1,1,0))</f>
        <v>0</v>
      </c>
      <c r="J149" s="32">
        <f>IF(H149="",0,IF(COUNTIF($H$2:H149,H149)=1,1,0))</f>
        <v>0</v>
      </c>
    </row>
    <row r="150" spans="1:10" ht="14.25" hidden="1" customHeight="1" x14ac:dyDescent="0.35">
      <c r="A150" s="30" t="s">
        <v>123</v>
      </c>
      <c r="B150" t="s">
        <v>114</v>
      </c>
      <c r="C150" t="s">
        <v>76</v>
      </c>
      <c r="D150" t="s">
        <v>106</v>
      </c>
      <c r="E150" s="31">
        <v>45549</v>
      </c>
      <c r="F150" t="s">
        <v>72</v>
      </c>
      <c r="G150" s="32" t="str">
        <f t="shared" si="4"/>
        <v>Campeonato Paulista e Brasileiro de Car/Pst/RF 2024|8|FPTE|2024|ACRR</v>
      </c>
      <c r="H150" s="32" t="str">
        <f t="shared" si="5"/>
        <v>Campeonato Paulista e Brasileiro de Car/Pst/RF 2024|FPTE|2024|ACRR</v>
      </c>
      <c r="I150" s="32">
        <f>IF(G150="",0,IF(COUNTIF($G$2:G150,G150)=1,1,0))</f>
        <v>0</v>
      </c>
      <c r="J150" s="32">
        <f>IF(H150="",0,IF(COUNTIF($H$2:H150,H150)=1,1,0))</f>
        <v>0</v>
      </c>
    </row>
    <row r="151" spans="1:10" ht="14.25" hidden="1" customHeight="1" x14ac:dyDescent="0.35">
      <c r="A151" s="30" t="s">
        <v>123</v>
      </c>
      <c r="B151" t="s">
        <v>114</v>
      </c>
      <c r="C151" t="s">
        <v>76</v>
      </c>
      <c r="D151" t="s">
        <v>106</v>
      </c>
      <c r="E151" s="31">
        <v>45549</v>
      </c>
      <c r="F151" t="s">
        <v>72</v>
      </c>
      <c r="G151" s="32" t="str">
        <f t="shared" si="4"/>
        <v>Campeonato Paulista e Brasileiro de Car/Pst/RF 2024|8|FPTE|2024|ACRR</v>
      </c>
      <c r="H151" s="32" t="str">
        <f t="shared" si="5"/>
        <v>Campeonato Paulista e Brasileiro de Car/Pst/RF 2024|FPTE|2024|ACRR</v>
      </c>
      <c r="I151" s="32">
        <f>IF(G151="",0,IF(COUNTIF($G$2:G151,G151)=1,1,0))</f>
        <v>0</v>
      </c>
      <c r="J151" s="32">
        <f>IF(H151="",0,IF(COUNTIF($H$2:H151,H151)=1,1,0))</f>
        <v>0</v>
      </c>
    </row>
    <row r="152" spans="1:10" ht="14.25" hidden="1" customHeight="1" x14ac:dyDescent="0.35">
      <c r="A152" s="30" t="s">
        <v>122</v>
      </c>
      <c r="B152" t="s">
        <v>114</v>
      </c>
      <c r="C152" t="s">
        <v>78</v>
      </c>
      <c r="D152" t="s">
        <v>115</v>
      </c>
      <c r="E152" s="31">
        <v>45549</v>
      </c>
      <c r="F152" s="7" t="s">
        <v>72</v>
      </c>
      <c r="G152" s="32" t="str">
        <f t="shared" si="4"/>
        <v>CAMPEONATO BRASILEIRO DE CAR/PST/RF 2024|8|CBTE|2024|ACRR</v>
      </c>
      <c r="H152" s="32" t="str">
        <f t="shared" si="5"/>
        <v>CAMPEONATO BRASILEIRO DE CAR/PST/RF 2024|CBTE|2024|ACRR</v>
      </c>
      <c r="I152" s="32">
        <f>IF(G152="",0,IF(COUNTIF($G$2:G152,G152)=1,1,0))</f>
        <v>1</v>
      </c>
      <c r="J152" s="32">
        <f>IF(H152="",0,IF(COUNTIF($H$2:H152,H152)=1,1,0))</f>
        <v>0</v>
      </c>
    </row>
    <row r="153" spans="1:10" ht="14.25" hidden="1" customHeight="1" x14ac:dyDescent="0.35">
      <c r="A153" s="30" t="s">
        <v>122</v>
      </c>
      <c r="B153" t="s">
        <v>114</v>
      </c>
      <c r="C153" t="s">
        <v>78</v>
      </c>
      <c r="D153" t="s">
        <v>115</v>
      </c>
      <c r="E153" s="31">
        <v>45549</v>
      </c>
      <c r="F153" s="7" t="s">
        <v>72</v>
      </c>
      <c r="G153" s="32" t="str">
        <f t="shared" si="4"/>
        <v>CAMPEONATO BRASILEIRO DE CAR/PST/RF 2024|8|CBTE|2024|ACRR</v>
      </c>
      <c r="H153" s="32" t="str">
        <f t="shared" si="5"/>
        <v>CAMPEONATO BRASILEIRO DE CAR/PST/RF 2024|CBTE|2024|ACRR</v>
      </c>
      <c r="I153" s="32">
        <f>IF(G153="",0,IF(COUNTIF($G$2:G153,G153)=1,1,0))</f>
        <v>0</v>
      </c>
      <c r="J153" s="32">
        <f>IF(H153="",0,IF(COUNTIF($H$2:H153,H153)=1,1,0))</f>
        <v>0</v>
      </c>
    </row>
    <row r="154" spans="1:10" ht="14.25" hidden="1" customHeight="1" x14ac:dyDescent="0.35">
      <c r="A154" s="30" t="s">
        <v>122</v>
      </c>
      <c r="B154" t="s">
        <v>114</v>
      </c>
      <c r="C154" t="s">
        <v>78</v>
      </c>
      <c r="D154" t="s">
        <v>115</v>
      </c>
      <c r="E154" s="31">
        <v>45549</v>
      </c>
      <c r="F154" s="7" t="s">
        <v>72</v>
      </c>
      <c r="G154" s="32" t="str">
        <f t="shared" si="4"/>
        <v>CAMPEONATO BRASILEIRO DE CAR/PST/RF 2024|8|CBTE|2024|ACRR</v>
      </c>
      <c r="H154" s="32" t="str">
        <f t="shared" si="5"/>
        <v>CAMPEONATO BRASILEIRO DE CAR/PST/RF 2024|CBTE|2024|ACRR</v>
      </c>
      <c r="I154" s="32">
        <f>IF(G154="",0,IF(COUNTIF($G$2:G154,G154)=1,1,0))</f>
        <v>0</v>
      </c>
      <c r="J154" s="32">
        <f>IF(H154="",0,IF(COUNTIF($H$2:H154,H154)=1,1,0))</f>
        <v>0</v>
      </c>
    </row>
    <row r="155" spans="1:10" ht="14.25" hidden="1" customHeight="1" x14ac:dyDescent="0.35">
      <c r="A155" s="30" t="s">
        <v>120</v>
      </c>
      <c r="B155" t="s">
        <v>112</v>
      </c>
      <c r="C155" t="s">
        <v>79</v>
      </c>
      <c r="D155" t="s">
        <v>115</v>
      </c>
      <c r="E155" s="31">
        <v>45558</v>
      </c>
      <c r="F155" s="7" t="s">
        <v>71</v>
      </c>
      <c r="G155" s="32" t="str">
        <f t="shared" si="4"/>
        <v>CAMPEONATO NACIONAL MULTICALIBRES|7|Linade|2024|ACRP</v>
      </c>
      <c r="H155" s="32" t="str">
        <f t="shared" si="5"/>
        <v>CAMPEONATO NACIONAL MULTICALIBRES|Linade|2024|ACRP</v>
      </c>
      <c r="I155" s="32">
        <f>IF(G155="",0,IF(COUNTIF($G$2:G155,G155)=1,1,0))</f>
        <v>1</v>
      </c>
      <c r="J155" s="32">
        <f>IF(H155="",0,IF(COUNTIF($H$2:H155,H155)=1,1,0))</f>
        <v>0</v>
      </c>
    </row>
    <row r="156" spans="1:10" ht="14.25" hidden="1" customHeight="1" x14ac:dyDescent="0.35">
      <c r="A156" s="30" t="s">
        <v>120</v>
      </c>
      <c r="B156" t="s">
        <v>112</v>
      </c>
      <c r="C156" t="s">
        <v>79</v>
      </c>
      <c r="D156" t="s">
        <v>115</v>
      </c>
      <c r="E156" s="31">
        <v>45558</v>
      </c>
      <c r="F156" s="7" t="s">
        <v>72</v>
      </c>
      <c r="G156" s="32" t="str">
        <f t="shared" si="4"/>
        <v>CAMPEONATO NACIONAL MULTICALIBRES|7|Linade|2024|ACRR</v>
      </c>
      <c r="H156" s="32" t="str">
        <f t="shared" si="5"/>
        <v>CAMPEONATO NACIONAL MULTICALIBRES|Linade|2024|ACRR</v>
      </c>
      <c r="I156" s="32">
        <f>IF(G156="",0,IF(COUNTIF($G$2:G156,G156)=1,1,0))</f>
        <v>1</v>
      </c>
      <c r="J156" s="32">
        <f>IF(H156="",0,IF(COUNTIF($H$2:H156,H156)=1,1,0))</f>
        <v>0</v>
      </c>
    </row>
    <row r="157" spans="1:10" ht="14.25" hidden="1" customHeight="1" x14ac:dyDescent="0.35">
      <c r="A157" s="30" t="s">
        <v>120</v>
      </c>
      <c r="B157" t="s">
        <v>112</v>
      </c>
      <c r="C157" t="s">
        <v>79</v>
      </c>
      <c r="D157" t="s">
        <v>115</v>
      </c>
      <c r="E157" s="31">
        <v>45558</v>
      </c>
      <c r="F157" s="7" t="s">
        <v>71</v>
      </c>
      <c r="G157" s="32" t="str">
        <f t="shared" si="4"/>
        <v>CAMPEONATO NACIONAL MULTICALIBRES|7|Linade|2024|ACRP</v>
      </c>
      <c r="H157" s="32" t="str">
        <f t="shared" si="5"/>
        <v>CAMPEONATO NACIONAL MULTICALIBRES|Linade|2024|ACRP</v>
      </c>
      <c r="I157" s="32">
        <f>IF(G157="",0,IF(COUNTIF($G$2:G157,G157)=1,1,0))</f>
        <v>0</v>
      </c>
      <c r="J157" s="32">
        <f>IF(H157="",0,IF(COUNTIF($H$2:H157,H157)=1,1,0))</f>
        <v>0</v>
      </c>
    </row>
    <row r="158" spans="1:10" ht="14.25" hidden="1" customHeight="1" x14ac:dyDescent="0.35">
      <c r="A158" s="30" t="s">
        <v>120</v>
      </c>
      <c r="B158" t="s">
        <v>112</v>
      </c>
      <c r="C158" t="s">
        <v>79</v>
      </c>
      <c r="D158" t="s">
        <v>115</v>
      </c>
      <c r="E158" s="31">
        <v>45558</v>
      </c>
      <c r="F158" t="s">
        <v>72</v>
      </c>
      <c r="G158" s="32" t="str">
        <f t="shared" si="4"/>
        <v>CAMPEONATO NACIONAL MULTICALIBRES|7|Linade|2024|ACRR</v>
      </c>
      <c r="H158" s="32" t="str">
        <f t="shared" si="5"/>
        <v>CAMPEONATO NACIONAL MULTICALIBRES|Linade|2024|ACRR</v>
      </c>
      <c r="I158" s="32">
        <f>IF(G158="",0,IF(COUNTIF($G$2:G158,G158)=1,1,0))</f>
        <v>0</v>
      </c>
      <c r="J158" s="32">
        <f>IF(H158="",0,IF(COUNTIF($H$2:H158,H158)=1,1,0))</f>
        <v>0</v>
      </c>
    </row>
    <row r="159" spans="1:10" ht="14.25" hidden="1" customHeight="1" x14ac:dyDescent="0.35">
      <c r="A159" s="30" t="s">
        <v>120</v>
      </c>
      <c r="B159" t="s">
        <v>112</v>
      </c>
      <c r="C159" t="s">
        <v>79</v>
      </c>
      <c r="D159" t="s">
        <v>115</v>
      </c>
      <c r="E159" s="31">
        <v>45558</v>
      </c>
      <c r="F159" t="s">
        <v>72</v>
      </c>
      <c r="G159" s="32" t="str">
        <f t="shared" si="4"/>
        <v>CAMPEONATO NACIONAL MULTICALIBRES|7|Linade|2024|ACRR</v>
      </c>
      <c r="H159" s="32" t="str">
        <f t="shared" si="5"/>
        <v>CAMPEONATO NACIONAL MULTICALIBRES|Linade|2024|ACRR</v>
      </c>
      <c r="I159" s="32">
        <f>IF(G159="",0,IF(COUNTIF($G$2:G159,G159)=1,1,0))</f>
        <v>0</v>
      </c>
      <c r="J159" s="32">
        <f>IF(H159="",0,IF(COUNTIF($H$2:H159,H159)=1,1,0))</f>
        <v>0</v>
      </c>
    </row>
    <row r="160" spans="1:10" ht="14.25" hidden="1" customHeight="1" x14ac:dyDescent="0.35">
      <c r="A160" s="30" t="s">
        <v>120</v>
      </c>
      <c r="B160" t="s">
        <v>112</v>
      </c>
      <c r="C160" t="s">
        <v>79</v>
      </c>
      <c r="D160" t="s">
        <v>115</v>
      </c>
      <c r="E160" s="31">
        <v>45558</v>
      </c>
      <c r="F160" t="s">
        <v>72</v>
      </c>
      <c r="G160" s="32" t="str">
        <f t="shared" si="4"/>
        <v>CAMPEONATO NACIONAL MULTICALIBRES|7|Linade|2024|ACRR</v>
      </c>
      <c r="H160" s="32" t="str">
        <f t="shared" si="5"/>
        <v>CAMPEONATO NACIONAL MULTICALIBRES|Linade|2024|ACRR</v>
      </c>
      <c r="I160" s="32">
        <f>IF(G160="",0,IF(COUNTIF($G$2:G160,G160)=1,1,0))</f>
        <v>0</v>
      </c>
      <c r="J160" s="32">
        <f>IF(H160="",0,IF(COUNTIF($H$2:H160,H160)=1,1,0))</f>
        <v>0</v>
      </c>
    </row>
    <row r="161" spans="1:10" ht="14.25" hidden="1" customHeight="1" x14ac:dyDescent="0.35">
      <c r="A161" s="30" t="s">
        <v>126</v>
      </c>
      <c r="B161" t="s">
        <v>127</v>
      </c>
      <c r="C161" t="s">
        <v>77</v>
      </c>
      <c r="D161" t="s">
        <v>128</v>
      </c>
      <c r="E161" s="31">
        <v>45574</v>
      </c>
      <c r="F161" t="s">
        <v>72</v>
      </c>
      <c r="G161" s="32" t="str">
        <f t="shared" si="4"/>
        <v>45574|ACRR</v>
      </c>
      <c r="H161" s="32" t="str">
        <f t="shared" si="5"/>
        <v>TREINO|TR|2024|ACRR</v>
      </c>
      <c r="I161" s="32">
        <f>IF(G161="",0,IF(COUNTIF($G$2:G161,G161)=1,1,0))</f>
        <v>1</v>
      </c>
      <c r="J161" s="32">
        <f>IF(H161="",0,IF(COUNTIF($H$2:H161,H161)=1,1,0))</f>
        <v>0</v>
      </c>
    </row>
    <row r="162" spans="1:10" ht="14.25" hidden="1" customHeight="1" x14ac:dyDescent="0.35">
      <c r="A162" s="30" t="s">
        <v>126</v>
      </c>
      <c r="B162" t="s">
        <v>127</v>
      </c>
      <c r="C162" t="s">
        <v>77</v>
      </c>
      <c r="D162" t="s">
        <v>128</v>
      </c>
      <c r="E162" s="31">
        <v>45574</v>
      </c>
      <c r="F162" t="s">
        <v>72</v>
      </c>
      <c r="G162" s="32" t="str">
        <f t="shared" si="4"/>
        <v>45574|ACRR</v>
      </c>
      <c r="H162" s="32" t="str">
        <f t="shared" si="5"/>
        <v>TREINO|TR|2024|ACRR</v>
      </c>
      <c r="I162" s="32">
        <f>IF(G162="",0,IF(COUNTIF($G$2:G162,G162)=1,1,0))</f>
        <v>0</v>
      </c>
      <c r="J162" s="32">
        <f>IF(H162="",0,IF(COUNTIF($H$2:H162,H162)=1,1,0))</f>
        <v>0</v>
      </c>
    </row>
    <row r="163" spans="1:10" ht="14.25" hidden="1" customHeight="1" x14ac:dyDescent="0.35">
      <c r="A163" s="30" t="s">
        <v>126</v>
      </c>
      <c r="B163" t="s">
        <v>127</v>
      </c>
      <c r="C163" t="s">
        <v>77</v>
      </c>
      <c r="D163" t="s">
        <v>128</v>
      </c>
      <c r="E163" s="31">
        <v>45574</v>
      </c>
      <c r="F163" t="s">
        <v>71</v>
      </c>
      <c r="G163" s="32" t="str">
        <f t="shared" si="4"/>
        <v>45574|ACRP</v>
      </c>
      <c r="H163" s="32" t="str">
        <f t="shared" si="5"/>
        <v>TREINO|TR|2024|ACRP</v>
      </c>
      <c r="I163" s="32">
        <f>IF(G163="",0,IF(COUNTIF($G$2:G163,G163)=1,1,0))</f>
        <v>1</v>
      </c>
      <c r="J163" s="32">
        <f>IF(H163="",0,IF(COUNTIF($H$2:H163,H163)=1,1,0))</f>
        <v>0</v>
      </c>
    </row>
    <row r="164" spans="1:10" ht="14.25" hidden="1" customHeight="1" x14ac:dyDescent="0.35">
      <c r="A164" s="30" t="s">
        <v>126</v>
      </c>
      <c r="B164" t="s">
        <v>127</v>
      </c>
      <c r="C164" t="s">
        <v>77</v>
      </c>
      <c r="D164" t="s">
        <v>128</v>
      </c>
      <c r="E164" s="31">
        <v>45574</v>
      </c>
      <c r="F164" t="s">
        <v>72</v>
      </c>
      <c r="G164" s="32" t="str">
        <f t="shared" si="4"/>
        <v>45574|ACRR</v>
      </c>
      <c r="H164" s="32" t="str">
        <f t="shared" si="5"/>
        <v>TREINO|TR|2024|ACRR</v>
      </c>
      <c r="I164" s="32">
        <f>IF(G164="",0,IF(COUNTIF($G$2:G164,G164)=1,1,0))</f>
        <v>0</v>
      </c>
      <c r="J164" s="32">
        <f>IF(H164="",0,IF(COUNTIF($H$2:H164,H164)=1,1,0))</f>
        <v>0</v>
      </c>
    </row>
    <row r="165" spans="1:10" ht="14.25" hidden="1" customHeight="1" x14ac:dyDescent="0.35">
      <c r="A165" s="30" t="s">
        <v>126</v>
      </c>
      <c r="B165" t="s">
        <v>127</v>
      </c>
      <c r="C165" t="s">
        <v>77</v>
      </c>
      <c r="D165" t="s">
        <v>128</v>
      </c>
      <c r="E165" s="31">
        <v>45582</v>
      </c>
      <c r="F165" t="s">
        <v>72</v>
      </c>
      <c r="G165" s="32" t="str">
        <f t="shared" si="4"/>
        <v>45582|ACRR</v>
      </c>
      <c r="H165" s="32" t="str">
        <f t="shared" si="5"/>
        <v>TREINO|TR|2024|ACRR</v>
      </c>
      <c r="I165" s="32">
        <f>IF(G165="",0,IF(COUNTIF($G$2:G165,G165)=1,1,0))</f>
        <v>1</v>
      </c>
      <c r="J165" s="32">
        <f>IF(H165="",0,IF(COUNTIF($H$2:H165,H165)=1,1,0))</f>
        <v>0</v>
      </c>
    </row>
    <row r="166" spans="1:10" ht="14.25" hidden="1" customHeight="1" x14ac:dyDescent="0.35">
      <c r="A166" s="30" t="s">
        <v>126</v>
      </c>
      <c r="B166" t="s">
        <v>127</v>
      </c>
      <c r="C166" t="s">
        <v>77</v>
      </c>
      <c r="D166" t="s">
        <v>128</v>
      </c>
      <c r="E166" s="31">
        <v>45582</v>
      </c>
      <c r="F166" t="s">
        <v>72</v>
      </c>
      <c r="G166" s="32" t="str">
        <f t="shared" si="4"/>
        <v>45582|ACRR</v>
      </c>
      <c r="H166" s="32" t="str">
        <f t="shared" si="5"/>
        <v>TREINO|TR|2024|ACRR</v>
      </c>
      <c r="I166" s="32">
        <f>IF(G166="",0,IF(COUNTIF($G$2:G166,G166)=1,1,0))</f>
        <v>0</v>
      </c>
      <c r="J166" s="32">
        <f>IF(H166="",0,IF(COUNTIF($H$2:H166,H166)=1,1,0))</f>
        <v>0</v>
      </c>
    </row>
    <row r="167" spans="1:10" ht="14.25" hidden="1" customHeight="1" x14ac:dyDescent="0.35">
      <c r="A167" s="30" t="s">
        <v>126</v>
      </c>
      <c r="B167" t="s">
        <v>127</v>
      </c>
      <c r="C167" t="s">
        <v>77</v>
      </c>
      <c r="D167" t="s">
        <v>128</v>
      </c>
      <c r="E167" s="31">
        <v>45582</v>
      </c>
      <c r="F167" t="s">
        <v>72</v>
      </c>
      <c r="G167" s="32" t="str">
        <f t="shared" si="4"/>
        <v>45582|ACRR</v>
      </c>
      <c r="H167" s="32" t="str">
        <f t="shared" si="5"/>
        <v>TREINO|TR|2024|ACRR</v>
      </c>
      <c r="I167" s="32">
        <f>IF(G167="",0,IF(COUNTIF($G$2:G167,G167)=1,1,0))</f>
        <v>0</v>
      </c>
      <c r="J167" s="32">
        <f>IF(H167="",0,IF(COUNTIF($H$2:H167,H167)=1,1,0))</f>
        <v>0</v>
      </c>
    </row>
    <row r="168" spans="1:10" ht="14.25" hidden="1" customHeight="1" x14ac:dyDescent="0.35">
      <c r="A168" s="30" t="s">
        <v>126</v>
      </c>
      <c r="B168" t="s">
        <v>127</v>
      </c>
      <c r="C168" t="s">
        <v>77</v>
      </c>
      <c r="D168" t="s">
        <v>128</v>
      </c>
      <c r="E168" s="31">
        <v>45582</v>
      </c>
      <c r="F168" t="s">
        <v>72</v>
      </c>
      <c r="G168" s="32" t="str">
        <f t="shared" si="4"/>
        <v>45582|ACRR</v>
      </c>
      <c r="H168" s="32" t="str">
        <f t="shared" si="5"/>
        <v>TREINO|TR|2024|ACRR</v>
      </c>
      <c r="I168" s="32">
        <f>IF(G168="",0,IF(COUNTIF($G$2:G168,G168)=1,1,0))</f>
        <v>0</v>
      </c>
      <c r="J168" s="32">
        <f>IF(H168="",0,IF(COUNTIF($H$2:H168,H168)=1,1,0))</f>
        <v>0</v>
      </c>
    </row>
    <row r="169" spans="1:10" ht="14.25" hidden="1" customHeight="1" x14ac:dyDescent="0.35">
      <c r="A169" s="30" t="s">
        <v>126</v>
      </c>
      <c r="B169" t="s">
        <v>127</v>
      </c>
      <c r="C169" t="s">
        <v>77</v>
      </c>
      <c r="D169" t="s">
        <v>128</v>
      </c>
      <c r="E169" s="31">
        <v>45589</v>
      </c>
      <c r="F169" t="s">
        <v>71</v>
      </c>
      <c r="G169" s="32" t="str">
        <f t="shared" si="4"/>
        <v>45589|ACRP</v>
      </c>
      <c r="H169" s="32" t="str">
        <f t="shared" si="5"/>
        <v>TREINO|TR|2024|ACRP</v>
      </c>
      <c r="I169" s="32">
        <f>IF(G169="",0,IF(COUNTIF($G$2:G169,G169)=1,1,0))</f>
        <v>1</v>
      </c>
      <c r="J169" s="32">
        <f>IF(H169="",0,IF(COUNTIF($H$2:H169,H169)=1,1,0))</f>
        <v>0</v>
      </c>
    </row>
    <row r="170" spans="1:10" ht="14.25" hidden="1" customHeight="1" x14ac:dyDescent="0.35">
      <c r="A170" s="30" t="s">
        <v>126</v>
      </c>
      <c r="B170" t="s">
        <v>127</v>
      </c>
      <c r="C170" t="s">
        <v>77</v>
      </c>
      <c r="D170" t="s">
        <v>128</v>
      </c>
      <c r="E170" s="31">
        <v>45589</v>
      </c>
      <c r="F170" t="s">
        <v>72</v>
      </c>
      <c r="G170" s="32" t="str">
        <f t="shared" si="4"/>
        <v>45589|ACRR</v>
      </c>
      <c r="H170" s="32" t="str">
        <f t="shared" si="5"/>
        <v>TREINO|TR|2024|ACRR</v>
      </c>
      <c r="I170" s="32">
        <f>IF(G170="",0,IF(COUNTIF($G$2:G170,G170)=1,1,0))</f>
        <v>1</v>
      </c>
      <c r="J170" s="32">
        <f>IF(H170="",0,IF(COUNTIF($H$2:H170,H170)=1,1,0))</f>
        <v>0</v>
      </c>
    </row>
    <row r="171" spans="1:10" ht="14.25" hidden="1" customHeight="1" x14ac:dyDescent="0.35">
      <c r="A171" s="30" t="s">
        <v>126</v>
      </c>
      <c r="B171" t="s">
        <v>127</v>
      </c>
      <c r="C171" t="s">
        <v>77</v>
      </c>
      <c r="D171" t="s">
        <v>128</v>
      </c>
      <c r="E171" s="31">
        <v>45589</v>
      </c>
      <c r="F171" t="s">
        <v>72</v>
      </c>
      <c r="G171" s="32" t="str">
        <f t="shared" si="4"/>
        <v>45589|ACRR</v>
      </c>
      <c r="H171" s="32" t="str">
        <f t="shared" si="5"/>
        <v>TREINO|TR|2024|ACRR</v>
      </c>
      <c r="I171" s="32">
        <f>IF(G171="",0,IF(COUNTIF($G$2:G171,G171)=1,1,0))</f>
        <v>0</v>
      </c>
      <c r="J171" s="32">
        <f>IF(H171="",0,IF(COUNTIF($H$2:H171,H171)=1,1,0))</f>
        <v>0</v>
      </c>
    </row>
    <row r="172" spans="1:10" ht="14.25" hidden="1" customHeight="1" x14ac:dyDescent="0.35">
      <c r="A172" s="30" t="s">
        <v>126</v>
      </c>
      <c r="B172" t="s">
        <v>127</v>
      </c>
      <c r="C172" t="s">
        <v>77</v>
      </c>
      <c r="D172" t="s">
        <v>128</v>
      </c>
      <c r="E172" s="31">
        <v>45589</v>
      </c>
      <c r="F172" t="s">
        <v>72</v>
      </c>
      <c r="G172" s="32" t="str">
        <f t="shared" si="4"/>
        <v>45589|ACRR</v>
      </c>
      <c r="H172" s="32" t="str">
        <f t="shared" si="5"/>
        <v>TREINO|TR|2024|ACRR</v>
      </c>
      <c r="I172" s="32">
        <f>IF(G172="",0,IF(COUNTIF($G$2:G172,G172)=1,1,0))</f>
        <v>0</v>
      </c>
      <c r="J172" s="32">
        <f>IF(H172="",0,IF(COUNTIF($H$2:H172,H172)=1,1,0))</f>
        <v>0</v>
      </c>
    </row>
    <row r="173" spans="1:10" ht="14.25" hidden="1" customHeight="1" x14ac:dyDescent="0.35">
      <c r="A173" s="30" t="s">
        <v>126</v>
      </c>
      <c r="B173" t="s">
        <v>127</v>
      </c>
      <c r="C173" t="s">
        <v>77</v>
      </c>
      <c r="D173" t="s">
        <v>128</v>
      </c>
      <c r="E173" s="31">
        <v>45589</v>
      </c>
      <c r="F173" t="s">
        <v>74</v>
      </c>
      <c r="G173" s="32" t="str">
        <f t="shared" si="4"/>
        <v>45589|ALRR</v>
      </c>
      <c r="H173" s="32" t="str">
        <f t="shared" si="5"/>
        <v>TREINO|TR|2024|ALRR</v>
      </c>
      <c r="I173" s="32">
        <f>IF(G173="",0,IF(COUNTIF($G$2:G173,G173)=1,1,0))</f>
        <v>1</v>
      </c>
      <c r="J173" s="32">
        <f>IF(H173="",0,IF(COUNTIF($H$2:H173,H173)=1,1,0))</f>
        <v>0</v>
      </c>
    </row>
    <row r="174" spans="1:10" ht="14.25" hidden="1" customHeight="1" x14ac:dyDescent="0.35">
      <c r="A174" s="30" t="s">
        <v>126</v>
      </c>
      <c r="B174" t="s">
        <v>127</v>
      </c>
      <c r="C174" t="s">
        <v>77</v>
      </c>
      <c r="D174" t="s">
        <v>128</v>
      </c>
      <c r="E174" s="31">
        <v>45589</v>
      </c>
      <c r="F174" t="s">
        <v>71</v>
      </c>
      <c r="G174" s="32" t="str">
        <f t="shared" si="4"/>
        <v>45589|ACRP</v>
      </c>
      <c r="H174" s="32" t="str">
        <f t="shared" si="5"/>
        <v>TREINO|TR|2024|ACRP</v>
      </c>
      <c r="I174" s="32">
        <f>IF(G174="",0,IF(COUNTIF($G$2:G174,G174)=1,1,0))</f>
        <v>0</v>
      </c>
      <c r="J174" s="32">
        <f>IF(H174="",0,IF(COUNTIF($H$2:H174,H174)=1,1,0))</f>
        <v>0</v>
      </c>
    </row>
    <row r="175" spans="1:10" ht="14.25" hidden="1" customHeight="1" x14ac:dyDescent="0.35">
      <c r="A175" s="30" t="s">
        <v>126</v>
      </c>
      <c r="B175" t="s">
        <v>127</v>
      </c>
      <c r="C175" t="s">
        <v>77</v>
      </c>
      <c r="D175" t="s">
        <v>128</v>
      </c>
      <c r="E175" s="31">
        <v>45589</v>
      </c>
      <c r="F175" t="s">
        <v>72</v>
      </c>
      <c r="G175" s="32" t="str">
        <f t="shared" si="4"/>
        <v>45589|ACRR</v>
      </c>
      <c r="H175" s="32" t="str">
        <f t="shared" si="5"/>
        <v>TREINO|TR|2024|ACRR</v>
      </c>
      <c r="I175" s="32">
        <f>IF(G175="",0,IF(COUNTIF($G$2:G175,G175)=1,1,0))</f>
        <v>0</v>
      </c>
      <c r="J175" s="32">
        <f>IF(H175="",0,IF(COUNTIF($H$2:H175,H175)=1,1,0))</f>
        <v>0</v>
      </c>
    </row>
    <row r="176" spans="1:10" ht="14.25" hidden="1" customHeight="1" x14ac:dyDescent="0.35">
      <c r="A176" s="30" t="s">
        <v>131</v>
      </c>
      <c r="B176" t="s">
        <v>117</v>
      </c>
      <c r="C176" t="s">
        <v>77</v>
      </c>
      <c r="D176" t="s">
        <v>106</v>
      </c>
      <c r="E176" s="31">
        <v>45589</v>
      </c>
      <c r="F176" t="s">
        <v>72</v>
      </c>
      <c r="G176" s="32" t="str">
        <f t="shared" si="4"/>
        <v>Duelo The Range|9|TR|2024|ACRR</v>
      </c>
      <c r="H176" s="32" t="str">
        <f t="shared" si="5"/>
        <v>Duelo The Range|TR|2024|ACRR</v>
      </c>
      <c r="I176" s="32">
        <f>IF(G176="",0,IF(COUNTIF($G$2:G176,G176)=1,1,0))</f>
        <v>1</v>
      </c>
      <c r="J176" s="32">
        <f>IF(H176="",0,IF(COUNTIF($H$2:H176,H176)=1,1,0))</f>
        <v>0</v>
      </c>
    </row>
    <row r="177" spans="1:10" ht="14.25" hidden="1" customHeight="1" x14ac:dyDescent="0.35">
      <c r="A177" s="30" t="s">
        <v>131</v>
      </c>
      <c r="B177" t="s">
        <v>117</v>
      </c>
      <c r="C177" t="s">
        <v>77</v>
      </c>
      <c r="D177" t="s">
        <v>106</v>
      </c>
      <c r="E177" s="31">
        <v>45589</v>
      </c>
      <c r="F177" t="s">
        <v>71</v>
      </c>
      <c r="G177" s="32" t="str">
        <f t="shared" si="4"/>
        <v>Duelo The Range|9|TR|2024|ACRP</v>
      </c>
      <c r="H177" s="32" t="str">
        <f t="shared" si="5"/>
        <v>Duelo The Range|TR|2024|ACRP</v>
      </c>
      <c r="I177" s="32">
        <f>IF(G177="",0,IF(COUNTIF($G$2:G177,G177)=1,1,0))</f>
        <v>1</v>
      </c>
      <c r="J177" s="32">
        <f>IF(H177="",0,IF(COUNTIF($H$2:H177,H177)=1,1,0))</f>
        <v>1</v>
      </c>
    </row>
    <row r="178" spans="1:10" ht="14.25" hidden="1" customHeight="1" x14ac:dyDescent="0.35">
      <c r="A178" s="30" t="s">
        <v>131</v>
      </c>
      <c r="B178" t="s">
        <v>117</v>
      </c>
      <c r="C178" t="s">
        <v>77</v>
      </c>
      <c r="D178" t="s">
        <v>106</v>
      </c>
      <c r="E178" s="31">
        <v>45589</v>
      </c>
      <c r="F178" t="s">
        <v>71</v>
      </c>
      <c r="G178" s="32" t="str">
        <f t="shared" si="4"/>
        <v>Duelo The Range|9|TR|2024|ACRP</v>
      </c>
      <c r="H178" s="32" t="str">
        <f t="shared" si="5"/>
        <v>Duelo The Range|TR|2024|ACRP</v>
      </c>
      <c r="I178" s="32">
        <f>IF(G178="",0,IF(COUNTIF($G$2:G178,G178)=1,1,0))</f>
        <v>0</v>
      </c>
      <c r="J178" s="32">
        <f>IF(H178="",0,IF(COUNTIF($H$2:H178,H178)=1,1,0))</f>
        <v>0</v>
      </c>
    </row>
    <row r="179" spans="1:10" ht="14.25" hidden="1" customHeight="1" x14ac:dyDescent="0.35">
      <c r="A179" s="30" t="s">
        <v>131</v>
      </c>
      <c r="B179" t="s">
        <v>117</v>
      </c>
      <c r="C179" t="s">
        <v>77</v>
      </c>
      <c r="D179" t="s">
        <v>106</v>
      </c>
      <c r="E179" s="31">
        <v>45589</v>
      </c>
      <c r="F179" t="s">
        <v>72</v>
      </c>
      <c r="G179" s="32" t="str">
        <f t="shared" si="4"/>
        <v>Duelo The Range|9|TR|2024|ACRR</v>
      </c>
      <c r="H179" s="32" t="str">
        <f t="shared" si="5"/>
        <v>Duelo The Range|TR|2024|ACRR</v>
      </c>
      <c r="I179" s="32">
        <f>IF(G179="",0,IF(COUNTIF($G$2:G179,G179)=1,1,0))</f>
        <v>0</v>
      </c>
      <c r="J179" s="32">
        <f>IF(H179="",0,IF(COUNTIF($H$2:H179,H179)=1,1,0))</f>
        <v>0</v>
      </c>
    </row>
    <row r="180" spans="1:10" ht="14.25" hidden="1" customHeight="1" x14ac:dyDescent="0.35">
      <c r="A180" s="30" t="s">
        <v>131</v>
      </c>
      <c r="B180" t="s">
        <v>117</v>
      </c>
      <c r="C180" t="s">
        <v>77</v>
      </c>
      <c r="D180" t="s">
        <v>106</v>
      </c>
      <c r="E180" s="31">
        <v>45589</v>
      </c>
      <c r="F180" t="s">
        <v>72</v>
      </c>
      <c r="G180" s="32" t="str">
        <f t="shared" si="4"/>
        <v>Duelo The Range|9|TR|2024|ACRR</v>
      </c>
      <c r="H180" s="32" t="str">
        <f t="shared" si="5"/>
        <v>Duelo The Range|TR|2024|ACRR</v>
      </c>
      <c r="I180" s="32">
        <f>IF(G180="",0,IF(COUNTIF($G$2:G180,G180)=1,1,0))</f>
        <v>0</v>
      </c>
      <c r="J180" s="32">
        <f>IF(H180="",0,IF(COUNTIF($H$2:H180,H180)=1,1,0))</f>
        <v>0</v>
      </c>
    </row>
    <row r="181" spans="1:10" ht="14.25" hidden="1" customHeight="1" x14ac:dyDescent="0.35">
      <c r="A181" s="30" t="s">
        <v>132</v>
      </c>
      <c r="B181" t="s">
        <v>117</v>
      </c>
      <c r="C181" t="s">
        <v>77</v>
      </c>
      <c r="D181" t="s">
        <v>106</v>
      </c>
      <c r="E181" s="31">
        <v>45589</v>
      </c>
      <c r="F181" t="s">
        <v>71</v>
      </c>
      <c r="G181" s="32" t="str">
        <f t="shared" si="4"/>
        <v>5 PLATES|9|TR|2024|ACRP</v>
      </c>
      <c r="H181" s="32" t="str">
        <f t="shared" si="5"/>
        <v>5 PLATES|TR|2024|ACRP</v>
      </c>
      <c r="I181" s="32">
        <f>IF(G181="",0,IF(COUNTIF($G$2:G181,G181)=1,1,0))</f>
        <v>1</v>
      </c>
      <c r="J181" s="32">
        <f>IF(H181="",0,IF(COUNTIF($H$2:H181,H181)=1,1,0))</f>
        <v>1</v>
      </c>
    </row>
    <row r="182" spans="1:10" ht="14.25" hidden="1" customHeight="1" x14ac:dyDescent="0.35">
      <c r="A182" s="30" t="s">
        <v>132</v>
      </c>
      <c r="B182" t="s">
        <v>117</v>
      </c>
      <c r="C182" t="s">
        <v>77</v>
      </c>
      <c r="D182" t="s">
        <v>106</v>
      </c>
      <c r="E182" s="31">
        <v>45589</v>
      </c>
      <c r="F182" t="s">
        <v>71</v>
      </c>
      <c r="G182" s="32" t="str">
        <f t="shared" si="4"/>
        <v>5 PLATES|9|TR|2024|ACRP</v>
      </c>
      <c r="H182" s="32" t="str">
        <f t="shared" si="5"/>
        <v>5 PLATES|TR|2024|ACRP</v>
      </c>
      <c r="I182" s="32">
        <f>IF(G182="",0,IF(COUNTIF($G$2:G182,G182)=1,1,0))</f>
        <v>0</v>
      </c>
      <c r="J182" s="32">
        <f>IF(H182="",0,IF(COUNTIF($H$2:H182,H182)=1,1,0))</f>
        <v>0</v>
      </c>
    </row>
    <row r="183" spans="1:10" ht="14.25" hidden="1" customHeight="1" x14ac:dyDescent="0.35">
      <c r="A183" s="30" t="s">
        <v>132</v>
      </c>
      <c r="B183" t="s">
        <v>117</v>
      </c>
      <c r="C183" t="s">
        <v>77</v>
      </c>
      <c r="D183" t="s">
        <v>106</v>
      </c>
      <c r="E183" s="31">
        <v>45589</v>
      </c>
      <c r="F183" t="s">
        <v>72</v>
      </c>
      <c r="G183" s="32" t="str">
        <f t="shared" si="4"/>
        <v>5 PLATES|9|TR|2024|ACRR</v>
      </c>
      <c r="H183" s="32" t="str">
        <f t="shared" si="5"/>
        <v>5 PLATES|TR|2024|ACRR</v>
      </c>
      <c r="I183" s="32">
        <f>IF(G183="",0,IF(COUNTIF($G$2:G183,G183)=1,1,0))</f>
        <v>1</v>
      </c>
      <c r="J183" s="32">
        <f>IF(H183="",0,IF(COUNTIF($H$2:H183,H183)=1,1,0))</f>
        <v>1</v>
      </c>
    </row>
    <row r="184" spans="1:10" ht="14.25" hidden="1" customHeight="1" x14ac:dyDescent="0.35">
      <c r="A184" s="30" t="s">
        <v>132</v>
      </c>
      <c r="B184" t="s">
        <v>117</v>
      </c>
      <c r="C184" t="s">
        <v>77</v>
      </c>
      <c r="D184" t="s">
        <v>106</v>
      </c>
      <c r="E184" s="31">
        <v>45589</v>
      </c>
      <c r="F184" t="s">
        <v>72</v>
      </c>
      <c r="G184" s="32" t="str">
        <f t="shared" si="4"/>
        <v>5 PLATES|9|TR|2024|ACRR</v>
      </c>
      <c r="H184" s="32" t="str">
        <f t="shared" si="5"/>
        <v>5 PLATES|TR|2024|ACRR</v>
      </c>
      <c r="I184" s="32">
        <f>IF(G184="",0,IF(COUNTIF($G$2:G184,G184)=1,1,0))</f>
        <v>0</v>
      </c>
      <c r="J184" s="32">
        <f>IF(H184="",0,IF(COUNTIF($H$2:H184,H184)=1,1,0))</f>
        <v>0</v>
      </c>
    </row>
    <row r="185" spans="1:10" ht="14.25" hidden="1" customHeight="1" x14ac:dyDescent="0.35">
      <c r="A185" s="30" t="s">
        <v>126</v>
      </c>
      <c r="B185" t="s">
        <v>127</v>
      </c>
      <c r="C185" t="s">
        <v>77</v>
      </c>
      <c r="D185" t="s">
        <v>128</v>
      </c>
      <c r="E185" s="31">
        <v>45596</v>
      </c>
      <c r="F185" t="s">
        <v>72</v>
      </c>
      <c r="G185" s="32" t="str">
        <f t="shared" si="4"/>
        <v>45596|ACRR</v>
      </c>
      <c r="H185" s="32" t="str">
        <f t="shared" si="5"/>
        <v>TREINO|TR|2024|ACRR</v>
      </c>
      <c r="I185" s="32">
        <f>IF(G185="",0,IF(COUNTIF($G$2:G185,G185)=1,1,0))</f>
        <v>1</v>
      </c>
      <c r="J185" s="32">
        <f>IF(H185="",0,IF(COUNTIF($H$2:H185,H185)=1,1,0))</f>
        <v>0</v>
      </c>
    </row>
    <row r="186" spans="1:10" ht="14.25" hidden="1" customHeight="1" x14ac:dyDescent="0.35">
      <c r="A186" s="30" t="s">
        <v>126</v>
      </c>
      <c r="B186" t="s">
        <v>127</v>
      </c>
      <c r="C186" t="s">
        <v>77</v>
      </c>
      <c r="D186" t="s">
        <v>128</v>
      </c>
      <c r="E186" s="31">
        <v>45596</v>
      </c>
      <c r="F186" t="s">
        <v>73</v>
      </c>
      <c r="G186" s="32" t="str">
        <f t="shared" si="4"/>
        <v>45596|ALRP</v>
      </c>
      <c r="H186" s="32" t="str">
        <f t="shared" si="5"/>
        <v>TREINO|TR|2024|ALRP</v>
      </c>
      <c r="I186" s="32">
        <f>IF(G186="",0,IF(COUNTIF($G$2:G186,G186)=1,1,0))</f>
        <v>1</v>
      </c>
      <c r="J186" s="32">
        <f>IF(H186="",0,IF(COUNTIF($H$2:H186,H186)=1,1,0))</f>
        <v>1</v>
      </c>
    </row>
    <row r="187" spans="1:10" ht="14.25" hidden="1" customHeight="1" x14ac:dyDescent="0.35">
      <c r="A187" s="30" t="s">
        <v>126</v>
      </c>
      <c r="B187" t="s">
        <v>127</v>
      </c>
      <c r="C187" t="s">
        <v>77</v>
      </c>
      <c r="D187" t="s">
        <v>128</v>
      </c>
      <c r="E187" s="31">
        <v>45596</v>
      </c>
      <c r="F187" t="s">
        <v>71</v>
      </c>
      <c r="G187" s="32" t="str">
        <f t="shared" si="4"/>
        <v>45596|ACRP</v>
      </c>
      <c r="H187" s="32" t="str">
        <f t="shared" si="5"/>
        <v>TREINO|TR|2024|ACRP</v>
      </c>
      <c r="I187" s="32">
        <f>IF(G187="",0,IF(COUNTIF($G$2:G187,G187)=1,1,0))</f>
        <v>1</v>
      </c>
      <c r="J187" s="32">
        <f>IF(H187="",0,IF(COUNTIF($H$2:H187,H187)=1,1,0))</f>
        <v>0</v>
      </c>
    </row>
    <row r="188" spans="1:10" ht="14.25" hidden="1" customHeight="1" x14ac:dyDescent="0.35">
      <c r="A188" s="30" t="s">
        <v>126</v>
      </c>
      <c r="B188" t="s">
        <v>127</v>
      </c>
      <c r="C188" t="s">
        <v>77</v>
      </c>
      <c r="D188" t="s">
        <v>128</v>
      </c>
      <c r="E188" s="31">
        <v>45596</v>
      </c>
      <c r="F188" t="s">
        <v>71</v>
      </c>
      <c r="G188" s="32" t="str">
        <f t="shared" si="4"/>
        <v>45596|ACRP</v>
      </c>
      <c r="H188" s="32" t="str">
        <f t="shared" si="5"/>
        <v>TREINO|TR|2024|ACRP</v>
      </c>
      <c r="I188" s="32">
        <f>IF(G188="",0,IF(COUNTIF($G$2:G188,G188)=1,1,0))</f>
        <v>0</v>
      </c>
      <c r="J188" s="32">
        <f>IF(H188="",0,IF(COUNTIF($H$2:H188,H188)=1,1,0))</f>
        <v>0</v>
      </c>
    </row>
    <row r="189" spans="1:10" ht="14.25" hidden="1" customHeight="1" x14ac:dyDescent="0.35">
      <c r="A189" s="30" t="s">
        <v>125</v>
      </c>
      <c r="B189" t="s">
        <v>105</v>
      </c>
      <c r="C189" t="s">
        <v>76</v>
      </c>
      <c r="D189" t="s">
        <v>106</v>
      </c>
      <c r="E189" s="31">
        <v>45700</v>
      </c>
      <c r="F189" t="s">
        <v>71</v>
      </c>
      <c r="G189" s="32" t="str">
        <f t="shared" si="4"/>
        <v>Paulista e Nacional Light|2|FPTE|2025|ACRP</v>
      </c>
      <c r="H189" s="32" t="str">
        <f t="shared" si="5"/>
        <v>Paulista e Nacional Light|FPTE|2025|ACRP</v>
      </c>
      <c r="I189" s="32">
        <f>IF(G189="",0,IF(COUNTIF($G$2:G189,G189)=1,1,0))</f>
        <v>1</v>
      </c>
      <c r="J189" s="32">
        <f>IF(H189="",0,IF(COUNTIF($H$2:H189,H189)=1,1,0))</f>
        <v>1</v>
      </c>
    </row>
    <row r="190" spans="1:10" ht="14.25" hidden="1" customHeight="1" x14ac:dyDescent="0.35">
      <c r="A190" s="30" t="s">
        <v>125</v>
      </c>
      <c r="B190" t="s">
        <v>105</v>
      </c>
      <c r="C190" t="s">
        <v>76</v>
      </c>
      <c r="D190" t="s">
        <v>106</v>
      </c>
      <c r="E190" s="31">
        <v>45700</v>
      </c>
      <c r="F190" t="s">
        <v>72</v>
      </c>
      <c r="G190" s="32" t="str">
        <f t="shared" si="4"/>
        <v>Paulista e Nacional Light|2|FPTE|2025|ACRR</v>
      </c>
      <c r="H190" s="32" t="str">
        <f t="shared" si="5"/>
        <v>Paulista e Nacional Light|FPTE|2025|ACRR</v>
      </c>
      <c r="I190" s="32">
        <f>IF(G190="",0,IF(COUNTIF($G$2:G190,G190)=1,1,0))</f>
        <v>1</v>
      </c>
      <c r="J190" s="32">
        <f>IF(H190="",0,IF(COUNTIF($H$2:H190,H190)=1,1,0))</f>
        <v>1</v>
      </c>
    </row>
    <row r="191" spans="1:10" ht="14.25" hidden="1" customHeight="1" x14ac:dyDescent="0.35">
      <c r="A191" s="30" t="s">
        <v>125</v>
      </c>
      <c r="B191" t="s">
        <v>105</v>
      </c>
      <c r="C191" t="s">
        <v>76</v>
      </c>
      <c r="D191" t="s">
        <v>106</v>
      </c>
      <c r="E191" s="31">
        <v>45700</v>
      </c>
      <c r="F191" t="s">
        <v>72</v>
      </c>
      <c r="G191" s="32" t="str">
        <f t="shared" si="4"/>
        <v>Paulista e Nacional Light|2|FPTE|2025|ACRR</v>
      </c>
      <c r="H191" s="32" t="str">
        <f t="shared" si="5"/>
        <v>Paulista e Nacional Light|FPTE|2025|ACRR</v>
      </c>
      <c r="I191" s="32">
        <f>IF(G191="",0,IF(COUNTIF($G$2:G191,G191)=1,1,0))</f>
        <v>0</v>
      </c>
      <c r="J191" s="32">
        <f>IF(H191="",0,IF(COUNTIF($H$2:H191,H191)=1,1,0))</f>
        <v>0</v>
      </c>
    </row>
    <row r="192" spans="1:10" ht="14.25" hidden="1" customHeight="1" x14ac:dyDescent="0.35">
      <c r="A192" s="30" t="s">
        <v>125</v>
      </c>
      <c r="B192" t="s">
        <v>105</v>
      </c>
      <c r="C192" t="s">
        <v>76</v>
      </c>
      <c r="D192" t="s">
        <v>106</v>
      </c>
      <c r="E192" s="31">
        <v>45700</v>
      </c>
      <c r="F192" t="s">
        <v>72</v>
      </c>
      <c r="G192" s="32" t="str">
        <f t="shared" si="4"/>
        <v>Paulista e Nacional Light|2|FPTE|2025|ACRR</v>
      </c>
      <c r="H192" s="32" t="str">
        <f t="shared" si="5"/>
        <v>Paulista e Nacional Light|FPTE|2025|ACRR</v>
      </c>
      <c r="I192" s="32">
        <f>IF(G192="",0,IF(COUNTIF($G$2:G192,G192)=1,1,0))</f>
        <v>0</v>
      </c>
      <c r="J192" s="32">
        <f>IF(H192="",0,IF(COUNTIF($H$2:H192,H192)=1,1,0))</f>
        <v>0</v>
      </c>
    </row>
    <row r="193" spans="1:10" ht="14.25" hidden="1" customHeight="1" x14ac:dyDescent="0.35">
      <c r="A193" s="30" t="s">
        <v>125</v>
      </c>
      <c r="B193" t="s">
        <v>105</v>
      </c>
      <c r="C193" t="s">
        <v>76</v>
      </c>
      <c r="D193" t="s">
        <v>106</v>
      </c>
      <c r="E193" s="31">
        <v>45700</v>
      </c>
      <c r="F193" t="s">
        <v>73</v>
      </c>
      <c r="G193" s="32" t="str">
        <f t="shared" si="4"/>
        <v>Paulista e Nacional Light|2|FPTE|2025|ALRP</v>
      </c>
      <c r="H193" s="32" t="str">
        <f t="shared" si="5"/>
        <v>Paulista e Nacional Light|FPTE|2025|ALRP</v>
      </c>
      <c r="I193" s="32">
        <f>IF(G193="",0,IF(COUNTIF($G$2:G193,G193)=1,1,0))</f>
        <v>1</v>
      </c>
      <c r="J193" s="32">
        <f>IF(H193="",0,IF(COUNTIF($H$2:H193,H193)=1,1,0))</f>
        <v>1</v>
      </c>
    </row>
    <row r="194" spans="1:10" ht="14.25" hidden="1" customHeight="1" x14ac:dyDescent="0.35">
      <c r="A194" s="30" t="s">
        <v>125</v>
      </c>
      <c r="B194" t="s">
        <v>105</v>
      </c>
      <c r="C194" t="s">
        <v>76</v>
      </c>
      <c r="D194" t="s">
        <v>106</v>
      </c>
      <c r="E194" s="31">
        <v>45700</v>
      </c>
      <c r="F194" t="s">
        <v>74</v>
      </c>
      <c r="G194" s="32" t="str">
        <f t="shared" ref="G194:G257" si="6">IF(D194="T",
E194&amp;"|"&amp;F194,
A194&amp;"|"&amp;B194&amp;"|"&amp;C194&amp;"|"&amp;YEAR(E194)&amp;"|"&amp;F194)</f>
        <v>Paulista e Nacional Light|2|FPTE|2025|ALRR</v>
      </c>
      <c r="H194" s="32" t="str">
        <f t="shared" ref="H194:H257" si="7">A194&amp;"|"&amp;C194&amp;"|"&amp;YEAR(E194)&amp;"|"&amp;F194</f>
        <v>Paulista e Nacional Light|FPTE|2025|ALRR</v>
      </c>
      <c r="I194" s="32">
        <f>IF(G194="",0,IF(COUNTIF($G$2:G194,G194)=1,1,0))</f>
        <v>1</v>
      </c>
      <c r="J194" s="32">
        <f>IF(H194="",0,IF(COUNTIF($H$2:H194,H194)=1,1,0))</f>
        <v>1</v>
      </c>
    </row>
    <row r="195" spans="1:10" ht="14.25" hidden="1" customHeight="1" x14ac:dyDescent="0.35">
      <c r="A195" s="30" t="s">
        <v>125</v>
      </c>
      <c r="B195" t="s">
        <v>105</v>
      </c>
      <c r="C195" t="s">
        <v>76</v>
      </c>
      <c r="D195" t="s">
        <v>106</v>
      </c>
      <c r="E195" s="31">
        <v>45700</v>
      </c>
      <c r="F195" t="s">
        <v>74</v>
      </c>
      <c r="G195" s="32" t="str">
        <f t="shared" si="6"/>
        <v>Paulista e Nacional Light|2|FPTE|2025|ALRR</v>
      </c>
      <c r="H195" s="32" t="str">
        <f t="shared" si="7"/>
        <v>Paulista e Nacional Light|FPTE|2025|ALRR</v>
      </c>
      <c r="I195" s="32">
        <f>IF(G195="",0,IF(COUNTIF($G$2:G195,G195)=1,1,0))</f>
        <v>0</v>
      </c>
      <c r="J195" s="32">
        <f>IF(H195="",0,IF(COUNTIF($H$2:H195,H195)=1,1,0))</f>
        <v>0</v>
      </c>
    </row>
    <row r="196" spans="1:10" ht="14.25" hidden="1" customHeight="1" x14ac:dyDescent="0.35">
      <c r="A196" s="30" t="s">
        <v>133</v>
      </c>
      <c r="B196" t="s">
        <v>118</v>
      </c>
      <c r="C196" t="s">
        <v>79</v>
      </c>
      <c r="D196" t="s">
        <v>115</v>
      </c>
      <c r="E196" s="31">
        <v>45700</v>
      </c>
      <c r="F196" t="s">
        <v>72</v>
      </c>
      <c r="G196" s="32" t="str">
        <f t="shared" si="6"/>
        <v>CAMPEONATO NACIONAL DE TIRO DESPORTIVO|1|Linade|2025|ACRR</v>
      </c>
      <c r="H196" s="32" t="str">
        <f t="shared" si="7"/>
        <v>CAMPEONATO NACIONAL DE TIRO DESPORTIVO|Linade|2025|ACRR</v>
      </c>
      <c r="I196" s="32">
        <f>IF(G196="",0,IF(COUNTIF($G$2:G196,G196)=1,1,0))</f>
        <v>1</v>
      </c>
      <c r="J196" s="32">
        <f>IF(H196="",0,IF(COUNTIF($H$2:H196,H196)=1,1,0))</f>
        <v>1</v>
      </c>
    </row>
    <row r="197" spans="1:10" ht="14.25" hidden="1" customHeight="1" x14ac:dyDescent="0.35">
      <c r="A197" s="30" t="s">
        <v>133</v>
      </c>
      <c r="B197" t="s">
        <v>118</v>
      </c>
      <c r="C197" t="s">
        <v>79</v>
      </c>
      <c r="D197" t="s">
        <v>115</v>
      </c>
      <c r="E197" s="31">
        <v>45700</v>
      </c>
      <c r="F197" t="s">
        <v>71</v>
      </c>
      <c r="G197" s="32" t="str">
        <f t="shared" si="6"/>
        <v>CAMPEONATO NACIONAL DE TIRO DESPORTIVO|1|Linade|2025|ACRP</v>
      </c>
      <c r="H197" s="32" t="str">
        <f t="shared" si="7"/>
        <v>CAMPEONATO NACIONAL DE TIRO DESPORTIVO|Linade|2025|ACRP</v>
      </c>
      <c r="I197" s="32">
        <f>IF(G197="",0,IF(COUNTIF($G$2:G197,G197)=1,1,0))</f>
        <v>1</v>
      </c>
      <c r="J197" s="32">
        <f>IF(H197="",0,IF(COUNTIF($H$2:H197,H197)=1,1,0))</f>
        <v>1</v>
      </c>
    </row>
    <row r="198" spans="1:10" ht="14.25" hidden="1" customHeight="1" x14ac:dyDescent="0.35">
      <c r="A198" s="30" t="s">
        <v>133</v>
      </c>
      <c r="B198" t="s">
        <v>118</v>
      </c>
      <c r="C198" t="s">
        <v>79</v>
      </c>
      <c r="D198" t="s">
        <v>115</v>
      </c>
      <c r="E198" s="31">
        <v>45700</v>
      </c>
      <c r="F198" s="7" t="s">
        <v>71</v>
      </c>
      <c r="G198" s="32" t="str">
        <f t="shared" si="6"/>
        <v>CAMPEONATO NACIONAL DE TIRO DESPORTIVO|1|Linade|2025|ACRP</v>
      </c>
      <c r="H198" s="32" t="str">
        <f t="shared" si="7"/>
        <v>CAMPEONATO NACIONAL DE TIRO DESPORTIVO|Linade|2025|ACRP</v>
      </c>
      <c r="I198" s="32">
        <f>IF(G198="",0,IF(COUNTIF($G$2:G198,G198)=1,1,0))</f>
        <v>0</v>
      </c>
      <c r="J198" s="32">
        <f>IF(H198="",0,IF(COUNTIF($H$2:H198,H198)=1,1,0))</f>
        <v>0</v>
      </c>
    </row>
    <row r="199" spans="1:10" ht="14.25" hidden="1" customHeight="1" x14ac:dyDescent="0.35">
      <c r="A199" s="30" t="s">
        <v>130</v>
      </c>
      <c r="B199" t="s">
        <v>118</v>
      </c>
      <c r="C199" t="s">
        <v>79</v>
      </c>
      <c r="D199" t="s">
        <v>115</v>
      </c>
      <c r="E199" s="31">
        <v>45700</v>
      </c>
      <c r="F199" s="7" t="s">
        <v>72</v>
      </c>
      <c r="G199" s="32" t="str">
        <f t="shared" si="6"/>
        <v>COPA BRASIL DE TIRO DESPORTIVO|1|Linade|2025|ACRR</v>
      </c>
      <c r="H199" s="32" t="str">
        <f t="shared" si="7"/>
        <v>COPA BRASIL DE TIRO DESPORTIVO|Linade|2025|ACRR</v>
      </c>
      <c r="I199" s="32">
        <f>IF(G199="",0,IF(COUNTIF($G$2:G199,G199)=1,1,0))</f>
        <v>1</v>
      </c>
      <c r="J199" s="32">
        <f>IF(H199="",0,IF(COUNTIF($H$2:H199,H199)=1,1,0))</f>
        <v>1</v>
      </c>
    </row>
    <row r="200" spans="1:10" ht="14.25" hidden="1" customHeight="1" x14ac:dyDescent="0.35">
      <c r="A200" s="30" t="s">
        <v>130</v>
      </c>
      <c r="B200" t="s">
        <v>118</v>
      </c>
      <c r="C200" t="s">
        <v>79</v>
      </c>
      <c r="D200" t="s">
        <v>115</v>
      </c>
      <c r="E200" s="31">
        <v>45700</v>
      </c>
      <c r="F200" s="7" t="s">
        <v>71</v>
      </c>
      <c r="G200" s="32" t="str">
        <f t="shared" si="6"/>
        <v>COPA BRASIL DE TIRO DESPORTIVO|1|Linade|2025|ACRP</v>
      </c>
      <c r="H200" s="32" t="str">
        <f t="shared" si="7"/>
        <v>COPA BRASIL DE TIRO DESPORTIVO|Linade|2025|ACRP</v>
      </c>
      <c r="I200" s="32">
        <f>IF(G200="",0,IF(COUNTIF($G$2:G200,G200)=1,1,0))</f>
        <v>1</v>
      </c>
      <c r="J200" s="32">
        <f>IF(H200="",0,IF(COUNTIF($H$2:H200,H200)=1,1,0))</f>
        <v>1</v>
      </c>
    </row>
    <row r="201" spans="1:10" ht="14.25" hidden="1" customHeight="1" x14ac:dyDescent="0.35">
      <c r="A201" s="30" t="s">
        <v>130</v>
      </c>
      <c r="B201" t="s">
        <v>118</v>
      </c>
      <c r="C201" t="s">
        <v>79</v>
      </c>
      <c r="D201" t="s">
        <v>115</v>
      </c>
      <c r="E201" s="31">
        <v>45700</v>
      </c>
      <c r="F201" s="7" t="s">
        <v>73</v>
      </c>
      <c r="G201" s="32" t="str">
        <f t="shared" si="6"/>
        <v>COPA BRASIL DE TIRO DESPORTIVO|1|Linade|2025|ALRP</v>
      </c>
      <c r="H201" s="32" t="str">
        <f t="shared" si="7"/>
        <v>COPA BRASIL DE TIRO DESPORTIVO|Linade|2025|ALRP</v>
      </c>
      <c r="I201" s="32">
        <f>IF(G201="",0,IF(COUNTIF($G$2:G201,G201)=1,1,0))</f>
        <v>1</v>
      </c>
      <c r="J201" s="32">
        <f>IF(H201="",0,IF(COUNTIF($H$2:H201,H201)=1,1,0))</f>
        <v>1</v>
      </c>
    </row>
    <row r="202" spans="1:10" ht="14.25" hidden="1" customHeight="1" x14ac:dyDescent="0.35">
      <c r="A202" s="30" t="s">
        <v>130</v>
      </c>
      <c r="B202" t="s">
        <v>118</v>
      </c>
      <c r="C202" t="s">
        <v>79</v>
      </c>
      <c r="D202" t="s">
        <v>115</v>
      </c>
      <c r="E202" s="31">
        <v>45700</v>
      </c>
      <c r="F202" s="7" t="s">
        <v>74</v>
      </c>
      <c r="G202" s="32" t="str">
        <f t="shared" si="6"/>
        <v>COPA BRASIL DE TIRO DESPORTIVO|1|Linade|2025|ALRR</v>
      </c>
      <c r="H202" s="32" t="str">
        <f t="shared" si="7"/>
        <v>COPA BRASIL DE TIRO DESPORTIVO|Linade|2025|ALRR</v>
      </c>
      <c r="I202" s="32">
        <f>IF(G202="",0,IF(COUNTIF($G$2:G202,G202)=1,1,0))</f>
        <v>1</v>
      </c>
      <c r="J202" s="32">
        <f>IF(H202="",0,IF(COUNTIF($H$2:H202,H202)=1,1,0))</f>
        <v>1</v>
      </c>
    </row>
    <row r="203" spans="1:10" ht="14.25" hidden="1" customHeight="1" x14ac:dyDescent="0.35">
      <c r="A203" s="30" t="s">
        <v>130</v>
      </c>
      <c r="B203" t="s">
        <v>118</v>
      </c>
      <c r="C203" t="s">
        <v>79</v>
      </c>
      <c r="D203" t="s">
        <v>115</v>
      </c>
      <c r="E203" s="31">
        <v>45700</v>
      </c>
      <c r="F203" s="7" t="s">
        <v>72</v>
      </c>
      <c r="G203" s="32" t="str">
        <f t="shared" si="6"/>
        <v>COPA BRASIL DE TIRO DESPORTIVO|1|Linade|2025|ACRR</v>
      </c>
      <c r="H203" s="32" t="str">
        <f t="shared" si="7"/>
        <v>COPA BRASIL DE TIRO DESPORTIVO|Linade|2025|ACRR</v>
      </c>
      <c r="I203" s="32">
        <f>IF(G203="",0,IF(COUNTIF($G$2:G203,G203)=1,1,0))</f>
        <v>0</v>
      </c>
      <c r="J203" s="32">
        <f>IF(H203="",0,IF(COUNTIF($H$2:H203,H203)=1,1,0))</f>
        <v>0</v>
      </c>
    </row>
    <row r="204" spans="1:10" ht="14.25" hidden="1" customHeight="1" x14ac:dyDescent="0.35">
      <c r="A204" s="30" t="s">
        <v>130</v>
      </c>
      <c r="B204" t="s">
        <v>118</v>
      </c>
      <c r="C204" t="s">
        <v>79</v>
      </c>
      <c r="D204" t="s">
        <v>115</v>
      </c>
      <c r="E204" s="31">
        <v>45700</v>
      </c>
      <c r="F204" s="7" t="s">
        <v>71</v>
      </c>
      <c r="G204" s="32" t="str">
        <f t="shared" si="6"/>
        <v>COPA BRASIL DE TIRO DESPORTIVO|1|Linade|2025|ACRP</v>
      </c>
      <c r="H204" s="32" t="str">
        <f t="shared" si="7"/>
        <v>COPA BRASIL DE TIRO DESPORTIVO|Linade|2025|ACRP</v>
      </c>
      <c r="I204" s="32">
        <f>IF(G204="",0,IF(COUNTIF($G$2:G204,G204)=1,1,0))</f>
        <v>0</v>
      </c>
      <c r="J204" s="32">
        <f>IF(H204="",0,IF(COUNTIF($H$2:H204,H204)=1,1,0))</f>
        <v>0</v>
      </c>
    </row>
    <row r="205" spans="1:10" ht="14.25" hidden="1" customHeight="1" x14ac:dyDescent="0.35">
      <c r="A205" s="30" t="s">
        <v>124</v>
      </c>
      <c r="B205" t="s">
        <v>105</v>
      </c>
      <c r="C205" t="s">
        <v>78</v>
      </c>
      <c r="D205" t="s">
        <v>115</v>
      </c>
      <c r="E205" s="31">
        <v>45700</v>
      </c>
      <c r="F205" s="7" t="s">
        <v>74</v>
      </c>
      <c r="G205" s="32" t="str">
        <f t="shared" si="6"/>
        <v>NACIONAL LIGHT|2|CBTE|2025|ALRR</v>
      </c>
      <c r="H205" s="32" t="str">
        <f t="shared" si="7"/>
        <v>NACIONAL LIGHT|CBTE|2025|ALRR</v>
      </c>
      <c r="I205" s="32">
        <f>IF(G205="",0,IF(COUNTIF($G$2:G205,G205)=1,1,0))</f>
        <v>1</v>
      </c>
      <c r="J205" s="32">
        <f>IF(H205="",0,IF(COUNTIF($H$2:H205,H205)=1,1,0))</f>
        <v>1</v>
      </c>
    </row>
    <row r="206" spans="1:10" ht="14.25" hidden="1" customHeight="1" x14ac:dyDescent="0.35">
      <c r="A206" s="30" t="s">
        <v>124</v>
      </c>
      <c r="B206" t="s">
        <v>105</v>
      </c>
      <c r="C206" t="s">
        <v>78</v>
      </c>
      <c r="D206" t="s">
        <v>115</v>
      </c>
      <c r="E206" s="31">
        <v>45700</v>
      </c>
      <c r="F206" t="s">
        <v>73</v>
      </c>
      <c r="G206" s="32" t="str">
        <f t="shared" si="6"/>
        <v>NACIONAL LIGHT|2|CBTE|2025|ALRP</v>
      </c>
      <c r="H206" s="32" t="str">
        <f t="shared" si="7"/>
        <v>NACIONAL LIGHT|CBTE|2025|ALRP</v>
      </c>
      <c r="I206" s="32">
        <f>IF(G206="",0,IF(COUNTIF($G$2:G206,G206)=1,1,0))</f>
        <v>1</v>
      </c>
      <c r="J206" s="32">
        <f>IF(H206="",0,IF(COUNTIF($H$2:H206,H206)=1,1,0))</f>
        <v>1</v>
      </c>
    </row>
    <row r="207" spans="1:10" ht="14.25" hidden="1" customHeight="1" x14ac:dyDescent="0.35">
      <c r="A207" s="30" t="s">
        <v>124</v>
      </c>
      <c r="B207" t="s">
        <v>105</v>
      </c>
      <c r="C207" t="s">
        <v>78</v>
      </c>
      <c r="D207" t="s">
        <v>115</v>
      </c>
      <c r="E207" s="31">
        <v>45700</v>
      </c>
      <c r="F207" t="s">
        <v>72</v>
      </c>
      <c r="G207" s="32" t="str">
        <f t="shared" si="6"/>
        <v>NACIONAL LIGHT|2|CBTE|2025|ACRR</v>
      </c>
      <c r="H207" s="32" t="str">
        <f t="shared" si="7"/>
        <v>NACIONAL LIGHT|CBTE|2025|ACRR</v>
      </c>
      <c r="I207" s="32">
        <f>IF(G207="",0,IF(COUNTIF($G$2:G207,G207)=1,1,0))</f>
        <v>1</v>
      </c>
      <c r="J207" s="32">
        <f>IF(H207="",0,IF(COUNTIF($H$2:H207,H207)=1,1,0))</f>
        <v>1</v>
      </c>
    </row>
    <row r="208" spans="1:10" ht="14.25" hidden="1" customHeight="1" x14ac:dyDescent="0.35">
      <c r="A208" s="30" t="s">
        <v>124</v>
      </c>
      <c r="B208" t="s">
        <v>105</v>
      </c>
      <c r="C208" t="s">
        <v>78</v>
      </c>
      <c r="D208" t="s">
        <v>115</v>
      </c>
      <c r="E208" s="31">
        <v>45700</v>
      </c>
      <c r="F208" t="s">
        <v>72</v>
      </c>
      <c r="G208" s="32" t="str">
        <f t="shared" si="6"/>
        <v>NACIONAL LIGHT|2|CBTE|2025|ACRR</v>
      </c>
      <c r="H208" s="32" t="str">
        <f t="shared" si="7"/>
        <v>NACIONAL LIGHT|CBTE|2025|ACRR</v>
      </c>
      <c r="I208" s="32">
        <f>IF(G208="",0,IF(COUNTIF($G$2:G208,G208)=1,1,0))</f>
        <v>0</v>
      </c>
      <c r="J208" s="32">
        <f>IF(H208="",0,IF(COUNTIF($H$2:H208,H208)=1,1,0))</f>
        <v>0</v>
      </c>
    </row>
    <row r="209" spans="1:10" ht="14.25" hidden="1" customHeight="1" x14ac:dyDescent="0.35">
      <c r="A209" s="30" t="s">
        <v>124</v>
      </c>
      <c r="B209" t="s">
        <v>105</v>
      </c>
      <c r="C209" t="s">
        <v>78</v>
      </c>
      <c r="D209" t="s">
        <v>115</v>
      </c>
      <c r="E209" s="31">
        <v>45700</v>
      </c>
      <c r="F209" t="s">
        <v>71</v>
      </c>
      <c r="G209" s="32" t="str">
        <f t="shared" si="6"/>
        <v>NACIONAL LIGHT|2|CBTE|2025|ACRP</v>
      </c>
      <c r="H209" s="32" t="str">
        <f t="shared" si="7"/>
        <v>NACIONAL LIGHT|CBTE|2025|ACRP</v>
      </c>
      <c r="I209" s="32">
        <f>IF(G209="",0,IF(COUNTIF($G$2:G209,G209)=1,1,0))</f>
        <v>1</v>
      </c>
      <c r="J209" s="32">
        <f>IF(H209="",0,IF(COUNTIF($H$2:H209,H209)=1,1,0))</f>
        <v>1</v>
      </c>
    </row>
    <row r="210" spans="1:10" ht="14.25" hidden="1" customHeight="1" x14ac:dyDescent="0.35">
      <c r="A210" s="30" t="s">
        <v>124</v>
      </c>
      <c r="B210" t="s">
        <v>105</v>
      </c>
      <c r="C210" t="s">
        <v>78</v>
      </c>
      <c r="D210" t="s">
        <v>115</v>
      </c>
      <c r="E210" s="31">
        <v>45700</v>
      </c>
      <c r="F210" s="7" t="s">
        <v>71</v>
      </c>
      <c r="G210" s="32" t="str">
        <f t="shared" si="6"/>
        <v>NACIONAL LIGHT|2|CBTE|2025|ACRP</v>
      </c>
      <c r="H210" s="32" t="str">
        <f t="shared" si="7"/>
        <v>NACIONAL LIGHT|CBTE|2025|ACRP</v>
      </c>
      <c r="I210" s="32">
        <f>IF(G210="",0,IF(COUNTIF($G$2:G210,G210)=1,1,0))</f>
        <v>0</v>
      </c>
      <c r="J210" s="32">
        <f>IF(H210="",0,IF(COUNTIF($H$2:H210,H210)=1,1,0))</f>
        <v>0</v>
      </c>
    </row>
    <row r="211" spans="1:10" ht="14.25" hidden="1" customHeight="1" x14ac:dyDescent="0.35">
      <c r="A211" s="30" t="s">
        <v>134</v>
      </c>
      <c r="B211" t="s">
        <v>105</v>
      </c>
      <c r="C211" t="s">
        <v>83</v>
      </c>
      <c r="D211" t="s">
        <v>115</v>
      </c>
      <c r="E211" s="31">
        <v>45751</v>
      </c>
      <c r="F211" s="7" t="s">
        <v>71</v>
      </c>
      <c r="G211" s="32" t="str">
        <f t="shared" si="6"/>
        <v>MÃO DE AÇO|2|Wargame|2025|ACRP</v>
      </c>
      <c r="H211" s="32" t="str">
        <f t="shared" si="7"/>
        <v>MÃO DE AÇO|Wargame|2025|ACRP</v>
      </c>
      <c r="I211" s="32">
        <f>IF(G211="",0,IF(COUNTIF($G$2:G211,G211)=1,1,0))</f>
        <v>1</v>
      </c>
      <c r="J211" s="32">
        <f>IF(H211="",0,IF(COUNTIF($H$2:H211,H211)=1,1,0))</f>
        <v>1</v>
      </c>
    </row>
    <row r="212" spans="1:10" ht="14.25" hidden="1" customHeight="1" x14ac:dyDescent="0.35">
      <c r="A212" s="30" t="s">
        <v>134</v>
      </c>
      <c r="B212" t="s">
        <v>105</v>
      </c>
      <c r="C212" t="s">
        <v>83</v>
      </c>
      <c r="D212" t="s">
        <v>115</v>
      </c>
      <c r="E212" s="31">
        <v>45751</v>
      </c>
      <c r="F212" s="7" t="s">
        <v>72</v>
      </c>
      <c r="G212" s="32" t="str">
        <f t="shared" si="6"/>
        <v>MÃO DE AÇO|2|Wargame|2025|ACRR</v>
      </c>
      <c r="H212" s="32" t="str">
        <f t="shared" si="7"/>
        <v>MÃO DE AÇO|Wargame|2025|ACRR</v>
      </c>
      <c r="I212" s="32">
        <f>IF(G212="",0,IF(COUNTIF($G$2:G212,G212)=1,1,0))</f>
        <v>1</v>
      </c>
      <c r="J212" s="32">
        <f>IF(H212="",0,IF(COUNTIF($H$2:H212,H212)=1,1,0))</f>
        <v>1</v>
      </c>
    </row>
    <row r="213" spans="1:10" ht="14.25" hidden="1" customHeight="1" x14ac:dyDescent="0.35">
      <c r="A213" s="30" t="s">
        <v>130</v>
      </c>
      <c r="B213" t="s">
        <v>111</v>
      </c>
      <c r="C213" t="s">
        <v>79</v>
      </c>
      <c r="D213" t="s">
        <v>115</v>
      </c>
      <c r="E213" s="31">
        <v>45770</v>
      </c>
      <c r="F213" s="7" t="s">
        <v>72</v>
      </c>
      <c r="G213" s="32" t="str">
        <f t="shared" si="6"/>
        <v>COPA BRASIL DE TIRO DESPORTIVO|3|Linade|2025|ACRR</v>
      </c>
      <c r="H213" s="32" t="str">
        <f t="shared" si="7"/>
        <v>COPA BRASIL DE TIRO DESPORTIVO|Linade|2025|ACRR</v>
      </c>
      <c r="I213" s="32">
        <f>IF(G213="",0,IF(COUNTIF($G$2:G213,G213)=1,1,0))</f>
        <v>1</v>
      </c>
      <c r="J213" s="32">
        <f>IF(H213="",0,IF(COUNTIF($H$2:H213,H213)=1,1,0))</f>
        <v>0</v>
      </c>
    </row>
    <row r="214" spans="1:10" ht="14.25" hidden="1" customHeight="1" x14ac:dyDescent="0.35">
      <c r="A214" s="30" t="s">
        <v>130</v>
      </c>
      <c r="B214" t="s">
        <v>111</v>
      </c>
      <c r="C214" t="s">
        <v>79</v>
      </c>
      <c r="D214" t="s">
        <v>115</v>
      </c>
      <c r="E214" s="31">
        <v>45770</v>
      </c>
      <c r="F214" s="7" t="s">
        <v>71</v>
      </c>
      <c r="G214" s="32" t="str">
        <f t="shared" si="6"/>
        <v>COPA BRASIL DE TIRO DESPORTIVO|3|Linade|2025|ACRP</v>
      </c>
      <c r="H214" s="32" t="str">
        <f t="shared" si="7"/>
        <v>COPA BRASIL DE TIRO DESPORTIVO|Linade|2025|ACRP</v>
      </c>
      <c r="I214" s="32">
        <f>IF(G214="",0,IF(COUNTIF($G$2:G214,G214)=1,1,0))</f>
        <v>1</v>
      </c>
      <c r="J214" s="32">
        <f>IF(H214="",0,IF(COUNTIF($H$2:H214,H214)=1,1,0))</f>
        <v>0</v>
      </c>
    </row>
    <row r="215" spans="1:10" ht="14.25" hidden="1" customHeight="1" x14ac:dyDescent="0.35">
      <c r="A215" s="30" t="s">
        <v>130</v>
      </c>
      <c r="B215" t="s">
        <v>111</v>
      </c>
      <c r="C215" t="s">
        <v>79</v>
      </c>
      <c r="D215" t="s">
        <v>115</v>
      </c>
      <c r="E215" s="31">
        <v>45770</v>
      </c>
      <c r="F215" s="7" t="s">
        <v>72</v>
      </c>
      <c r="G215" s="32" t="str">
        <f t="shared" si="6"/>
        <v>COPA BRASIL DE TIRO DESPORTIVO|3|Linade|2025|ACRR</v>
      </c>
      <c r="H215" s="32" t="str">
        <f t="shared" si="7"/>
        <v>COPA BRASIL DE TIRO DESPORTIVO|Linade|2025|ACRR</v>
      </c>
      <c r="I215" s="32">
        <f>IF(G215="",0,IF(COUNTIF($G$2:G215,G215)=1,1,0))</f>
        <v>0</v>
      </c>
      <c r="J215" s="32">
        <f>IF(H215="",0,IF(COUNTIF($H$2:H215,H215)=1,1,0))</f>
        <v>0</v>
      </c>
    </row>
    <row r="216" spans="1:10" ht="14.25" hidden="1" customHeight="1" x14ac:dyDescent="0.35">
      <c r="A216" s="30" t="s">
        <v>130</v>
      </c>
      <c r="B216" t="s">
        <v>111</v>
      </c>
      <c r="C216" t="s">
        <v>79</v>
      </c>
      <c r="D216" t="s">
        <v>115</v>
      </c>
      <c r="E216" s="31">
        <v>45770</v>
      </c>
      <c r="F216" s="7" t="s">
        <v>73</v>
      </c>
      <c r="G216" s="32" t="str">
        <f t="shared" si="6"/>
        <v>COPA BRASIL DE TIRO DESPORTIVO|3|Linade|2025|ALRP</v>
      </c>
      <c r="H216" s="32" t="str">
        <f t="shared" si="7"/>
        <v>COPA BRASIL DE TIRO DESPORTIVO|Linade|2025|ALRP</v>
      </c>
      <c r="I216" s="32">
        <f>IF(G216="",0,IF(COUNTIF($G$2:G216,G216)=1,1,0))</f>
        <v>1</v>
      </c>
      <c r="J216" s="32">
        <f>IF(H216="",0,IF(COUNTIF($H$2:H216,H216)=1,1,0))</f>
        <v>0</v>
      </c>
    </row>
    <row r="217" spans="1:10" ht="14.25" hidden="1" customHeight="1" x14ac:dyDescent="0.35">
      <c r="A217" s="30" t="s">
        <v>130</v>
      </c>
      <c r="B217" t="s">
        <v>111</v>
      </c>
      <c r="C217" t="s">
        <v>79</v>
      </c>
      <c r="D217" t="s">
        <v>115</v>
      </c>
      <c r="E217" s="31">
        <v>45770</v>
      </c>
      <c r="F217" s="7" t="s">
        <v>72</v>
      </c>
      <c r="G217" s="32" t="str">
        <f t="shared" si="6"/>
        <v>COPA BRASIL DE TIRO DESPORTIVO|3|Linade|2025|ACRR</v>
      </c>
      <c r="H217" s="32" t="str">
        <f t="shared" si="7"/>
        <v>COPA BRASIL DE TIRO DESPORTIVO|Linade|2025|ACRR</v>
      </c>
      <c r="I217" s="32">
        <f>IF(G217="",0,IF(COUNTIF($G$2:G217,G217)=1,1,0))</f>
        <v>0</v>
      </c>
      <c r="J217" s="32">
        <f>IF(H217="",0,IF(COUNTIF($H$2:H217,H217)=1,1,0))</f>
        <v>0</v>
      </c>
    </row>
    <row r="218" spans="1:10" ht="14.25" hidden="1" customHeight="1" x14ac:dyDescent="0.35">
      <c r="A218" s="30" t="s">
        <v>130</v>
      </c>
      <c r="B218" t="s">
        <v>111</v>
      </c>
      <c r="C218" t="s">
        <v>79</v>
      </c>
      <c r="D218" t="s">
        <v>115</v>
      </c>
      <c r="E218" s="31">
        <v>45770</v>
      </c>
      <c r="F218" s="7" t="s">
        <v>71</v>
      </c>
      <c r="G218" s="32" t="str">
        <f t="shared" si="6"/>
        <v>COPA BRASIL DE TIRO DESPORTIVO|3|Linade|2025|ACRP</v>
      </c>
      <c r="H218" s="32" t="str">
        <f t="shared" si="7"/>
        <v>COPA BRASIL DE TIRO DESPORTIVO|Linade|2025|ACRP</v>
      </c>
      <c r="I218" s="32">
        <f>IF(G218="",0,IF(COUNTIF($G$2:G218,G218)=1,1,0))</f>
        <v>0</v>
      </c>
      <c r="J218" s="32">
        <f>IF(H218="",0,IF(COUNTIF($H$2:H218,H218)=1,1,0))</f>
        <v>0</v>
      </c>
    </row>
    <row r="219" spans="1:10" ht="14.25" hidden="1" customHeight="1" x14ac:dyDescent="0.35">
      <c r="A219" s="30" t="s">
        <v>130</v>
      </c>
      <c r="B219" t="s">
        <v>111</v>
      </c>
      <c r="C219" t="s">
        <v>79</v>
      </c>
      <c r="D219" t="s">
        <v>115</v>
      </c>
      <c r="E219" s="31">
        <v>45770</v>
      </c>
      <c r="F219" s="7" t="s">
        <v>73</v>
      </c>
      <c r="G219" s="32" t="str">
        <f t="shared" si="6"/>
        <v>COPA BRASIL DE TIRO DESPORTIVO|3|Linade|2025|ALRP</v>
      </c>
      <c r="H219" s="32" t="str">
        <f t="shared" si="7"/>
        <v>COPA BRASIL DE TIRO DESPORTIVO|Linade|2025|ALRP</v>
      </c>
      <c r="I219" s="32">
        <f>IF(G219="",0,IF(COUNTIF($G$2:G219,G219)=1,1,0))</f>
        <v>0</v>
      </c>
      <c r="J219" s="32">
        <f>IF(H219="",0,IF(COUNTIF($H$2:H219,H219)=1,1,0))</f>
        <v>0</v>
      </c>
    </row>
    <row r="220" spans="1:10" ht="14.25" hidden="1" customHeight="1" x14ac:dyDescent="0.35">
      <c r="A220" s="30" t="s">
        <v>130</v>
      </c>
      <c r="B220" t="s">
        <v>111</v>
      </c>
      <c r="C220" t="s">
        <v>79</v>
      </c>
      <c r="D220" t="s">
        <v>115</v>
      </c>
      <c r="E220" s="31">
        <v>45770</v>
      </c>
      <c r="F220" s="7" t="s">
        <v>74</v>
      </c>
      <c r="G220" s="32" t="str">
        <f t="shared" si="6"/>
        <v>COPA BRASIL DE TIRO DESPORTIVO|3|Linade|2025|ALRR</v>
      </c>
      <c r="H220" s="32" t="str">
        <f t="shared" si="7"/>
        <v>COPA BRASIL DE TIRO DESPORTIVO|Linade|2025|ALRR</v>
      </c>
      <c r="I220" s="32">
        <f>IF(G220="",0,IF(COUNTIF($G$2:G220,G220)=1,1,0))</f>
        <v>1</v>
      </c>
      <c r="J220" s="32">
        <f>IF(H220="",0,IF(COUNTIF($H$2:H220,H220)=1,1,0))</f>
        <v>0</v>
      </c>
    </row>
    <row r="221" spans="1:10" ht="14.25" hidden="1" customHeight="1" x14ac:dyDescent="0.35">
      <c r="A221" s="30" t="s">
        <v>133</v>
      </c>
      <c r="B221" t="s">
        <v>111</v>
      </c>
      <c r="C221" t="s">
        <v>79</v>
      </c>
      <c r="D221" t="s">
        <v>115</v>
      </c>
      <c r="E221" s="31">
        <v>45770</v>
      </c>
      <c r="F221" s="7" t="s">
        <v>72</v>
      </c>
      <c r="G221" s="32" t="str">
        <f t="shared" si="6"/>
        <v>CAMPEONATO NACIONAL DE TIRO DESPORTIVO|3|Linade|2025|ACRR</v>
      </c>
      <c r="H221" s="32" t="str">
        <f t="shared" si="7"/>
        <v>CAMPEONATO NACIONAL DE TIRO DESPORTIVO|Linade|2025|ACRR</v>
      </c>
      <c r="I221" s="32">
        <f>IF(G221="",0,IF(COUNTIF($G$2:G221,G221)=1,1,0))</f>
        <v>1</v>
      </c>
      <c r="J221" s="32">
        <f>IF(H221="",0,IF(COUNTIF($H$2:H221,H221)=1,1,0))</f>
        <v>0</v>
      </c>
    </row>
    <row r="222" spans="1:10" ht="14.25" hidden="1" customHeight="1" x14ac:dyDescent="0.35">
      <c r="A222" s="30" t="s">
        <v>133</v>
      </c>
      <c r="B222" t="s">
        <v>111</v>
      </c>
      <c r="C222" t="s">
        <v>79</v>
      </c>
      <c r="D222" t="s">
        <v>115</v>
      </c>
      <c r="E222" s="31">
        <v>45770</v>
      </c>
      <c r="F222" s="7" t="s">
        <v>71</v>
      </c>
      <c r="G222" s="32" t="str">
        <f t="shared" si="6"/>
        <v>CAMPEONATO NACIONAL DE TIRO DESPORTIVO|3|Linade|2025|ACRP</v>
      </c>
      <c r="H222" s="32" t="str">
        <f t="shared" si="7"/>
        <v>CAMPEONATO NACIONAL DE TIRO DESPORTIVO|Linade|2025|ACRP</v>
      </c>
      <c r="I222" s="32">
        <f>IF(G222="",0,IF(COUNTIF($G$2:G222,G222)=1,1,0))</f>
        <v>1</v>
      </c>
      <c r="J222" s="32">
        <f>IF(H222="",0,IF(COUNTIF($H$2:H222,H222)=1,1,0))</f>
        <v>0</v>
      </c>
    </row>
    <row r="223" spans="1:10" ht="14.25" hidden="1" customHeight="1" x14ac:dyDescent="0.35">
      <c r="A223" s="30" t="s">
        <v>133</v>
      </c>
      <c r="B223" t="s">
        <v>111</v>
      </c>
      <c r="C223" t="s">
        <v>79</v>
      </c>
      <c r="D223" t="s">
        <v>115</v>
      </c>
      <c r="E223" s="31">
        <v>45770</v>
      </c>
      <c r="F223" s="7" t="s">
        <v>72</v>
      </c>
      <c r="G223" s="32" t="str">
        <f t="shared" si="6"/>
        <v>CAMPEONATO NACIONAL DE TIRO DESPORTIVO|3|Linade|2025|ACRR</v>
      </c>
      <c r="H223" s="32" t="str">
        <f t="shared" si="7"/>
        <v>CAMPEONATO NACIONAL DE TIRO DESPORTIVO|Linade|2025|ACRR</v>
      </c>
      <c r="I223" s="32">
        <f>IF(G223="",0,IF(COUNTIF($G$2:G223,G223)=1,1,0))</f>
        <v>0</v>
      </c>
      <c r="J223" s="32">
        <f>IF(H223="",0,IF(COUNTIF($H$2:H223,H223)=1,1,0))</f>
        <v>0</v>
      </c>
    </row>
    <row r="224" spans="1:10" ht="14.25" hidden="1" customHeight="1" x14ac:dyDescent="0.35">
      <c r="A224" s="30" t="s">
        <v>133</v>
      </c>
      <c r="B224" t="s">
        <v>111</v>
      </c>
      <c r="C224" t="s">
        <v>79</v>
      </c>
      <c r="D224" t="s">
        <v>115</v>
      </c>
      <c r="E224" s="31">
        <v>45770</v>
      </c>
      <c r="F224" t="s">
        <v>73</v>
      </c>
      <c r="G224" s="32" t="str">
        <f t="shared" si="6"/>
        <v>CAMPEONATO NACIONAL DE TIRO DESPORTIVO|3|Linade|2025|ALRP</v>
      </c>
      <c r="H224" s="32" t="str">
        <f t="shared" si="7"/>
        <v>CAMPEONATO NACIONAL DE TIRO DESPORTIVO|Linade|2025|ALRP</v>
      </c>
      <c r="I224" s="32">
        <f>IF(G224="",0,IF(COUNTIF($G$2:G224,G224)=1,1,0))</f>
        <v>1</v>
      </c>
      <c r="J224" s="32">
        <f>IF(H224="",0,IF(COUNTIF($H$2:H224,H224)=1,1,0))</f>
        <v>1</v>
      </c>
    </row>
    <row r="225" spans="1:10" ht="14.25" hidden="1" customHeight="1" x14ac:dyDescent="0.35">
      <c r="A225" s="30" t="s">
        <v>124</v>
      </c>
      <c r="B225" t="s">
        <v>108</v>
      </c>
      <c r="C225" t="s">
        <v>78</v>
      </c>
      <c r="D225" t="s">
        <v>115</v>
      </c>
      <c r="E225" s="31">
        <v>45770</v>
      </c>
      <c r="F225" s="7" t="s">
        <v>72</v>
      </c>
      <c r="G225" s="32" t="str">
        <f t="shared" si="6"/>
        <v>NACIONAL LIGHT|4|CBTE|2025|ACRR</v>
      </c>
      <c r="H225" s="32" t="str">
        <f t="shared" si="7"/>
        <v>NACIONAL LIGHT|CBTE|2025|ACRR</v>
      </c>
      <c r="I225" s="32">
        <f>IF(G225="",0,IF(COUNTIF($G$2:G225,G225)=1,1,0))</f>
        <v>1</v>
      </c>
      <c r="J225" s="32">
        <f>IF(H225="",0,IF(COUNTIF($H$2:H225,H225)=1,1,0))</f>
        <v>0</v>
      </c>
    </row>
    <row r="226" spans="1:10" ht="14.25" hidden="1" customHeight="1" x14ac:dyDescent="0.35">
      <c r="A226" s="30" t="s">
        <v>124</v>
      </c>
      <c r="B226" t="s">
        <v>108</v>
      </c>
      <c r="C226" t="s">
        <v>78</v>
      </c>
      <c r="D226" t="s">
        <v>115</v>
      </c>
      <c r="E226" s="31">
        <v>45770</v>
      </c>
      <c r="F226" s="7" t="s">
        <v>71</v>
      </c>
      <c r="G226" s="32" t="str">
        <f t="shared" si="6"/>
        <v>NACIONAL LIGHT|4|CBTE|2025|ACRP</v>
      </c>
      <c r="H226" s="32" t="str">
        <f t="shared" si="7"/>
        <v>NACIONAL LIGHT|CBTE|2025|ACRP</v>
      </c>
      <c r="I226" s="32">
        <f>IF(G226="",0,IF(COUNTIF($G$2:G226,G226)=1,1,0))</f>
        <v>1</v>
      </c>
      <c r="J226" s="32">
        <f>IF(H226="",0,IF(COUNTIF($H$2:H226,H226)=1,1,0))</f>
        <v>0</v>
      </c>
    </row>
    <row r="227" spans="1:10" ht="14.25" hidden="1" customHeight="1" x14ac:dyDescent="0.35">
      <c r="A227" s="30" t="s">
        <v>135</v>
      </c>
      <c r="B227" t="s">
        <v>111</v>
      </c>
      <c r="C227" t="s">
        <v>76</v>
      </c>
      <c r="D227" t="s">
        <v>106</v>
      </c>
      <c r="E227" s="31">
        <v>45771</v>
      </c>
      <c r="F227" t="s">
        <v>72</v>
      </c>
      <c r="G227" s="32" t="str">
        <f t="shared" si="6"/>
        <v>Campeonato Paulista e Brasileiro de Car/Pst/RF 2025|3|FPTE|2025|ACRR</v>
      </c>
      <c r="H227" s="32" t="str">
        <f t="shared" si="7"/>
        <v>Campeonato Paulista e Brasileiro de Car/Pst/RF 2025|FPTE|2025|ACRR</v>
      </c>
      <c r="I227" s="32">
        <f>IF(G227="",0,IF(COUNTIF($G$2:G227,G227)=1,1,0))</f>
        <v>1</v>
      </c>
      <c r="J227" s="32">
        <f>IF(H227="",0,IF(COUNTIF($H$2:H227,H227)=1,1,0))</f>
        <v>1</v>
      </c>
    </row>
    <row r="228" spans="1:10" ht="14.25" hidden="1" customHeight="1" x14ac:dyDescent="0.35">
      <c r="A228" s="30" t="s">
        <v>135</v>
      </c>
      <c r="B228" t="s">
        <v>111</v>
      </c>
      <c r="C228" t="s">
        <v>76</v>
      </c>
      <c r="D228" t="s">
        <v>106</v>
      </c>
      <c r="E228" s="31">
        <v>45771</v>
      </c>
      <c r="F228" t="s">
        <v>72</v>
      </c>
      <c r="G228" s="32" t="str">
        <f t="shared" si="6"/>
        <v>Campeonato Paulista e Brasileiro de Car/Pst/RF 2025|3|FPTE|2025|ACRR</v>
      </c>
      <c r="H228" s="32" t="str">
        <f t="shared" si="7"/>
        <v>Campeonato Paulista e Brasileiro de Car/Pst/RF 2025|FPTE|2025|ACRR</v>
      </c>
      <c r="I228" s="32">
        <f>IF(G228="",0,IF(COUNTIF($G$2:G228,G228)=1,1,0))</f>
        <v>0</v>
      </c>
      <c r="J228" s="32">
        <f>IF(H228="",0,IF(COUNTIF($H$2:H228,H228)=1,1,0))</f>
        <v>0</v>
      </c>
    </row>
    <row r="229" spans="1:10" ht="14.25" hidden="1" customHeight="1" x14ac:dyDescent="0.35">
      <c r="A229" s="30" t="s">
        <v>135</v>
      </c>
      <c r="B229" t="s">
        <v>111</v>
      </c>
      <c r="C229" t="s">
        <v>76</v>
      </c>
      <c r="D229" t="s">
        <v>106</v>
      </c>
      <c r="E229" s="31">
        <v>45771</v>
      </c>
      <c r="F229" t="s">
        <v>71</v>
      </c>
      <c r="G229" s="32" t="str">
        <f t="shared" si="6"/>
        <v>Campeonato Paulista e Brasileiro de Car/Pst/RF 2025|3|FPTE|2025|ACRP</v>
      </c>
      <c r="H229" s="32" t="str">
        <f t="shared" si="7"/>
        <v>Campeonato Paulista e Brasileiro de Car/Pst/RF 2025|FPTE|2025|ACRP</v>
      </c>
      <c r="I229" s="32">
        <f>IF(G229="",0,IF(COUNTIF($G$2:G229,G229)=1,1,0))</f>
        <v>1</v>
      </c>
      <c r="J229" s="32">
        <f>IF(H229="",0,IF(COUNTIF($H$2:H229,H229)=1,1,0))</f>
        <v>1</v>
      </c>
    </row>
    <row r="230" spans="1:10" ht="14.25" hidden="1" customHeight="1" x14ac:dyDescent="0.35">
      <c r="A230" s="30" t="s">
        <v>135</v>
      </c>
      <c r="B230" t="s">
        <v>111</v>
      </c>
      <c r="C230" t="s">
        <v>76</v>
      </c>
      <c r="D230" t="s">
        <v>106</v>
      </c>
      <c r="E230" s="31">
        <v>45771</v>
      </c>
      <c r="F230" t="s">
        <v>72</v>
      </c>
      <c r="G230" s="32" t="str">
        <f t="shared" si="6"/>
        <v>Campeonato Paulista e Brasileiro de Car/Pst/RF 2025|3|FPTE|2025|ACRR</v>
      </c>
      <c r="H230" s="32" t="str">
        <f t="shared" si="7"/>
        <v>Campeonato Paulista e Brasileiro de Car/Pst/RF 2025|FPTE|2025|ACRR</v>
      </c>
      <c r="I230" s="32">
        <f>IF(G230="",0,IF(COUNTIF($G$2:G230,G230)=1,1,0))</f>
        <v>0</v>
      </c>
      <c r="J230" s="32">
        <f>IF(H230="",0,IF(COUNTIF($H$2:H230,H230)=1,1,0))</f>
        <v>0</v>
      </c>
    </row>
    <row r="231" spans="1:10" ht="14.25" hidden="1" customHeight="1" x14ac:dyDescent="0.35">
      <c r="A231" s="30" t="s">
        <v>135</v>
      </c>
      <c r="B231" t="s">
        <v>111</v>
      </c>
      <c r="C231" t="s">
        <v>76</v>
      </c>
      <c r="D231" t="s">
        <v>106</v>
      </c>
      <c r="E231" s="31">
        <v>45771</v>
      </c>
      <c r="F231" t="s">
        <v>72</v>
      </c>
      <c r="G231" s="32" t="str">
        <f t="shared" si="6"/>
        <v>Campeonato Paulista e Brasileiro de Car/Pst/RF 2025|3|FPTE|2025|ACRR</v>
      </c>
      <c r="H231" s="32" t="str">
        <f t="shared" si="7"/>
        <v>Campeonato Paulista e Brasileiro de Car/Pst/RF 2025|FPTE|2025|ACRR</v>
      </c>
      <c r="I231" s="32">
        <f>IF(G231="",0,IF(COUNTIF($G$2:G231,G231)=1,1,0))</f>
        <v>0</v>
      </c>
      <c r="J231" s="32">
        <f>IF(H231="",0,IF(COUNTIF($H$2:H231,H231)=1,1,0))</f>
        <v>0</v>
      </c>
    </row>
    <row r="232" spans="1:10" ht="14.25" hidden="1" customHeight="1" x14ac:dyDescent="0.35">
      <c r="A232" s="30" t="s">
        <v>135</v>
      </c>
      <c r="B232" t="s">
        <v>111</v>
      </c>
      <c r="C232" t="s">
        <v>76</v>
      </c>
      <c r="D232" t="s">
        <v>106</v>
      </c>
      <c r="E232" s="31">
        <v>45771</v>
      </c>
      <c r="F232" t="s">
        <v>72</v>
      </c>
      <c r="G232" s="32" t="str">
        <f t="shared" si="6"/>
        <v>Campeonato Paulista e Brasileiro de Car/Pst/RF 2025|3|FPTE|2025|ACRR</v>
      </c>
      <c r="H232" s="32" t="str">
        <f t="shared" si="7"/>
        <v>Campeonato Paulista e Brasileiro de Car/Pst/RF 2025|FPTE|2025|ACRR</v>
      </c>
      <c r="I232" s="32">
        <f>IF(G232="",0,IF(COUNTIF($G$2:G232,G232)=1,1,0))</f>
        <v>0</v>
      </c>
      <c r="J232" s="32">
        <f>IF(H232="",0,IF(COUNTIF($H$2:H232,H232)=1,1,0))</f>
        <v>0</v>
      </c>
    </row>
    <row r="233" spans="1:10" ht="14.25" hidden="1" customHeight="1" x14ac:dyDescent="0.35">
      <c r="A233" s="30" t="s">
        <v>135</v>
      </c>
      <c r="B233" t="s">
        <v>111</v>
      </c>
      <c r="C233" t="s">
        <v>76</v>
      </c>
      <c r="D233" t="s">
        <v>106</v>
      </c>
      <c r="E233" s="31">
        <v>45771</v>
      </c>
      <c r="F233" t="s">
        <v>72</v>
      </c>
      <c r="G233" s="32" t="str">
        <f t="shared" si="6"/>
        <v>Campeonato Paulista e Brasileiro de Car/Pst/RF 2025|3|FPTE|2025|ACRR</v>
      </c>
      <c r="H233" s="32" t="str">
        <f t="shared" si="7"/>
        <v>Campeonato Paulista e Brasileiro de Car/Pst/RF 2025|FPTE|2025|ACRR</v>
      </c>
      <c r="I233" s="32">
        <f>IF(G233="",0,IF(COUNTIF($G$2:G233,G233)=1,1,0))</f>
        <v>0</v>
      </c>
      <c r="J233" s="32">
        <f>IF(H233="",0,IF(COUNTIF($H$2:H233,H233)=1,1,0))</f>
        <v>0</v>
      </c>
    </row>
    <row r="234" spans="1:10" ht="14.25" hidden="1" customHeight="1" x14ac:dyDescent="0.35">
      <c r="A234" s="30" t="s">
        <v>135</v>
      </c>
      <c r="B234" t="s">
        <v>111</v>
      </c>
      <c r="C234" t="s">
        <v>76</v>
      </c>
      <c r="D234" t="s">
        <v>106</v>
      </c>
      <c r="E234" s="31">
        <v>45771</v>
      </c>
      <c r="F234" t="s">
        <v>71</v>
      </c>
      <c r="G234" s="32" t="str">
        <f t="shared" si="6"/>
        <v>Campeonato Paulista e Brasileiro de Car/Pst/RF 2025|3|FPTE|2025|ACRP</v>
      </c>
      <c r="H234" s="32" t="str">
        <f t="shared" si="7"/>
        <v>Campeonato Paulista e Brasileiro de Car/Pst/RF 2025|FPTE|2025|ACRP</v>
      </c>
      <c r="I234" s="32">
        <f>IF(G234="",0,IF(COUNTIF($G$2:G234,G234)=1,1,0))</f>
        <v>0</v>
      </c>
      <c r="J234" s="32">
        <f>IF(H234="",0,IF(COUNTIF($H$2:H234,H234)=1,1,0))</f>
        <v>0</v>
      </c>
    </row>
    <row r="235" spans="1:10" ht="14.25" hidden="1" customHeight="1" x14ac:dyDescent="0.35">
      <c r="A235" s="30" t="s">
        <v>135</v>
      </c>
      <c r="B235" t="s">
        <v>111</v>
      </c>
      <c r="C235" t="s">
        <v>76</v>
      </c>
      <c r="D235" t="s">
        <v>106</v>
      </c>
      <c r="E235" s="31">
        <v>45771</v>
      </c>
      <c r="F235" t="s">
        <v>72</v>
      </c>
      <c r="G235" s="32" t="str">
        <f t="shared" si="6"/>
        <v>Campeonato Paulista e Brasileiro de Car/Pst/RF 2025|3|FPTE|2025|ACRR</v>
      </c>
      <c r="H235" s="32" t="str">
        <f t="shared" si="7"/>
        <v>Campeonato Paulista e Brasileiro de Car/Pst/RF 2025|FPTE|2025|ACRR</v>
      </c>
      <c r="I235" s="32">
        <f>IF(G235="",0,IF(COUNTIF($G$2:G235,G235)=1,1,0))</f>
        <v>0</v>
      </c>
      <c r="J235" s="32">
        <f>IF(H235="",0,IF(COUNTIF($H$2:H235,H235)=1,1,0))</f>
        <v>0</v>
      </c>
    </row>
    <row r="236" spans="1:10" ht="14.25" hidden="1" customHeight="1" x14ac:dyDescent="0.35">
      <c r="A236" s="30" t="s">
        <v>135</v>
      </c>
      <c r="B236" t="s">
        <v>111</v>
      </c>
      <c r="C236" t="s">
        <v>76</v>
      </c>
      <c r="D236" t="s">
        <v>106</v>
      </c>
      <c r="E236" s="31">
        <v>45771</v>
      </c>
      <c r="F236" t="s">
        <v>71</v>
      </c>
      <c r="G236" s="32" t="str">
        <f t="shared" si="6"/>
        <v>Campeonato Paulista e Brasileiro de Car/Pst/RF 2025|3|FPTE|2025|ACRP</v>
      </c>
      <c r="H236" s="32" t="str">
        <f t="shared" si="7"/>
        <v>Campeonato Paulista e Brasileiro de Car/Pst/RF 2025|FPTE|2025|ACRP</v>
      </c>
      <c r="I236" s="32">
        <f>IF(G236="",0,IF(COUNTIF($G$2:G236,G236)=1,1,0))</f>
        <v>0</v>
      </c>
      <c r="J236" s="32">
        <f>IF(H236="",0,IF(COUNTIF($H$2:H236,H236)=1,1,0))</f>
        <v>0</v>
      </c>
    </row>
    <row r="237" spans="1:10" ht="14.25" hidden="1" customHeight="1" x14ac:dyDescent="0.35">
      <c r="A237" s="30" t="s">
        <v>135</v>
      </c>
      <c r="B237" t="s">
        <v>111</v>
      </c>
      <c r="C237" t="s">
        <v>76</v>
      </c>
      <c r="D237" t="s">
        <v>106</v>
      </c>
      <c r="E237" s="31">
        <v>45771</v>
      </c>
      <c r="F237" t="s">
        <v>72</v>
      </c>
      <c r="G237" s="32" t="str">
        <f t="shared" si="6"/>
        <v>Campeonato Paulista e Brasileiro de Car/Pst/RF 2025|3|FPTE|2025|ACRR</v>
      </c>
      <c r="H237" s="32" t="str">
        <f t="shared" si="7"/>
        <v>Campeonato Paulista e Brasileiro de Car/Pst/RF 2025|FPTE|2025|ACRR</v>
      </c>
      <c r="I237" s="32">
        <f>IF(G237="",0,IF(COUNTIF($G$2:G237,G237)=1,1,0))</f>
        <v>0</v>
      </c>
      <c r="J237" s="32">
        <f>IF(H237="",0,IF(COUNTIF($H$2:H237,H237)=1,1,0))</f>
        <v>0</v>
      </c>
    </row>
    <row r="238" spans="1:10" ht="14.25" hidden="1" customHeight="1" x14ac:dyDescent="0.35">
      <c r="A238" s="30" t="s">
        <v>135</v>
      </c>
      <c r="B238" t="s">
        <v>111</v>
      </c>
      <c r="C238" t="s">
        <v>76</v>
      </c>
      <c r="D238" t="s">
        <v>106</v>
      </c>
      <c r="E238" s="31">
        <v>45771</v>
      </c>
      <c r="F238" t="s">
        <v>71</v>
      </c>
      <c r="G238" s="32" t="str">
        <f t="shared" si="6"/>
        <v>Campeonato Paulista e Brasileiro de Car/Pst/RF 2025|3|FPTE|2025|ACRP</v>
      </c>
      <c r="H238" s="32" t="str">
        <f t="shared" si="7"/>
        <v>Campeonato Paulista e Brasileiro de Car/Pst/RF 2025|FPTE|2025|ACRP</v>
      </c>
      <c r="I238" s="32">
        <f>IF(G238="",0,IF(COUNTIF($G$2:G238,G238)=1,1,0))</f>
        <v>0</v>
      </c>
      <c r="J238" s="32">
        <f>IF(H238="",0,IF(COUNTIF($H$2:H238,H238)=1,1,0))</f>
        <v>0</v>
      </c>
    </row>
    <row r="239" spans="1:10" ht="14.25" hidden="1" customHeight="1" x14ac:dyDescent="0.35">
      <c r="A239" s="30" t="s">
        <v>136</v>
      </c>
      <c r="B239" t="s">
        <v>111</v>
      </c>
      <c r="C239" t="s">
        <v>78</v>
      </c>
      <c r="D239" t="s">
        <v>115</v>
      </c>
      <c r="E239" s="31">
        <v>45771</v>
      </c>
      <c r="F239" s="7" t="s">
        <v>71</v>
      </c>
      <c r="G239" s="32" t="str">
        <f t="shared" si="6"/>
        <v>CAMPEONATO BRASILEIRO DE CAR/PST/RF 2025|3|CBTE|2025|ACRP</v>
      </c>
      <c r="H239" s="32" t="str">
        <f t="shared" si="7"/>
        <v>CAMPEONATO BRASILEIRO DE CAR/PST/RF 2025|CBTE|2025|ACRP</v>
      </c>
      <c r="I239" s="32">
        <f>IF(G239="",0,IF(COUNTIF($G$2:G239,G239)=1,1,0))</f>
        <v>1</v>
      </c>
      <c r="J239" s="32">
        <f>IF(H239="",0,IF(COUNTIF($H$2:H239,H239)=1,1,0))</f>
        <v>1</v>
      </c>
    </row>
    <row r="240" spans="1:10" ht="14.25" hidden="1" customHeight="1" x14ac:dyDescent="0.35">
      <c r="A240" s="30" t="s">
        <v>136</v>
      </c>
      <c r="B240" t="s">
        <v>111</v>
      </c>
      <c r="C240" t="s">
        <v>78</v>
      </c>
      <c r="D240" t="s">
        <v>115</v>
      </c>
      <c r="E240" s="31">
        <v>45771</v>
      </c>
      <c r="F240" t="s">
        <v>72</v>
      </c>
      <c r="G240" s="32" t="str">
        <f t="shared" si="6"/>
        <v>CAMPEONATO BRASILEIRO DE CAR/PST/RF 2025|3|CBTE|2025|ACRR</v>
      </c>
      <c r="H240" s="32" t="str">
        <f t="shared" si="7"/>
        <v>CAMPEONATO BRASILEIRO DE CAR/PST/RF 2025|CBTE|2025|ACRR</v>
      </c>
      <c r="I240" s="32">
        <f>IF(G240="",0,IF(COUNTIF($G$2:G240,G240)=1,1,0))</f>
        <v>1</v>
      </c>
      <c r="J240" s="32">
        <f>IF(H240="",0,IF(COUNTIF($H$2:H240,H240)=1,1,0))</f>
        <v>1</v>
      </c>
    </row>
    <row r="241" spans="1:10" ht="14.25" hidden="1" customHeight="1" x14ac:dyDescent="0.35">
      <c r="A241" s="30" t="s">
        <v>136</v>
      </c>
      <c r="B241" t="s">
        <v>111</v>
      </c>
      <c r="C241" t="s">
        <v>78</v>
      </c>
      <c r="D241" t="s">
        <v>115</v>
      </c>
      <c r="E241" s="31">
        <v>45771</v>
      </c>
      <c r="F241" t="s">
        <v>72</v>
      </c>
      <c r="G241" s="32" t="str">
        <f t="shared" si="6"/>
        <v>CAMPEONATO BRASILEIRO DE CAR/PST/RF 2025|3|CBTE|2025|ACRR</v>
      </c>
      <c r="H241" s="32" t="str">
        <f t="shared" si="7"/>
        <v>CAMPEONATO BRASILEIRO DE CAR/PST/RF 2025|CBTE|2025|ACRR</v>
      </c>
      <c r="I241" s="32">
        <f>IF(G241="",0,IF(COUNTIF($G$2:G241,G241)=1,1,0))</f>
        <v>0</v>
      </c>
      <c r="J241" s="32">
        <f>IF(H241="",0,IF(COUNTIF($H$2:H241,H241)=1,1,0))</f>
        <v>0</v>
      </c>
    </row>
    <row r="242" spans="1:10" ht="14.25" hidden="1" customHeight="1" x14ac:dyDescent="0.35">
      <c r="A242" s="30" t="s">
        <v>125</v>
      </c>
      <c r="B242" t="s">
        <v>108</v>
      </c>
      <c r="C242" t="s">
        <v>76</v>
      </c>
      <c r="D242" t="s">
        <v>106</v>
      </c>
      <c r="E242" s="31">
        <v>45773</v>
      </c>
      <c r="F242" t="s">
        <v>71</v>
      </c>
      <c r="G242" s="32" t="str">
        <f t="shared" si="6"/>
        <v>Paulista e Nacional Light|4|FPTE|2025|ACRP</v>
      </c>
      <c r="H242" s="32" t="str">
        <f t="shared" si="7"/>
        <v>Paulista e Nacional Light|FPTE|2025|ACRP</v>
      </c>
      <c r="I242" s="32">
        <f>IF(G242="",0,IF(COUNTIF($G$2:G242,G242)=1,1,0))</f>
        <v>1</v>
      </c>
      <c r="J242" s="32">
        <f>IF(H242="",0,IF(COUNTIF($H$2:H242,H242)=1,1,0))</f>
        <v>0</v>
      </c>
    </row>
    <row r="243" spans="1:10" ht="14.25" hidden="1" customHeight="1" x14ac:dyDescent="0.35">
      <c r="A243" s="30" t="s">
        <v>125</v>
      </c>
      <c r="B243" t="s">
        <v>108</v>
      </c>
      <c r="C243" t="s">
        <v>76</v>
      </c>
      <c r="D243" t="s">
        <v>106</v>
      </c>
      <c r="E243" s="31">
        <v>45773</v>
      </c>
      <c r="F243" t="s">
        <v>72</v>
      </c>
      <c r="G243" s="32" t="str">
        <f t="shared" si="6"/>
        <v>Paulista e Nacional Light|4|FPTE|2025|ACRR</v>
      </c>
      <c r="H243" s="32" t="str">
        <f t="shared" si="7"/>
        <v>Paulista e Nacional Light|FPTE|2025|ACRR</v>
      </c>
      <c r="I243" s="32">
        <f>IF(G243="",0,IF(COUNTIF($G$2:G243,G243)=1,1,0))</f>
        <v>1</v>
      </c>
      <c r="J243" s="32">
        <f>IF(H243="",0,IF(COUNTIF($H$2:H243,H243)=1,1,0))</f>
        <v>0</v>
      </c>
    </row>
    <row r="244" spans="1:10" ht="14.25" hidden="1" customHeight="1" x14ac:dyDescent="0.35">
      <c r="A244" s="30" t="s">
        <v>125</v>
      </c>
      <c r="B244" t="s">
        <v>108</v>
      </c>
      <c r="C244" t="s">
        <v>76</v>
      </c>
      <c r="D244" t="s">
        <v>106</v>
      </c>
      <c r="E244" s="31">
        <v>45773</v>
      </c>
      <c r="F244" t="s">
        <v>71</v>
      </c>
      <c r="G244" s="32" t="str">
        <f t="shared" si="6"/>
        <v>Paulista e Nacional Light|4|FPTE|2025|ACRP</v>
      </c>
      <c r="H244" s="32" t="str">
        <f t="shared" si="7"/>
        <v>Paulista e Nacional Light|FPTE|2025|ACRP</v>
      </c>
      <c r="I244" s="32">
        <f>IF(G244="",0,IF(COUNTIF($G$2:G244,G244)=1,1,0))</f>
        <v>0</v>
      </c>
      <c r="J244" s="32">
        <f>IF(H244="",0,IF(COUNTIF($H$2:H244,H244)=1,1,0))</f>
        <v>0</v>
      </c>
    </row>
    <row r="245" spans="1:10" ht="14.25" hidden="1" customHeight="1" x14ac:dyDescent="0.35">
      <c r="A245" s="30" t="s">
        <v>125</v>
      </c>
      <c r="B245" t="s">
        <v>109</v>
      </c>
      <c r="C245" t="s">
        <v>76</v>
      </c>
      <c r="D245" t="s">
        <v>106</v>
      </c>
      <c r="E245" s="31">
        <v>45798</v>
      </c>
      <c r="F245" t="s">
        <v>74</v>
      </c>
      <c r="G245" s="32" t="str">
        <f t="shared" si="6"/>
        <v>Paulista e Nacional Light|5|FPTE|2025|ALRR</v>
      </c>
      <c r="H245" s="32" t="str">
        <f t="shared" si="7"/>
        <v>Paulista e Nacional Light|FPTE|2025|ALRR</v>
      </c>
      <c r="I245" s="32">
        <f>IF(G245="",0,IF(COUNTIF($G$2:G245,G245)=1,1,0))</f>
        <v>1</v>
      </c>
      <c r="J245" s="32">
        <f>IF(H245="",0,IF(COUNTIF($H$2:H245,H245)=1,1,0))</f>
        <v>0</v>
      </c>
    </row>
    <row r="246" spans="1:10" ht="14.25" hidden="1" customHeight="1" x14ac:dyDescent="0.35">
      <c r="A246" s="30" t="s">
        <v>137</v>
      </c>
      <c r="B246" t="s">
        <v>108</v>
      </c>
      <c r="C246" t="s">
        <v>76</v>
      </c>
      <c r="D246" t="s">
        <v>106</v>
      </c>
      <c r="E246" s="31">
        <v>45798</v>
      </c>
      <c r="F246" t="s">
        <v>73</v>
      </c>
      <c r="G246" s="32" t="str">
        <f t="shared" si="6"/>
        <v>Campeonato Paulista de Fuzil 50 e 20 metros , Baixa Luminosidade e Shotgun 2025|4|FPTE|2025|ALRP</v>
      </c>
      <c r="H246" s="32" t="str">
        <f t="shared" si="7"/>
        <v>Campeonato Paulista de Fuzil 50 e 20 metros , Baixa Luminosidade e Shotgun 2025|FPTE|2025|ALRP</v>
      </c>
      <c r="I246" s="32">
        <f>IF(G246="",0,IF(COUNTIF($G$2:G246,G246)=1,1,0))</f>
        <v>1</v>
      </c>
      <c r="J246" s="32">
        <f>IF(H246="",0,IF(COUNTIF($H$2:H246,H246)=1,1,0))</f>
        <v>1</v>
      </c>
    </row>
    <row r="247" spans="1:10" ht="14.25" hidden="1" customHeight="1" x14ac:dyDescent="0.35">
      <c r="A247" s="30" t="s">
        <v>137</v>
      </c>
      <c r="B247" t="s">
        <v>108</v>
      </c>
      <c r="C247" t="s">
        <v>76</v>
      </c>
      <c r="D247" t="s">
        <v>106</v>
      </c>
      <c r="E247" s="31">
        <v>45798</v>
      </c>
      <c r="F247" t="s">
        <v>74</v>
      </c>
      <c r="G247" s="32" t="str">
        <f t="shared" si="6"/>
        <v>Campeonato Paulista de Fuzil 50 e 20 metros , Baixa Luminosidade e Shotgun 2025|4|FPTE|2025|ALRR</v>
      </c>
      <c r="H247" s="32" t="str">
        <f t="shared" si="7"/>
        <v>Campeonato Paulista de Fuzil 50 e 20 metros , Baixa Luminosidade e Shotgun 2025|FPTE|2025|ALRR</v>
      </c>
      <c r="I247" s="32">
        <f>IF(G247="",0,IF(COUNTIF($G$2:G247,G247)=1,1,0))</f>
        <v>1</v>
      </c>
      <c r="J247" s="32">
        <f>IF(H247="",0,IF(COUNTIF($H$2:H247,H247)=1,1,0))</f>
        <v>1</v>
      </c>
    </row>
    <row r="248" spans="1:10" ht="14.25" hidden="1" customHeight="1" x14ac:dyDescent="0.35">
      <c r="A248" s="30" t="s">
        <v>125</v>
      </c>
      <c r="B248" t="s">
        <v>109</v>
      </c>
      <c r="C248" t="s">
        <v>76</v>
      </c>
      <c r="D248" t="s">
        <v>106</v>
      </c>
      <c r="E248" s="31">
        <v>45798</v>
      </c>
      <c r="F248" t="s">
        <v>72</v>
      </c>
      <c r="G248" s="32" t="str">
        <f t="shared" si="6"/>
        <v>Paulista e Nacional Light|5|FPTE|2025|ACRR</v>
      </c>
      <c r="H248" s="32" t="str">
        <f t="shared" si="7"/>
        <v>Paulista e Nacional Light|FPTE|2025|ACRR</v>
      </c>
      <c r="I248" s="32">
        <f>IF(G248="",0,IF(COUNTIF($G$2:G248,G248)=1,1,0))</f>
        <v>1</v>
      </c>
      <c r="J248" s="32">
        <f>IF(H248="",0,IF(COUNTIF($H$2:H248,H248)=1,1,0))</f>
        <v>0</v>
      </c>
    </row>
    <row r="249" spans="1:10" ht="14.25" hidden="1" customHeight="1" x14ac:dyDescent="0.35">
      <c r="A249" s="30" t="s">
        <v>125</v>
      </c>
      <c r="B249" t="s">
        <v>109</v>
      </c>
      <c r="C249" t="s">
        <v>76</v>
      </c>
      <c r="D249" t="s">
        <v>106</v>
      </c>
      <c r="E249" s="31">
        <v>45798</v>
      </c>
      <c r="F249" t="s">
        <v>71</v>
      </c>
      <c r="G249" s="32" t="str">
        <f t="shared" si="6"/>
        <v>Paulista e Nacional Light|5|FPTE|2025|ACRP</v>
      </c>
      <c r="H249" s="32" t="str">
        <f t="shared" si="7"/>
        <v>Paulista e Nacional Light|FPTE|2025|ACRP</v>
      </c>
      <c r="I249" s="32">
        <f>IF(G249="",0,IF(COUNTIF($G$2:G249,G249)=1,1,0))</f>
        <v>1</v>
      </c>
      <c r="J249" s="32">
        <f>IF(H249="",0,IF(COUNTIF($H$2:H249,H249)=1,1,0))</f>
        <v>0</v>
      </c>
    </row>
    <row r="250" spans="1:10" ht="14.25" hidden="1" customHeight="1" x14ac:dyDescent="0.35">
      <c r="A250" s="30" t="s">
        <v>130</v>
      </c>
      <c r="B250" t="s">
        <v>108</v>
      </c>
      <c r="C250" t="s">
        <v>79</v>
      </c>
      <c r="D250" t="s">
        <v>115</v>
      </c>
      <c r="E250" s="31">
        <v>45798</v>
      </c>
      <c r="F250" t="s">
        <v>71</v>
      </c>
      <c r="G250" s="32" t="str">
        <f t="shared" si="6"/>
        <v>COPA BRASIL DE TIRO DESPORTIVO|4|Linade|2025|ACRP</v>
      </c>
      <c r="H250" s="32" t="str">
        <f t="shared" si="7"/>
        <v>COPA BRASIL DE TIRO DESPORTIVO|Linade|2025|ACRP</v>
      </c>
      <c r="I250" s="32">
        <f>IF(G250="",0,IF(COUNTIF($G$2:G250,G250)=1,1,0))</f>
        <v>1</v>
      </c>
      <c r="J250" s="32">
        <f>IF(H250="",0,IF(COUNTIF($H$2:H250,H250)=1,1,0))</f>
        <v>0</v>
      </c>
    </row>
    <row r="251" spans="1:10" ht="14.25" hidden="1" customHeight="1" x14ac:dyDescent="0.35">
      <c r="A251" s="30" t="s">
        <v>130</v>
      </c>
      <c r="B251" t="s">
        <v>108</v>
      </c>
      <c r="C251" t="s">
        <v>79</v>
      </c>
      <c r="D251" t="s">
        <v>115</v>
      </c>
      <c r="E251" s="31">
        <v>45798</v>
      </c>
      <c r="F251" t="s">
        <v>72</v>
      </c>
      <c r="G251" s="32" t="str">
        <f t="shared" si="6"/>
        <v>COPA BRASIL DE TIRO DESPORTIVO|4|Linade|2025|ACRR</v>
      </c>
      <c r="H251" s="32" t="str">
        <f t="shared" si="7"/>
        <v>COPA BRASIL DE TIRO DESPORTIVO|Linade|2025|ACRR</v>
      </c>
      <c r="I251" s="32">
        <f>IF(G251="",0,IF(COUNTIF($G$2:G251,G251)=1,1,0))</f>
        <v>1</v>
      </c>
      <c r="J251" s="32">
        <f>IF(H251="",0,IF(COUNTIF($H$2:H251,H251)=1,1,0))</f>
        <v>0</v>
      </c>
    </row>
    <row r="252" spans="1:10" ht="14.25" hidden="1" customHeight="1" x14ac:dyDescent="0.35">
      <c r="A252" s="30" t="s">
        <v>133</v>
      </c>
      <c r="B252" t="s">
        <v>108</v>
      </c>
      <c r="C252" t="s">
        <v>79</v>
      </c>
      <c r="D252" t="s">
        <v>115</v>
      </c>
      <c r="E252" s="31">
        <v>45798</v>
      </c>
      <c r="F252" t="s">
        <v>72</v>
      </c>
      <c r="G252" s="32" t="str">
        <f t="shared" si="6"/>
        <v>CAMPEONATO NACIONAL DE TIRO DESPORTIVO|4|Linade|2025|ACRR</v>
      </c>
      <c r="H252" s="32" t="str">
        <f t="shared" si="7"/>
        <v>CAMPEONATO NACIONAL DE TIRO DESPORTIVO|Linade|2025|ACRR</v>
      </c>
      <c r="I252" s="32">
        <f>IF(G252="",0,IF(COUNTIF($G$2:G252,G252)=1,1,0))</f>
        <v>1</v>
      </c>
      <c r="J252" s="32">
        <f>IF(H252="",0,IF(COUNTIF($H$2:H252,H252)=1,1,0))</f>
        <v>0</v>
      </c>
    </row>
    <row r="253" spans="1:10" ht="14.25" hidden="1" customHeight="1" x14ac:dyDescent="0.35">
      <c r="A253" s="30" t="s">
        <v>130</v>
      </c>
      <c r="B253" t="s">
        <v>108</v>
      </c>
      <c r="C253" t="s">
        <v>79</v>
      </c>
      <c r="D253" t="s">
        <v>115</v>
      </c>
      <c r="E253" s="31">
        <v>45798</v>
      </c>
      <c r="F253" s="7" t="s">
        <v>71</v>
      </c>
      <c r="G253" s="32" t="str">
        <f t="shared" si="6"/>
        <v>COPA BRASIL DE TIRO DESPORTIVO|4|Linade|2025|ACRP</v>
      </c>
      <c r="H253" s="32" t="str">
        <f t="shared" si="7"/>
        <v>COPA BRASIL DE TIRO DESPORTIVO|Linade|2025|ACRP</v>
      </c>
      <c r="I253" s="32">
        <f>IF(G253="",0,IF(COUNTIF($G$2:G253,G253)=1,1,0))</f>
        <v>0</v>
      </c>
      <c r="J253" s="32">
        <f>IF(H253="",0,IF(COUNTIF($H$2:H253,H253)=1,1,0))</f>
        <v>0</v>
      </c>
    </row>
    <row r="254" spans="1:10" ht="14.25" hidden="1" customHeight="1" x14ac:dyDescent="0.35">
      <c r="A254" s="30" t="s">
        <v>130</v>
      </c>
      <c r="B254" t="s">
        <v>108</v>
      </c>
      <c r="C254" t="s">
        <v>79</v>
      </c>
      <c r="D254" t="s">
        <v>115</v>
      </c>
      <c r="E254" s="31">
        <v>45798</v>
      </c>
      <c r="F254" s="7" t="s">
        <v>72</v>
      </c>
      <c r="G254" s="32" t="str">
        <f t="shared" si="6"/>
        <v>COPA BRASIL DE TIRO DESPORTIVO|4|Linade|2025|ACRR</v>
      </c>
      <c r="H254" s="32" t="str">
        <f t="shared" si="7"/>
        <v>COPA BRASIL DE TIRO DESPORTIVO|Linade|2025|ACRR</v>
      </c>
      <c r="I254" s="32">
        <f>IF(G254="",0,IF(COUNTIF($G$2:G254,G254)=1,1,0))</f>
        <v>0</v>
      </c>
      <c r="J254" s="32">
        <f>IF(H254="",0,IF(COUNTIF($H$2:H254,H254)=1,1,0))</f>
        <v>0</v>
      </c>
    </row>
    <row r="255" spans="1:10" ht="14.25" hidden="1" customHeight="1" x14ac:dyDescent="0.35">
      <c r="A255" s="30" t="s">
        <v>130</v>
      </c>
      <c r="B255" t="s">
        <v>108</v>
      </c>
      <c r="C255" t="s">
        <v>79</v>
      </c>
      <c r="D255" t="s">
        <v>115</v>
      </c>
      <c r="E255" s="31">
        <v>45798</v>
      </c>
      <c r="F255" s="7" t="s">
        <v>74</v>
      </c>
      <c r="G255" s="32" t="str">
        <f t="shared" si="6"/>
        <v>COPA BRASIL DE TIRO DESPORTIVO|4|Linade|2025|ALRR</v>
      </c>
      <c r="H255" s="32" t="str">
        <f t="shared" si="7"/>
        <v>COPA BRASIL DE TIRO DESPORTIVO|Linade|2025|ALRR</v>
      </c>
      <c r="I255" s="32">
        <f>IF(G255="",0,IF(COUNTIF($G$2:G255,G255)=1,1,0))</f>
        <v>1</v>
      </c>
      <c r="J255" s="32">
        <f>IF(H255="",0,IF(COUNTIF($H$2:H255,H255)=1,1,0))</f>
        <v>0</v>
      </c>
    </row>
    <row r="256" spans="1:10" ht="14.25" hidden="1" customHeight="1" x14ac:dyDescent="0.35">
      <c r="A256" s="30" t="s">
        <v>130</v>
      </c>
      <c r="B256" t="s">
        <v>108</v>
      </c>
      <c r="C256" t="s">
        <v>79</v>
      </c>
      <c r="D256" t="s">
        <v>115</v>
      </c>
      <c r="E256" s="31">
        <v>45798</v>
      </c>
      <c r="F256" s="7" t="s">
        <v>73</v>
      </c>
      <c r="G256" s="32" t="str">
        <f t="shared" si="6"/>
        <v>COPA BRASIL DE TIRO DESPORTIVO|4|Linade|2025|ALRP</v>
      </c>
      <c r="H256" s="32" t="str">
        <f t="shared" si="7"/>
        <v>COPA BRASIL DE TIRO DESPORTIVO|Linade|2025|ALRP</v>
      </c>
      <c r="I256" s="32">
        <f>IF(G256="",0,IF(COUNTIF($G$2:G256,G256)=1,1,0))</f>
        <v>1</v>
      </c>
      <c r="J256" s="32">
        <f>IF(H256="",0,IF(COUNTIF($H$2:H256,H256)=1,1,0))</f>
        <v>0</v>
      </c>
    </row>
    <row r="257" spans="1:10" ht="14.25" hidden="1" customHeight="1" x14ac:dyDescent="0.35">
      <c r="A257" s="30" t="s">
        <v>133</v>
      </c>
      <c r="B257" t="s">
        <v>108</v>
      </c>
      <c r="C257" t="s">
        <v>79</v>
      </c>
      <c r="D257" t="s">
        <v>115</v>
      </c>
      <c r="E257" s="31">
        <v>45798</v>
      </c>
      <c r="F257" t="s">
        <v>73</v>
      </c>
      <c r="G257" s="32" t="str">
        <f t="shared" si="6"/>
        <v>CAMPEONATO NACIONAL DE TIRO DESPORTIVO|4|Linade|2025|ALRP</v>
      </c>
      <c r="H257" s="32" t="str">
        <f t="shared" si="7"/>
        <v>CAMPEONATO NACIONAL DE TIRO DESPORTIVO|Linade|2025|ALRP</v>
      </c>
      <c r="I257" s="32">
        <f>IF(G257="",0,IF(COUNTIF($G$2:G257,G257)=1,1,0))</f>
        <v>1</v>
      </c>
      <c r="J257" s="32">
        <f>IF(H257="",0,IF(COUNTIF($H$2:H257,H257)=1,1,0))</f>
        <v>0</v>
      </c>
    </row>
    <row r="258" spans="1:10" ht="14.25" hidden="1" customHeight="1" x14ac:dyDescent="0.35">
      <c r="A258" s="30" t="s">
        <v>124</v>
      </c>
      <c r="B258" t="s">
        <v>109</v>
      </c>
      <c r="C258" t="s">
        <v>78</v>
      </c>
      <c r="D258" t="s">
        <v>115</v>
      </c>
      <c r="E258" s="31">
        <v>45798</v>
      </c>
      <c r="F258" t="s">
        <v>72</v>
      </c>
      <c r="G258" s="32" t="str">
        <f t="shared" ref="G258:G321" si="8">IF(D258="T",
E258&amp;"|"&amp;F258,
A258&amp;"|"&amp;B258&amp;"|"&amp;C258&amp;"|"&amp;YEAR(E258)&amp;"|"&amp;F258)</f>
        <v>NACIONAL LIGHT|5|CBTE|2025|ACRR</v>
      </c>
      <c r="H258" s="32" t="str">
        <f t="shared" ref="H258:H321" si="9">A258&amp;"|"&amp;C258&amp;"|"&amp;YEAR(E258)&amp;"|"&amp;F258</f>
        <v>NACIONAL LIGHT|CBTE|2025|ACRR</v>
      </c>
      <c r="I258" s="32">
        <f>IF(G258="",0,IF(COUNTIF($G$2:G258,G258)=1,1,0))</f>
        <v>1</v>
      </c>
      <c r="J258" s="32">
        <f>IF(H258="",0,IF(COUNTIF($H$2:H258,H258)=1,1,0))</f>
        <v>0</v>
      </c>
    </row>
    <row r="259" spans="1:10" ht="14.25" hidden="1" customHeight="1" x14ac:dyDescent="0.35">
      <c r="A259" s="30" t="s">
        <v>124</v>
      </c>
      <c r="B259" t="s">
        <v>109</v>
      </c>
      <c r="C259" t="s">
        <v>78</v>
      </c>
      <c r="D259" t="s">
        <v>115</v>
      </c>
      <c r="E259" s="31">
        <v>45798</v>
      </c>
      <c r="F259" t="s">
        <v>71</v>
      </c>
      <c r="G259" s="32" t="str">
        <f t="shared" si="8"/>
        <v>NACIONAL LIGHT|5|CBTE|2025|ACRP</v>
      </c>
      <c r="H259" s="32" t="str">
        <f t="shared" si="9"/>
        <v>NACIONAL LIGHT|CBTE|2025|ACRP</v>
      </c>
      <c r="I259" s="32">
        <f>IF(G259="",0,IF(COUNTIF($G$2:G259,G259)=1,1,0))</f>
        <v>1</v>
      </c>
      <c r="J259" s="32">
        <f>IF(H259="",0,IF(COUNTIF($H$2:H259,H259)=1,1,0))</f>
        <v>0</v>
      </c>
    </row>
    <row r="260" spans="1:10" ht="14.25" hidden="1" customHeight="1" x14ac:dyDescent="0.35">
      <c r="A260" s="30" t="s">
        <v>124</v>
      </c>
      <c r="B260" t="s">
        <v>109</v>
      </c>
      <c r="C260" t="s">
        <v>78</v>
      </c>
      <c r="D260" t="s">
        <v>115</v>
      </c>
      <c r="E260" s="31">
        <v>45798</v>
      </c>
      <c r="F260" s="7" t="s">
        <v>74</v>
      </c>
      <c r="G260" s="32" t="str">
        <f t="shared" si="8"/>
        <v>NACIONAL LIGHT|5|CBTE|2025|ALRR</v>
      </c>
      <c r="H260" s="32" t="str">
        <f t="shared" si="9"/>
        <v>NACIONAL LIGHT|CBTE|2025|ALRR</v>
      </c>
      <c r="I260" s="32">
        <f>IF(G260="",0,IF(COUNTIF($G$2:G260,G260)=1,1,0))</f>
        <v>1</v>
      </c>
      <c r="J260" s="32">
        <f>IF(H260="",0,IF(COUNTIF($H$2:H260,H260)=1,1,0))</f>
        <v>0</v>
      </c>
    </row>
    <row r="261" spans="1:10" ht="14.25" hidden="1" customHeight="1" x14ac:dyDescent="0.35">
      <c r="A261" s="30" t="s">
        <v>124</v>
      </c>
      <c r="B261" t="s">
        <v>109</v>
      </c>
      <c r="C261" t="s">
        <v>78</v>
      </c>
      <c r="D261" t="s">
        <v>115</v>
      </c>
      <c r="E261" s="31">
        <v>45798</v>
      </c>
      <c r="F261" s="7" t="s">
        <v>73</v>
      </c>
      <c r="G261" s="32" t="str">
        <f t="shared" si="8"/>
        <v>NACIONAL LIGHT|5|CBTE|2025|ALRP</v>
      </c>
      <c r="H261" s="32" t="str">
        <f t="shared" si="9"/>
        <v>NACIONAL LIGHT|CBTE|2025|ALRP</v>
      </c>
      <c r="I261" s="32">
        <f>IF(G261="",0,IF(COUNTIF($G$2:G261,G261)=1,1,0))</f>
        <v>1</v>
      </c>
      <c r="J261" s="32">
        <f>IF(H261="",0,IF(COUNTIF($H$2:H261,H261)=1,1,0))</f>
        <v>0</v>
      </c>
    </row>
    <row r="262" spans="1:10" ht="14.25" hidden="1" customHeight="1" x14ac:dyDescent="0.35">
      <c r="A262" s="30" t="s">
        <v>134</v>
      </c>
      <c r="B262" t="s">
        <v>111</v>
      </c>
      <c r="C262" t="s">
        <v>83</v>
      </c>
      <c r="D262" t="s">
        <v>115</v>
      </c>
      <c r="E262" s="31">
        <v>45798</v>
      </c>
      <c r="F262" s="7" t="s">
        <v>72</v>
      </c>
      <c r="G262" s="32" t="str">
        <f t="shared" si="8"/>
        <v>MÃO DE AÇO|3|Wargame|2025|ACRR</v>
      </c>
      <c r="H262" s="32" t="str">
        <f t="shared" si="9"/>
        <v>MÃO DE AÇO|Wargame|2025|ACRR</v>
      </c>
      <c r="I262" s="32">
        <f>IF(G262="",0,IF(COUNTIF($G$2:G262,G262)=1,1,0))</f>
        <v>1</v>
      </c>
      <c r="J262" s="32">
        <f>IF(H262="",0,IF(COUNTIF($H$2:H262,H262)=1,1,0))</f>
        <v>0</v>
      </c>
    </row>
    <row r="263" spans="1:10" ht="14.25" hidden="1" customHeight="1" x14ac:dyDescent="0.35">
      <c r="A263" s="30" t="s">
        <v>134</v>
      </c>
      <c r="B263" t="s">
        <v>111</v>
      </c>
      <c r="C263" t="s">
        <v>83</v>
      </c>
      <c r="D263" t="s">
        <v>115</v>
      </c>
      <c r="E263" s="31">
        <v>45798</v>
      </c>
      <c r="F263" s="7" t="s">
        <v>71</v>
      </c>
      <c r="G263" s="32" t="str">
        <f t="shared" si="8"/>
        <v>MÃO DE AÇO|3|Wargame|2025|ACRP</v>
      </c>
      <c r="H263" s="32" t="str">
        <f t="shared" si="9"/>
        <v>MÃO DE AÇO|Wargame|2025|ACRP</v>
      </c>
      <c r="I263" s="32">
        <f>IF(G263="",0,IF(COUNTIF($G$2:G263,G263)=1,1,0))</f>
        <v>1</v>
      </c>
      <c r="J263" s="32">
        <f>IF(H263="",0,IF(COUNTIF($H$2:H263,H263)=1,1,0))</f>
        <v>0</v>
      </c>
    </row>
    <row r="264" spans="1:10" ht="14.25" hidden="1" customHeight="1" x14ac:dyDescent="0.35">
      <c r="A264" s="30" t="s">
        <v>130</v>
      </c>
      <c r="B264" t="s">
        <v>108</v>
      </c>
      <c r="C264" t="s">
        <v>79</v>
      </c>
      <c r="D264" t="s">
        <v>115</v>
      </c>
      <c r="E264" s="31">
        <v>45801</v>
      </c>
      <c r="F264" t="s">
        <v>73</v>
      </c>
      <c r="G264" s="32" t="str">
        <f t="shared" si="8"/>
        <v>COPA BRASIL DE TIRO DESPORTIVO|4|Linade|2025|ALRP</v>
      </c>
      <c r="H264" s="32" t="str">
        <f t="shared" si="9"/>
        <v>COPA BRASIL DE TIRO DESPORTIVO|Linade|2025|ALRP</v>
      </c>
      <c r="I264" s="32">
        <f>IF(G264="",0,IF(COUNTIF($G$2:G264,G264)=1,1,0))</f>
        <v>0</v>
      </c>
      <c r="J264" s="32">
        <f>IF(H264="",0,IF(COUNTIF($H$2:H264,H264)=1,1,0))</f>
        <v>0</v>
      </c>
    </row>
    <row r="265" spans="1:10" ht="14.25" hidden="1" customHeight="1" x14ac:dyDescent="0.35">
      <c r="A265" s="30" t="s">
        <v>125</v>
      </c>
      <c r="B265" t="s">
        <v>109</v>
      </c>
      <c r="C265" t="s">
        <v>76</v>
      </c>
      <c r="D265" t="s">
        <v>106</v>
      </c>
      <c r="E265" s="31">
        <v>45802</v>
      </c>
      <c r="F265" t="s">
        <v>73</v>
      </c>
      <c r="G265" s="32" t="str">
        <f t="shared" si="8"/>
        <v>Paulista e Nacional Light|5|FPTE|2025|ALRP</v>
      </c>
      <c r="H265" s="32" t="str">
        <f t="shared" si="9"/>
        <v>Paulista e Nacional Light|FPTE|2025|ALRP</v>
      </c>
      <c r="I265" s="32">
        <f>IF(G265="",0,IF(COUNTIF($G$2:G265,G265)=1,1,0))</f>
        <v>1</v>
      </c>
      <c r="J265" s="32">
        <f>IF(H265="",0,IF(COUNTIF($H$2:H265,H265)=1,1,0))</f>
        <v>0</v>
      </c>
    </row>
    <row r="266" spans="1:10" ht="14.25" hidden="1" customHeight="1" x14ac:dyDescent="0.35">
      <c r="A266" s="30" t="s">
        <v>133</v>
      </c>
      <c r="B266" t="s">
        <v>108</v>
      </c>
      <c r="C266" t="s">
        <v>79</v>
      </c>
      <c r="D266" t="s">
        <v>115</v>
      </c>
      <c r="E266" s="31">
        <v>45802</v>
      </c>
      <c r="F266" t="s">
        <v>71</v>
      </c>
      <c r="G266" s="32" t="str">
        <f t="shared" si="8"/>
        <v>CAMPEONATO NACIONAL DE TIRO DESPORTIVO|4|Linade|2025|ACRP</v>
      </c>
      <c r="H266" s="32" t="str">
        <f t="shared" si="9"/>
        <v>CAMPEONATO NACIONAL DE TIRO DESPORTIVO|Linade|2025|ACRP</v>
      </c>
      <c r="I266" s="32">
        <f>IF(G266="",0,IF(COUNTIF($G$2:G266,G266)=1,1,0))</f>
        <v>1</v>
      </c>
      <c r="J266" s="32">
        <f>IF(H266="",0,IF(COUNTIF($H$2:H266,H266)=1,1,0))</f>
        <v>0</v>
      </c>
    </row>
    <row r="267" spans="1:10" ht="14.25" hidden="1" customHeight="1" x14ac:dyDescent="0.35">
      <c r="A267" s="30" t="s">
        <v>126</v>
      </c>
      <c r="B267" t="s">
        <v>127</v>
      </c>
      <c r="C267" t="s">
        <v>77</v>
      </c>
      <c r="D267" t="s">
        <v>128</v>
      </c>
      <c r="E267" s="31">
        <v>45848</v>
      </c>
      <c r="F267" s="7" t="s">
        <v>71</v>
      </c>
      <c r="G267" s="32" t="str">
        <f t="shared" si="8"/>
        <v>45848|ACRP</v>
      </c>
      <c r="H267" s="32" t="str">
        <f t="shared" si="9"/>
        <v>TREINO|TR|2025|ACRP</v>
      </c>
      <c r="I267" s="32">
        <f>IF(G267="",0,IF(COUNTIF($G$2:G267,G267)=1,1,0))</f>
        <v>1</v>
      </c>
      <c r="J267" s="32">
        <f>IF(H267="",0,IF(COUNTIF($H$2:H267,H267)=1,1,0))</f>
        <v>1</v>
      </c>
    </row>
    <row r="268" spans="1:10" ht="14.25" hidden="1" customHeight="1" x14ac:dyDescent="0.35">
      <c r="A268" s="30" t="s">
        <v>126</v>
      </c>
      <c r="B268" t="s">
        <v>127</v>
      </c>
      <c r="C268" t="s">
        <v>77</v>
      </c>
      <c r="D268" t="s">
        <v>128</v>
      </c>
      <c r="E268" s="31">
        <v>45848</v>
      </c>
      <c r="F268" s="7" t="s">
        <v>72</v>
      </c>
      <c r="G268" s="32" t="str">
        <f t="shared" si="8"/>
        <v>45848|ACRR</v>
      </c>
      <c r="H268" s="32" t="str">
        <f t="shared" si="9"/>
        <v>TREINO|TR|2025|ACRR</v>
      </c>
      <c r="I268" s="32">
        <f>IF(G268="",0,IF(COUNTIF($G$2:G268,G268)=1,1,0))</f>
        <v>1</v>
      </c>
      <c r="J268" s="32">
        <f>IF(H268="",0,IF(COUNTIF($H$2:H268,H268)=1,1,0))</f>
        <v>1</v>
      </c>
    </row>
    <row r="269" spans="1:10" ht="14.25" hidden="1" customHeight="1" x14ac:dyDescent="0.35">
      <c r="A269" s="30" t="s">
        <v>126</v>
      </c>
      <c r="B269" t="s">
        <v>127</v>
      </c>
      <c r="C269" t="s">
        <v>77</v>
      </c>
      <c r="D269" t="s">
        <v>128</v>
      </c>
      <c r="E269" s="31">
        <v>45848</v>
      </c>
      <c r="F269" t="s">
        <v>73</v>
      </c>
      <c r="G269" s="32" t="str">
        <f t="shared" si="8"/>
        <v>45848|ALRP</v>
      </c>
      <c r="H269" s="32" t="str">
        <f t="shared" si="9"/>
        <v>TREINO|TR|2025|ALRP</v>
      </c>
      <c r="I269" s="32">
        <f>IF(G269="",0,IF(COUNTIF($G$2:G269,G269)=1,1,0))</f>
        <v>1</v>
      </c>
      <c r="J269" s="32">
        <f>IF(H269="",0,IF(COUNTIF($H$2:H269,H269)=1,1,0))</f>
        <v>1</v>
      </c>
    </row>
    <row r="270" spans="1:10" ht="14.25" hidden="1" customHeight="1" x14ac:dyDescent="0.35">
      <c r="A270" s="30" t="s">
        <v>126</v>
      </c>
      <c r="B270" t="s">
        <v>127</v>
      </c>
      <c r="C270" t="s">
        <v>77</v>
      </c>
      <c r="D270" t="s">
        <v>128</v>
      </c>
      <c r="E270" s="31">
        <v>45848</v>
      </c>
      <c r="F270" t="s">
        <v>74</v>
      </c>
      <c r="G270" s="32" t="str">
        <f t="shared" si="8"/>
        <v>45848|ALRR</v>
      </c>
      <c r="H270" s="32" t="str">
        <f t="shared" si="9"/>
        <v>TREINO|TR|2025|ALRR</v>
      </c>
      <c r="I270" s="32">
        <f>IF(G270="",0,IF(COUNTIF($G$2:G270,G270)=1,1,0))</f>
        <v>1</v>
      </c>
      <c r="J270" s="32">
        <f>IF(H270="",0,IF(COUNTIF($H$2:H270,H270)=1,1,0))</f>
        <v>1</v>
      </c>
    </row>
    <row r="271" spans="1:10" ht="14.25" hidden="1" customHeight="1" x14ac:dyDescent="0.35">
      <c r="A271" s="30" t="s">
        <v>126</v>
      </c>
      <c r="B271" t="s">
        <v>127</v>
      </c>
      <c r="C271" t="s">
        <v>77</v>
      </c>
      <c r="D271" t="s">
        <v>128</v>
      </c>
      <c r="E271" s="31">
        <v>45848</v>
      </c>
      <c r="F271" t="s">
        <v>72</v>
      </c>
      <c r="G271" s="32" t="str">
        <f t="shared" si="8"/>
        <v>45848|ACRR</v>
      </c>
      <c r="H271" s="32" t="str">
        <f t="shared" si="9"/>
        <v>TREINO|TR|2025|ACRR</v>
      </c>
      <c r="I271" s="32">
        <f>IF(G271="",0,IF(COUNTIF($G$2:G271,G271)=1,1,0))</f>
        <v>0</v>
      </c>
      <c r="J271" s="32">
        <f>IF(H271="",0,IF(COUNTIF($H$2:H271,H271)=1,1,0))</f>
        <v>0</v>
      </c>
    </row>
    <row r="272" spans="1:10" ht="14.25" hidden="1" customHeight="1" x14ac:dyDescent="0.35">
      <c r="A272" s="30" t="s">
        <v>126</v>
      </c>
      <c r="B272" t="s">
        <v>127</v>
      </c>
      <c r="C272" t="s">
        <v>77</v>
      </c>
      <c r="D272" t="s">
        <v>128</v>
      </c>
      <c r="E272" s="31">
        <v>45868</v>
      </c>
      <c r="F272" t="s">
        <v>71</v>
      </c>
      <c r="G272" s="32" t="str">
        <f t="shared" si="8"/>
        <v>45868|ACRP</v>
      </c>
      <c r="H272" s="32" t="str">
        <f t="shared" si="9"/>
        <v>TREINO|TR|2025|ACRP</v>
      </c>
      <c r="I272" s="32">
        <f>IF(G272="",0,IF(COUNTIF($G$2:G272,G272)=1,1,0))</f>
        <v>1</v>
      </c>
      <c r="J272" s="32">
        <f>IF(H272="",0,IF(COUNTIF($H$2:H272,H272)=1,1,0))</f>
        <v>0</v>
      </c>
    </row>
    <row r="273" spans="1:10" ht="14.25" hidden="1" customHeight="1" x14ac:dyDescent="0.35">
      <c r="A273" s="30" t="s">
        <v>126</v>
      </c>
      <c r="B273" t="s">
        <v>127</v>
      </c>
      <c r="C273" t="s">
        <v>77</v>
      </c>
      <c r="D273" t="s">
        <v>128</v>
      </c>
      <c r="E273" s="31">
        <v>45868</v>
      </c>
      <c r="F273" t="s">
        <v>72</v>
      </c>
      <c r="G273" s="32" t="str">
        <f t="shared" si="8"/>
        <v>45868|ACRR</v>
      </c>
      <c r="H273" s="32" t="str">
        <f t="shared" si="9"/>
        <v>TREINO|TR|2025|ACRR</v>
      </c>
      <c r="I273" s="32">
        <f>IF(G273="",0,IF(COUNTIF($G$2:G273,G273)=1,1,0))</f>
        <v>1</v>
      </c>
      <c r="J273" s="32">
        <f>IF(H273="",0,IF(COUNTIF($H$2:H273,H273)=1,1,0))</f>
        <v>0</v>
      </c>
    </row>
    <row r="274" spans="1:10" ht="14.25" hidden="1" customHeight="1" x14ac:dyDescent="0.35">
      <c r="A274" s="30" t="s">
        <v>126</v>
      </c>
      <c r="B274" t="s">
        <v>127</v>
      </c>
      <c r="C274" t="s">
        <v>77</v>
      </c>
      <c r="D274" t="s">
        <v>128</v>
      </c>
      <c r="E274" s="31">
        <v>45868</v>
      </c>
      <c r="F274" t="s">
        <v>73</v>
      </c>
      <c r="G274" s="32" t="str">
        <f t="shared" si="8"/>
        <v>45868|ALRP</v>
      </c>
      <c r="H274" s="32" t="str">
        <f t="shared" si="9"/>
        <v>TREINO|TR|2025|ALRP</v>
      </c>
      <c r="I274" s="32">
        <f>IF(G274="",0,IF(COUNTIF($G$2:G274,G274)=1,1,0))</f>
        <v>1</v>
      </c>
      <c r="J274" s="32">
        <f>IF(H274="",0,IF(COUNTIF($H$2:H274,H274)=1,1,0))</f>
        <v>0</v>
      </c>
    </row>
    <row r="275" spans="1:10" ht="14.25" hidden="1" customHeight="1" x14ac:dyDescent="0.35">
      <c r="A275" s="30" t="s">
        <v>126</v>
      </c>
      <c r="B275" t="s">
        <v>127</v>
      </c>
      <c r="C275" t="s">
        <v>77</v>
      </c>
      <c r="D275" t="s">
        <v>128</v>
      </c>
      <c r="E275" s="31">
        <v>45868</v>
      </c>
      <c r="F275" t="s">
        <v>74</v>
      </c>
      <c r="G275" s="32" t="str">
        <f t="shared" si="8"/>
        <v>45868|ALRR</v>
      </c>
      <c r="H275" s="32" t="str">
        <f t="shared" si="9"/>
        <v>TREINO|TR|2025|ALRR</v>
      </c>
      <c r="I275" s="32">
        <f>IF(G275="",0,IF(COUNTIF($G$2:G275,G275)=1,1,0))</f>
        <v>1</v>
      </c>
      <c r="J275" s="32">
        <f>IF(H275="",0,IF(COUNTIF($H$2:H275,H275)=1,1,0))</f>
        <v>0</v>
      </c>
    </row>
    <row r="276" spans="1:10" ht="14.25" hidden="1" customHeight="1" x14ac:dyDescent="0.35">
      <c r="A276" s="30" t="s">
        <v>126</v>
      </c>
      <c r="B276" t="s">
        <v>127</v>
      </c>
      <c r="C276" t="s">
        <v>77</v>
      </c>
      <c r="D276" t="s">
        <v>128</v>
      </c>
      <c r="E276" s="31">
        <v>45882</v>
      </c>
      <c r="F276" t="s">
        <v>71</v>
      </c>
      <c r="G276" s="32" t="str">
        <f t="shared" si="8"/>
        <v>45882|ACRP</v>
      </c>
      <c r="H276" s="32" t="str">
        <f t="shared" si="9"/>
        <v>TREINO|TR|2025|ACRP</v>
      </c>
      <c r="I276" s="32">
        <f>IF(G276="",0,IF(COUNTIF($G$2:G276,G276)=1,1,0))</f>
        <v>1</v>
      </c>
      <c r="J276" s="32">
        <f>IF(H276="",0,IF(COUNTIF($H$2:H276,H276)=1,1,0))</f>
        <v>0</v>
      </c>
    </row>
    <row r="277" spans="1:10" ht="14.25" hidden="1" customHeight="1" x14ac:dyDescent="0.35">
      <c r="A277" s="30" t="s">
        <v>126</v>
      </c>
      <c r="B277" t="s">
        <v>127</v>
      </c>
      <c r="C277" t="s">
        <v>77</v>
      </c>
      <c r="D277" t="s">
        <v>128</v>
      </c>
      <c r="E277" s="31">
        <v>45882</v>
      </c>
      <c r="F277" t="s">
        <v>72</v>
      </c>
      <c r="G277" s="32" t="str">
        <f t="shared" si="8"/>
        <v>45882|ACRR</v>
      </c>
      <c r="H277" s="32" t="str">
        <f t="shared" si="9"/>
        <v>TREINO|TR|2025|ACRR</v>
      </c>
      <c r="I277" s="32">
        <f>IF(G277="",0,IF(COUNTIF($G$2:G277,G277)=1,1,0))</f>
        <v>1</v>
      </c>
      <c r="J277" s="32">
        <f>IF(H277="",0,IF(COUNTIF($H$2:H277,H277)=1,1,0))</f>
        <v>0</v>
      </c>
    </row>
    <row r="278" spans="1:10" ht="14.25" hidden="1" customHeight="1" x14ac:dyDescent="0.35">
      <c r="A278" s="30" t="s">
        <v>126</v>
      </c>
      <c r="B278" t="s">
        <v>127</v>
      </c>
      <c r="C278" t="s">
        <v>77</v>
      </c>
      <c r="D278" t="s">
        <v>128</v>
      </c>
      <c r="E278" s="31">
        <v>45882</v>
      </c>
      <c r="F278" t="s">
        <v>74</v>
      </c>
      <c r="G278" s="32" t="str">
        <f t="shared" si="8"/>
        <v>45882|ALRR</v>
      </c>
      <c r="H278" s="32" t="str">
        <f t="shared" si="9"/>
        <v>TREINO|TR|2025|ALRR</v>
      </c>
      <c r="I278" s="32">
        <f>IF(G278="",0,IF(COUNTIF($G$2:G278,G278)=1,1,0))</f>
        <v>1</v>
      </c>
      <c r="J278" s="32">
        <f>IF(H278="",0,IF(COUNTIF($H$2:H278,H278)=1,1,0))</f>
        <v>0</v>
      </c>
    </row>
    <row r="279" spans="1:10" ht="14.25" hidden="1" customHeight="1" x14ac:dyDescent="0.35">
      <c r="A279" s="30" t="s">
        <v>126</v>
      </c>
      <c r="B279" t="s">
        <v>127</v>
      </c>
      <c r="C279" t="s">
        <v>77</v>
      </c>
      <c r="D279" t="s">
        <v>128</v>
      </c>
      <c r="E279" s="31">
        <v>45882</v>
      </c>
      <c r="F279" t="s">
        <v>73</v>
      </c>
      <c r="G279" s="32" t="str">
        <f t="shared" si="8"/>
        <v>45882|ALRP</v>
      </c>
      <c r="H279" s="32" t="str">
        <f t="shared" si="9"/>
        <v>TREINO|TR|2025|ALRP</v>
      </c>
      <c r="I279" s="32">
        <f>IF(G279="",0,IF(COUNTIF($G$2:G279,G279)=1,1,0))</f>
        <v>1</v>
      </c>
      <c r="J279" s="32">
        <f>IF(H279="",0,IF(COUNTIF($H$2:H279,H279)=1,1,0))</f>
        <v>0</v>
      </c>
    </row>
    <row r="280" spans="1:10" ht="14.25" hidden="1" customHeight="1" x14ac:dyDescent="0.35">
      <c r="A280" s="30" t="s">
        <v>137</v>
      </c>
      <c r="B280" t="s">
        <v>112</v>
      </c>
      <c r="C280" t="s">
        <v>76</v>
      </c>
      <c r="D280" t="s">
        <v>106</v>
      </c>
      <c r="E280" s="31">
        <v>45885</v>
      </c>
      <c r="F280" t="s">
        <v>74</v>
      </c>
      <c r="G280" s="32" t="str">
        <f t="shared" si="8"/>
        <v>Campeonato Paulista de Fuzil 50 e 20 metros , Baixa Luminosidade e Shotgun 2025|7|FPTE|2025|ALRR</v>
      </c>
      <c r="H280" s="32" t="str">
        <f t="shared" si="9"/>
        <v>Campeonato Paulista de Fuzil 50 e 20 metros , Baixa Luminosidade e Shotgun 2025|FPTE|2025|ALRR</v>
      </c>
      <c r="I280" s="32">
        <f>IF(G280="",0,IF(COUNTIF($G$2:G280,G280)=1,1,0))</f>
        <v>1</v>
      </c>
      <c r="J280" s="32">
        <f>IF(H280="",0,IF(COUNTIF($H$2:H280,H280)=1,1,0))</f>
        <v>0</v>
      </c>
    </row>
    <row r="281" spans="1:10" ht="14.25" hidden="1" customHeight="1" x14ac:dyDescent="0.35">
      <c r="A281" s="30" t="s">
        <v>125</v>
      </c>
      <c r="B281" t="s">
        <v>114</v>
      </c>
      <c r="C281" t="s">
        <v>76</v>
      </c>
      <c r="D281" t="s">
        <v>106</v>
      </c>
      <c r="E281" s="31">
        <v>45885</v>
      </c>
      <c r="F281" t="s">
        <v>74</v>
      </c>
      <c r="G281" s="32" t="str">
        <f t="shared" si="8"/>
        <v>Paulista e Nacional Light|8|FPTE|2025|ALRR</v>
      </c>
      <c r="H281" s="32" t="str">
        <f t="shared" si="9"/>
        <v>Paulista e Nacional Light|FPTE|2025|ALRR</v>
      </c>
      <c r="I281" s="32">
        <f>IF(G281="",0,IF(COUNTIF($G$2:G281,G281)=1,1,0))</f>
        <v>1</v>
      </c>
      <c r="J281" s="32">
        <f>IF(H281="",0,IF(COUNTIF($H$2:H281,H281)=1,1,0))</f>
        <v>0</v>
      </c>
    </row>
    <row r="282" spans="1:10" ht="14.25" hidden="1" customHeight="1" x14ac:dyDescent="0.35">
      <c r="A282" s="30" t="s">
        <v>125</v>
      </c>
      <c r="B282" t="s">
        <v>114</v>
      </c>
      <c r="C282" t="s">
        <v>76</v>
      </c>
      <c r="D282" t="s">
        <v>106</v>
      </c>
      <c r="E282" s="31">
        <v>45885</v>
      </c>
      <c r="F282" t="s">
        <v>73</v>
      </c>
      <c r="G282" s="32" t="str">
        <f t="shared" si="8"/>
        <v>Paulista e Nacional Light|8|FPTE|2025|ALRP</v>
      </c>
      <c r="H282" s="32" t="str">
        <f t="shared" si="9"/>
        <v>Paulista e Nacional Light|FPTE|2025|ALRP</v>
      </c>
      <c r="I282" s="32">
        <f>IF(G282="",0,IF(COUNTIF($G$2:G282,G282)=1,1,0))</f>
        <v>1</v>
      </c>
      <c r="J282" s="32">
        <f>IF(H282="",0,IF(COUNTIF($H$2:H282,H282)=1,1,0))</f>
        <v>0</v>
      </c>
    </row>
    <row r="283" spans="1:10" ht="14.25" hidden="1" customHeight="1" x14ac:dyDescent="0.35">
      <c r="A283" s="30" t="s">
        <v>125</v>
      </c>
      <c r="B283" t="s">
        <v>114</v>
      </c>
      <c r="C283" t="s">
        <v>76</v>
      </c>
      <c r="D283" t="s">
        <v>106</v>
      </c>
      <c r="E283" s="31">
        <v>45885</v>
      </c>
      <c r="F283" t="s">
        <v>72</v>
      </c>
      <c r="G283" s="32" t="str">
        <f t="shared" si="8"/>
        <v>Paulista e Nacional Light|8|FPTE|2025|ACRR</v>
      </c>
      <c r="H283" s="32" t="str">
        <f t="shared" si="9"/>
        <v>Paulista e Nacional Light|FPTE|2025|ACRR</v>
      </c>
      <c r="I283" s="32">
        <f>IF(G283="",0,IF(COUNTIF($G$2:G283,G283)=1,1,0))</f>
        <v>1</v>
      </c>
      <c r="J283" s="32">
        <f>IF(H283="",0,IF(COUNTIF($H$2:H283,H283)=1,1,0))</f>
        <v>0</v>
      </c>
    </row>
    <row r="284" spans="1:10" ht="14.25" hidden="1" customHeight="1" x14ac:dyDescent="0.35">
      <c r="A284" s="30" t="s">
        <v>125</v>
      </c>
      <c r="B284" t="s">
        <v>114</v>
      </c>
      <c r="C284" t="s">
        <v>76</v>
      </c>
      <c r="D284" t="s">
        <v>106</v>
      </c>
      <c r="E284" s="31">
        <v>45885</v>
      </c>
      <c r="F284" t="s">
        <v>71</v>
      </c>
      <c r="G284" s="32" t="str">
        <f t="shared" si="8"/>
        <v>Paulista e Nacional Light|8|FPTE|2025|ACRP</v>
      </c>
      <c r="H284" s="32" t="str">
        <f t="shared" si="9"/>
        <v>Paulista e Nacional Light|FPTE|2025|ACRP</v>
      </c>
      <c r="I284" s="32">
        <f>IF(G284="",0,IF(COUNTIF($G$2:G284,G284)=1,1,0))</f>
        <v>1</v>
      </c>
      <c r="J284" s="32">
        <f>IF(H284="",0,IF(COUNTIF($H$2:H284,H284)=1,1,0))</f>
        <v>0</v>
      </c>
    </row>
    <row r="285" spans="1:10" ht="14.25" hidden="1" customHeight="1" x14ac:dyDescent="0.35">
      <c r="A285" s="30" t="s">
        <v>126</v>
      </c>
      <c r="B285" t="s">
        <v>127</v>
      </c>
      <c r="C285" t="s">
        <v>77</v>
      </c>
      <c r="D285" t="s">
        <v>128</v>
      </c>
      <c r="E285" s="31">
        <v>45885</v>
      </c>
      <c r="F285" t="s">
        <v>71</v>
      </c>
      <c r="G285" s="32" t="str">
        <f t="shared" si="8"/>
        <v>45885|ACRP</v>
      </c>
      <c r="H285" s="32" t="str">
        <f t="shared" si="9"/>
        <v>TREINO|TR|2025|ACRP</v>
      </c>
      <c r="I285" s="32">
        <f>IF(G285="",0,IF(COUNTIF($G$2:G285,G285)=1,1,0))</f>
        <v>1</v>
      </c>
      <c r="J285" s="32">
        <f>IF(H285="",0,IF(COUNTIF($H$2:H285,H285)=1,1,0))</f>
        <v>0</v>
      </c>
    </row>
    <row r="286" spans="1:10" ht="14.25" hidden="1" customHeight="1" x14ac:dyDescent="0.35">
      <c r="A286" s="30" t="s">
        <v>126</v>
      </c>
      <c r="B286" t="s">
        <v>127</v>
      </c>
      <c r="C286" t="s">
        <v>77</v>
      </c>
      <c r="D286" t="s">
        <v>128</v>
      </c>
      <c r="E286" s="31">
        <v>45885</v>
      </c>
      <c r="F286" t="s">
        <v>72</v>
      </c>
      <c r="G286" s="32" t="str">
        <f t="shared" si="8"/>
        <v>45885|ACRR</v>
      </c>
      <c r="H286" s="32" t="str">
        <f t="shared" si="9"/>
        <v>TREINO|TR|2025|ACRR</v>
      </c>
      <c r="I286" s="32">
        <f>IF(G286="",0,IF(COUNTIF($G$2:G286,G286)=1,1,0))</f>
        <v>1</v>
      </c>
      <c r="J286" s="32">
        <f>IF(H286="",0,IF(COUNTIF($H$2:H286,H286)=1,1,0))</f>
        <v>0</v>
      </c>
    </row>
    <row r="287" spans="1:10" ht="14.25" hidden="1" customHeight="1" x14ac:dyDescent="0.35">
      <c r="A287" s="30" t="s">
        <v>126</v>
      </c>
      <c r="B287" t="s">
        <v>127</v>
      </c>
      <c r="C287" t="s">
        <v>77</v>
      </c>
      <c r="D287" t="s">
        <v>128</v>
      </c>
      <c r="E287" s="31">
        <v>45885</v>
      </c>
      <c r="F287" t="s">
        <v>74</v>
      </c>
      <c r="G287" s="32" t="str">
        <f t="shared" si="8"/>
        <v>45885|ALRR</v>
      </c>
      <c r="H287" s="32" t="str">
        <f t="shared" si="9"/>
        <v>TREINO|TR|2025|ALRR</v>
      </c>
      <c r="I287" s="32">
        <f>IF(G287="",0,IF(COUNTIF($G$2:G287,G287)=1,1,0))</f>
        <v>1</v>
      </c>
      <c r="J287" s="32">
        <f>IF(H287="",0,IF(COUNTIF($H$2:H287,H287)=1,1,0))</f>
        <v>0</v>
      </c>
    </row>
    <row r="288" spans="1:10" ht="14.25" hidden="1" customHeight="1" x14ac:dyDescent="0.35">
      <c r="A288" s="30" t="s">
        <v>126</v>
      </c>
      <c r="B288" t="s">
        <v>127</v>
      </c>
      <c r="C288" t="s">
        <v>77</v>
      </c>
      <c r="D288" t="s">
        <v>128</v>
      </c>
      <c r="E288" s="31">
        <v>45885</v>
      </c>
      <c r="F288" t="s">
        <v>73</v>
      </c>
      <c r="G288" s="32" t="str">
        <f t="shared" si="8"/>
        <v>45885|ALRP</v>
      </c>
      <c r="H288" s="32" t="str">
        <f t="shared" si="9"/>
        <v>TREINO|TR|2025|ALRP</v>
      </c>
      <c r="I288" s="32">
        <f>IF(G288="",0,IF(COUNTIF($G$2:G288,G288)=1,1,0))</f>
        <v>1</v>
      </c>
      <c r="J288" s="32">
        <f>IF(H288="",0,IF(COUNTIF($H$2:H288,H288)=1,1,0))</f>
        <v>0</v>
      </c>
    </row>
    <row r="289" spans="1:10" ht="14.25" hidden="1" customHeight="1" x14ac:dyDescent="0.35">
      <c r="A289" s="30" t="s">
        <v>130</v>
      </c>
      <c r="B289" t="s">
        <v>112</v>
      </c>
      <c r="C289" t="s">
        <v>79</v>
      </c>
      <c r="D289" t="s">
        <v>115</v>
      </c>
      <c r="E289" s="31">
        <v>45885</v>
      </c>
      <c r="F289" t="s">
        <v>73</v>
      </c>
      <c r="G289" s="32" t="str">
        <f t="shared" si="8"/>
        <v>COPA BRASIL DE TIRO DESPORTIVO|7|Linade|2025|ALRP</v>
      </c>
      <c r="H289" s="32" t="str">
        <f t="shared" si="9"/>
        <v>COPA BRASIL DE TIRO DESPORTIVO|Linade|2025|ALRP</v>
      </c>
      <c r="I289" s="32">
        <f>IF(G289="",0,IF(COUNTIF($G$2:G289,G289)=1,1,0))</f>
        <v>1</v>
      </c>
      <c r="J289" s="32">
        <f>IF(H289="",0,IF(COUNTIF($H$2:H289,H289)=1,1,0))</f>
        <v>0</v>
      </c>
    </row>
    <row r="290" spans="1:10" ht="14.25" hidden="1" customHeight="1" x14ac:dyDescent="0.35">
      <c r="A290" s="30" t="s">
        <v>133</v>
      </c>
      <c r="B290" t="s">
        <v>112</v>
      </c>
      <c r="C290" t="s">
        <v>79</v>
      </c>
      <c r="D290" t="s">
        <v>115</v>
      </c>
      <c r="E290" s="31">
        <v>45885</v>
      </c>
      <c r="F290" t="s">
        <v>73</v>
      </c>
      <c r="G290" s="32" t="str">
        <f t="shared" si="8"/>
        <v>CAMPEONATO NACIONAL DE TIRO DESPORTIVO|7|Linade|2025|ALRP</v>
      </c>
      <c r="H290" s="32" t="str">
        <f t="shared" si="9"/>
        <v>CAMPEONATO NACIONAL DE TIRO DESPORTIVO|Linade|2025|ALRP</v>
      </c>
      <c r="I290" s="32">
        <f>IF(G290="",0,IF(COUNTIF($G$2:G290,G290)=1,1,0))</f>
        <v>1</v>
      </c>
      <c r="J290" s="32">
        <f>IF(H290="",0,IF(COUNTIF($H$2:H290,H290)=1,1,0))</f>
        <v>0</v>
      </c>
    </row>
    <row r="291" spans="1:10" ht="14.25" hidden="1" customHeight="1" x14ac:dyDescent="0.35">
      <c r="A291" s="30" t="s">
        <v>130</v>
      </c>
      <c r="B291" t="s">
        <v>112</v>
      </c>
      <c r="C291" t="s">
        <v>79</v>
      </c>
      <c r="D291" t="s">
        <v>115</v>
      </c>
      <c r="E291" s="31">
        <v>45885</v>
      </c>
      <c r="F291" t="s">
        <v>71</v>
      </c>
      <c r="G291" s="32" t="str">
        <f t="shared" si="8"/>
        <v>COPA BRASIL DE TIRO DESPORTIVO|7|Linade|2025|ACRP</v>
      </c>
      <c r="H291" s="32" t="str">
        <f t="shared" si="9"/>
        <v>COPA BRASIL DE TIRO DESPORTIVO|Linade|2025|ACRP</v>
      </c>
      <c r="I291" s="32">
        <f>IF(G291="",0,IF(COUNTIF($G$2:G291,G291)=1,1,0))</f>
        <v>1</v>
      </c>
      <c r="J291" s="32">
        <f>IF(H291="",0,IF(COUNTIF($H$2:H291,H291)=1,1,0))</f>
        <v>0</v>
      </c>
    </row>
    <row r="292" spans="1:10" ht="14.25" hidden="1" customHeight="1" x14ac:dyDescent="0.35">
      <c r="A292" s="30" t="s">
        <v>133</v>
      </c>
      <c r="B292" t="s">
        <v>112</v>
      </c>
      <c r="C292" t="s">
        <v>79</v>
      </c>
      <c r="D292" t="s">
        <v>115</v>
      </c>
      <c r="E292" s="31">
        <v>45885</v>
      </c>
      <c r="F292" t="s">
        <v>71</v>
      </c>
      <c r="G292" s="32" t="str">
        <f t="shared" si="8"/>
        <v>CAMPEONATO NACIONAL DE TIRO DESPORTIVO|7|Linade|2025|ACRP</v>
      </c>
      <c r="H292" s="32" t="str">
        <f t="shared" si="9"/>
        <v>CAMPEONATO NACIONAL DE TIRO DESPORTIVO|Linade|2025|ACRP</v>
      </c>
      <c r="I292" s="32">
        <f>IF(G292="",0,IF(COUNTIF($G$2:G292,G292)=1,1,0))</f>
        <v>1</v>
      </c>
      <c r="J292" s="32">
        <f>IF(H292="",0,IF(COUNTIF($H$2:H292,H292)=1,1,0))</f>
        <v>0</v>
      </c>
    </row>
    <row r="293" spans="1:10" ht="14.25" hidden="1" customHeight="1" x14ac:dyDescent="0.35">
      <c r="A293" s="30" t="s">
        <v>133</v>
      </c>
      <c r="B293" t="s">
        <v>112</v>
      </c>
      <c r="C293" t="s">
        <v>79</v>
      </c>
      <c r="D293" t="s">
        <v>115</v>
      </c>
      <c r="E293" s="31">
        <v>45885</v>
      </c>
      <c r="F293" t="s">
        <v>72</v>
      </c>
      <c r="G293" s="32" t="str">
        <f t="shared" si="8"/>
        <v>CAMPEONATO NACIONAL DE TIRO DESPORTIVO|7|Linade|2025|ACRR</v>
      </c>
      <c r="H293" s="32" t="str">
        <f t="shared" si="9"/>
        <v>CAMPEONATO NACIONAL DE TIRO DESPORTIVO|Linade|2025|ACRR</v>
      </c>
      <c r="I293" s="32">
        <f>IF(G293="",0,IF(COUNTIF($G$2:G293,G293)=1,1,0))</f>
        <v>1</v>
      </c>
      <c r="J293" s="32">
        <f>IF(H293="",0,IF(COUNTIF($H$2:H293,H293)=1,1,0))</f>
        <v>0</v>
      </c>
    </row>
    <row r="294" spans="1:10" ht="14.25" hidden="1" customHeight="1" x14ac:dyDescent="0.35">
      <c r="A294" s="30" t="s">
        <v>130</v>
      </c>
      <c r="B294" t="s">
        <v>112</v>
      </c>
      <c r="C294" t="s">
        <v>79</v>
      </c>
      <c r="D294" t="s">
        <v>115</v>
      </c>
      <c r="E294" s="31">
        <v>45885</v>
      </c>
      <c r="F294" t="s">
        <v>72</v>
      </c>
      <c r="G294" s="32" t="str">
        <f t="shared" si="8"/>
        <v>COPA BRASIL DE TIRO DESPORTIVO|7|Linade|2025|ACRR</v>
      </c>
      <c r="H294" s="32" t="str">
        <f t="shared" si="9"/>
        <v>COPA BRASIL DE TIRO DESPORTIVO|Linade|2025|ACRR</v>
      </c>
      <c r="I294" s="32">
        <f>IF(G294="",0,IF(COUNTIF($G$2:G294,G294)=1,1,0))</f>
        <v>1</v>
      </c>
      <c r="J294" s="32">
        <f>IF(H294="",0,IF(COUNTIF($H$2:H294,H294)=1,1,0))</f>
        <v>0</v>
      </c>
    </row>
    <row r="295" spans="1:10" ht="14.25" hidden="1" customHeight="1" x14ac:dyDescent="0.35">
      <c r="A295" s="30" t="s">
        <v>130</v>
      </c>
      <c r="B295" t="s">
        <v>112</v>
      </c>
      <c r="C295" t="s">
        <v>79</v>
      </c>
      <c r="D295" t="s">
        <v>115</v>
      </c>
      <c r="E295" s="31">
        <v>45885</v>
      </c>
      <c r="F295" t="s">
        <v>73</v>
      </c>
      <c r="G295" s="32" t="str">
        <f t="shared" si="8"/>
        <v>COPA BRASIL DE TIRO DESPORTIVO|7|Linade|2025|ALRP</v>
      </c>
      <c r="H295" s="32" t="str">
        <f t="shared" si="9"/>
        <v>COPA BRASIL DE TIRO DESPORTIVO|Linade|2025|ALRP</v>
      </c>
      <c r="I295" s="32">
        <f>IF(G295="",0,IF(COUNTIF($G$2:G295,G295)=1,1,0))</f>
        <v>0</v>
      </c>
      <c r="J295" s="32">
        <f>IF(H295="",0,IF(COUNTIF($H$2:H295,H295)=1,1,0))</f>
        <v>0</v>
      </c>
    </row>
    <row r="296" spans="1:10" ht="14.25" hidden="1" customHeight="1" x14ac:dyDescent="0.35">
      <c r="A296" s="30" t="s">
        <v>130</v>
      </c>
      <c r="B296" t="s">
        <v>112</v>
      </c>
      <c r="C296" t="s">
        <v>79</v>
      </c>
      <c r="D296" t="s">
        <v>115</v>
      </c>
      <c r="E296" s="31">
        <v>45885</v>
      </c>
      <c r="F296" t="s">
        <v>74</v>
      </c>
      <c r="G296" s="32" t="str">
        <f t="shared" si="8"/>
        <v>COPA BRASIL DE TIRO DESPORTIVO|7|Linade|2025|ALRR</v>
      </c>
      <c r="H296" s="32" t="str">
        <f t="shared" si="9"/>
        <v>COPA BRASIL DE TIRO DESPORTIVO|Linade|2025|ALRR</v>
      </c>
      <c r="I296" s="32">
        <f>IF(G296="",0,IF(COUNTIF($G$2:G296,G296)=1,1,0))</f>
        <v>1</v>
      </c>
      <c r="J296" s="32">
        <f>IF(H296="",0,IF(COUNTIF($H$2:H296,H296)=1,1,0))</f>
        <v>0</v>
      </c>
    </row>
    <row r="297" spans="1:10" ht="14.25" hidden="1" customHeight="1" x14ac:dyDescent="0.35">
      <c r="A297" s="30" t="s">
        <v>130</v>
      </c>
      <c r="B297" t="s">
        <v>112</v>
      </c>
      <c r="C297" t="s">
        <v>79</v>
      </c>
      <c r="D297" t="s">
        <v>115</v>
      </c>
      <c r="E297" s="31">
        <v>45885</v>
      </c>
      <c r="F297" t="s">
        <v>71</v>
      </c>
      <c r="G297" s="32" t="str">
        <f t="shared" si="8"/>
        <v>COPA BRASIL DE TIRO DESPORTIVO|7|Linade|2025|ACRP</v>
      </c>
      <c r="H297" s="32" t="str">
        <f t="shared" si="9"/>
        <v>COPA BRASIL DE TIRO DESPORTIVO|Linade|2025|ACRP</v>
      </c>
      <c r="I297" s="32">
        <f>IF(G297="",0,IF(COUNTIF($G$2:G297,G297)=1,1,0))</f>
        <v>0</v>
      </c>
      <c r="J297" s="32">
        <f>IF(H297="",0,IF(COUNTIF($H$2:H297,H297)=1,1,0))</f>
        <v>0</v>
      </c>
    </row>
    <row r="298" spans="1:10" ht="14.25" hidden="1" customHeight="1" x14ac:dyDescent="0.35">
      <c r="A298" s="30" t="s">
        <v>130</v>
      </c>
      <c r="B298" t="s">
        <v>112</v>
      </c>
      <c r="C298" t="s">
        <v>79</v>
      </c>
      <c r="D298" t="s">
        <v>115</v>
      </c>
      <c r="E298" s="31">
        <v>45885</v>
      </c>
      <c r="F298" t="s">
        <v>72</v>
      </c>
      <c r="G298" s="32" t="str">
        <f t="shared" si="8"/>
        <v>COPA BRASIL DE TIRO DESPORTIVO|7|Linade|2025|ACRR</v>
      </c>
      <c r="H298" s="32" t="str">
        <f t="shared" si="9"/>
        <v>COPA BRASIL DE TIRO DESPORTIVO|Linade|2025|ACRR</v>
      </c>
      <c r="I298" s="32">
        <f>IF(G298="",0,IF(COUNTIF($G$2:G298,G298)=1,1,0))</f>
        <v>0</v>
      </c>
      <c r="J298" s="32">
        <f>IF(H298="",0,IF(COUNTIF($H$2:H298,H298)=1,1,0))</f>
        <v>0</v>
      </c>
    </row>
    <row r="299" spans="1:10" ht="14.25" hidden="1" customHeight="1" x14ac:dyDescent="0.35">
      <c r="A299" s="30" t="s">
        <v>124</v>
      </c>
      <c r="B299" t="s">
        <v>114</v>
      </c>
      <c r="C299" t="s">
        <v>78</v>
      </c>
      <c r="D299" t="s">
        <v>115</v>
      </c>
      <c r="E299" s="31">
        <v>45885</v>
      </c>
      <c r="F299" s="7" t="s">
        <v>71</v>
      </c>
      <c r="G299" s="32" t="str">
        <f t="shared" si="8"/>
        <v>NACIONAL LIGHT|8|CBTE|2025|ACRP</v>
      </c>
      <c r="H299" s="32" t="str">
        <f t="shared" si="9"/>
        <v>NACIONAL LIGHT|CBTE|2025|ACRP</v>
      </c>
      <c r="I299" s="32">
        <f>IF(G299="",0,IF(COUNTIF($G$2:G299,G299)=1,1,0))</f>
        <v>1</v>
      </c>
      <c r="J299" s="32">
        <f>IF(H299="",0,IF(COUNTIF($H$2:H299,H299)=1,1,0))</f>
        <v>0</v>
      </c>
    </row>
    <row r="300" spans="1:10" ht="14.25" hidden="1" customHeight="1" x14ac:dyDescent="0.35">
      <c r="A300" s="30" t="s">
        <v>124</v>
      </c>
      <c r="B300" t="s">
        <v>114</v>
      </c>
      <c r="C300" t="s">
        <v>78</v>
      </c>
      <c r="D300" t="s">
        <v>115</v>
      </c>
      <c r="E300" s="31">
        <v>45885</v>
      </c>
      <c r="F300" s="7" t="s">
        <v>72</v>
      </c>
      <c r="G300" s="32" t="str">
        <f t="shared" si="8"/>
        <v>NACIONAL LIGHT|8|CBTE|2025|ACRR</v>
      </c>
      <c r="H300" s="32" t="str">
        <f t="shared" si="9"/>
        <v>NACIONAL LIGHT|CBTE|2025|ACRR</v>
      </c>
      <c r="I300" s="32">
        <f>IF(G300="",0,IF(COUNTIF($G$2:G300,G300)=1,1,0))</f>
        <v>1</v>
      </c>
      <c r="J300" s="32">
        <f>IF(H300="",0,IF(COUNTIF($H$2:H300,H300)=1,1,0))</f>
        <v>0</v>
      </c>
    </row>
    <row r="301" spans="1:10" ht="14.25" hidden="1" customHeight="1" x14ac:dyDescent="0.35">
      <c r="A301" s="30" t="s">
        <v>124</v>
      </c>
      <c r="B301" t="s">
        <v>114</v>
      </c>
      <c r="C301" t="s">
        <v>78</v>
      </c>
      <c r="D301" t="s">
        <v>115</v>
      </c>
      <c r="E301" s="31">
        <v>45885</v>
      </c>
      <c r="F301" s="7" t="s">
        <v>73</v>
      </c>
      <c r="G301" s="32" t="str">
        <f t="shared" si="8"/>
        <v>NACIONAL LIGHT|8|CBTE|2025|ALRP</v>
      </c>
      <c r="H301" s="32" t="str">
        <f t="shared" si="9"/>
        <v>NACIONAL LIGHT|CBTE|2025|ALRP</v>
      </c>
      <c r="I301" s="32">
        <f>IF(G301="",0,IF(COUNTIF($G$2:G301,G301)=1,1,0))</f>
        <v>1</v>
      </c>
      <c r="J301" s="32">
        <f>IF(H301="",0,IF(COUNTIF($H$2:H301,H301)=1,1,0))</f>
        <v>0</v>
      </c>
    </row>
    <row r="302" spans="1:10" ht="14.25" hidden="1" customHeight="1" x14ac:dyDescent="0.35">
      <c r="A302" s="30" t="s">
        <v>124</v>
      </c>
      <c r="B302" t="s">
        <v>114</v>
      </c>
      <c r="C302" t="s">
        <v>78</v>
      </c>
      <c r="D302" t="s">
        <v>115</v>
      </c>
      <c r="E302" s="31">
        <v>45885</v>
      </c>
      <c r="F302" s="7" t="s">
        <v>74</v>
      </c>
      <c r="G302" s="32" t="str">
        <f t="shared" si="8"/>
        <v>NACIONAL LIGHT|8|CBTE|2025|ALRR</v>
      </c>
      <c r="H302" s="32" t="str">
        <f t="shared" si="9"/>
        <v>NACIONAL LIGHT|CBTE|2025|ALRR</v>
      </c>
      <c r="I302" s="32">
        <f>IF(G302="",0,IF(COUNTIF($G$2:G302,G302)=1,1,0))</f>
        <v>1</v>
      </c>
      <c r="J302" s="32">
        <f>IF(H302="",0,IF(COUNTIF($H$2:H302,H302)=1,1,0))</f>
        <v>0</v>
      </c>
    </row>
    <row r="303" spans="1:10" ht="14.25" hidden="1" customHeight="1" x14ac:dyDescent="0.35">
      <c r="A303" s="30" t="s">
        <v>126</v>
      </c>
      <c r="B303" t="s">
        <v>127</v>
      </c>
      <c r="C303" t="s">
        <v>77</v>
      </c>
      <c r="D303" t="s">
        <v>128</v>
      </c>
      <c r="E303" s="31">
        <v>45889</v>
      </c>
      <c r="F303" t="s">
        <v>71</v>
      </c>
      <c r="G303" s="32" t="str">
        <f t="shared" si="8"/>
        <v>45889|ACRP</v>
      </c>
      <c r="H303" s="32" t="str">
        <f t="shared" si="9"/>
        <v>TREINO|TR|2025|ACRP</v>
      </c>
      <c r="I303" s="32">
        <f>IF(G303="",0,IF(COUNTIF($G$2:G303,G303)=1,1,0))</f>
        <v>1</v>
      </c>
      <c r="J303" s="32">
        <f>IF(H303="",0,IF(COUNTIF($H$2:H303,H303)=1,1,0))</f>
        <v>0</v>
      </c>
    </row>
    <row r="304" spans="1:10" ht="14.25" hidden="1" customHeight="1" x14ac:dyDescent="0.35">
      <c r="A304" s="30" t="s">
        <v>126</v>
      </c>
      <c r="B304" t="s">
        <v>127</v>
      </c>
      <c r="C304" t="s">
        <v>77</v>
      </c>
      <c r="D304" t="s">
        <v>128</v>
      </c>
      <c r="E304" s="31">
        <v>45889</v>
      </c>
      <c r="F304" t="s">
        <v>73</v>
      </c>
      <c r="G304" s="32" t="str">
        <f t="shared" si="8"/>
        <v>45889|ALRP</v>
      </c>
      <c r="H304" s="32" t="str">
        <f t="shared" si="9"/>
        <v>TREINO|TR|2025|ALRP</v>
      </c>
      <c r="I304" s="32">
        <f>IF(G304="",0,IF(COUNTIF($G$2:G304,G304)=1,1,0))</f>
        <v>1</v>
      </c>
      <c r="J304" s="32">
        <f>IF(H304="",0,IF(COUNTIF($H$2:H304,H304)=1,1,0))</f>
        <v>0</v>
      </c>
    </row>
    <row r="305" spans="1:10" ht="14.25" hidden="1" customHeight="1" x14ac:dyDescent="0.35">
      <c r="A305" s="30" t="s">
        <v>126</v>
      </c>
      <c r="B305" t="s">
        <v>127</v>
      </c>
      <c r="C305" t="s">
        <v>77</v>
      </c>
      <c r="D305" t="s">
        <v>128</v>
      </c>
      <c r="E305" s="31">
        <v>45889</v>
      </c>
      <c r="F305" t="s">
        <v>74</v>
      </c>
      <c r="G305" s="32" t="str">
        <f t="shared" si="8"/>
        <v>45889|ALRR</v>
      </c>
      <c r="H305" s="32" t="str">
        <f t="shared" si="9"/>
        <v>TREINO|TR|2025|ALRR</v>
      </c>
      <c r="I305" s="32">
        <f>IF(G305="",0,IF(COUNTIF($G$2:G305,G305)=1,1,0))</f>
        <v>1</v>
      </c>
      <c r="J305" s="32">
        <f>IF(H305="",0,IF(COUNTIF($H$2:H305,H305)=1,1,0))</f>
        <v>0</v>
      </c>
    </row>
    <row r="306" spans="1:10" ht="14.25" hidden="1" customHeight="1" x14ac:dyDescent="0.35">
      <c r="A306" s="30" t="s">
        <v>126</v>
      </c>
      <c r="B306" t="s">
        <v>127</v>
      </c>
      <c r="C306" t="s">
        <v>77</v>
      </c>
      <c r="D306" t="s">
        <v>128</v>
      </c>
      <c r="E306" s="31">
        <v>45889</v>
      </c>
      <c r="F306" t="s">
        <v>72</v>
      </c>
      <c r="G306" s="32" t="str">
        <f t="shared" si="8"/>
        <v>45889|ACRR</v>
      </c>
      <c r="H306" s="32" t="str">
        <f t="shared" si="9"/>
        <v>TREINO|TR|2025|ACRR</v>
      </c>
      <c r="I306" s="32">
        <f>IF(G306="",0,IF(COUNTIF($G$2:G306,G306)=1,1,0))</f>
        <v>1</v>
      </c>
      <c r="J306" s="32">
        <f>IF(H306="",0,IF(COUNTIF($H$2:H306,H306)=1,1,0))</f>
        <v>0</v>
      </c>
    </row>
    <row r="307" spans="1:10" ht="14.25" hidden="1" customHeight="1" x14ac:dyDescent="0.35">
      <c r="A307" s="30" t="s">
        <v>126</v>
      </c>
      <c r="B307" t="s">
        <v>127</v>
      </c>
      <c r="C307" t="s">
        <v>77</v>
      </c>
      <c r="D307" t="s">
        <v>128</v>
      </c>
      <c r="E307" s="31">
        <v>45891</v>
      </c>
      <c r="F307" t="s">
        <v>71</v>
      </c>
      <c r="G307" s="32" t="str">
        <f t="shared" si="8"/>
        <v>45891|ACRP</v>
      </c>
      <c r="H307" s="32" t="str">
        <f t="shared" si="9"/>
        <v>TREINO|TR|2025|ACRP</v>
      </c>
      <c r="I307" s="32">
        <f>IF(G307="",0,IF(COUNTIF($G$2:G307,G307)=1,1,0))</f>
        <v>1</v>
      </c>
      <c r="J307" s="32">
        <f>IF(H307="",0,IF(COUNTIF($H$2:H307,H307)=1,1,0))</f>
        <v>0</v>
      </c>
    </row>
    <row r="308" spans="1:10" ht="14.25" hidden="1" customHeight="1" x14ac:dyDescent="0.35">
      <c r="A308" s="30" t="s">
        <v>126</v>
      </c>
      <c r="B308" t="s">
        <v>127</v>
      </c>
      <c r="C308" t="s">
        <v>77</v>
      </c>
      <c r="D308" t="s">
        <v>128</v>
      </c>
      <c r="E308" s="31">
        <v>45891</v>
      </c>
      <c r="F308" t="s">
        <v>72</v>
      </c>
      <c r="G308" s="32" t="str">
        <f t="shared" si="8"/>
        <v>45891|ACRR</v>
      </c>
      <c r="H308" s="32" t="str">
        <f t="shared" si="9"/>
        <v>TREINO|TR|2025|ACRR</v>
      </c>
      <c r="I308" s="32">
        <f>IF(G308="",0,IF(COUNTIF($G$2:G308,G308)=1,1,0))</f>
        <v>1</v>
      </c>
      <c r="J308" s="32">
        <f>IF(H308="",0,IF(COUNTIF($H$2:H308,H308)=1,1,0))</f>
        <v>0</v>
      </c>
    </row>
    <row r="309" spans="1:10" ht="14.25" hidden="1" customHeight="1" x14ac:dyDescent="0.35">
      <c r="A309" s="30" t="s">
        <v>126</v>
      </c>
      <c r="B309" t="s">
        <v>127</v>
      </c>
      <c r="C309" t="s">
        <v>77</v>
      </c>
      <c r="D309" t="s">
        <v>128</v>
      </c>
      <c r="E309" s="31">
        <v>45892</v>
      </c>
      <c r="F309" t="s">
        <v>71</v>
      </c>
      <c r="G309" s="32" t="str">
        <f t="shared" si="8"/>
        <v>45892|ACRP</v>
      </c>
      <c r="H309" s="32" t="str">
        <f t="shared" si="9"/>
        <v>TREINO|TR|2025|ACRP</v>
      </c>
      <c r="I309" s="32">
        <f>IF(G309="",0,IF(COUNTIF($G$2:G309,G309)=1,1,0))</f>
        <v>1</v>
      </c>
      <c r="J309" s="32">
        <f>IF(H309="",0,IF(COUNTIF($H$2:H309,H309)=1,1,0))</f>
        <v>0</v>
      </c>
    </row>
    <row r="310" spans="1:10" ht="14.25" hidden="1" customHeight="1" x14ac:dyDescent="0.35">
      <c r="A310" s="30" t="s">
        <v>126</v>
      </c>
      <c r="B310" t="s">
        <v>127</v>
      </c>
      <c r="C310" t="s">
        <v>77</v>
      </c>
      <c r="D310" t="s">
        <v>128</v>
      </c>
      <c r="E310" s="31">
        <v>45892</v>
      </c>
      <c r="F310" t="s">
        <v>72</v>
      </c>
      <c r="G310" s="32" t="str">
        <f t="shared" si="8"/>
        <v>45892|ACRR</v>
      </c>
      <c r="H310" s="32" t="str">
        <f t="shared" si="9"/>
        <v>TREINO|TR|2025|ACRR</v>
      </c>
      <c r="I310" s="32">
        <f>IF(G310="",0,IF(COUNTIF($G$2:G310,G310)=1,1,0))</f>
        <v>1</v>
      </c>
      <c r="J310" s="32">
        <f>IF(H310="",0,IF(COUNTIF($H$2:H310,H310)=1,1,0))</f>
        <v>0</v>
      </c>
    </row>
    <row r="311" spans="1:10" ht="14.25" hidden="1" customHeight="1" x14ac:dyDescent="0.35">
      <c r="A311" s="30" t="s">
        <v>126</v>
      </c>
      <c r="B311" t="s">
        <v>127</v>
      </c>
      <c r="C311" t="s">
        <v>77</v>
      </c>
      <c r="D311" t="s">
        <v>128</v>
      </c>
      <c r="E311" s="31">
        <v>45892</v>
      </c>
      <c r="F311" t="s">
        <v>73</v>
      </c>
      <c r="G311" s="32" t="str">
        <f t="shared" si="8"/>
        <v>45892|ALRP</v>
      </c>
      <c r="H311" s="32" t="str">
        <f t="shared" si="9"/>
        <v>TREINO|TR|2025|ALRP</v>
      </c>
      <c r="I311" s="32">
        <f>IF(G311="",0,IF(COUNTIF($G$2:G311,G311)=1,1,0))</f>
        <v>1</v>
      </c>
      <c r="J311" s="32">
        <f>IF(H311="",0,IF(COUNTIF($H$2:H311,H311)=1,1,0))</f>
        <v>0</v>
      </c>
    </row>
    <row r="312" spans="1:10" ht="14.25" hidden="1" customHeight="1" x14ac:dyDescent="0.35">
      <c r="A312" s="30" t="s">
        <v>126</v>
      </c>
      <c r="B312" t="s">
        <v>127</v>
      </c>
      <c r="C312" t="s">
        <v>77</v>
      </c>
      <c r="D312" t="s">
        <v>128</v>
      </c>
      <c r="E312" s="31">
        <v>45892</v>
      </c>
      <c r="F312" t="s">
        <v>74</v>
      </c>
      <c r="G312" s="32" t="str">
        <f t="shared" si="8"/>
        <v>45892|ALRR</v>
      </c>
      <c r="H312" s="32" t="str">
        <f t="shared" si="9"/>
        <v>TREINO|TR|2025|ALRR</v>
      </c>
      <c r="I312" s="32">
        <f>IF(G312="",0,IF(COUNTIF($G$2:G312,G312)=1,1,0))</f>
        <v>1</v>
      </c>
      <c r="J312" s="32">
        <f>IF(H312="",0,IF(COUNTIF($H$2:H312,H312)=1,1,0))</f>
        <v>0</v>
      </c>
    </row>
    <row r="313" spans="1:10" ht="14.25" hidden="1" customHeight="1" x14ac:dyDescent="0.35">
      <c r="A313" s="30" t="s">
        <v>126</v>
      </c>
      <c r="B313" t="s">
        <v>127</v>
      </c>
      <c r="C313" t="s">
        <v>77</v>
      </c>
      <c r="D313" t="s">
        <v>128</v>
      </c>
      <c r="E313" s="31">
        <v>45892</v>
      </c>
      <c r="F313" t="s">
        <v>72</v>
      </c>
      <c r="G313" s="32" t="str">
        <f t="shared" si="8"/>
        <v>45892|ACRR</v>
      </c>
      <c r="H313" s="32" t="str">
        <f t="shared" si="9"/>
        <v>TREINO|TR|2025|ACRR</v>
      </c>
      <c r="I313" s="32">
        <f>IF(G313="",0,IF(COUNTIF($G$2:G313,G313)=1,1,0))</f>
        <v>0</v>
      </c>
      <c r="J313" s="32">
        <f>IF(H313="",0,IF(COUNTIF($H$2:H313,H313)=1,1,0))</f>
        <v>0</v>
      </c>
    </row>
    <row r="314" spans="1:10" ht="14.25" hidden="1" customHeight="1" x14ac:dyDescent="0.35">
      <c r="A314" s="30" t="s">
        <v>126</v>
      </c>
      <c r="B314" t="s">
        <v>127</v>
      </c>
      <c r="C314" t="s">
        <v>77</v>
      </c>
      <c r="D314" t="s">
        <v>128</v>
      </c>
      <c r="E314" s="31">
        <v>45896</v>
      </c>
      <c r="F314" t="s">
        <v>72</v>
      </c>
      <c r="G314" s="32" t="str">
        <f t="shared" si="8"/>
        <v>45896|ACRR</v>
      </c>
      <c r="H314" s="32" t="str">
        <f t="shared" si="9"/>
        <v>TREINO|TR|2025|ACRR</v>
      </c>
      <c r="I314" s="32">
        <f>IF(G314="",0,IF(COUNTIF($G$2:G314,G314)=1,1,0))</f>
        <v>1</v>
      </c>
      <c r="J314" s="32">
        <f>IF(H314="",0,IF(COUNTIF($H$2:H314,H314)=1,1,0))</f>
        <v>0</v>
      </c>
    </row>
    <row r="315" spans="1:10" ht="14.25" hidden="1" customHeight="1" x14ac:dyDescent="0.35">
      <c r="A315" s="30" t="s">
        <v>126</v>
      </c>
      <c r="B315" t="s">
        <v>127</v>
      </c>
      <c r="C315" t="s">
        <v>77</v>
      </c>
      <c r="D315" t="s">
        <v>128</v>
      </c>
      <c r="E315" s="31">
        <v>45896</v>
      </c>
      <c r="F315" t="s">
        <v>74</v>
      </c>
      <c r="G315" s="32" t="str">
        <f t="shared" si="8"/>
        <v>45896|ALRR</v>
      </c>
      <c r="H315" s="32" t="str">
        <f t="shared" si="9"/>
        <v>TREINO|TR|2025|ALRR</v>
      </c>
      <c r="I315" s="32">
        <f>IF(G315="",0,IF(COUNTIF($G$2:G315,G315)=1,1,0))</f>
        <v>1</v>
      </c>
      <c r="J315" s="32">
        <f>IF(H315="",0,IF(COUNTIF($H$2:H315,H315)=1,1,0))</f>
        <v>0</v>
      </c>
    </row>
    <row r="316" spans="1:10" ht="14.25" hidden="1" customHeight="1" x14ac:dyDescent="0.35">
      <c r="A316" s="30" t="s">
        <v>126</v>
      </c>
      <c r="B316" t="s">
        <v>127</v>
      </c>
      <c r="C316" t="s">
        <v>77</v>
      </c>
      <c r="D316" t="s">
        <v>128</v>
      </c>
      <c r="E316" s="31">
        <v>45896</v>
      </c>
      <c r="F316" t="s">
        <v>73</v>
      </c>
      <c r="G316" s="32" t="str">
        <f t="shared" si="8"/>
        <v>45896|ALRP</v>
      </c>
      <c r="H316" s="32" t="str">
        <f t="shared" si="9"/>
        <v>TREINO|TR|2025|ALRP</v>
      </c>
      <c r="I316" s="32">
        <f>IF(G316="",0,IF(COUNTIF($G$2:G316,G316)=1,1,0))</f>
        <v>1</v>
      </c>
      <c r="J316" s="32">
        <f>IF(H316="",0,IF(COUNTIF($H$2:H316,H316)=1,1,0))</f>
        <v>0</v>
      </c>
    </row>
    <row r="317" spans="1:10" ht="14.25" hidden="1" customHeight="1" x14ac:dyDescent="0.35">
      <c r="A317" s="30" t="s">
        <v>135</v>
      </c>
      <c r="B317" t="s">
        <v>114</v>
      </c>
      <c r="C317" t="s">
        <v>76</v>
      </c>
      <c r="D317" t="s">
        <v>106</v>
      </c>
      <c r="E317" s="31">
        <v>45910</v>
      </c>
      <c r="F317" t="s">
        <v>71</v>
      </c>
      <c r="G317" s="32" t="str">
        <f t="shared" si="8"/>
        <v>Campeonato Paulista e Brasileiro de Car/Pst/RF 2025|8|FPTE|2025|ACRP</v>
      </c>
      <c r="H317" s="32" t="str">
        <f t="shared" si="9"/>
        <v>Campeonato Paulista e Brasileiro de Car/Pst/RF 2025|FPTE|2025|ACRP</v>
      </c>
      <c r="I317" s="32">
        <f>IF(G317="",0,IF(COUNTIF($G$2:G317,G317)=1,1,0))</f>
        <v>1</v>
      </c>
      <c r="J317" s="32">
        <f>IF(H317="",0,IF(COUNTIF($H$2:H317,H317)=1,1,0))</f>
        <v>0</v>
      </c>
    </row>
    <row r="318" spans="1:10" ht="14.25" hidden="1" customHeight="1" x14ac:dyDescent="0.35">
      <c r="A318" s="30" t="s">
        <v>135</v>
      </c>
      <c r="B318" t="s">
        <v>114</v>
      </c>
      <c r="C318" t="s">
        <v>76</v>
      </c>
      <c r="D318" t="s">
        <v>106</v>
      </c>
      <c r="E318" s="31">
        <v>45910</v>
      </c>
      <c r="F318" t="s">
        <v>72</v>
      </c>
      <c r="G318" s="32" t="str">
        <f t="shared" si="8"/>
        <v>Campeonato Paulista e Brasileiro de Car/Pst/RF 2025|8|FPTE|2025|ACRR</v>
      </c>
      <c r="H318" s="32" t="str">
        <f t="shared" si="9"/>
        <v>Campeonato Paulista e Brasileiro de Car/Pst/RF 2025|FPTE|2025|ACRR</v>
      </c>
      <c r="I318" s="32">
        <f>IF(G318="",0,IF(COUNTIF($G$2:G318,G318)=1,1,0))</f>
        <v>1</v>
      </c>
      <c r="J318" s="32">
        <f>IF(H318="",0,IF(COUNTIF($H$2:H318,H318)=1,1,0))</f>
        <v>0</v>
      </c>
    </row>
    <row r="319" spans="1:10" ht="14.25" hidden="1" customHeight="1" x14ac:dyDescent="0.35">
      <c r="A319" s="30" t="s">
        <v>137</v>
      </c>
      <c r="B319" t="s">
        <v>114</v>
      </c>
      <c r="C319" t="s">
        <v>76</v>
      </c>
      <c r="D319" t="s">
        <v>106</v>
      </c>
      <c r="E319" s="31">
        <v>45910</v>
      </c>
      <c r="F319" t="s">
        <v>73</v>
      </c>
      <c r="G319" s="32" t="str">
        <f t="shared" si="8"/>
        <v>Campeonato Paulista de Fuzil 50 e 20 metros , Baixa Luminosidade e Shotgun 2025|8|FPTE|2025|ALRP</v>
      </c>
      <c r="H319" s="32" t="str">
        <f t="shared" si="9"/>
        <v>Campeonato Paulista de Fuzil 50 e 20 metros , Baixa Luminosidade e Shotgun 2025|FPTE|2025|ALRP</v>
      </c>
      <c r="I319" s="32">
        <f>IF(G319="",0,IF(COUNTIF($G$2:G319,G319)=1,1,0))</f>
        <v>1</v>
      </c>
      <c r="J319" s="32">
        <f>IF(H319="",0,IF(COUNTIF($H$2:H319,H319)=1,1,0))</f>
        <v>0</v>
      </c>
    </row>
    <row r="320" spans="1:10" ht="14.25" hidden="1" customHeight="1" x14ac:dyDescent="0.35">
      <c r="A320" s="30" t="s">
        <v>137</v>
      </c>
      <c r="B320" t="s">
        <v>114</v>
      </c>
      <c r="C320" t="s">
        <v>76</v>
      </c>
      <c r="D320" t="s">
        <v>106</v>
      </c>
      <c r="E320" s="31">
        <v>45910</v>
      </c>
      <c r="F320" t="s">
        <v>74</v>
      </c>
      <c r="G320" s="32" t="str">
        <f t="shared" si="8"/>
        <v>Campeonato Paulista de Fuzil 50 e 20 metros , Baixa Luminosidade e Shotgun 2025|8|FPTE|2025|ALRR</v>
      </c>
      <c r="H320" s="32" t="str">
        <f t="shared" si="9"/>
        <v>Campeonato Paulista de Fuzil 50 e 20 metros , Baixa Luminosidade e Shotgun 2025|FPTE|2025|ALRR</v>
      </c>
      <c r="I320" s="32">
        <f>IF(G320="",0,IF(COUNTIF($G$2:G320,G320)=1,1,0))</f>
        <v>1</v>
      </c>
      <c r="J320" s="32">
        <f>IF(H320="",0,IF(COUNTIF($H$2:H320,H320)=1,1,0))</f>
        <v>0</v>
      </c>
    </row>
    <row r="321" spans="1:10" ht="14.25" hidden="1" customHeight="1" x14ac:dyDescent="0.35">
      <c r="A321" s="30" t="s">
        <v>125</v>
      </c>
      <c r="B321" t="s">
        <v>117</v>
      </c>
      <c r="C321" t="s">
        <v>76</v>
      </c>
      <c r="D321" t="s">
        <v>106</v>
      </c>
      <c r="E321" s="31">
        <v>45910</v>
      </c>
      <c r="F321" t="s">
        <v>72</v>
      </c>
      <c r="G321" s="32" t="str">
        <f t="shared" si="8"/>
        <v>Paulista e Nacional Light|9|FPTE|2025|ACRR</v>
      </c>
      <c r="H321" s="32" t="str">
        <f t="shared" si="9"/>
        <v>Paulista e Nacional Light|FPTE|2025|ACRR</v>
      </c>
      <c r="I321" s="32">
        <f>IF(G321="",0,IF(COUNTIF($G$2:G321,G321)=1,1,0))</f>
        <v>1</v>
      </c>
      <c r="J321" s="32">
        <f>IF(H321="",0,IF(COUNTIF($H$2:H321,H321)=1,1,0))</f>
        <v>0</v>
      </c>
    </row>
    <row r="322" spans="1:10" ht="14.25" hidden="1" customHeight="1" x14ac:dyDescent="0.35">
      <c r="A322" s="30" t="s">
        <v>125</v>
      </c>
      <c r="B322" t="s">
        <v>117</v>
      </c>
      <c r="C322" t="s">
        <v>76</v>
      </c>
      <c r="D322" t="s">
        <v>106</v>
      </c>
      <c r="E322" s="31">
        <v>45910</v>
      </c>
      <c r="F322" t="s">
        <v>74</v>
      </c>
      <c r="G322" s="32" t="str">
        <f t="shared" ref="G322:G385" si="10">IF(D322="T",
E322&amp;"|"&amp;F322,
A322&amp;"|"&amp;B322&amp;"|"&amp;C322&amp;"|"&amp;YEAR(E322)&amp;"|"&amp;F322)</f>
        <v>Paulista e Nacional Light|9|FPTE|2025|ALRR</v>
      </c>
      <c r="H322" s="32" t="str">
        <f t="shared" ref="H322:H385" si="11">A322&amp;"|"&amp;C322&amp;"|"&amp;YEAR(E322)&amp;"|"&amp;F322</f>
        <v>Paulista e Nacional Light|FPTE|2025|ALRR</v>
      </c>
      <c r="I322" s="32">
        <f>IF(G322="",0,IF(COUNTIF($G$2:G322,G322)=1,1,0))</f>
        <v>1</v>
      </c>
      <c r="J322" s="32">
        <f>IF(H322="",0,IF(COUNTIF($H$2:H322,H322)=1,1,0))</f>
        <v>0</v>
      </c>
    </row>
    <row r="323" spans="1:10" ht="14.25" hidden="1" customHeight="1" x14ac:dyDescent="0.35">
      <c r="A323" s="30" t="s">
        <v>125</v>
      </c>
      <c r="B323" t="s">
        <v>117</v>
      </c>
      <c r="C323" t="s">
        <v>76</v>
      </c>
      <c r="D323" t="s">
        <v>106</v>
      </c>
      <c r="E323" s="31">
        <v>45910</v>
      </c>
      <c r="F323" t="s">
        <v>73</v>
      </c>
      <c r="G323" s="32" t="str">
        <f t="shared" si="10"/>
        <v>Paulista e Nacional Light|9|FPTE|2025|ALRP</v>
      </c>
      <c r="H323" s="32" t="str">
        <f t="shared" si="11"/>
        <v>Paulista e Nacional Light|FPTE|2025|ALRP</v>
      </c>
      <c r="I323" s="32">
        <f>IF(G323="",0,IF(COUNTIF($G$2:G323,G323)=1,1,0))</f>
        <v>1</v>
      </c>
      <c r="J323" s="32">
        <f>IF(H323="",0,IF(COUNTIF($H$2:H323,H323)=1,1,0))</f>
        <v>0</v>
      </c>
    </row>
    <row r="324" spans="1:10" ht="14.25" hidden="1" customHeight="1" x14ac:dyDescent="0.35">
      <c r="A324" s="30" t="s">
        <v>126</v>
      </c>
      <c r="B324" t="s">
        <v>127</v>
      </c>
      <c r="C324" t="s">
        <v>77</v>
      </c>
      <c r="D324" t="s">
        <v>128</v>
      </c>
      <c r="E324" s="31">
        <v>45910</v>
      </c>
      <c r="F324" t="s">
        <v>71</v>
      </c>
      <c r="G324" s="32" t="str">
        <f t="shared" si="10"/>
        <v>45910|ACRP</v>
      </c>
      <c r="H324" s="32" t="str">
        <f t="shared" si="11"/>
        <v>TREINO|TR|2025|ACRP</v>
      </c>
      <c r="I324" s="32">
        <f>IF(G324="",0,IF(COUNTIF($G$2:G324,G324)=1,1,0))</f>
        <v>1</v>
      </c>
      <c r="J324" s="32">
        <f>IF(H324="",0,IF(COUNTIF($H$2:H324,H324)=1,1,0))</f>
        <v>0</v>
      </c>
    </row>
    <row r="325" spans="1:10" ht="14.25" hidden="1" customHeight="1" x14ac:dyDescent="0.35">
      <c r="A325" s="30" t="s">
        <v>126</v>
      </c>
      <c r="B325" t="s">
        <v>127</v>
      </c>
      <c r="C325" t="s">
        <v>77</v>
      </c>
      <c r="D325" t="s">
        <v>128</v>
      </c>
      <c r="E325" s="31">
        <v>45910</v>
      </c>
      <c r="F325" t="s">
        <v>72</v>
      </c>
      <c r="G325" s="32" t="str">
        <f t="shared" si="10"/>
        <v>45910|ACRR</v>
      </c>
      <c r="H325" s="32" t="str">
        <f t="shared" si="11"/>
        <v>TREINO|TR|2025|ACRR</v>
      </c>
      <c r="I325" s="32">
        <f>IF(G325="",0,IF(COUNTIF($G$2:G325,G325)=1,1,0))</f>
        <v>1</v>
      </c>
      <c r="J325" s="32">
        <f>IF(H325="",0,IF(COUNTIF($H$2:H325,H325)=1,1,0))</f>
        <v>0</v>
      </c>
    </row>
    <row r="326" spans="1:10" ht="14.25" hidden="1" customHeight="1" x14ac:dyDescent="0.35">
      <c r="A326" s="30" t="s">
        <v>126</v>
      </c>
      <c r="B326" t="s">
        <v>127</v>
      </c>
      <c r="C326" t="s">
        <v>77</v>
      </c>
      <c r="D326" t="s">
        <v>128</v>
      </c>
      <c r="E326" s="31">
        <v>45910</v>
      </c>
      <c r="F326" t="s">
        <v>73</v>
      </c>
      <c r="G326" s="32" t="str">
        <f t="shared" si="10"/>
        <v>45910|ALRP</v>
      </c>
      <c r="H326" s="32" t="str">
        <f t="shared" si="11"/>
        <v>TREINO|TR|2025|ALRP</v>
      </c>
      <c r="I326" s="32">
        <f>IF(G326="",0,IF(COUNTIF($G$2:G326,G326)=1,1,0))</f>
        <v>1</v>
      </c>
      <c r="J326" s="32">
        <f>IF(H326="",0,IF(COUNTIF($H$2:H326,H326)=1,1,0))</f>
        <v>0</v>
      </c>
    </row>
    <row r="327" spans="1:10" ht="14.25" hidden="1" customHeight="1" x14ac:dyDescent="0.35">
      <c r="A327" s="30" t="s">
        <v>126</v>
      </c>
      <c r="B327" t="s">
        <v>127</v>
      </c>
      <c r="C327" t="s">
        <v>77</v>
      </c>
      <c r="D327" t="s">
        <v>128</v>
      </c>
      <c r="E327" s="31">
        <v>45910</v>
      </c>
      <c r="F327" t="s">
        <v>74</v>
      </c>
      <c r="G327" s="32" t="str">
        <f t="shared" si="10"/>
        <v>45910|ALRR</v>
      </c>
      <c r="H327" s="32" t="str">
        <f t="shared" si="11"/>
        <v>TREINO|TR|2025|ALRR</v>
      </c>
      <c r="I327" s="32">
        <f>IF(G327="",0,IF(COUNTIF($G$2:G327,G327)=1,1,0))</f>
        <v>1</v>
      </c>
      <c r="J327" s="32">
        <f>IF(H327="",0,IF(COUNTIF($H$2:H327,H327)=1,1,0))</f>
        <v>0</v>
      </c>
    </row>
    <row r="328" spans="1:10" ht="14.25" hidden="1" customHeight="1" x14ac:dyDescent="0.35">
      <c r="A328" s="30" t="s">
        <v>130</v>
      </c>
      <c r="B328" t="s">
        <v>114</v>
      </c>
      <c r="C328" t="s">
        <v>79</v>
      </c>
      <c r="D328" t="s">
        <v>115</v>
      </c>
      <c r="E328" s="31">
        <v>45910</v>
      </c>
      <c r="F328" t="s">
        <v>71</v>
      </c>
      <c r="G328" s="32" t="str">
        <f t="shared" si="10"/>
        <v>COPA BRASIL DE TIRO DESPORTIVO|8|Linade|2025|ACRP</v>
      </c>
      <c r="H328" s="32" t="str">
        <f t="shared" si="11"/>
        <v>COPA BRASIL DE TIRO DESPORTIVO|Linade|2025|ACRP</v>
      </c>
      <c r="I328" s="32">
        <f>IF(G328="",0,IF(COUNTIF($G$2:G328,G328)=1,1,0))</f>
        <v>1</v>
      </c>
      <c r="J328" s="32">
        <f>IF(H328="",0,IF(COUNTIF($H$2:H328,H328)=1,1,0))</f>
        <v>0</v>
      </c>
    </row>
    <row r="329" spans="1:10" ht="14.25" hidden="1" customHeight="1" x14ac:dyDescent="0.35">
      <c r="A329" s="30" t="s">
        <v>130</v>
      </c>
      <c r="B329" t="s">
        <v>114</v>
      </c>
      <c r="C329" t="s">
        <v>79</v>
      </c>
      <c r="D329" t="s">
        <v>115</v>
      </c>
      <c r="E329" s="31">
        <v>45910</v>
      </c>
      <c r="F329" t="s">
        <v>72</v>
      </c>
      <c r="G329" s="32" t="str">
        <f t="shared" si="10"/>
        <v>COPA BRASIL DE TIRO DESPORTIVO|8|Linade|2025|ACRR</v>
      </c>
      <c r="H329" s="32" t="str">
        <f t="shared" si="11"/>
        <v>COPA BRASIL DE TIRO DESPORTIVO|Linade|2025|ACRR</v>
      </c>
      <c r="I329" s="32">
        <f>IF(G329="",0,IF(COUNTIF($G$2:G329,G329)=1,1,0))</f>
        <v>1</v>
      </c>
      <c r="J329" s="32">
        <f>IF(H329="",0,IF(COUNTIF($H$2:H329,H329)=1,1,0))</f>
        <v>0</v>
      </c>
    </row>
    <row r="330" spans="1:10" ht="14.25" hidden="1" customHeight="1" x14ac:dyDescent="0.35">
      <c r="A330" s="30" t="s">
        <v>130</v>
      </c>
      <c r="B330" t="s">
        <v>114</v>
      </c>
      <c r="C330" t="s">
        <v>79</v>
      </c>
      <c r="D330" t="s">
        <v>115</v>
      </c>
      <c r="E330" s="31">
        <v>45910</v>
      </c>
      <c r="F330" t="s">
        <v>74</v>
      </c>
      <c r="G330" s="32" t="str">
        <f t="shared" si="10"/>
        <v>COPA BRASIL DE TIRO DESPORTIVO|8|Linade|2025|ALRR</v>
      </c>
      <c r="H330" s="32" t="str">
        <f t="shared" si="11"/>
        <v>COPA BRASIL DE TIRO DESPORTIVO|Linade|2025|ALRR</v>
      </c>
      <c r="I330" s="32">
        <f>IF(G330="",0,IF(COUNTIF($G$2:G330,G330)=1,1,0))</f>
        <v>1</v>
      </c>
      <c r="J330" s="32">
        <f>IF(H330="",0,IF(COUNTIF($H$2:H330,H330)=1,1,0))</f>
        <v>0</v>
      </c>
    </row>
    <row r="331" spans="1:10" ht="14.25" hidden="1" customHeight="1" x14ac:dyDescent="0.35">
      <c r="A331" s="30" t="s">
        <v>130</v>
      </c>
      <c r="B331" t="s">
        <v>114</v>
      </c>
      <c r="C331" t="s">
        <v>79</v>
      </c>
      <c r="D331" t="s">
        <v>115</v>
      </c>
      <c r="E331" s="31">
        <v>45910</v>
      </c>
      <c r="F331" t="s">
        <v>73</v>
      </c>
      <c r="G331" s="32" t="str">
        <f t="shared" si="10"/>
        <v>COPA BRASIL DE TIRO DESPORTIVO|8|Linade|2025|ALRP</v>
      </c>
      <c r="H331" s="32" t="str">
        <f t="shared" si="11"/>
        <v>COPA BRASIL DE TIRO DESPORTIVO|Linade|2025|ALRP</v>
      </c>
      <c r="I331" s="32">
        <f>IF(G331="",0,IF(COUNTIF($G$2:G331,G331)=1,1,0))</f>
        <v>1</v>
      </c>
      <c r="J331" s="32">
        <f>IF(H331="",0,IF(COUNTIF($H$2:H331,H331)=1,1,0))</f>
        <v>0</v>
      </c>
    </row>
    <row r="332" spans="1:10" ht="14.25" hidden="1" customHeight="1" x14ac:dyDescent="0.35">
      <c r="A332" s="30" t="s">
        <v>133</v>
      </c>
      <c r="B332" t="s">
        <v>114</v>
      </c>
      <c r="C332" t="s">
        <v>79</v>
      </c>
      <c r="D332" t="s">
        <v>115</v>
      </c>
      <c r="E332" s="31">
        <v>45910</v>
      </c>
      <c r="F332" s="7" t="s">
        <v>71</v>
      </c>
      <c r="G332" s="32" t="str">
        <f t="shared" si="10"/>
        <v>CAMPEONATO NACIONAL DE TIRO DESPORTIVO|8|Linade|2025|ACRP</v>
      </c>
      <c r="H332" s="32" t="str">
        <f t="shared" si="11"/>
        <v>CAMPEONATO NACIONAL DE TIRO DESPORTIVO|Linade|2025|ACRP</v>
      </c>
      <c r="I332" s="32">
        <f>IF(G332="",0,IF(COUNTIF($G$2:G332,G332)=1,1,0))</f>
        <v>1</v>
      </c>
      <c r="J332" s="32">
        <f>IF(H332="",0,IF(COUNTIF($H$2:H332,H332)=1,1,0))</f>
        <v>0</v>
      </c>
    </row>
    <row r="333" spans="1:10" ht="14.25" hidden="1" customHeight="1" x14ac:dyDescent="0.35">
      <c r="A333" s="30" t="s">
        <v>130</v>
      </c>
      <c r="B333" t="s">
        <v>114</v>
      </c>
      <c r="C333" t="s">
        <v>79</v>
      </c>
      <c r="D333" t="s">
        <v>115</v>
      </c>
      <c r="E333" s="31">
        <v>45910</v>
      </c>
      <c r="F333" s="7" t="s">
        <v>71</v>
      </c>
      <c r="G333" s="32" t="str">
        <f t="shared" si="10"/>
        <v>COPA BRASIL DE TIRO DESPORTIVO|8|Linade|2025|ACRP</v>
      </c>
      <c r="H333" s="32" t="str">
        <f t="shared" si="11"/>
        <v>COPA BRASIL DE TIRO DESPORTIVO|Linade|2025|ACRP</v>
      </c>
      <c r="I333" s="32">
        <f>IF(G333="",0,IF(COUNTIF($G$2:G333,G333)=1,1,0))</f>
        <v>0</v>
      </c>
      <c r="J333" s="32">
        <f>IF(H333="",0,IF(COUNTIF($H$2:H333,H333)=1,1,0))</f>
        <v>0</v>
      </c>
    </row>
    <row r="334" spans="1:10" ht="14.25" hidden="1" customHeight="1" x14ac:dyDescent="0.35">
      <c r="A334" s="30" t="s">
        <v>130</v>
      </c>
      <c r="B334" t="s">
        <v>114</v>
      </c>
      <c r="C334" t="s">
        <v>79</v>
      </c>
      <c r="D334" t="s">
        <v>115</v>
      </c>
      <c r="E334" s="31">
        <v>45910</v>
      </c>
      <c r="F334" s="7" t="s">
        <v>72</v>
      </c>
      <c r="G334" s="32" t="str">
        <f t="shared" si="10"/>
        <v>COPA BRASIL DE TIRO DESPORTIVO|8|Linade|2025|ACRR</v>
      </c>
      <c r="H334" s="32" t="str">
        <f t="shared" si="11"/>
        <v>COPA BRASIL DE TIRO DESPORTIVO|Linade|2025|ACRR</v>
      </c>
      <c r="I334" s="32">
        <f>IF(G334="",0,IF(COUNTIF($G$2:G334,G334)=1,1,0))</f>
        <v>0</v>
      </c>
      <c r="J334" s="32">
        <f>IF(H334="",0,IF(COUNTIF($H$2:H334,H334)=1,1,0))</f>
        <v>0</v>
      </c>
    </row>
    <row r="335" spans="1:10" ht="14.25" hidden="1" customHeight="1" x14ac:dyDescent="0.35">
      <c r="A335" s="30" t="s">
        <v>133</v>
      </c>
      <c r="B335" t="s">
        <v>114</v>
      </c>
      <c r="C335" t="s">
        <v>79</v>
      </c>
      <c r="D335" t="s">
        <v>115</v>
      </c>
      <c r="E335" s="31">
        <v>45910</v>
      </c>
      <c r="F335" s="7" t="s">
        <v>72</v>
      </c>
      <c r="G335" s="32" t="str">
        <f t="shared" si="10"/>
        <v>CAMPEONATO NACIONAL DE TIRO DESPORTIVO|8|Linade|2025|ACRR</v>
      </c>
      <c r="H335" s="32" t="str">
        <f t="shared" si="11"/>
        <v>CAMPEONATO NACIONAL DE TIRO DESPORTIVO|Linade|2025|ACRR</v>
      </c>
      <c r="I335" s="32">
        <f>IF(G335="",0,IF(COUNTIF($G$2:G335,G335)=1,1,0))</f>
        <v>1</v>
      </c>
      <c r="J335" s="32">
        <f>IF(H335="",0,IF(COUNTIF($H$2:H335,H335)=1,1,0))</f>
        <v>0</v>
      </c>
    </row>
    <row r="336" spans="1:10" ht="14.25" hidden="1" customHeight="1" x14ac:dyDescent="0.35">
      <c r="A336" s="30" t="s">
        <v>133</v>
      </c>
      <c r="B336" t="s">
        <v>114</v>
      </c>
      <c r="C336" t="s">
        <v>79</v>
      </c>
      <c r="D336" t="s">
        <v>115</v>
      </c>
      <c r="E336" s="31">
        <v>45910</v>
      </c>
      <c r="F336" t="s">
        <v>73</v>
      </c>
      <c r="G336" s="32" t="str">
        <f t="shared" si="10"/>
        <v>CAMPEONATO NACIONAL DE TIRO DESPORTIVO|8|Linade|2025|ALRP</v>
      </c>
      <c r="H336" s="32" t="str">
        <f t="shared" si="11"/>
        <v>CAMPEONATO NACIONAL DE TIRO DESPORTIVO|Linade|2025|ALRP</v>
      </c>
      <c r="I336" s="32">
        <f>IF(G336="",0,IF(COUNTIF($G$2:G336,G336)=1,1,0))</f>
        <v>1</v>
      </c>
      <c r="J336" s="32">
        <f>IF(H336="",0,IF(COUNTIF($H$2:H336,H336)=1,1,0))</f>
        <v>0</v>
      </c>
    </row>
    <row r="337" spans="1:10" ht="14.25" hidden="1" customHeight="1" x14ac:dyDescent="0.35">
      <c r="A337" s="30" t="s">
        <v>130</v>
      </c>
      <c r="B337" t="s">
        <v>114</v>
      </c>
      <c r="C337" t="s">
        <v>79</v>
      </c>
      <c r="D337" t="s">
        <v>115</v>
      </c>
      <c r="E337" s="31">
        <v>45910</v>
      </c>
      <c r="F337" t="s">
        <v>73</v>
      </c>
      <c r="G337" s="32" t="str">
        <f t="shared" si="10"/>
        <v>COPA BRASIL DE TIRO DESPORTIVO|8|Linade|2025|ALRP</v>
      </c>
      <c r="H337" s="32" t="str">
        <f t="shared" si="11"/>
        <v>COPA BRASIL DE TIRO DESPORTIVO|Linade|2025|ALRP</v>
      </c>
      <c r="I337" s="32">
        <f>IF(G337="",0,IF(COUNTIF($G$2:G337,G337)=1,1,0))</f>
        <v>0</v>
      </c>
      <c r="J337" s="32">
        <f>IF(H337="",0,IF(COUNTIF($H$2:H337,H337)=1,1,0))</f>
        <v>0</v>
      </c>
    </row>
    <row r="338" spans="1:10" ht="14.25" hidden="1" customHeight="1" x14ac:dyDescent="0.35">
      <c r="A338" s="30" t="s">
        <v>124</v>
      </c>
      <c r="B338" t="s">
        <v>117</v>
      </c>
      <c r="C338" t="s">
        <v>78</v>
      </c>
      <c r="D338" t="s">
        <v>115</v>
      </c>
      <c r="E338" s="31">
        <v>45910</v>
      </c>
      <c r="F338" s="7" t="s">
        <v>72</v>
      </c>
      <c r="G338" s="32" t="str">
        <f t="shared" si="10"/>
        <v>NACIONAL LIGHT|9|CBTE|2025|ACRR</v>
      </c>
      <c r="H338" s="32" t="str">
        <f t="shared" si="11"/>
        <v>NACIONAL LIGHT|CBTE|2025|ACRR</v>
      </c>
      <c r="I338" s="32">
        <f>IF(G338="",0,IF(COUNTIF($G$2:G338,G338)=1,1,0))</f>
        <v>1</v>
      </c>
      <c r="J338" s="32">
        <f>IF(H338="",0,IF(COUNTIF($H$2:H338,H338)=1,1,0))</f>
        <v>0</v>
      </c>
    </row>
    <row r="339" spans="1:10" ht="14.25" hidden="1" customHeight="1" x14ac:dyDescent="0.35">
      <c r="A339" s="30" t="s">
        <v>124</v>
      </c>
      <c r="B339" t="s">
        <v>117</v>
      </c>
      <c r="C339" t="s">
        <v>78</v>
      </c>
      <c r="D339" t="s">
        <v>115</v>
      </c>
      <c r="E339" s="31">
        <v>45910</v>
      </c>
      <c r="F339" s="7" t="s">
        <v>72</v>
      </c>
      <c r="G339" s="32" t="str">
        <f t="shared" si="10"/>
        <v>NACIONAL LIGHT|9|CBTE|2025|ACRR</v>
      </c>
      <c r="H339" s="32" t="str">
        <f t="shared" si="11"/>
        <v>NACIONAL LIGHT|CBTE|2025|ACRR</v>
      </c>
      <c r="I339" s="32">
        <f>IF(G339="",0,IF(COUNTIF($G$2:G339,G339)=1,1,0))</f>
        <v>0</v>
      </c>
      <c r="J339" s="32">
        <f>IF(H339="",0,IF(COUNTIF($H$2:H339,H339)=1,1,0))</f>
        <v>0</v>
      </c>
    </row>
    <row r="340" spans="1:10" ht="14.25" hidden="1" customHeight="1" x14ac:dyDescent="0.35">
      <c r="A340" s="30" t="s">
        <v>124</v>
      </c>
      <c r="B340" t="s">
        <v>117</v>
      </c>
      <c r="C340" t="s">
        <v>78</v>
      </c>
      <c r="D340" t="s">
        <v>115</v>
      </c>
      <c r="E340" s="31">
        <v>45910</v>
      </c>
      <c r="F340" t="s">
        <v>71</v>
      </c>
      <c r="G340" s="32" t="str">
        <f t="shared" si="10"/>
        <v>NACIONAL LIGHT|9|CBTE|2025|ACRP</v>
      </c>
      <c r="H340" s="32" t="str">
        <f t="shared" si="11"/>
        <v>NACIONAL LIGHT|CBTE|2025|ACRP</v>
      </c>
      <c r="I340" s="32">
        <f>IF(G340="",0,IF(COUNTIF($G$2:G340,G340)=1,1,0))</f>
        <v>1</v>
      </c>
      <c r="J340" s="32">
        <f>IF(H340="",0,IF(COUNTIF($H$2:H340,H340)=1,1,0))</f>
        <v>0</v>
      </c>
    </row>
    <row r="341" spans="1:10" ht="14.25" hidden="1" customHeight="1" x14ac:dyDescent="0.35">
      <c r="A341" s="30" t="s">
        <v>124</v>
      </c>
      <c r="B341" t="s">
        <v>117</v>
      </c>
      <c r="C341" t="s">
        <v>78</v>
      </c>
      <c r="D341" t="s">
        <v>115</v>
      </c>
      <c r="E341" s="31">
        <v>45910</v>
      </c>
      <c r="F341" t="s">
        <v>74</v>
      </c>
      <c r="G341" s="32" t="str">
        <f t="shared" si="10"/>
        <v>NACIONAL LIGHT|9|CBTE|2025|ALRR</v>
      </c>
      <c r="H341" s="32" t="str">
        <f t="shared" si="11"/>
        <v>NACIONAL LIGHT|CBTE|2025|ALRR</v>
      </c>
      <c r="I341" s="32">
        <f>IF(G341="",0,IF(COUNTIF($G$2:G341,G341)=1,1,0))</f>
        <v>1</v>
      </c>
      <c r="J341" s="32">
        <f>IF(H341="",0,IF(COUNTIF($H$2:H341,H341)=1,1,0))</f>
        <v>0</v>
      </c>
    </row>
    <row r="342" spans="1:10" ht="14.25" hidden="1" customHeight="1" x14ac:dyDescent="0.35">
      <c r="A342" s="30" t="s">
        <v>136</v>
      </c>
      <c r="B342" t="s">
        <v>114</v>
      </c>
      <c r="C342" t="s">
        <v>78</v>
      </c>
      <c r="D342" t="s">
        <v>115</v>
      </c>
      <c r="E342" s="31">
        <v>45910</v>
      </c>
      <c r="F342" t="s">
        <v>72</v>
      </c>
      <c r="G342" s="32" t="str">
        <f t="shared" si="10"/>
        <v>CAMPEONATO BRASILEIRO DE CAR/PST/RF 2025|8|CBTE|2025|ACRR</v>
      </c>
      <c r="H342" s="32" t="str">
        <f t="shared" si="11"/>
        <v>CAMPEONATO BRASILEIRO DE CAR/PST/RF 2025|CBTE|2025|ACRR</v>
      </c>
      <c r="I342" s="32">
        <f>IF(G342="",0,IF(COUNTIF($G$2:G342,G342)=1,1,0))</f>
        <v>1</v>
      </c>
      <c r="J342" s="32">
        <f>IF(H342="",0,IF(COUNTIF($H$2:H342,H342)=1,1,0))</f>
        <v>0</v>
      </c>
    </row>
    <row r="343" spans="1:10" ht="14.25" hidden="1" customHeight="1" x14ac:dyDescent="0.35">
      <c r="A343" s="30" t="s">
        <v>136</v>
      </c>
      <c r="B343" t="s">
        <v>114</v>
      </c>
      <c r="C343" t="s">
        <v>78</v>
      </c>
      <c r="D343" t="s">
        <v>115</v>
      </c>
      <c r="E343" s="31">
        <v>45910</v>
      </c>
      <c r="F343" t="s">
        <v>71</v>
      </c>
      <c r="G343" s="32" t="str">
        <f t="shared" si="10"/>
        <v>CAMPEONATO BRASILEIRO DE CAR/PST/RF 2025|8|CBTE|2025|ACRP</v>
      </c>
      <c r="H343" s="32" t="str">
        <f t="shared" si="11"/>
        <v>CAMPEONATO BRASILEIRO DE CAR/PST/RF 2025|CBTE|2025|ACRP</v>
      </c>
      <c r="I343" s="32">
        <f>IF(G343="",0,IF(COUNTIF($G$2:G343,G343)=1,1,0))</f>
        <v>1</v>
      </c>
      <c r="J343" s="32">
        <f>IF(H343="",0,IF(COUNTIF($H$2:H343,H343)=1,1,0))</f>
        <v>0</v>
      </c>
    </row>
    <row r="344" spans="1:10" ht="14.25" hidden="1" customHeight="1" x14ac:dyDescent="0.35">
      <c r="A344" s="30" t="s">
        <v>134</v>
      </c>
      <c r="B344" t="s">
        <v>112</v>
      </c>
      <c r="C344" t="s">
        <v>83</v>
      </c>
      <c r="D344" t="s">
        <v>115</v>
      </c>
      <c r="E344" s="31">
        <v>45910</v>
      </c>
      <c r="F344" s="7" t="s">
        <v>72</v>
      </c>
      <c r="G344" s="32" t="str">
        <f t="shared" si="10"/>
        <v>MÃO DE AÇO|7|Wargame|2025|ACRR</v>
      </c>
      <c r="H344" s="32" t="str">
        <f t="shared" si="11"/>
        <v>MÃO DE AÇO|Wargame|2025|ACRR</v>
      </c>
      <c r="I344" s="32">
        <f>IF(G344="",0,IF(COUNTIF($G$2:G344,G344)=1,1,0))</f>
        <v>1</v>
      </c>
      <c r="J344" s="32">
        <f>IF(H344="",0,IF(COUNTIF($H$2:H344,H344)=1,1,0))</f>
        <v>0</v>
      </c>
    </row>
    <row r="345" spans="1:10" ht="14.25" hidden="1" customHeight="1" x14ac:dyDescent="0.35">
      <c r="A345" s="30" t="s">
        <v>134</v>
      </c>
      <c r="B345" t="s">
        <v>112</v>
      </c>
      <c r="C345" t="s">
        <v>83</v>
      </c>
      <c r="D345" t="s">
        <v>115</v>
      </c>
      <c r="E345" s="31">
        <v>45910</v>
      </c>
      <c r="F345" s="7" t="s">
        <v>71</v>
      </c>
      <c r="G345" s="32" t="str">
        <f t="shared" si="10"/>
        <v>MÃO DE AÇO|7|Wargame|2025|ACRP</v>
      </c>
      <c r="H345" s="32" t="str">
        <f t="shared" si="11"/>
        <v>MÃO DE AÇO|Wargame|2025|ACRP</v>
      </c>
      <c r="I345" s="32">
        <f>IF(G345="",0,IF(COUNTIF($G$2:G345,G345)=1,1,0))</f>
        <v>1</v>
      </c>
      <c r="J345" s="32">
        <f>IF(H345="",0,IF(COUNTIF($H$2:H345,H345)=1,1,0))</f>
        <v>0</v>
      </c>
    </row>
    <row r="346" spans="1:10" ht="14.25" hidden="1" customHeight="1" x14ac:dyDescent="0.35">
      <c r="A346" s="30" t="s">
        <v>134</v>
      </c>
      <c r="B346" t="s">
        <v>112</v>
      </c>
      <c r="C346" t="s">
        <v>83</v>
      </c>
      <c r="D346" t="s">
        <v>115</v>
      </c>
      <c r="E346" s="31">
        <v>45910</v>
      </c>
      <c r="F346" s="7" t="s">
        <v>74</v>
      </c>
      <c r="G346" s="32" t="str">
        <f t="shared" si="10"/>
        <v>MÃO DE AÇO|7|Wargame|2025|ALRR</v>
      </c>
      <c r="H346" s="32" t="str">
        <f t="shared" si="11"/>
        <v>MÃO DE AÇO|Wargame|2025|ALRR</v>
      </c>
      <c r="I346" s="32">
        <f>IF(G346="",0,IF(COUNTIF($G$2:G346,G346)=1,1,0))</f>
        <v>1</v>
      </c>
      <c r="J346" s="32">
        <f>IF(H346="",0,IF(COUNTIF($H$2:H346,H346)=1,1,0))</f>
        <v>1</v>
      </c>
    </row>
    <row r="347" spans="1:10" ht="14.25" hidden="1" customHeight="1" x14ac:dyDescent="0.35">
      <c r="A347" s="30" t="s">
        <v>134</v>
      </c>
      <c r="B347" t="s">
        <v>112</v>
      </c>
      <c r="C347" t="s">
        <v>83</v>
      </c>
      <c r="D347" t="s">
        <v>115</v>
      </c>
      <c r="E347" s="31">
        <v>45910</v>
      </c>
      <c r="F347" s="7" t="s">
        <v>73</v>
      </c>
      <c r="G347" s="32" t="str">
        <f t="shared" si="10"/>
        <v>MÃO DE AÇO|7|Wargame|2025|ALRP</v>
      </c>
      <c r="H347" s="32" t="str">
        <f t="shared" si="11"/>
        <v>MÃO DE AÇO|Wargame|2025|ALRP</v>
      </c>
      <c r="I347" s="32">
        <f>IF(G347="",0,IF(COUNTIF($G$2:G347,G347)=1,1,0))</f>
        <v>1</v>
      </c>
      <c r="J347" s="32">
        <f>IF(H347="",0,IF(COUNTIF($H$2:H347,H347)=1,1,0))</f>
        <v>1</v>
      </c>
    </row>
    <row r="348" spans="1:10" ht="14.25" hidden="1" customHeight="1" x14ac:dyDescent="0.35">
      <c r="A348" s="30" t="s">
        <v>125</v>
      </c>
      <c r="B348" t="s">
        <v>117</v>
      </c>
      <c r="C348" t="s">
        <v>76</v>
      </c>
      <c r="D348" t="s">
        <v>106</v>
      </c>
      <c r="E348" s="31">
        <v>45930</v>
      </c>
      <c r="F348" t="s">
        <v>71</v>
      </c>
      <c r="G348" s="32" t="str">
        <f t="shared" si="10"/>
        <v>Paulista e Nacional Light|9|FPTE|2025|ACRP</v>
      </c>
      <c r="H348" s="32" t="str">
        <f t="shared" si="11"/>
        <v>Paulista e Nacional Light|FPTE|2025|ACRP</v>
      </c>
      <c r="I348" s="32">
        <f>IF(G348="",0,IF(COUNTIF($G$2:G348,G348)=1,1,0))</f>
        <v>1</v>
      </c>
      <c r="J348" s="32">
        <f>IF(H348="",0,IF(COUNTIF($H$2:H348,H348)=1,1,0))</f>
        <v>0</v>
      </c>
    </row>
    <row r="349" spans="1:10" ht="14.25" hidden="1" customHeight="1" x14ac:dyDescent="0.35">
      <c r="A349" s="30" t="s">
        <v>125</v>
      </c>
      <c r="B349" t="s">
        <v>117</v>
      </c>
      <c r="C349" t="s">
        <v>76</v>
      </c>
      <c r="D349" t="s">
        <v>106</v>
      </c>
      <c r="E349" s="31">
        <v>45930</v>
      </c>
      <c r="F349" t="s">
        <v>73</v>
      </c>
      <c r="G349" s="32" t="str">
        <f t="shared" si="10"/>
        <v>Paulista e Nacional Light|9|FPTE|2025|ALRP</v>
      </c>
      <c r="H349" s="32" t="str">
        <f t="shared" si="11"/>
        <v>Paulista e Nacional Light|FPTE|2025|ALRP</v>
      </c>
      <c r="I349" s="32">
        <f>IF(G349="",0,IF(COUNTIF($G$2:G349,G349)=1,1,0))</f>
        <v>0</v>
      </c>
      <c r="J349" s="32">
        <f>IF(H349="",0,IF(COUNTIF($H$2:H349,H349)=1,1,0))</f>
        <v>0</v>
      </c>
    </row>
    <row r="350" spans="1:10" ht="14.25" hidden="1" customHeight="1" x14ac:dyDescent="0.35">
      <c r="A350" s="30" t="s">
        <v>126</v>
      </c>
      <c r="B350" t="s">
        <v>127</v>
      </c>
      <c r="C350" t="s">
        <v>77</v>
      </c>
      <c r="D350" t="s">
        <v>128</v>
      </c>
      <c r="E350" s="31">
        <v>45937</v>
      </c>
      <c r="F350" t="s">
        <v>73</v>
      </c>
      <c r="G350" s="32" t="str">
        <f t="shared" si="10"/>
        <v>45937|ALRP</v>
      </c>
      <c r="H350" s="32" t="str">
        <f t="shared" si="11"/>
        <v>TREINO|TR|2025|ALRP</v>
      </c>
      <c r="I350" s="32">
        <f>IF(G350="",0,IF(COUNTIF($G$2:G350,G350)=1,1,0))</f>
        <v>1</v>
      </c>
      <c r="J350" s="32">
        <f>IF(H350="",0,IF(COUNTIF($H$2:H350,H350)=1,1,0))</f>
        <v>0</v>
      </c>
    </row>
    <row r="351" spans="1:10" ht="14.25" hidden="1" customHeight="1" x14ac:dyDescent="0.35">
      <c r="A351" s="30" t="s">
        <v>126</v>
      </c>
      <c r="B351" t="s">
        <v>127</v>
      </c>
      <c r="C351" t="s">
        <v>77</v>
      </c>
      <c r="D351" t="s">
        <v>128</v>
      </c>
      <c r="E351" s="31">
        <v>45937</v>
      </c>
      <c r="F351" s="7" t="s">
        <v>72</v>
      </c>
      <c r="G351" s="32" t="str">
        <f t="shared" si="10"/>
        <v>45937|ACRR</v>
      </c>
      <c r="H351" s="32" t="str">
        <f t="shared" si="11"/>
        <v>TREINO|TR|2025|ACRR</v>
      </c>
      <c r="I351" s="32">
        <f>IF(G351="",0,IF(COUNTIF($G$2:G351,G351)=1,1,0))</f>
        <v>1</v>
      </c>
      <c r="J351" s="32">
        <f>IF(H351="",0,IF(COUNTIF($H$2:H351,H351)=1,1,0))</f>
        <v>0</v>
      </c>
    </row>
    <row r="352" spans="1:10" ht="14.25" hidden="1" customHeight="1" x14ac:dyDescent="0.35">
      <c r="A352" s="30" t="s">
        <v>126</v>
      </c>
      <c r="B352" t="s">
        <v>127</v>
      </c>
      <c r="C352" t="s">
        <v>77</v>
      </c>
      <c r="D352" t="s">
        <v>128</v>
      </c>
      <c r="E352" s="31">
        <v>45937</v>
      </c>
      <c r="F352" s="7" t="s">
        <v>74</v>
      </c>
      <c r="G352" s="32" t="str">
        <f t="shared" si="10"/>
        <v>45937|ALRR</v>
      </c>
      <c r="H352" s="32" t="str">
        <f t="shared" si="11"/>
        <v>TREINO|TR|2025|ALRR</v>
      </c>
      <c r="I352" s="32">
        <f>IF(G352="",0,IF(COUNTIF($G$2:G352,G352)=1,1,0))</f>
        <v>1</v>
      </c>
      <c r="J352" s="32">
        <f>IF(H352="",0,IF(COUNTIF($H$2:H352,H352)=1,1,0))</f>
        <v>0</v>
      </c>
    </row>
    <row r="353" spans="1:10" ht="14.25" hidden="1" customHeight="1" x14ac:dyDescent="0.35">
      <c r="A353" s="30" t="s">
        <v>126</v>
      </c>
      <c r="B353" t="s">
        <v>127</v>
      </c>
      <c r="C353" t="s">
        <v>77</v>
      </c>
      <c r="D353" t="s">
        <v>128</v>
      </c>
      <c r="E353" s="31">
        <v>45937</v>
      </c>
      <c r="F353" t="s">
        <v>71</v>
      </c>
      <c r="G353" s="32" t="str">
        <f t="shared" si="10"/>
        <v>45937|ACRP</v>
      </c>
      <c r="H353" s="32" t="str">
        <f t="shared" si="11"/>
        <v>TREINO|TR|2025|ACRP</v>
      </c>
      <c r="I353" s="32">
        <f>IF(G353="",0,IF(COUNTIF($G$2:G353,G353)=1,1,0))</f>
        <v>1</v>
      </c>
      <c r="J353" s="32">
        <f>IF(H353="",0,IF(COUNTIF($H$2:H353,H353)=1,1,0))</f>
        <v>0</v>
      </c>
    </row>
    <row r="354" spans="1:10" ht="14.25" hidden="1" customHeight="1" x14ac:dyDescent="0.35">
      <c r="A354" s="30" t="s">
        <v>126</v>
      </c>
      <c r="B354" t="s">
        <v>127</v>
      </c>
      <c r="C354" t="s">
        <v>77</v>
      </c>
      <c r="D354" t="s">
        <v>128</v>
      </c>
      <c r="E354" s="31">
        <v>45939</v>
      </c>
      <c r="F354" t="s">
        <v>71</v>
      </c>
      <c r="G354" s="32" t="str">
        <f t="shared" si="10"/>
        <v>45939|ACRP</v>
      </c>
      <c r="H354" s="32" t="str">
        <f t="shared" si="11"/>
        <v>TREINO|TR|2025|ACRP</v>
      </c>
      <c r="I354" s="32">
        <f>IF(G354="",0,IF(COUNTIF($G$2:G354,G354)=1,1,0))</f>
        <v>1</v>
      </c>
      <c r="J354" s="32">
        <f>IF(H354="",0,IF(COUNTIF($H$2:H354,H354)=1,1,0))</f>
        <v>0</v>
      </c>
    </row>
    <row r="355" spans="1:10" ht="14.25" hidden="1" customHeight="1" x14ac:dyDescent="0.35">
      <c r="A355" s="30" t="s">
        <v>126</v>
      </c>
      <c r="B355" t="s">
        <v>127</v>
      </c>
      <c r="C355" t="s">
        <v>77</v>
      </c>
      <c r="D355" t="s">
        <v>128</v>
      </c>
      <c r="E355" s="31">
        <v>45939</v>
      </c>
      <c r="F355" t="s">
        <v>72</v>
      </c>
      <c r="G355" s="32" t="str">
        <f t="shared" si="10"/>
        <v>45939|ACRR</v>
      </c>
      <c r="H355" s="32" t="str">
        <f t="shared" si="11"/>
        <v>TREINO|TR|2025|ACRR</v>
      </c>
      <c r="I355" s="32">
        <f>IF(G355="",0,IF(COUNTIF($G$2:G355,G355)=1,1,0))</f>
        <v>1</v>
      </c>
      <c r="J355" s="32">
        <f>IF(H355="",0,IF(COUNTIF($H$2:H355,H355)=1,1,0))</f>
        <v>0</v>
      </c>
    </row>
    <row r="356" spans="1:10" ht="14.25" hidden="1" customHeight="1" x14ac:dyDescent="0.35">
      <c r="A356" s="30" t="s">
        <v>126</v>
      </c>
      <c r="B356" t="s">
        <v>127</v>
      </c>
      <c r="C356" t="s">
        <v>77</v>
      </c>
      <c r="D356" t="s">
        <v>128</v>
      </c>
      <c r="E356" s="31">
        <v>45939</v>
      </c>
      <c r="F356" t="s">
        <v>73</v>
      </c>
      <c r="G356" s="32" t="str">
        <f t="shared" si="10"/>
        <v>45939|ALRP</v>
      </c>
      <c r="H356" s="32" t="str">
        <f t="shared" si="11"/>
        <v>TREINO|TR|2025|ALRP</v>
      </c>
      <c r="I356" s="32">
        <f>IF(G356="",0,IF(COUNTIF($G$2:G356,G356)=1,1,0))</f>
        <v>1</v>
      </c>
      <c r="J356" s="32">
        <f>IF(H356="",0,IF(COUNTIF($H$2:H356,H356)=1,1,0))</f>
        <v>0</v>
      </c>
    </row>
    <row r="357" spans="1:10" ht="14.25" hidden="1" customHeight="1" x14ac:dyDescent="0.35">
      <c r="A357" s="30" t="s">
        <v>126</v>
      </c>
      <c r="B357" t="s">
        <v>127</v>
      </c>
      <c r="C357" t="s">
        <v>77</v>
      </c>
      <c r="D357" t="s">
        <v>128</v>
      </c>
      <c r="E357" s="31">
        <v>45939</v>
      </c>
      <c r="F357" t="s">
        <v>74</v>
      </c>
      <c r="G357" s="32" t="str">
        <f t="shared" si="10"/>
        <v>45939|ALRR</v>
      </c>
      <c r="H357" s="32" t="str">
        <f t="shared" si="11"/>
        <v>TREINO|TR|2025|ALRR</v>
      </c>
      <c r="I357" s="32">
        <f>IF(G357="",0,IF(COUNTIF($G$2:G357,G357)=1,1,0))</f>
        <v>1</v>
      </c>
      <c r="J357" s="32">
        <f>IF(H357="",0,IF(COUNTIF($H$2:H357,H357)=1,1,0))</f>
        <v>0</v>
      </c>
    </row>
    <row r="358" spans="1:10" ht="14.25" hidden="1" customHeight="1" x14ac:dyDescent="0.35">
      <c r="A358" s="30" t="s">
        <v>126</v>
      </c>
      <c r="B358" t="s">
        <v>127</v>
      </c>
      <c r="C358" t="s">
        <v>77</v>
      </c>
      <c r="D358" t="s">
        <v>128</v>
      </c>
      <c r="E358" s="31">
        <v>45952</v>
      </c>
      <c r="F358" t="s">
        <v>71</v>
      </c>
      <c r="G358" s="32" t="str">
        <f t="shared" si="10"/>
        <v>45952|ACRP</v>
      </c>
      <c r="H358" s="32" t="str">
        <f t="shared" si="11"/>
        <v>TREINO|TR|2025|ACRP</v>
      </c>
      <c r="I358" s="32">
        <f>IF(G358="",0,IF(COUNTIF($G$2:G358,G358)=1,1,0))</f>
        <v>1</v>
      </c>
      <c r="J358" s="32">
        <f>IF(H358="",0,IF(COUNTIF($H$2:H358,H358)=1,1,0))</f>
        <v>0</v>
      </c>
    </row>
    <row r="359" spans="1:10" ht="14.25" hidden="1" customHeight="1" x14ac:dyDescent="0.35">
      <c r="A359" s="30" t="s">
        <v>126</v>
      </c>
      <c r="B359" t="s">
        <v>127</v>
      </c>
      <c r="C359" t="s">
        <v>77</v>
      </c>
      <c r="D359" t="s">
        <v>128</v>
      </c>
      <c r="E359" s="31">
        <v>45952</v>
      </c>
      <c r="F359" t="s">
        <v>73</v>
      </c>
      <c r="G359" s="32" t="str">
        <f t="shared" si="10"/>
        <v>45952|ALRP</v>
      </c>
      <c r="H359" s="32" t="str">
        <f t="shared" si="11"/>
        <v>TREINO|TR|2025|ALRP</v>
      </c>
      <c r="I359" s="32">
        <f>IF(G359="",0,IF(COUNTIF($G$2:G359,G359)=1,1,0))</f>
        <v>1</v>
      </c>
      <c r="J359" s="32">
        <f>IF(H359="",0,IF(COUNTIF($H$2:H359,H359)=1,1,0))</f>
        <v>0</v>
      </c>
    </row>
    <row r="360" spans="1:10" ht="14.25" hidden="1" customHeight="1" x14ac:dyDescent="0.35">
      <c r="A360" s="30" t="s">
        <v>126</v>
      </c>
      <c r="B360" t="s">
        <v>127</v>
      </c>
      <c r="C360" t="s">
        <v>77</v>
      </c>
      <c r="D360" t="s">
        <v>128</v>
      </c>
      <c r="E360" s="31">
        <v>45952</v>
      </c>
      <c r="F360" t="s">
        <v>74</v>
      </c>
      <c r="G360" s="32" t="str">
        <f t="shared" si="10"/>
        <v>45952|ALRR</v>
      </c>
      <c r="H360" s="32" t="str">
        <f t="shared" si="11"/>
        <v>TREINO|TR|2025|ALRR</v>
      </c>
      <c r="I360" s="32">
        <f>IF(G360="",0,IF(COUNTIF($G$2:G360,G360)=1,1,0))</f>
        <v>1</v>
      </c>
      <c r="J360" s="32">
        <f>IF(H360="",0,IF(COUNTIF($H$2:H360,H360)=1,1,0))</f>
        <v>0</v>
      </c>
    </row>
    <row r="361" spans="1:10" ht="14.25" hidden="1" customHeight="1" x14ac:dyDescent="0.35">
      <c r="A361" s="30" t="s">
        <v>126</v>
      </c>
      <c r="B361" t="s">
        <v>127</v>
      </c>
      <c r="C361" t="s">
        <v>77</v>
      </c>
      <c r="D361" t="s">
        <v>128</v>
      </c>
      <c r="E361" s="31">
        <v>45952</v>
      </c>
      <c r="F361" t="s">
        <v>71</v>
      </c>
      <c r="G361" s="32" t="str">
        <f t="shared" si="10"/>
        <v>45952|ACRP</v>
      </c>
      <c r="H361" s="32" t="str">
        <f t="shared" si="11"/>
        <v>TREINO|TR|2025|ACRP</v>
      </c>
      <c r="I361" s="32">
        <f>IF(G361="",0,IF(COUNTIF($G$2:G361,G361)=1,1,0))</f>
        <v>0</v>
      </c>
      <c r="J361" s="32">
        <f>IF(H361="",0,IF(COUNTIF($H$2:H361,H361)=1,1,0))</f>
        <v>0</v>
      </c>
    </row>
    <row r="362" spans="1:10" ht="14.25" hidden="1" customHeight="1" x14ac:dyDescent="0.35">
      <c r="A362" s="30" t="s">
        <v>126</v>
      </c>
      <c r="B362" t="s">
        <v>127</v>
      </c>
      <c r="C362" t="s">
        <v>77</v>
      </c>
      <c r="D362" t="s">
        <v>128</v>
      </c>
      <c r="E362" s="31">
        <v>45952</v>
      </c>
      <c r="F362" t="s">
        <v>73</v>
      </c>
      <c r="G362" s="32" t="str">
        <f t="shared" si="10"/>
        <v>45952|ALRP</v>
      </c>
      <c r="H362" s="32" t="str">
        <f t="shared" si="11"/>
        <v>TREINO|TR|2025|ALRP</v>
      </c>
      <c r="I362" s="32">
        <f>IF(G362="",0,IF(COUNTIF($G$2:G362,G362)=1,1,0))</f>
        <v>0</v>
      </c>
      <c r="J362" s="32">
        <f>IF(H362="",0,IF(COUNTIF($H$2:H362,H362)=1,1,0))</f>
        <v>0</v>
      </c>
    </row>
    <row r="363" spans="1:10" ht="14.25" hidden="1" customHeight="1" x14ac:dyDescent="0.35">
      <c r="A363" s="30" t="s">
        <v>126</v>
      </c>
      <c r="B363" t="s">
        <v>127</v>
      </c>
      <c r="C363" t="s">
        <v>77</v>
      </c>
      <c r="D363" t="s">
        <v>128</v>
      </c>
      <c r="E363" s="31">
        <v>45952</v>
      </c>
      <c r="F363" t="s">
        <v>74</v>
      </c>
      <c r="G363" s="32" t="str">
        <f t="shared" si="10"/>
        <v>45952|ALRR</v>
      </c>
      <c r="H363" s="32" t="str">
        <f t="shared" si="11"/>
        <v>TREINO|TR|2025|ALRR</v>
      </c>
      <c r="I363" s="32">
        <f>IF(G363="",0,IF(COUNTIF($G$2:G363,G363)=1,1,0))</f>
        <v>0</v>
      </c>
      <c r="J363" s="32">
        <f>IF(H363="",0,IF(COUNTIF($H$2:H363,H363)=1,1,0))</f>
        <v>0</v>
      </c>
    </row>
    <row r="364" spans="1:10" ht="14.25" hidden="1" customHeight="1" x14ac:dyDescent="0.35">
      <c r="A364" s="30" t="s">
        <v>126</v>
      </c>
      <c r="B364" t="s">
        <v>127</v>
      </c>
      <c r="C364" t="s">
        <v>77</v>
      </c>
      <c r="D364" t="s">
        <v>128</v>
      </c>
      <c r="E364" s="31">
        <v>45952</v>
      </c>
      <c r="F364" t="s">
        <v>72</v>
      </c>
      <c r="G364" s="32" t="str">
        <f t="shared" si="10"/>
        <v>45952|ACRR</v>
      </c>
      <c r="H364" s="32" t="str">
        <f t="shared" si="11"/>
        <v>TREINO|TR|2025|ACRR</v>
      </c>
      <c r="I364" s="32">
        <f>IF(G364="",0,IF(COUNTIF($G$2:G364,G364)=1,1,0))</f>
        <v>1</v>
      </c>
      <c r="J364" s="32">
        <f>IF(H364="",0,IF(COUNTIF($H$2:H364,H364)=1,1,0))</f>
        <v>0</v>
      </c>
    </row>
    <row r="365" spans="1:10" ht="14.25" hidden="1" customHeight="1" x14ac:dyDescent="0.35">
      <c r="A365" s="30" t="s">
        <v>126</v>
      </c>
      <c r="B365" t="s">
        <v>127</v>
      </c>
      <c r="C365" t="s">
        <v>77</v>
      </c>
      <c r="D365" t="s">
        <v>128</v>
      </c>
      <c r="E365" s="31">
        <v>45956</v>
      </c>
      <c r="F365" t="s">
        <v>71</v>
      </c>
      <c r="G365" s="32" t="str">
        <f t="shared" si="10"/>
        <v>45956|ACRP</v>
      </c>
      <c r="H365" s="32" t="str">
        <f t="shared" si="11"/>
        <v>TREINO|TR|2025|ACRP</v>
      </c>
      <c r="I365" s="32">
        <f>IF(G365="",0,IF(COUNTIF($G$2:G365,G365)=1,1,0))</f>
        <v>1</v>
      </c>
      <c r="J365" s="32">
        <f>IF(H365="",0,IF(COUNTIF($H$2:H365,H365)=1,1,0))</f>
        <v>0</v>
      </c>
    </row>
    <row r="366" spans="1:10" ht="14.25" hidden="1" customHeight="1" x14ac:dyDescent="0.35">
      <c r="A366" s="30" t="s">
        <v>126</v>
      </c>
      <c r="B366" t="s">
        <v>127</v>
      </c>
      <c r="C366" t="s">
        <v>77</v>
      </c>
      <c r="D366" t="s">
        <v>128</v>
      </c>
      <c r="E366" s="31">
        <v>45956</v>
      </c>
      <c r="F366" t="s">
        <v>73</v>
      </c>
      <c r="G366" s="32" t="str">
        <f t="shared" si="10"/>
        <v>45956|ALRP</v>
      </c>
      <c r="H366" s="32" t="str">
        <f t="shared" si="11"/>
        <v>TREINO|TR|2025|ALRP</v>
      </c>
      <c r="I366" s="32">
        <f>IF(G366="",0,IF(COUNTIF($G$2:G366,G366)=1,1,0))</f>
        <v>1</v>
      </c>
      <c r="J366" s="32">
        <f>IF(H366="",0,IF(COUNTIF($H$2:H366,H366)=1,1,0))</f>
        <v>0</v>
      </c>
    </row>
    <row r="367" spans="1:10" ht="14.25" hidden="1" customHeight="1" x14ac:dyDescent="0.35">
      <c r="A367" s="30" t="s">
        <v>126</v>
      </c>
      <c r="B367" t="s">
        <v>127</v>
      </c>
      <c r="C367" t="s">
        <v>77</v>
      </c>
      <c r="D367" t="s">
        <v>128</v>
      </c>
      <c r="E367" s="31">
        <v>45956</v>
      </c>
      <c r="F367" t="s">
        <v>74</v>
      </c>
      <c r="G367" s="32" t="str">
        <f t="shared" si="10"/>
        <v>45956|ALRR</v>
      </c>
      <c r="H367" s="32" t="str">
        <f t="shared" si="11"/>
        <v>TREINO|TR|2025|ALRR</v>
      </c>
      <c r="I367" s="32">
        <f>IF(G367="",0,IF(COUNTIF($G$2:G367,G367)=1,1,0))</f>
        <v>1</v>
      </c>
      <c r="J367" s="32">
        <f>IF(H367="",0,IF(COUNTIF($H$2:H367,H367)=1,1,0))</f>
        <v>0</v>
      </c>
    </row>
    <row r="368" spans="1:10" ht="14.25" hidden="1" customHeight="1" x14ac:dyDescent="0.35">
      <c r="A368" s="30" t="s">
        <v>126</v>
      </c>
      <c r="B368" t="s">
        <v>127</v>
      </c>
      <c r="C368" t="s">
        <v>77</v>
      </c>
      <c r="D368" t="s">
        <v>128</v>
      </c>
      <c r="E368" s="31">
        <v>45956</v>
      </c>
      <c r="F368" t="s">
        <v>72</v>
      </c>
      <c r="G368" s="32" t="str">
        <f t="shared" si="10"/>
        <v>45956|ACRR</v>
      </c>
      <c r="H368" s="32" t="str">
        <f t="shared" si="11"/>
        <v>TREINO|TR|2025|ACRR</v>
      </c>
      <c r="I368" s="32">
        <f>IF(G368="",0,IF(COUNTIF($G$2:G368,G368)=1,1,0))</f>
        <v>1</v>
      </c>
      <c r="J368" s="32">
        <f>IF(H368="",0,IF(COUNTIF($H$2:H368,H368)=1,1,0))</f>
        <v>0</v>
      </c>
    </row>
    <row r="369" spans="1:10" ht="14.25" hidden="1" customHeight="1" x14ac:dyDescent="0.35">
      <c r="A369" s="30" t="s">
        <v>126</v>
      </c>
      <c r="B369" t="s">
        <v>127</v>
      </c>
      <c r="C369" t="s">
        <v>77</v>
      </c>
      <c r="D369" t="s">
        <v>128</v>
      </c>
      <c r="E369" s="31">
        <v>45958</v>
      </c>
      <c r="F369" t="s">
        <v>71</v>
      </c>
      <c r="G369" s="32" t="str">
        <f t="shared" si="10"/>
        <v>45958|ACRP</v>
      </c>
      <c r="H369" s="32" t="str">
        <f t="shared" si="11"/>
        <v>TREINO|TR|2025|ACRP</v>
      </c>
      <c r="I369" s="32">
        <f>IF(G369="",0,IF(COUNTIF($G$2:G369,G369)=1,1,0))</f>
        <v>1</v>
      </c>
      <c r="J369" s="32">
        <f>IF(H369="",0,IF(COUNTIF($H$2:H369,H369)=1,1,0))</f>
        <v>0</v>
      </c>
    </row>
    <row r="370" spans="1:10" ht="14.25" hidden="1" customHeight="1" x14ac:dyDescent="0.35">
      <c r="A370" s="30" t="s">
        <v>126</v>
      </c>
      <c r="B370" t="s">
        <v>127</v>
      </c>
      <c r="C370" t="s">
        <v>77</v>
      </c>
      <c r="D370" t="s">
        <v>128</v>
      </c>
      <c r="E370" s="31">
        <v>45958</v>
      </c>
      <c r="F370" t="s">
        <v>73</v>
      </c>
      <c r="G370" s="32" t="str">
        <f t="shared" si="10"/>
        <v>45958|ALRP</v>
      </c>
      <c r="H370" s="32" t="str">
        <f t="shared" si="11"/>
        <v>TREINO|TR|2025|ALRP</v>
      </c>
      <c r="I370" s="32">
        <f>IF(G370="",0,IF(COUNTIF($G$2:G370,G370)=1,1,0))</f>
        <v>1</v>
      </c>
      <c r="J370" s="32">
        <f>IF(H370="",0,IF(COUNTIF($H$2:H370,H370)=1,1,0))</f>
        <v>0</v>
      </c>
    </row>
    <row r="371" spans="1:10" ht="14.25" hidden="1" customHeight="1" x14ac:dyDescent="0.35">
      <c r="A371" s="30" t="s">
        <v>126</v>
      </c>
      <c r="B371" t="s">
        <v>127</v>
      </c>
      <c r="C371" t="s">
        <v>77</v>
      </c>
      <c r="D371" t="s">
        <v>128</v>
      </c>
      <c r="E371" s="31">
        <v>45958</v>
      </c>
      <c r="F371" t="s">
        <v>74</v>
      </c>
      <c r="G371" s="32" t="str">
        <f t="shared" si="10"/>
        <v>45958|ALRR</v>
      </c>
      <c r="H371" s="32" t="str">
        <f t="shared" si="11"/>
        <v>TREINO|TR|2025|ALRR</v>
      </c>
      <c r="I371" s="32">
        <f>IF(G371="",0,IF(COUNTIF($G$2:G371,G371)=1,1,0))</f>
        <v>1</v>
      </c>
      <c r="J371" s="32">
        <f>IF(H371="",0,IF(COUNTIF($H$2:H371,H371)=1,1,0))</f>
        <v>0</v>
      </c>
    </row>
    <row r="372" spans="1:10" ht="14.25" hidden="1" customHeight="1" x14ac:dyDescent="0.35">
      <c r="A372" s="30" t="s">
        <v>126</v>
      </c>
      <c r="B372" t="s">
        <v>127</v>
      </c>
      <c r="C372" t="s">
        <v>77</v>
      </c>
      <c r="D372" t="s">
        <v>128</v>
      </c>
      <c r="E372" s="31">
        <v>45958</v>
      </c>
      <c r="F372" t="s">
        <v>72</v>
      </c>
      <c r="G372" s="32" t="str">
        <f t="shared" si="10"/>
        <v>45958|ACRR</v>
      </c>
      <c r="H372" s="32" t="str">
        <f t="shared" si="11"/>
        <v>TREINO|TR|2025|ACRR</v>
      </c>
      <c r="I372" s="32">
        <f>IF(G372="",0,IF(COUNTIF($G$2:G372,G372)=1,1,0))</f>
        <v>1</v>
      </c>
      <c r="J372" s="32">
        <f>IF(H372="",0,IF(COUNTIF($H$2:H372,H372)=1,1,0))</f>
        <v>0</v>
      </c>
    </row>
    <row r="373" spans="1:10" ht="14.25" hidden="1" customHeight="1" x14ac:dyDescent="0.35">
      <c r="A373" s="30" t="s">
        <v>126</v>
      </c>
      <c r="B373" t="s">
        <v>127</v>
      </c>
      <c r="C373" t="s">
        <v>77</v>
      </c>
      <c r="D373" t="s">
        <v>128</v>
      </c>
      <c r="E373" s="31">
        <v>45962</v>
      </c>
      <c r="F373" t="s">
        <v>72</v>
      </c>
      <c r="G373" s="32" t="str">
        <f t="shared" si="10"/>
        <v>45962|ACRR</v>
      </c>
      <c r="H373" s="32" t="str">
        <f t="shared" si="11"/>
        <v>TREINO|TR|2025|ACRR</v>
      </c>
      <c r="I373" s="32">
        <f>IF(G373="",0,IF(COUNTIF($G$2:G373,G373)=1,1,0))</f>
        <v>1</v>
      </c>
      <c r="J373" s="32">
        <f>IF(H373="",0,IF(COUNTIF($H$2:H373,H373)=1,1,0))</f>
        <v>0</v>
      </c>
    </row>
    <row r="374" spans="1:10" ht="14.25" hidden="1" customHeight="1" x14ac:dyDescent="0.35">
      <c r="A374" s="30" t="s">
        <v>126</v>
      </c>
      <c r="B374" t="s">
        <v>127</v>
      </c>
      <c r="C374" t="s">
        <v>77</v>
      </c>
      <c r="D374" t="s">
        <v>128</v>
      </c>
      <c r="E374" s="31">
        <v>45972</v>
      </c>
      <c r="F374" t="s">
        <v>71</v>
      </c>
      <c r="G374" s="32" t="str">
        <f t="shared" si="10"/>
        <v>45972|ACRP</v>
      </c>
      <c r="H374" s="32" t="str">
        <f t="shared" si="11"/>
        <v>TREINO|TR|2025|ACRP</v>
      </c>
      <c r="I374" s="32">
        <f>IF(G374="",0,IF(COUNTIF($G$2:G374,G374)=1,1,0))</f>
        <v>1</v>
      </c>
      <c r="J374" s="32">
        <f>IF(H374="",0,IF(COUNTIF($H$2:H374,H374)=1,1,0))</f>
        <v>0</v>
      </c>
    </row>
    <row r="375" spans="1:10" ht="14.25" hidden="1" customHeight="1" x14ac:dyDescent="0.35">
      <c r="A375" s="30" t="s">
        <v>126</v>
      </c>
      <c r="B375" t="s">
        <v>127</v>
      </c>
      <c r="C375" t="s">
        <v>77</v>
      </c>
      <c r="D375" t="s">
        <v>128</v>
      </c>
      <c r="E375" s="31">
        <v>45972</v>
      </c>
      <c r="F375" t="s">
        <v>73</v>
      </c>
      <c r="G375" s="32" t="str">
        <f t="shared" si="10"/>
        <v>45972|ALRP</v>
      </c>
      <c r="H375" s="32" t="str">
        <f t="shared" si="11"/>
        <v>TREINO|TR|2025|ALRP</v>
      </c>
      <c r="I375" s="32">
        <f>IF(G375="",0,IF(COUNTIF($G$2:G375,G375)=1,1,0))</f>
        <v>1</v>
      </c>
      <c r="J375" s="32">
        <f>IF(H375="",0,IF(COUNTIF($H$2:H375,H375)=1,1,0))</f>
        <v>0</v>
      </c>
    </row>
    <row r="376" spans="1:10" ht="14.25" hidden="1" customHeight="1" x14ac:dyDescent="0.35">
      <c r="A376" s="30" t="s">
        <v>126</v>
      </c>
      <c r="B376" t="s">
        <v>127</v>
      </c>
      <c r="C376" t="s">
        <v>77</v>
      </c>
      <c r="D376" t="s">
        <v>128</v>
      </c>
      <c r="E376" s="31">
        <v>45972</v>
      </c>
      <c r="F376" t="s">
        <v>74</v>
      </c>
      <c r="G376" s="32" t="str">
        <f t="shared" si="10"/>
        <v>45972|ALRR</v>
      </c>
      <c r="H376" s="32" t="str">
        <f t="shared" si="11"/>
        <v>TREINO|TR|2025|ALRR</v>
      </c>
      <c r="I376" s="32">
        <f>IF(G376="",0,IF(COUNTIF($G$2:G376,G376)=1,1,0))</f>
        <v>1</v>
      </c>
      <c r="J376" s="32">
        <f>IF(H376="",0,IF(COUNTIF($H$2:H376,H376)=1,1,0))</f>
        <v>0</v>
      </c>
    </row>
    <row r="377" spans="1:10" ht="14.25" hidden="1" customHeight="1" x14ac:dyDescent="0.35">
      <c r="A377" s="30" t="s">
        <v>126</v>
      </c>
      <c r="B377" t="s">
        <v>127</v>
      </c>
      <c r="C377" t="s">
        <v>77</v>
      </c>
      <c r="D377" t="s">
        <v>128</v>
      </c>
      <c r="E377" s="31">
        <v>45972</v>
      </c>
      <c r="F377" t="s">
        <v>72</v>
      </c>
      <c r="G377" s="32" t="str">
        <f t="shared" si="10"/>
        <v>45972|ACRR</v>
      </c>
      <c r="H377" s="32" t="str">
        <f t="shared" si="11"/>
        <v>TREINO|TR|2025|ACRR</v>
      </c>
      <c r="I377" s="32">
        <f>IF(G377="",0,IF(COUNTIF($G$2:G377,G377)=1,1,0))</f>
        <v>1</v>
      </c>
      <c r="J377" s="32">
        <f>IF(H377="",0,IF(COUNTIF($H$2:H377,H377)=1,1,0))</f>
        <v>0</v>
      </c>
    </row>
    <row r="378" spans="1:10" ht="14.25" hidden="1" customHeight="1" x14ac:dyDescent="0.35">
      <c r="A378" s="30" t="s">
        <v>126</v>
      </c>
      <c r="B378" t="s">
        <v>127</v>
      </c>
      <c r="C378" t="s">
        <v>77</v>
      </c>
      <c r="D378" t="s">
        <v>128</v>
      </c>
      <c r="E378" s="31">
        <v>45989</v>
      </c>
      <c r="F378" t="s">
        <v>71</v>
      </c>
      <c r="G378" s="32" t="str">
        <f t="shared" si="10"/>
        <v>45989|ACRP</v>
      </c>
      <c r="H378" s="32" t="str">
        <f t="shared" si="11"/>
        <v>TREINO|TR|2025|ACRP</v>
      </c>
      <c r="I378" s="32">
        <f>IF(G378="",0,IF(COUNTIF($G$2:G378,G378)=1,1,0))</f>
        <v>1</v>
      </c>
      <c r="J378" s="32">
        <f>IF(H378="",0,IF(COUNTIF($H$2:H378,H378)=1,1,0))</f>
        <v>0</v>
      </c>
    </row>
    <row r="379" spans="1:10" ht="14.25" hidden="1" customHeight="1" x14ac:dyDescent="0.35">
      <c r="A379" s="30" t="s">
        <v>126</v>
      </c>
      <c r="B379" t="s">
        <v>127</v>
      </c>
      <c r="C379" t="s">
        <v>77</v>
      </c>
      <c r="D379" t="s">
        <v>128</v>
      </c>
      <c r="E379" s="31">
        <v>45989</v>
      </c>
      <c r="F379" t="s">
        <v>73</v>
      </c>
      <c r="G379" s="32" t="str">
        <f t="shared" si="10"/>
        <v>45989|ALRP</v>
      </c>
      <c r="H379" s="32" t="str">
        <f t="shared" si="11"/>
        <v>TREINO|TR|2025|ALRP</v>
      </c>
      <c r="I379" s="32">
        <f>IF(G379="",0,IF(COUNTIF($G$2:G379,G379)=1,1,0))</f>
        <v>1</v>
      </c>
      <c r="J379" s="32">
        <f>IF(H379="",0,IF(COUNTIF($H$2:H379,H379)=1,1,0))</f>
        <v>0</v>
      </c>
    </row>
    <row r="380" spans="1:10" ht="14.25" hidden="1" customHeight="1" x14ac:dyDescent="0.35">
      <c r="A380" s="30" t="s">
        <v>126</v>
      </c>
      <c r="B380" t="s">
        <v>127</v>
      </c>
      <c r="C380" t="s">
        <v>77</v>
      </c>
      <c r="D380" t="s">
        <v>128</v>
      </c>
      <c r="E380" s="31">
        <v>45989</v>
      </c>
      <c r="F380" t="s">
        <v>74</v>
      </c>
      <c r="G380" s="32" t="str">
        <f t="shared" si="10"/>
        <v>45989|ALRR</v>
      </c>
      <c r="H380" s="32" t="str">
        <f t="shared" si="11"/>
        <v>TREINO|TR|2025|ALRR</v>
      </c>
      <c r="I380" s="32">
        <f>IF(G380="",0,IF(COUNTIF($G$2:G380,G380)=1,1,0))</f>
        <v>1</v>
      </c>
      <c r="J380" s="32">
        <f>IF(H380="",0,IF(COUNTIF($H$2:H380,H380)=1,1,0))</f>
        <v>0</v>
      </c>
    </row>
    <row r="381" spans="1:10" ht="14.25" hidden="1" customHeight="1" x14ac:dyDescent="0.35">
      <c r="A381" s="30" t="s">
        <v>126</v>
      </c>
      <c r="B381" t="s">
        <v>127</v>
      </c>
      <c r="C381" t="s">
        <v>77</v>
      </c>
      <c r="D381" t="s">
        <v>128</v>
      </c>
      <c r="E381" s="31">
        <v>45989</v>
      </c>
      <c r="F381" t="s">
        <v>72</v>
      </c>
      <c r="G381" s="32" t="str">
        <f t="shared" si="10"/>
        <v>45989|ACRR</v>
      </c>
      <c r="H381" s="32" t="str">
        <f t="shared" si="11"/>
        <v>TREINO|TR|2025|ACRR</v>
      </c>
      <c r="I381" s="32">
        <f>IF(G381="",0,IF(COUNTIF($G$2:G381,G381)=1,1,0))</f>
        <v>1</v>
      </c>
      <c r="J381" s="32">
        <f>IF(H381="",0,IF(COUNTIF($H$2:H381,H381)=1,1,0))</f>
        <v>0</v>
      </c>
    </row>
    <row r="382" spans="1:10" ht="14.25" hidden="1" customHeight="1" x14ac:dyDescent="0.35">
      <c r="A382" s="30" t="s">
        <v>126</v>
      </c>
      <c r="B382" t="s">
        <v>127</v>
      </c>
      <c r="C382" t="s">
        <v>77</v>
      </c>
      <c r="D382" t="s">
        <v>128</v>
      </c>
      <c r="E382" s="31">
        <v>45996</v>
      </c>
      <c r="F382" t="s">
        <v>73</v>
      </c>
      <c r="G382" s="32" t="str">
        <f t="shared" si="10"/>
        <v>45996|ALRP</v>
      </c>
      <c r="H382" s="32" t="str">
        <f t="shared" si="11"/>
        <v>TREINO|TR|2025|ALRP</v>
      </c>
      <c r="I382" s="32">
        <f>IF(G382="",0,IF(COUNTIF($G$2:G382,G382)=1,1,0))</f>
        <v>1</v>
      </c>
      <c r="J382" s="32">
        <f>IF(H382="",0,IF(COUNTIF($H$2:H382,H382)=1,1,0))</f>
        <v>0</v>
      </c>
    </row>
    <row r="383" spans="1:10" ht="14.25" hidden="1" customHeight="1" x14ac:dyDescent="0.35">
      <c r="A383" s="30" t="s">
        <v>126</v>
      </c>
      <c r="B383" t="s">
        <v>127</v>
      </c>
      <c r="C383" t="s">
        <v>77</v>
      </c>
      <c r="D383" t="s">
        <v>128</v>
      </c>
      <c r="E383" s="31">
        <v>45996</v>
      </c>
      <c r="F383" t="s">
        <v>74</v>
      </c>
      <c r="G383" s="32" t="str">
        <f t="shared" si="10"/>
        <v>45996|ALRR</v>
      </c>
      <c r="H383" s="32" t="str">
        <f t="shared" si="11"/>
        <v>TREINO|TR|2025|ALRR</v>
      </c>
      <c r="I383" s="32">
        <f>IF(G383="",0,IF(COUNTIF($G$2:G383,G383)=1,1,0))</f>
        <v>1</v>
      </c>
      <c r="J383" s="32">
        <f>IF(H383="",0,IF(COUNTIF($H$2:H383,H383)=1,1,0))</f>
        <v>0</v>
      </c>
    </row>
    <row r="384" spans="1:10" ht="14.25" hidden="1" customHeight="1" x14ac:dyDescent="0.35">
      <c r="A384" s="30" t="s">
        <v>126</v>
      </c>
      <c r="B384" t="s">
        <v>127</v>
      </c>
      <c r="C384" t="s">
        <v>77</v>
      </c>
      <c r="D384" t="s">
        <v>128</v>
      </c>
      <c r="E384" s="31">
        <v>45996</v>
      </c>
      <c r="F384" t="s">
        <v>72</v>
      </c>
      <c r="G384" s="32" t="str">
        <f t="shared" si="10"/>
        <v>45996|ACRR</v>
      </c>
      <c r="H384" s="32" t="str">
        <f t="shared" si="11"/>
        <v>TREINO|TR|2025|ACRR</v>
      </c>
      <c r="I384" s="32">
        <f>IF(G384="",0,IF(COUNTIF($G$2:G384,G384)=1,1,0))</f>
        <v>1</v>
      </c>
      <c r="J384" s="32">
        <f>IF(H384="",0,IF(COUNTIF($H$2:H384,H384)=1,1,0))</f>
        <v>0</v>
      </c>
    </row>
    <row r="385" spans="1:10" ht="14.25" hidden="1" customHeight="1" x14ac:dyDescent="0.35">
      <c r="A385" s="30" t="s">
        <v>126</v>
      </c>
      <c r="B385" t="s">
        <v>127</v>
      </c>
      <c r="C385" t="s">
        <v>77</v>
      </c>
      <c r="D385" t="s">
        <v>128</v>
      </c>
      <c r="E385" s="31">
        <v>45996</v>
      </c>
      <c r="F385" t="s">
        <v>71</v>
      </c>
      <c r="G385" s="32" t="str">
        <f t="shared" si="10"/>
        <v>45996|ACRP</v>
      </c>
      <c r="H385" s="32" t="str">
        <f t="shared" si="11"/>
        <v>TREINO|TR|2025|ACRP</v>
      </c>
      <c r="I385" s="32">
        <f>IF(G385="",0,IF(COUNTIF($G$2:G385,G385)=1,1,0))</f>
        <v>1</v>
      </c>
      <c r="J385" s="32">
        <f>IF(H385="",0,IF(COUNTIF($H$2:H385,H385)=1,1,0))</f>
        <v>0</v>
      </c>
    </row>
    <row r="386" spans="1:10" ht="14.25" hidden="1" customHeight="1" x14ac:dyDescent="0.35">
      <c r="A386" s="30" t="s">
        <v>126</v>
      </c>
      <c r="B386" t="s">
        <v>127</v>
      </c>
      <c r="C386" t="s">
        <v>80</v>
      </c>
      <c r="D386" t="s">
        <v>128</v>
      </c>
      <c r="E386" s="31">
        <v>46044</v>
      </c>
      <c r="F386" s="7" t="s">
        <v>71</v>
      </c>
      <c r="G386" s="32" t="str">
        <f t="shared" ref="G386:G449" si="12">IF(D386="T",
E386&amp;"|"&amp;F386,
A386&amp;"|"&amp;B386&amp;"|"&amp;C386&amp;"|"&amp;YEAR(E386)&amp;"|"&amp;F386)</f>
        <v>46044|ACRP</v>
      </c>
      <c r="H386" s="32" t="str">
        <f t="shared" ref="H386:H449" si="13">A386&amp;"|"&amp;C386&amp;"|"&amp;YEAR(E386)&amp;"|"&amp;F386</f>
        <v>TREINO|Interarmas|2026|ACRP</v>
      </c>
      <c r="I386" s="32">
        <f>IF(G386="",0,IF(COUNTIF($G$2:G386,G386)=1,1,0))</f>
        <v>1</v>
      </c>
      <c r="J386" s="32">
        <f>IF(H386="",0,IF(COUNTIF($H$2:H386,H386)=1,1,0))</f>
        <v>1</v>
      </c>
    </row>
    <row r="387" spans="1:10" ht="14.25" hidden="1" customHeight="1" x14ac:dyDescent="0.35">
      <c r="A387" s="30" t="s">
        <v>126</v>
      </c>
      <c r="B387" t="s">
        <v>127</v>
      </c>
      <c r="C387" t="s">
        <v>80</v>
      </c>
      <c r="D387" t="s">
        <v>128</v>
      </c>
      <c r="E387" s="31">
        <v>46044</v>
      </c>
      <c r="F387" s="7" t="s">
        <v>74</v>
      </c>
      <c r="G387" s="32" t="str">
        <f t="shared" si="12"/>
        <v>46044|ALRR</v>
      </c>
      <c r="H387" s="32" t="str">
        <f t="shared" si="13"/>
        <v>TREINO|Interarmas|2026|ALRR</v>
      </c>
      <c r="I387" s="32">
        <f>IF(G387="",0,IF(COUNTIF($G$2:G387,G387)=1,1,0))</f>
        <v>1</v>
      </c>
      <c r="J387" s="32">
        <f>IF(H387="",0,IF(COUNTIF($H$2:H387,H387)=1,1,0))</f>
        <v>1</v>
      </c>
    </row>
    <row r="388" spans="1:10" ht="14.25" hidden="1" customHeight="1" x14ac:dyDescent="0.35">
      <c r="A388" s="30" t="s">
        <v>126</v>
      </c>
      <c r="B388" t="s">
        <v>127</v>
      </c>
      <c r="C388" t="s">
        <v>80</v>
      </c>
      <c r="D388" t="s">
        <v>128</v>
      </c>
      <c r="E388" s="31">
        <v>46044</v>
      </c>
      <c r="F388" s="7" t="s">
        <v>73</v>
      </c>
      <c r="G388" s="32" t="str">
        <f t="shared" si="12"/>
        <v>46044|ALRP</v>
      </c>
      <c r="H388" s="32" t="str">
        <f t="shared" si="13"/>
        <v>TREINO|Interarmas|2026|ALRP</v>
      </c>
      <c r="I388" s="32">
        <f>IF(G388="",0,IF(COUNTIF($G$2:G388,G388)=1,1,0))</f>
        <v>1</v>
      </c>
      <c r="J388" s="32">
        <f>IF(H388="",0,IF(COUNTIF($H$2:H388,H388)=1,1,0))</f>
        <v>1</v>
      </c>
    </row>
    <row r="389" spans="1:10" ht="14.25" hidden="1" customHeight="1" x14ac:dyDescent="0.35">
      <c r="A389" s="30" t="s">
        <v>126</v>
      </c>
      <c r="B389" t="s">
        <v>127</v>
      </c>
      <c r="C389" t="s">
        <v>80</v>
      </c>
      <c r="D389" t="s">
        <v>128</v>
      </c>
      <c r="E389" s="31">
        <v>46044</v>
      </c>
      <c r="F389" s="7" t="s">
        <v>72</v>
      </c>
      <c r="G389" s="32" t="str">
        <f t="shared" si="12"/>
        <v>46044|ACRR</v>
      </c>
      <c r="H389" s="32" t="str">
        <f t="shared" si="13"/>
        <v>TREINO|Interarmas|2026|ACRR</v>
      </c>
      <c r="I389" s="32">
        <f>IF(G389="",0,IF(COUNTIF($G$2:G389,G389)=1,1,0))</f>
        <v>1</v>
      </c>
      <c r="J389" s="32">
        <f>IF(H389="",0,IF(COUNTIF($H$2:H389,H389)=1,1,0))</f>
        <v>1</v>
      </c>
    </row>
    <row r="390" spans="1:10" ht="14.25" hidden="1" customHeight="1" x14ac:dyDescent="0.35">
      <c r="A390" s="30" t="s">
        <v>126</v>
      </c>
      <c r="B390" t="s">
        <v>127</v>
      </c>
      <c r="C390" t="s">
        <v>80</v>
      </c>
      <c r="D390" t="s">
        <v>128</v>
      </c>
      <c r="E390" s="31">
        <v>46051</v>
      </c>
      <c r="F390" s="7" t="s">
        <v>71</v>
      </c>
      <c r="G390" s="32" t="str">
        <f t="shared" si="12"/>
        <v>46051|ACRP</v>
      </c>
      <c r="H390" s="32" t="str">
        <f t="shared" si="13"/>
        <v>TREINO|Interarmas|2026|ACRP</v>
      </c>
      <c r="I390" s="32">
        <f>IF(G390="",0,IF(COUNTIF($G$2:G390,G390)=1,1,0))</f>
        <v>1</v>
      </c>
      <c r="J390" s="32">
        <f>IF(H390="",0,IF(COUNTIF($H$2:H390,H390)=1,1,0))</f>
        <v>0</v>
      </c>
    </row>
    <row r="391" spans="1:10" ht="14.25" hidden="1" customHeight="1" x14ac:dyDescent="0.35">
      <c r="A391" s="30" t="s">
        <v>126</v>
      </c>
      <c r="B391" t="s">
        <v>127</v>
      </c>
      <c r="C391" t="s">
        <v>80</v>
      </c>
      <c r="D391" t="s">
        <v>128</v>
      </c>
      <c r="E391" s="31">
        <v>46051</v>
      </c>
      <c r="F391" s="7" t="s">
        <v>74</v>
      </c>
      <c r="G391" s="32" t="str">
        <f t="shared" si="12"/>
        <v>46051|ALRR</v>
      </c>
      <c r="H391" s="32" t="str">
        <f t="shared" si="13"/>
        <v>TREINO|Interarmas|2026|ALRR</v>
      </c>
      <c r="I391" s="32">
        <f>IF(G391="",0,IF(COUNTIF($G$2:G391,G391)=1,1,0))</f>
        <v>1</v>
      </c>
      <c r="J391" s="32">
        <f>IF(H391="",0,IF(COUNTIF($H$2:H391,H391)=1,1,0))</f>
        <v>0</v>
      </c>
    </row>
    <row r="392" spans="1:10" ht="14.25" hidden="1" customHeight="1" x14ac:dyDescent="0.35">
      <c r="A392" s="30" t="s">
        <v>126</v>
      </c>
      <c r="B392" t="s">
        <v>127</v>
      </c>
      <c r="C392" t="s">
        <v>80</v>
      </c>
      <c r="D392" t="s">
        <v>128</v>
      </c>
      <c r="E392" s="31">
        <v>46051</v>
      </c>
      <c r="F392" s="7" t="s">
        <v>73</v>
      </c>
      <c r="G392" s="32" t="str">
        <f t="shared" si="12"/>
        <v>46051|ALRP</v>
      </c>
      <c r="H392" s="32" t="str">
        <f t="shared" si="13"/>
        <v>TREINO|Interarmas|2026|ALRP</v>
      </c>
      <c r="I392" s="32">
        <f>IF(G392="",0,IF(COUNTIF($G$2:G392,G392)=1,1,0))</f>
        <v>1</v>
      </c>
      <c r="J392" s="32">
        <f>IF(H392="",0,IF(COUNTIF($H$2:H392,H392)=1,1,0))</f>
        <v>0</v>
      </c>
    </row>
    <row r="393" spans="1:10" ht="14.25" hidden="1" customHeight="1" x14ac:dyDescent="0.35">
      <c r="A393" s="30" t="s">
        <v>126</v>
      </c>
      <c r="B393" t="s">
        <v>127</v>
      </c>
      <c r="C393" t="s">
        <v>80</v>
      </c>
      <c r="D393" t="s">
        <v>128</v>
      </c>
      <c r="E393" s="31">
        <v>46051</v>
      </c>
      <c r="F393" s="7" t="s">
        <v>72</v>
      </c>
      <c r="G393" s="32" t="str">
        <f t="shared" si="12"/>
        <v>46051|ACRR</v>
      </c>
      <c r="H393" s="32" t="str">
        <f t="shared" si="13"/>
        <v>TREINO|Interarmas|2026|ACRR</v>
      </c>
      <c r="I393" s="32">
        <f>IF(G393="",0,IF(COUNTIF($G$2:G393,G393)=1,1,0))</f>
        <v>1</v>
      </c>
      <c r="J393" s="32">
        <f>IF(H393="",0,IF(COUNTIF($H$2:H393,H393)=1,1,0))</f>
        <v>0</v>
      </c>
    </row>
    <row r="394" spans="1:10" ht="14.25" hidden="1" customHeight="1" x14ac:dyDescent="0.35">
      <c r="A394" s="30" t="s">
        <v>104</v>
      </c>
      <c r="B394" t="s">
        <v>118</v>
      </c>
      <c r="C394" t="s">
        <v>76</v>
      </c>
      <c r="D394" t="s">
        <v>106</v>
      </c>
      <c r="E394" s="31">
        <v>46074</v>
      </c>
      <c r="F394" t="s">
        <v>73</v>
      </c>
      <c r="G394" s="32" t="str">
        <f t="shared" si="12"/>
        <v>Copa FPTE|1|FPTE|2026|ALRP</v>
      </c>
      <c r="H394" s="32" t="str">
        <f t="shared" si="13"/>
        <v>Copa FPTE|FPTE|2026|ALRP</v>
      </c>
      <c r="I394" s="32">
        <f>IF(G394="",0,IF(COUNTIF($G$2:G394,G394)=1,1,0))</f>
        <v>1</v>
      </c>
      <c r="J394" s="32">
        <f>IF(H394="",0,IF(COUNTIF($H$2:H394,H394)=1,1,0))</f>
        <v>1</v>
      </c>
    </row>
    <row r="395" spans="1:10" ht="14.25" hidden="1" customHeight="1" x14ac:dyDescent="0.35">
      <c r="A395" s="30" t="s">
        <v>104</v>
      </c>
      <c r="B395" t="s">
        <v>118</v>
      </c>
      <c r="C395" t="s">
        <v>76</v>
      </c>
      <c r="D395" t="s">
        <v>106</v>
      </c>
      <c r="E395" s="31">
        <v>46074</v>
      </c>
      <c r="F395" t="s">
        <v>74</v>
      </c>
      <c r="G395" s="32" t="str">
        <f t="shared" si="12"/>
        <v>Copa FPTE|1|FPTE|2026|ALRR</v>
      </c>
      <c r="H395" s="32" t="str">
        <f t="shared" si="13"/>
        <v>Copa FPTE|FPTE|2026|ALRR</v>
      </c>
      <c r="I395" s="32">
        <f>IF(G395="",0,IF(COUNTIF($G$2:G395,G395)=1,1,0))</f>
        <v>1</v>
      </c>
      <c r="J395" s="32">
        <f>IF(H395="",0,IF(COUNTIF($H$2:H395,H395)=1,1,0))</f>
        <v>1</v>
      </c>
    </row>
    <row r="396" spans="1:10" ht="14.25" hidden="1" customHeight="1" x14ac:dyDescent="0.35">
      <c r="A396" s="30" t="s">
        <v>104</v>
      </c>
      <c r="B396" t="s">
        <v>118</v>
      </c>
      <c r="C396" t="s">
        <v>76</v>
      </c>
      <c r="D396" t="s">
        <v>106</v>
      </c>
      <c r="E396" s="31">
        <v>46074</v>
      </c>
      <c r="F396" t="s">
        <v>71</v>
      </c>
      <c r="G396" s="32" t="str">
        <f t="shared" si="12"/>
        <v>Copa FPTE|1|FPTE|2026|ACRP</v>
      </c>
      <c r="H396" s="32" t="str">
        <f t="shared" si="13"/>
        <v>Copa FPTE|FPTE|2026|ACRP</v>
      </c>
      <c r="I396" s="32">
        <f>IF(G396="",0,IF(COUNTIF($G$2:G396,G396)=1,1,0))</f>
        <v>1</v>
      </c>
      <c r="J396" s="32">
        <f>IF(H396="",0,IF(COUNTIF($H$2:H396,H396)=1,1,0))</f>
        <v>1</v>
      </c>
    </row>
    <row r="397" spans="1:10" ht="14.25" hidden="1" customHeight="1" x14ac:dyDescent="0.35">
      <c r="A397" s="30" t="s">
        <v>104</v>
      </c>
      <c r="B397" t="s">
        <v>118</v>
      </c>
      <c r="C397" t="s">
        <v>76</v>
      </c>
      <c r="D397" t="s">
        <v>106</v>
      </c>
      <c r="E397" s="31">
        <v>46074</v>
      </c>
      <c r="F397" t="s">
        <v>72</v>
      </c>
      <c r="G397" s="32" t="str">
        <f t="shared" si="12"/>
        <v>Copa FPTE|1|FPTE|2026|ACRR</v>
      </c>
      <c r="H397" s="32" t="str">
        <f t="shared" si="13"/>
        <v>Copa FPTE|FPTE|2026|ACRR</v>
      </c>
      <c r="I397" s="32">
        <f>IF(G397="",0,IF(COUNTIF($G$2:G397,G397)=1,1,0))</f>
        <v>1</v>
      </c>
      <c r="J397" s="32">
        <f>IF(H397="",0,IF(COUNTIF($H$2:H397,H397)=1,1,0))</f>
        <v>1</v>
      </c>
    </row>
    <row r="398" spans="1:10" ht="14.25" hidden="1" customHeight="1" x14ac:dyDescent="0.35">
      <c r="A398" s="33" t="s">
        <v>126</v>
      </c>
      <c r="B398" t="s">
        <v>127</v>
      </c>
      <c r="C398" s="34" t="s">
        <v>80</v>
      </c>
      <c r="D398" s="34" t="s">
        <v>128</v>
      </c>
      <c r="E398" s="31">
        <v>46074</v>
      </c>
      <c r="F398" s="7" t="s">
        <v>71</v>
      </c>
      <c r="G398" s="32" t="str">
        <f t="shared" si="12"/>
        <v>46074|ACRP</v>
      </c>
      <c r="H398" s="32" t="str">
        <f t="shared" si="13"/>
        <v>TREINO|Interarmas|2026|ACRP</v>
      </c>
      <c r="I398" s="32">
        <f>IF(G398="",0,IF(COUNTIF($G$2:G398,G398)=1,1,0))</f>
        <v>1</v>
      </c>
      <c r="J398" s="32">
        <f>IF(H398="",0,IF(COUNTIF($H$2:H398,H398)=1,1,0))</f>
        <v>0</v>
      </c>
    </row>
    <row r="399" spans="1:10" ht="14.25" hidden="1" customHeight="1" x14ac:dyDescent="0.35">
      <c r="A399" s="30" t="s">
        <v>126</v>
      </c>
      <c r="B399" t="s">
        <v>127</v>
      </c>
      <c r="C399" t="s">
        <v>80</v>
      </c>
      <c r="D399" t="s">
        <v>128</v>
      </c>
      <c r="E399" s="31">
        <v>46074</v>
      </c>
      <c r="F399" s="7" t="s">
        <v>74</v>
      </c>
      <c r="G399" s="32" t="str">
        <f t="shared" si="12"/>
        <v>46074|ALRR</v>
      </c>
      <c r="H399" s="32" t="str">
        <f t="shared" si="13"/>
        <v>TREINO|Interarmas|2026|ALRR</v>
      </c>
      <c r="I399" s="32">
        <f>IF(G399="",0,IF(COUNTIF($G$2:G399,G399)=1,1,0))</f>
        <v>1</v>
      </c>
      <c r="J399" s="32">
        <f>IF(H399="",0,IF(COUNTIF($H$2:H399,H399)=1,1,0))</f>
        <v>0</v>
      </c>
    </row>
    <row r="400" spans="1:10" ht="14.25" hidden="1" customHeight="1" x14ac:dyDescent="0.35">
      <c r="A400" s="30" t="s">
        <v>126</v>
      </c>
      <c r="B400" t="s">
        <v>127</v>
      </c>
      <c r="C400" t="s">
        <v>80</v>
      </c>
      <c r="D400" t="s">
        <v>128</v>
      </c>
      <c r="E400" s="31">
        <v>46074</v>
      </c>
      <c r="F400" s="7" t="s">
        <v>73</v>
      </c>
      <c r="G400" s="32" t="str">
        <f t="shared" si="12"/>
        <v>46074|ALRP</v>
      </c>
      <c r="H400" s="32" t="str">
        <f t="shared" si="13"/>
        <v>TREINO|Interarmas|2026|ALRP</v>
      </c>
      <c r="I400" s="32">
        <f>IF(G400="",0,IF(COUNTIF($G$2:G400,G400)=1,1,0))</f>
        <v>1</v>
      </c>
      <c r="J400" s="32">
        <f>IF(H400="",0,IF(COUNTIF($H$2:H400,H400)=1,1,0))</f>
        <v>0</v>
      </c>
    </row>
    <row r="401" spans="1:10" ht="14.25" hidden="1" customHeight="1" x14ac:dyDescent="0.35">
      <c r="A401" s="30" t="s">
        <v>126</v>
      </c>
      <c r="B401" t="s">
        <v>127</v>
      </c>
      <c r="C401" t="s">
        <v>80</v>
      </c>
      <c r="D401" t="s">
        <v>128</v>
      </c>
      <c r="E401" s="31">
        <v>46074</v>
      </c>
      <c r="F401" s="7" t="s">
        <v>72</v>
      </c>
      <c r="G401" s="32" t="str">
        <f t="shared" si="12"/>
        <v>46074|ACRR</v>
      </c>
      <c r="H401" s="32" t="str">
        <f t="shared" si="13"/>
        <v>TREINO|Interarmas|2026|ACRR</v>
      </c>
      <c r="I401" s="32">
        <f>IF(G401="",0,IF(COUNTIF($G$2:G401,G401)=1,1,0))</f>
        <v>1</v>
      </c>
      <c r="J401" s="32">
        <f>IF(H401="",0,IF(COUNTIF($H$2:H401,H401)=1,1,0))</f>
        <v>0</v>
      </c>
    </row>
    <row r="402" spans="1:10" ht="14.25" hidden="1" customHeight="1" x14ac:dyDescent="0.35">
      <c r="A402" s="30" t="s">
        <v>126</v>
      </c>
      <c r="B402" t="s">
        <v>127</v>
      </c>
      <c r="C402" t="s">
        <v>80</v>
      </c>
      <c r="D402" t="s">
        <v>128</v>
      </c>
      <c r="E402" s="31">
        <v>46077</v>
      </c>
      <c r="F402" s="7" t="s">
        <v>71</v>
      </c>
      <c r="G402" s="32" t="str">
        <f t="shared" si="12"/>
        <v>46077|ACRP</v>
      </c>
      <c r="H402" s="32" t="str">
        <f t="shared" si="13"/>
        <v>TREINO|Interarmas|2026|ACRP</v>
      </c>
      <c r="I402" s="32">
        <f>IF(G402="",0,IF(COUNTIF($G$2:G402,G402)=1,1,0))</f>
        <v>1</v>
      </c>
      <c r="J402" s="32">
        <f>IF(H402="",0,IF(COUNTIF($H$2:H402,H402)=1,1,0))</f>
        <v>0</v>
      </c>
    </row>
    <row r="403" spans="1:10" ht="14.25" hidden="1" customHeight="1" x14ac:dyDescent="0.35">
      <c r="A403" s="30" t="s">
        <v>126</v>
      </c>
      <c r="B403" t="s">
        <v>127</v>
      </c>
      <c r="C403" t="s">
        <v>80</v>
      </c>
      <c r="D403" t="s">
        <v>128</v>
      </c>
      <c r="E403" s="31">
        <v>46077</v>
      </c>
      <c r="F403" s="7" t="s">
        <v>74</v>
      </c>
      <c r="G403" s="32" t="str">
        <f t="shared" si="12"/>
        <v>46077|ALRR</v>
      </c>
      <c r="H403" s="32" t="str">
        <f t="shared" si="13"/>
        <v>TREINO|Interarmas|2026|ALRR</v>
      </c>
      <c r="I403" s="32">
        <f>IF(G403="",0,IF(COUNTIF($G$2:G403,G403)=1,1,0))</f>
        <v>1</v>
      </c>
      <c r="J403" s="32">
        <f>IF(H403="",0,IF(COUNTIF($H$2:H403,H403)=1,1,0))</f>
        <v>0</v>
      </c>
    </row>
    <row r="404" spans="1:10" ht="14.25" hidden="1" customHeight="1" x14ac:dyDescent="0.35">
      <c r="A404" s="33" t="s">
        <v>126</v>
      </c>
      <c r="B404" t="s">
        <v>127</v>
      </c>
      <c r="C404" s="34" t="s">
        <v>80</v>
      </c>
      <c r="D404" s="34" t="s">
        <v>128</v>
      </c>
      <c r="E404" s="31">
        <v>46077</v>
      </c>
      <c r="F404" s="7" t="s">
        <v>73</v>
      </c>
      <c r="G404" s="32" t="str">
        <f t="shared" si="12"/>
        <v>46077|ALRP</v>
      </c>
      <c r="H404" s="32" t="str">
        <f t="shared" si="13"/>
        <v>TREINO|Interarmas|2026|ALRP</v>
      </c>
      <c r="I404" s="32">
        <f>IF(G404="",0,IF(COUNTIF($G$2:G404,G404)=1,1,0))</f>
        <v>1</v>
      </c>
      <c r="J404" s="32">
        <f>IF(H404="",0,IF(COUNTIF($H$2:H404,H404)=1,1,0))</f>
        <v>0</v>
      </c>
    </row>
    <row r="405" spans="1:10" ht="14.25" hidden="1" customHeight="1" x14ac:dyDescent="0.35">
      <c r="A405" s="30" t="s">
        <v>126</v>
      </c>
      <c r="B405" t="s">
        <v>127</v>
      </c>
      <c r="C405" t="s">
        <v>80</v>
      </c>
      <c r="D405" t="s">
        <v>128</v>
      </c>
      <c r="E405" s="31">
        <v>46077</v>
      </c>
      <c r="F405" s="7" t="s">
        <v>72</v>
      </c>
      <c r="G405" s="32" t="str">
        <f t="shared" si="12"/>
        <v>46077|ACRR</v>
      </c>
      <c r="H405" s="32" t="str">
        <f t="shared" si="13"/>
        <v>TREINO|Interarmas|2026|ACRR</v>
      </c>
      <c r="I405" s="32">
        <f>IF(G405="",0,IF(COUNTIF($G$2:G405,G405)=1,1,0))</f>
        <v>1</v>
      </c>
      <c r="J405" s="32">
        <f>IF(H405="",0,IF(COUNTIF($H$2:H405,H405)=1,1,0))</f>
        <v>0</v>
      </c>
    </row>
    <row r="406" spans="1:10" ht="14.25" hidden="1" customHeight="1" x14ac:dyDescent="0.35">
      <c r="A406" s="30" t="s">
        <v>138</v>
      </c>
      <c r="B406" t="s">
        <v>105</v>
      </c>
      <c r="C406" t="s">
        <v>76</v>
      </c>
      <c r="D406" t="s">
        <v>106</v>
      </c>
      <c r="E406" s="31">
        <v>46078</v>
      </c>
      <c r="F406" t="s">
        <v>72</v>
      </c>
      <c r="G406" s="32" t="str">
        <f t="shared" si="12"/>
        <v>Paulista e Nacional Light 2026|2|FPTE|2026|ACRR</v>
      </c>
      <c r="H406" s="32" t="str">
        <f t="shared" si="13"/>
        <v>Paulista e Nacional Light 2026|FPTE|2026|ACRR</v>
      </c>
      <c r="I406" s="32">
        <f>IF(G406="",0,IF(COUNTIF($G$2:G406,G406)=1,1,0))</f>
        <v>1</v>
      </c>
      <c r="J406" s="32">
        <f>IF(H406="",0,IF(COUNTIF($H$2:H406,H406)=1,1,0))</f>
        <v>1</v>
      </c>
    </row>
    <row r="407" spans="1:10" ht="14.25" hidden="1" customHeight="1" x14ac:dyDescent="0.35">
      <c r="A407" s="30" t="s">
        <v>138</v>
      </c>
      <c r="B407" t="s">
        <v>105</v>
      </c>
      <c r="C407" t="s">
        <v>76</v>
      </c>
      <c r="D407" t="s">
        <v>106</v>
      </c>
      <c r="E407" s="31">
        <v>46078</v>
      </c>
      <c r="F407" t="s">
        <v>71</v>
      </c>
      <c r="G407" s="32" t="str">
        <f t="shared" si="12"/>
        <v>Paulista e Nacional Light 2026|2|FPTE|2026|ACRP</v>
      </c>
      <c r="H407" s="32" t="str">
        <f t="shared" si="13"/>
        <v>Paulista e Nacional Light 2026|FPTE|2026|ACRP</v>
      </c>
      <c r="I407" s="32">
        <f>IF(G407="",0,IF(COUNTIF($G$2:G407,G407)=1,1,0))</f>
        <v>1</v>
      </c>
      <c r="J407" s="32">
        <f>IF(H407="",0,IF(COUNTIF($H$2:H407,H407)=1,1,0))</f>
        <v>1</v>
      </c>
    </row>
    <row r="408" spans="1:10" ht="14.25" hidden="1" customHeight="1" x14ac:dyDescent="0.35">
      <c r="A408" s="30" t="s">
        <v>138</v>
      </c>
      <c r="B408" t="s">
        <v>105</v>
      </c>
      <c r="C408" t="s">
        <v>76</v>
      </c>
      <c r="D408" t="s">
        <v>106</v>
      </c>
      <c r="E408" s="31">
        <v>46078</v>
      </c>
      <c r="F408" t="s">
        <v>73</v>
      </c>
      <c r="G408" s="32" t="str">
        <f t="shared" si="12"/>
        <v>Paulista e Nacional Light 2026|2|FPTE|2026|ALRP</v>
      </c>
      <c r="H408" s="32" t="str">
        <f t="shared" si="13"/>
        <v>Paulista e Nacional Light 2026|FPTE|2026|ALRP</v>
      </c>
      <c r="I408" s="32">
        <f>IF(G408="",0,IF(COUNTIF($G$2:G408,G408)=1,1,0))</f>
        <v>1</v>
      </c>
      <c r="J408" s="32">
        <f>IF(H408="",0,IF(COUNTIF($H$2:H408,H408)=1,1,0))</f>
        <v>1</v>
      </c>
    </row>
    <row r="409" spans="1:10" ht="14.25" hidden="1" customHeight="1" x14ac:dyDescent="0.35">
      <c r="A409" s="30" t="s">
        <v>138</v>
      </c>
      <c r="B409" t="s">
        <v>105</v>
      </c>
      <c r="C409" t="s">
        <v>76</v>
      </c>
      <c r="D409" t="s">
        <v>106</v>
      </c>
      <c r="E409" s="31">
        <v>46078</v>
      </c>
      <c r="F409" t="s">
        <v>74</v>
      </c>
      <c r="G409" s="32" t="str">
        <f t="shared" si="12"/>
        <v>Paulista e Nacional Light 2026|2|FPTE|2026|ALRR</v>
      </c>
      <c r="H409" s="32" t="str">
        <f t="shared" si="13"/>
        <v>Paulista e Nacional Light 2026|FPTE|2026|ALRR</v>
      </c>
      <c r="I409" s="32">
        <f>IF(G409="",0,IF(COUNTIF($G$2:G409,G409)=1,1,0))</f>
        <v>1</v>
      </c>
      <c r="J409" s="32">
        <f>IF(H409="",0,IF(COUNTIF($H$2:H409,H409)=1,1,0))</f>
        <v>1</v>
      </c>
    </row>
    <row r="410" spans="1:10" ht="14.25" hidden="1" customHeight="1" x14ac:dyDescent="0.35">
      <c r="A410" s="30" t="s">
        <v>124</v>
      </c>
      <c r="B410" t="s">
        <v>105</v>
      </c>
      <c r="C410" t="s">
        <v>78</v>
      </c>
      <c r="D410" t="s">
        <v>115</v>
      </c>
      <c r="E410" s="31">
        <v>46079</v>
      </c>
      <c r="F410" t="s">
        <v>74</v>
      </c>
      <c r="G410" s="32" t="str">
        <f t="shared" si="12"/>
        <v>NACIONAL LIGHT|2|CBTE|2026|ALRR</v>
      </c>
      <c r="H410" s="32" t="str">
        <f t="shared" si="13"/>
        <v>NACIONAL LIGHT|CBTE|2026|ALRR</v>
      </c>
      <c r="I410" s="32">
        <f>IF(G410="",0,IF(COUNTIF($G$2:G410,G410)=1,1,0))</f>
        <v>1</v>
      </c>
      <c r="J410" s="32">
        <f>IF(H410="",0,IF(COUNTIF($H$2:H410,H410)=1,1,0))</f>
        <v>1</v>
      </c>
    </row>
    <row r="411" spans="1:10" ht="14.25" hidden="1" customHeight="1" x14ac:dyDescent="0.35">
      <c r="A411" s="30" t="s">
        <v>139</v>
      </c>
      <c r="B411" t="s">
        <v>105</v>
      </c>
      <c r="C411" t="s">
        <v>82</v>
      </c>
      <c r="D411" t="s">
        <v>115</v>
      </c>
      <c r="E411" s="31">
        <v>46080</v>
      </c>
      <c r="F411" t="s">
        <v>74</v>
      </c>
      <c r="G411" s="32" t="str">
        <f t="shared" si="12"/>
        <v>Nacional Power Defense|2|Anacac|2026|ALRR</v>
      </c>
      <c r="H411" s="32" t="str">
        <f t="shared" si="13"/>
        <v>Nacional Power Defense|Anacac|2026|ALRR</v>
      </c>
      <c r="I411" s="32">
        <f>IF(G411="",0,IF(COUNTIF($G$2:G411,G411)=1,1,0))</f>
        <v>1</v>
      </c>
      <c r="J411" s="32">
        <f>IF(H411="",0,IF(COUNTIF($H$2:H411,H411)=1,1,0))</f>
        <v>1</v>
      </c>
    </row>
    <row r="412" spans="1:10" ht="14.25" hidden="1" customHeight="1" x14ac:dyDescent="0.35">
      <c r="A412" s="30" t="s">
        <v>140</v>
      </c>
      <c r="B412" t="s">
        <v>105</v>
      </c>
      <c r="C412" t="s">
        <v>82</v>
      </c>
      <c r="D412" t="s">
        <v>115</v>
      </c>
      <c r="E412" s="31">
        <v>46080</v>
      </c>
      <c r="F412" t="s">
        <v>74</v>
      </c>
      <c r="G412" s="32" t="str">
        <f t="shared" si="12"/>
        <v>Short Range|2|Anacac|2026|ALRR</v>
      </c>
      <c r="H412" s="32" t="str">
        <f t="shared" si="13"/>
        <v>Short Range|Anacac|2026|ALRR</v>
      </c>
      <c r="I412" s="32">
        <f>IF(G412="",0,IF(COUNTIF($G$2:G412,G412)=1,1,0))</f>
        <v>1</v>
      </c>
      <c r="J412" s="32">
        <f>IF(H412="",0,IF(COUNTIF($H$2:H412,H412)=1,1,0))</f>
        <v>1</v>
      </c>
    </row>
    <row r="413" spans="1:10" ht="14.25" hidden="1" customHeight="1" x14ac:dyDescent="0.35">
      <c r="A413" s="30" t="s">
        <v>139</v>
      </c>
      <c r="B413" t="s">
        <v>105</v>
      </c>
      <c r="C413" t="s">
        <v>82</v>
      </c>
      <c r="D413" t="s">
        <v>115</v>
      </c>
      <c r="E413" s="31">
        <v>46080</v>
      </c>
      <c r="F413" t="s">
        <v>71</v>
      </c>
      <c r="G413" s="32" t="str">
        <f t="shared" si="12"/>
        <v>Nacional Power Defense|2|Anacac|2026|ACRP</v>
      </c>
      <c r="H413" s="32" t="str">
        <f t="shared" si="13"/>
        <v>Nacional Power Defense|Anacac|2026|ACRP</v>
      </c>
      <c r="I413" s="32">
        <f>IF(G413="",0,IF(COUNTIF($G$2:G413,G413)=1,1,0))</f>
        <v>1</v>
      </c>
      <c r="J413" s="32">
        <f>IF(H413="",0,IF(COUNTIF($H$2:H413,H413)=1,1,0))</f>
        <v>1</v>
      </c>
    </row>
    <row r="414" spans="1:10" ht="14.25" hidden="1" customHeight="1" x14ac:dyDescent="0.35">
      <c r="A414" s="30" t="s">
        <v>139</v>
      </c>
      <c r="B414" t="s">
        <v>105</v>
      </c>
      <c r="C414" t="s">
        <v>82</v>
      </c>
      <c r="D414" t="s">
        <v>115</v>
      </c>
      <c r="E414" s="31">
        <v>46080</v>
      </c>
      <c r="F414" t="s">
        <v>71</v>
      </c>
      <c r="G414" s="32" t="str">
        <f t="shared" si="12"/>
        <v>Nacional Power Defense|2|Anacac|2026|ACRP</v>
      </c>
      <c r="H414" s="32" t="str">
        <f t="shared" si="13"/>
        <v>Nacional Power Defense|Anacac|2026|ACRP</v>
      </c>
      <c r="I414" s="32">
        <f>IF(G414="",0,IF(COUNTIF($G$2:G414,G414)=1,1,0))</f>
        <v>0</v>
      </c>
      <c r="J414" s="32">
        <f>IF(H414="",0,IF(COUNTIF($H$2:H414,H414)=1,1,0))</f>
        <v>0</v>
      </c>
    </row>
    <row r="415" spans="1:10" ht="14.25" hidden="1" customHeight="1" x14ac:dyDescent="0.35">
      <c r="A415" s="30" t="s">
        <v>140</v>
      </c>
      <c r="B415" t="s">
        <v>105</v>
      </c>
      <c r="C415" t="s">
        <v>82</v>
      </c>
      <c r="D415" t="s">
        <v>115</v>
      </c>
      <c r="E415" s="31">
        <v>46080</v>
      </c>
      <c r="F415" t="s">
        <v>71</v>
      </c>
      <c r="G415" s="32" t="str">
        <f t="shared" si="12"/>
        <v>Short Range|2|Anacac|2026|ACRP</v>
      </c>
      <c r="H415" s="32" t="str">
        <f t="shared" si="13"/>
        <v>Short Range|Anacac|2026|ACRP</v>
      </c>
      <c r="I415" s="32">
        <f>IF(G415="",0,IF(COUNTIF($G$2:G415,G415)=1,1,0))</f>
        <v>1</v>
      </c>
      <c r="J415" s="32">
        <f>IF(H415="",0,IF(COUNTIF($H$2:H415,H415)=1,1,0))</f>
        <v>1</v>
      </c>
    </row>
    <row r="416" spans="1:10" ht="14.25" hidden="1" customHeight="1" x14ac:dyDescent="0.35">
      <c r="A416" s="30" t="s">
        <v>140</v>
      </c>
      <c r="B416" t="s">
        <v>105</v>
      </c>
      <c r="C416" t="s">
        <v>82</v>
      </c>
      <c r="D416" t="s">
        <v>115</v>
      </c>
      <c r="E416" s="31">
        <v>46080</v>
      </c>
      <c r="F416" t="s">
        <v>72</v>
      </c>
      <c r="G416" s="32" t="str">
        <f t="shared" si="12"/>
        <v>Short Range|2|Anacac|2026|ACRR</v>
      </c>
      <c r="H416" s="32" t="str">
        <f t="shared" si="13"/>
        <v>Short Range|Anacac|2026|ACRR</v>
      </c>
      <c r="I416" s="32">
        <f>IF(G416="",0,IF(COUNTIF($G$2:G416,G416)=1,1,0))</f>
        <v>1</v>
      </c>
      <c r="J416" s="32">
        <f>IF(H416="",0,IF(COUNTIF($H$2:H416,H416)=1,1,0))</f>
        <v>1</v>
      </c>
    </row>
    <row r="417" spans="1:10" ht="14.25" hidden="1" customHeight="1" x14ac:dyDescent="0.35">
      <c r="A417" s="30" t="s">
        <v>124</v>
      </c>
      <c r="B417" t="s">
        <v>105</v>
      </c>
      <c r="C417" t="s">
        <v>78</v>
      </c>
      <c r="D417" t="s">
        <v>115</v>
      </c>
      <c r="E417" s="31">
        <v>46080</v>
      </c>
      <c r="F417" t="s">
        <v>71</v>
      </c>
      <c r="G417" s="32" t="str">
        <f t="shared" si="12"/>
        <v>NACIONAL LIGHT|2|CBTE|2026|ACRP</v>
      </c>
      <c r="H417" s="32" t="str">
        <f t="shared" si="13"/>
        <v>NACIONAL LIGHT|CBTE|2026|ACRP</v>
      </c>
      <c r="I417" s="32">
        <f>IF(G417="",0,IF(COUNTIF($G$2:G417,G417)=1,1,0))</f>
        <v>1</v>
      </c>
      <c r="J417" s="32">
        <f>IF(H417="",0,IF(COUNTIF($H$2:H417,H417)=1,1,0))</f>
        <v>1</v>
      </c>
    </row>
    <row r="418" spans="1:10" ht="14.25" hidden="1" customHeight="1" x14ac:dyDescent="0.35">
      <c r="A418" s="30" t="s">
        <v>124</v>
      </c>
      <c r="B418" t="s">
        <v>105</v>
      </c>
      <c r="C418" t="s">
        <v>78</v>
      </c>
      <c r="D418" t="s">
        <v>115</v>
      </c>
      <c r="E418" s="31">
        <v>46080</v>
      </c>
      <c r="F418" t="s">
        <v>72</v>
      </c>
      <c r="G418" s="32" t="str">
        <f t="shared" si="12"/>
        <v>NACIONAL LIGHT|2|CBTE|2026|ACRR</v>
      </c>
      <c r="H418" s="32" t="str">
        <f t="shared" si="13"/>
        <v>NACIONAL LIGHT|CBTE|2026|ACRR</v>
      </c>
      <c r="I418" s="32">
        <f>IF(G418="",0,IF(COUNTIF($G$2:G418,G418)=1,1,0))</f>
        <v>1</v>
      </c>
      <c r="J418" s="32">
        <f>IF(H418="",0,IF(COUNTIF($H$2:H418,H418)=1,1,0))</f>
        <v>1</v>
      </c>
    </row>
    <row r="419" spans="1:10" ht="14.25" hidden="1" customHeight="1" x14ac:dyDescent="0.35">
      <c r="A419" s="30" t="s">
        <v>124</v>
      </c>
      <c r="B419" t="s">
        <v>105</v>
      </c>
      <c r="C419" t="s">
        <v>78</v>
      </c>
      <c r="D419" t="s">
        <v>115</v>
      </c>
      <c r="E419" s="31">
        <v>46080</v>
      </c>
      <c r="F419" t="s">
        <v>73</v>
      </c>
      <c r="G419" s="32" t="str">
        <f t="shared" si="12"/>
        <v>NACIONAL LIGHT|2|CBTE|2026|ALRP</v>
      </c>
      <c r="H419" s="32" t="str">
        <f t="shared" si="13"/>
        <v>NACIONAL LIGHT|CBTE|2026|ALRP</v>
      </c>
      <c r="I419" s="32">
        <f>IF(G419="",0,IF(COUNTIF($G$2:G419,G419)=1,1,0))</f>
        <v>1</v>
      </c>
      <c r="J419" s="32">
        <f>IF(H419="",0,IF(COUNTIF($H$2:H419,H419)=1,1,0))</f>
        <v>1</v>
      </c>
    </row>
    <row r="420" spans="1:10" ht="14.25" hidden="1" customHeight="1" x14ac:dyDescent="0.35">
      <c r="A420" s="30" t="s">
        <v>126</v>
      </c>
      <c r="B420" t="s">
        <v>127</v>
      </c>
      <c r="C420" t="s">
        <v>81</v>
      </c>
      <c r="D420" t="s">
        <v>128</v>
      </c>
      <c r="E420" s="31">
        <v>46080</v>
      </c>
      <c r="F420" t="s">
        <v>71</v>
      </c>
      <c r="G420" s="32" t="str">
        <f t="shared" si="12"/>
        <v>46080|ACRP</v>
      </c>
      <c r="H420" s="32" t="str">
        <f t="shared" si="13"/>
        <v>TREINO|Base|2026|ACRP</v>
      </c>
      <c r="I420" s="32">
        <f>IF(G420="",0,IF(COUNTIF($G$2:G420,G420)=1,1,0))</f>
        <v>1</v>
      </c>
      <c r="J420" s="32">
        <f>IF(H420="",0,IF(COUNTIF($H$2:H420,H420)=1,1,0))</f>
        <v>1</v>
      </c>
    </row>
    <row r="421" spans="1:10" ht="14.25" hidden="1" customHeight="1" x14ac:dyDescent="0.35">
      <c r="A421" s="30" t="s">
        <v>126</v>
      </c>
      <c r="B421" t="s">
        <v>127</v>
      </c>
      <c r="C421" t="s">
        <v>81</v>
      </c>
      <c r="D421" t="s">
        <v>128</v>
      </c>
      <c r="E421" s="31">
        <v>46080</v>
      </c>
      <c r="F421" t="s">
        <v>74</v>
      </c>
      <c r="G421" s="32" t="str">
        <f t="shared" si="12"/>
        <v>46080|ALRR</v>
      </c>
      <c r="H421" s="32" t="str">
        <f t="shared" si="13"/>
        <v>TREINO|Base|2026|ALRR</v>
      </c>
      <c r="I421" s="32">
        <f>IF(G421="",0,IF(COUNTIF($G$2:G421,G421)=1,1,0))</f>
        <v>1</v>
      </c>
      <c r="J421" s="32">
        <f>IF(H421="",0,IF(COUNTIF($H$2:H421,H421)=1,1,0))</f>
        <v>1</v>
      </c>
    </row>
    <row r="422" spans="1:10" ht="14.25" hidden="1" customHeight="1" x14ac:dyDescent="0.35">
      <c r="A422" s="30" t="s">
        <v>126</v>
      </c>
      <c r="B422" t="s">
        <v>127</v>
      </c>
      <c r="C422" t="s">
        <v>81</v>
      </c>
      <c r="D422" t="s">
        <v>128</v>
      </c>
      <c r="E422" s="31">
        <v>46080</v>
      </c>
      <c r="F422" t="s">
        <v>73</v>
      </c>
      <c r="G422" s="32" t="str">
        <f t="shared" si="12"/>
        <v>46080|ALRP</v>
      </c>
      <c r="H422" s="32" t="str">
        <f t="shared" si="13"/>
        <v>TREINO|Base|2026|ALRP</v>
      </c>
      <c r="I422" s="32">
        <f>IF(G422="",0,IF(COUNTIF($G$2:G422,G422)=1,1,0))</f>
        <v>1</v>
      </c>
      <c r="J422" s="32">
        <f>IF(H422="",0,IF(COUNTIF($H$2:H422,H422)=1,1,0))</f>
        <v>1</v>
      </c>
    </row>
    <row r="423" spans="1:10" ht="14.25" hidden="1" customHeight="1" x14ac:dyDescent="0.35">
      <c r="A423" s="30" t="s">
        <v>126</v>
      </c>
      <c r="B423" t="s">
        <v>127</v>
      </c>
      <c r="C423" t="s">
        <v>81</v>
      </c>
      <c r="D423" t="s">
        <v>128</v>
      </c>
      <c r="E423" s="31">
        <v>46080</v>
      </c>
      <c r="F423" s="7" t="s">
        <v>72</v>
      </c>
      <c r="G423" s="32" t="str">
        <f t="shared" si="12"/>
        <v>46080|ACRR</v>
      </c>
      <c r="H423" s="32" t="str">
        <f t="shared" si="13"/>
        <v>TREINO|Base|2026|ACRR</v>
      </c>
      <c r="I423" s="32">
        <f>IF(G423="",0,IF(COUNTIF($G$2:G423,G423)=1,1,0))</f>
        <v>1</v>
      </c>
      <c r="J423" s="32">
        <f>IF(H423="",0,IF(COUNTIF($H$2:H423,H423)=1,1,0))</f>
        <v>1</v>
      </c>
    </row>
    <row r="424" spans="1:10" ht="14.25" hidden="1" customHeight="1" x14ac:dyDescent="0.35">
      <c r="A424" s="30" t="s">
        <v>134</v>
      </c>
      <c r="B424" t="s">
        <v>105</v>
      </c>
      <c r="C424" t="s">
        <v>83</v>
      </c>
      <c r="D424" t="s">
        <v>115</v>
      </c>
      <c r="E424" s="31">
        <v>46080</v>
      </c>
      <c r="F424" s="7" t="s">
        <v>74</v>
      </c>
      <c r="G424" s="32" t="str">
        <f t="shared" si="12"/>
        <v>MÃO DE AÇO|2|Wargame|2026|ALRR</v>
      </c>
      <c r="H424" s="32" t="str">
        <f t="shared" si="13"/>
        <v>MÃO DE AÇO|Wargame|2026|ALRR</v>
      </c>
      <c r="I424" s="32">
        <f>IF(G424="",0,IF(COUNTIF($G$2:G424,G424)=1,1,0))</f>
        <v>1</v>
      </c>
      <c r="J424" s="32">
        <f>IF(H424="",0,IF(COUNTIF($H$2:H424,H424)=1,1,0))</f>
        <v>1</v>
      </c>
    </row>
    <row r="425" spans="1:10" ht="14.25" hidden="1" customHeight="1" x14ac:dyDescent="0.35">
      <c r="A425" s="30" t="s">
        <v>134</v>
      </c>
      <c r="B425" t="s">
        <v>105</v>
      </c>
      <c r="C425" t="s">
        <v>83</v>
      </c>
      <c r="D425" t="s">
        <v>115</v>
      </c>
      <c r="E425" s="31">
        <v>46080</v>
      </c>
      <c r="F425" s="7" t="s">
        <v>71</v>
      </c>
      <c r="G425" s="32" t="str">
        <f t="shared" si="12"/>
        <v>MÃO DE AÇO|2|Wargame|2026|ACRP</v>
      </c>
      <c r="H425" s="32" t="str">
        <f t="shared" si="13"/>
        <v>MÃO DE AÇO|Wargame|2026|ACRP</v>
      </c>
      <c r="I425" s="32">
        <f>IF(G425="",0,IF(COUNTIF($G$2:G425,G425)=1,1,0))</f>
        <v>1</v>
      </c>
      <c r="J425" s="32">
        <f>IF(H425="",0,IF(COUNTIF($H$2:H425,H425)=1,1,0))</f>
        <v>1</v>
      </c>
    </row>
    <row r="426" spans="1:10" ht="14.25" hidden="1" customHeight="1" x14ac:dyDescent="0.35">
      <c r="A426" s="30" t="s">
        <v>134</v>
      </c>
      <c r="B426" t="s">
        <v>105</v>
      </c>
      <c r="C426" t="s">
        <v>83</v>
      </c>
      <c r="D426" t="s">
        <v>115</v>
      </c>
      <c r="E426" s="31">
        <v>46080</v>
      </c>
      <c r="F426" s="7" t="s">
        <v>73</v>
      </c>
      <c r="G426" s="32" t="str">
        <f t="shared" si="12"/>
        <v>MÃO DE AÇO|2|Wargame|2026|ALRP</v>
      </c>
      <c r="H426" s="32" t="str">
        <f t="shared" si="13"/>
        <v>MÃO DE AÇO|Wargame|2026|ALRP</v>
      </c>
      <c r="I426" s="32">
        <f>IF(G426="",0,IF(COUNTIF($G$2:G426,G426)=1,1,0))</f>
        <v>1</v>
      </c>
      <c r="J426" s="32">
        <f>IF(H426="",0,IF(COUNTIF($H$2:H426,H426)=1,1,0))</f>
        <v>1</v>
      </c>
    </row>
    <row r="427" spans="1:10" ht="14.25" hidden="1" customHeight="1" x14ac:dyDescent="0.35">
      <c r="A427" s="30" t="s">
        <v>134</v>
      </c>
      <c r="B427" t="s">
        <v>105</v>
      </c>
      <c r="C427" t="s">
        <v>83</v>
      </c>
      <c r="D427" t="s">
        <v>115</v>
      </c>
      <c r="E427" s="31">
        <v>46080</v>
      </c>
      <c r="F427" s="7" t="s">
        <v>72</v>
      </c>
      <c r="G427" s="32" t="str">
        <f t="shared" si="12"/>
        <v>MÃO DE AÇO|2|Wargame|2026|ACRR</v>
      </c>
      <c r="H427" s="32" t="str">
        <f t="shared" si="13"/>
        <v>MÃO DE AÇO|Wargame|2026|ACRR</v>
      </c>
      <c r="I427" s="32">
        <f>IF(G427="",0,IF(COUNTIF($G$2:G427,G427)=1,1,0))</f>
        <v>1</v>
      </c>
      <c r="J427" s="32">
        <f>IF(H427="",0,IF(COUNTIF($H$2:H427,H427)=1,1,0))</f>
        <v>1</v>
      </c>
    </row>
    <row r="428" spans="1:10" ht="14.25" hidden="1" customHeight="1" x14ac:dyDescent="0.35">
      <c r="A428" s="30" t="s">
        <v>139</v>
      </c>
      <c r="B428" t="s">
        <v>105</v>
      </c>
      <c r="C428" t="s">
        <v>82</v>
      </c>
      <c r="D428" t="s">
        <v>115</v>
      </c>
      <c r="E428" s="31">
        <v>46081</v>
      </c>
      <c r="F428" t="s">
        <v>73</v>
      </c>
      <c r="G428" s="32" t="str">
        <f t="shared" si="12"/>
        <v>Nacional Power Defense|2|Anacac|2026|ALRP</v>
      </c>
      <c r="H428" s="32" t="str">
        <f t="shared" si="13"/>
        <v>Nacional Power Defense|Anacac|2026|ALRP</v>
      </c>
      <c r="I428" s="32">
        <f>IF(G428="",0,IF(COUNTIF($G$2:G428,G428)=1,1,0))</f>
        <v>1</v>
      </c>
      <c r="J428" s="32">
        <f>IF(H428="",0,IF(COUNTIF($H$2:H428,H428)=1,1,0))</f>
        <v>1</v>
      </c>
    </row>
    <row r="429" spans="1:10" ht="14.25" hidden="1" customHeight="1" x14ac:dyDescent="0.35">
      <c r="A429" s="30" t="s">
        <v>140</v>
      </c>
      <c r="B429" t="s">
        <v>105</v>
      </c>
      <c r="C429" t="s">
        <v>82</v>
      </c>
      <c r="D429" t="s">
        <v>115</v>
      </c>
      <c r="E429" s="31">
        <v>46081</v>
      </c>
      <c r="F429" t="s">
        <v>73</v>
      </c>
      <c r="G429" s="32" t="str">
        <f t="shared" si="12"/>
        <v>Short Range|2|Anacac|2026|ALRP</v>
      </c>
      <c r="H429" s="32" t="str">
        <f t="shared" si="13"/>
        <v>Short Range|Anacac|2026|ALRP</v>
      </c>
      <c r="I429" s="32">
        <f>IF(G429="",0,IF(COUNTIF($G$2:G429,G429)=1,1,0))</f>
        <v>1</v>
      </c>
      <c r="J429" s="32">
        <f>IF(H429="",0,IF(COUNTIF($H$2:H429,H429)=1,1,0))</f>
        <v>1</v>
      </c>
    </row>
    <row r="430" spans="1:10" ht="14.25" hidden="1" customHeight="1" x14ac:dyDescent="0.35">
      <c r="A430" s="30" t="s">
        <v>138</v>
      </c>
      <c r="B430" t="s">
        <v>111</v>
      </c>
      <c r="C430" t="s">
        <v>76</v>
      </c>
      <c r="D430" t="s">
        <v>106</v>
      </c>
      <c r="E430" s="31">
        <v>46087</v>
      </c>
      <c r="F430" t="s">
        <v>74</v>
      </c>
      <c r="G430" s="32" t="str">
        <f t="shared" si="12"/>
        <v>Paulista e Nacional Light 2026|3|FPTE|2026|ALRR</v>
      </c>
      <c r="H430" s="32" t="str">
        <f t="shared" si="13"/>
        <v>Paulista e Nacional Light 2026|FPTE|2026|ALRR</v>
      </c>
      <c r="I430" s="32">
        <f>IF(G430="",0,IF(COUNTIF($G$2:G430,G430)=1,1,0))</f>
        <v>1</v>
      </c>
      <c r="J430" s="32">
        <f>IF(H430="",0,IF(COUNTIF($H$2:H430,H430)=1,1,0))</f>
        <v>0</v>
      </c>
    </row>
    <row r="431" spans="1:10" ht="14.25" hidden="1" customHeight="1" x14ac:dyDescent="0.35">
      <c r="A431" s="30" t="s">
        <v>138</v>
      </c>
      <c r="B431" t="s">
        <v>111</v>
      </c>
      <c r="C431" t="s">
        <v>76</v>
      </c>
      <c r="D431" t="s">
        <v>106</v>
      </c>
      <c r="E431" s="31">
        <v>46087</v>
      </c>
      <c r="F431" t="s">
        <v>73</v>
      </c>
      <c r="G431" s="32" t="str">
        <f t="shared" si="12"/>
        <v>Paulista e Nacional Light 2026|3|FPTE|2026|ALRP</v>
      </c>
      <c r="H431" s="32" t="str">
        <f t="shared" si="13"/>
        <v>Paulista e Nacional Light 2026|FPTE|2026|ALRP</v>
      </c>
      <c r="I431" s="32">
        <f>IF(G431="",0,IF(COUNTIF($G$2:G431,G431)=1,1,0))</f>
        <v>1</v>
      </c>
      <c r="J431" s="32">
        <f>IF(H431="",0,IF(COUNTIF($H$2:H431,H431)=1,1,0))</f>
        <v>0</v>
      </c>
    </row>
    <row r="432" spans="1:10" ht="14.25" hidden="1" customHeight="1" x14ac:dyDescent="0.35">
      <c r="A432" s="30" t="s">
        <v>138</v>
      </c>
      <c r="B432" t="s">
        <v>111</v>
      </c>
      <c r="C432" t="s">
        <v>76</v>
      </c>
      <c r="D432" t="s">
        <v>106</v>
      </c>
      <c r="E432" s="31">
        <v>46087</v>
      </c>
      <c r="F432" t="s">
        <v>71</v>
      </c>
      <c r="G432" s="32" t="str">
        <f t="shared" si="12"/>
        <v>Paulista e Nacional Light 2026|3|FPTE|2026|ACRP</v>
      </c>
      <c r="H432" s="32" t="str">
        <f t="shared" si="13"/>
        <v>Paulista e Nacional Light 2026|FPTE|2026|ACRP</v>
      </c>
      <c r="I432" s="32">
        <f>IF(G432="",0,IF(COUNTIF($G$2:G432,G432)=1,1,0))</f>
        <v>1</v>
      </c>
      <c r="J432" s="32">
        <f>IF(H432="",0,IF(COUNTIF($H$2:H432,H432)=1,1,0))</f>
        <v>0</v>
      </c>
    </row>
    <row r="433" spans="1:10" ht="14.25" hidden="1" customHeight="1" x14ac:dyDescent="0.35">
      <c r="A433" s="30" t="s">
        <v>138</v>
      </c>
      <c r="B433" t="s">
        <v>111</v>
      </c>
      <c r="C433" t="s">
        <v>76</v>
      </c>
      <c r="D433" t="s">
        <v>106</v>
      </c>
      <c r="E433" s="31">
        <v>46087</v>
      </c>
      <c r="F433" t="s">
        <v>72</v>
      </c>
      <c r="G433" s="32" t="str">
        <f t="shared" si="12"/>
        <v>Paulista e Nacional Light 2026|3|FPTE|2026|ACRR</v>
      </c>
      <c r="H433" s="32" t="str">
        <f t="shared" si="13"/>
        <v>Paulista e Nacional Light 2026|FPTE|2026|ACRR</v>
      </c>
      <c r="I433" s="32">
        <f>IF(G433="",0,IF(COUNTIF($G$2:G433,G433)=1,1,0))</f>
        <v>1</v>
      </c>
      <c r="J433" s="32">
        <f>IF(H433="",0,IF(COUNTIF($H$2:H433,H433)=1,1,0))</f>
        <v>0</v>
      </c>
    </row>
    <row r="434" spans="1:10" ht="14.25" hidden="1" customHeight="1" x14ac:dyDescent="0.35">
      <c r="A434" s="30" t="s">
        <v>139</v>
      </c>
      <c r="B434" t="s">
        <v>111</v>
      </c>
      <c r="C434" t="s">
        <v>82</v>
      </c>
      <c r="D434" t="s">
        <v>115</v>
      </c>
      <c r="E434" s="31">
        <v>46087</v>
      </c>
      <c r="F434" t="s">
        <v>74</v>
      </c>
      <c r="G434" s="32" t="str">
        <f t="shared" si="12"/>
        <v>Nacional Power Defense|3|Anacac|2026|ALRR</v>
      </c>
      <c r="H434" s="32" t="str">
        <f t="shared" si="13"/>
        <v>Nacional Power Defense|Anacac|2026|ALRR</v>
      </c>
      <c r="I434" s="32">
        <f>IF(G434="",0,IF(COUNTIF($G$2:G434,G434)=1,1,0))</f>
        <v>1</v>
      </c>
      <c r="J434" s="32">
        <f>IF(H434="",0,IF(COUNTIF($H$2:H434,H434)=1,1,0))</f>
        <v>0</v>
      </c>
    </row>
    <row r="435" spans="1:10" ht="14.25" hidden="1" customHeight="1" x14ac:dyDescent="0.35">
      <c r="A435" s="30" t="s">
        <v>140</v>
      </c>
      <c r="B435" t="s">
        <v>111</v>
      </c>
      <c r="C435" t="s">
        <v>82</v>
      </c>
      <c r="D435" t="s">
        <v>115</v>
      </c>
      <c r="E435" s="31">
        <v>46087</v>
      </c>
      <c r="F435" t="s">
        <v>73</v>
      </c>
      <c r="G435" s="32" t="str">
        <f t="shared" si="12"/>
        <v>Short Range|3|Anacac|2026|ALRP</v>
      </c>
      <c r="H435" s="32" t="str">
        <f t="shared" si="13"/>
        <v>Short Range|Anacac|2026|ALRP</v>
      </c>
      <c r="I435" s="32">
        <f>IF(G435="",0,IF(COUNTIF($G$2:G435,G435)=1,1,0))</f>
        <v>1</v>
      </c>
      <c r="J435" s="32">
        <f>IF(H435="",0,IF(COUNTIF($H$2:H435,H435)=1,1,0))</f>
        <v>0</v>
      </c>
    </row>
    <row r="436" spans="1:10" ht="14.25" hidden="1" customHeight="1" x14ac:dyDescent="0.35">
      <c r="A436" s="30" t="s">
        <v>140</v>
      </c>
      <c r="B436" t="s">
        <v>111</v>
      </c>
      <c r="C436" t="s">
        <v>82</v>
      </c>
      <c r="D436" t="s">
        <v>115</v>
      </c>
      <c r="E436" s="31">
        <v>46087</v>
      </c>
      <c r="F436" t="s">
        <v>71</v>
      </c>
      <c r="G436" s="32" t="str">
        <f t="shared" si="12"/>
        <v>Short Range|3|Anacac|2026|ACRP</v>
      </c>
      <c r="H436" s="32" t="str">
        <f t="shared" si="13"/>
        <v>Short Range|Anacac|2026|ACRP</v>
      </c>
      <c r="I436" s="32">
        <f>IF(G436="",0,IF(COUNTIF($G$2:G436,G436)=1,1,0))</f>
        <v>1</v>
      </c>
      <c r="J436" s="32">
        <f>IF(H436="",0,IF(COUNTIF($H$2:H436,H436)=1,1,0))</f>
        <v>0</v>
      </c>
    </row>
    <row r="437" spans="1:10" ht="14.25" hidden="1" customHeight="1" x14ac:dyDescent="0.35">
      <c r="A437" s="30" t="s">
        <v>140</v>
      </c>
      <c r="B437" t="s">
        <v>111</v>
      </c>
      <c r="C437" t="s">
        <v>82</v>
      </c>
      <c r="D437" t="s">
        <v>115</v>
      </c>
      <c r="E437" s="31">
        <v>46087</v>
      </c>
      <c r="F437" t="s">
        <v>72</v>
      </c>
      <c r="G437" s="32" t="str">
        <f t="shared" si="12"/>
        <v>Short Range|3|Anacac|2026|ACRR</v>
      </c>
      <c r="H437" s="32" t="str">
        <f t="shared" si="13"/>
        <v>Short Range|Anacac|2026|ACRR</v>
      </c>
      <c r="I437" s="32">
        <f>IF(G437="",0,IF(COUNTIF($G$2:G437,G437)=1,1,0))</f>
        <v>1</v>
      </c>
      <c r="J437" s="32">
        <f>IF(H437="",0,IF(COUNTIF($H$2:H437,H437)=1,1,0))</f>
        <v>0</v>
      </c>
    </row>
    <row r="438" spans="1:10" ht="14.25" hidden="1" customHeight="1" x14ac:dyDescent="0.35">
      <c r="A438" s="30" t="s">
        <v>124</v>
      </c>
      <c r="B438" t="s">
        <v>111</v>
      </c>
      <c r="C438" t="s">
        <v>78</v>
      </c>
      <c r="D438" t="s">
        <v>115</v>
      </c>
      <c r="E438" s="31">
        <v>46087</v>
      </c>
      <c r="F438" t="s">
        <v>72</v>
      </c>
      <c r="G438" s="32" t="str">
        <f t="shared" si="12"/>
        <v>NACIONAL LIGHT|3|CBTE|2026|ACRR</v>
      </c>
      <c r="H438" s="32" t="str">
        <f t="shared" si="13"/>
        <v>NACIONAL LIGHT|CBTE|2026|ACRR</v>
      </c>
      <c r="I438" s="32">
        <f>IF(G438="",0,IF(COUNTIF($G$2:G438,G438)=1,1,0))</f>
        <v>1</v>
      </c>
      <c r="J438" s="32">
        <f>IF(H438="",0,IF(COUNTIF($H$2:H438,H438)=1,1,0))</f>
        <v>0</v>
      </c>
    </row>
    <row r="439" spans="1:10" ht="14.25" hidden="1" customHeight="1" x14ac:dyDescent="0.35">
      <c r="A439" s="30" t="s">
        <v>124</v>
      </c>
      <c r="B439" t="s">
        <v>111</v>
      </c>
      <c r="C439" t="s">
        <v>78</v>
      </c>
      <c r="D439" t="s">
        <v>115</v>
      </c>
      <c r="E439" s="31">
        <v>46087</v>
      </c>
      <c r="F439" t="s">
        <v>71</v>
      </c>
      <c r="G439" s="32" t="str">
        <f t="shared" si="12"/>
        <v>NACIONAL LIGHT|3|CBTE|2026|ACRP</v>
      </c>
      <c r="H439" s="32" t="str">
        <f t="shared" si="13"/>
        <v>NACIONAL LIGHT|CBTE|2026|ACRP</v>
      </c>
      <c r="I439" s="32">
        <f>IF(G439="",0,IF(COUNTIF($G$2:G439,G439)=1,1,0))</f>
        <v>1</v>
      </c>
      <c r="J439" s="32">
        <f>IF(H439="",0,IF(COUNTIF($H$2:H439,H439)=1,1,0))</f>
        <v>0</v>
      </c>
    </row>
    <row r="440" spans="1:10" ht="14.25" hidden="1" customHeight="1" x14ac:dyDescent="0.35">
      <c r="A440" s="30" t="s">
        <v>124</v>
      </c>
      <c r="B440" t="s">
        <v>111</v>
      </c>
      <c r="C440" t="s">
        <v>78</v>
      </c>
      <c r="D440" t="s">
        <v>115</v>
      </c>
      <c r="E440" s="31">
        <v>46087</v>
      </c>
      <c r="F440" t="s">
        <v>73</v>
      </c>
      <c r="G440" s="32" t="str">
        <f t="shared" si="12"/>
        <v>NACIONAL LIGHT|3|CBTE|2026|ALRP</v>
      </c>
      <c r="H440" s="32" t="str">
        <f t="shared" si="13"/>
        <v>NACIONAL LIGHT|CBTE|2026|ALRP</v>
      </c>
      <c r="I440" s="32">
        <f>IF(G440="",0,IF(COUNTIF($G$2:G440,G440)=1,1,0))</f>
        <v>1</v>
      </c>
      <c r="J440" s="32">
        <f>IF(H440="",0,IF(COUNTIF($H$2:H440,H440)=1,1,0))</f>
        <v>0</v>
      </c>
    </row>
    <row r="441" spans="1:10" ht="14.25" hidden="1" customHeight="1" x14ac:dyDescent="0.35">
      <c r="A441" s="30" t="s">
        <v>124</v>
      </c>
      <c r="B441" t="s">
        <v>111</v>
      </c>
      <c r="C441" t="s">
        <v>78</v>
      </c>
      <c r="D441" t="s">
        <v>115</v>
      </c>
      <c r="E441" s="31">
        <v>46087</v>
      </c>
      <c r="F441" t="s">
        <v>74</v>
      </c>
      <c r="G441" s="32" t="str">
        <f t="shared" si="12"/>
        <v>NACIONAL LIGHT|3|CBTE|2026|ALRR</v>
      </c>
      <c r="H441" s="32" t="str">
        <f t="shared" si="13"/>
        <v>NACIONAL LIGHT|CBTE|2026|ALRR</v>
      </c>
      <c r="I441" s="32">
        <f>IF(G441="",0,IF(COUNTIF($G$2:G441,G441)=1,1,0))</f>
        <v>1</v>
      </c>
      <c r="J441" s="32">
        <f>IF(H441="",0,IF(COUNTIF($H$2:H441,H441)=1,1,0))</f>
        <v>0</v>
      </c>
    </row>
    <row r="442" spans="1:10" ht="14.25" hidden="1" customHeight="1" x14ac:dyDescent="0.35">
      <c r="A442" s="30" t="s">
        <v>126</v>
      </c>
      <c r="B442" t="s">
        <v>127</v>
      </c>
      <c r="C442" t="s">
        <v>81</v>
      </c>
      <c r="D442" t="s">
        <v>128</v>
      </c>
      <c r="E442" s="31">
        <v>46087</v>
      </c>
      <c r="F442" s="7" t="s">
        <v>71</v>
      </c>
      <c r="G442" s="32" t="str">
        <f t="shared" si="12"/>
        <v>46087|ACRP</v>
      </c>
      <c r="H442" s="32" t="str">
        <f t="shared" si="13"/>
        <v>TREINO|Base|2026|ACRP</v>
      </c>
      <c r="I442" s="32">
        <f>IF(G442="",0,IF(COUNTIF($G$2:G442,G442)=1,1,0))</f>
        <v>1</v>
      </c>
      <c r="J442" s="32">
        <f>IF(H442="",0,IF(COUNTIF($H$2:H442,H442)=1,1,0))</f>
        <v>0</v>
      </c>
    </row>
    <row r="443" spans="1:10" ht="14.25" hidden="1" customHeight="1" x14ac:dyDescent="0.35">
      <c r="A443" s="30" t="s">
        <v>126</v>
      </c>
      <c r="B443" t="s">
        <v>127</v>
      </c>
      <c r="C443" t="s">
        <v>81</v>
      </c>
      <c r="D443" t="s">
        <v>128</v>
      </c>
      <c r="E443" s="31">
        <v>46087</v>
      </c>
      <c r="F443" t="s">
        <v>75</v>
      </c>
      <c r="G443" s="32" t="str">
        <f t="shared" si="12"/>
        <v>46087|ALLP</v>
      </c>
      <c r="H443" s="32" t="str">
        <f t="shared" si="13"/>
        <v>TREINO|Base|2026|ALLP</v>
      </c>
      <c r="I443" s="32">
        <f>IF(G443="",0,IF(COUNTIF($G$2:G443,G443)=1,1,0))</f>
        <v>1</v>
      </c>
      <c r="J443" s="32">
        <f>IF(H443="",0,IF(COUNTIF($H$2:H443,H443)=1,1,0))</f>
        <v>1</v>
      </c>
    </row>
    <row r="444" spans="1:10" ht="14.25" hidden="1" customHeight="1" x14ac:dyDescent="0.35">
      <c r="A444" s="30" t="s">
        <v>126</v>
      </c>
      <c r="B444" t="s">
        <v>127</v>
      </c>
      <c r="C444" t="s">
        <v>81</v>
      </c>
      <c r="D444" t="s">
        <v>128</v>
      </c>
      <c r="E444" s="31">
        <v>46087</v>
      </c>
      <c r="F444" t="s">
        <v>73</v>
      </c>
      <c r="G444" s="32" t="str">
        <f t="shared" si="12"/>
        <v>46087|ALRP</v>
      </c>
      <c r="H444" s="32" t="str">
        <f t="shared" si="13"/>
        <v>TREINO|Base|2026|ALRP</v>
      </c>
      <c r="I444" s="32">
        <f>IF(G444="",0,IF(COUNTIF($G$2:G444,G444)=1,1,0))</f>
        <v>1</v>
      </c>
      <c r="J444" s="32">
        <f>IF(H444="",0,IF(COUNTIF($H$2:H444,H444)=1,1,0))</f>
        <v>0</v>
      </c>
    </row>
    <row r="445" spans="1:10" ht="14.25" hidden="1" customHeight="1" x14ac:dyDescent="0.35">
      <c r="A445" s="30" t="s">
        <v>126</v>
      </c>
      <c r="B445" t="s">
        <v>127</v>
      </c>
      <c r="C445" t="s">
        <v>81</v>
      </c>
      <c r="D445" t="s">
        <v>128</v>
      </c>
      <c r="E445" s="31">
        <v>46087</v>
      </c>
      <c r="F445" t="s">
        <v>74</v>
      </c>
      <c r="G445" s="32" t="str">
        <f t="shared" si="12"/>
        <v>46087|ALRR</v>
      </c>
      <c r="H445" s="32" t="str">
        <f t="shared" si="13"/>
        <v>TREINO|Base|2026|ALRR</v>
      </c>
      <c r="I445" s="32">
        <f>IF(G445="",0,IF(COUNTIF($G$2:G445,G445)=1,1,0))</f>
        <v>1</v>
      </c>
      <c r="J445" s="32">
        <f>IF(H445="",0,IF(COUNTIF($H$2:H445,H445)=1,1,0))</f>
        <v>0</v>
      </c>
    </row>
    <row r="446" spans="1:10" ht="14.25" hidden="1" customHeight="1" x14ac:dyDescent="0.35">
      <c r="A446" s="30" t="s">
        <v>126</v>
      </c>
      <c r="B446" t="s">
        <v>127</v>
      </c>
      <c r="C446" t="s">
        <v>81</v>
      </c>
      <c r="D446" t="s">
        <v>128</v>
      </c>
      <c r="E446" s="31">
        <v>46087</v>
      </c>
      <c r="F446" t="s">
        <v>72</v>
      </c>
      <c r="G446" s="32" t="str">
        <f t="shared" si="12"/>
        <v>46087|ACRR</v>
      </c>
      <c r="H446" s="32" t="str">
        <f t="shared" si="13"/>
        <v>TREINO|Base|2026|ACRR</v>
      </c>
      <c r="I446" s="32">
        <f>IF(G446="",0,IF(COUNTIF($G$2:G446,G446)=1,1,0))</f>
        <v>1</v>
      </c>
      <c r="J446" s="32">
        <f>IF(H446="",0,IF(COUNTIF($H$2:H446,H446)=1,1,0))</f>
        <v>0</v>
      </c>
    </row>
    <row r="447" spans="1:10" ht="14.25" hidden="1" customHeight="1" x14ac:dyDescent="0.35">
      <c r="A447" s="30" t="s">
        <v>134</v>
      </c>
      <c r="B447" t="s">
        <v>111</v>
      </c>
      <c r="C447" t="s">
        <v>83</v>
      </c>
      <c r="D447" t="s">
        <v>115</v>
      </c>
      <c r="E447" s="31">
        <v>46087</v>
      </c>
      <c r="F447" s="7" t="s">
        <v>72</v>
      </c>
      <c r="G447" s="32" t="str">
        <f t="shared" si="12"/>
        <v>MÃO DE AÇO|3|Wargame|2026|ACRR</v>
      </c>
      <c r="H447" s="32" t="str">
        <f t="shared" si="13"/>
        <v>MÃO DE AÇO|Wargame|2026|ACRR</v>
      </c>
      <c r="I447" s="32">
        <f>IF(G447="",0,IF(COUNTIF($G$2:G447,G447)=1,1,0))</f>
        <v>1</v>
      </c>
      <c r="J447" s="32">
        <f>IF(H447="",0,IF(COUNTIF($H$2:H447,H447)=1,1,0))</f>
        <v>0</v>
      </c>
    </row>
    <row r="448" spans="1:10" ht="14.25" hidden="1" customHeight="1" x14ac:dyDescent="0.35">
      <c r="A448" s="30" t="s">
        <v>134</v>
      </c>
      <c r="B448" t="s">
        <v>111</v>
      </c>
      <c r="C448" t="s">
        <v>83</v>
      </c>
      <c r="D448" t="s">
        <v>115</v>
      </c>
      <c r="E448" s="31">
        <v>46087</v>
      </c>
      <c r="F448" s="7" t="s">
        <v>73</v>
      </c>
      <c r="G448" s="32" t="str">
        <f t="shared" si="12"/>
        <v>MÃO DE AÇO|3|Wargame|2026|ALRP</v>
      </c>
      <c r="H448" s="32" t="str">
        <f t="shared" si="13"/>
        <v>MÃO DE AÇO|Wargame|2026|ALRP</v>
      </c>
      <c r="I448" s="32">
        <f>IF(G448="",0,IF(COUNTIF($G$2:G448,G448)=1,1,0))</f>
        <v>1</v>
      </c>
      <c r="J448" s="32">
        <f>IF(H448="",0,IF(COUNTIF($H$2:H448,H448)=1,1,0))</f>
        <v>0</v>
      </c>
    </row>
    <row r="449" spans="1:10" ht="14.25" hidden="1" customHeight="1" x14ac:dyDescent="0.35">
      <c r="A449" s="30" t="s">
        <v>126</v>
      </c>
      <c r="B449" t="s">
        <v>127</v>
      </c>
      <c r="C449" t="s">
        <v>80</v>
      </c>
      <c r="D449" t="s">
        <v>128</v>
      </c>
      <c r="E449" s="31">
        <v>46109</v>
      </c>
      <c r="F449" s="7" t="s">
        <v>71</v>
      </c>
      <c r="G449" s="32" t="str">
        <f t="shared" si="12"/>
        <v>46109|ACRP</v>
      </c>
      <c r="H449" s="32" t="str">
        <f t="shared" si="13"/>
        <v>TREINO|Interarmas|2026|ACRP</v>
      </c>
      <c r="I449" s="32">
        <f>IF(G449="",0,IF(COUNTIF($G$2:G449,G449)=1,1,0))</f>
        <v>1</v>
      </c>
      <c r="J449" s="32">
        <f>IF(H449="",0,IF(COUNTIF($H$2:H449,H449)=1,1,0))</f>
        <v>0</v>
      </c>
    </row>
    <row r="450" spans="1:10" ht="14.25" hidden="1" customHeight="1" x14ac:dyDescent="0.35">
      <c r="A450" s="30" t="s">
        <v>126</v>
      </c>
      <c r="B450" t="s">
        <v>127</v>
      </c>
      <c r="C450" t="s">
        <v>80</v>
      </c>
      <c r="D450" t="s">
        <v>128</v>
      </c>
      <c r="E450" s="31">
        <v>46109</v>
      </c>
      <c r="F450" s="7" t="s">
        <v>74</v>
      </c>
      <c r="G450" s="32" t="str">
        <f t="shared" ref="G450:G513" si="14">IF(D450="T",
E450&amp;"|"&amp;F450,
A450&amp;"|"&amp;B450&amp;"|"&amp;C450&amp;"|"&amp;YEAR(E450)&amp;"|"&amp;F450)</f>
        <v>46109|ALRR</v>
      </c>
      <c r="H450" s="32" t="str">
        <f t="shared" ref="H450:H513" si="15">A450&amp;"|"&amp;C450&amp;"|"&amp;YEAR(E450)&amp;"|"&amp;F450</f>
        <v>TREINO|Interarmas|2026|ALRR</v>
      </c>
      <c r="I450" s="32">
        <f>IF(G450="",0,IF(COUNTIF($G$2:G450,G450)=1,1,0))</f>
        <v>1</v>
      </c>
      <c r="J450" s="32">
        <f>IF(H450="",0,IF(COUNTIF($H$2:H450,H450)=1,1,0))</f>
        <v>0</v>
      </c>
    </row>
    <row r="451" spans="1:10" ht="14.25" hidden="1" customHeight="1" x14ac:dyDescent="0.35">
      <c r="A451" s="30" t="s">
        <v>126</v>
      </c>
      <c r="B451" t="s">
        <v>127</v>
      </c>
      <c r="C451" t="s">
        <v>80</v>
      </c>
      <c r="D451" t="s">
        <v>128</v>
      </c>
      <c r="E451" s="31">
        <v>46109</v>
      </c>
      <c r="F451" s="7" t="s">
        <v>73</v>
      </c>
      <c r="G451" s="32" t="str">
        <f t="shared" si="14"/>
        <v>46109|ALRP</v>
      </c>
      <c r="H451" s="32" t="str">
        <f t="shared" si="15"/>
        <v>TREINO|Interarmas|2026|ALRP</v>
      </c>
      <c r="I451" s="32">
        <f>IF(G451="",0,IF(COUNTIF($G$2:G451,G451)=1,1,0))</f>
        <v>1</v>
      </c>
      <c r="J451" s="32">
        <f>IF(H451="",0,IF(COUNTIF($H$2:H451,H451)=1,1,0))</f>
        <v>0</v>
      </c>
    </row>
    <row r="452" spans="1:10" ht="14.25" hidden="1" customHeight="1" x14ac:dyDescent="0.35">
      <c r="A452" s="30" t="s">
        <v>126</v>
      </c>
      <c r="B452" t="s">
        <v>127</v>
      </c>
      <c r="C452" t="s">
        <v>80</v>
      </c>
      <c r="D452" t="s">
        <v>128</v>
      </c>
      <c r="E452" s="31">
        <v>46109</v>
      </c>
      <c r="F452" s="7" t="s">
        <v>72</v>
      </c>
      <c r="G452" s="32" t="str">
        <f t="shared" si="14"/>
        <v>46109|ACRR</v>
      </c>
      <c r="H452" s="32" t="str">
        <f t="shared" si="15"/>
        <v>TREINO|Interarmas|2026|ACRR</v>
      </c>
      <c r="I452" s="32">
        <f>IF(G452="",0,IF(COUNTIF($G$2:G452,G452)=1,1,0))</f>
        <v>1</v>
      </c>
      <c r="J452" s="32">
        <f>IF(H452="",0,IF(COUNTIF($H$2:H452,H452)=1,1,0))</f>
        <v>0</v>
      </c>
    </row>
    <row r="453" spans="1:10" ht="14.25" hidden="1" customHeight="1" x14ac:dyDescent="0.35">
      <c r="A453" s="30" t="s">
        <v>126</v>
      </c>
      <c r="B453" t="s">
        <v>127</v>
      </c>
      <c r="C453" t="s">
        <v>80</v>
      </c>
      <c r="D453" t="s">
        <v>128</v>
      </c>
      <c r="E453" s="31">
        <v>46109</v>
      </c>
      <c r="F453" s="7" t="s">
        <v>75</v>
      </c>
      <c r="G453" s="32" t="str">
        <f t="shared" si="14"/>
        <v>46109|ALLP</v>
      </c>
      <c r="H453" s="32" t="str">
        <f t="shared" si="15"/>
        <v>TREINO|Interarmas|2026|ALLP</v>
      </c>
      <c r="I453" s="32">
        <f>IF(G453="",0,IF(COUNTIF($G$2:G453,G453)=1,1,0))</f>
        <v>1</v>
      </c>
      <c r="J453" s="32">
        <f>IF(H453="",0,IF(COUNTIF($H$2:H453,H453)=1,1,0))</f>
        <v>1</v>
      </c>
    </row>
    <row r="454" spans="1:10" ht="14.25" hidden="1" customHeight="1" x14ac:dyDescent="0.35">
      <c r="A454" s="30" t="s">
        <v>126</v>
      </c>
      <c r="B454" t="s">
        <v>127</v>
      </c>
      <c r="C454" t="s">
        <v>80</v>
      </c>
      <c r="D454" t="s">
        <v>128</v>
      </c>
      <c r="E454" s="31">
        <v>46112</v>
      </c>
      <c r="F454" s="7" t="s">
        <v>71</v>
      </c>
      <c r="G454" s="32" t="str">
        <f t="shared" si="14"/>
        <v>46112|ACRP</v>
      </c>
      <c r="H454" s="32" t="str">
        <f t="shared" si="15"/>
        <v>TREINO|Interarmas|2026|ACRP</v>
      </c>
      <c r="I454" s="32">
        <f>IF(G454="",0,IF(COUNTIF($G$2:G454,G454)=1,1,0))</f>
        <v>1</v>
      </c>
      <c r="J454" s="32">
        <f>IF(H454="",0,IF(COUNTIF($H$2:H454,H454)=1,1,0))</f>
        <v>0</v>
      </c>
    </row>
    <row r="455" spans="1:10" ht="14.25" hidden="1" customHeight="1" x14ac:dyDescent="0.35">
      <c r="A455" s="30" t="s">
        <v>126</v>
      </c>
      <c r="B455" t="s">
        <v>127</v>
      </c>
      <c r="C455" t="s">
        <v>80</v>
      </c>
      <c r="D455" t="s">
        <v>128</v>
      </c>
      <c r="E455" s="31">
        <v>46112</v>
      </c>
      <c r="F455" s="7" t="s">
        <v>74</v>
      </c>
      <c r="G455" s="32" t="str">
        <f t="shared" si="14"/>
        <v>46112|ALRR</v>
      </c>
      <c r="H455" s="32" t="str">
        <f t="shared" si="15"/>
        <v>TREINO|Interarmas|2026|ALRR</v>
      </c>
      <c r="I455" s="32">
        <f>IF(G455="",0,IF(COUNTIF($G$2:G455,G455)=1,1,0))</f>
        <v>1</v>
      </c>
      <c r="J455" s="32">
        <f>IF(H455="",0,IF(COUNTIF($H$2:H455,H455)=1,1,0))</f>
        <v>0</v>
      </c>
    </row>
    <row r="456" spans="1:10" ht="14.25" hidden="1" customHeight="1" x14ac:dyDescent="0.35">
      <c r="A456" s="30" t="s">
        <v>126</v>
      </c>
      <c r="B456" t="s">
        <v>127</v>
      </c>
      <c r="C456" t="s">
        <v>80</v>
      </c>
      <c r="D456" t="s">
        <v>128</v>
      </c>
      <c r="E456" s="31">
        <v>46112</v>
      </c>
      <c r="F456" s="7" t="s">
        <v>73</v>
      </c>
      <c r="G456" s="32" t="str">
        <f t="shared" si="14"/>
        <v>46112|ALRP</v>
      </c>
      <c r="H456" s="32" t="str">
        <f t="shared" si="15"/>
        <v>TREINO|Interarmas|2026|ALRP</v>
      </c>
      <c r="I456" s="32">
        <f>IF(G456="",0,IF(COUNTIF($G$2:G456,G456)=1,1,0))</f>
        <v>1</v>
      </c>
      <c r="J456" s="32">
        <f>IF(H456="",0,IF(COUNTIF($H$2:H456,H456)=1,1,0))</f>
        <v>0</v>
      </c>
    </row>
    <row r="457" spans="1:10" ht="14.25" hidden="1" customHeight="1" x14ac:dyDescent="0.35">
      <c r="A457" s="30" t="s">
        <v>126</v>
      </c>
      <c r="B457" t="s">
        <v>127</v>
      </c>
      <c r="C457" t="s">
        <v>80</v>
      </c>
      <c r="D457" t="s">
        <v>128</v>
      </c>
      <c r="E457" s="31">
        <v>46112</v>
      </c>
      <c r="F457" s="7" t="s">
        <v>72</v>
      </c>
      <c r="G457" s="32" t="str">
        <f t="shared" si="14"/>
        <v>46112|ACRR</v>
      </c>
      <c r="H457" s="32" t="str">
        <f t="shared" si="15"/>
        <v>TREINO|Interarmas|2026|ACRR</v>
      </c>
      <c r="I457" s="32">
        <f>IF(G457="",0,IF(COUNTIF($G$2:G457,G457)=1,1,0))</f>
        <v>1</v>
      </c>
      <c r="J457" s="32">
        <f>IF(H457="",0,IF(COUNTIF($H$2:H457,H457)=1,1,0))</f>
        <v>0</v>
      </c>
    </row>
    <row r="458" spans="1:10" ht="14.25" hidden="1" customHeight="1" x14ac:dyDescent="0.35">
      <c r="A458" s="30" t="s">
        <v>126</v>
      </c>
      <c r="B458" t="s">
        <v>127</v>
      </c>
      <c r="C458" t="s">
        <v>80</v>
      </c>
      <c r="D458" t="s">
        <v>128</v>
      </c>
      <c r="E458" s="31">
        <v>46112</v>
      </c>
      <c r="F458" s="7" t="s">
        <v>75</v>
      </c>
      <c r="G458" s="32" t="str">
        <f t="shared" si="14"/>
        <v>46112|ALLP</v>
      </c>
      <c r="H458" s="32" t="str">
        <f t="shared" si="15"/>
        <v>TREINO|Interarmas|2026|ALLP</v>
      </c>
      <c r="I458" s="32">
        <f>IF(G458="",0,IF(COUNTIF($G$2:G458,G458)=1,1,0))</f>
        <v>1</v>
      </c>
      <c r="J458" s="32">
        <f>IF(H458="",0,IF(COUNTIF($H$2:H458,H458)=1,1,0))</f>
        <v>0</v>
      </c>
    </row>
    <row r="459" spans="1:10" ht="14.25" hidden="1" customHeight="1" x14ac:dyDescent="0.35">
      <c r="A459" s="30" t="s">
        <v>126</v>
      </c>
      <c r="B459" t="s">
        <v>127</v>
      </c>
      <c r="C459" t="s">
        <v>81</v>
      </c>
      <c r="D459" t="s">
        <v>128</v>
      </c>
      <c r="E459" s="31">
        <v>46113</v>
      </c>
      <c r="F459" t="s">
        <v>74</v>
      </c>
      <c r="G459" s="32" t="str">
        <f t="shared" si="14"/>
        <v>46113|ALRR</v>
      </c>
      <c r="H459" s="32" t="str">
        <f t="shared" si="15"/>
        <v>TREINO|Base|2026|ALRR</v>
      </c>
      <c r="I459" s="32">
        <f>IF(G459="",0,IF(COUNTIF($G$2:G459,G459)=1,1,0))</f>
        <v>1</v>
      </c>
      <c r="J459" s="32">
        <f>IF(H459="",0,IF(COUNTIF($H$2:H459,H459)=1,1,0))</f>
        <v>0</v>
      </c>
    </row>
    <row r="460" spans="1:10" ht="14.25" hidden="1" customHeight="1" x14ac:dyDescent="0.35">
      <c r="A460" s="30" t="s">
        <v>126</v>
      </c>
      <c r="B460" t="s">
        <v>127</v>
      </c>
      <c r="C460" t="s">
        <v>81</v>
      </c>
      <c r="D460" t="s">
        <v>128</v>
      </c>
      <c r="E460" s="31">
        <v>46113</v>
      </c>
      <c r="F460" t="s">
        <v>75</v>
      </c>
      <c r="G460" s="32" t="str">
        <f t="shared" si="14"/>
        <v>46113|ALLP</v>
      </c>
      <c r="H460" s="32" t="str">
        <f t="shared" si="15"/>
        <v>TREINO|Base|2026|ALLP</v>
      </c>
      <c r="I460" s="32">
        <f>IF(G460="",0,IF(COUNTIF($G$2:G460,G460)=1,1,0))</f>
        <v>1</v>
      </c>
      <c r="J460" s="32">
        <f>IF(H460="",0,IF(COUNTIF($H$2:H460,H460)=1,1,0))</f>
        <v>0</v>
      </c>
    </row>
    <row r="461" spans="1:10" ht="14.25" hidden="1" customHeight="1" x14ac:dyDescent="0.35">
      <c r="A461" s="30" t="s">
        <v>126</v>
      </c>
      <c r="B461" t="s">
        <v>127</v>
      </c>
      <c r="C461" t="s">
        <v>81</v>
      </c>
      <c r="D461" t="s">
        <v>128</v>
      </c>
      <c r="E461" s="31">
        <v>46113</v>
      </c>
      <c r="F461" t="s">
        <v>73</v>
      </c>
      <c r="G461" s="32" t="str">
        <f t="shared" si="14"/>
        <v>46113|ALRP</v>
      </c>
      <c r="H461" s="32" t="str">
        <f t="shared" si="15"/>
        <v>TREINO|Base|2026|ALRP</v>
      </c>
      <c r="I461" s="32">
        <f>IF(G461="",0,IF(COUNTIF($G$2:G461,G461)=1,1,0))</f>
        <v>1</v>
      </c>
      <c r="J461" s="32">
        <f>IF(H461="",0,IF(COUNTIF($H$2:H461,H461)=1,1,0))</f>
        <v>0</v>
      </c>
    </row>
    <row r="462" spans="1:10" ht="14.25" hidden="1" customHeight="1" x14ac:dyDescent="0.35">
      <c r="A462" s="30" t="s">
        <v>126</v>
      </c>
      <c r="B462" t="s">
        <v>127</v>
      </c>
      <c r="C462" t="s">
        <v>81</v>
      </c>
      <c r="D462" t="s">
        <v>128</v>
      </c>
      <c r="E462" s="31">
        <v>46113</v>
      </c>
      <c r="F462" t="s">
        <v>71</v>
      </c>
      <c r="G462" s="32" t="str">
        <f t="shared" si="14"/>
        <v>46113|ACRP</v>
      </c>
      <c r="H462" s="32" t="str">
        <f t="shared" si="15"/>
        <v>TREINO|Base|2026|ACRP</v>
      </c>
      <c r="I462" s="32">
        <f>IF(G462="",0,IF(COUNTIF($G$2:G462,G462)=1,1,0))</f>
        <v>1</v>
      </c>
      <c r="J462" s="32">
        <f>IF(H462="",0,IF(COUNTIF($H$2:H462,H462)=1,1,0))</f>
        <v>0</v>
      </c>
    </row>
    <row r="463" spans="1:10" ht="14.25" hidden="1" customHeight="1" x14ac:dyDescent="0.35">
      <c r="A463" s="30" t="s">
        <v>126</v>
      </c>
      <c r="B463" t="s">
        <v>127</v>
      </c>
      <c r="C463" t="s">
        <v>81</v>
      </c>
      <c r="D463" t="s">
        <v>128</v>
      </c>
      <c r="E463" s="31">
        <v>46113</v>
      </c>
      <c r="F463" s="7" t="s">
        <v>72</v>
      </c>
      <c r="G463" s="32" t="str">
        <f t="shared" si="14"/>
        <v>46113|ACRR</v>
      </c>
      <c r="H463" s="32" t="str">
        <f t="shared" si="15"/>
        <v>TREINO|Base|2026|ACRR</v>
      </c>
      <c r="I463" s="32">
        <f>IF(G463="",0,IF(COUNTIF($G$2:G463,G463)=1,1,0))</f>
        <v>1</v>
      </c>
      <c r="J463" s="32">
        <f>IF(H463="",0,IF(COUNTIF($H$2:H463,H463)=1,1,0))</f>
        <v>0</v>
      </c>
    </row>
    <row r="464" spans="1:10" ht="14.25" hidden="1" customHeight="1" x14ac:dyDescent="0.35">
      <c r="A464" s="30" t="s">
        <v>126</v>
      </c>
      <c r="B464" t="s">
        <v>127</v>
      </c>
      <c r="C464" t="s">
        <v>81</v>
      </c>
      <c r="D464" t="s">
        <v>128</v>
      </c>
      <c r="E464" s="31">
        <v>46113</v>
      </c>
      <c r="F464" s="7" t="s">
        <v>74</v>
      </c>
      <c r="G464" s="32" t="str">
        <f t="shared" si="14"/>
        <v>46113|ALRR</v>
      </c>
      <c r="H464" s="32" t="str">
        <f t="shared" si="15"/>
        <v>TREINO|Base|2026|ALRR</v>
      </c>
      <c r="I464" s="32">
        <f>IF(G464="",0,IF(COUNTIF($G$2:G464,G464)=1,1,0))</f>
        <v>0</v>
      </c>
      <c r="J464" s="32">
        <f>IF(H464="",0,IF(COUNTIF($H$2:H464,H464)=1,1,0))</f>
        <v>0</v>
      </c>
    </row>
    <row r="465" spans="1:10" ht="14.25" hidden="1" customHeight="1" x14ac:dyDescent="0.35">
      <c r="A465" s="30" t="s">
        <v>126</v>
      </c>
      <c r="B465" t="s">
        <v>127</v>
      </c>
      <c r="C465" t="s">
        <v>81</v>
      </c>
      <c r="D465" t="s">
        <v>128</v>
      </c>
      <c r="E465" s="31">
        <v>46113</v>
      </c>
      <c r="F465" s="7" t="s">
        <v>75</v>
      </c>
      <c r="G465" s="32" t="str">
        <f t="shared" si="14"/>
        <v>46113|ALLP</v>
      </c>
      <c r="H465" s="32" t="str">
        <f t="shared" si="15"/>
        <v>TREINO|Base|2026|ALLP</v>
      </c>
      <c r="I465" s="32">
        <f>IF(G465="",0,IF(COUNTIF($G$2:G465,G465)=1,1,0))</f>
        <v>0</v>
      </c>
      <c r="J465" s="32">
        <f>IF(H465="",0,IF(COUNTIF($H$2:H465,H465)=1,1,0))</f>
        <v>0</v>
      </c>
    </row>
    <row r="466" spans="1:10" ht="14.25" hidden="1" customHeight="1" x14ac:dyDescent="0.35">
      <c r="A466" s="30" t="s">
        <v>126</v>
      </c>
      <c r="B466" t="s">
        <v>127</v>
      </c>
      <c r="C466" t="s">
        <v>81</v>
      </c>
      <c r="D466" t="s">
        <v>128</v>
      </c>
      <c r="E466" s="31">
        <v>46113</v>
      </c>
      <c r="F466" s="7" t="s">
        <v>73</v>
      </c>
      <c r="G466" s="32" t="str">
        <f t="shared" si="14"/>
        <v>46113|ALRP</v>
      </c>
      <c r="H466" s="32" t="str">
        <f t="shared" si="15"/>
        <v>TREINO|Base|2026|ALRP</v>
      </c>
      <c r="I466" s="32">
        <f>IF(G466="",0,IF(COUNTIF($G$2:G466,G466)=1,1,0))</f>
        <v>0</v>
      </c>
      <c r="J466" s="32">
        <f>IF(H466="",0,IF(COUNTIF($H$2:H466,H466)=1,1,0))</f>
        <v>0</v>
      </c>
    </row>
    <row r="467" spans="1:10" ht="14.25" hidden="1" customHeight="1" x14ac:dyDescent="0.35">
      <c r="A467" s="30" t="s">
        <v>126</v>
      </c>
      <c r="B467" t="s">
        <v>127</v>
      </c>
      <c r="C467" t="s">
        <v>81</v>
      </c>
      <c r="D467" t="s">
        <v>128</v>
      </c>
      <c r="E467" s="31">
        <v>46113</v>
      </c>
      <c r="F467" s="7" t="s">
        <v>71</v>
      </c>
      <c r="G467" s="32" t="str">
        <f t="shared" si="14"/>
        <v>46113|ACRP</v>
      </c>
      <c r="H467" s="32" t="str">
        <f t="shared" si="15"/>
        <v>TREINO|Base|2026|ACRP</v>
      </c>
      <c r="I467" s="32">
        <f>IF(G467="",0,IF(COUNTIF($G$2:G467,G467)=1,1,0))</f>
        <v>0</v>
      </c>
      <c r="J467" s="32">
        <f>IF(H467="",0,IF(COUNTIF($H$2:H467,H467)=1,1,0))</f>
        <v>0</v>
      </c>
    </row>
    <row r="468" spans="1:10" ht="14.25" hidden="1" customHeight="1" x14ac:dyDescent="0.35">
      <c r="A468" s="30" t="s">
        <v>126</v>
      </c>
      <c r="B468" t="s">
        <v>127</v>
      </c>
      <c r="C468" t="s">
        <v>81</v>
      </c>
      <c r="D468" t="s">
        <v>128</v>
      </c>
      <c r="E468" s="31">
        <v>46113</v>
      </c>
      <c r="F468" s="7" t="s">
        <v>72</v>
      </c>
      <c r="G468" s="32" t="str">
        <f t="shared" si="14"/>
        <v>46113|ACRR</v>
      </c>
      <c r="H468" s="32" t="str">
        <f t="shared" si="15"/>
        <v>TREINO|Base|2026|ACRR</v>
      </c>
      <c r="I468" s="32">
        <f>IF(G468="",0,IF(COUNTIF($G$2:G468,G468)=1,1,0))</f>
        <v>0</v>
      </c>
      <c r="J468" s="32">
        <f>IF(H468="",0,IF(COUNTIF($H$2:H468,H468)=1,1,0))</f>
        <v>0</v>
      </c>
    </row>
    <row r="469" spans="1:10" ht="14.25" hidden="1" customHeight="1" x14ac:dyDescent="0.35">
      <c r="A469" s="30" t="s">
        <v>126</v>
      </c>
      <c r="B469" t="s">
        <v>127</v>
      </c>
      <c r="C469" t="s">
        <v>80</v>
      </c>
      <c r="D469" t="s">
        <v>128</v>
      </c>
      <c r="E469" s="31">
        <v>46128</v>
      </c>
      <c r="F469" s="7" t="s">
        <v>71</v>
      </c>
      <c r="G469" s="32" t="str">
        <f t="shared" si="14"/>
        <v>46128|ACRP</v>
      </c>
      <c r="H469" s="32" t="str">
        <f t="shared" si="15"/>
        <v>TREINO|Interarmas|2026|ACRP</v>
      </c>
      <c r="I469" s="32">
        <f>IF(G469="",0,IF(COUNTIF($G$2:G469,G469)=1,1,0))</f>
        <v>1</v>
      </c>
      <c r="J469" s="32">
        <f>IF(H469="",0,IF(COUNTIF($H$2:H469,H469)=1,1,0))</f>
        <v>0</v>
      </c>
    </row>
    <row r="470" spans="1:10" ht="14.25" hidden="1" customHeight="1" x14ac:dyDescent="0.35">
      <c r="A470" s="30" t="s">
        <v>126</v>
      </c>
      <c r="B470" t="s">
        <v>127</v>
      </c>
      <c r="C470" t="s">
        <v>80</v>
      </c>
      <c r="D470" t="s">
        <v>128</v>
      </c>
      <c r="E470" s="31">
        <v>46128</v>
      </c>
      <c r="F470" t="s">
        <v>74</v>
      </c>
      <c r="G470" s="32" t="str">
        <f t="shared" si="14"/>
        <v>46128|ALRR</v>
      </c>
      <c r="H470" s="32" t="str">
        <f t="shared" si="15"/>
        <v>TREINO|Interarmas|2026|ALRR</v>
      </c>
      <c r="I470" s="32">
        <f>IF(G470="",0,IF(COUNTIF($G$2:G470,G470)=1,1,0))</f>
        <v>1</v>
      </c>
      <c r="J470" s="32">
        <f>IF(H470="",0,IF(COUNTIF($H$2:H470,H470)=1,1,0))</f>
        <v>0</v>
      </c>
    </row>
    <row r="471" spans="1:10" ht="14.25" hidden="1" customHeight="1" x14ac:dyDescent="0.35">
      <c r="A471" s="30" t="s">
        <v>126</v>
      </c>
      <c r="B471" t="s">
        <v>127</v>
      </c>
      <c r="C471" t="s">
        <v>80</v>
      </c>
      <c r="D471" t="s">
        <v>128</v>
      </c>
      <c r="E471" s="31">
        <v>46128</v>
      </c>
      <c r="F471" t="s">
        <v>73</v>
      </c>
      <c r="G471" s="32" t="str">
        <f t="shared" si="14"/>
        <v>46128|ALRP</v>
      </c>
      <c r="H471" s="32" t="str">
        <f t="shared" si="15"/>
        <v>TREINO|Interarmas|2026|ALRP</v>
      </c>
      <c r="I471" s="32">
        <f>IF(G471="",0,IF(COUNTIF($G$2:G471,G471)=1,1,0))</f>
        <v>1</v>
      </c>
      <c r="J471" s="32">
        <f>IF(H471="",0,IF(COUNTIF($H$2:H471,H471)=1,1,0))</f>
        <v>0</v>
      </c>
    </row>
    <row r="472" spans="1:10" ht="14.25" hidden="1" customHeight="1" x14ac:dyDescent="0.35">
      <c r="A472" s="30" t="s">
        <v>126</v>
      </c>
      <c r="B472" t="s">
        <v>127</v>
      </c>
      <c r="C472" t="s">
        <v>80</v>
      </c>
      <c r="D472" t="s">
        <v>128</v>
      </c>
      <c r="E472" s="31">
        <v>46128</v>
      </c>
      <c r="F472" t="s">
        <v>72</v>
      </c>
      <c r="G472" s="32" t="str">
        <f t="shared" si="14"/>
        <v>46128|ACRR</v>
      </c>
      <c r="H472" s="32" t="str">
        <f t="shared" si="15"/>
        <v>TREINO|Interarmas|2026|ACRR</v>
      </c>
      <c r="I472" s="32">
        <f>IF(G472="",0,IF(COUNTIF($G$2:G472,G472)=1,1,0))</f>
        <v>1</v>
      </c>
      <c r="J472" s="32">
        <f>IF(H472="",0,IF(COUNTIF($H$2:H472,H472)=1,1,0))</f>
        <v>0</v>
      </c>
    </row>
    <row r="473" spans="1:10" ht="14.25" hidden="1" customHeight="1" x14ac:dyDescent="0.35">
      <c r="A473" s="30" t="s">
        <v>126</v>
      </c>
      <c r="B473" t="s">
        <v>127</v>
      </c>
      <c r="C473" t="s">
        <v>80</v>
      </c>
      <c r="D473" t="s">
        <v>128</v>
      </c>
      <c r="E473" s="31">
        <v>46128</v>
      </c>
      <c r="F473" t="s">
        <v>75</v>
      </c>
      <c r="G473" s="32" t="str">
        <f t="shared" si="14"/>
        <v>46128|ALLP</v>
      </c>
      <c r="H473" s="32" t="str">
        <f t="shared" si="15"/>
        <v>TREINO|Interarmas|2026|ALLP</v>
      </c>
      <c r="I473" s="32">
        <f>IF(G473="",0,IF(COUNTIF($G$2:G473,G473)=1,1,0))</f>
        <v>1</v>
      </c>
      <c r="J473" s="32">
        <f>IF(H473="",0,IF(COUNTIF($H$2:H473,H473)=1,1,0))</f>
        <v>0</v>
      </c>
    </row>
    <row r="474" spans="1:10" ht="14.25" customHeight="1" x14ac:dyDescent="0.35">
      <c r="A474" s="30" t="s">
        <v>141</v>
      </c>
      <c r="B474" t="s">
        <v>111</v>
      </c>
      <c r="C474" t="s">
        <v>79</v>
      </c>
      <c r="D474" t="s">
        <v>115</v>
      </c>
      <c r="E474" s="31">
        <v>46130</v>
      </c>
      <c r="F474" t="s">
        <v>75</v>
      </c>
      <c r="G474" s="32" t="str">
        <f t="shared" si="14"/>
        <v>Campeonato Nacional de Tiro Desportivo|3|Linade|2026|ALLP</v>
      </c>
      <c r="H474" s="32" t="str">
        <f t="shared" si="15"/>
        <v>Campeonato Nacional de Tiro Desportivo|Linade|2026|ALLP</v>
      </c>
      <c r="I474" s="32">
        <f>IF(G474="",0,IF(COUNTIF($G$2:G474,G474)=1,1,0))</f>
        <v>1</v>
      </c>
      <c r="J474" s="32">
        <f>IF(H474="",0,IF(COUNTIF($H$2:H474,H474)=1,1,0))</f>
        <v>1</v>
      </c>
    </row>
    <row r="475" spans="1:10" ht="14.25" hidden="1" customHeight="1" x14ac:dyDescent="0.35">
      <c r="A475" s="30" t="s">
        <v>126</v>
      </c>
      <c r="B475" t="s">
        <v>127</v>
      </c>
      <c r="C475" t="s">
        <v>81</v>
      </c>
      <c r="D475" t="s">
        <v>128</v>
      </c>
      <c r="E475" s="31">
        <v>46130</v>
      </c>
      <c r="F475" s="7" t="s">
        <v>75</v>
      </c>
      <c r="G475" s="32" t="str">
        <f t="shared" si="14"/>
        <v>46130|ALLP</v>
      </c>
      <c r="H475" s="32" t="str">
        <f t="shared" si="15"/>
        <v>TREINO|Base|2026|ALLP</v>
      </c>
      <c r="I475" s="32">
        <f>IF(G475="",0,IF(COUNTIF($G$2:G475,G475)=1,1,0))</f>
        <v>1</v>
      </c>
      <c r="J475" s="32">
        <f>IF(H475="",0,IF(COUNTIF($H$2:H475,H475)=1,1,0))</f>
        <v>0</v>
      </c>
    </row>
    <row r="476" spans="1:10" ht="14.25" customHeight="1" x14ac:dyDescent="0.35">
      <c r="A476" s="30" t="s">
        <v>142</v>
      </c>
      <c r="B476" t="s">
        <v>108</v>
      </c>
      <c r="C476" t="s">
        <v>81</v>
      </c>
      <c r="D476" t="s">
        <v>106</v>
      </c>
      <c r="E476" s="31">
        <v>46130</v>
      </c>
      <c r="F476" s="7" t="s">
        <v>75</v>
      </c>
      <c r="G476" s="32" t="str">
        <f t="shared" si="14"/>
        <v>1° COPA TRAP BASE ARMALITE|4|Base|2026|ALLP</v>
      </c>
      <c r="H476" s="32" t="str">
        <f t="shared" si="15"/>
        <v>1° COPA TRAP BASE ARMALITE|Base|2026|ALLP</v>
      </c>
      <c r="I476" s="32">
        <f>IF(G476="",0,IF(COUNTIF($G$2:G476,G476)=1,1,0))</f>
        <v>1</v>
      </c>
      <c r="J476" s="32">
        <f>IF(H476="",0,IF(COUNTIF($H$2:H476,H476)=1,1,0))</f>
        <v>1</v>
      </c>
    </row>
    <row r="477" spans="1:10" ht="14.25" hidden="1" customHeight="1" x14ac:dyDescent="0.35">
      <c r="A477" s="30" t="s">
        <v>126</v>
      </c>
      <c r="B477" t="s">
        <v>127</v>
      </c>
      <c r="C477" t="s">
        <v>80</v>
      </c>
      <c r="D477" t="s">
        <v>128</v>
      </c>
      <c r="E477" s="31">
        <v>46151</v>
      </c>
      <c r="F477" t="s">
        <v>71</v>
      </c>
      <c r="G477" s="32" t="str">
        <f t="shared" si="14"/>
        <v>46151|ACRP</v>
      </c>
      <c r="H477" s="32" t="str">
        <f t="shared" si="15"/>
        <v>TREINO|Interarmas|2026|ACRP</v>
      </c>
      <c r="I477" s="32">
        <f>IF(G477="",0,IF(COUNTIF($G$2:G477,G477)=1,1,0))</f>
        <v>1</v>
      </c>
      <c r="J477" s="32">
        <f>IF(H477="",0,IF(COUNTIF($H$2:H477,H477)=1,1,0))</f>
        <v>0</v>
      </c>
    </row>
    <row r="478" spans="1:10" ht="14.25" hidden="1" customHeight="1" x14ac:dyDescent="0.35">
      <c r="A478" s="30" t="s">
        <v>126</v>
      </c>
      <c r="B478" t="s">
        <v>127</v>
      </c>
      <c r="C478" t="s">
        <v>80</v>
      </c>
      <c r="D478" t="s">
        <v>128</v>
      </c>
      <c r="E478" s="31">
        <v>46151</v>
      </c>
      <c r="F478" t="s">
        <v>74</v>
      </c>
      <c r="G478" s="32" t="str">
        <f t="shared" si="14"/>
        <v>46151|ALRR</v>
      </c>
      <c r="H478" s="32" t="str">
        <f t="shared" si="15"/>
        <v>TREINO|Interarmas|2026|ALRR</v>
      </c>
      <c r="I478" s="32">
        <f>IF(G478="",0,IF(COUNTIF($G$2:G478,G478)=1,1,0))</f>
        <v>1</v>
      </c>
      <c r="J478" s="32">
        <f>IF(H478="",0,IF(COUNTIF($H$2:H478,H478)=1,1,0))</f>
        <v>0</v>
      </c>
    </row>
    <row r="479" spans="1:10" ht="14.25" hidden="1" customHeight="1" x14ac:dyDescent="0.35">
      <c r="A479" s="30" t="s">
        <v>126</v>
      </c>
      <c r="B479" t="s">
        <v>127</v>
      </c>
      <c r="C479" t="s">
        <v>80</v>
      </c>
      <c r="D479" t="s">
        <v>128</v>
      </c>
      <c r="E479" s="31">
        <v>46151</v>
      </c>
      <c r="F479" t="s">
        <v>73</v>
      </c>
      <c r="G479" s="32" t="str">
        <f t="shared" si="14"/>
        <v>46151|ALRP</v>
      </c>
      <c r="H479" s="32" t="str">
        <f t="shared" si="15"/>
        <v>TREINO|Interarmas|2026|ALRP</v>
      </c>
      <c r="I479" s="32">
        <f>IF(G479="",0,IF(COUNTIF($G$2:G479,G479)=1,1,0))</f>
        <v>1</v>
      </c>
      <c r="J479" s="32">
        <f>IF(H479="",0,IF(COUNTIF($H$2:H479,H479)=1,1,0))</f>
        <v>0</v>
      </c>
    </row>
    <row r="480" spans="1:10" ht="14.25" hidden="1" customHeight="1" x14ac:dyDescent="0.35">
      <c r="A480" s="30" t="s">
        <v>126</v>
      </c>
      <c r="B480" t="s">
        <v>127</v>
      </c>
      <c r="C480" t="s">
        <v>80</v>
      </c>
      <c r="D480" t="s">
        <v>128</v>
      </c>
      <c r="E480" s="31">
        <v>46151</v>
      </c>
      <c r="F480" t="s">
        <v>72</v>
      </c>
      <c r="G480" s="32" t="str">
        <f t="shared" si="14"/>
        <v>46151|ACRR</v>
      </c>
      <c r="H480" s="32" t="str">
        <f t="shared" si="15"/>
        <v>TREINO|Interarmas|2026|ACRR</v>
      </c>
      <c r="I480" s="32">
        <f>IF(G480="",0,IF(COUNTIF($G$2:G480,G480)=1,1,0))</f>
        <v>1</v>
      </c>
      <c r="J480" s="32">
        <f>IF(H480="",0,IF(COUNTIF($H$2:H480,H480)=1,1,0))</f>
        <v>0</v>
      </c>
    </row>
    <row r="481" spans="1:10" ht="14.25" hidden="1" customHeight="1" x14ac:dyDescent="0.35">
      <c r="A481" s="30" t="s">
        <v>126</v>
      </c>
      <c r="B481" t="s">
        <v>127</v>
      </c>
      <c r="C481" t="s">
        <v>80</v>
      </c>
      <c r="D481" t="s">
        <v>128</v>
      </c>
      <c r="E481" s="31">
        <v>46151</v>
      </c>
      <c r="F481" t="s">
        <v>75</v>
      </c>
      <c r="G481" s="32" t="str">
        <f t="shared" si="14"/>
        <v>46151|ALLP</v>
      </c>
      <c r="H481" s="32" t="str">
        <f t="shared" si="15"/>
        <v>TREINO|Interarmas|2026|ALLP</v>
      </c>
      <c r="I481" s="32">
        <f>IF(G481="",0,IF(COUNTIF($G$2:G481,G481)=1,1,0))</f>
        <v>1</v>
      </c>
      <c r="J481" s="32">
        <f>IF(H481="",0,IF(COUNTIF($H$2:H481,H481)=1,1,0))</f>
        <v>0</v>
      </c>
    </row>
    <row r="482" spans="1:10" ht="14.25" hidden="1" customHeight="1" x14ac:dyDescent="0.35">
      <c r="A482" s="30" t="s">
        <v>126</v>
      </c>
      <c r="B482" t="s">
        <v>127</v>
      </c>
      <c r="C482" t="s">
        <v>80</v>
      </c>
      <c r="D482" t="s">
        <v>128</v>
      </c>
      <c r="E482" s="31">
        <v>46154</v>
      </c>
      <c r="F482" t="s">
        <v>71</v>
      </c>
      <c r="G482" s="32" t="str">
        <f t="shared" si="14"/>
        <v>46154|ACRP</v>
      </c>
      <c r="H482" s="32" t="str">
        <f t="shared" si="15"/>
        <v>TREINO|Interarmas|2026|ACRP</v>
      </c>
      <c r="I482" s="32">
        <f>IF(G482="",0,IF(COUNTIF($G$2:G482,G482)=1,1,0))</f>
        <v>1</v>
      </c>
      <c r="J482" s="32">
        <f>IF(H482="",0,IF(COUNTIF($H$2:H482,H482)=1,1,0))</f>
        <v>0</v>
      </c>
    </row>
    <row r="483" spans="1:10" ht="14.25" hidden="1" customHeight="1" x14ac:dyDescent="0.35">
      <c r="A483" s="30" t="s">
        <v>126</v>
      </c>
      <c r="B483" t="s">
        <v>127</v>
      </c>
      <c r="C483" t="s">
        <v>80</v>
      </c>
      <c r="D483" t="s">
        <v>128</v>
      </c>
      <c r="E483" s="31">
        <v>46154</v>
      </c>
      <c r="F483" t="s">
        <v>74</v>
      </c>
      <c r="G483" s="32" t="str">
        <f t="shared" si="14"/>
        <v>46154|ALRR</v>
      </c>
      <c r="H483" s="32" t="str">
        <f t="shared" si="15"/>
        <v>TREINO|Interarmas|2026|ALRR</v>
      </c>
      <c r="I483" s="32">
        <f>IF(G483="",0,IF(COUNTIF($G$2:G483,G483)=1,1,0))</f>
        <v>1</v>
      </c>
      <c r="J483" s="32">
        <f>IF(H483="",0,IF(COUNTIF($H$2:H483,H483)=1,1,0))</f>
        <v>0</v>
      </c>
    </row>
    <row r="484" spans="1:10" ht="14.25" hidden="1" customHeight="1" x14ac:dyDescent="0.35">
      <c r="A484" s="30" t="s">
        <v>126</v>
      </c>
      <c r="B484" t="s">
        <v>127</v>
      </c>
      <c r="C484" t="s">
        <v>80</v>
      </c>
      <c r="D484" t="s">
        <v>128</v>
      </c>
      <c r="E484" s="31">
        <v>46154</v>
      </c>
      <c r="F484" t="s">
        <v>73</v>
      </c>
      <c r="G484" s="32" t="str">
        <f t="shared" si="14"/>
        <v>46154|ALRP</v>
      </c>
      <c r="H484" s="32" t="str">
        <f t="shared" si="15"/>
        <v>TREINO|Interarmas|2026|ALRP</v>
      </c>
      <c r="I484" s="32">
        <f>IF(G484="",0,IF(COUNTIF($G$2:G484,G484)=1,1,0))</f>
        <v>1</v>
      </c>
      <c r="J484" s="32">
        <f>IF(H484="",0,IF(COUNTIF($H$2:H484,H484)=1,1,0))</f>
        <v>0</v>
      </c>
    </row>
    <row r="485" spans="1:10" ht="14.25" hidden="1" customHeight="1" x14ac:dyDescent="0.35">
      <c r="A485" s="30" t="s">
        <v>126</v>
      </c>
      <c r="B485" t="s">
        <v>127</v>
      </c>
      <c r="C485" t="s">
        <v>80</v>
      </c>
      <c r="D485" t="s">
        <v>128</v>
      </c>
      <c r="E485" s="31">
        <v>46154</v>
      </c>
      <c r="F485" t="s">
        <v>72</v>
      </c>
      <c r="G485" s="32" t="str">
        <f t="shared" si="14"/>
        <v>46154|ACRR</v>
      </c>
      <c r="H485" s="32" t="str">
        <f t="shared" si="15"/>
        <v>TREINO|Interarmas|2026|ACRR</v>
      </c>
      <c r="I485" s="32">
        <f>IF(G485="",0,IF(COUNTIF($G$2:G485,G485)=1,1,0))</f>
        <v>1</v>
      </c>
      <c r="J485" s="32">
        <f>IF(H485="",0,IF(COUNTIF($H$2:H485,H485)=1,1,0))</f>
        <v>0</v>
      </c>
    </row>
    <row r="486" spans="1:10" ht="14.25" hidden="1" customHeight="1" x14ac:dyDescent="0.35">
      <c r="A486" s="30" t="s">
        <v>126</v>
      </c>
      <c r="B486" t="s">
        <v>127</v>
      </c>
      <c r="C486" t="s">
        <v>80</v>
      </c>
      <c r="D486" t="s">
        <v>128</v>
      </c>
      <c r="E486" s="31">
        <v>46154</v>
      </c>
      <c r="F486" t="s">
        <v>75</v>
      </c>
      <c r="G486" s="32" t="str">
        <f t="shared" si="14"/>
        <v>46154|ALLP</v>
      </c>
      <c r="H486" s="32" t="str">
        <f t="shared" si="15"/>
        <v>TREINO|Interarmas|2026|ALLP</v>
      </c>
      <c r="I486" s="32">
        <f>IF(G486="",0,IF(COUNTIF($G$2:G486,G486)=1,1,0))</f>
        <v>1</v>
      </c>
      <c r="J486" s="32">
        <f>IF(H486="",0,IF(COUNTIF($H$2:H486,H486)=1,1,0))</f>
        <v>0</v>
      </c>
    </row>
    <row r="487" spans="1:10" ht="14.25" customHeight="1" x14ac:dyDescent="0.35">
      <c r="A487" s="30" t="s">
        <v>138</v>
      </c>
      <c r="B487" t="s">
        <v>109</v>
      </c>
      <c r="C487" t="s">
        <v>76</v>
      </c>
      <c r="D487" t="s">
        <v>106</v>
      </c>
      <c r="E487" s="31">
        <v>46163</v>
      </c>
      <c r="F487" t="s">
        <v>75</v>
      </c>
      <c r="G487" s="32" t="str">
        <f t="shared" si="14"/>
        <v>Paulista e Nacional Light 2026|5|FPTE|2026|ALLP</v>
      </c>
      <c r="H487" s="32" t="str">
        <f t="shared" si="15"/>
        <v>Paulista e Nacional Light 2026|FPTE|2026|ALLP</v>
      </c>
      <c r="I487" s="32">
        <f>IF(G487="",0,IF(COUNTIF($G$2:G487,G487)=1,1,0))</f>
        <v>1</v>
      </c>
      <c r="J487" s="32">
        <f>IF(H487="",0,IF(COUNTIF($H$2:H487,H487)=1,1,0))</f>
        <v>1</v>
      </c>
    </row>
    <row r="488" spans="1:10" ht="14.25" hidden="1" customHeight="1" x14ac:dyDescent="0.35">
      <c r="A488" s="30" t="s">
        <v>138</v>
      </c>
      <c r="B488" t="s">
        <v>109</v>
      </c>
      <c r="C488" t="s">
        <v>76</v>
      </c>
      <c r="D488" t="s">
        <v>106</v>
      </c>
      <c r="E488" s="31">
        <v>46163</v>
      </c>
      <c r="F488" t="s">
        <v>72</v>
      </c>
      <c r="G488" s="32" t="str">
        <f t="shared" si="14"/>
        <v>Paulista e Nacional Light 2026|5|FPTE|2026|ACRR</v>
      </c>
      <c r="H488" s="32" t="str">
        <f t="shared" si="15"/>
        <v>Paulista e Nacional Light 2026|FPTE|2026|ACRR</v>
      </c>
      <c r="I488" s="32">
        <f>IF(G488="",0,IF(COUNTIF($G$2:G488,G488)=1,1,0))</f>
        <v>1</v>
      </c>
      <c r="J488" s="32">
        <f>IF(H488="",0,IF(COUNTIF($H$2:H488,H488)=1,1,0))</f>
        <v>0</v>
      </c>
    </row>
    <row r="489" spans="1:10" ht="14.25" hidden="1" customHeight="1" x14ac:dyDescent="0.35">
      <c r="A489" s="30" t="s">
        <v>138</v>
      </c>
      <c r="B489" t="s">
        <v>109</v>
      </c>
      <c r="C489" t="s">
        <v>76</v>
      </c>
      <c r="D489" t="s">
        <v>106</v>
      </c>
      <c r="E489" s="31">
        <v>46163</v>
      </c>
      <c r="F489" t="s">
        <v>71</v>
      </c>
      <c r="G489" s="32" t="str">
        <f t="shared" si="14"/>
        <v>Paulista e Nacional Light 2026|5|FPTE|2026|ACRP</v>
      </c>
      <c r="H489" s="32" t="str">
        <f t="shared" si="15"/>
        <v>Paulista e Nacional Light 2026|FPTE|2026|ACRP</v>
      </c>
      <c r="I489" s="32">
        <f>IF(G489="",0,IF(COUNTIF($G$2:G489,G489)=1,1,0))</f>
        <v>1</v>
      </c>
      <c r="J489" s="32">
        <f>IF(H489="",0,IF(COUNTIF($H$2:H489,H489)=1,1,0))</f>
        <v>0</v>
      </c>
    </row>
    <row r="490" spans="1:10" ht="14.25" hidden="1" customHeight="1" x14ac:dyDescent="0.35">
      <c r="A490" s="30" t="s">
        <v>138</v>
      </c>
      <c r="B490" t="s">
        <v>109</v>
      </c>
      <c r="C490" t="s">
        <v>76</v>
      </c>
      <c r="D490" t="s">
        <v>106</v>
      </c>
      <c r="E490" s="31">
        <v>46163</v>
      </c>
      <c r="F490" t="s">
        <v>73</v>
      </c>
      <c r="G490" s="32" t="str">
        <f t="shared" si="14"/>
        <v>Paulista e Nacional Light 2026|5|FPTE|2026|ALRP</v>
      </c>
      <c r="H490" s="32" t="str">
        <f t="shared" si="15"/>
        <v>Paulista e Nacional Light 2026|FPTE|2026|ALRP</v>
      </c>
      <c r="I490" s="32">
        <f>IF(G490="",0,IF(COUNTIF($G$2:G490,G490)=1,1,0))</f>
        <v>1</v>
      </c>
      <c r="J490" s="32">
        <f>IF(H490="",0,IF(COUNTIF($H$2:H490,H490)=1,1,0))</f>
        <v>0</v>
      </c>
    </row>
    <row r="491" spans="1:10" ht="14.25" hidden="1" customHeight="1" x14ac:dyDescent="0.35">
      <c r="A491" s="30" t="s">
        <v>138</v>
      </c>
      <c r="B491" t="s">
        <v>109</v>
      </c>
      <c r="C491" t="s">
        <v>76</v>
      </c>
      <c r="D491" t="s">
        <v>106</v>
      </c>
      <c r="E491" s="31">
        <v>46163</v>
      </c>
      <c r="F491" t="s">
        <v>74</v>
      </c>
      <c r="G491" s="32" t="str">
        <f t="shared" si="14"/>
        <v>Paulista e Nacional Light 2026|5|FPTE|2026|ALRR</v>
      </c>
      <c r="H491" s="32" t="str">
        <f t="shared" si="15"/>
        <v>Paulista e Nacional Light 2026|FPTE|2026|ALRR</v>
      </c>
      <c r="I491" s="32">
        <f>IF(G491="",0,IF(COUNTIF($G$2:G491,G491)=1,1,0))</f>
        <v>1</v>
      </c>
      <c r="J491" s="32">
        <f>IF(H491="",0,IF(COUNTIF($H$2:H491,H491)=1,1,0))</f>
        <v>0</v>
      </c>
    </row>
    <row r="492" spans="1:10" ht="14.25" hidden="1" customHeight="1" x14ac:dyDescent="0.35">
      <c r="A492" s="30" t="s">
        <v>124</v>
      </c>
      <c r="B492" t="s">
        <v>109</v>
      </c>
      <c r="C492" t="s">
        <v>78</v>
      </c>
      <c r="D492" t="s">
        <v>115</v>
      </c>
      <c r="E492" s="31">
        <v>46164</v>
      </c>
      <c r="F492" t="s">
        <v>72</v>
      </c>
      <c r="G492" s="32" t="str">
        <f t="shared" si="14"/>
        <v>NACIONAL LIGHT|5|CBTE|2026|ACRR</v>
      </c>
      <c r="H492" s="32" t="str">
        <f t="shared" si="15"/>
        <v>NACIONAL LIGHT|CBTE|2026|ACRR</v>
      </c>
      <c r="I492" s="32">
        <f>IF(G492="",0,IF(COUNTIF($G$2:G492,G492)=1,1,0))</f>
        <v>1</v>
      </c>
      <c r="J492" s="32">
        <f>IF(H492="",0,IF(COUNTIF($H$2:H492,H492)=1,1,0))</f>
        <v>0</v>
      </c>
    </row>
    <row r="493" spans="1:10" ht="14.25" hidden="1" customHeight="1" x14ac:dyDescent="0.35">
      <c r="A493" s="30" t="s">
        <v>124</v>
      </c>
      <c r="B493" t="s">
        <v>109</v>
      </c>
      <c r="C493" t="s">
        <v>78</v>
      </c>
      <c r="D493" t="s">
        <v>115</v>
      </c>
      <c r="E493" s="31">
        <v>46164</v>
      </c>
      <c r="F493" t="s">
        <v>71</v>
      </c>
      <c r="G493" s="32" t="str">
        <f t="shared" si="14"/>
        <v>NACIONAL LIGHT|5|CBTE|2026|ACRP</v>
      </c>
      <c r="H493" s="32" t="str">
        <f t="shared" si="15"/>
        <v>NACIONAL LIGHT|CBTE|2026|ACRP</v>
      </c>
      <c r="I493" s="32">
        <f>IF(G493="",0,IF(COUNTIF($G$2:G493,G493)=1,1,0))</f>
        <v>1</v>
      </c>
      <c r="J493" s="32">
        <f>IF(H493="",0,IF(COUNTIF($H$2:H493,H493)=1,1,0))</f>
        <v>0</v>
      </c>
    </row>
    <row r="494" spans="1:10" ht="14.25" customHeight="1" x14ac:dyDescent="0.35">
      <c r="A494" s="30" t="s">
        <v>124</v>
      </c>
      <c r="B494" t="s">
        <v>109</v>
      </c>
      <c r="C494" t="s">
        <v>78</v>
      </c>
      <c r="D494" t="s">
        <v>115</v>
      </c>
      <c r="E494" s="31">
        <v>46164</v>
      </c>
      <c r="F494" t="s">
        <v>75</v>
      </c>
      <c r="G494" s="32" t="str">
        <f t="shared" si="14"/>
        <v>NACIONAL LIGHT|5|CBTE|2026|ALLP</v>
      </c>
      <c r="H494" s="32" t="str">
        <f t="shared" si="15"/>
        <v>NACIONAL LIGHT|CBTE|2026|ALLP</v>
      </c>
      <c r="I494" s="32">
        <f>IF(G494="",0,IF(COUNTIF($G$2:G494,G494)=1,1,0))</f>
        <v>1</v>
      </c>
      <c r="J494" s="32">
        <f>IF(H494="",0,IF(COUNTIF($H$2:H494,H494)=1,1,0))</f>
        <v>1</v>
      </c>
    </row>
    <row r="495" spans="1:10" ht="14.25" hidden="1" customHeight="1" x14ac:dyDescent="0.35">
      <c r="A495" s="30" t="s">
        <v>124</v>
      </c>
      <c r="B495" t="s">
        <v>109</v>
      </c>
      <c r="C495" t="s">
        <v>78</v>
      </c>
      <c r="D495" t="s">
        <v>115</v>
      </c>
      <c r="E495" s="31">
        <v>46164</v>
      </c>
      <c r="F495" t="s">
        <v>73</v>
      </c>
      <c r="G495" s="32" t="str">
        <f t="shared" si="14"/>
        <v>NACIONAL LIGHT|5|CBTE|2026|ALRP</v>
      </c>
      <c r="H495" s="32" t="str">
        <f t="shared" si="15"/>
        <v>NACIONAL LIGHT|CBTE|2026|ALRP</v>
      </c>
      <c r="I495" s="32">
        <f>IF(G495="",0,IF(COUNTIF($G$2:G495,G495)=1,1,0))</f>
        <v>1</v>
      </c>
      <c r="J495" s="32">
        <f>IF(H495="",0,IF(COUNTIF($H$2:H495,H495)=1,1,0))</f>
        <v>0</v>
      </c>
    </row>
    <row r="496" spans="1:10" ht="14.25" hidden="1" customHeight="1" x14ac:dyDescent="0.35">
      <c r="A496" s="30" t="s">
        <v>124</v>
      </c>
      <c r="B496" t="s">
        <v>109</v>
      </c>
      <c r="C496" t="s">
        <v>78</v>
      </c>
      <c r="D496" t="s">
        <v>115</v>
      </c>
      <c r="E496" s="31">
        <v>46164</v>
      </c>
      <c r="F496" t="s">
        <v>74</v>
      </c>
      <c r="G496" s="32" t="str">
        <f t="shared" si="14"/>
        <v>NACIONAL LIGHT|5|CBTE|2026|ALRR</v>
      </c>
      <c r="H496" s="32" t="str">
        <f t="shared" si="15"/>
        <v>NACIONAL LIGHT|CBTE|2026|ALRR</v>
      </c>
      <c r="I496" s="32">
        <f>IF(G496="",0,IF(COUNTIF($G$2:G496,G496)=1,1,0))</f>
        <v>1</v>
      </c>
      <c r="J496" s="32">
        <f>IF(H496="",0,IF(COUNTIF($H$2:H496,H496)=1,1,0))</f>
        <v>0</v>
      </c>
    </row>
    <row r="497" spans="1:10" ht="14.25" customHeight="1" x14ac:dyDescent="0.35">
      <c r="A497" s="30" t="s">
        <v>138</v>
      </c>
      <c r="B497" t="s">
        <v>112</v>
      </c>
      <c r="C497" t="s">
        <v>76</v>
      </c>
      <c r="D497" t="s">
        <v>106</v>
      </c>
      <c r="E497" s="31">
        <v>46207</v>
      </c>
      <c r="F497" t="s">
        <v>75</v>
      </c>
      <c r="G497" s="32" t="str">
        <f t="shared" si="14"/>
        <v>Paulista e Nacional Light 2026|7|FPTE|2026|ALLP</v>
      </c>
      <c r="H497" s="32" t="str">
        <f t="shared" si="15"/>
        <v>Paulista e Nacional Light 2026|FPTE|2026|ALLP</v>
      </c>
      <c r="I497" s="32">
        <f>IF(G497="",0,IF(COUNTIF($G$2:G497,G497)=1,1,0))</f>
        <v>1</v>
      </c>
      <c r="J497" s="32">
        <f>IF(H497="",0,IF(COUNTIF($H$2:H497,H497)=1,1,0))</f>
        <v>0</v>
      </c>
    </row>
    <row r="498" spans="1:10" ht="14.25" hidden="1" customHeight="1" x14ac:dyDescent="0.35">
      <c r="A498" s="30" t="s">
        <v>138</v>
      </c>
      <c r="B498" t="s">
        <v>112</v>
      </c>
      <c r="C498" t="s">
        <v>76</v>
      </c>
      <c r="D498" t="s">
        <v>106</v>
      </c>
      <c r="E498" s="31">
        <v>46207</v>
      </c>
      <c r="F498" t="s">
        <v>72</v>
      </c>
      <c r="G498" s="32" t="str">
        <f t="shared" si="14"/>
        <v>Paulista e Nacional Light 2026|7|FPTE|2026|ACRR</v>
      </c>
      <c r="H498" s="32" t="str">
        <f t="shared" si="15"/>
        <v>Paulista e Nacional Light 2026|FPTE|2026|ACRR</v>
      </c>
      <c r="I498" s="32">
        <f>IF(G498="",0,IF(COUNTIF($G$2:G498,G498)=1,1,0))</f>
        <v>1</v>
      </c>
      <c r="J498" s="32">
        <f>IF(H498="",0,IF(COUNTIF($H$2:H498,H498)=1,1,0))</f>
        <v>0</v>
      </c>
    </row>
    <row r="499" spans="1:10" ht="14.25" hidden="1" customHeight="1" x14ac:dyDescent="0.35">
      <c r="A499" s="30" t="s">
        <v>138</v>
      </c>
      <c r="B499" t="s">
        <v>112</v>
      </c>
      <c r="C499" t="s">
        <v>76</v>
      </c>
      <c r="D499" t="s">
        <v>106</v>
      </c>
      <c r="E499" s="31">
        <v>46207</v>
      </c>
      <c r="F499" t="s">
        <v>71</v>
      </c>
      <c r="G499" s="32" t="str">
        <f t="shared" si="14"/>
        <v>Paulista e Nacional Light 2026|7|FPTE|2026|ACRP</v>
      </c>
      <c r="H499" s="32" t="str">
        <f t="shared" si="15"/>
        <v>Paulista e Nacional Light 2026|FPTE|2026|ACRP</v>
      </c>
      <c r="I499" s="32">
        <f>IF(G499="",0,IF(COUNTIF($G$2:G499,G499)=1,1,0))</f>
        <v>1</v>
      </c>
      <c r="J499" s="32">
        <f>IF(H499="",0,IF(COUNTIF($H$2:H499,H499)=1,1,0))</f>
        <v>0</v>
      </c>
    </row>
    <row r="500" spans="1:10" ht="14.25" hidden="1" customHeight="1" x14ac:dyDescent="0.35">
      <c r="A500" s="30" t="s">
        <v>138</v>
      </c>
      <c r="B500" t="s">
        <v>112</v>
      </c>
      <c r="C500" t="s">
        <v>76</v>
      </c>
      <c r="D500" t="s">
        <v>106</v>
      </c>
      <c r="E500" s="31">
        <v>46207</v>
      </c>
      <c r="F500" t="s">
        <v>73</v>
      </c>
      <c r="G500" s="32" t="str">
        <f t="shared" si="14"/>
        <v>Paulista e Nacional Light 2026|7|FPTE|2026|ALRP</v>
      </c>
      <c r="H500" s="32" t="str">
        <f t="shared" si="15"/>
        <v>Paulista e Nacional Light 2026|FPTE|2026|ALRP</v>
      </c>
      <c r="I500" s="32">
        <f>IF(G500="",0,IF(COUNTIF($G$2:G500,G500)=1,1,0))</f>
        <v>1</v>
      </c>
      <c r="J500" s="32">
        <f>IF(H500="",0,IF(COUNTIF($H$2:H500,H500)=1,1,0))</f>
        <v>0</v>
      </c>
    </row>
    <row r="501" spans="1:10" ht="14.25" hidden="1" customHeight="1" x14ac:dyDescent="0.35">
      <c r="A501" s="30" t="s">
        <v>138</v>
      </c>
      <c r="B501" t="s">
        <v>112</v>
      </c>
      <c r="C501" t="s">
        <v>76</v>
      </c>
      <c r="D501" t="s">
        <v>106</v>
      </c>
      <c r="E501" s="31">
        <v>46207</v>
      </c>
      <c r="F501" t="s">
        <v>74</v>
      </c>
      <c r="G501" s="32" t="str">
        <f t="shared" si="14"/>
        <v>Paulista e Nacional Light 2026|7|FPTE|2026|ALRR</v>
      </c>
      <c r="H501" s="32" t="str">
        <f t="shared" si="15"/>
        <v>Paulista e Nacional Light 2026|FPTE|2026|ALRR</v>
      </c>
      <c r="I501" s="32">
        <f>IF(G501="",0,IF(COUNTIF($G$2:G501,G501)=1,1,0))</f>
        <v>1</v>
      </c>
      <c r="J501" s="32">
        <f>IF(H501="",0,IF(COUNTIF($H$2:H501,H501)=1,1,0))</f>
        <v>0</v>
      </c>
    </row>
    <row r="502" spans="1:10" ht="14.25" hidden="1" customHeight="1" x14ac:dyDescent="0.35">
      <c r="A502" s="30" t="s">
        <v>140</v>
      </c>
      <c r="B502" t="s">
        <v>112</v>
      </c>
      <c r="C502" t="s">
        <v>82</v>
      </c>
      <c r="D502" t="s">
        <v>115</v>
      </c>
      <c r="E502" s="31">
        <v>46207</v>
      </c>
      <c r="F502" t="s">
        <v>71</v>
      </c>
      <c r="G502" s="32" t="str">
        <f t="shared" si="14"/>
        <v>Short Range|7|Anacac|2026|ACRP</v>
      </c>
      <c r="H502" s="32" t="str">
        <f t="shared" si="15"/>
        <v>Short Range|Anacac|2026|ACRP</v>
      </c>
      <c r="I502" s="32">
        <f>IF(G502="",0,IF(COUNTIF($G$2:G502,G502)=1,1,0))</f>
        <v>1</v>
      </c>
      <c r="J502" s="32">
        <f>IF(H502="",0,IF(COUNTIF($H$2:H502,H502)=1,1,0))</f>
        <v>0</v>
      </c>
    </row>
    <row r="503" spans="1:10" ht="14.25" hidden="1" customHeight="1" x14ac:dyDescent="0.35">
      <c r="A503" s="30" t="s">
        <v>140</v>
      </c>
      <c r="B503" t="s">
        <v>112</v>
      </c>
      <c r="C503" t="s">
        <v>82</v>
      </c>
      <c r="D503" t="s">
        <v>115</v>
      </c>
      <c r="E503" s="31">
        <v>46207</v>
      </c>
      <c r="F503" t="s">
        <v>72</v>
      </c>
      <c r="G503" s="32" t="str">
        <f t="shared" si="14"/>
        <v>Short Range|7|Anacac|2026|ACRR</v>
      </c>
      <c r="H503" s="32" t="str">
        <f t="shared" si="15"/>
        <v>Short Range|Anacac|2026|ACRR</v>
      </c>
      <c r="I503" s="32">
        <f>IF(G503="",0,IF(COUNTIF($G$2:G503,G503)=1,1,0))</f>
        <v>1</v>
      </c>
      <c r="J503" s="32">
        <f>IF(H503="",0,IF(COUNTIF($H$2:H503,H503)=1,1,0))</f>
        <v>0</v>
      </c>
    </row>
    <row r="504" spans="1:10" ht="14.25" hidden="1" customHeight="1" x14ac:dyDescent="0.35">
      <c r="A504" s="30" t="s">
        <v>140</v>
      </c>
      <c r="B504" t="s">
        <v>112</v>
      </c>
      <c r="C504" t="s">
        <v>82</v>
      </c>
      <c r="D504" t="s">
        <v>115</v>
      </c>
      <c r="E504" s="31">
        <v>46207</v>
      </c>
      <c r="F504" t="s">
        <v>73</v>
      </c>
      <c r="G504" s="32" t="str">
        <f t="shared" si="14"/>
        <v>Short Range|7|Anacac|2026|ALRP</v>
      </c>
      <c r="H504" s="32" t="str">
        <f t="shared" si="15"/>
        <v>Short Range|Anacac|2026|ALRP</v>
      </c>
      <c r="I504" s="32">
        <f>IF(G504="",0,IF(COUNTIF($G$2:G504,G504)=1,1,0))</f>
        <v>1</v>
      </c>
      <c r="J504" s="32">
        <f>IF(H504="",0,IF(COUNTIF($H$2:H504,H504)=1,1,0))</f>
        <v>0</v>
      </c>
    </row>
    <row r="505" spans="1:10" ht="14.25" hidden="1" customHeight="1" x14ac:dyDescent="0.35">
      <c r="A505" s="30" t="s">
        <v>140</v>
      </c>
      <c r="B505" t="s">
        <v>112</v>
      </c>
      <c r="C505" t="s">
        <v>82</v>
      </c>
      <c r="D505" t="s">
        <v>115</v>
      </c>
      <c r="E505" s="31">
        <v>46207</v>
      </c>
      <c r="F505" t="s">
        <v>74</v>
      </c>
      <c r="G505" s="32" t="str">
        <f t="shared" si="14"/>
        <v>Short Range|7|Anacac|2026|ALRR</v>
      </c>
      <c r="H505" s="32" t="str">
        <f t="shared" si="15"/>
        <v>Short Range|Anacac|2026|ALRR</v>
      </c>
      <c r="I505" s="32">
        <f>IF(G505="",0,IF(COUNTIF($G$2:G505,G505)=1,1,0))</f>
        <v>1</v>
      </c>
      <c r="J505" s="32">
        <f>IF(H505="",0,IF(COUNTIF($H$2:H505,H505)=1,1,0))</f>
        <v>0</v>
      </c>
    </row>
    <row r="506" spans="1:10" ht="14.25" customHeight="1" x14ac:dyDescent="0.35">
      <c r="A506" s="30" t="s">
        <v>140</v>
      </c>
      <c r="B506" t="s">
        <v>112</v>
      </c>
      <c r="C506" t="s">
        <v>82</v>
      </c>
      <c r="D506" t="s">
        <v>115</v>
      </c>
      <c r="E506" s="31">
        <v>46207</v>
      </c>
      <c r="F506" t="s">
        <v>75</v>
      </c>
      <c r="G506" s="32" t="str">
        <f t="shared" si="14"/>
        <v>Short Range|7|Anacac|2026|ALLP</v>
      </c>
      <c r="H506" s="32" t="str">
        <f t="shared" si="15"/>
        <v>Short Range|Anacac|2026|ALLP</v>
      </c>
      <c r="I506" s="32">
        <f>IF(G506="",0,IF(COUNTIF($G$2:G506,G506)=1,1,0))</f>
        <v>1</v>
      </c>
      <c r="J506" s="32">
        <f>IF(H506="",0,IF(COUNTIF($H$2:H506,H506)=1,1,0))</f>
        <v>1</v>
      </c>
    </row>
    <row r="507" spans="1:10" ht="14.25" hidden="1" customHeight="1" x14ac:dyDescent="0.35">
      <c r="A507" s="30"/>
      <c r="E507" s="31"/>
      <c r="G507" s="32" t="str">
        <f t="shared" si="14"/>
        <v>|||1900|</v>
      </c>
      <c r="H507" s="32" t="str">
        <f t="shared" si="15"/>
        <v>||1900|</v>
      </c>
      <c r="I507" s="32">
        <f>IF(G507="",0,IF(COUNTIF($G$2:G507,G507)=1,1,0))</f>
        <v>1</v>
      </c>
      <c r="J507" s="32">
        <f>IF(H507="",0,IF(COUNTIF($H$2:H507,H507)=1,1,0))</f>
        <v>1</v>
      </c>
    </row>
    <row r="508" spans="1:10" ht="14.25" hidden="1" customHeight="1" x14ac:dyDescent="0.35">
      <c r="A508" s="30"/>
      <c r="E508" s="31"/>
      <c r="G508" s="32" t="str">
        <f t="shared" si="14"/>
        <v>|||1900|</v>
      </c>
      <c r="H508" s="32" t="str">
        <f t="shared" si="15"/>
        <v>||1900|</v>
      </c>
      <c r="I508" s="32">
        <f>IF(G508="",0,IF(COUNTIF($G$2:G508,G508)=1,1,0))</f>
        <v>0</v>
      </c>
      <c r="J508" s="32">
        <f>IF(H508="",0,IF(COUNTIF($H$2:H508,H508)=1,1,0))</f>
        <v>0</v>
      </c>
    </row>
    <row r="509" spans="1:10" ht="14.25" hidden="1" customHeight="1" x14ac:dyDescent="0.35">
      <c r="A509" s="30"/>
      <c r="E509" s="31"/>
      <c r="G509" s="32" t="str">
        <f t="shared" si="14"/>
        <v>|||1900|</v>
      </c>
      <c r="H509" s="32" t="str">
        <f t="shared" si="15"/>
        <v>||1900|</v>
      </c>
      <c r="I509" s="32">
        <f>IF(G509="",0,IF(COUNTIF($G$2:G509,G509)=1,1,0))</f>
        <v>0</v>
      </c>
      <c r="J509" s="32">
        <f>IF(H509="",0,IF(COUNTIF($H$2:H509,H509)=1,1,0))</f>
        <v>0</v>
      </c>
    </row>
    <row r="510" spans="1:10" ht="14.25" hidden="1" customHeight="1" x14ac:dyDescent="0.35">
      <c r="A510" s="30"/>
      <c r="E510" s="31"/>
      <c r="G510" s="32" t="str">
        <f t="shared" si="14"/>
        <v>|||1900|</v>
      </c>
      <c r="H510" s="32" t="str">
        <f t="shared" si="15"/>
        <v>||1900|</v>
      </c>
      <c r="I510" s="32">
        <f>IF(G510="",0,IF(COUNTIF($G$2:G510,G510)=1,1,0))</f>
        <v>0</v>
      </c>
      <c r="J510" s="32">
        <f>IF(H510="",0,IF(COUNTIF($H$2:H510,H510)=1,1,0))</f>
        <v>0</v>
      </c>
    </row>
    <row r="511" spans="1:10" ht="14.25" hidden="1" customHeight="1" x14ac:dyDescent="0.35">
      <c r="A511" s="30"/>
      <c r="E511" s="31"/>
      <c r="G511" s="32" t="str">
        <f t="shared" si="14"/>
        <v>|||1900|</v>
      </c>
      <c r="H511" s="32" t="str">
        <f t="shared" si="15"/>
        <v>||1900|</v>
      </c>
      <c r="I511" s="32">
        <f>IF(G511="",0,IF(COUNTIF($G$2:G511,G511)=1,1,0))</f>
        <v>0</v>
      </c>
      <c r="J511" s="32">
        <f>IF(H511="",0,IF(COUNTIF($H$2:H511,H511)=1,1,0))</f>
        <v>0</v>
      </c>
    </row>
    <row r="512" spans="1:10" ht="14.25" hidden="1" customHeight="1" x14ac:dyDescent="0.35">
      <c r="A512" s="30"/>
      <c r="E512" s="31"/>
      <c r="G512" s="32" t="str">
        <f t="shared" si="14"/>
        <v>|||1900|</v>
      </c>
      <c r="H512" s="32" t="str">
        <f t="shared" si="15"/>
        <v>||1900|</v>
      </c>
      <c r="I512" s="32">
        <f>IF(G512="",0,IF(COUNTIF($G$2:G512,G512)=1,1,0))</f>
        <v>0</v>
      </c>
      <c r="J512" s="32">
        <f>IF(H512="",0,IF(COUNTIF($H$2:H512,H512)=1,1,0))</f>
        <v>0</v>
      </c>
    </row>
    <row r="513" spans="1:10" ht="14.25" hidden="1" customHeight="1" x14ac:dyDescent="0.35">
      <c r="A513" s="30"/>
      <c r="E513" s="31"/>
      <c r="G513" s="32" t="str">
        <f t="shared" si="14"/>
        <v>|||1900|</v>
      </c>
      <c r="H513" s="32" t="str">
        <f t="shared" si="15"/>
        <v>||1900|</v>
      </c>
      <c r="I513" s="32">
        <f>IF(G513="",0,IF(COUNTIF($G$2:G513,G513)=1,1,0))</f>
        <v>0</v>
      </c>
      <c r="J513" s="32">
        <f>IF(H513="",0,IF(COUNTIF($H$2:H513,H513)=1,1,0))</f>
        <v>0</v>
      </c>
    </row>
    <row r="514" spans="1:10" ht="14.25" hidden="1" customHeight="1" x14ac:dyDescent="0.35">
      <c r="A514" s="30"/>
      <c r="E514" s="31"/>
      <c r="G514" s="32" t="str">
        <f t="shared" ref="G514:G577" si="16">IF(D514="T",
E514&amp;"|"&amp;F514,
A514&amp;"|"&amp;B514&amp;"|"&amp;C514&amp;"|"&amp;YEAR(E514)&amp;"|"&amp;F514)</f>
        <v>|||1900|</v>
      </c>
      <c r="H514" s="32" t="str">
        <f t="shared" ref="H514:H577" si="17">A514&amp;"|"&amp;C514&amp;"|"&amp;YEAR(E514)&amp;"|"&amp;F514</f>
        <v>||1900|</v>
      </c>
      <c r="I514" s="32">
        <f>IF(G514="",0,IF(COUNTIF($G$2:G514,G514)=1,1,0))</f>
        <v>0</v>
      </c>
      <c r="J514" s="32">
        <f>IF(H514="",0,IF(COUNTIF($H$2:H514,H514)=1,1,0))</f>
        <v>0</v>
      </c>
    </row>
    <row r="515" spans="1:10" ht="14.25" hidden="1" customHeight="1" x14ac:dyDescent="0.35">
      <c r="A515" s="30"/>
      <c r="E515" s="31"/>
      <c r="G515" s="32" t="str">
        <f t="shared" si="16"/>
        <v>|||1900|</v>
      </c>
      <c r="H515" s="32" t="str">
        <f t="shared" si="17"/>
        <v>||1900|</v>
      </c>
      <c r="I515" s="32">
        <f>IF(G515="",0,IF(COUNTIF($G$2:G515,G515)=1,1,0))</f>
        <v>0</v>
      </c>
      <c r="J515" s="32">
        <f>IF(H515="",0,IF(COUNTIF($H$2:H515,H515)=1,1,0))</f>
        <v>0</v>
      </c>
    </row>
    <row r="516" spans="1:10" ht="14.25" hidden="1" customHeight="1" x14ac:dyDescent="0.35">
      <c r="A516" s="30"/>
      <c r="E516" s="31"/>
      <c r="G516" s="32" t="str">
        <f t="shared" si="16"/>
        <v>|||1900|</v>
      </c>
      <c r="H516" s="32" t="str">
        <f t="shared" si="17"/>
        <v>||1900|</v>
      </c>
      <c r="I516" s="32">
        <f>IF(G516="",0,IF(COUNTIF($G$2:G516,G516)=1,1,0))</f>
        <v>0</v>
      </c>
      <c r="J516" s="32">
        <f>IF(H516="",0,IF(COUNTIF($H$2:H516,H516)=1,1,0))</f>
        <v>0</v>
      </c>
    </row>
    <row r="517" spans="1:10" ht="14.25" hidden="1" customHeight="1" x14ac:dyDescent="0.35">
      <c r="A517" s="30"/>
      <c r="E517" s="31"/>
      <c r="G517" s="32" t="str">
        <f t="shared" si="16"/>
        <v>|||1900|</v>
      </c>
      <c r="H517" s="32" t="str">
        <f t="shared" si="17"/>
        <v>||1900|</v>
      </c>
      <c r="I517" s="32">
        <f>IF(G517="",0,IF(COUNTIF($G$2:G517,G517)=1,1,0))</f>
        <v>0</v>
      </c>
      <c r="J517" s="32">
        <f>IF(H517="",0,IF(COUNTIF($H$2:H517,H517)=1,1,0))</f>
        <v>0</v>
      </c>
    </row>
    <row r="518" spans="1:10" ht="14.25" hidden="1" customHeight="1" x14ac:dyDescent="0.35">
      <c r="A518" s="30"/>
      <c r="E518" s="31"/>
      <c r="G518" s="32" t="str">
        <f t="shared" si="16"/>
        <v>|||1900|</v>
      </c>
      <c r="H518" s="32" t="str">
        <f t="shared" si="17"/>
        <v>||1900|</v>
      </c>
      <c r="I518" s="32">
        <f>IF(G518="",0,IF(COUNTIF($G$2:G518,G518)=1,1,0))</f>
        <v>0</v>
      </c>
      <c r="J518" s="32">
        <f>IF(H518="",0,IF(COUNTIF($H$2:H518,H518)=1,1,0))</f>
        <v>0</v>
      </c>
    </row>
    <row r="519" spans="1:10" ht="14.25" hidden="1" customHeight="1" x14ac:dyDescent="0.35">
      <c r="A519" s="30"/>
      <c r="E519" s="31"/>
      <c r="G519" s="32" t="str">
        <f t="shared" si="16"/>
        <v>|||1900|</v>
      </c>
      <c r="H519" s="32" t="str">
        <f t="shared" si="17"/>
        <v>||1900|</v>
      </c>
      <c r="I519" s="32">
        <f>IF(G519="",0,IF(COUNTIF($G$2:G519,G519)=1,1,0))</f>
        <v>0</v>
      </c>
      <c r="J519" s="32">
        <f>IF(H519="",0,IF(COUNTIF($H$2:H519,H519)=1,1,0))</f>
        <v>0</v>
      </c>
    </row>
    <row r="520" spans="1:10" ht="14.25" hidden="1" customHeight="1" x14ac:dyDescent="0.35">
      <c r="A520" s="30"/>
      <c r="E520" s="31"/>
      <c r="G520" s="32" t="str">
        <f t="shared" si="16"/>
        <v>|||1900|</v>
      </c>
      <c r="H520" s="32" t="str">
        <f t="shared" si="17"/>
        <v>||1900|</v>
      </c>
      <c r="I520" s="32">
        <f>IF(G520="",0,IF(COUNTIF($G$2:G520,G520)=1,1,0))</f>
        <v>0</v>
      </c>
      <c r="J520" s="32">
        <f>IF(H520="",0,IF(COUNTIF($H$2:H520,H520)=1,1,0))</f>
        <v>0</v>
      </c>
    </row>
    <row r="521" spans="1:10" ht="14.25" hidden="1" customHeight="1" x14ac:dyDescent="0.35">
      <c r="A521" s="30"/>
      <c r="E521" s="31"/>
      <c r="G521" s="32" t="str">
        <f t="shared" si="16"/>
        <v>|||1900|</v>
      </c>
      <c r="H521" s="32" t="str">
        <f t="shared" si="17"/>
        <v>||1900|</v>
      </c>
      <c r="I521" s="32">
        <f>IF(G521="",0,IF(COUNTIF($G$2:G521,G521)=1,1,0))</f>
        <v>0</v>
      </c>
      <c r="J521" s="32">
        <f>IF(H521="",0,IF(COUNTIF($H$2:H521,H521)=1,1,0))</f>
        <v>0</v>
      </c>
    </row>
    <row r="522" spans="1:10" ht="14.25" hidden="1" customHeight="1" x14ac:dyDescent="0.35">
      <c r="A522" s="30"/>
      <c r="E522" s="31"/>
      <c r="G522" s="32" t="str">
        <f t="shared" si="16"/>
        <v>|||1900|</v>
      </c>
      <c r="H522" s="32" t="str">
        <f t="shared" si="17"/>
        <v>||1900|</v>
      </c>
      <c r="I522" s="32">
        <f>IF(G522="",0,IF(COUNTIF($G$2:G522,G522)=1,1,0))</f>
        <v>0</v>
      </c>
      <c r="J522" s="32">
        <f>IF(H522="",0,IF(COUNTIF($H$2:H522,H522)=1,1,0))</f>
        <v>0</v>
      </c>
    </row>
    <row r="523" spans="1:10" ht="14.25" hidden="1" customHeight="1" x14ac:dyDescent="0.35">
      <c r="A523" s="30"/>
      <c r="E523" s="31"/>
      <c r="G523" s="32" t="str">
        <f t="shared" si="16"/>
        <v>|||1900|</v>
      </c>
      <c r="H523" s="32" t="str">
        <f t="shared" si="17"/>
        <v>||1900|</v>
      </c>
      <c r="I523" s="32">
        <f>IF(G523="",0,IF(COUNTIF($G$2:G523,G523)=1,1,0))</f>
        <v>0</v>
      </c>
      <c r="J523" s="32">
        <f>IF(H523="",0,IF(COUNTIF($H$2:H523,H523)=1,1,0))</f>
        <v>0</v>
      </c>
    </row>
    <row r="524" spans="1:10" ht="14.25" hidden="1" customHeight="1" x14ac:dyDescent="0.35">
      <c r="A524" s="30"/>
      <c r="E524" s="31"/>
      <c r="G524" s="32" t="str">
        <f t="shared" si="16"/>
        <v>|||1900|</v>
      </c>
      <c r="H524" s="32" t="str">
        <f t="shared" si="17"/>
        <v>||1900|</v>
      </c>
      <c r="I524" s="32">
        <f>IF(G524="",0,IF(COUNTIF($G$2:G524,G524)=1,1,0))</f>
        <v>0</v>
      </c>
      <c r="J524" s="32">
        <f>IF(H524="",0,IF(COUNTIF($H$2:H524,H524)=1,1,0))</f>
        <v>0</v>
      </c>
    </row>
    <row r="525" spans="1:10" ht="14.25" hidden="1" customHeight="1" x14ac:dyDescent="0.35">
      <c r="A525" s="30"/>
      <c r="E525" s="31"/>
      <c r="G525" s="32" t="str">
        <f t="shared" si="16"/>
        <v>|||1900|</v>
      </c>
      <c r="H525" s="32" t="str">
        <f t="shared" si="17"/>
        <v>||1900|</v>
      </c>
      <c r="I525" s="32">
        <f>IF(G525="",0,IF(COUNTIF($G$2:G525,G525)=1,1,0))</f>
        <v>0</v>
      </c>
      <c r="J525" s="32">
        <f>IF(H525="",0,IF(COUNTIF($H$2:H525,H525)=1,1,0))</f>
        <v>0</v>
      </c>
    </row>
    <row r="526" spans="1:10" ht="14.25" hidden="1" customHeight="1" x14ac:dyDescent="0.35">
      <c r="A526" s="30"/>
      <c r="E526" s="31"/>
      <c r="G526" s="32" t="str">
        <f t="shared" si="16"/>
        <v>|||1900|</v>
      </c>
      <c r="H526" s="32" t="str">
        <f t="shared" si="17"/>
        <v>||1900|</v>
      </c>
      <c r="I526" s="32">
        <f>IF(G526="",0,IF(COUNTIF($G$2:G526,G526)=1,1,0))</f>
        <v>0</v>
      </c>
      <c r="J526" s="32">
        <f>IF(H526="",0,IF(COUNTIF($H$2:H526,H526)=1,1,0))</f>
        <v>0</v>
      </c>
    </row>
    <row r="527" spans="1:10" ht="14.25" hidden="1" customHeight="1" x14ac:dyDescent="0.35">
      <c r="A527" s="30"/>
      <c r="E527" s="31"/>
      <c r="G527" s="32" t="str">
        <f t="shared" si="16"/>
        <v>|||1900|</v>
      </c>
      <c r="H527" s="32" t="str">
        <f t="shared" si="17"/>
        <v>||1900|</v>
      </c>
      <c r="I527" s="32">
        <f>IF(G527="",0,IF(COUNTIF($G$2:G527,G527)=1,1,0))</f>
        <v>0</v>
      </c>
      <c r="J527" s="32">
        <f>IF(H527="",0,IF(COUNTIF($H$2:H527,H527)=1,1,0))</f>
        <v>0</v>
      </c>
    </row>
    <row r="528" spans="1:10" ht="14.25" hidden="1" customHeight="1" x14ac:dyDescent="0.35">
      <c r="A528" s="30"/>
      <c r="E528" s="31"/>
      <c r="G528" s="32" t="str">
        <f t="shared" si="16"/>
        <v>|||1900|</v>
      </c>
      <c r="H528" s="32" t="str">
        <f t="shared" si="17"/>
        <v>||1900|</v>
      </c>
      <c r="I528" s="32">
        <f>IF(G528="",0,IF(COUNTIF($G$2:G528,G528)=1,1,0))</f>
        <v>0</v>
      </c>
      <c r="J528" s="32">
        <f>IF(H528="",0,IF(COUNTIF($H$2:H528,H528)=1,1,0))</f>
        <v>0</v>
      </c>
    </row>
    <row r="529" spans="1:10" ht="14.25" hidden="1" customHeight="1" x14ac:dyDescent="0.35">
      <c r="A529" s="30"/>
      <c r="E529" s="31"/>
      <c r="G529" s="32" t="str">
        <f t="shared" si="16"/>
        <v>|||1900|</v>
      </c>
      <c r="H529" s="32" t="str">
        <f t="shared" si="17"/>
        <v>||1900|</v>
      </c>
      <c r="I529" s="32">
        <f>IF(G529="",0,IF(COUNTIF($G$2:G529,G529)=1,1,0))</f>
        <v>0</v>
      </c>
      <c r="J529" s="32">
        <f>IF(H529="",0,IF(COUNTIF($H$2:H529,H529)=1,1,0))</f>
        <v>0</v>
      </c>
    </row>
    <row r="530" spans="1:10" ht="14.25" hidden="1" customHeight="1" x14ac:dyDescent="0.35">
      <c r="A530" s="30"/>
      <c r="E530" s="31"/>
      <c r="G530" s="32" t="str">
        <f t="shared" si="16"/>
        <v>|||1900|</v>
      </c>
      <c r="H530" s="32" t="str">
        <f t="shared" si="17"/>
        <v>||1900|</v>
      </c>
      <c r="I530" s="32">
        <f>IF(G530="",0,IF(COUNTIF($G$2:G530,G530)=1,1,0))</f>
        <v>0</v>
      </c>
      <c r="J530" s="32">
        <f>IF(H530="",0,IF(COUNTIF($H$2:H530,H530)=1,1,0))</f>
        <v>0</v>
      </c>
    </row>
    <row r="531" spans="1:10" ht="14.25" hidden="1" customHeight="1" x14ac:dyDescent="0.35">
      <c r="A531" s="30"/>
      <c r="E531" s="31"/>
      <c r="G531" s="32" t="str">
        <f t="shared" si="16"/>
        <v>|||1900|</v>
      </c>
      <c r="H531" s="32" t="str">
        <f t="shared" si="17"/>
        <v>||1900|</v>
      </c>
      <c r="I531" s="32">
        <f>IF(G531="",0,IF(COUNTIF($G$2:G531,G531)=1,1,0))</f>
        <v>0</v>
      </c>
      <c r="J531" s="32">
        <f>IF(H531="",0,IF(COUNTIF($H$2:H531,H531)=1,1,0))</f>
        <v>0</v>
      </c>
    </row>
    <row r="532" spans="1:10" ht="14.25" hidden="1" customHeight="1" x14ac:dyDescent="0.35">
      <c r="A532" s="30"/>
      <c r="E532" s="31"/>
      <c r="G532" s="32" t="str">
        <f t="shared" si="16"/>
        <v>|||1900|</v>
      </c>
      <c r="H532" s="32" t="str">
        <f t="shared" si="17"/>
        <v>||1900|</v>
      </c>
      <c r="I532" s="32">
        <f>IF(G532="",0,IF(COUNTIF($G$2:G532,G532)=1,1,0))</f>
        <v>0</v>
      </c>
      <c r="J532" s="32">
        <f>IF(H532="",0,IF(COUNTIF($H$2:H532,H532)=1,1,0))</f>
        <v>0</v>
      </c>
    </row>
    <row r="533" spans="1:10" ht="14.25" hidden="1" customHeight="1" x14ac:dyDescent="0.35">
      <c r="A533" s="30"/>
      <c r="E533" s="31"/>
      <c r="G533" s="32" t="str">
        <f t="shared" si="16"/>
        <v>|||1900|</v>
      </c>
      <c r="H533" s="32" t="str">
        <f t="shared" si="17"/>
        <v>||1900|</v>
      </c>
      <c r="I533" s="32">
        <f>IF(G533="",0,IF(COUNTIF($G$2:G533,G533)=1,1,0))</f>
        <v>0</v>
      </c>
      <c r="J533" s="32">
        <f>IF(H533="",0,IF(COUNTIF($H$2:H533,H533)=1,1,0))</f>
        <v>0</v>
      </c>
    </row>
    <row r="534" spans="1:10" ht="14.25" hidden="1" customHeight="1" x14ac:dyDescent="0.35">
      <c r="A534" s="30"/>
      <c r="E534" s="31"/>
      <c r="G534" s="32" t="str">
        <f t="shared" si="16"/>
        <v>|||1900|</v>
      </c>
      <c r="H534" s="32" t="str">
        <f t="shared" si="17"/>
        <v>||1900|</v>
      </c>
      <c r="I534" s="32">
        <f>IF(G534="",0,IF(COUNTIF($G$2:G534,G534)=1,1,0))</f>
        <v>0</v>
      </c>
      <c r="J534" s="32">
        <f>IF(H534="",0,IF(COUNTIF($H$2:H534,H534)=1,1,0))</f>
        <v>0</v>
      </c>
    </row>
    <row r="535" spans="1:10" ht="14.25" hidden="1" customHeight="1" x14ac:dyDescent="0.35">
      <c r="A535" s="30"/>
      <c r="E535" s="31"/>
      <c r="G535" s="32" t="str">
        <f t="shared" si="16"/>
        <v>|||1900|</v>
      </c>
      <c r="H535" s="32" t="str">
        <f t="shared" si="17"/>
        <v>||1900|</v>
      </c>
      <c r="I535" s="32">
        <f>IF(G535="",0,IF(COUNTIF($G$2:G535,G535)=1,1,0))</f>
        <v>0</v>
      </c>
      <c r="J535" s="32">
        <f>IF(H535="",0,IF(COUNTIF($H$2:H535,H535)=1,1,0))</f>
        <v>0</v>
      </c>
    </row>
    <row r="536" spans="1:10" ht="14.25" hidden="1" customHeight="1" x14ac:dyDescent="0.35">
      <c r="A536" s="30"/>
      <c r="E536" s="31"/>
      <c r="G536" s="32" t="str">
        <f t="shared" si="16"/>
        <v>|||1900|</v>
      </c>
      <c r="H536" s="32" t="str">
        <f t="shared" si="17"/>
        <v>||1900|</v>
      </c>
      <c r="I536" s="32">
        <f>IF(G536="",0,IF(COUNTIF($G$2:G536,G536)=1,1,0))</f>
        <v>0</v>
      </c>
      <c r="J536" s="32">
        <f>IF(H536="",0,IF(COUNTIF($H$2:H536,H536)=1,1,0))</f>
        <v>0</v>
      </c>
    </row>
    <row r="537" spans="1:10" ht="14.25" hidden="1" customHeight="1" x14ac:dyDescent="0.35">
      <c r="A537" s="30"/>
      <c r="E537" s="31"/>
      <c r="G537" s="32" t="str">
        <f t="shared" si="16"/>
        <v>|||1900|</v>
      </c>
      <c r="H537" s="32" t="str">
        <f t="shared" si="17"/>
        <v>||1900|</v>
      </c>
      <c r="I537" s="32">
        <f>IF(G537="",0,IF(COUNTIF($G$2:G537,G537)=1,1,0))</f>
        <v>0</v>
      </c>
      <c r="J537" s="32">
        <f>IF(H537="",0,IF(COUNTIF($H$2:H537,H537)=1,1,0))</f>
        <v>0</v>
      </c>
    </row>
    <row r="538" spans="1:10" ht="14.25" hidden="1" customHeight="1" x14ac:dyDescent="0.35">
      <c r="A538" s="30"/>
      <c r="E538" s="31"/>
      <c r="G538" s="32" t="str">
        <f t="shared" si="16"/>
        <v>|||1900|</v>
      </c>
      <c r="H538" s="32" t="str">
        <f t="shared" si="17"/>
        <v>||1900|</v>
      </c>
      <c r="I538" s="32">
        <f>IF(G538="",0,IF(COUNTIF($G$2:G538,G538)=1,1,0))</f>
        <v>0</v>
      </c>
      <c r="J538" s="32">
        <f>IF(H538="",0,IF(COUNTIF($H$2:H538,H538)=1,1,0))</f>
        <v>0</v>
      </c>
    </row>
    <row r="539" spans="1:10" ht="14.25" hidden="1" customHeight="1" x14ac:dyDescent="0.35">
      <c r="A539" s="30"/>
      <c r="E539" s="31"/>
      <c r="G539" s="32" t="str">
        <f t="shared" si="16"/>
        <v>|||1900|</v>
      </c>
      <c r="H539" s="32" t="str">
        <f t="shared" si="17"/>
        <v>||1900|</v>
      </c>
      <c r="I539" s="32">
        <f>IF(G539="",0,IF(COUNTIF($G$2:G539,G539)=1,1,0))</f>
        <v>0</v>
      </c>
      <c r="J539" s="32">
        <f>IF(H539="",0,IF(COUNTIF($H$2:H539,H539)=1,1,0))</f>
        <v>0</v>
      </c>
    </row>
    <row r="540" spans="1:10" ht="14.25" hidden="1" customHeight="1" x14ac:dyDescent="0.35">
      <c r="A540" s="30"/>
      <c r="E540" s="31"/>
      <c r="G540" s="32" t="str">
        <f t="shared" si="16"/>
        <v>|||1900|</v>
      </c>
      <c r="H540" s="32" t="str">
        <f t="shared" si="17"/>
        <v>||1900|</v>
      </c>
      <c r="I540" s="32">
        <f>IF(G540="",0,IF(COUNTIF($G$2:G540,G540)=1,1,0))</f>
        <v>0</v>
      </c>
      <c r="J540" s="32">
        <f>IF(H540="",0,IF(COUNTIF($H$2:H540,H540)=1,1,0))</f>
        <v>0</v>
      </c>
    </row>
    <row r="541" spans="1:10" ht="14.25" hidden="1" customHeight="1" x14ac:dyDescent="0.35">
      <c r="A541" s="30"/>
      <c r="E541" s="31"/>
      <c r="G541" s="32" t="str">
        <f t="shared" si="16"/>
        <v>|||1900|</v>
      </c>
      <c r="H541" s="32" t="str">
        <f t="shared" si="17"/>
        <v>||1900|</v>
      </c>
      <c r="I541" s="32">
        <f>IF(G541="",0,IF(COUNTIF($G$2:G541,G541)=1,1,0))</f>
        <v>0</v>
      </c>
      <c r="J541" s="32">
        <f>IF(H541="",0,IF(COUNTIF($H$2:H541,H541)=1,1,0))</f>
        <v>0</v>
      </c>
    </row>
    <row r="542" spans="1:10" ht="14.25" hidden="1" customHeight="1" x14ac:dyDescent="0.35">
      <c r="A542" s="30"/>
      <c r="E542" s="31"/>
      <c r="G542" s="32" t="str">
        <f t="shared" si="16"/>
        <v>|||1900|</v>
      </c>
      <c r="H542" s="32" t="str">
        <f t="shared" si="17"/>
        <v>||1900|</v>
      </c>
      <c r="I542" s="32">
        <f>IF(G542="",0,IF(COUNTIF($G$2:G542,G542)=1,1,0))</f>
        <v>0</v>
      </c>
      <c r="J542" s="32">
        <f>IF(H542="",0,IF(COUNTIF($H$2:H542,H542)=1,1,0))</f>
        <v>0</v>
      </c>
    </row>
    <row r="543" spans="1:10" ht="14.25" hidden="1" customHeight="1" x14ac:dyDescent="0.35">
      <c r="A543" s="30"/>
      <c r="E543" s="31"/>
      <c r="G543" s="32" t="str">
        <f t="shared" si="16"/>
        <v>|||1900|</v>
      </c>
      <c r="H543" s="32" t="str">
        <f t="shared" si="17"/>
        <v>||1900|</v>
      </c>
      <c r="I543" s="32">
        <f>IF(G543="",0,IF(COUNTIF($G$2:G543,G543)=1,1,0))</f>
        <v>0</v>
      </c>
      <c r="J543" s="32">
        <f>IF(H543="",0,IF(COUNTIF($H$2:H543,H543)=1,1,0))</f>
        <v>0</v>
      </c>
    </row>
    <row r="544" spans="1:10" ht="14.25" hidden="1" customHeight="1" x14ac:dyDescent="0.35">
      <c r="A544" s="30"/>
      <c r="E544" s="31"/>
      <c r="G544" s="32" t="str">
        <f t="shared" si="16"/>
        <v>|||1900|</v>
      </c>
      <c r="H544" s="32" t="str">
        <f t="shared" si="17"/>
        <v>||1900|</v>
      </c>
      <c r="I544" s="32">
        <f>IF(G544="",0,IF(COUNTIF($G$2:G544,G544)=1,1,0))</f>
        <v>0</v>
      </c>
      <c r="J544" s="32">
        <f>IF(H544="",0,IF(COUNTIF($H$2:H544,H544)=1,1,0))</f>
        <v>0</v>
      </c>
    </row>
    <row r="545" spans="1:10" ht="14.25" hidden="1" customHeight="1" x14ac:dyDescent="0.35">
      <c r="A545" s="30"/>
      <c r="E545" s="31"/>
      <c r="G545" s="32" t="str">
        <f t="shared" si="16"/>
        <v>|||1900|</v>
      </c>
      <c r="H545" s="32" t="str">
        <f t="shared" si="17"/>
        <v>||1900|</v>
      </c>
      <c r="I545" s="32">
        <f>IF(G545="",0,IF(COUNTIF($G$2:G545,G545)=1,1,0))</f>
        <v>0</v>
      </c>
      <c r="J545" s="32">
        <f>IF(H545="",0,IF(COUNTIF($H$2:H545,H545)=1,1,0))</f>
        <v>0</v>
      </c>
    </row>
    <row r="546" spans="1:10" ht="14.25" hidden="1" customHeight="1" x14ac:dyDescent="0.35">
      <c r="A546" s="30"/>
      <c r="E546" s="31"/>
      <c r="G546" s="32" t="str">
        <f t="shared" si="16"/>
        <v>|||1900|</v>
      </c>
      <c r="H546" s="32" t="str">
        <f t="shared" si="17"/>
        <v>||1900|</v>
      </c>
      <c r="I546" s="32">
        <f>IF(G546="",0,IF(COUNTIF($G$2:G546,G546)=1,1,0))</f>
        <v>0</v>
      </c>
      <c r="J546" s="32">
        <f>IF(H546="",0,IF(COUNTIF($H$2:H546,H546)=1,1,0))</f>
        <v>0</v>
      </c>
    </row>
    <row r="547" spans="1:10" ht="14.25" hidden="1" customHeight="1" x14ac:dyDescent="0.35">
      <c r="A547" s="30"/>
      <c r="E547" s="31"/>
      <c r="G547" s="32" t="str">
        <f t="shared" si="16"/>
        <v>|||1900|</v>
      </c>
      <c r="H547" s="32" t="str">
        <f t="shared" si="17"/>
        <v>||1900|</v>
      </c>
      <c r="I547" s="32">
        <f>IF(G547="",0,IF(COUNTIF($G$2:G547,G547)=1,1,0))</f>
        <v>0</v>
      </c>
      <c r="J547" s="32">
        <f>IF(H547="",0,IF(COUNTIF($H$2:H547,H547)=1,1,0))</f>
        <v>0</v>
      </c>
    </row>
    <row r="548" spans="1:10" ht="14.25" hidden="1" customHeight="1" x14ac:dyDescent="0.35">
      <c r="A548" s="30"/>
      <c r="E548" s="31"/>
      <c r="G548" s="32" t="str">
        <f t="shared" si="16"/>
        <v>|||1900|</v>
      </c>
      <c r="H548" s="32" t="str">
        <f t="shared" si="17"/>
        <v>||1900|</v>
      </c>
      <c r="I548" s="32">
        <f>IF(G548="",0,IF(COUNTIF($G$2:G548,G548)=1,1,0))</f>
        <v>0</v>
      </c>
      <c r="J548" s="32">
        <f>IF(H548="",0,IF(COUNTIF($H$2:H548,H548)=1,1,0))</f>
        <v>0</v>
      </c>
    </row>
    <row r="549" spans="1:10" ht="14.25" hidden="1" customHeight="1" x14ac:dyDescent="0.35">
      <c r="A549" s="30"/>
      <c r="E549" s="31"/>
      <c r="G549" s="32" t="str">
        <f t="shared" si="16"/>
        <v>|||1900|</v>
      </c>
      <c r="H549" s="32" t="str">
        <f t="shared" si="17"/>
        <v>||1900|</v>
      </c>
      <c r="I549" s="32">
        <f>IF(G549="",0,IF(COUNTIF($G$2:G549,G549)=1,1,0))</f>
        <v>0</v>
      </c>
      <c r="J549" s="32">
        <f>IF(H549="",0,IF(COUNTIF($H$2:H549,H549)=1,1,0))</f>
        <v>0</v>
      </c>
    </row>
    <row r="550" spans="1:10" ht="14.25" hidden="1" customHeight="1" x14ac:dyDescent="0.35">
      <c r="A550" s="30"/>
      <c r="E550" s="31"/>
      <c r="G550" s="32" t="str">
        <f t="shared" si="16"/>
        <v>|||1900|</v>
      </c>
      <c r="H550" s="32" t="str">
        <f t="shared" si="17"/>
        <v>||1900|</v>
      </c>
      <c r="I550" s="32">
        <f>IF(G550="",0,IF(COUNTIF($G$2:G550,G550)=1,1,0))</f>
        <v>0</v>
      </c>
      <c r="J550" s="32">
        <f>IF(H550="",0,IF(COUNTIF($H$2:H550,H550)=1,1,0))</f>
        <v>0</v>
      </c>
    </row>
    <row r="551" spans="1:10" ht="14.25" hidden="1" customHeight="1" x14ac:dyDescent="0.35">
      <c r="A551" s="30"/>
      <c r="E551" s="31"/>
      <c r="G551" s="32" t="str">
        <f t="shared" si="16"/>
        <v>|||1900|</v>
      </c>
      <c r="H551" s="32" t="str">
        <f t="shared" si="17"/>
        <v>||1900|</v>
      </c>
      <c r="I551" s="32">
        <f>IF(G551="",0,IF(COUNTIF($G$2:G551,G551)=1,1,0))</f>
        <v>0</v>
      </c>
      <c r="J551" s="32">
        <f>IF(H551="",0,IF(COUNTIF($H$2:H551,H551)=1,1,0))</f>
        <v>0</v>
      </c>
    </row>
    <row r="552" spans="1:10" ht="14.25" hidden="1" customHeight="1" x14ac:dyDescent="0.35">
      <c r="A552" s="30"/>
      <c r="E552" s="31"/>
      <c r="G552" s="32" t="str">
        <f t="shared" si="16"/>
        <v>|||1900|</v>
      </c>
      <c r="H552" s="32" t="str">
        <f t="shared" si="17"/>
        <v>||1900|</v>
      </c>
      <c r="I552" s="32">
        <f>IF(G552="",0,IF(COUNTIF($G$2:G552,G552)=1,1,0))</f>
        <v>0</v>
      </c>
      <c r="J552" s="32">
        <f>IF(H552="",0,IF(COUNTIF($H$2:H552,H552)=1,1,0))</f>
        <v>0</v>
      </c>
    </row>
    <row r="553" spans="1:10" ht="14.25" hidden="1" customHeight="1" x14ac:dyDescent="0.35">
      <c r="A553" s="30"/>
      <c r="E553" s="31"/>
      <c r="G553" s="32" t="str">
        <f t="shared" si="16"/>
        <v>|||1900|</v>
      </c>
      <c r="H553" s="32" t="str">
        <f t="shared" si="17"/>
        <v>||1900|</v>
      </c>
      <c r="I553" s="32">
        <f>IF(G553="",0,IF(COUNTIF($G$2:G553,G553)=1,1,0))</f>
        <v>0</v>
      </c>
      <c r="J553" s="32">
        <f>IF(H553="",0,IF(COUNTIF($H$2:H553,H553)=1,1,0))</f>
        <v>0</v>
      </c>
    </row>
    <row r="554" spans="1:10" ht="14.25" hidden="1" customHeight="1" x14ac:dyDescent="0.35">
      <c r="A554" s="30"/>
      <c r="E554" s="31"/>
      <c r="G554" s="32" t="str">
        <f t="shared" si="16"/>
        <v>|||1900|</v>
      </c>
      <c r="H554" s="32" t="str">
        <f t="shared" si="17"/>
        <v>||1900|</v>
      </c>
      <c r="I554" s="32">
        <f>IF(G554="",0,IF(COUNTIF($G$2:G554,G554)=1,1,0))</f>
        <v>0</v>
      </c>
      <c r="J554" s="32">
        <f>IF(H554="",0,IF(COUNTIF($H$2:H554,H554)=1,1,0))</f>
        <v>0</v>
      </c>
    </row>
    <row r="555" spans="1:10" ht="14.25" hidden="1" customHeight="1" x14ac:dyDescent="0.35">
      <c r="A555" s="30"/>
      <c r="E555" s="31"/>
      <c r="G555" s="32" t="str">
        <f t="shared" si="16"/>
        <v>|||1900|</v>
      </c>
      <c r="H555" s="32" t="str">
        <f t="shared" si="17"/>
        <v>||1900|</v>
      </c>
      <c r="I555" s="32">
        <f>IF(G555="",0,IF(COUNTIF($G$2:G555,G555)=1,1,0))</f>
        <v>0</v>
      </c>
      <c r="J555" s="32">
        <f>IF(H555="",0,IF(COUNTIF($H$2:H555,H555)=1,1,0))</f>
        <v>0</v>
      </c>
    </row>
    <row r="556" spans="1:10" ht="14.25" hidden="1" customHeight="1" x14ac:dyDescent="0.35">
      <c r="A556" s="30"/>
      <c r="E556" s="31"/>
      <c r="G556" s="32" t="str">
        <f t="shared" si="16"/>
        <v>|||1900|</v>
      </c>
      <c r="H556" s="32" t="str">
        <f t="shared" si="17"/>
        <v>||1900|</v>
      </c>
      <c r="I556" s="32">
        <f>IF(G556="",0,IF(COUNTIF($G$2:G556,G556)=1,1,0))</f>
        <v>0</v>
      </c>
      <c r="J556" s="32">
        <f>IF(H556="",0,IF(COUNTIF($H$2:H556,H556)=1,1,0))</f>
        <v>0</v>
      </c>
    </row>
    <row r="557" spans="1:10" ht="14.25" hidden="1" customHeight="1" x14ac:dyDescent="0.35">
      <c r="A557" s="30"/>
      <c r="E557" s="31"/>
      <c r="G557" s="32" t="str">
        <f t="shared" si="16"/>
        <v>|||1900|</v>
      </c>
      <c r="H557" s="32" t="str">
        <f t="shared" si="17"/>
        <v>||1900|</v>
      </c>
      <c r="I557" s="32">
        <f>IF(G557="",0,IF(COUNTIF($G$2:G557,G557)=1,1,0))</f>
        <v>0</v>
      </c>
      <c r="J557" s="32">
        <f>IF(H557="",0,IF(COUNTIF($H$2:H557,H557)=1,1,0))</f>
        <v>0</v>
      </c>
    </row>
    <row r="558" spans="1:10" ht="14.25" hidden="1" customHeight="1" x14ac:dyDescent="0.35">
      <c r="A558" s="30"/>
      <c r="E558" s="31"/>
      <c r="G558" s="32" t="str">
        <f t="shared" si="16"/>
        <v>|||1900|</v>
      </c>
      <c r="H558" s="32" t="str">
        <f t="shared" si="17"/>
        <v>||1900|</v>
      </c>
      <c r="I558" s="32">
        <f>IF(G558="",0,IF(COUNTIF($G$2:G558,G558)=1,1,0))</f>
        <v>0</v>
      </c>
      <c r="J558" s="32">
        <f>IF(H558="",0,IF(COUNTIF($H$2:H558,H558)=1,1,0))</f>
        <v>0</v>
      </c>
    </row>
    <row r="559" spans="1:10" ht="14.25" hidden="1" customHeight="1" x14ac:dyDescent="0.35">
      <c r="A559" s="30"/>
      <c r="E559" s="31"/>
      <c r="G559" s="32" t="str">
        <f t="shared" si="16"/>
        <v>|||1900|</v>
      </c>
      <c r="H559" s="32" t="str">
        <f t="shared" si="17"/>
        <v>||1900|</v>
      </c>
      <c r="I559" s="32">
        <f>IF(G559="",0,IF(COUNTIF($G$2:G559,G559)=1,1,0))</f>
        <v>0</v>
      </c>
      <c r="J559" s="32">
        <f>IF(H559="",0,IF(COUNTIF($H$2:H559,H559)=1,1,0))</f>
        <v>0</v>
      </c>
    </row>
    <row r="560" spans="1:10" ht="14.25" hidden="1" customHeight="1" x14ac:dyDescent="0.35">
      <c r="A560" s="30"/>
      <c r="E560" s="31"/>
      <c r="G560" s="32" t="str">
        <f t="shared" si="16"/>
        <v>|||1900|</v>
      </c>
      <c r="H560" s="32" t="str">
        <f t="shared" si="17"/>
        <v>||1900|</v>
      </c>
      <c r="I560" s="32">
        <f>IF(G560="",0,IF(COUNTIF($G$2:G560,G560)=1,1,0))</f>
        <v>0</v>
      </c>
      <c r="J560" s="32">
        <f>IF(H560="",0,IF(COUNTIF($H$2:H560,H560)=1,1,0))</f>
        <v>0</v>
      </c>
    </row>
    <row r="561" spans="1:10" ht="14.25" hidden="1" customHeight="1" x14ac:dyDescent="0.35">
      <c r="A561" s="30"/>
      <c r="E561" s="31"/>
      <c r="G561" s="32" t="str">
        <f t="shared" si="16"/>
        <v>|||1900|</v>
      </c>
      <c r="H561" s="32" t="str">
        <f t="shared" si="17"/>
        <v>||1900|</v>
      </c>
      <c r="I561" s="32">
        <f>IF(G561="",0,IF(COUNTIF($G$2:G561,G561)=1,1,0))</f>
        <v>0</v>
      </c>
      <c r="J561" s="32">
        <f>IF(H561="",0,IF(COUNTIF($H$2:H561,H561)=1,1,0))</f>
        <v>0</v>
      </c>
    </row>
    <row r="562" spans="1:10" ht="14.25" hidden="1" customHeight="1" x14ac:dyDescent="0.35">
      <c r="A562" s="30"/>
      <c r="E562" s="31"/>
      <c r="G562" s="32" t="str">
        <f t="shared" si="16"/>
        <v>|||1900|</v>
      </c>
      <c r="H562" s="32" t="str">
        <f t="shared" si="17"/>
        <v>||1900|</v>
      </c>
      <c r="I562" s="32">
        <f>IF(G562="",0,IF(COUNTIF($G$2:G562,G562)=1,1,0))</f>
        <v>0</v>
      </c>
      <c r="J562" s="32">
        <f>IF(H562="",0,IF(COUNTIF($H$2:H562,H562)=1,1,0))</f>
        <v>0</v>
      </c>
    </row>
    <row r="563" spans="1:10" ht="14.25" hidden="1" customHeight="1" x14ac:dyDescent="0.35">
      <c r="A563" s="30"/>
      <c r="E563" s="31"/>
      <c r="G563" s="32" t="str">
        <f t="shared" si="16"/>
        <v>|||1900|</v>
      </c>
      <c r="H563" s="32" t="str">
        <f t="shared" si="17"/>
        <v>||1900|</v>
      </c>
      <c r="I563" s="32">
        <f>IF(G563="",0,IF(COUNTIF($G$2:G563,G563)=1,1,0))</f>
        <v>0</v>
      </c>
      <c r="J563" s="32">
        <f>IF(H563="",0,IF(COUNTIF($H$2:H563,H563)=1,1,0))</f>
        <v>0</v>
      </c>
    </row>
    <row r="564" spans="1:10" ht="14.25" hidden="1" customHeight="1" x14ac:dyDescent="0.35">
      <c r="A564" s="30"/>
      <c r="E564" s="31"/>
      <c r="G564" s="32" t="str">
        <f t="shared" si="16"/>
        <v>|||1900|</v>
      </c>
      <c r="H564" s="32" t="str">
        <f t="shared" si="17"/>
        <v>||1900|</v>
      </c>
      <c r="I564" s="32">
        <f>IF(G564="",0,IF(COUNTIF($G$2:G564,G564)=1,1,0))</f>
        <v>0</v>
      </c>
      <c r="J564" s="32">
        <f>IF(H564="",0,IF(COUNTIF($H$2:H564,H564)=1,1,0))</f>
        <v>0</v>
      </c>
    </row>
    <row r="565" spans="1:10" ht="14.25" hidden="1" customHeight="1" x14ac:dyDescent="0.35">
      <c r="A565" s="30"/>
      <c r="E565" s="31"/>
      <c r="G565" s="32" t="str">
        <f t="shared" si="16"/>
        <v>|||1900|</v>
      </c>
      <c r="H565" s="32" t="str">
        <f t="shared" si="17"/>
        <v>||1900|</v>
      </c>
      <c r="I565" s="32">
        <f>IF(G565="",0,IF(COUNTIF($G$2:G565,G565)=1,1,0))</f>
        <v>0</v>
      </c>
      <c r="J565" s="32">
        <f>IF(H565="",0,IF(COUNTIF($H$2:H565,H565)=1,1,0))</f>
        <v>0</v>
      </c>
    </row>
    <row r="566" spans="1:10" ht="14.25" hidden="1" customHeight="1" x14ac:dyDescent="0.35">
      <c r="A566" s="30"/>
      <c r="E566" s="31"/>
      <c r="G566" s="32" t="str">
        <f t="shared" si="16"/>
        <v>|||1900|</v>
      </c>
      <c r="H566" s="32" t="str">
        <f t="shared" si="17"/>
        <v>||1900|</v>
      </c>
      <c r="I566" s="32">
        <f>IF(G566="",0,IF(COUNTIF($G$2:G566,G566)=1,1,0))</f>
        <v>0</v>
      </c>
      <c r="J566" s="32">
        <f>IF(H566="",0,IF(COUNTIF($H$2:H566,H566)=1,1,0))</f>
        <v>0</v>
      </c>
    </row>
    <row r="567" spans="1:10" ht="14.25" hidden="1" customHeight="1" x14ac:dyDescent="0.35">
      <c r="A567" s="30"/>
      <c r="E567" s="31"/>
      <c r="G567" s="32" t="str">
        <f t="shared" si="16"/>
        <v>|||1900|</v>
      </c>
      <c r="H567" s="32" t="str">
        <f t="shared" si="17"/>
        <v>||1900|</v>
      </c>
      <c r="I567" s="32">
        <f>IF(G567="",0,IF(COUNTIF($G$2:G567,G567)=1,1,0))</f>
        <v>0</v>
      </c>
      <c r="J567" s="32">
        <f>IF(H567="",0,IF(COUNTIF($H$2:H567,H567)=1,1,0))</f>
        <v>0</v>
      </c>
    </row>
    <row r="568" spans="1:10" ht="14.25" hidden="1" customHeight="1" x14ac:dyDescent="0.35">
      <c r="A568" s="30"/>
      <c r="E568" s="31"/>
      <c r="G568" s="32" t="str">
        <f t="shared" si="16"/>
        <v>|||1900|</v>
      </c>
      <c r="H568" s="32" t="str">
        <f t="shared" si="17"/>
        <v>||1900|</v>
      </c>
      <c r="I568" s="32">
        <f>IF(G568="",0,IF(COUNTIF($G$2:G568,G568)=1,1,0))</f>
        <v>0</v>
      </c>
      <c r="J568" s="32">
        <f>IF(H568="",0,IF(COUNTIF($H$2:H568,H568)=1,1,0))</f>
        <v>0</v>
      </c>
    </row>
    <row r="569" spans="1:10" ht="14.25" hidden="1" customHeight="1" x14ac:dyDescent="0.35">
      <c r="A569" s="30"/>
      <c r="E569" s="31"/>
      <c r="G569" s="32" t="str">
        <f t="shared" si="16"/>
        <v>|||1900|</v>
      </c>
      <c r="H569" s="32" t="str">
        <f t="shared" si="17"/>
        <v>||1900|</v>
      </c>
      <c r="I569" s="32">
        <f>IF(G569="",0,IF(COUNTIF($G$2:G569,G569)=1,1,0))</f>
        <v>0</v>
      </c>
      <c r="J569" s="32">
        <f>IF(H569="",0,IF(COUNTIF($H$2:H569,H569)=1,1,0))</f>
        <v>0</v>
      </c>
    </row>
    <row r="570" spans="1:10" ht="14.25" hidden="1" customHeight="1" x14ac:dyDescent="0.35">
      <c r="A570" s="30"/>
      <c r="E570" s="31"/>
      <c r="G570" s="32" t="str">
        <f t="shared" si="16"/>
        <v>|||1900|</v>
      </c>
      <c r="H570" s="32" t="str">
        <f t="shared" si="17"/>
        <v>||1900|</v>
      </c>
      <c r="I570" s="32">
        <f>IF(G570="",0,IF(COUNTIF($G$2:G570,G570)=1,1,0))</f>
        <v>0</v>
      </c>
      <c r="J570" s="32">
        <f>IF(H570="",0,IF(COUNTIF($H$2:H570,H570)=1,1,0))</f>
        <v>0</v>
      </c>
    </row>
    <row r="571" spans="1:10" ht="14.25" hidden="1" customHeight="1" x14ac:dyDescent="0.35">
      <c r="A571" s="30"/>
      <c r="E571" s="31"/>
      <c r="G571" s="32" t="str">
        <f t="shared" si="16"/>
        <v>|||1900|</v>
      </c>
      <c r="H571" s="32" t="str">
        <f t="shared" si="17"/>
        <v>||1900|</v>
      </c>
      <c r="I571" s="32">
        <f>IF(G571="",0,IF(COUNTIF($G$2:G571,G571)=1,1,0))</f>
        <v>0</v>
      </c>
      <c r="J571" s="32">
        <f>IF(H571="",0,IF(COUNTIF($H$2:H571,H571)=1,1,0))</f>
        <v>0</v>
      </c>
    </row>
    <row r="572" spans="1:10" ht="14.25" hidden="1" customHeight="1" x14ac:dyDescent="0.35">
      <c r="A572" s="30"/>
      <c r="E572" s="31"/>
      <c r="G572" s="32" t="str">
        <f t="shared" si="16"/>
        <v>|||1900|</v>
      </c>
      <c r="H572" s="32" t="str">
        <f t="shared" si="17"/>
        <v>||1900|</v>
      </c>
      <c r="I572" s="32">
        <f>IF(G572="",0,IF(COUNTIF($G$2:G572,G572)=1,1,0))</f>
        <v>0</v>
      </c>
      <c r="J572" s="32">
        <f>IF(H572="",0,IF(COUNTIF($H$2:H572,H572)=1,1,0))</f>
        <v>0</v>
      </c>
    </row>
    <row r="573" spans="1:10" ht="14.25" hidden="1" customHeight="1" x14ac:dyDescent="0.35">
      <c r="A573" s="30"/>
      <c r="E573" s="31"/>
      <c r="G573" s="32" t="str">
        <f t="shared" si="16"/>
        <v>|||1900|</v>
      </c>
      <c r="H573" s="32" t="str">
        <f t="shared" si="17"/>
        <v>||1900|</v>
      </c>
      <c r="I573" s="32">
        <f>IF(G573="",0,IF(COUNTIF($G$2:G573,G573)=1,1,0))</f>
        <v>0</v>
      </c>
      <c r="J573" s="32">
        <f>IF(H573="",0,IF(COUNTIF($H$2:H573,H573)=1,1,0))</f>
        <v>0</v>
      </c>
    </row>
    <row r="574" spans="1:10" ht="14.25" hidden="1" customHeight="1" x14ac:dyDescent="0.35">
      <c r="A574" s="30"/>
      <c r="E574" s="31"/>
      <c r="G574" s="32" t="str">
        <f t="shared" si="16"/>
        <v>|||1900|</v>
      </c>
      <c r="H574" s="32" t="str">
        <f t="shared" si="17"/>
        <v>||1900|</v>
      </c>
      <c r="I574" s="32">
        <f>IF(G574="",0,IF(COUNTIF($G$2:G574,G574)=1,1,0))</f>
        <v>0</v>
      </c>
      <c r="J574" s="32">
        <f>IF(H574="",0,IF(COUNTIF($H$2:H574,H574)=1,1,0))</f>
        <v>0</v>
      </c>
    </row>
    <row r="575" spans="1:10" ht="14.25" hidden="1" customHeight="1" x14ac:dyDescent="0.35">
      <c r="A575" s="30"/>
      <c r="E575" s="31"/>
      <c r="G575" s="32" t="str">
        <f t="shared" si="16"/>
        <v>|||1900|</v>
      </c>
      <c r="H575" s="32" t="str">
        <f t="shared" si="17"/>
        <v>||1900|</v>
      </c>
      <c r="I575" s="32">
        <f>IF(G575="",0,IF(COUNTIF($G$2:G575,G575)=1,1,0))</f>
        <v>0</v>
      </c>
      <c r="J575" s="32">
        <f>IF(H575="",0,IF(COUNTIF($H$2:H575,H575)=1,1,0))</f>
        <v>0</v>
      </c>
    </row>
    <row r="576" spans="1:10" ht="14.25" hidden="1" customHeight="1" x14ac:dyDescent="0.35">
      <c r="A576" s="30"/>
      <c r="E576" s="31"/>
      <c r="G576" s="32" t="str">
        <f t="shared" si="16"/>
        <v>|||1900|</v>
      </c>
      <c r="H576" s="32" t="str">
        <f t="shared" si="17"/>
        <v>||1900|</v>
      </c>
      <c r="I576" s="32">
        <f>IF(G576="",0,IF(COUNTIF($G$2:G576,G576)=1,1,0))</f>
        <v>0</v>
      </c>
      <c r="J576" s="32">
        <f>IF(H576="",0,IF(COUNTIF($H$2:H576,H576)=1,1,0))</f>
        <v>0</v>
      </c>
    </row>
    <row r="577" spans="1:10" ht="14.25" hidden="1" customHeight="1" x14ac:dyDescent="0.35">
      <c r="A577" s="30"/>
      <c r="E577" s="31"/>
      <c r="G577" s="32" t="str">
        <f t="shared" si="16"/>
        <v>|||1900|</v>
      </c>
      <c r="H577" s="32" t="str">
        <f t="shared" si="17"/>
        <v>||1900|</v>
      </c>
      <c r="I577" s="32">
        <f>IF(G577="",0,IF(COUNTIF($G$2:G577,G577)=1,1,0))</f>
        <v>0</v>
      </c>
      <c r="J577" s="32">
        <f>IF(H577="",0,IF(COUNTIF($H$2:H577,H577)=1,1,0))</f>
        <v>0</v>
      </c>
    </row>
    <row r="578" spans="1:10" ht="14.25" hidden="1" customHeight="1" x14ac:dyDescent="0.35">
      <c r="A578" s="30"/>
      <c r="E578" s="31"/>
      <c r="G578" s="32" t="str">
        <f t="shared" ref="G578:G641" si="18">IF(D578="T",
E578&amp;"|"&amp;F578,
A578&amp;"|"&amp;B578&amp;"|"&amp;C578&amp;"|"&amp;YEAR(E578)&amp;"|"&amp;F578)</f>
        <v>|||1900|</v>
      </c>
      <c r="H578" s="32" t="str">
        <f t="shared" ref="H578:H641" si="19">A578&amp;"|"&amp;C578&amp;"|"&amp;YEAR(E578)&amp;"|"&amp;F578</f>
        <v>||1900|</v>
      </c>
      <c r="I578" s="32">
        <f>IF(G578="",0,IF(COUNTIF($G$2:G578,G578)=1,1,0))</f>
        <v>0</v>
      </c>
      <c r="J578" s="32">
        <f>IF(H578="",0,IF(COUNTIF($H$2:H578,H578)=1,1,0))</f>
        <v>0</v>
      </c>
    </row>
    <row r="579" spans="1:10" ht="14.25" hidden="1" customHeight="1" x14ac:dyDescent="0.35">
      <c r="A579" s="30"/>
      <c r="E579" s="31"/>
      <c r="G579" s="32" t="str">
        <f t="shared" si="18"/>
        <v>|||1900|</v>
      </c>
      <c r="H579" s="32" t="str">
        <f t="shared" si="19"/>
        <v>||1900|</v>
      </c>
      <c r="I579" s="32">
        <f>IF(G579="",0,IF(COUNTIF($G$2:G579,G579)=1,1,0))</f>
        <v>0</v>
      </c>
      <c r="J579" s="32">
        <f>IF(H579="",0,IF(COUNTIF($H$2:H579,H579)=1,1,0))</f>
        <v>0</v>
      </c>
    </row>
    <row r="580" spans="1:10" ht="14.25" hidden="1" customHeight="1" x14ac:dyDescent="0.35">
      <c r="A580" s="30"/>
      <c r="E580" s="31"/>
      <c r="G580" s="32" t="str">
        <f t="shared" si="18"/>
        <v>|||1900|</v>
      </c>
      <c r="H580" s="32" t="str">
        <f t="shared" si="19"/>
        <v>||1900|</v>
      </c>
      <c r="I580" s="32">
        <f>IF(G580="",0,IF(COUNTIF($G$2:G580,G580)=1,1,0))</f>
        <v>0</v>
      </c>
      <c r="J580" s="32">
        <f>IF(H580="",0,IF(COUNTIF($H$2:H580,H580)=1,1,0))</f>
        <v>0</v>
      </c>
    </row>
    <row r="581" spans="1:10" ht="14.25" hidden="1" customHeight="1" x14ac:dyDescent="0.35">
      <c r="A581" s="30"/>
      <c r="E581" s="31"/>
      <c r="G581" s="32" t="str">
        <f t="shared" si="18"/>
        <v>|||1900|</v>
      </c>
      <c r="H581" s="32" t="str">
        <f t="shared" si="19"/>
        <v>||1900|</v>
      </c>
      <c r="I581" s="32">
        <f>IF(G581="",0,IF(COUNTIF($G$2:G581,G581)=1,1,0))</f>
        <v>0</v>
      </c>
      <c r="J581" s="32">
        <f>IF(H581="",0,IF(COUNTIF($H$2:H581,H581)=1,1,0))</f>
        <v>0</v>
      </c>
    </row>
    <row r="582" spans="1:10" ht="14.25" hidden="1" customHeight="1" x14ac:dyDescent="0.35">
      <c r="A582" s="30"/>
      <c r="E582" s="31"/>
      <c r="G582" s="32" t="str">
        <f t="shared" si="18"/>
        <v>|||1900|</v>
      </c>
      <c r="H582" s="32" t="str">
        <f t="shared" si="19"/>
        <v>||1900|</v>
      </c>
      <c r="I582" s="32">
        <f>IF(G582="",0,IF(COUNTIF($G$2:G582,G582)=1,1,0))</f>
        <v>0</v>
      </c>
      <c r="J582" s="32">
        <f>IF(H582="",0,IF(COUNTIF($H$2:H582,H582)=1,1,0))</f>
        <v>0</v>
      </c>
    </row>
    <row r="583" spans="1:10" ht="14.25" hidden="1" customHeight="1" x14ac:dyDescent="0.35">
      <c r="A583" s="30"/>
      <c r="E583" s="31"/>
      <c r="G583" s="32" t="str">
        <f t="shared" si="18"/>
        <v>|||1900|</v>
      </c>
      <c r="H583" s="32" t="str">
        <f t="shared" si="19"/>
        <v>||1900|</v>
      </c>
      <c r="I583" s="32">
        <f>IF(G583="",0,IF(COUNTIF($G$2:G583,G583)=1,1,0))</f>
        <v>0</v>
      </c>
      <c r="J583" s="32">
        <f>IF(H583="",0,IF(COUNTIF($H$2:H583,H583)=1,1,0))</f>
        <v>0</v>
      </c>
    </row>
    <row r="584" spans="1:10" ht="14.25" hidden="1" customHeight="1" x14ac:dyDescent="0.35">
      <c r="A584" s="30"/>
      <c r="E584" s="31"/>
      <c r="G584" s="32" t="str">
        <f t="shared" si="18"/>
        <v>|||1900|</v>
      </c>
      <c r="H584" s="32" t="str">
        <f t="shared" si="19"/>
        <v>||1900|</v>
      </c>
      <c r="I584" s="32">
        <f>IF(G584="",0,IF(COUNTIF($G$2:G584,G584)=1,1,0))</f>
        <v>0</v>
      </c>
      <c r="J584" s="32">
        <f>IF(H584="",0,IF(COUNTIF($H$2:H584,H584)=1,1,0))</f>
        <v>0</v>
      </c>
    </row>
    <row r="585" spans="1:10" ht="14.25" hidden="1" customHeight="1" x14ac:dyDescent="0.35">
      <c r="A585" s="30"/>
      <c r="E585" s="31"/>
      <c r="G585" s="32" t="str">
        <f t="shared" si="18"/>
        <v>|||1900|</v>
      </c>
      <c r="H585" s="32" t="str">
        <f t="shared" si="19"/>
        <v>||1900|</v>
      </c>
      <c r="I585" s="32">
        <f>IF(G585="",0,IF(COUNTIF($G$2:G585,G585)=1,1,0))</f>
        <v>0</v>
      </c>
      <c r="J585" s="32">
        <f>IF(H585="",0,IF(COUNTIF($H$2:H585,H585)=1,1,0))</f>
        <v>0</v>
      </c>
    </row>
    <row r="586" spans="1:10" ht="14.25" hidden="1" customHeight="1" x14ac:dyDescent="0.35">
      <c r="A586" s="30"/>
      <c r="E586" s="31"/>
      <c r="G586" s="32" t="str">
        <f t="shared" si="18"/>
        <v>|||1900|</v>
      </c>
      <c r="H586" s="32" t="str">
        <f t="shared" si="19"/>
        <v>||1900|</v>
      </c>
      <c r="I586" s="32">
        <f>IF(G586="",0,IF(COUNTIF($G$2:G586,G586)=1,1,0))</f>
        <v>0</v>
      </c>
      <c r="J586" s="32">
        <f>IF(H586="",0,IF(COUNTIF($H$2:H586,H586)=1,1,0))</f>
        <v>0</v>
      </c>
    </row>
    <row r="587" spans="1:10" ht="14.25" hidden="1" customHeight="1" x14ac:dyDescent="0.35">
      <c r="A587" s="30"/>
      <c r="E587" s="31"/>
      <c r="G587" s="32" t="str">
        <f t="shared" si="18"/>
        <v>|||1900|</v>
      </c>
      <c r="H587" s="32" t="str">
        <f t="shared" si="19"/>
        <v>||1900|</v>
      </c>
      <c r="I587" s="32">
        <f>IF(G587="",0,IF(COUNTIF($G$2:G587,G587)=1,1,0))</f>
        <v>0</v>
      </c>
      <c r="J587" s="32">
        <f>IF(H587="",0,IF(COUNTIF($H$2:H587,H587)=1,1,0))</f>
        <v>0</v>
      </c>
    </row>
    <row r="588" spans="1:10" ht="14.25" hidden="1" customHeight="1" x14ac:dyDescent="0.35">
      <c r="A588" s="30"/>
      <c r="E588" s="31"/>
      <c r="G588" s="32" t="str">
        <f t="shared" si="18"/>
        <v>|||1900|</v>
      </c>
      <c r="H588" s="32" t="str">
        <f t="shared" si="19"/>
        <v>||1900|</v>
      </c>
      <c r="I588" s="32">
        <f>IF(G588="",0,IF(COUNTIF($G$2:G588,G588)=1,1,0))</f>
        <v>0</v>
      </c>
      <c r="J588" s="32">
        <f>IF(H588="",0,IF(COUNTIF($H$2:H588,H588)=1,1,0))</f>
        <v>0</v>
      </c>
    </row>
    <row r="589" spans="1:10" ht="14.25" hidden="1" customHeight="1" x14ac:dyDescent="0.35">
      <c r="A589" s="30"/>
      <c r="E589" s="31"/>
      <c r="G589" s="32" t="str">
        <f t="shared" si="18"/>
        <v>|||1900|</v>
      </c>
      <c r="H589" s="32" t="str">
        <f t="shared" si="19"/>
        <v>||1900|</v>
      </c>
      <c r="I589" s="32">
        <f>IF(G589="",0,IF(COUNTIF($G$2:G589,G589)=1,1,0))</f>
        <v>0</v>
      </c>
      <c r="J589" s="32">
        <f>IF(H589="",0,IF(COUNTIF($H$2:H589,H589)=1,1,0))</f>
        <v>0</v>
      </c>
    </row>
    <row r="590" spans="1:10" ht="14.25" hidden="1" customHeight="1" x14ac:dyDescent="0.35">
      <c r="A590" s="30"/>
      <c r="E590" s="31"/>
      <c r="G590" s="32" t="str">
        <f t="shared" si="18"/>
        <v>|||1900|</v>
      </c>
      <c r="H590" s="32" t="str">
        <f t="shared" si="19"/>
        <v>||1900|</v>
      </c>
      <c r="I590" s="32">
        <f>IF(G590="",0,IF(COUNTIF($G$2:G590,G590)=1,1,0))</f>
        <v>0</v>
      </c>
      <c r="J590" s="32">
        <f>IF(H590="",0,IF(COUNTIF($H$2:H590,H590)=1,1,0))</f>
        <v>0</v>
      </c>
    </row>
    <row r="591" spans="1:10" ht="14.25" hidden="1" customHeight="1" x14ac:dyDescent="0.35">
      <c r="A591" s="30"/>
      <c r="E591" s="31"/>
      <c r="G591" s="32" t="str">
        <f t="shared" si="18"/>
        <v>|||1900|</v>
      </c>
      <c r="H591" s="32" t="str">
        <f t="shared" si="19"/>
        <v>||1900|</v>
      </c>
      <c r="I591" s="32">
        <f>IF(G591="",0,IF(COUNTIF($G$2:G591,G591)=1,1,0))</f>
        <v>0</v>
      </c>
      <c r="J591" s="32">
        <f>IF(H591="",0,IF(COUNTIF($H$2:H591,H591)=1,1,0))</f>
        <v>0</v>
      </c>
    </row>
    <row r="592" spans="1:10" ht="14.25" hidden="1" customHeight="1" x14ac:dyDescent="0.35">
      <c r="A592" s="30"/>
      <c r="E592" s="31"/>
      <c r="G592" s="32" t="str">
        <f t="shared" si="18"/>
        <v>|||1900|</v>
      </c>
      <c r="H592" s="32" t="str">
        <f t="shared" si="19"/>
        <v>||1900|</v>
      </c>
      <c r="I592" s="32">
        <f>IF(G592="",0,IF(COUNTIF($G$2:G592,G592)=1,1,0))</f>
        <v>0</v>
      </c>
      <c r="J592" s="32">
        <f>IF(H592="",0,IF(COUNTIF($H$2:H592,H592)=1,1,0))</f>
        <v>0</v>
      </c>
    </row>
    <row r="593" spans="1:10" ht="14.25" hidden="1" customHeight="1" x14ac:dyDescent="0.35">
      <c r="A593" s="30"/>
      <c r="E593" s="31"/>
      <c r="G593" s="32" t="str">
        <f t="shared" si="18"/>
        <v>|||1900|</v>
      </c>
      <c r="H593" s="32" t="str">
        <f t="shared" si="19"/>
        <v>||1900|</v>
      </c>
      <c r="I593" s="32">
        <f>IF(G593="",0,IF(COUNTIF($G$2:G593,G593)=1,1,0))</f>
        <v>0</v>
      </c>
      <c r="J593" s="32">
        <f>IF(H593="",0,IF(COUNTIF($H$2:H593,H593)=1,1,0))</f>
        <v>0</v>
      </c>
    </row>
    <row r="594" spans="1:10" ht="14.25" hidden="1" customHeight="1" x14ac:dyDescent="0.35">
      <c r="A594" s="30"/>
      <c r="E594" s="31"/>
      <c r="G594" s="32" t="str">
        <f t="shared" si="18"/>
        <v>|||1900|</v>
      </c>
      <c r="H594" s="32" t="str">
        <f t="shared" si="19"/>
        <v>||1900|</v>
      </c>
      <c r="I594" s="32">
        <f>IF(G594="",0,IF(COUNTIF($G$2:G594,G594)=1,1,0))</f>
        <v>0</v>
      </c>
      <c r="J594" s="32">
        <f>IF(H594="",0,IF(COUNTIF($H$2:H594,H594)=1,1,0))</f>
        <v>0</v>
      </c>
    </row>
    <row r="595" spans="1:10" ht="14.25" hidden="1" customHeight="1" x14ac:dyDescent="0.35">
      <c r="A595" s="30"/>
      <c r="E595" s="31"/>
      <c r="G595" s="32" t="str">
        <f t="shared" si="18"/>
        <v>|||1900|</v>
      </c>
      <c r="H595" s="32" t="str">
        <f t="shared" si="19"/>
        <v>||1900|</v>
      </c>
      <c r="I595" s="32">
        <f>IF(G595="",0,IF(COUNTIF($G$2:G595,G595)=1,1,0))</f>
        <v>0</v>
      </c>
      <c r="J595" s="32">
        <f>IF(H595="",0,IF(COUNTIF($H$2:H595,H595)=1,1,0))</f>
        <v>0</v>
      </c>
    </row>
    <row r="596" spans="1:10" ht="14.25" hidden="1" customHeight="1" x14ac:dyDescent="0.35">
      <c r="A596" s="30"/>
      <c r="E596" s="31"/>
      <c r="G596" s="32" t="str">
        <f t="shared" si="18"/>
        <v>|||1900|</v>
      </c>
      <c r="H596" s="32" t="str">
        <f t="shared" si="19"/>
        <v>||1900|</v>
      </c>
      <c r="I596" s="32">
        <f>IF(G596="",0,IF(COUNTIF($G$2:G596,G596)=1,1,0))</f>
        <v>0</v>
      </c>
      <c r="J596" s="32">
        <f>IF(H596="",0,IF(COUNTIF($H$2:H596,H596)=1,1,0))</f>
        <v>0</v>
      </c>
    </row>
    <row r="597" spans="1:10" ht="14.25" hidden="1" customHeight="1" x14ac:dyDescent="0.35">
      <c r="A597" s="30"/>
      <c r="E597" s="31"/>
      <c r="G597" s="32" t="str">
        <f t="shared" si="18"/>
        <v>|||1900|</v>
      </c>
      <c r="H597" s="32" t="str">
        <f t="shared" si="19"/>
        <v>||1900|</v>
      </c>
      <c r="I597" s="32">
        <f>IF(G597="",0,IF(COUNTIF($G$2:G597,G597)=1,1,0))</f>
        <v>0</v>
      </c>
      <c r="J597" s="32">
        <f>IF(H597="",0,IF(COUNTIF($H$2:H597,H597)=1,1,0))</f>
        <v>0</v>
      </c>
    </row>
    <row r="598" spans="1:10" ht="14.25" hidden="1" customHeight="1" x14ac:dyDescent="0.35">
      <c r="A598" s="30"/>
      <c r="E598" s="31"/>
      <c r="G598" s="32" t="str">
        <f t="shared" si="18"/>
        <v>|||1900|</v>
      </c>
      <c r="H598" s="32" t="str">
        <f t="shared" si="19"/>
        <v>||1900|</v>
      </c>
      <c r="I598" s="32">
        <f>IF(G598="",0,IF(COUNTIF($G$2:G598,G598)=1,1,0))</f>
        <v>0</v>
      </c>
      <c r="J598" s="32">
        <f>IF(H598="",0,IF(COUNTIF($H$2:H598,H598)=1,1,0))</f>
        <v>0</v>
      </c>
    </row>
    <row r="599" spans="1:10" ht="14.25" hidden="1" customHeight="1" x14ac:dyDescent="0.35">
      <c r="A599" s="30"/>
      <c r="E599" s="31"/>
      <c r="G599" s="32" t="str">
        <f t="shared" si="18"/>
        <v>|||1900|</v>
      </c>
      <c r="H599" s="32" t="str">
        <f t="shared" si="19"/>
        <v>||1900|</v>
      </c>
      <c r="I599" s="32">
        <f>IF(G599="",0,IF(COUNTIF($G$2:G599,G599)=1,1,0))</f>
        <v>0</v>
      </c>
      <c r="J599" s="32">
        <f>IF(H599="",0,IF(COUNTIF($H$2:H599,H599)=1,1,0))</f>
        <v>0</v>
      </c>
    </row>
    <row r="600" spans="1:10" ht="14.25" hidden="1" customHeight="1" x14ac:dyDescent="0.35">
      <c r="A600" s="30"/>
      <c r="E600" s="31"/>
      <c r="G600" s="32" t="str">
        <f t="shared" si="18"/>
        <v>|||1900|</v>
      </c>
      <c r="H600" s="32" t="str">
        <f t="shared" si="19"/>
        <v>||1900|</v>
      </c>
      <c r="I600" s="32">
        <f>IF(G600="",0,IF(COUNTIF($G$2:G600,G600)=1,1,0))</f>
        <v>0</v>
      </c>
      <c r="J600" s="32">
        <f>IF(H600="",0,IF(COUNTIF($H$2:H600,H600)=1,1,0))</f>
        <v>0</v>
      </c>
    </row>
    <row r="601" spans="1:10" ht="14.25" hidden="1" customHeight="1" x14ac:dyDescent="0.35">
      <c r="A601" s="30"/>
      <c r="E601" s="31"/>
      <c r="G601" s="32" t="str">
        <f t="shared" si="18"/>
        <v>|||1900|</v>
      </c>
      <c r="H601" s="32" t="str">
        <f t="shared" si="19"/>
        <v>||1900|</v>
      </c>
      <c r="I601" s="32">
        <f>IF(G601="",0,IF(COUNTIF($G$2:G601,G601)=1,1,0))</f>
        <v>0</v>
      </c>
      <c r="J601" s="32">
        <f>IF(H601="",0,IF(COUNTIF($H$2:H601,H601)=1,1,0))</f>
        <v>0</v>
      </c>
    </row>
    <row r="602" spans="1:10" ht="14.25" hidden="1" customHeight="1" x14ac:dyDescent="0.35">
      <c r="A602" s="30"/>
      <c r="E602" s="31"/>
      <c r="G602" s="32" t="str">
        <f t="shared" si="18"/>
        <v>|||1900|</v>
      </c>
      <c r="H602" s="32" t="str">
        <f t="shared" si="19"/>
        <v>||1900|</v>
      </c>
      <c r="I602" s="32">
        <f>IF(G602="",0,IF(COUNTIF($G$2:G602,G602)=1,1,0))</f>
        <v>0</v>
      </c>
      <c r="J602" s="32">
        <f>IF(H602="",0,IF(COUNTIF($H$2:H602,H602)=1,1,0))</f>
        <v>0</v>
      </c>
    </row>
    <row r="603" spans="1:10" ht="14.25" hidden="1" customHeight="1" x14ac:dyDescent="0.35">
      <c r="A603" s="30"/>
      <c r="E603" s="31"/>
      <c r="G603" s="32" t="str">
        <f t="shared" si="18"/>
        <v>|||1900|</v>
      </c>
      <c r="H603" s="32" t="str">
        <f t="shared" si="19"/>
        <v>||1900|</v>
      </c>
      <c r="I603" s="32">
        <f>IF(G603="",0,IF(COUNTIF($G$2:G603,G603)=1,1,0))</f>
        <v>0</v>
      </c>
      <c r="J603" s="32">
        <f>IF(H603="",0,IF(COUNTIF($H$2:H603,H603)=1,1,0))</f>
        <v>0</v>
      </c>
    </row>
    <row r="604" spans="1:10" ht="14.25" hidden="1" customHeight="1" x14ac:dyDescent="0.35">
      <c r="A604" s="30"/>
      <c r="E604" s="31"/>
      <c r="G604" s="32" t="str">
        <f t="shared" si="18"/>
        <v>|||1900|</v>
      </c>
      <c r="H604" s="32" t="str">
        <f t="shared" si="19"/>
        <v>||1900|</v>
      </c>
      <c r="I604" s="32">
        <f>IF(G604="",0,IF(COUNTIF($G$2:G604,G604)=1,1,0))</f>
        <v>0</v>
      </c>
      <c r="J604" s="32">
        <f>IF(H604="",0,IF(COUNTIF($H$2:H604,H604)=1,1,0))</f>
        <v>0</v>
      </c>
    </row>
    <row r="605" spans="1:10" ht="14.25" hidden="1" customHeight="1" x14ac:dyDescent="0.35">
      <c r="A605" s="30"/>
      <c r="E605" s="31"/>
      <c r="G605" s="32" t="str">
        <f t="shared" si="18"/>
        <v>|||1900|</v>
      </c>
      <c r="H605" s="32" t="str">
        <f t="shared" si="19"/>
        <v>||1900|</v>
      </c>
      <c r="I605" s="32">
        <f>IF(G605="",0,IF(COUNTIF($G$2:G605,G605)=1,1,0))</f>
        <v>0</v>
      </c>
      <c r="J605" s="32">
        <f>IF(H605="",0,IF(COUNTIF($H$2:H605,H605)=1,1,0))</f>
        <v>0</v>
      </c>
    </row>
    <row r="606" spans="1:10" ht="14.25" hidden="1" customHeight="1" x14ac:dyDescent="0.35">
      <c r="A606" s="30"/>
      <c r="E606" s="31"/>
      <c r="G606" s="32" t="str">
        <f t="shared" si="18"/>
        <v>|||1900|</v>
      </c>
      <c r="H606" s="32" t="str">
        <f t="shared" si="19"/>
        <v>||1900|</v>
      </c>
      <c r="I606" s="32">
        <f>IF(G606="",0,IF(COUNTIF($G$2:G606,G606)=1,1,0))</f>
        <v>0</v>
      </c>
      <c r="J606" s="32">
        <f>IF(H606="",0,IF(COUNTIF($H$2:H606,H606)=1,1,0))</f>
        <v>0</v>
      </c>
    </row>
    <row r="607" spans="1:10" ht="14.25" hidden="1" customHeight="1" x14ac:dyDescent="0.35">
      <c r="A607" s="30"/>
      <c r="E607" s="31"/>
      <c r="G607" s="32" t="str">
        <f t="shared" si="18"/>
        <v>|||1900|</v>
      </c>
      <c r="H607" s="32" t="str">
        <f t="shared" si="19"/>
        <v>||1900|</v>
      </c>
      <c r="I607" s="32">
        <f>IF(G607="",0,IF(COUNTIF($G$2:G607,G607)=1,1,0))</f>
        <v>0</v>
      </c>
      <c r="J607" s="32">
        <f>IF(H607="",0,IF(COUNTIF($H$2:H607,H607)=1,1,0))</f>
        <v>0</v>
      </c>
    </row>
    <row r="608" spans="1:10" ht="14.25" hidden="1" customHeight="1" x14ac:dyDescent="0.35">
      <c r="A608" s="30"/>
      <c r="E608" s="31"/>
      <c r="G608" s="32" t="str">
        <f t="shared" si="18"/>
        <v>|||1900|</v>
      </c>
      <c r="H608" s="32" t="str">
        <f t="shared" si="19"/>
        <v>||1900|</v>
      </c>
      <c r="I608" s="32">
        <f>IF(G608="",0,IF(COUNTIF($G$2:G608,G608)=1,1,0))</f>
        <v>0</v>
      </c>
      <c r="J608" s="32">
        <f>IF(H608="",0,IF(COUNTIF($H$2:H608,H608)=1,1,0))</f>
        <v>0</v>
      </c>
    </row>
    <row r="609" spans="1:10" ht="14.25" hidden="1" customHeight="1" x14ac:dyDescent="0.35">
      <c r="A609" s="30"/>
      <c r="E609" s="31"/>
      <c r="G609" s="32" t="str">
        <f t="shared" si="18"/>
        <v>|||1900|</v>
      </c>
      <c r="H609" s="32" t="str">
        <f t="shared" si="19"/>
        <v>||1900|</v>
      </c>
      <c r="I609" s="32">
        <f>IF(G609="",0,IF(COUNTIF($G$2:G609,G609)=1,1,0))</f>
        <v>0</v>
      </c>
      <c r="J609" s="32">
        <f>IF(H609="",0,IF(COUNTIF($H$2:H609,H609)=1,1,0))</f>
        <v>0</v>
      </c>
    </row>
    <row r="610" spans="1:10" ht="14.25" hidden="1" customHeight="1" x14ac:dyDescent="0.35">
      <c r="A610" s="30"/>
      <c r="E610" s="31"/>
      <c r="G610" s="32" t="str">
        <f t="shared" si="18"/>
        <v>|||1900|</v>
      </c>
      <c r="H610" s="32" t="str">
        <f t="shared" si="19"/>
        <v>||1900|</v>
      </c>
      <c r="I610" s="32">
        <f>IF(G610="",0,IF(COUNTIF($G$2:G610,G610)=1,1,0))</f>
        <v>0</v>
      </c>
      <c r="J610" s="32">
        <f>IF(H610="",0,IF(COUNTIF($H$2:H610,H610)=1,1,0))</f>
        <v>0</v>
      </c>
    </row>
    <row r="611" spans="1:10" ht="14.25" hidden="1" customHeight="1" x14ac:dyDescent="0.35">
      <c r="A611" s="30"/>
      <c r="E611" s="31"/>
      <c r="G611" s="32" t="str">
        <f t="shared" si="18"/>
        <v>|||1900|</v>
      </c>
      <c r="H611" s="32" t="str">
        <f t="shared" si="19"/>
        <v>||1900|</v>
      </c>
      <c r="I611" s="32">
        <f>IF(G611="",0,IF(COUNTIF($G$2:G611,G611)=1,1,0))</f>
        <v>0</v>
      </c>
      <c r="J611" s="32">
        <f>IF(H611="",0,IF(COUNTIF($H$2:H611,H611)=1,1,0))</f>
        <v>0</v>
      </c>
    </row>
    <row r="612" spans="1:10" ht="14.25" hidden="1" customHeight="1" x14ac:dyDescent="0.35">
      <c r="A612" s="30"/>
      <c r="E612" s="31"/>
      <c r="G612" s="32" t="str">
        <f t="shared" si="18"/>
        <v>|||1900|</v>
      </c>
      <c r="H612" s="32" t="str">
        <f t="shared" si="19"/>
        <v>||1900|</v>
      </c>
      <c r="I612" s="32">
        <f>IF(G612="",0,IF(COUNTIF($G$2:G612,G612)=1,1,0))</f>
        <v>0</v>
      </c>
      <c r="J612" s="32">
        <f>IF(H612="",0,IF(COUNTIF($H$2:H612,H612)=1,1,0))</f>
        <v>0</v>
      </c>
    </row>
    <row r="613" spans="1:10" ht="14.25" hidden="1" customHeight="1" x14ac:dyDescent="0.35">
      <c r="A613" s="30"/>
      <c r="E613" s="31"/>
      <c r="G613" s="32" t="str">
        <f t="shared" si="18"/>
        <v>|||1900|</v>
      </c>
      <c r="H613" s="32" t="str">
        <f t="shared" si="19"/>
        <v>||1900|</v>
      </c>
      <c r="I613" s="32">
        <f>IF(G613="",0,IF(COUNTIF($G$2:G613,G613)=1,1,0))</f>
        <v>0</v>
      </c>
      <c r="J613" s="32">
        <f>IF(H613="",0,IF(COUNTIF($H$2:H613,H613)=1,1,0))</f>
        <v>0</v>
      </c>
    </row>
    <row r="614" spans="1:10" ht="14.25" hidden="1" customHeight="1" x14ac:dyDescent="0.35">
      <c r="A614" s="30"/>
      <c r="E614" s="31"/>
      <c r="G614" s="32" t="str">
        <f t="shared" si="18"/>
        <v>|||1900|</v>
      </c>
      <c r="H614" s="32" t="str">
        <f t="shared" si="19"/>
        <v>||1900|</v>
      </c>
      <c r="I614" s="32">
        <f>IF(G614="",0,IF(COUNTIF($G$2:G614,G614)=1,1,0))</f>
        <v>0</v>
      </c>
      <c r="J614" s="32">
        <f>IF(H614="",0,IF(COUNTIF($H$2:H614,H614)=1,1,0))</f>
        <v>0</v>
      </c>
    </row>
    <row r="615" spans="1:10" ht="14.25" hidden="1" customHeight="1" x14ac:dyDescent="0.35">
      <c r="A615" s="30"/>
      <c r="E615" s="31"/>
      <c r="G615" s="32" t="str">
        <f t="shared" si="18"/>
        <v>|||1900|</v>
      </c>
      <c r="H615" s="32" t="str">
        <f t="shared" si="19"/>
        <v>||1900|</v>
      </c>
      <c r="I615" s="32">
        <f>IF(G615="",0,IF(COUNTIF($G$2:G615,G615)=1,1,0))</f>
        <v>0</v>
      </c>
      <c r="J615" s="32">
        <f>IF(H615="",0,IF(COUNTIF($H$2:H615,H615)=1,1,0))</f>
        <v>0</v>
      </c>
    </row>
    <row r="616" spans="1:10" ht="14.25" hidden="1" customHeight="1" x14ac:dyDescent="0.35">
      <c r="A616" s="30"/>
      <c r="E616" s="31"/>
      <c r="G616" s="32" t="str">
        <f t="shared" si="18"/>
        <v>|||1900|</v>
      </c>
      <c r="H616" s="32" t="str">
        <f t="shared" si="19"/>
        <v>||1900|</v>
      </c>
      <c r="I616" s="32">
        <f>IF(G616="",0,IF(COUNTIF($G$2:G616,G616)=1,1,0))</f>
        <v>0</v>
      </c>
      <c r="J616" s="32">
        <f>IF(H616="",0,IF(COUNTIF($H$2:H616,H616)=1,1,0))</f>
        <v>0</v>
      </c>
    </row>
    <row r="617" spans="1:10" ht="14.25" hidden="1" customHeight="1" x14ac:dyDescent="0.35">
      <c r="A617" s="30"/>
      <c r="E617" s="31"/>
      <c r="G617" s="32" t="str">
        <f t="shared" si="18"/>
        <v>|||1900|</v>
      </c>
      <c r="H617" s="32" t="str">
        <f t="shared" si="19"/>
        <v>||1900|</v>
      </c>
      <c r="I617" s="32">
        <f>IF(G617="",0,IF(COUNTIF($G$2:G617,G617)=1,1,0))</f>
        <v>0</v>
      </c>
      <c r="J617" s="32">
        <f>IF(H617="",0,IF(COUNTIF($H$2:H617,H617)=1,1,0))</f>
        <v>0</v>
      </c>
    </row>
    <row r="618" spans="1:10" ht="14.25" hidden="1" customHeight="1" x14ac:dyDescent="0.35">
      <c r="A618" s="30"/>
      <c r="E618" s="31"/>
      <c r="G618" s="32" t="str">
        <f t="shared" si="18"/>
        <v>|||1900|</v>
      </c>
      <c r="H618" s="32" t="str">
        <f t="shared" si="19"/>
        <v>||1900|</v>
      </c>
      <c r="I618" s="32">
        <f>IF(G618="",0,IF(COUNTIF($G$2:G618,G618)=1,1,0))</f>
        <v>0</v>
      </c>
      <c r="J618" s="32">
        <f>IF(H618="",0,IF(COUNTIF($H$2:H618,H618)=1,1,0))</f>
        <v>0</v>
      </c>
    </row>
    <row r="619" spans="1:10" ht="14.25" hidden="1" customHeight="1" x14ac:dyDescent="0.35">
      <c r="A619" s="30"/>
      <c r="E619" s="31"/>
      <c r="G619" s="32" t="str">
        <f t="shared" si="18"/>
        <v>|||1900|</v>
      </c>
      <c r="H619" s="32" t="str">
        <f t="shared" si="19"/>
        <v>||1900|</v>
      </c>
      <c r="I619" s="32">
        <f>IF(G619="",0,IF(COUNTIF($G$2:G619,G619)=1,1,0))</f>
        <v>0</v>
      </c>
      <c r="J619" s="32">
        <f>IF(H619="",0,IF(COUNTIF($H$2:H619,H619)=1,1,0))</f>
        <v>0</v>
      </c>
    </row>
    <row r="620" spans="1:10" ht="14.25" hidden="1" customHeight="1" x14ac:dyDescent="0.35">
      <c r="A620" s="30"/>
      <c r="E620" s="31"/>
      <c r="G620" s="32" t="str">
        <f t="shared" si="18"/>
        <v>|||1900|</v>
      </c>
      <c r="H620" s="32" t="str">
        <f t="shared" si="19"/>
        <v>||1900|</v>
      </c>
      <c r="I620" s="32">
        <f>IF(G620="",0,IF(COUNTIF($G$2:G620,G620)=1,1,0))</f>
        <v>0</v>
      </c>
      <c r="J620" s="32">
        <f>IF(H620="",0,IF(COUNTIF($H$2:H620,H620)=1,1,0))</f>
        <v>0</v>
      </c>
    </row>
    <row r="621" spans="1:10" ht="14.25" hidden="1" customHeight="1" x14ac:dyDescent="0.35">
      <c r="A621" s="30"/>
      <c r="E621" s="31"/>
      <c r="G621" s="32" t="str">
        <f t="shared" si="18"/>
        <v>|||1900|</v>
      </c>
      <c r="H621" s="32" t="str">
        <f t="shared" si="19"/>
        <v>||1900|</v>
      </c>
      <c r="I621" s="32">
        <f>IF(G621="",0,IF(COUNTIF($G$2:G621,G621)=1,1,0))</f>
        <v>0</v>
      </c>
      <c r="J621" s="32">
        <f>IF(H621="",0,IF(COUNTIF($H$2:H621,H621)=1,1,0))</f>
        <v>0</v>
      </c>
    </row>
    <row r="622" spans="1:10" ht="14.25" hidden="1" customHeight="1" x14ac:dyDescent="0.35">
      <c r="A622" s="30"/>
      <c r="E622" s="31"/>
      <c r="G622" s="32" t="str">
        <f t="shared" si="18"/>
        <v>|||1900|</v>
      </c>
      <c r="H622" s="32" t="str">
        <f t="shared" si="19"/>
        <v>||1900|</v>
      </c>
      <c r="I622" s="32">
        <f>IF(G622="",0,IF(COUNTIF($G$2:G622,G622)=1,1,0))</f>
        <v>0</v>
      </c>
      <c r="J622" s="32">
        <f>IF(H622="",0,IF(COUNTIF($H$2:H622,H622)=1,1,0))</f>
        <v>0</v>
      </c>
    </row>
    <row r="623" spans="1:10" ht="14.25" hidden="1" customHeight="1" x14ac:dyDescent="0.35">
      <c r="A623" s="30"/>
      <c r="E623" s="31"/>
      <c r="G623" s="32" t="str">
        <f t="shared" si="18"/>
        <v>|||1900|</v>
      </c>
      <c r="H623" s="32" t="str">
        <f t="shared" si="19"/>
        <v>||1900|</v>
      </c>
      <c r="I623" s="32">
        <f>IF(G623="",0,IF(COUNTIF($G$2:G623,G623)=1,1,0))</f>
        <v>0</v>
      </c>
      <c r="J623" s="32">
        <f>IF(H623="",0,IF(COUNTIF($H$2:H623,H623)=1,1,0))</f>
        <v>0</v>
      </c>
    </row>
    <row r="624" spans="1:10" ht="14.25" hidden="1" customHeight="1" x14ac:dyDescent="0.35">
      <c r="A624" s="30"/>
      <c r="E624" s="31"/>
      <c r="G624" s="32" t="str">
        <f t="shared" si="18"/>
        <v>|||1900|</v>
      </c>
      <c r="H624" s="32" t="str">
        <f t="shared" si="19"/>
        <v>||1900|</v>
      </c>
      <c r="I624" s="32">
        <f>IF(G624="",0,IF(COUNTIF($G$2:G624,G624)=1,1,0))</f>
        <v>0</v>
      </c>
      <c r="J624" s="32">
        <f>IF(H624="",0,IF(COUNTIF($H$2:H624,H624)=1,1,0))</f>
        <v>0</v>
      </c>
    </row>
    <row r="625" spans="1:10" ht="14.25" hidden="1" customHeight="1" x14ac:dyDescent="0.35">
      <c r="A625" s="30"/>
      <c r="E625" s="31"/>
      <c r="G625" s="32" t="str">
        <f t="shared" si="18"/>
        <v>|||1900|</v>
      </c>
      <c r="H625" s="32" t="str">
        <f t="shared" si="19"/>
        <v>||1900|</v>
      </c>
      <c r="I625" s="32">
        <f>IF(G625="",0,IF(COUNTIF($G$2:G625,G625)=1,1,0))</f>
        <v>0</v>
      </c>
      <c r="J625" s="32">
        <f>IF(H625="",0,IF(COUNTIF($H$2:H625,H625)=1,1,0))</f>
        <v>0</v>
      </c>
    </row>
    <row r="626" spans="1:10" ht="14.25" hidden="1" customHeight="1" x14ac:dyDescent="0.35">
      <c r="A626" s="30"/>
      <c r="E626" s="31"/>
      <c r="G626" s="32" t="str">
        <f t="shared" si="18"/>
        <v>|||1900|</v>
      </c>
      <c r="H626" s="32" t="str">
        <f t="shared" si="19"/>
        <v>||1900|</v>
      </c>
      <c r="I626" s="32">
        <f>IF(G626="",0,IF(COUNTIF($G$2:G626,G626)=1,1,0))</f>
        <v>0</v>
      </c>
      <c r="J626" s="32">
        <f>IF(H626="",0,IF(COUNTIF($H$2:H626,H626)=1,1,0))</f>
        <v>0</v>
      </c>
    </row>
    <row r="627" spans="1:10" ht="14.25" hidden="1" customHeight="1" x14ac:dyDescent="0.35">
      <c r="A627" s="30"/>
      <c r="E627" s="31"/>
      <c r="G627" s="32" t="str">
        <f t="shared" si="18"/>
        <v>|||1900|</v>
      </c>
      <c r="H627" s="32" t="str">
        <f t="shared" si="19"/>
        <v>||1900|</v>
      </c>
      <c r="I627" s="32">
        <f>IF(G627="",0,IF(COUNTIF($G$2:G627,G627)=1,1,0))</f>
        <v>0</v>
      </c>
      <c r="J627" s="32">
        <f>IF(H627="",0,IF(COUNTIF($H$2:H627,H627)=1,1,0))</f>
        <v>0</v>
      </c>
    </row>
    <row r="628" spans="1:10" ht="14.25" hidden="1" customHeight="1" x14ac:dyDescent="0.35">
      <c r="A628" s="30"/>
      <c r="E628" s="31"/>
      <c r="G628" s="32" t="str">
        <f t="shared" si="18"/>
        <v>|||1900|</v>
      </c>
      <c r="H628" s="32" t="str">
        <f t="shared" si="19"/>
        <v>||1900|</v>
      </c>
      <c r="I628" s="32">
        <f>IF(G628="",0,IF(COUNTIF($G$2:G628,G628)=1,1,0))</f>
        <v>0</v>
      </c>
      <c r="J628" s="32">
        <f>IF(H628="",0,IF(COUNTIF($H$2:H628,H628)=1,1,0))</f>
        <v>0</v>
      </c>
    </row>
    <row r="629" spans="1:10" ht="14.25" hidden="1" customHeight="1" x14ac:dyDescent="0.35">
      <c r="A629" s="30"/>
      <c r="E629" s="31"/>
      <c r="G629" s="32" t="str">
        <f t="shared" si="18"/>
        <v>|||1900|</v>
      </c>
      <c r="H629" s="32" t="str">
        <f t="shared" si="19"/>
        <v>||1900|</v>
      </c>
      <c r="I629" s="32">
        <f>IF(G629="",0,IF(COUNTIF($G$2:G629,G629)=1,1,0))</f>
        <v>0</v>
      </c>
      <c r="J629" s="32">
        <f>IF(H629="",0,IF(COUNTIF($H$2:H629,H629)=1,1,0))</f>
        <v>0</v>
      </c>
    </row>
    <row r="630" spans="1:10" ht="14.25" hidden="1" customHeight="1" x14ac:dyDescent="0.35">
      <c r="A630" s="30"/>
      <c r="E630" s="31"/>
      <c r="G630" s="32" t="str">
        <f t="shared" si="18"/>
        <v>|||1900|</v>
      </c>
      <c r="H630" s="32" t="str">
        <f t="shared" si="19"/>
        <v>||1900|</v>
      </c>
      <c r="I630" s="32">
        <f>IF(G630="",0,IF(COUNTIF($G$2:G630,G630)=1,1,0))</f>
        <v>0</v>
      </c>
      <c r="J630" s="32">
        <f>IF(H630="",0,IF(COUNTIF($H$2:H630,H630)=1,1,0))</f>
        <v>0</v>
      </c>
    </row>
    <row r="631" spans="1:10" ht="14.25" hidden="1" customHeight="1" x14ac:dyDescent="0.35">
      <c r="A631" s="30"/>
      <c r="E631" s="31"/>
      <c r="G631" s="32" t="str">
        <f t="shared" si="18"/>
        <v>|||1900|</v>
      </c>
      <c r="H631" s="32" t="str">
        <f t="shared" si="19"/>
        <v>||1900|</v>
      </c>
      <c r="I631" s="32">
        <f>IF(G631="",0,IF(COUNTIF($G$2:G631,G631)=1,1,0))</f>
        <v>0</v>
      </c>
      <c r="J631" s="32">
        <f>IF(H631="",0,IF(COUNTIF($H$2:H631,H631)=1,1,0))</f>
        <v>0</v>
      </c>
    </row>
    <row r="632" spans="1:10" ht="14.25" hidden="1" customHeight="1" x14ac:dyDescent="0.35">
      <c r="A632" s="30"/>
      <c r="E632" s="31"/>
      <c r="G632" s="32" t="str">
        <f t="shared" si="18"/>
        <v>|||1900|</v>
      </c>
      <c r="H632" s="32" t="str">
        <f t="shared" si="19"/>
        <v>||1900|</v>
      </c>
      <c r="I632" s="32">
        <f>IF(G632="",0,IF(COUNTIF($G$2:G632,G632)=1,1,0))</f>
        <v>0</v>
      </c>
      <c r="J632" s="32">
        <f>IF(H632="",0,IF(COUNTIF($H$2:H632,H632)=1,1,0))</f>
        <v>0</v>
      </c>
    </row>
    <row r="633" spans="1:10" ht="14.25" hidden="1" customHeight="1" x14ac:dyDescent="0.35">
      <c r="A633" s="30"/>
      <c r="E633" s="31"/>
      <c r="G633" s="32" t="str">
        <f t="shared" si="18"/>
        <v>|||1900|</v>
      </c>
      <c r="H633" s="32" t="str">
        <f t="shared" si="19"/>
        <v>||1900|</v>
      </c>
      <c r="I633" s="32">
        <f>IF(G633="",0,IF(COUNTIF($G$2:G633,G633)=1,1,0))</f>
        <v>0</v>
      </c>
      <c r="J633" s="32">
        <f>IF(H633="",0,IF(COUNTIF($H$2:H633,H633)=1,1,0))</f>
        <v>0</v>
      </c>
    </row>
    <row r="634" spans="1:10" ht="14.25" hidden="1" customHeight="1" x14ac:dyDescent="0.35">
      <c r="A634" s="30"/>
      <c r="E634" s="31"/>
      <c r="G634" s="32" t="str">
        <f t="shared" si="18"/>
        <v>|||1900|</v>
      </c>
      <c r="H634" s="32" t="str">
        <f t="shared" si="19"/>
        <v>||1900|</v>
      </c>
      <c r="I634" s="32">
        <f>IF(G634="",0,IF(COUNTIF($G$2:G634,G634)=1,1,0))</f>
        <v>0</v>
      </c>
      <c r="J634" s="32">
        <f>IF(H634="",0,IF(COUNTIF($H$2:H634,H634)=1,1,0))</f>
        <v>0</v>
      </c>
    </row>
    <row r="635" spans="1:10" ht="14.25" hidden="1" customHeight="1" x14ac:dyDescent="0.35">
      <c r="A635" s="30"/>
      <c r="E635" s="31"/>
      <c r="G635" s="32" t="str">
        <f t="shared" si="18"/>
        <v>|||1900|</v>
      </c>
      <c r="H635" s="32" t="str">
        <f t="shared" si="19"/>
        <v>||1900|</v>
      </c>
      <c r="I635" s="32">
        <f>IF(G635="",0,IF(COUNTIF($G$2:G635,G635)=1,1,0))</f>
        <v>0</v>
      </c>
      <c r="J635" s="32">
        <f>IF(H635="",0,IF(COUNTIF($H$2:H635,H635)=1,1,0))</f>
        <v>0</v>
      </c>
    </row>
    <row r="636" spans="1:10" ht="14.25" hidden="1" customHeight="1" x14ac:dyDescent="0.35">
      <c r="A636" s="30"/>
      <c r="E636" s="31"/>
      <c r="G636" s="32" t="str">
        <f t="shared" si="18"/>
        <v>|||1900|</v>
      </c>
      <c r="H636" s="32" t="str">
        <f t="shared" si="19"/>
        <v>||1900|</v>
      </c>
      <c r="I636" s="32">
        <f>IF(G636="",0,IF(COUNTIF($G$2:G636,G636)=1,1,0))</f>
        <v>0</v>
      </c>
      <c r="J636" s="32">
        <f>IF(H636="",0,IF(COUNTIF($H$2:H636,H636)=1,1,0))</f>
        <v>0</v>
      </c>
    </row>
    <row r="637" spans="1:10" ht="14.25" hidden="1" customHeight="1" x14ac:dyDescent="0.35">
      <c r="A637" s="30"/>
      <c r="E637" s="31"/>
      <c r="G637" s="32" t="str">
        <f t="shared" si="18"/>
        <v>|||1900|</v>
      </c>
      <c r="H637" s="32" t="str">
        <f t="shared" si="19"/>
        <v>||1900|</v>
      </c>
      <c r="I637" s="32">
        <f>IF(G637="",0,IF(COUNTIF($G$2:G637,G637)=1,1,0))</f>
        <v>0</v>
      </c>
      <c r="J637" s="32">
        <f>IF(H637="",0,IF(COUNTIF($H$2:H637,H637)=1,1,0))</f>
        <v>0</v>
      </c>
    </row>
    <row r="638" spans="1:10" ht="14.25" hidden="1" customHeight="1" x14ac:dyDescent="0.35">
      <c r="A638" s="30"/>
      <c r="E638" s="31"/>
      <c r="G638" s="32" t="str">
        <f t="shared" si="18"/>
        <v>|||1900|</v>
      </c>
      <c r="H638" s="32" t="str">
        <f t="shared" si="19"/>
        <v>||1900|</v>
      </c>
      <c r="I638" s="32">
        <f>IF(G638="",0,IF(COUNTIF($G$2:G638,G638)=1,1,0))</f>
        <v>0</v>
      </c>
      <c r="J638" s="32">
        <f>IF(H638="",0,IF(COUNTIF($H$2:H638,H638)=1,1,0))</f>
        <v>0</v>
      </c>
    </row>
    <row r="639" spans="1:10" ht="14.25" hidden="1" customHeight="1" x14ac:dyDescent="0.35">
      <c r="A639" s="30"/>
      <c r="E639" s="31"/>
      <c r="G639" s="32" t="str">
        <f t="shared" si="18"/>
        <v>|||1900|</v>
      </c>
      <c r="H639" s="32" t="str">
        <f t="shared" si="19"/>
        <v>||1900|</v>
      </c>
      <c r="I639" s="32">
        <f>IF(G639="",0,IF(COUNTIF($G$2:G639,G639)=1,1,0))</f>
        <v>0</v>
      </c>
      <c r="J639" s="32">
        <f>IF(H639="",0,IF(COUNTIF($H$2:H639,H639)=1,1,0))</f>
        <v>0</v>
      </c>
    </row>
    <row r="640" spans="1:10" ht="14.25" hidden="1" customHeight="1" x14ac:dyDescent="0.35">
      <c r="A640" s="30"/>
      <c r="E640" s="31"/>
      <c r="G640" s="32" t="str">
        <f t="shared" si="18"/>
        <v>|||1900|</v>
      </c>
      <c r="H640" s="32" t="str">
        <f t="shared" si="19"/>
        <v>||1900|</v>
      </c>
      <c r="I640" s="32">
        <f>IF(G640="",0,IF(COUNTIF($G$2:G640,G640)=1,1,0))</f>
        <v>0</v>
      </c>
      <c r="J640" s="32">
        <f>IF(H640="",0,IF(COUNTIF($H$2:H640,H640)=1,1,0))</f>
        <v>0</v>
      </c>
    </row>
    <row r="641" spans="1:10" ht="14.25" hidden="1" customHeight="1" x14ac:dyDescent="0.35">
      <c r="A641" s="30"/>
      <c r="E641" s="31"/>
      <c r="G641" s="32" t="str">
        <f t="shared" si="18"/>
        <v>|||1900|</v>
      </c>
      <c r="H641" s="32" t="str">
        <f t="shared" si="19"/>
        <v>||1900|</v>
      </c>
      <c r="I641" s="32">
        <f>IF(G641="",0,IF(COUNTIF($G$2:G641,G641)=1,1,0))</f>
        <v>0</v>
      </c>
      <c r="J641" s="32">
        <f>IF(H641="",0,IF(COUNTIF($H$2:H641,H641)=1,1,0))</f>
        <v>0</v>
      </c>
    </row>
    <row r="642" spans="1:10" ht="14.25" hidden="1" customHeight="1" x14ac:dyDescent="0.35">
      <c r="A642" s="30"/>
      <c r="E642" s="31"/>
      <c r="G642" s="32" t="str">
        <f t="shared" ref="G642:G705" si="20">IF(D642="T",
E642&amp;"|"&amp;F642,
A642&amp;"|"&amp;B642&amp;"|"&amp;C642&amp;"|"&amp;YEAR(E642)&amp;"|"&amp;F642)</f>
        <v>|||1900|</v>
      </c>
      <c r="H642" s="32" t="str">
        <f t="shared" ref="H642:H705" si="21">A642&amp;"|"&amp;C642&amp;"|"&amp;YEAR(E642)&amp;"|"&amp;F642</f>
        <v>||1900|</v>
      </c>
      <c r="I642" s="32">
        <f>IF(G642="",0,IF(COUNTIF($G$2:G642,G642)=1,1,0))</f>
        <v>0</v>
      </c>
      <c r="J642" s="32">
        <f>IF(H642="",0,IF(COUNTIF($H$2:H642,H642)=1,1,0))</f>
        <v>0</v>
      </c>
    </row>
    <row r="643" spans="1:10" ht="14.25" hidden="1" customHeight="1" x14ac:dyDescent="0.35">
      <c r="A643" s="30"/>
      <c r="E643" s="31"/>
      <c r="G643" s="32" t="str">
        <f t="shared" si="20"/>
        <v>|||1900|</v>
      </c>
      <c r="H643" s="32" t="str">
        <f t="shared" si="21"/>
        <v>||1900|</v>
      </c>
      <c r="I643" s="32">
        <f>IF(G643="",0,IF(COUNTIF($G$2:G643,G643)=1,1,0))</f>
        <v>0</v>
      </c>
      <c r="J643" s="32">
        <f>IF(H643="",0,IF(COUNTIF($H$2:H643,H643)=1,1,0))</f>
        <v>0</v>
      </c>
    </row>
    <row r="644" spans="1:10" ht="14.25" hidden="1" customHeight="1" x14ac:dyDescent="0.35">
      <c r="A644" s="30"/>
      <c r="E644" s="31"/>
      <c r="G644" s="32" t="str">
        <f t="shared" si="20"/>
        <v>|||1900|</v>
      </c>
      <c r="H644" s="32" t="str">
        <f t="shared" si="21"/>
        <v>||1900|</v>
      </c>
      <c r="I644" s="32">
        <f>IF(G644="",0,IF(COUNTIF($G$2:G644,G644)=1,1,0))</f>
        <v>0</v>
      </c>
      <c r="J644" s="32">
        <f>IF(H644="",0,IF(COUNTIF($H$2:H644,H644)=1,1,0))</f>
        <v>0</v>
      </c>
    </row>
    <row r="645" spans="1:10" ht="14.25" hidden="1" customHeight="1" x14ac:dyDescent="0.35">
      <c r="A645" s="30"/>
      <c r="E645" s="31"/>
      <c r="G645" s="32" t="str">
        <f t="shared" si="20"/>
        <v>|||1900|</v>
      </c>
      <c r="H645" s="32" t="str">
        <f t="shared" si="21"/>
        <v>||1900|</v>
      </c>
      <c r="I645" s="32">
        <f>IF(G645="",0,IF(COUNTIF($G$2:G645,G645)=1,1,0))</f>
        <v>0</v>
      </c>
      <c r="J645" s="32">
        <f>IF(H645="",0,IF(COUNTIF($H$2:H645,H645)=1,1,0))</f>
        <v>0</v>
      </c>
    </row>
    <row r="646" spans="1:10" ht="14.25" hidden="1" customHeight="1" x14ac:dyDescent="0.35">
      <c r="A646" s="30"/>
      <c r="E646" s="31"/>
      <c r="G646" s="32" t="str">
        <f t="shared" si="20"/>
        <v>|||1900|</v>
      </c>
      <c r="H646" s="32" t="str">
        <f t="shared" si="21"/>
        <v>||1900|</v>
      </c>
      <c r="I646" s="32">
        <f>IF(G646="",0,IF(COUNTIF($G$2:G646,G646)=1,1,0))</f>
        <v>0</v>
      </c>
      <c r="J646" s="32">
        <f>IF(H646="",0,IF(COUNTIF($H$2:H646,H646)=1,1,0))</f>
        <v>0</v>
      </c>
    </row>
    <row r="647" spans="1:10" ht="14.25" hidden="1" customHeight="1" x14ac:dyDescent="0.35">
      <c r="A647" s="30"/>
      <c r="E647" s="31"/>
      <c r="G647" s="32" t="str">
        <f t="shared" si="20"/>
        <v>|||1900|</v>
      </c>
      <c r="H647" s="32" t="str">
        <f t="shared" si="21"/>
        <v>||1900|</v>
      </c>
      <c r="I647" s="32">
        <f>IF(G647="",0,IF(COUNTIF($G$2:G647,G647)=1,1,0))</f>
        <v>0</v>
      </c>
      <c r="J647" s="32">
        <f>IF(H647="",0,IF(COUNTIF($H$2:H647,H647)=1,1,0))</f>
        <v>0</v>
      </c>
    </row>
    <row r="648" spans="1:10" ht="14.25" hidden="1" customHeight="1" x14ac:dyDescent="0.35">
      <c r="A648" s="30"/>
      <c r="E648" s="31"/>
      <c r="G648" s="32" t="str">
        <f t="shared" si="20"/>
        <v>|||1900|</v>
      </c>
      <c r="H648" s="32" t="str">
        <f t="shared" si="21"/>
        <v>||1900|</v>
      </c>
      <c r="I648" s="32">
        <f>IF(G648="",0,IF(COUNTIF($G$2:G648,G648)=1,1,0))</f>
        <v>0</v>
      </c>
      <c r="J648" s="32">
        <f>IF(H648="",0,IF(COUNTIF($H$2:H648,H648)=1,1,0))</f>
        <v>0</v>
      </c>
    </row>
    <row r="649" spans="1:10" ht="14.25" hidden="1" customHeight="1" x14ac:dyDescent="0.35">
      <c r="A649" s="30"/>
      <c r="E649" s="31"/>
      <c r="G649" s="32" t="str">
        <f t="shared" si="20"/>
        <v>|||1900|</v>
      </c>
      <c r="H649" s="32" t="str">
        <f t="shared" si="21"/>
        <v>||1900|</v>
      </c>
      <c r="I649" s="32">
        <f>IF(G649="",0,IF(COUNTIF($G$2:G649,G649)=1,1,0))</f>
        <v>0</v>
      </c>
      <c r="J649" s="32">
        <f>IF(H649="",0,IF(COUNTIF($H$2:H649,H649)=1,1,0))</f>
        <v>0</v>
      </c>
    </row>
    <row r="650" spans="1:10" ht="14.25" hidden="1" customHeight="1" x14ac:dyDescent="0.35">
      <c r="A650" s="30"/>
      <c r="E650" s="31"/>
      <c r="G650" s="32" t="str">
        <f t="shared" si="20"/>
        <v>|||1900|</v>
      </c>
      <c r="H650" s="32" t="str">
        <f t="shared" si="21"/>
        <v>||1900|</v>
      </c>
      <c r="I650" s="32">
        <f>IF(G650="",0,IF(COUNTIF($G$2:G650,G650)=1,1,0))</f>
        <v>0</v>
      </c>
      <c r="J650" s="32">
        <f>IF(H650="",0,IF(COUNTIF($H$2:H650,H650)=1,1,0))</f>
        <v>0</v>
      </c>
    </row>
    <row r="651" spans="1:10" ht="14.25" hidden="1" customHeight="1" x14ac:dyDescent="0.35">
      <c r="A651" s="30"/>
      <c r="E651" s="31"/>
      <c r="G651" s="32" t="str">
        <f t="shared" si="20"/>
        <v>|||1900|</v>
      </c>
      <c r="H651" s="32" t="str">
        <f t="shared" si="21"/>
        <v>||1900|</v>
      </c>
      <c r="I651" s="32">
        <f>IF(G651="",0,IF(COUNTIF($G$2:G651,G651)=1,1,0))</f>
        <v>0</v>
      </c>
      <c r="J651" s="32">
        <f>IF(H651="",0,IF(COUNTIF($H$2:H651,H651)=1,1,0))</f>
        <v>0</v>
      </c>
    </row>
    <row r="652" spans="1:10" ht="14.25" hidden="1" customHeight="1" x14ac:dyDescent="0.35">
      <c r="A652" s="30"/>
      <c r="E652" s="31"/>
      <c r="G652" s="32" t="str">
        <f t="shared" si="20"/>
        <v>|||1900|</v>
      </c>
      <c r="H652" s="32" t="str">
        <f t="shared" si="21"/>
        <v>||1900|</v>
      </c>
      <c r="I652" s="32">
        <f>IF(G652="",0,IF(COUNTIF($G$2:G652,G652)=1,1,0))</f>
        <v>0</v>
      </c>
      <c r="J652" s="32">
        <f>IF(H652="",0,IF(COUNTIF($H$2:H652,H652)=1,1,0))</f>
        <v>0</v>
      </c>
    </row>
    <row r="653" spans="1:10" ht="14.25" hidden="1" customHeight="1" x14ac:dyDescent="0.35">
      <c r="A653" s="30"/>
      <c r="E653" s="31"/>
      <c r="G653" s="32" t="str">
        <f t="shared" si="20"/>
        <v>|||1900|</v>
      </c>
      <c r="H653" s="32" t="str">
        <f t="shared" si="21"/>
        <v>||1900|</v>
      </c>
      <c r="I653" s="32">
        <f>IF(G653="",0,IF(COUNTIF($G$2:G653,G653)=1,1,0))</f>
        <v>0</v>
      </c>
      <c r="J653" s="32">
        <f>IF(H653="",0,IF(COUNTIF($H$2:H653,H653)=1,1,0))</f>
        <v>0</v>
      </c>
    </row>
    <row r="654" spans="1:10" ht="14.25" hidden="1" customHeight="1" x14ac:dyDescent="0.35">
      <c r="A654" s="30"/>
      <c r="E654" s="31"/>
      <c r="G654" s="32" t="str">
        <f t="shared" si="20"/>
        <v>|||1900|</v>
      </c>
      <c r="H654" s="32" t="str">
        <f t="shared" si="21"/>
        <v>||1900|</v>
      </c>
      <c r="I654" s="32">
        <f>IF(G654="",0,IF(COUNTIF($G$2:G654,G654)=1,1,0))</f>
        <v>0</v>
      </c>
      <c r="J654" s="32">
        <f>IF(H654="",0,IF(COUNTIF($H$2:H654,H654)=1,1,0))</f>
        <v>0</v>
      </c>
    </row>
    <row r="655" spans="1:10" ht="14.25" hidden="1" customHeight="1" x14ac:dyDescent="0.35">
      <c r="A655" s="30"/>
      <c r="E655" s="31"/>
      <c r="G655" s="32" t="str">
        <f t="shared" si="20"/>
        <v>|||1900|</v>
      </c>
      <c r="H655" s="32" t="str">
        <f t="shared" si="21"/>
        <v>||1900|</v>
      </c>
      <c r="I655" s="32">
        <f>IF(G655="",0,IF(COUNTIF($G$2:G655,G655)=1,1,0))</f>
        <v>0</v>
      </c>
      <c r="J655" s="32">
        <f>IF(H655="",0,IF(COUNTIF($H$2:H655,H655)=1,1,0))</f>
        <v>0</v>
      </c>
    </row>
    <row r="656" spans="1:10" ht="14.25" hidden="1" customHeight="1" x14ac:dyDescent="0.35">
      <c r="A656" s="30"/>
      <c r="E656" s="31"/>
      <c r="G656" s="32" t="str">
        <f t="shared" si="20"/>
        <v>|||1900|</v>
      </c>
      <c r="H656" s="32" t="str">
        <f t="shared" si="21"/>
        <v>||1900|</v>
      </c>
      <c r="I656" s="32">
        <f>IF(G656="",0,IF(COUNTIF($G$2:G656,G656)=1,1,0))</f>
        <v>0</v>
      </c>
      <c r="J656" s="32">
        <f>IF(H656="",0,IF(COUNTIF($H$2:H656,H656)=1,1,0))</f>
        <v>0</v>
      </c>
    </row>
    <row r="657" spans="1:10" ht="14.25" hidden="1" customHeight="1" x14ac:dyDescent="0.35">
      <c r="A657" s="30"/>
      <c r="E657" s="31"/>
      <c r="G657" s="32" t="str">
        <f t="shared" si="20"/>
        <v>|||1900|</v>
      </c>
      <c r="H657" s="32" t="str">
        <f t="shared" si="21"/>
        <v>||1900|</v>
      </c>
      <c r="I657" s="32">
        <f>IF(G657="",0,IF(COUNTIF($G$2:G657,G657)=1,1,0))</f>
        <v>0</v>
      </c>
      <c r="J657" s="32">
        <f>IF(H657="",0,IF(COUNTIF($H$2:H657,H657)=1,1,0))</f>
        <v>0</v>
      </c>
    </row>
    <row r="658" spans="1:10" ht="14.25" hidden="1" customHeight="1" x14ac:dyDescent="0.35">
      <c r="A658" s="30"/>
      <c r="E658" s="31"/>
      <c r="G658" s="32" t="str">
        <f t="shared" si="20"/>
        <v>|||1900|</v>
      </c>
      <c r="H658" s="32" t="str">
        <f t="shared" si="21"/>
        <v>||1900|</v>
      </c>
      <c r="I658" s="32">
        <f>IF(G658="",0,IF(COUNTIF($G$2:G658,G658)=1,1,0))</f>
        <v>0</v>
      </c>
      <c r="J658" s="32">
        <f>IF(H658="",0,IF(COUNTIF($H$2:H658,H658)=1,1,0))</f>
        <v>0</v>
      </c>
    </row>
    <row r="659" spans="1:10" ht="14.25" hidden="1" customHeight="1" x14ac:dyDescent="0.35">
      <c r="A659" s="30"/>
      <c r="E659" s="31"/>
      <c r="G659" s="32" t="str">
        <f t="shared" si="20"/>
        <v>|||1900|</v>
      </c>
      <c r="H659" s="32" t="str">
        <f t="shared" si="21"/>
        <v>||1900|</v>
      </c>
      <c r="I659" s="32">
        <f>IF(G659="",0,IF(COUNTIF($G$2:G659,G659)=1,1,0))</f>
        <v>0</v>
      </c>
      <c r="J659" s="32">
        <f>IF(H659="",0,IF(COUNTIF($H$2:H659,H659)=1,1,0))</f>
        <v>0</v>
      </c>
    </row>
    <row r="660" spans="1:10" ht="14.25" hidden="1" customHeight="1" x14ac:dyDescent="0.35">
      <c r="A660" s="30"/>
      <c r="E660" s="31"/>
      <c r="G660" s="32" t="str">
        <f t="shared" si="20"/>
        <v>|||1900|</v>
      </c>
      <c r="H660" s="32" t="str">
        <f t="shared" si="21"/>
        <v>||1900|</v>
      </c>
      <c r="I660" s="32">
        <f>IF(G660="",0,IF(COUNTIF($G$2:G660,G660)=1,1,0))</f>
        <v>0</v>
      </c>
      <c r="J660" s="32">
        <f>IF(H660="",0,IF(COUNTIF($H$2:H660,H660)=1,1,0))</f>
        <v>0</v>
      </c>
    </row>
    <row r="661" spans="1:10" ht="14.25" hidden="1" customHeight="1" x14ac:dyDescent="0.35">
      <c r="A661" s="30"/>
      <c r="E661" s="31"/>
      <c r="G661" s="32" t="str">
        <f t="shared" si="20"/>
        <v>|||1900|</v>
      </c>
      <c r="H661" s="32" t="str">
        <f t="shared" si="21"/>
        <v>||1900|</v>
      </c>
      <c r="I661" s="32">
        <f>IF(G661="",0,IF(COUNTIF($G$2:G661,G661)=1,1,0))</f>
        <v>0</v>
      </c>
      <c r="J661" s="32">
        <f>IF(H661="",0,IF(COUNTIF($H$2:H661,H661)=1,1,0))</f>
        <v>0</v>
      </c>
    </row>
    <row r="662" spans="1:10" ht="14.25" hidden="1" customHeight="1" x14ac:dyDescent="0.35">
      <c r="A662" s="30"/>
      <c r="E662" s="31"/>
      <c r="G662" s="32" t="str">
        <f t="shared" si="20"/>
        <v>|||1900|</v>
      </c>
      <c r="H662" s="32" t="str">
        <f t="shared" si="21"/>
        <v>||1900|</v>
      </c>
      <c r="I662" s="32">
        <f>IF(G662="",0,IF(COUNTIF($G$2:G662,G662)=1,1,0))</f>
        <v>0</v>
      </c>
      <c r="J662" s="32">
        <f>IF(H662="",0,IF(COUNTIF($H$2:H662,H662)=1,1,0))</f>
        <v>0</v>
      </c>
    </row>
    <row r="663" spans="1:10" ht="14.25" hidden="1" customHeight="1" x14ac:dyDescent="0.35">
      <c r="A663" s="30"/>
      <c r="E663" s="31"/>
      <c r="G663" s="32" t="str">
        <f t="shared" si="20"/>
        <v>|||1900|</v>
      </c>
      <c r="H663" s="32" t="str">
        <f t="shared" si="21"/>
        <v>||1900|</v>
      </c>
      <c r="I663" s="32">
        <f>IF(G663="",0,IF(COUNTIF($G$2:G663,G663)=1,1,0))</f>
        <v>0</v>
      </c>
      <c r="J663" s="32">
        <f>IF(H663="",0,IF(COUNTIF($H$2:H663,H663)=1,1,0))</f>
        <v>0</v>
      </c>
    </row>
    <row r="664" spans="1:10" ht="14.25" hidden="1" customHeight="1" x14ac:dyDescent="0.35">
      <c r="A664" s="30"/>
      <c r="E664" s="31"/>
      <c r="G664" s="32" t="str">
        <f t="shared" si="20"/>
        <v>|||1900|</v>
      </c>
      <c r="H664" s="32" t="str">
        <f t="shared" si="21"/>
        <v>||1900|</v>
      </c>
      <c r="I664" s="32">
        <f>IF(G664="",0,IF(COUNTIF($G$2:G664,G664)=1,1,0))</f>
        <v>0</v>
      </c>
      <c r="J664" s="32">
        <f>IF(H664="",0,IF(COUNTIF($H$2:H664,H664)=1,1,0))</f>
        <v>0</v>
      </c>
    </row>
    <row r="665" spans="1:10" ht="14.25" hidden="1" customHeight="1" x14ac:dyDescent="0.35">
      <c r="A665" s="30"/>
      <c r="E665" s="31"/>
      <c r="G665" s="32" t="str">
        <f t="shared" si="20"/>
        <v>|||1900|</v>
      </c>
      <c r="H665" s="32" t="str">
        <f t="shared" si="21"/>
        <v>||1900|</v>
      </c>
      <c r="I665" s="32">
        <f>IF(G665="",0,IF(COUNTIF($G$2:G665,G665)=1,1,0))</f>
        <v>0</v>
      </c>
      <c r="J665" s="32">
        <f>IF(H665="",0,IF(COUNTIF($H$2:H665,H665)=1,1,0))</f>
        <v>0</v>
      </c>
    </row>
    <row r="666" spans="1:10" ht="14.25" hidden="1" customHeight="1" x14ac:dyDescent="0.35">
      <c r="A666" s="30"/>
      <c r="E666" s="31"/>
      <c r="G666" s="32" t="str">
        <f t="shared" si="20"/>
        <v>|||1900|</v>
      </c>
      <c r="H666" s="32" t="str">
        <f t="shared" si="21"/>
        <v>||1900|</v>
      </c>
      <c r="I666" s="32">
        <f>IF(G666="",0,IF(COUNTIF($G$2:G666,G666)=1,1,0))</f>
        <v>0</v>
      </c>
      <c r="J666" s="32">
        <f>IF(H666="",0,IF(COUNTIF($H$2:H666,H666)=1,1,0))</f>
        <v>0</v>
      </c>
    </row>
    <row r="667" spans="1:10" ht="14.25" hidden="1" customHeight="1" x14ac:dyDescent="0.35">
      <c r="A667" s="30"/>
      <c r="E667" s="31"/>
      <c r="G667" s="32" t="str">
        <f t="shared" si="20"/>
        <v>|||1900|</v>
      </c>
      <c r="H667" s="32" t="str">
        <f t="shared" si="21"/>
        <v>||1900|</v>
      </c>
      <c r="I667" s="32">
        <f>IF(G667="",0,IF(COUNTIF($G$2:G667,G667)=1,1,0))</f>
        <v>0</v>
      </c>
      <c r="J667" s="32">
        <f>IF(H667="",0,IF(COUNTIF($H$2:H667,H667)=1,1,0))</f>
        <v>0</v>
      </c>
    </row>
    <row r="668" spans="1:10" ht="14.25" hidden="1" customHeight="1" x14ac:dyDescent="0.35">
      <c r="A668" s="30"/>
      <c r="E668" s="31"/>
      <c r="G668" s="32" t="str">
        <f t="shared" si="20"/>
        <v>|||1900|</v>
      </c>
      <c r="H668" s="32" t="str">
        <f t="shared" si="21"/>
        <v>||1900|</v>
      </c>
      <c r="I668" s="32">
        <f>IF(G668="",0,IF(COUNTIF($G$2:G668,G668)=1,1,0))</f>
        <v>0</v>
      </c>
      <c r="J668" s="32">
        <f>IF(H668="",0,IF(COUNTIF($H$2:H668,H668)=1,1,0))</f>
        <v>0</v>
      </c>
    </row>
    <row r="669" spans="1:10" ht="14.25" hidden="1" customHeight="1" x14ac:dyDescent="0.35">
      <c r="A669" s="30"/>
      <c r="E669" s="31"/>
      <c r="G669" s="32" t="str">
        <f t="shared" si="20"/>
        <v>|||1900|</v>
      </c>
      <c r="H669" s="32" t="str">
        <f t="shared" si="21"/>
        <v>||1900|</v>
      </c>
      <c r="I669" s="32">
        <f>IF(G669="",0,IF(COUNTIF($G$2:G669,G669)=1,1,0))</f>
        <v>0</v>
      </c>
      <c r="J669" s="32">
        <f>IF(H669="",0,IF(COUNTIF($H$2:H669,H669)=1,1,0))</f>
        <v>0</v>
      </c>
    </row>
    <row r="670" spans="1:10" ht="14.25" hidden="1" customHeight="1" x14ac:dyDescent="0.35">
      <c r="A670" s="30"/>
      <c r="E670" s="31"/>
      <c r="G670" s="32" t="str">
        <f t="shared" si="20"/>
        <v>|||1900|</v>
      </c>
      <c r="H670" s="32" t="str">
        <f t="shared" si="21"/>
        <v>||1900|</v>
      </c>
      <c r="I670" s="32">
        <f>IF(G670="",0,IF(COUNTIF($G$2:G670,G670)=1,1,0))</f>
        <v>0</v>
      </c>
      <c r="J670" s="32">
        <f>IF(H670="",0,IF(COUNTIF($H$2:H670,H670)=1,1,0))</f>
        <v>0</v>
      </c>
    </row>
    <row r="671" spans="1:10" ht="14.25" hidden="1" customHeight="1" x14ac:dyDescent="0.35">
      <c r="A671" s="30"/>
      <c r="E671" s="31"/>
      <c r="G671" s="32" t="str">
        <f t="shared" si="20"/>
        <v>|||1900|</v>
      </c>
      <c r="H671" s="32" t="str">
        <f t="shared" si="21"/>
        <v>||1900|</v>
      </c>
      <c r="I671" s="32">
        <f>IF(G671="",0,IF(COUNTIF($G$2:G671,G671)=1,1,0))</f>
        <v>0</v>
      </c>
      <c r="J671" s="32">
        <f>IF(H671="",0,IF(COUNTIF($H$2:H671,H671)=1,1,0))</f>
        <v>0</v>
      </c>
    </row>
    <row r="672" spans="1:10" ht="14.25" hidden="1" customHeight="1" x14ac:dyDescent="0.35">
      <c r="A672" s="30"/>
      <c r="E672" s="31"/>
      <c r="G672" s="32" t="str">
        <f t="shared" si="20"/>
        <v>|||1900|</v>
      </c>
      <c r="H672" s="32" t="str">
        <f t="shared" si="21"/>
        <v>||1900|</v>
      </c>
      <c r="I672" s="32">
        <f>IF(G672="",0,IF(COUNTIF($G$2:G672,G672)=1,1,0))</f>
        <v>0</v>
      </c>
      <c r="J672" s="32">
        <f>IF(H672="",0,IF(COUNTIF($H$2:H672,H672)=1,1,0))</f>
        <v>0</v>
      </c>
    </row>
    <row r="673" spans="1:10" ht="14.25" hidden="1" customHeight="1" x14ac:dyDescent="0.35">
      <c r="A673" s="30"/>
      <c r="E673" s="31"/>
      <c r="G673" s="32" t="str">
        <f t="shared" si="20"/>
        <v>|||1900|</v>
      </c>
      <c r="H673" s="32" t="str">
        <f t="shared" si="21"/>
        <v>||1900|</v>
      </c>
      <c r="I673" s="32">
        <f>IF(G673="",0,IF(COUNTIF($G$2:G673,G673)=1,1,0))</f>
        <v>0</v>
      </c>
      <c r="J673" s="32">
        <f>IF(H673="",0,IF(COUNTIF($H$2:H673,H673)=1,1,0))</f>
        <v>0</v>
      </c>
    </row>
    <row r="674" spans="1:10" ht="14.25" hidden="1" customHeight="1" x14ac:dyDescent="0.35">
      <c r="A674" s="30"/>
      <c r="E674" s="31"/>
      <c r="G674" s="32" t="str">
        <f t="shared" si="20"/>
        <v>|||1900|</v>
      </c>
      <c r="H674" s="32" t="str">
        <f t="shared" si="21"/>
        <v>||1900|</v>
      </c>
      <c r="I674" s="32">
        <f>IF(G674="",0,IF(COUNTIF($G$2:G674,G674)=1,1,0))</f>
        <v>0</v>
      </c>
      <c r="J674" s="32">
        <f>IF(H674="",0,IF(COUNTIF($H$2:H674,H674)=1,1,0))</f>
        <v>0</v>
      </c>
    </row>
    <row r="675" spans="1:10" ht="14.25" hidden="1" customHeight="1" x14ac:dyDescent="0.35">
      <c r="A675" s="30"/>
      <c r="E675" s="31"/>
      <c r="G675" s="32" t="str">
        <f t="shared" si="20"/>
        <v>|||1900|</v>
      </c>
      <c r="H675" s="32" t="str">
        <f t="shared" si="21"/>
        <v>||1900|</v>
      </c>
      <c r="I675" s="32">
        <f>IF(G675="",0,IF(COUNTIF($G$2:G675,G675)=1,1,0))</f>
        <v>0</v>
      </c>
      <c r="J675" s="32">
        <f>IF(H675="",0,IF(COUNTIF($H$2:H675,H675)=1,1,0))</f>
        <v>0</v>
      </c>
    </row>
    <row r="676" spans="1:10" ht="14.25" hidden="1" customHeight="1" x14ac:dyDescent="0.35">
      <c r="A676" s="30"/>
      <c r="E676" s="31"/>
      <c r="G676" s="32" t="str">
        <f t="shared" si="20"/>
        <v>|||1900|</v>
      </c>
      <c r="H676" s="32" t="str">
        <f t="shared" si="21"/>
        <v>||1900|</v>
      </c>
      <c r="I676" s="32">
        <f>IF(G676="",0,IF(COUNTIF($G$2:G676,G676)=1,1,0))</f>
        <v>0</v>
      </c>
      <c r="J676" s="32">
        <f>IF(H676="",0,IF(COUNTIF($H$2:H676,H676)=1,1,0))</f>
        <v>0</v>
      </c>
    </row>
    <row r="677" spans="1:10" ht="14.25" hidden="1" customHeight="1" x14ac:dyDescent="0.35">
      <c r="A677" s="30"/>
      <c r="E677" s="31"/>
      <c r="G677" s="32" t="str">
        <f t="shared" si="20"/>
        <v>|||1900|</v>
      </c>
      <c r="H677" s="32" t="str">
        <f t="shared" si="21"/>
        <v>||1900|</v>
      </c>
      <c r="I677" s="32">
        <f>IF(G677="",0,IF(COUNTIF($G$2:G677,G677)=1,1,0))</f>
        <v>0</v>
      </c>
      <c r="J677" s="32">
        <f>IF(H677="",0,IF(COUNTIF($H$2:H677,H677)=1,1,0))</f>
        <v>0</v>
      </c>
    </row>
    <row r="678" spans="1:10" ht="14.25" hidden="1" customHeight="1" x14ac:dyDescent="0.35">
      <c r="A678" s="30"/>
      <c r="E678" s="31"/>
      <c r="G678" s="32" t="str">
        <f t="shared" si="20"/>
        <v>|||1900|</v>
      </c>
      <c r="H678" s="32" t="str">
        <f t="shared" si="21"/>
        <v>||1900|</v>
      </c>
      <c r="I678" s="32">
        <f>IF(G678="",0,IF(COUNTIF($G$2:G678,G678)=1,1,0))</f>
        <v>0</v>
      </c>
      <c r="J678" s="32">
        <f>IF(H678="",0,IF(COUNTIF($H$2:H678,H678)=1,1,0))</f>
        <v>0</v>
      </c>
    </row>
    <row r="679" spans="1:10" ht="14.25" hidden="1" customHeight="1" x14ac:dyDescent="0.35">
      <c r="A679" s="30"/>
      <c r="E679" s="31"/>
      <c r="G679" s="32" t="str">
        <f t="shared" si="20"/>
        <v>|||1900|</v>
      </c>
      <c r="H679" s="32" t="str">
        <f t="shared" si="21"/>
        <v>||1900|</v>
      </c>
      <c r="I679" s="32">
        <f>IF(G679="",0,IF(COUNTIF($G$2:G679,G679)=1,1,0))</f>
        <v>0</v>
      </c>
      <c r="J679" s="32">
        <f>IF(H679="",0,IF(COUNTIF($H$2:H679,H679)=1,1,0))</f>
        <v>0</v>
      </c>
    </row>
    <row r="680" spans="1:10" ht="14.25" hidden="1" customHeight="1" x14ac:dyDescent="0.35">
      <c r="A680" s="30"/>
      <c r="E680" s="31"/>
      <c r="G680" s="32" t="str">
        <f t="shared" si="20"/>
        <v>|||1900|</v>
      </c>
      <c r="H680" s="32" t="str">
        <f t="shared" si="21"/>
        <v>||1900|</v>
      </c>
      <c r="I680" s="32">
        <f>IF(G680="",0,IF(COUNTIF($G$2:G680,G680)=1,1,0))</f>
        <v>0</v>
      </c>
      <c r="J680" s="32">
        <f>IF(H680="",0,IF(COUNTIF($H$2:H680,H680)=1,1,0))</f>
        <v>0</v>
      </c>
    </row>
    <row r="681" spans="1:10" ht="14.25" hidden="1" customHeight="1" x14ac:dyDescent="0.35">
      <c r="A681" s="30"/>
      <c r="E681" s="31"/>
      <c r="G681" s="32" t="str">
        <f t="shared" si="20"/>
        <v>|||1900|</v>
      </c>
      <c r="H681" s="32" t="str">
        <f t="shared" si="21"/>
        <v>||1900|</v>
      </c>
      <c r="I681" s="32">
        <f>IF(G681="",0,IF(COUNTIF($G$2:G681,G681)=1,1,0))</f>
        <v>0</v>
      </c>
      <c r="J681" s="32">
        <f>IF(H681="",0,IF(COUNTIF($H$2:H681,H681)=1,1,0))</f>
        <v>0</v>
      </c>
    </row>
    <row r="682" spans="1:10" ht="14.25" hidden="1" customHeight="1" x14ac:dyDescent="0.35">
      <c r="A682" s="30"/>
      <c r="E682" s="31"/>
      <c r="G682" s="32" t="str">
        <f t="shared" si="20"/>
        <v>|||1900|</v>
      </c>
      <c r="H682" s="32" t="str">
        <f t="shared" si="21"/>
        <v>||1900|</v>
      </c>
      <c r="I682" s="32">
        <f>IF(G682="",0,IF(COUNTIF($G$2:G682,G682)=1,1,0))</f>
        <v>0</v>
      </c>
      <c r="J682" s="32">
        <f>IF(H682="",0,IF(COUNTIF($H$2:H682,H682)=1,1,0))</f>
        <v>0</v>
      </c>
    </row>
    <row r="683" spans="1:10" ht="14.25" hidden="1" customHeight="1" x14ac:dyDescent="0.35">
      <c r="A683" s="30"/>
      <c r="E683" s="31"/>
      <c r="G683" s="32" t="str">
        <f t="shared" si="20"/>
        <v>|||1900|</v>
      </c>
      <c r="H683" s="32" t="str">
        <f t="shared" si="21"/>
        <v>||1900|</v>
      </c>
      <c r="I683" s="32">
        <f>IF(G683="",0,IF(COUNTIF($G$2:G683,G683)=1,1,0))</f>
        <v>0</v>
      </c>
      <c r="J683" s="32">
        <f>IF(H683="",0,IF(COUNTIF($H$2:H683,H683)=1,1,0))</f>
        <v>0</v>
      </c>
    </row>
    <row r="684" spans="1:10" ht="14.25" hidden="1" customHeight="1" x14ac:dyDescent="0.35">
      <c r="A684" s="30"/>
      <c r="E684" s="31"/>
      <c r="G684" s="32" t="str">
        <f t="shared" si="20"/>
        <v>|||1900|</v>
      </c>
      <c r="H684" s="32" t="str">
        <f t="shared" si="21"/>
        <v>||1900|</v>
      </c>
      <c r="I684" s="32">
        <f>IF(G684="",0,IF(COUNTIF($G$2:G684,G684)=1,1,0))</f>
        <v>0</v>
      </c>
      <c r="J684" s="32">
        <f>IF(H684="",0,IF(COUNTIF($H$2:H684,H684)=1,1,0))</f>
        <v>0</v>
      </c>
    </row>
    <row r="685" spans="1:10" ht="14.25" hidden="1" customHeight="1" x14ac:dyDescent="0.35">
      <c r="A685" s="30"/>
      <c r="E685" s="31"/>
      <c r="G685" s="32" t="str">
        <f t="shared" si="20"/>
        <v>|||1900|</v>
      </c>
      <c r="H685" s="32" t="str">
        <f t="shared" si="21"/>
        <v>||1900|</v>
      </c>
      <c r="I685" s="32">
        <f>IF(G685="",0,IF(COUNTIF($G$2:G685,G685)=1,1,0))</f>
        <v>0</v>
      </c>
      <c r="J685" s="32">
        <f>IF(H685="",0,IF(COUNTIF($H$2:H685,H685)=1,1,0))</f>
        <v>0</v>
      </c>
    </row>
    <row r="686" spans="1:10" ht="14.25" hidden="1" customHeight="1" x14ac:dyDescent="0.35">
      <c r="A686" s="30"/>
      <c r="E686" s="31"/>
      <c r="G686" s="32" t="str">
        <f t="shared" si="20"/>
        <v>|||1900|</v>
      </c>
      <c r="H686" s="32" t="str">
        <f t="shared" si="21"/>
        <v>||1900|</v>
      </c>
      <c r="I686" s="32">
        <f>IF(G686="",0,IF(COUNTIF($G$2:G686,G686)=1,1,0))</f>
        <v>0</v>
      </c>
      <c r="J686" s="32">
        <f>IF(H686="",0,IF(COUNTIF($H$2:H686,H686)=1,1,0))</f>
        <v>0</v>
      </c>
    </row>
    <row r="687" spans="1:10" ht="14.25" hidden="1" customHeight="1" x14ac:dyDescent="0.35">
      <c r="A687" s="30"/>
      <c r="E687" s="31"/>
      <c r="G687" s="32" t="str">
        <f t="shared" si="20"/>
        <v>|||1900|</v>
      </c>
      <c r="H687" s="32" t="str">
        <f t="shared" si="21"/>
        <v>||1900|</v>
      </c>
      <c r="I687" s="32">
        <f>IF(G687="",0,IF(COUNTIF($G$2:G687,G687)=1,1,0))</f>
        <v>0</v>
      </c>
      <c r="J687" s="32">
        <f>IF(H687="",0,IF(COUNTIF($H$2:H687,H687)=1,1,0))</f>
        <v>0</v>
      </c>
    </row>
    <row r="688" spans="1:10" ht="14.25" hidden="1" customHeight="1" x14ac:dyDescent="0.35">
      <c r="A688" s="30"/>
      <c r="E688" s="31"/>
      <c r="G688" s="32" t="str">
        <f t="shared" si="20"/>
        <v>|||1900|</v>
      </c>
      <c r="H688" s="32" t="str">
        <f t="shared" si="21"/>
        <v>||1900|</v>
      </c>
      <c r="I688" s="32">
        <f>IF(G688="",0,IF(COUNTIF($G$2:G688,G688)=1,1,0))</f>
        <v>0</v>
      </c>
      <c r="J688" s="32">
        <f>IF(H688="",0,IF(COUNTIF($H$2:H688,H688)=1,1,0))</f>
        <v>0</v>
      </c>
    </row>
    <row r="689" spans="1:10" ht="14.25" hidden="1" customHeight="1" x14ac:dyDescent="0.35">
      <c r="A689" s="30"/>
      <c r="E689" s="31"/>
      <c r="G689" s="32" t="str">
        <f t="shared" si="20"/>
        <v>|||1900|</v>
      </c>
      <c r="H689" s="32" t="str">
        <f t="shared" si="21"/>
        <v>||1900|</v>
      </c>
      <c r="I689" s="32">
        <f>IF(G689="",0,IF(COUNTIF($G$2:G689,G689)=1,1,0))</f>
        <v>0</v>
      </c>
      <c r="J689" s="32">
        <f>IF(H689="",0,IF(COUNTIF($H$2:H689,H689)=1,1,0))</f>
        <v>0</v>
      </c>
    </row>
    <row r="690" spans="1:10" ht="14.25" hidden="1" customHeight="1" x14ac:dyDescent="0.35">
      <c r="A690" s="30"/>
      <c r="E690" s="31"/>
      <c r="G690" s="32" t="str">
        <f t="shared" si="20"/>
        <v>|||1900|</v>
      </c>
      <c r="H690" s="32" t="str">
        <f t="shared" si="21"/>
        <v>||1900|</v>
      </c>
      <c r="I690" s="32">
        <f>IF(G690="",0,IF(COUNTIF($G$2:G690,G690)=1,1,0))</f>
        <v>0</v>
      </c>
      <c r="J690" s="32">
        <f>IF(H690="",0,IF(COUNTIF($H$2:H690,H690)=1,1,0))</f>
        <v>0</v>
      </c>
    </row>
    <row r="691" spans="1:10" ht="14.25" hidden="1" customHeight="1" x14ac:dyDescent="0.35">
      <c r="A691" s="30"/>
      <c r="E691" s="31"/>
      <c r="G691" s="32" t="str">
        <f t="shared" si="20"/>
        <v>|||1900|</v>
      </c>
      <c r="H691" s="32" t="str">
        <f t="shared" si="21"/>
        <v>||1900|</v>
      </c>
      <c r="I691" s="32">
        <f>IF(G691="",0,IF(COUNTIF($G$2:G691,G691)=1,1,0))</f>
        <v>0</v>
      </c>
      <c r="J691" s="32">
        <f>IF(H691="",0,IF(COUNTIF($H$2:H691,H691)=1,1,0))</f>
        <v>0</v>
      </c>
    </row>
    <row r="692" spans="1:10" ht="14.25" hidden="1" customHeight="1" x14ac:dyDescent="0.35">
      <c r="A692" s="30"/>
      <c r="E692" s="31"/>
      <c r="G692" s="32" t="str">
        <f t="shared" si="20"/>
        <v>|||1900|</v>
      </c>
      <c r="H692" s="32" t="str">
        <f t="shared" si="21"/>
        <v>||1900|</v>
      </c>
      <c r="I692" s="32">
        <f>IF(G692="",0,IF(COUNTIF($G$2:G692,G692)=1,1,0))</f>
        <v>0</v>
      </c>
      <c r="J692" s="32">
        <f>IF(H692="",0,IF(COUNTIF($H$2:H692,H692)=1,1,0))</f>
        <v>0</v>
      </c>
    </row>
    <row r="693" spans="1:10" ht="14.25" hidden="1" customHeight="1" x14ac:dyDescent="0.35">
      <c r="A693" s="30"/>
      <c r="E693" s="31"/>
      <c r="G693" s="32" t="str">
        <f t="shared" si="20"/>
        <v>|||1900|</v>
      </c>
      <c r="H693" s="32" t="str">
        <f t="shared" si="21"/>
        <v>||1900|</v>
      </c>
      <c r="I693" s="32">
        <f>IF(G693="",0,IF(COUNTIF($G$2:G693,G693)=1,1,0))</f>
        <v>0</v>
      </c>
      <c r="J693" s="32">
        <f>IF(H693="",0,IF(COUNTIF($H$2:H693,H693)=1,1,0))</f>
        <v>0</v>
      </c>
    </row>
    <row r="694" spans="1:10" ht="14.25" hidden="1" customHeight="1" x14ac:dyDescent="0.35">
      <c r="A694" s="30"/>
      <c r="E694" s="31"/>
      <c r="G694" s="32" t="str">
        <f t="shared" si="20"/>
        <v>|||1900|</v>
      </c>
      <c r="H694" s="32" t="str">
        <f t="shared" si="21"/>
        <v>||1900|</v>
      </c>
      <c r="I694" s="32">
        <f>IF(G694="",0,IF(COUNTIF($G$2:G694,G694)=1,1,0))</f>
        <v>0</v>
      </c>
      <c r="J694" s="32">
        <f>IF(H694="",0,IF(COUNTIF($H$2:H694,H694)=1,1,0))</f>
        <v>0</v>
      </c>
    </row>
    <row r="695" spans="1:10" ht="14.25" hidden="1" customHeight="1" x14ac:dyDescent="0.35">
      <c r="A695" s="30"/>
      <c r="E695" s="31"/>
      <c r="G695" s="32" t="str">
        <f t="shared" si="20"/>
        <v>|||1900|</v>
      </c>
      <c r="H695" s="32" t="str">
        <f t="shared" si="21"/>
        <v>||1900|</v>
      </c>
      <c r="I695" s="32">
        <f>IF(G695="",0,IF(COUNTIF($G$2:G695,G695)=1,1,0))</f>
        <v>0</v>
      </c>
      <c r="J695" s="32">
        <f>IF(H695="",0,IF(COUNTIF($H$2:H695,H695)=1,1,0))</f>
        <v>0</v>
      </c>
    </row>
    <row r="696" spans="1:10" ht="14.25" hidden="1" customHeight="1" x14ac:dyDescent="0.35">
      <c r="A696" s="30"/>
      <c r="E696" s="31"/>
      <c r="G696" s="32" t="str">
        <f t="shared" si="20"/>
        <v>|||1900|</v>
      </c>
      <c r="H696" s="32" t="str">
        <f t="shared" si="21"/>
        <v>||1900|</v>
      </c>
      <c r="I696" s="32">
        <f>IF(G696="",0,IF(COUNTIF($G$2:G696,G696)=1,1,0))</f>
        <v>0</v>
      </c>
      <c r="J696" s="32">
        <f>IF(H696="",0,IF(COUNTIF($H$2:H696,H696)=1,1,0))</f>
        <v>0</v>
      </c>
    </row>
    <row r="697" spans="1:10" ht="14.25" hidden="1" customHeight="1" x14ac:dyDescent="0.35">
      <c r="A697" s="30"/>
      <c r="E697" s="31"/>
      <c r="G697" s="32" t="str">
        <f t="shared" si="20"/>
        <v>|||1900|</v>
      </c>
      <c r="H697" s="32" t="str">
        <f t="shared" si="21"/>
        <v>||1900|</v>
      </c>
      <c r="I697" s="32">
        <f>IF(G697="",0,IF(COUNTIF($G$2:G697,G697)=1,1,0))</f>
        <v>0</v>
      </c>
      <c r="J697" s="32">
        <f>IF(H697="",0,IF(COUNTIF($H$2:H697,H697)=1,1,0))</f>
        <v>0</v>
      </c>
    </row>
    <row r="698" spans="1:10" ht="14.25" hidden="1" customHeight="1" x14ac:dyDescent="0.35">
      <c r="A698" s="30"/>
      <c r="E698" s="31"/>
      <c r="G698" s="32" t="str">
        <f t="shared" si="20"/>
        <v>|||1900|</v>
      </c>
      <c r="H698" s="32" t="str">
        <f t="shared" si="21"/>
        <v>||1900|</v>
      </c>
      <c r="I698" s="32">
        <f>IF(G698="",0,IF(COUNTIF($G$2:G698,G698)=1,1,0))</f>
        <v>0</v>
      </c>
      <c r="J698" s="32">
        <f>IF(H698="",0,IF(COUNTIF($H$2:H698,H698)=1,1,0))</f>
        <v>0</v>
      </c>
    </row>
    <row r="699" spans="1:10" ht="14.25" hidden="1" customHeight="1" x14ac:dyDescent="0.35">
      <c r="A699" s="30"/>
      <c r="E699" s="31"/>
      <c r="G699" s="32" t="str">
        <f t="shared" si="20"/>
        <v>|||1900|</v>
      </c>
      <c r="H699" s="32" t="str">
        <f t="shared" si="21"/>
        <v>||1900|</v>
      </c>
      <c r="I699" s="32">
        <f>IF(G699="",0,IF(COUNTIF($G$2:G699,G699)=1,1,0))</f>
        <v>0</v>
      </c>
      <c r="J699" s="32">
        <f>IF(H699="",0,IF(COUNTIF($H$2:H699,H699)=1,1,0))</f>
        <v>0</v>
      </c>
    </row>
    <row r="700" spans="1:10" ht="14.25" hidden="1" customHeight="1" x14ac:dyDescent="0.35">
      <c r="A700" s="30"/>
      <c r="E700" s="31"/>
      <c r="G700" s="32" t="str">
        <f t="shared" si="20"/>
        <v>|||1900|</v>
      </c>
      <c r="H700" s="32" t="str">
        <f t="shared" si="21"/>
        <v>||1900|</v>
      </c>
      <c r="I700" s="32">
        <f>IF(G700="",0,IF(COUNTIF($G$2:G700,G700)=1,1,0))</f>
        <v>0</v>
      </c>
      <c r="J700" s="32">
        <f>IF(H700="",0,IF(COUNTIF($H$2:H700,H700)=1,1,0))</f>
        <v>0</v>
      </c>
    </row>
    <row r="701" spans="1:10" ht="14.25" hidden="1" customHeight="1" x14ac:dyDescent="0.35">
      <c r="A701" s="30"/>
      <c r="E701" s="31"/>
      <c r="G701" s="32" t="str">
        <f t="shared" si="20"/>
        <v>|||1900|</v>
      </c>
      <c r="H701" s="32" t="str">
        <f t="shared" si="21"/>
        <v>||1900|</v>
      </c>
      <c r="I701" s="32">
        <f>IF(G701="",0,IF(COUNTIF($G$2:G701,G701)=1,1,0))</f>
        <v>0</v>
      </c>
      <c r="J701" s="32">
        <f>IF(H701="",0,IF(COUNTIF($H$2:H701,H701)=1,1,0))</f>
        <v>0</v>
      </c>
    </row>
    <row r="702" spans="1:10" ht="14.25" hidden="1" customHeight="1" x14ac:dyDescent="0.35">
      <c r="A702" s="30"/>
      <c r="E702" s="31"/>
      <c r="G702" s="32" t="str">
        <f t="shared" si="20"/>
        <v>|||1900|</v>
      </c>
      <c r="H702" s="32" t="str">
        <f t="shared" si="21"/>
        <v>||1900|</v>
      </c>
      <c r="I702" s="32">
        <f>IF(G702="",0,IF(COUNTIF($G$2:G702,G702)=1,1,0))</f>
        <v>0</v>
      </c>
      <c r="J702" s="32">
        <f>IF(H702="",0,IF(COUNTIF($H$2:H702,H702)=1,1,0))</f>
        <v>0</v>
      </c>
    </row>
    <row r="703" spans="1:10" ht="14.25" hidden="1" customHeight="1" x14ac:dyDescent="0.35">
      <c r="A703" s="30"/>
      <c r="E703" s="31"/>
      <c r="G703" s="32" t="str">
        <f t="shared" si="20"/>
        <v>|||1900|</v>
      </c>
      <c r="H703" s="32" t="str">
        <f t="shared" si="21"/>
        <v>||1900|</v>
      </c>
      <c r="I703" s="32">
        <f>IF(G703="",0,IF(COUNTIF($G$2:G703,G703)=1,1,0))</f>
        <v>0</v>
      </c>
      <c r="J703" s="32">
        <f>IF(H703="",0,IF(COUNTIF($H$2:H703,H703)=1,1,0))</f>
        <v>0</v>
      </c>
    </row>
    <row r="704" spans="1:10" ht="14.25" hidden="1" customHeight="1" x14ac:dyDescent="0.35">
      <c r="A704" s="30"/>
      <c r="E704" s="31"/>
      <c r="G704" s="32" t="str">
        <f t="shared" si="20"/>
        <v>|||1900|</v>
      </c>
      <c r="H704" s="32" t="str">
        <f t="shared" si="21"/>
        <v>||1900|</v>
      </c>
      <c r="I704" s="32">
        <f>IF(G704="",0,IF(COUNTIF($G$2:G704,G704)=1,1,0))</f>
        <v>0</v>
      </c>
      <c r="J704" s="32">
        <f>IF(H704="",0,IF(COUNTIF($H$2:H704,H704)=1,1,0))</f>
        <v>0</v>
      </c>
    </row>
    <row r="705" spans="1:10" ht="14.25" hidden="1" customHeight="1" x14ac:dyDescent="0.35">
      <c r="A705" s="30"/>
      <c r="E705" s="31"/>
      <c r="G705" s="32" t="str">
        <f t="shared" si="20"/>
        <v>|||1900|</v>
      </c>
      <c r="H705" s="32" t="str">
        <f t="shared" si="21"/>
        <v>||1900|</v>
      </c>
      <c r="I705" s="32">
        <f>IF(G705="",0,IF(COUNTIF($G$2:G705,G705)=1,1,0))</f>
        <v>0</v>
      </c>
      <c r="J705" s="32">
        <f>IF(H705="",0,IF(COUNTIF($H$2:H705,H705)=1,1,0))</f>
        <v>0</v>
      </c>
    </row>
    <row r="706" spans="1:10" ht="14.25" hidden="1" customHeight="1" x14ac:dyDescent="0.35">
      <c r="A706" s="30"/>
      <c r="E706" s="31"/>
      <c r="G706" s="32" t="str">
        <f t="shared" ref="G706:G769" si="22">IF(D706="T",
E706&amp;"|"&amp;F706,
A706&amp;"|"&amp;B706&amp;"|"&amp;C706&amp;"|"&amp;YEAR(E706)&amp;"|"&amp;F706)</f>
        <v>|||1900|</v>
      </c>
      <c r="H706" s="32" t="str">
        <f t="shared" ref="H706:H769" si="23">A706&amp;"|"&amp;C706&amp;"|"&amp;YEAR(E706)&amp;"|"&amp;F706</f>
        <v>||1900|</v>
      </c>
      <c r="I706" s="32">
        <f>IF(G706="",0,IF(COUNTIF($G$2:G706,G706)=1,1,0))</f>
        <v>0</v>
      </c>
      <c r="J706" s="32">
        <f>IF(H706="",0,IF(COUNTIF($H$2:H706,H706)=1,1,0))</f>
        <v>0</v>
      </c>
    </row>
    <row r="707" spans="1:10" ht="14.25" hidden="1" customHeight="1" x14ac:dyDescent="0.35">
      <c r="A707" s="30"/>
      <c r="E707" s="31"/>
      <c r="G707" s="32" t="str">
        <f t="shared" si="22"/>
        <v>|||1900|</v>
      </c>
      <c r="H707" s="32" t="str">
        <f t="shared" si="23"/>
        <v>||1900|</v>
      </c>
      <c r="I707" s="32">
        <f>IF(G707="",0,IF(COUNTIF($G$2:G707,G707)=1,1,0))</f>
        <v>0</v>
      </c>
      <c r="J707" s="32">
        <f>IF(H707="",0,IF(COUNTIF($H$2:H707,H707)=1,1,0))</f>
        <v>0</v>
      </c>
    </row>
    <row r="708" spans="1:10" ht="14.25" hidden="1" customHeight="1" x14ac:dyDescent="0.35">
      <c r="A708" s="30"/>
      <c r="E708" s="31"/>
      <c r="G708" s="32" t="str">
        <f t="shared" si="22"/>
        <v>|||1900|</v>
      </c>
      <c r="H708" s="32" t="str">
        <f t="shared" si="23"/>
        <v>||1900|</v>
      </c>
      <c r="I708" s="32">
        <f>IF(G708="",0,IF(COUNTIF($G$2:G708,G708)=1,1,0))</f>
        <v>0</v>
      </c>
      <c r="J708" s="32">
        <f>IF(H708="",0,IF(COUNTIF($H$2:H708,H708)=1,1,0))</f>
        <v>0</v>
      </c>
    </row>
    <row r="709" spans="1:10" ht="14.25" hidden="1" customHeight="1" x14ac:dyDescent="0.35">
      <c r="A709" s="30"/>
      <c r="E709" s="31"/>
      <c r="G709" s="32" t="str">
        <f t="shared" si="22"/>
        <v>|||1900|</v>
      </c>
      <c r="H709" s="32" t="str">
        <f t="shared" si="23"/>
        <v>||1900|</v>
      </c>
      <c r="I709" s="32">
        <f>IF(G709="",0,IF(COUNTIF($G$2:G709,G709)=1,1,0))</f>
        <v>0</v>
      </c>
      <c r="J709" s="32">
        <f>IF(H709="",0,IF(COUNTIF($H$2:H709,H709)=1,1,0))</f>
        <v>0</v>
      </c>
    </row>
    <row r="710" spans="1:10" ht="14.25" hidden="1" customHeight="1" x14ac:dyDescent="0.35">
      <c r="A710" s="30"/>
      <c r="E710" s="31"/>
      <c r="G710" s="32" t="str">
        <f t="shared" si="22"/>
        <v>|||1900|</v>
      </c>
      <c r="H710" s="32" t="str">
        <f t="shared" si="23"/>
        <v>||1900|</v>
      </c>
      <c r="I710" s="32">
        <f>IF(G710="",0,IF(COUNTIF($G$2:G710,G710)=1,1,0))</f>
        <v>0</v>
      </c>
      <c r="J710" s="32">
        <f>IF(H710="",0,IF(COUNTIF($H$2:H710,H710)=1,1,0))</f>
        <v>0</v>
      </c>
    </row>
    <row r="711" spans="1:10" ht="14.25" hidden="1" customHeight="1" x14ac:dyDescent="0.35">
      <c r="A711" s="30"/>
      <c r="E711" s="31"/>
      <c r="G711" s="32" t="str">
        <f t="shared" si="22"/>
        <v>|||1900|</v>
      </c>
      <c r="H711" s="32" t="str">
        <f t="shared" si="23"/>
        <v>||1900|</v>
      </c>
      <c r="I711" s="32">
        <f>IF(G711="",0,IF(COUNTIF($G$2:G711,G711)=1,1,0))</f>
        <v>0</v>
      </c>
      <c r="J711" s="32">
        <f>IF(H711="",0,IF(COUNTIF($H$2:H711,H711)=1,1,0))</f>
        <v>0</v>
      </c>
    </row>
    <row r="712" spans="1:10" ht="14.25" hidden="1" customHeight="1" x14ac:dyDescent="0.35">
      <c r="A712" s="30"/>
      <c r="E712" s="31"/>
      <c r="G712" s="32" t="str">
        <f t="shared" si="22"/>
        <v>|||1900|</v>
      </c>
      <c r="H712" s="32" t="str">
        <f t="shared" si="23"/>
        <v>||1900|</v>
      </c>
      <c r="I712" s="32">
        <f>IF(G712="",0,IF(COUNTIF($G$2:G712,G712)=1,1,0))</f>
        <v>0</v>
      </c>
      <c r="J712" s="32">
        <f>IF(H712="",0,IF(COUNTIF($H$2:H712,H712)=1,1,0))</f>
        <v>0</v>
      </c>
    </row>
    <row r="713" spans="1:10" ht="14.25" hidden="1" customHeight="1" x14ac:dyDescent="0.35">
      <c r="A713" s="30"/>
      <c r="E713" s="31"/>
      <c r="G713" s="32" t="str">
        <f t="shared" si="22"/>
        <v>|||1900|</v>
      </c>
      <c r="H713" s="32" t="str">
        <f t="shared" si="23"/>
        <v>||1900|</v>
      </c>
      <c r="I713" s="32">
        <f>IF(G713="",0,IF(COUNTIF($G$2:G713,G713)=1,1,0))</f>
        <v>0</v>
      </c>
      <c r="J713" s="32">
        <f>IF(H713="",0,IF(COUNTIF($H$2:H713,H713)=1,1,0))</f>
        <v>0</v>
      </c>
    </row>
    <row r="714" spans="1:10" ht="14.25" hidden="1" customHeight="1" x14ac:dyDescent="0.35">
      <c r="A714" s="30"/>
      <c r="E714" s="31"/>
      <c r="G714" s="32" t="str">
        <f t="shared" si="22"/>
        <v>|||1900|</v>
      </c>
      <c r="H714" s="32" t="str">
        <f t="shared" si="23"/>
        <v>||1900|</v>
      </c>
      <c r="I714" s="32">
        <f>IF(G714="",0,IF(COUNTIF($G$2:G714,G714)=1,1,0))</f>
        <v>0</v>
      </c>
      <c r="J714" s="32">
        <f>IF(H714="",0,IF(COUNTIF($H$2:H714,H714)=1,1,0))</f>
        <v>0</v>
      </c>
    </row>
    <row r="715" spans="1:10" ht="14.25" hidden="1" customHeight="1" x14ac:dyDescent="0.35">
      <c r="A715" s="30"/>
      <c r="E715" s="31"/>
      <c r="G715" s="32" t="str">
        <f t="shared" si="22"/>
        <v>|||1900|</v>
      </c>
      <c r="H715" s="32" t="str">
        <f t="shared" si="23"/>
        <v>||1900|</v>
      </c>
      <c r="I715" s="32">
        <f>IF(G715="",0,IF(COUNTIF($G$2:G715,G715)=1,1,0))</f>
        <v>0</v>
      </c>
      <c r="J715" s="32">
        <f>IF(H715="",0,IF(COUNTIF($H$2:H715,H715)=1,1,0))</f>
        <v>0</v>
      </c>
    </row>
    <row r="716" spans="1:10" ht="14.25" hidden="1" customHeight="1" x14ac:dyDescent="0.35">
      <c r="A716" s="30"/>
      <c r="E716" s="31"/>
      <c r="G716" s="32" t="str">
        <f t="shared" si="22"/>
        <v>|||1900|</v>
      </c>
      <c r="H716" s="32" t="str">
        <f t="shared" si="23"/>
        <v>||1900|</v>
      </c>
      <c r="I716" s="32">
        <f>IF(G716="",0,IF(COUNTIF($G$2:G716,G716)=1,1,0))</f>
        <v>0</v>
      </c>
      <c r="J716" s="32">
        <f>IF(H716="",0,IF(COUNTIF($H$2:H716,H716)=1,1,0))</f>
        <v>0</v>
      </c>
    </row>
    <row r="717" spans="1:10" ht="14.25" hidden="1" customHeight="1" x14ac:dyDescent="0.35">
      <c r="A717" s="30"/>
      <c r="E717" s="31"/>
      <c r="G717" s="32" t="str">
        <f t="shared" si="22"/>
        <v>|||1900|</v>
      </c>
      <c r="H717" s="32" t="str">
        <f t="shared" si="23"/>
        <v>||1900|</v>
      </c>
      <c r="I717" s="32">
        <f>IF(G717="",0,IF(COUNTIF($G$2:G717,G717)=1,1,0))</f>
        <v>0</v>
      </c>
      <c r="J717" s="32">
        <f>IF(H717="",0,IF(COUNTIF($H$2:H717,H717)=1,1,0))</f>
        <v>0</v>
      </c>
    </row>
    <row r="718" spans="1:10" ht="14.25" hidden="1" customHeight="1" x14ac:dyDescent="0.35">
      <c r="A718" s="30"/>
      <c r="E718" s="31"/>
      <c r="G718" s="32" t="str">
        <f t="shared" si="22"/>
        <v>|||1900|</v>
      </c>
      <c r="H718" s="32" t="str">
        <f t="shared" si="23"/>
        <v>||1900|</v>
      </c>
      <c r="I718" s="32">
        <f>IF(G718="",0,IF(COUNTIF($G$2:G718,G718)=1,1,0))</f>
        <v>0</v>
      </c>
      <c r="J718" s="32">
        <f>IF(H718="",0,IF(COUNTIF($H$2:H718,H718)=1,1,0))</f>
        <v>0</v>
      </c>
    </row>
    <row r="719" spans="1:10" ht="14.25" hidden="1" customHeight="1" x14ac:dyDescent="0.35">
      <c r="A719" s="30"/>
      <c r="E719" s="31"/>
      <c r="G719" s="32" t="str">
        <f t="shared" si="22"/>
        <v>|||1900|</v>
      </c>
      <c r="H719" s="32" t="str">
        <f t="shared" si="23"/>
        <v>||1900|</v>
      </c>
      <c r="I719" s="32">
        <f>IF(G719="",0,IF(COUNTIF($G$2:G719,G719)=1,1,0))</f>
        <v>0</v>
      </c>
      <c r="J719" s="32">
        <f>IF(H719="",0,IF(COUNTIF($H$2:H719,H719)=1,1,0))</f>
        <v>0</v>
      </c>
    </row>
    <row r="720" spans="1:10" ht="14.25" hidden="1" customHeight="1" x14ac:dyDescent="0.35">
      <c r="A720" s="30"/>
      <c r="E720" s="31"/>
      <c r="G720" s="32" t="str">
        <f t="shared" si="22"/>
        <v>|||1900|</v>
      </c>
      <c r="H720" s="32" t="str">
        <f t="shared" si="23"/>
        <v>||1900|</v>
      </c>
      <c r="I720" s="32">
        <f>IF(G720="",0,IF(COUNTIF($G$2:G720,G720)=1,1,0))</f>
        <v>0</v>
      </c>
      <c r="J720" s="32">
        <f>IF(H720="",0,IF(COUNTIF($H$2:H720,H720)=1,1,0))</f>
        <v>0</v>
      </c>
    </row>
    <row r="721" spans="1:10" ht="14.25" hidden="1" customHeight="1" x14ac:dyDescent="0.35">
      <c r="A721" s="30"/>
      <c r="E721" s="31"/>
      <c r="G721" s="32" t="str">
        <f t="shared" si="22"/>
        <v>|||1900|</v>
      </c>
      <c r="H721" s="32" t="str">
        <f t="shared" si="23"/>
        <v>||1900|</v>
      </c>
      <c r="I721" s="32">
        <f>IF(G721="",0,IF(COUNTIF($G$2:G721,G721)=1,1,0))</f>
        <v>0</v>
      </c>
      <c r="J721" s="32">
        <f>IF(H721="",0,IF(COUNTIF($H$2:H721,H721)=1,1,0))</f>
        <v>0</v>
      </c>
    </row>
    <row r="722" spans="1:10" ht="14.25" hidden="1" customHeight="1" x14ac:dyDescent="0.35">
      <c r="A722" s="30"/>
      <c r="E722" s="31"/>
      <c r="G722" s="32" t="str">
        <f t="shared" si="22"/>
        <v>|||1900|</v>
      </c>
      <c r="H722" s="32" t="str">
        <f t="shared" si="23"/>
        <v>||1900|</v>
      </c>
      <c r="I722" s="32">
        <f>IF(G722="",0,IF(COUNTIF($G$2:G722,G722)=1,1,0))</f>
        <v>0</v>
      </c>
      <c r="J722" s="32">
        <f>IF(H722="",0,IF(COUNTIF($H$2:H722,H722)=1,1,0))</f>
        <v>0</v>
      </c>
    </row>
    <row r="723" spans="1:10" ht="14.25" hidden="1" customHeight="1" x14ac:dyDescent="0.35">
      <c r="A723" s="30"/>
      <c r="E723" s="31"/>
      <c r="G723" s="32" t="str">
        <f t="shared" si="22"/>
        <v>|||1900|</v>
      </c>
      <c r="H723" s="32" t="str">
        <f t="shared" si="23"/>
        <v>||1900|</v>
      </c>
      <c r="I723" s="32">
        <f>IF(G723="",0,IF(COUNTIF($G$2:G723,G723)=1,1,0))</f>
        <v>0</v>
      </c>
      <c r="J723" s="32">
        <f>IF(H723="",0,IF(COUNTIF($H$2:H723,H723)=1,1,0))</f>
        <v>0</v>
      </c>
    </row>
    <row r="724" spans="1:10" ht="14.25" hidden="1" customHeight="1" x14ac:dyDescent="0.35">
      <c r="A724" s="30"/>
      <c r="E724" s="31"/>
      <c r="G724" s="32" t="str">
        <f t="shared" si="22"/>
        <v>|||1900|</v>
      </c>
      <c r="H724" s="32" t="str">
        <f t="shared" si="23"/>
        <v>||1900|</v>
      </c>
      <c r="I724" s="32">
        <f>IF(G724="",0,IF(COUNTIF($G$2:G724,G724)=1,1,0))</f>
        <v>0</v>
      </c>
      <c r="J724" s="32">
        <f>IF(H724="",0,IF(COUNTIF($H$2:H724,H724)=1,1,0))</f>
        <v>0</v>
      </c>
    </row>
    <row r="725" spans="1:10" ht="14.25" hidden="1" customHeight="1" x14ac:dyDescent="0.35">
      <c r="A725" s="30"/>
      <c r="E725" s="31"/>
      <c r="G725" s="32" t="str">
        <f t="shared" si="22"/>
        <v>|||1900|</v>
      </c>
      <c r="H725" s="32" t="str">
        <f t="shared" si="23"/>
        <v>||1900|</v>
      </c>
      <c r="I725" s="32">
        <f>IF(G725="",0,IF(COUNTIF($G$2:G725,G725)=1,1,0))</f>
        <v>0</v>
      </c>
      <c r="J725" s="32">
        <f>IF(H725="",0,IF(COUNTIF($H$2:H725,H725)=1,1,0))</f>
        <v>0</v>
      </c>
    </row>
    <row r="726" spans="1:10" ht="14.25" hidden="1" customHeight="1" x14ac:dyDescent="0.35">
      <c r="A726" s="30"/>
      <c r="E726" s="31"/>
      <c r="G726" s="32" t="str">
        <f t="shared" si="22"/>
        <v>|||1900|</v>
      </c>
      <c r="H726" s="32" t="str">
        <f t="shared" si="23"/>
        <v>||1900|</v>
      </c>
      <c r="I726" s="32">
        <f>IF(G726="",0,IF(COUNTIF($G$2:G726,G726)=1,1,0))</f>
        <v>0</v>
      </c>
      <c r="J726" s="32">
        <f>IF(H726="",0,IF(COUNTIF($H$2:H726,H726)=1,1,0))</f>
        <v>0</v>
      </c>
    </row>
    <row r="727" spans="1:10" ht="14.25" hidden="1" customHeight="1" x14ac:dyDescent="0.35">
      <c r="A727" s="30"/>
      <c r="E727" s="31"/>
      <c r="G727" s="32" t="str">
        <f t="shared" si="22"/>
        <v>|||1900|</v>
      </c>
      <c r="H727" s="32" t="str">
        <f t="shared" si="23"/>
        <v>||1900|</v>
      </c>
      <c r="I727" s="32">
        <f>IF(G727="",0,IF(COUNTIF($G$2:G727,G727)=1,1,0))</f>
        <v>0</v>
      </c>
      <c r="J727" s="32">
        <f>IF(H727="",0,IF(COUNTIF($H$2:H727,H727)=1,1,0))</f>
        <v>0</v>
      </c>
    </row>
    <row r="728" spans="1:10" ht="14.25" hidden="1" customHeight="1" x14ac:dyDescent="0.35">
      <c r="A728" s="30"/>
      <c r="E728" s="31"/>
      <c r="G728" s="32" t="str">
        <f t="shared" si="22"/>
        <v>|||1900|</v>
      </c>
      <c r="H728" s="32" t="str">
        <f t="shared" si="23"/>
        <v>||1900|</v>
      </c>
      <c r="I728" s="32">
        <f>IF(G728="",0,IF(COUNTIF($G$2:G728,G728)=1,1,0))</f>
        <v>0</v>
      </c>
      <c r="J728" s="32">
        <f>IF(H728="",0,IF(COUNTIF($H$2:H728,H728)=1,1,0))</f>
        <v>0</v>
      </c>
    </row>
    <row r="729" spans="1:10" ht="14.25" hidden="1" customHeight="1" x14ac:dyDescent="0.35">
      <c r="A729" s="30"/>
      <c r="E729" s="31"/>
      <c r="G729" s="32" t="str">
        <f t="shared" si="22"/>
        <v>|||1900|</v>
      </c>
      <c r="H729" s="32" t="str">
        <f t="shared" si="23"/>
        <v>||1900|</v>
      </c>
      <c r="I729" s="32">
        <f>IF(G729="",0,IF(COUNTIF($G$2:G729,G729)=1,1,0))</f>
        <v>0</v>
      </c>
      <c r="J729" s="32">
        <f>IF(H729="",0,IF(COUNTIF($H$2:H729,H729)=1,1,0))</f>
        <v>0</v>
      </c>
    </row>
    <row r="730" spans="1:10" ht="14.25" hidden="1" customHeight="1" x14ac:dyDescent="0.35">
      <c r="A730" s="30"/>
      <c r="E730" s="31"/>
      <c r="G730" s="32" t="str">
        <f t="shared" si="22"/>
        <v>|||1900|</v>
      </c>
      <c r="H730" s="32" t="str">
        <f t="shared" si="23"/>
        <v>||1900|</v>
      </c>
      <c r="I730" s="32">
        <f>IF(G730="",0,IF(COUNTIF($G$2:G730,G730)=1,1,0))</f>
        <v>0</v>
      </c>
      <c r="J730" s="32">
        <f>IF(H730="",0,IF(COUNTIF($H$2:H730,H730)=1,1,0))</f>
        <v>0</v>
      </c>
    </row>
    <row r="731" spans="1:10" ht="14.25" hidden="1" customHeight="1" x14ac:dyDescent="0.35">
      <c r="A731" s="30"/>
      <c r="E731" s="31"/>
      <c r="G731" s="32" t="str">
        <f t="shared" si="22"/>
        <v>|||1900|</v>
      </c>
      <c r="H731" s="32" t="str">
        <f t="shared" si="23"/>
        <v>||1900|</v>
      </c>
      <c r="I731" s="32">
        <f>IF(G731="",0,IF(COUNTIF($G$2:G731,G731)=1,1,0))</f>
        <v>0</v>
      </c>
      <c r="J731" s="32">
        <f>IF(H731="",0,IF(COUNTIF($H$2:H731,H731)=1,1,0))</f>
        <v>0</v>
      </c>
    </row>
    <row r="732" spans="1:10" ht="14.25" hidden="1" customHeight="1" x14ac:dyDescent="0.35">
      <c r="A732" s="30"/>
      <c r="E732" s="31"/>
      <c r="G732" s="32" t="str">
        <f t="shared" si="22"/>
        <v>|||1900|</v>
      </c>
      <c r="H732" s="32" t="str">
        <f t="shared" si="23"/>
        <v>||1900|</v>
      </c>
      <c r="I732" s="32">
        <f>IF(G732="",0,IF(COUNTIF($G$2:G732,G732)=1,1,0))</f>
        <v>0</v>
      </c>
      <c r="J732" s="32">
        <f>IF(H732="",0,IF(COUNTIF($H$2:H732,H732)=1,1,0))</f>
        <v>0</v>
      </c>
    </row>
    <row r="733" spans="1:10" ht="14.25" hidden="1" customHeight="1" x14ac:dyDescent="0.35">
      <c r="A733" s="30"/>
      <c r="E733" s="31"/>
      <c r="G733" s="32" t="str">
        <f t="shared" si="22"/>
        <v>|||1900|</v>
      </c>
      <c r="H733" s="32" t="str">
        <f t="shared" si="23"/>
        <v>||1900|</v>
      </c>
      <c r="I733" s="32">
        <f>IF(G733="",0,IF(COUNTIF($G$2:G733,G733)=1,1,0))</f>
        <v>0</v>
      </c>
      <c r="J733" s="32">
        <f>IF(H733="",0,IF(COUNTIF($H$2:H733,H733)=1,1,0))</f>
        <v>0</v>
      </c>
    </row>
    <row r="734" spans="1:10" ht="14.25" hidden="1" customHeight="1" x14ac:dyDescent="0.35">
      <c r="A734" s="30"/>
      <c r="E734" s="31"/>
      <c r="G734" s="32" t="str">
        <f t="shared" si="22"/>
        <v>|||1900|</v>
      </c>
      <c r="H734" s="32" t="str">
        <f t="shared" si="23"/>
        <v>||1900|</v>
      </c>
      <c r="I734" s="32">
        <f>IF(G734="",0,IF(COUNTIF($G$2:G734,G734)=1,1,0))</f>
        <v>0</v>
      </c>
      <c r="J734" s="32">
        <f>IF(H734="",0,IF(COUNTIF($H$2:H734,H734)=1,1,0))</f>
        <v>0</v>
      </c>
    </row>
    <row r="735" spans="1:10" ht="14.25" hidden="1" customHeight="1" x14ac:dyDescent="0.35">
      <c r="A735" s="30"/>
      <c r="E735" s="31"/>
      <c r="G735" s="32" t="str">
        <f t="shared" si="22"/>
        <v>|||1900|</v>
      </c>
      <c r="H735" s="32" t="str">
        <f t="shared" si="23"/>
        <v>||1900|</v>
      </c>
      <c r="I735" s="32">
        <f>IF(G735="",0,IF(COUNTIF($G$2:G735,G735)=1,1,0))</f>
        <v>0</v>
      </c>
      <c r="J735" s="32">
        <f>IF(H735="",0,IF(COUNTIF($H$2:H735,H735)=1,1,0))</f>
        <v>0</v>
      </c>
    </row>
    <row r="736" spans="1:10" ht="14.25" hidden="1" customHeight="1" x14ac:dyDescent="0.35">
      <c r="A736" s="30"/>
      <c r="E736" s="31"/>
      <c r="G736" s="32" t="str">
        <f t="shared" si="22"/>
        <v>|||1900|</v>
      </c>
      <c r="H736" s="32" t="str">
        <f t="shared" si="23"/>
        <v>||1900|</v>
      </c>
      <c r="I736" s="32">
        <f>IF(G736="",0,IF(COUNTIF($G$2:G736,G736)=1,1,0))</f>
        <v>0</v>
      </c>
      <c r="J736" s="32">
        <f>IF(H736="",0,IF(COUNTIF($H$2:H736,H736)=1,1,0))</f>
        <v>0</v>
      </c>
    </row>
    <row r="737" spans="1:10" ht="14.25" hidden="1" customHeight="1" x14ac:dyDescent="0.35">
      <c r="A737" s="30"/>
      <c r="E737" s="31"/>
      <c r="G737" s="32" t="str">
        <f t="shared" si="22"/>
        <v>|||1900|</v>
      </c>
      <c r="H737" s="32" t="str">
        <f t="shared" si="23"/>
        <v>||1900|</v>
      </c>
      <c r="I737" s="32">
        <f>IF(G737="",0,IF(COUNTIF($G$2:G737,G737)=1,1,0))</f>
        <v>0</v>
      </c>
      <c r="J737" s="32">
        <f>IF(H737="",0,IF(COUNTIF($H$2:H737,H737)=1,1,0))</f>
        <v>0</v>
      </c>
    </row>
    <row r="738" spans="1:10" ht="14.25" hidden="1" customHeight="1" x14ac:dyDescent="0.35">
      <c r="A738" s="30"/>
      <c r="E738" s="31"/>
      <c r="G738" s="32" t="str">
        <f t="shared" si="22"/>
        <v>|||1900|</v>
      </c>
      <c r="H738" s="32" t="str">
        <f t="shared" si="23"/>
        <v>||1900|</v>
      </c>
      <c r="I738" s="32">
        <f>IF(G738="",0,IF(COUNTIF($G$2:G738,G738)=1,1,0))</f>
        <v>0</v>
      </c>
      <c r="J738" s="32">
        <f>IF(H738="",0,IF(COUNTIF($H$2:H738,H738)=1,1,0))</f>
        <v>0</v>
      </c>
    </row>
    <row r="739" spans="1:10" ht="14.25" hidden="1" customHeight="1" x14ac:dyDescent="0.35">
      <c r="A739" s="30"/>
      <c r="E739" s="31"/>
      <c r="G739" s="32" t="str">
        <f t="shared" si="22"/>
        <v>|||1900|</v>
      </c>
      <c r="H739" s="32" t="str">
        <f t="shared" si="23"/>
        <v>||1900|</v>
      </c>
      <c r="I739" s="32">
        <f>IF(G739="",0,IF(COUNTIF($G$2:G739,G739)=1,1,0))</f>
        <v>0</v>
      </c>
      <c r="J739" s="32">
        <f>IF(H739="",0,IF(COUNTIF($H$2:H739,H739)=1,1,0))</f>
        <v>0</v>
      </c>
    </row>
    <row r="740" spans="1:10" ht="14.25" hidden="1" customHeight="1" x14ac:dyDescent="0.35">
      <c r="A740" s="30"/>
      <c r="E740" s="31"/>
      <c r="G740" s="32" t="str">
        <f t="shared" si="22"/>
        <v>|||1900|</v>
      </c>
      <c r="H740" s="32" t="str">
        <f t="shared" si="23"/>
        <v>||1900|</v>
      </c>
      <c r="I740" s="32">
        <f>IF(G740="",0,IF(COUNTIF($G$2:G740,G740)=1,1,0))</f>
        <v>0</v>
      </c>
      <c r="J740" s="32">
        <f>IF(H740="",0,IF(COUNTIF($H$2:H740,H740)=1,1,0))</f>
        <v>0</v>
      </c>
    </row>
    <row r="741" spans="1:10" ht="14.25" hidden="1" customHeight="1" x14ac:dyDescent="0.35">
      <c r="A741" s="30"/>
      <c r="E741" s="31"/>
      <c r="G741" s="32" t="str">
        <f t="shared" si="22"/>
        <v>|||1900|</v>
      </c>
      <c r="H741" s="32" t="str">
        <f t="shared" si="23"/>
        <v>||1900|</v>
      </c>
      <c r="I741" s="32">
        <f>IF(G741="",0,IF(COUNTIF($G$2:G741,G741)=1,1,0))</f>
        <v>0</v>
      </c>
      <c r="J741" s="32">
        <f>IF(H741="",0,IF(COUNTIF($H$2:H741,H741)=1,1,0))</f>
        <v>0</v>
      </c>
    </row>
    <row r="742" spans="1:10" ht="14.25" hidden="1" customHeight="1" x14ac:dyDescent="0.35">
      <c r="A742" s="30"/>
      <c r="E742" s="31"/>
      <c r="G742" s="32" t="str">
        <f t="shared" si="22"/>
        <v>|||1900|</v>
      </c>
      <c r="H742" s="32" t="str">
        <f t="shared" si="23"/>
        <v>||1900|</v>
      </c>
      <c r="I742" s="32">
        <f>IF(G742="",0,IF(COUNTIF($G$2:G742,G742)=1,1,0))</f>
        <v>0</v>
      </c>
      <c r="J742" s="32">
        <f>IF(H742="",0,IF(COUNTIF($H$2:H742,H742)=1,1,0))</f>
        <v>0</v>
      </c>
    </row>
    <row r="743" spans="1:10" ht="14.25" hidden="1" customHeight="1" x14ac:dyDescent="0.35">
      <c r="A743" s="30"/>
      <c r="E743" s="31"/>
      <c r="G743" s="32" t="str">
        <f t="shared" si="22"/>
        <v>|||1900|</v>
      </c>
      <c r="H743" s="32" t="str">
        <f t="shared" si="23"/>
        <v>||1900|</v>
      </c>
      <c r="I743" s="32">
        <f>IF(G743="",0,IF(COUNTIF($G$2:G743,G743)=1,1,0))</f>
        <v>0</v>
      </c>
      <c r="J743" s="32">
        <f>IF(H743="",0,IF(COUNTIF($H$2:H743,H743)=1,1,0))</f>
        <v>0</v>
      </c>
    </row>
    <row r="744" spans="1:10" ht="14.25" hidden="1" customHeight="1" x14ac:dyDescent="0.35">
      <c r="A744" s="30"/>
      <c r="E744" s="31"/>
      <c r="G744" s="32" t="str">
        <f t="shared" si="22"/>
        <v>|||1900|</v>
      </c>
      <c r="H744" s="32" t="str">
        <f t="shared" si="23"/>
        <v>||1900|</v>
      </c>
      <c r="I744" s="32">
        <f>IF(G744="",0,IF(COUNTIF($G$2:G744,G744)=1,1,0))</f>
        <v>0</v>
      </c>
      <c r="J744" s="32">
        <f>IF(H744="",0,IF(COUNTIF($H$2:H744,H744)=1,1,0))</f>
        <v>0</v>
      </c>
    </row>
    <row r="745" spans="1:10" ht="14.25" hidden="1" customHeight="1" x14ac:dyDescent="0.35">
      <c r="A745" s="30"/>
      <c r="E745" s="31"/>
      <c r="G745" s="32" t="str">
        <f t="shared" si="22"/>
        <v>|||1900|</v>
      </c>
      <c r="H745" s="32" t="str">
        <f t="shared" si="23"/>
        <v>||1900|</v>
      </c>
      <c r="I745" s="32">
        <f>IF(G745="",0,IF(COUNTIF($G$2:G745,G745)=1,1,0))</f>
        <v>0</v>
      </c>
      <c r="J745" s="32">
        <f>IF(H745="",0,IF(COUNTIF($H$2:H745,H745)=1,1,0))</f>
        <v>0</v>
      </c>
    </row>
    <row r="746" spans="1:10" ht="14.25" hidden="1" customHeight="1" x14ac:dyDescent="0.35">
      <c r="A746" s="30"/>
      <c r="E746" s="31"/>
      <c r="G746" s="32" t="str">
        <f t="shared" si="22"/>
        <v>|||1900|</v>
      </c>
      <c r="H746" s="32" t="str">
        <f t="shared" si="23"/>
        <v>||1900|</v>
      </c>
      <c r="I746" s="32">
        <f>IF(G746="",0,IF(COUNTIF($G$2:G746,G746)=1,1,0))</f>
        <v>0</v>
      </c>
      <c r="J746" s="32">
        <f>IF(H746="",0,IF(COUNTIF($H$2:H746,H746)=1,1,0))</f>
        <v>0</v>
      </c>
    </row>
    <row r="747" spans="1:10" ht="14.25" hidden="1" customHeight="1" x14ac:dyDescent="0.35">
      <c r="A747" s="30"/>
      <c r="E747" s="31"/>
      <c r="G747" s="32" t="str">
        <f t="shared" si="22"/>
        <v>|||1900|</v>
      </c>
      <c r="H747" s="32" t="str">
        <f t="shared" si="23"/>
        <v>||1900|</v>
      </c>
      <c r="I747" s="32">
        <f>IF(G747="",0,IF(COUNTIF($G$2:G747,G747)=1,1,0))</f>
        <v>0</v>
      </c>
      <c r="J747" s="32">
        <f>IF(H747="",0,IF(COUNTIF($H$2:H747,H747)=1,1,0))</f>
        <v>0</v>
      </c>
    </row>
    <row r="748" spans="1:10" ht="14.25" hidden="1" customHeight="1" x14ac:dyDescent="0.35">
      <c r="A748" s="30"/>
      <c r="E748" s="31"/>
      <c r="G748" s="32" t="str">
        <f t="shared" si="22"/>
        <v>|||1900|</v>
      </c>
      <c r="H748" s="32" t="str">
        <f t="shared" si="23"/>
        <v>||1900|</v>
      </c>
      <c r="I748" s="32">
        <f>IF(G748="",0,IF(COUNTIF($G$2:G748,G748)=1,1,0))</f>
        <v>0</v>
      </c>
      <c r="J748" s="32">
        <f>IF(H748="",0,IF(COUNTIF($H$2:H748,H748)=1,1,0))</f>
        <v>0</v>
      </c>
    </row>
    <row r="749" spans="1:10" ht="14.25" hidden="1" customHeight="1" x14ac:dyDescent="0.35">
      <c r="A749" s="30"/>
      <c r="E749" s="31"/>
      <c r="G749" s="32" t="str">
        <f t="shared" si="22"/>
        <v>|||1900|</v>
      </c>
      <c r="H749" s="32" t="str">
        <f t="shared" si="23"/>
        <v>||1900|</v>
      </c>
      <c r="I749" s="32">
        <f>IF(G749="",0,IF(COUNTIF($G$2:G749,G749)=1,1,0))</f>
        <v>0</v>
      </c>
      <c r="J749" s="32">
        <f>IF(H749="",0,IF(COUNTIF($H$2:H749,H749)=1,1,0))</f>
        <v>0</v>
      </c>
    </row>
    <row r="750" spans="1:10" ht="14.25" hidden="1" customHeight="1" x14ac:dyDescent="0.35">
      <c r="A750" s="30"/>
      <c r="E750" s="31"/>
      <c r="G750" s="32" t="str">
        <f t="shared" si="22"/>
        <v>|||1900|</v>
      </c>
      <c r="H750" s="32" t="str">
        <f t="shared" si="23"/>
        <v>||1900|</v>
      </c>
      <c r="I750" s="32">
        <f>IF(G750="",0,IF(COUNTIF($G$2:G750,G750)=1,1,0))</f>
        <v>0</v>
      </c>
      <c r="J750" s="32">
        <f>IF(H750="",0,IF(COUNTIF($H$2:H750,H750)=1,1,0))</f>
        <v>0</v>
      </c>
    </row>
    <row r="751" spans="1:10" ht="14.25" hidden="1" customHeight="1" x14ac:dyDescent="0.35">
      <c r="A751" s="30"/>
      <c r="E751" s="31"/>
      <c r="G751" s="32" t="str">
        <f t="shared" si="22"/>
        <v>|||1900|</v>
      </c>
      <c r="H751" s="32" t="str">
        <f t="shared" si="23"/>
        <v>||1900|</v>
      </c>
      <c r="I751" s="32">
        <f>IF(G751="",0,IF(COUNTIF($G$2:G751,G751)=1,1,0))</f>
        <v>0</v>
      </c>
      <c r="J751" s="32">
        <f>IF(H751="",0,IF(COUNTIF($H$2:H751,H751)=1,1,0))</f>
        <v>0</v>
      </c>
    </row>
    <row r="752" spans="1:10" ht="14.25" hidden="1" customHeight="1" x14ac:dyDescent="0.35">
      <c r="A752" s="30"/>
      <c r="E752" s="31"/>
      <c r="G752" s="32" t="str">
        <f t="shared" si="22"/>
        <v>|||1900|</v>
      </c>
      <c r="H752" s="32" t="str">
        <f t="shared" si="23"/>
        <v>||1900|</v>
      </c>
      <c r="I752" s="32">
        <f>IF(G752="",0,IF(COUNTIF($G$2:G752,G752)=1,1,0))</f>
        <v>0</v>
      </c>
      <c r="J752" s="32">
        <f>IF(H752="",0,IF(COUNTIF($H$2:H752,H752)=1,1,0))</f>
        <v>0</v>
      </c>
    </row>
    <row r="753" spans="1:10" ht="14.25" hidden="1" customHeight="1" x14ac:dyDescent="0.35">
      <c r="A753" s="30"/>
      <c r="E753" s="31"/>
      <c r="G753" s="32" t="str">
        <f t="shared" si="22"/>
        <v>|||1900|</v>
      </c>
      <c r="H753" s="32" t="str">
        <f t="shared" si="23"/>
        <v>||1900|</v>
      </c>
      <c r="I753" s="32">
        <f>IF(G753="",0,IF(COUNTIF($G$2:G753,G753)=1,1,0))</f>
        <v>0</v>
      </c>
      <c r="J753" s="32">
        <f>IF(H753="",0,IF(COUNTIF($H$2:H753,H753)=1,1,0))</f>
        <v>0</v>
      </c>
    </row>
    <row r="754" spans="1:10" ht="14.25" hidden="1" customHeight="1" x14ac:dyDescent="0.35">
      <c r="A754" s="30"/>
      <c r="E754" s="31"/>
      <c r="G754" s="32" t="str">
        <f t="shared" si="22"/>
        <v>|||1900|</v>
      </c>
      <c r="H754" s="32" t="str">
        <f t="shared" si="23"/>
        <v>||1900|</v>
      </c>
      <c r="I754" s="32">
        <f>IF(G754="",0,IF(COUNTIF($G$2:G754,G754)=1,1,0))</f>
        <v>0</v>
      </c>
      <c r="J754" s="32">
        <f>IF(H754="",0,IF(COUNTIF($H$2:H754,H754)=1,1,0))</f>
        <v>0</v>
      </c>
    </row>
    <row r="755" spans="1:10" ht="14.25" hidden="1" customHeight="1" x14ac:dyDescent="0.35">
      <c r="A755" s="30"/>
      <c r="E755" s="31"/>
      <c r="G755" s="32" t="str">
        <f t="shared" si="22"/>
        <v>|||1900|</v>
      </c>
      <c r="H755" s="32" t="str">
        <f t="shared" si="23"/>
        <v>||1900|</v>
      </c>
      <c r="I755" s="32">
        <f>IF(G755="",0,IF(COUNTIF($G$2:G755,G755)=1,1,0))</f>
        <v>0</v>
      </c>
      <c r="J755" s="32">
        <f>IF(H755="",0,IF(COUNTIF($H$2:H755,H755)=1,1,0))</f>
        <v>0</v>
      </c>
    </row>
    <row r="756" spans="1:10" ht="14.25" hidden="1" customHeight="1" x14ac:dyDescent="0.35">
      <c r="A756" s="30"/>
      <c r="E756" s="31"/>
      <c r="G756" s="32" t="str">
        <f t="shared" si="22"/>
        <v>|||1900|</v>
      </c>
      <c r="H756" s="32" t="str">
        <f t="shared" si="23"/>
        <v>||1900|</v>
      </c>
      <c r="I756" s="32">
        <f>IF(G756="",0,IF(COUNTIF($G$2:G756,G756)=1,1,0))</f>
        <v>0</v>
      </c>
      <c r="J756" s="32">
        <f>IF(H756="",0,IF(COUNTIF($H$2:H756,H756)=1,1,0))</f>
        <v>0</v>
      </c>
    </row>
    <row r="757" spans="1:10" ht="14.25" hidden="1" customHeight="1" x14ac:dyDescent="0.35">
      <c r="A757" s="30"/>
      <c r="E757" s="31"/>
      <c r="G757" s="32" t="str">
        <f t="shared" si="22"/>
        <v>|||1900|</v>
      </c>
      <c r="H757" s="32" t="str">
        <f t="shared" si="23"/>
        <v>||1900|</v>
      </c>
      <c r="I757" s="32">
        <f>IF(G757="",0,IF(COUNTIF($G$2:G757,G757)=1,1,0))</f>
        <v>0</v>
      </c>
      <c r="J757" s="32">
        <f>IF(H757="",0,IF(COUNTIF($H$2:H757,H757)=1,1,0))</f>
        <v>0</v>
      </c>
    </row>
    <row r="758" spans="1:10" ht="14.25" hidden="1" customHeight="1" x14ac:dyDescent="0.35">
      <c r="A758" s="30"/>
      <c r="E758" s="31"/>
      <c r="G758" s="32" t="str">
        <f t="shared" si="22"/>
        <v>|||1900|</v>
      </c>
      <c r="H758" s="32" t="str">
        <f t="shared" si="23"/>
        <v>||1900|</v>
      </c>
      <c r="I758" s="32">
        <f>IF(G758="",0,IF(COUNTIF($G$2:G758,G758)=1,1,0))</f>
        <v>0</v>
      </c>
      <c r="J758" s="32">
        <f>IF(H758="",0,IF(COUNTIF($H$2:H758,H758)=1,1,0))</f>
        <v>0</v>
      </c>
    </row>
    <row r="759" spans="1:10" ht="14.25" hidden="1" customHeight="1" x14ac:dyDescent="0.35">
      <c r="A759" s="30"/>
      <c r="E759" s="31"/>
      <c r="G759" s="32" t="str">
        <f t="shared" si="22"/>
        <v>|||1900|</v>
      </c>
      <c r="H759" s="32" t="str">
        <f t="shared" si="23"/>
        <v>||1900|</v>
      </c>
      <c r="I759" s="32">
        <f>IF(G759="",0,IF(COUNTIF($G$2:G759,G759)=1,1,0))</f>
        <v>0</v>
      </c>
      <c r="J759" s="32">
        <f>IF(H759="",0,IF(COUNTIF($H$2:H759,H759)=1,1,0))</f>
        <v>0</v>
      </c>
    </row>
    <row r="760" spans="1:10" ht="14.25" hidden="1" customHeight="1" x14ac:dyDescent="0.35">
      <c r="A760" s="30"/>
      <c r="E760" s="31"/>
      <c r="G760" s="32" t="str">
        <f t="shared" si="22"/>
        <v>|||1900|</v>
      </c>
      <c r="H760" s="32" t="str">
        <f t="shared" si="23"/>
        <v>||1900|</v>
      </c>
      <c r="I760" s="32">
        <f>IF(G760="",0,IF(COUNTIF($G$2:G760,G760)=1,1,0))</f>
        <v>0</v>
      </c>
      <c r="J760" s="32">
        <f>IF(H760="",0,IF(COUNTIF($H$2:H760,H760)=1,1,0))</f>
        <v>0</v>
      </c>
    </row>
    <row r="761" spans="1:10" ht="14.25" hidden="1" customHeight="1" x14ac:dyDescent="0.35">
      <c r="A761" s="30"/>
      <c r="E761" s="31"/>
      <c r="G761" s="32" t="str">
        <f t="shared" si="22"/>
        <v>|||1900|</v>
      </c>
      <c r="H761" s="32" t="str">
        <f t="shared" si="23"/>
        <v>||1900|</v>
      </c>
      <c r="I761" s="32">
        <f>IF(G761="",0,IF(COUNTIF($G$2:G761,G761)=1,1,0))</f>
        <v>0</v>
      </c>
      <c r="J761" s="32">
        <f>IF(H761="",0,IF(COUNTIF($H$2:H761,H761)=1,1,0))</f>
        <v>0</v>
      </c>
    </row>
    <row r="762" spans="1:10" ht="14.25" hidden="1" customHeight="1" x14ac:dyDescent="0.35">
      <c r="A762" s="30"/>
      <c r="E762" s="31"/>
      <c r="G762" s="32" t="str">
        <f t="shared" si="22"/>
        <v>|||1900|</v>
      </c>
      <c r="H762" s="32" t="str">
        <f t="shared" si="23"/>
        <v>||1900|</v>
      </c>
      <c r="I762" s="32">
        <f>IF(G762="",0,IF(COUNTIF($G$2:G762,G762)=1,1,0))</f>
        <v>0</v>
      </c>
      <c r="J762" s="32">
        <f>IF(H762="",0,IF(COUNTIF($H$2:H762,H762)=1,1,0))</f>
        <v>0</v>
      </c>
    </row>
    <row r="763" spans="1:10" ht="14.25" hidden="1" customHeight="1" x14ac:dyDescent="0.35">
      <c r="A763" s="30"/>
      <c r="E763" s="31"/>
      <c r="G763" s="32" t="str">
        <f t="shared" si="22"/>
        <v>|||1900|</v>
      </c>
      <c r="H763" s="32" t="str">
        <f t="shared" si="23"/>
        <v>||1900|</v>
      </c>
      <c r="I763" s="32">
        <f>IF(G763="",0,IF(COUNTIF($G$2:G763,G763)=1,1,0))</f>
        <v>0</v>
      </c>
      <c r="J763" s="32">
        <f>IF(H763="",0,IF(COUNTIF($H$2:H763,H763)=1,1,0))</f>
        <v>0</v>
      </c>
    </row>
    <row r="764" spans="1:10" ht="14.25" hidden="1" customHeight="1" x14ac:dyDescent="0.35">
      <c r="A764" s="30"/>
      <c r="E764" s="31"/>
      <c r="G764" s="32" t="str">
        <f t="shared" si="22"/>
        <v>|||1900|</v>
      </c>
      <c r="H764" s="32" t="str">
        <f t="shared" si="23"/>
        <v>||1900|</v>
      </c>
      <c r="I764" s="32">
        <f>IF(G764="",0,IF(COUNTIF($G$2:G764,G764)=1,1,0))</f>
        <v>0</v>
      </c>
      <c r="J764" s="32">
        <f>IF(H764="",0,IF(COUNTIF($H$2:H764,H764)=1,1,0))</f>
        <v>0</v>
      </c>
    </row>
    <row r="765" spans="1:10" ht="14.25" hidden="1" customHeight="1" x14ac:dyDescent="0.35">
      <c r="A765" s="30"/>
      <c r="E765" s="31"/>
      <c r="G765" s="32" t="str">
        <f t="shared" si="22"/>
        <v>|||1900|</v>
      </c>
      <c r="H765" s="32" t="str">
        <f t="shared" si="23"/>
        <v>||1900|</v>
      </c>
      <c r="I765" s="32">
        <f>IF(G765="",0,IF(COUNTIF($G$2:G765,G765)=1,1,0))</f>
        <v>0</v>
      </c>
      <c r="J765" s="32">
        <f>IF(H765="",0,IF(COUNTIF($H$2:H765,H765)=1,1,0))</f>
        <v>0</v>
      </c>
    </row>
    <row r="766" spans="1:10" ht="14.25" hidden="1" customHeight="1" x14ac:dyDescent="0.35">
      <c r="A766" s="30"/>
      <c r="E766" s="31"/>
      <c r="G766" s="32" t="str">
        <f t="shared" si="22"/>
        <v>|||1900|</v>
      </c>
      <c r="H766" s="32" t="str">
        <f t="shared" si="23"/>
        <v>||1900|</v>
      </c>
      <c r="I766" s="32">
        <f>IF(G766="",0,IF(COUNTIF($G$2:G766,G766)=1,1,0))</f>
        <v>0</v>
      </c>
      <c r="J766" s="32">
        <f>IF(H766="",0,IF(COUNTIF($H$2:H766,H766)=1,1,0))</f>
        <v>0</v>
      </c>
    </row>
    <row r="767" spans="1:10" ht="14.25" hidden="1" customHeight="1" x14ac:dyDescent="0.35">
      <c r="A767" s="30"/>
      <c r="E767" s="31"/>
      <c r="G767" s="32" t="str">
        <f t="shared" si="22"/>
        <v>|||1900|</v>
      </c>
      <c r="H767" s="32" t="str">
        <f t="shared" si="23"/>
        <v>||1900|</v>
      </c>
      <c r="I767" s="32">
        <f>IF(G767="",0,IF(COUNTIF($G$2:G767,G767)=1,1,0))</f>
        <v>0</v>
      </c>
      <c r="J767" s="32">
        <f>IF(H767="",0,IF(COUNTIF($H$2:H767,H767)=1,1,0))</f>
        <v>0</v>
      </c>
    </row>
    <row r="768" spans="1:10" ht="14.25" hidden="1" customHeight="1" x14ac:dyDescent="0.35">
      <c r="A768" s="30"/>
      <c r="E768" s="31"/>
      <c r="G768" s="32" t="str">
        <f t="shared" si="22"/>
        <v>|||1900|</v>
      </c>
      <c r="H768" s="32" t="str">
        <f t="shared" si="23"/>
        <v>||1900|</v>
      </c>
      <c r="I768" s="32">
        <f>IF(G768="",0,IF(COUNTIF($G$2:G768,G768)=1,1,0))</f>
        <v>0</v>
      </c>
      <c r="J768" s="32">
        <f>IF(H768="",0,IF(COUNTIF($H$2:H768,H768)=1,1,0))</f>
        <v>0</v>
      </c>
    </row>
    <row r="769" spans="1:10" ht="14.25" hidden="1" customHeight="1" x14ac:dyDescent="0.35">
      <c r="A769" s="30"/>
      <c r="E769" s="31"/>
      <c r="G769" s="32" t="str">
        <f t="shared" si="22"/>
        <v>|||1900|</v>
      </c>
      <c r="H769" s="32" t="str">
        <f t="shared" si="23"/>
        <v>||1900|</v>
      </c>
      <c r="I769" s="32">
        <f>IF(G769="",0,IF(COUNTIF($G$2:G769,G769)=1,1,0))</f>
        <v>0</v>
      </c>
      <c r="J769" s="32">
        <f>IF(H769="",0,IF(COUNTIF($H$2:H769,H769)=1,1,0))</f>
        <v>0</v>
      </c>
    </row>
    <row r="770" spans="1:10" ht="14.25" hidden="1" customHeight="1" x14ac:dyDescent="0.35">
      <c r="A770" s="30"/>
      <c r="E770" s="31"/>
      <c r="G770" s="32" t="str">
        <f t="shared" ref="G770:G833" si="24">IF(D770="T",
E770&amp;"|"&amp;F770,
A770&amp;"|"&amp;B770&amp;"|"&amp;C770&amp;"|"&amp;YEAR(E770)&amp;"|"&amp;F770)</f>
        <v>|||1900|</v>
      </c>
      <c r="H770" s="32" t="str">
        <f t="shared" ref="H770:H833" si="25">A770&amp;"|"&amp;C770&amp;"|"&amp;YEAR(E770)&amp;"|"&amp;F770</f>
        <v>||1900|</v>
      </c>
      <c r="I770" s="32">
        <f>IF(G770="",0,IF(COUNTIF($G$2:G770,G770)=1,1,0))</f>
        <v>0</v>
      </c>
      <c r="J770" s="32">
        <f>IF(H770="",0,IF(COUNTIF($H$2:H770,H770)=1,1,0))</f>
        <v>0</v>
      </c>
    </row>
    <row r="771" spans="1:10" ht="14.25" hidden="1" customHeight="1" x14ac:dyDescent="0.35">
      <c r="A771" s="30"/>
      <c r="E771" s="31"/>
      <c r="G771" s="32" t="str">
        <f t="shared" si="24"/>
        <v>|||1900|</v>
      </c>
      <c r="H771" s="32" t="str">
        <f t="shared" si="25"/>
        <v>||1900|</v>
      </c>
      <c r="I771" s="32">
        <f>IF(G771="",0,IF(COUNTIF($G$2:G771,G771)=1,1,0))</f>
        <v>0</v>
      </c>
      <c r="J771" s="32">
        <f>IF(H771="",0,IF(COUNTIF($H$2:H771,H771)=1,1,0))</f>
        <v>0</v>
      </c>
    </row>
    <row r="772" spans="1:10" ht="14.25" hidden="1" customHeight="1" x14ac:dyDescent="0.35">
      <c r="A772" s="30"/>
      <c r="E772" s="31"/>
      <c r="G772" s="32" t="str">
        <f t="shared" si="24"/>
        <v>|||1900|</v>
      </c>
      <c r="H772" s="32" t="str">
        <f t="shared" si="25"/>
        <v>||1900|</v>
      </c>
      <c r="I772" s="32">
        <f>IF(G772="",0,IF(COUNTIF($G$2:G772,G772)=1,1,0))</f>
        <v>0</v>
      </c>
      <c r="J772" s="32">
        <f>IF(H772="",0,IF(COUNTIF($H$2:H772,H772)=1,1,0))</f>
        <v>0</v>
      </c>
    </row>
    <row r="773" spans="1:10" ht="14.25" hidden="1" customHeight="1" x14ac:dyDescent="0.35">
      <c r="A773" s="30"/>
      <c r="E773" s="31"/>
      <c r="G773" s="32" t="str">
        <f t="shared" si="24"/>
        <v>|||1900|</v>
      </c>
      <c r="H773" s="32" t="str">
        <f t="shared" si="25"/>
        <v>||1900|</v>
      </c>
      <c r="I773" s="32">
        <f>IF(G773="",0,IF(COUNTIF($G$2:G773,G773)=1,1,0))</f>
        <v>0</v>
      </c>
      <c r="J773" s="32">
        <f>IF(H773="",0,IF(COUNTIF($H$2:H773,H773)=1,1,0))</f>
        <v>0</v>
      </c>
    </row>
    <row r="774" spans="1:10" ht="14.25" hidden="1" customHeight="1" x14ac:dyDescent="0.35">
      <c r="A774" s="30"/>
      <c r="E774" s="31"/>
      <c r="G774" s="32" t="str">
        <f t="shared" si="24"/>
        <v>|||1900|</v>
      </c>
      <c r="H774" s="32" t="str">
        <f t="shared" si="25"/>
        <v>||1900|</v>
      </c>
      <c r="I774" s="32">
        <f>IF(G774="",0,IF(COUNTIF($G$2:G774,G774)=1,1,0))</f>
        <v>0</v>
      </c>
      <c r="J774" s="32">
        <f>IF(H774="",0,IF(COUNTIF($H$2:H774,H774)=1,1,0))</f>
        <v>0</v>
      </c>
    </row>
    <row r="775" spans="1:10" ht="14.25" hidden="1" customHeight="1" x14ac:dyDescent="0.35">
      <c r="A775" s="30"/>
      <c r="E775" s="31"/>
      <c r="G775" s="32" t="str">
        <f t="shared" si="24"/>
        <v>|||1900|</v>
      </c>
      <c r="H775" s="32" t="str">
        <f t="shared" si="25"/>
        <v>||1900|</v>
      </c>
      <c r="I775" s="32">
        <f>IF(G775="",0,IF(COUNTIF($G$2:G775,G775)=1,1,0))</f>
        <v>0</v>
      </c>
      <c r="J775" s="32">
        <f>IF(H775="",0,IF(COUNTIF($H$2:H775,H775)=1,1,0))</f>
        <v>0</v>
      </c>
    </row>
    <row r="776" spans="1:10" ht="14.25" hidden="1" customHeight="1" x14ac:dyDescent="0.35">
      <c r="A776" s="30"/>
      <c r="E776" s="31"/>
      <c r="G776" s="32" t="str">
        <f t="shared" si="24"/>
        <v>|||1900|</v>
      </c>
      <c r="H776" s="32" t="str">
        <f t="shared" si="25"/>
        <v>||1900|</v>
      </c>
      <c r="I776" s="32">
        <f>IF(G776="",0,IF(COUNTIF($G$2:G776,G776)=1,1,0))</f>
        <v>0</v>
      </c>
      <c r="J776" s="32">
        <f>IF(H776="",0,IF(COUNTIF($H$2:H776,H776)=1,1,0))</f>
        <v>0</v>
      </c>
    </row>
    <row r="777" spans="1:10" ht="14.25" hidden="1" customHeight="1" x14ac:dyDescent="0.35">
      <c r="A777" s="30"/>
      <c r="E777" s="31"/>
      <c r="G777" s="32" t="str">
        <f t="shared" si="24"/>
        <v>|||1900|</v>
      </c>
      <c r="H777" s="32" t="str">
        <f t="shared" si="25"/>
        <v>||1900|</v>
      </c>
      <c r="I777" s="32">
        <f>IF(G777="",0,IF(COUNTIF($G$2:G777,G777)=1,1,0))</f>
        <v>0</v>
      </c>
      <c r="J777" s="32">
        <f>IF(H777="",0,IF(COUNTIF($H$2:H777,H777)=1,1,0))</f>
        <v>0</v>
      </c>
    </row>
    <row r="778" spans="1:10" ht="14.25" hidden="1" customHeight="1" x14ac:dyDescent="0.35">
      <c r="A778" s="30"/>
      <c r="E778" s="31"/>
      <c r="G778" s="32" t="str">
        <f t="shared" si="24"/>
        <v>|||1900|</v>
      </c>
      <c r="H778" s="32" t="str">
        <f t="shared" si="25"/>
        <v>||1900|</v>
      </c>
      <c r="I778" s="32">
        <f>IF(G778="",0,IF(COUNTIF($G$2:G778,G778)=1,1,0))</f>
        <v>0</v>
      </c>
      <c r="J778" s="32">
        <f>IF(H778="",0,IF(COUNTIF($H$2:H778,H778)=1,1,0))</f>
        <v>0</v>
      </c>
    </row>
    <row r="779" spans="1:10" ht="14.25" hidden="1" customHeight="1" x14ac:dyDescent="0.35">
      <c r="A779" s="30"/>
      <c r="E779" s="31"/>
      <c r="G779" s="32" t="str">
        <f t="shared" si="24"/>
        <v>|||1900|</v>
      </c>
      <c r="H779" s="32" t="str">
        <f t="shared" si="25"/>
        <v>||1900|</v>
      </c>
      <c r="I779" s="32">
        <f>IF(G779="",0,IF(COUNTIF($G$2:G779,G779)=1,1,0))</f>
        <v>0</v>
      </c>
      <c r="J779" s="32">
        <f>IF(H779="",0,IF(COUNTIF($H$2:H779,H779)=1,1,0))</f>
        <v>0</v>
      </c>
    </row>
    <row r="780" spans="1:10" ht="14.25" hidden="1" customHeight="1" x14ac:dyDescent="0.35">
      <c r="A780" s="30"/>
      <c r="E780" s="31"/>
      <c r="G780" s="32" t="str">
        <f t="shared" si="24"/>
        <v>|||1900|</v>
      </c>
      <c r="H780" s="32" t="str">
        <f t="shared" si="25"/>
        <v>||1900|</v>
      </c>
      <c r="I780" s="32">
        <f>IF(G780="",0,IF(COUNTIF($G$2:G780,G780)=1,1,0))</f>
        <v>0</v>
      </c>
      <c r="J780" s="32">
        <f>IF(H780="",0,IF(COUNTIF($H$2:H780,H780)=1,1,0))</f>
        <v>0</v>
      </c>
    </row>
    <row r="781" spans="1:10" ht="14.25" hidden="1" customHeight="1" x14ac:dyDescent="0.35">
      <c r="A781" s="30"/>
      <c r="E781" s="31"/>
      <c r="G781" s="32" t="str">
        <f t="shared" si="24"/>
        <v>|||1900|</v>
      </c>
      <c r="H781" s="32" t="str">
        <f t="shared" si="25"/>
        <v>||1900|</v>
      </c>
      <c r="I781" s="32">
        <f>IF(G781="",0,IF(COUNTIF($G$2:G781,G781)=1,1,0))</f>
        <v>0</v>
      </c>
      <c r="J781" s="32">
        <f>IF(H781="",0,IF(COUNTIF($H$2:H781,H781)=1,1,0))</f>
        <v>0</v>
      </c>
    </row>
    <row r="782" spans="1:10" ht="14.25" hidden="1" customHeight="1" x14ac:dyDescent="0.35">
      <c r="A782" s="30"/>
      <c r="E782" s="31"/>
      <c r="G782" s="32" t="str">
        <f t="shared" si="24"/>
        <v>|||1900|</v>
      </c>
      <c r="H782" s="32" t="str">
        <f t="shared" si="25"/>
        <v>||1900|</v>
      </c>
      <c r="I782" s="32">
        <f>IF(G782="",0,IF(COUNTIF($G$2:G782,G782)=1,1,0))</f>
        <v>0</v>
      </c>
      <c r="J782" s="32">
        <f>IF(H782="",0,IF(COUNTIF($H$2:H782,H782)=1,1,0))</f>
        <v>0</v>
      </c>
    </row>
    <row r="783" spans="1:10" ht="14.25" hidden="1" customHeight="1" x14ac:dyDescent="0.35">
      <c r="A783" s="30"/>
      <c r="E783" s="31"/>
      <c r="G783" s="32" t="str">
        <f t="shared" si="24"/>
        <v>|||1900|</v>
      </c>
      <c r="H783" s="32" t="str">
        <f t="shared" si="25"/>
        <v>||1900|</v>
      </c>
      <c r="I783" s="32">
        <f>IF(G783="",0,IF(COUNTIF($G$2:G783,G783)=1,1,0))</f>
        <v>0</v>
      </c>
      <c r="J783" s="32">
        <f>IF(H783="",0,IF(COUNTIF($H$2:H783,H783)=1,1,0))</f>
        <v>0</v>
      </c>
    </row>
    <row r="784" spans="1:10" ht="14.25" hidden="1" customHeight="1" x14ac:dyDescent="0.35">
      <c r="A784" s="30"/>
      <c r="E784" s="31"/>
      <c r="G784" s="32" t="str">
        <f t="shared" si="24"/>
        <v>|||1900|</v>
      </c>
      <c r="H784" s="32" t="str">
        <f t="shared" si="25"/>
        <v>||1900|</v>
      </c>
      <c r="I784" s="32">
        <f>IF(G784="",0,IF(COUNTIF($G$2:G784,G784)=1,1,0))</f>
        <v>0</v>
      </c>
      <c r="J784" s="32">
        <f>IF(H784="",0,IF(COUNTIF($H$2:H784,H784)=1,1,0))</f>
        <v>0</v>
      </c>
    </row>
    <row r="785" spans="1:10" ht="14.25" hidden="1" customHeight="1" x14ac:dyDescent="0.35">
      <c r="A785" s="30"/>
      <c r="E785" s="31"/>
      <c r="G785" s="32" t="str">
        <f t="shared" si="24"/>
        <v>|||1900|</v>
      </c>
      <c r="H785" s="32" t="str">
        <f t="shared" si="25"/>
        <v>||1900|</v>
      </c>
      <c r="I785" s="32">
        <f>IF(G785="",0,IF(COUNTIF($G$2:G785,G785)=1,1,0))</f>
        <v>0</v>
      </c>
      <c r="J785" s="32">
        <f>IF(H785="",0,IF(COUNTIF($H$2:H785,H785)=1,1,0))</f>
        <v>0</v>
      </c>
    </row>
    <row r="786" spans="1:10" ht="14.25" hidden="1" customHeight="1" x14ac:dyDescent="0.35">
      <c r="A786" s="30"/>
      <c r="E786" s="31"/>
      <c r="G786" s="32" t="str">
        <f t="shared" si="24"/>
        <v>|||1900|</v>
      </c>
      <c r="H786" s="32" t="str">
        <f t="shared" si="25"/>
        <v>||1900|</v>
      </c>
      <c r="I786" s="32">
        <f>IF(G786="",0,IF(COUNTIF($G$2:G786,G786)=1,1,0))</f>
        <v>0</v>
      </c>
      <c r="J786" s="32">
        <f>IF(H786="",0,IF(COUNTIF($H$2:H786,H786)=1,1,0))</f>
        <v>0</v>
      </c>
    </row>
    <row r="787" spans="1:10" ht="14.25" hidden="1" customHeight="1" x14ac:dyDescent="0.35">
      <c r="A787" s="30"/>
      <c r="E787" s="31"/>
      <c r="G787" s="32" t="str">
        <f t="shared" si="24"/>
        <v>|||1900|</v>
      </c>
      <c r="H787" s="32" t="str">
        <f t="shared" si="25"/>
        <v>||1900|</v>
      </c>
      <c r="I787" s="32">
        <f>IF(G787="",0,IF(COUNTIF($G$2:G787,G787)=1,1,0))</f>
        <v>0</v>
      </c>
      <c r="J787" s="32">
        <f>IF(H787="",0,IF(COUNTIF($H$2:H787,H787)=1,1,0))</f>
        <v>0</v>
      </c>
    </row>
    <row r="788" spans="1:10" ht="14.25" hidden="1" customHeight="1" x14ac:dyDescent="0.35">
      <c r="A788" s="30"/>
      <c r="E788" s="31"/>
      <c r="G788" s="32" t="str">
        <f t="shared" si="24"/>
        <v>|||1900|</v>
      </c>
      <c r="H788" s="32" t="str">
        <f t="shared" si="25"/>
        <v>||1900|</v>
      </c>
      <c r="I788" s="32">
        <f>IF(G788="",0,IF(COUNTIF($G$2:G788,G788)=1,1,0))</f>
        <v>0</v>
      </c>
      <c r="J788" s="32">
        <f>IF(H788="",0,IF(COUNTIF($H$2:H788,H788)=1,1,0))</f>
        <v>0</v>
      </c>
    </row>
    <row r="789" spans="1:10" ht="14.25" hidden="1" customHeight="1" x14ac:dyDescent="0.35">
      <c r="A789" s="30"/>
      <c r="E789" s="31"/>
      <c r="G789" s="32" t="str">
        <f t="shared" si="24"/>
        <v>|||1900|</v>
      </c>
      <c r="H789" s="32" t="str">
        <f t="shared" si="25"/>
        <v>||1900|</v>
      </c>
      <c r="I789" s="32">
        <f>IF(G789="",0,IF(COUNTIF($G$2:G789,G789)=1,1,0))</f>
        <v>0</v>
      </c>
      <c r="J789" s="32">
        <f>IF(H789="",0,IF(COUNTIF($H$2:H789,H789)=1,1,0))</f>
        <v>0</v>
      </c>
    </row>
    <row r="790" spans="1:10" ht="14.25" hidden="1" customHeight="1" x14ac:dyDescent="0.35">
      <c r="A790" s="30"/>
      <c r="E790" s="31"/>
      <c r="G790" s="32" t="str">
        <f t="shared" si="24"/>
        <v>|||1900|</v>
      </c>
      <c r="H790" s="32" t="str">
        <f t="shared" si="25"/>
        <v>||1900|</v>
      </c>
      <c r="I790" s="32">
        <f>IF(G790="",0,IF(COUNTIF($G$2:G790,G790)=1,1,0))</f>
        <v>0</v>
      </c>
      <c r="J790" s="32">
        <f>IF(H790="",0,IF(COUNTIF($H$2:H790,H790)=1,1,0))</f>
        <v>0</v>
      </c>
    </row>
    <row r="791" spans="1:10" ht="14.25" hidden="1" customHeight="1" x14ac:dyDescent="0.35">
      <c r="A791" s="30"/>
      <c r="E791" s="31"/>
      <c r="G791" s="32" t="str">
        <f t="shared" si="24"/>
        <v>|||1900|</v>
      </c>
      <c r="H791" s="32" t="str">
        <f t="shared" si="25"/>
        <v>||1900|</v>
      </c>
      <c r="I791" s="32">
        <f>IF(G791="",0,IF(COUNTIF($G$2:G791,G791)=1,1,0))</f>
        <v>0</v>
      </c>
      <c r="J791" s="32">
        <f>IF(H791="",0,IF(COUNTIF($H$2:H791,H791)=1,1,0))</f>
        <v>0</v>
      </c>
    </row>
    <row r="792" spans="1:10" ht="14.25" hidden="1" customHeight="1" x14ac:dyDescent="0.35">
      <c r="A792" s="30"/>
      <c r="E792" s="31"/>
      <c r="G792" s="32" t="str">
        <f t="shared" si="24"/>
        <v>|||1900|</v>
      </c>
      <c r="H792" s="32" t="str">
        <f t="shared" si="25"/>
        <v>||1900|</v>
      </c>
      <c r="I792" s="32">
        <f>IF(G792="",0,IF(COUNTIF($G$2:G792,G792)=1,1,0))</f>
        <v>0</v>
      </c>
      <c r="J792" s="32">
        <f>IF(H792="",0,IF(COUNTIF($H$2:H792,H792)=1,1,0))</f>
        <v>0</v>
      </c>
    </row>
    <row r="793" spans="1:10" ht="14.25" hidden="1" customHeight="1" x14ac:dyDescent="0.35">
      <c r="A793" s="30"/>
      <c r="E793" s="31"/>
      <c r="G793" s="32" t="str">
        <f t="shared" si="24"/>
        <v>|||1900|</v>
      </c>
      <c r="H793" s="32" t="str">
        <f t="shared" si="25"/>
        <v>||1900|</v>
      </c>
      <c r="I793" s="32">
        <f>IF(G793="",0,IF(COUNTIF($G$2:G793,G793)=1,1,0))</f>
        <v>0</v>
      </c>
      <c r="J793" s="32">
        <f>IF(H793="",0,IF(COUNTIF($H$2:H793,H793)=1,1,0))</f>
        <v>0</v>
      </c>
    </row>
    <row r="794" spans="1:10" ht="14.25" hidden="1" customHeight="1" x14ac:dyDescent="0.35">
      <c r="A794" s="30"/>
      <c r="E794" s="31"/>
      <c r="G794" s="32" t="str">
        <f t="shared" si="24"/>
        <v>|||1900|</v>
      </c>
      <c r="H794" s="32" t="str">
        <f t="shared" si="25"/>
        <v>||1900|</v>
      </c>
      <c r="I794" s="32">
        <f>IF(G794="",0,IF(COUNTIF($G$2:G794,G794)=1,1,0))</f>
        <v>0</v>
      </c>
      <c r="J794" s="32">
        <f>IF(H794="",0,IF(COUNTIF($H$2:H794,H794)=1,1,0))</f>
        <v>0</v>
      </c>
    </row>
    <row r="795" spans="1:10" ht="14.25" hidden="1" customHeight="1" x14ac:dyDescent="0.35">
      <c r="A795" s="30"/>
      <c r="E795" s="31"/>
      <c r="G795" s="32" t="str">
        <f t="shared" si="24"/>
        <v>|||1900|</v>
      </c>
      <c r="H795" s="32" t="str">
        <f t="shared" si="25"/>
        <v>||1900|</v>
      </c>
      <c r="I795" s="32">
        <f>IF(G795="",0,IF(COUNTIF($G$2:G795,G795)=1,1,0))</f>
        <v>0</v>
      </c>
      <c r="J795" s="32">
        <f>IF(H795="",0,IF(COUNTIF($H$2:H795,H795)=1,1,0))</f>
        <v>0</v>
      </c>
    </row>
    <row r="796" spans="1:10" ht="14.25" hidden="1" customHeight="1" x14ac:dyDescent="0.35">
      <c r="A796" s="30"/>
      <c r="E796" s="31"/>
      <c r="G796" s="32" t="str">
        <f t="shared" si="24"/>
        <v>|||1900|</v>
      </c>
      <c r="H796" s="32" t="str">
        <f t="shared" si="25"/>
        <v>||1900|</v>
      </c>
      <c r="I796" s="32">
        <f>IF(G796="",0,IF(COUNTIF($G$2:G796,G796)=1,1,0))</f>
        <v>0</v>
      </c>
      <c r="J796" s="32">
        <f>IF(H796="",0,IF(COUNTIF($H$2:H796,H796)=1,1,0))</f>
        <v>0</v>
      </c>
    </row>
    <row r="797" spans="1:10" ht="14.25" hidden="1" customHeight="1" x14ac:dyDescent="0.35">
      <c r="A797" s="30"/>
      <c r="E797" s="31"/>
      <c r="G797" s="32" t="str">
        <f t="shared" si="24"/>
        <v>|||1900|</v>
      </c>
      <c r="H797" s="32" t="str">
        <f t="shared" si="25"/>
        <v>||1900|</v>
      </c>
      <c r="I797" s="32">
        <f>IF(G797="",0,IF(COUNTIF($G$2:G797,G797)=1,1,0))</f>
        <v>0</v>
      </c>
      <c r="J797" s="32">
        <f>IF(H797="",0,IF(COUNTIF($H$2:H797,H797)=1,1,0))</f>
        <v>0</v>
      </c>
    </row>
    <row r="798" spans="1:10" ht="14.25" hidden="1" customHeight="1" x14ac:dyDescent="0.35">
      <c r="A798" s="30"/>
      <c r="E798" s="31"/>
      <c r="G798" s="32" t="str">
        <f t="shared" si="24"/>
        <v>|||1900|</v>
      </c>
      <c r="H798" s="32" t="str">
        <f t="shared" si="25"/>
        <v>||1900|</v>
      </c>
      <c r="I798" s="32">
        <f>IF(G798="",0,IF(COUNTIF($G$2:G798,G798)=1,1,0))</f>
        <v>0</v>
      </c>
      <c r="J798" s="32">
        <f>IF(H798="",0,IF(COUNTIF($H$2:H798,H798)=1,1,0))</f>
        <v>0</v>
      </c>
    </row>
    <row r="799" spans="1:10" ht="14.25" hidden="1" customHeight="1" x14ac:dyDescent="0.35">
      <c r="A799" s="30"/>
      <c r="E799" s="31"/>
      <c r="G799" s="32" t="str">
        <f t="shared" si="24"/>
        <v>|||1900|</v>
      </c>
      <c r="H799" s="32" t="str">
        <f t="shared" si="25"/>
        <v>||1900|</v>
      </c>
      <c r="I799" s="32">
        <f>IF(G799="",0,IF(COUNTIF($G$2:G799,G799)=1,1,0))</f>
        <v>0</v>
      </c>
      <c r="J799" s="32">
        <f>IF(H799="",0,IF(COUNTIF($H$2:H799,H799)=1,1,0))</f>
        <v>0</v>
      </c>
    </row>
    <row r="800" spans="1:10" ht="14.25" hidden="1" customHeight="1" x14ac:dyDescent="0.35">
      <c r="A800" s="30"/>
      <c r="E800" s="31"/>
      <c r="G800" s="32" t="str">
        <f t="shared" si="24"/>
        <v>|||1900|</v>
      </c>
      <c r="H800" s="32" t="str">
        <f t="shared" si="25"/>
        <v>||1900|</v>
      </c>
      <c r="I800" s="32">
        <f>IF(G800="",0,IF(COUNTIF($G$2:G800,G800)=1,1,0))</f>
        <v>0</v>
      </c>
      <c r="J800" s="32">
        <f>IF(H800="",0,IF(COUNTIF($H$2:H800,H800)=1,1,0))</f>
        <v>0</v>
      </c>
    </row>
    <row r="801" spans="1:10" ht="14.25" hidden="1" customHeight="1" x14ac:dyDescent="0.35">
      <c r="A801" s="30"/>
      <c r="E801" s="31"/>
      <c r="G801" s="32" t="str">
        <f t="shared" si="24"/>
        <v>|||1900|</v>
      </c>
      <c r="H801" s="32" t="str">
        <f t="shared" si="25"/>
        <v>||1900|</v>
      </c>
      <c r="I801" s="32">
        <f>IF(G801="",0,IF(COUNTIF($G$2:G801,G801)=1,1,0))</f>
        <v>0</v>
      </c>
      <c r="J801" s="32">
        <f>IF(H801="",0,IF(COUNTIF($H$2:H801,H801)=1,1,0))</f>
        <v>0</v>
      </c>
    </row>
    <row r="802" spans="1:10" ht="14.25" hidden="1" customHeight="1" x14ac:dyDescent="0.35">
      <c r="A802" s="30"/>
      <c r="E802" s="31"/>
      <c r="G802" s="32" t="str">
        <f t="shared" si="24"/>
        <v>|||1900|</v>
      </c>
      <c r="H802" s="32" t="str">
        <f t="shared" si="25"/>
        <v>||1900|</v>
      </c>
      <c r="I802" s="32">
        <f>IF(G802="",0,IF(COUNTIF($G$2:G802,G802)=1,1,0))</f>
        <v>0</v>
      </c>
      <c r="J802" s="32">
        <f>IF(H802="",0,IF(COUNTIF($H$2:H802,H802)=1,1,0))</f>
        <v>0</v>
      </c>
    </row>
    <row r="803" spans="1:10" ht="14.25" hidden="1" customHeight="1" x14ac:dyDescent="0.35">
      <c r="A803" s="30"/>
      <c r="E803" s="31"/>
      <c r="G803" s="32" t="str">
        <f t="shared" si="24"/>
        <v>|||1900|</v>
      </c>
      <c r="H803" s="32" t="str">
        <f t="shared" si="25"/>
        <v>||1900|</v>
      </c>
      <c r="I803" s="32">
        <f>IF(G803="",0,IF(COUNTIF($G$2:G803,G803)=1,1,0))</f>
        <v>0</v>
      </c>
      <c r="J803" s="32">
        <f>IF(H803="",0,IF(COUNTIF($H$2:H803,H803)=1,1,0))</f>
        <v>0</v>
      </c>
    </row>
    <row r="804" spans="1:10" ht="14.25" hidden="1" customHeight="1" x14ac:dyDescent="0.35">
      <c r="A804" s="30"/>
      <c r="E804" s="31"/>
      <c r="G804" s="32" t="str">
        <f t="shared" si="24"/>
        <v>|||1900|</v>
      </c>
      <c r="H804" s="32" t="str">
        <f t="shared" si="25"/>
        <v>||1900|</v>
      </c>
      <c r="I804" s="32">
        <f>IF(G804="",0,IF(COUNTIF($G$2:G804,G804)=1,1,0))</f>
        <v>0</v>
      </c>
      <c r="J804" s="32">
        <f>IF(H804="",0,IF(COUNTIF($H$2:H804,H804)=1,1,0))</f>
        <v>0</v>
      </c>
    </row>
    <row r="805" spans="1:10" ht="14.25" hidden="1" customHeight="1" x14ac:dyDescent="0.35">
      <c r="A805" s="30"/>
      <c r="E805" s="31"/>
      <c r="G805" s="32" t="str">
        <f t="shared" si="24"/>
        <v>|||1900|</v>
      </c>
      <c r="H805" s="32" t="str">
        <f t="shared" si="25"/>
        <v>||1900|</v>
      </c>
      <c r="I805" s="32">
        <f>IF(G805="",0,IF(COUNTIF($G$2:G805,G805)=1,1,0))</f>
        <v>0</v>
      </c>
      <c r="J805" s="32">
        <f>IF(H805="",0,IF(COUNTIF($H$2:H805,H805)=1,1,0))</f>
        <v>0</v>
      </c>
    </row>
    <row r="806" spans="1:10" ht="14.25" hidden="1" customHeight="1" x14ac:dyDescent="0.35">
      <c r="A806" s="30"/>
      <c r="E806" s="31"/>
      <c r="G806" s="32" t="str">
        <f t="shared" si="24"/>
        <v>|||1900|</v>
      </c>
      <c r="H806" s="32" t="str">
        <f t="shared" si="25"/>
        <v>||1900|</v>
      </c>
      <c r="I806" s="32">
        <f>IF(G806="",0,IF(COUNTIF($G$2:G806,G806)=1,1,0))</f>
        <v>0</v>
      </c>
      <c r="J806" s="32">
        <f>IF(H806="",0,IF(COUNTIF($H$2:H806,H806)=1,1,0))</f>
        <v>0</v>
      </c>
    </row>
    <row r="807" spans="1:10" ht="14.25" hidden="1" customHeight="1" x14ac:dyDescent="0.35">
      <c r="A807" s="30"/>
      <c r="E807" s="31"/>
      <c r="G807" s="32" t="str">
        <f t="shared" si="24"/>
        <v>|||1900|</v>
      </c>
      <c r="H807" s="32" t="str">
        <f t="shared" si="25"/>
        <v>||1900|</v>
      </c>
      <c r="I807" s="32">
        <f>IF(G807="",0,IF(COUNTIF($G$2:G807,G807)=1,1,0))</f>
        <v>0</v>
      </c>
      <c r="J807" s="32">
        <f>IF(H807="",0,IF(COUNTIF($H$2:H807,H807)=1,1,0))</f>
        <v>0</v>
      </c>
    </row>
    <row r="808" spans="1:10" ht="14.25" hidden="1" customHeight="1" x14ac:dyDescent="0.35">
      <c r="A808" s="30"/>
      <c r="E808" s="31"/>
      <c r="G808" s="32" t="str">
        <f t="shared" si="24"/>
        <v>|||1900|</v>
      </c>
      <c r="H808" s="32" t="str">
        <f t="shared" si="25"/>
        <v>||1900|</v>
      </c>
      <c r="I808" s="32">
        <f>IF(G808="",0,IF(COUNTIF($G$2:G808,G808)=1,1,0))</f>
        <v>0</v>
      </c>
      <c r="J808" s="32">
        <f>IF(H808="",0,IF(COUNTIF($H$2:H808,H808)=1,1,0))</f>
        <v>0</v>
      </c>
    </row>
    <row r="809" spans="1:10" ht="14.25" hidden="1" customHeight="1" x14ac:dyDescent="0.35">
      <c r="A809" s="30"/>
      <c r="E809" s="31"/>
      <c r="G809" s="32" t="str">
        <f t="shared" si="24"/>
        <v>|||1900|</v>
      </c>
      <c r="H809" s="32" t="str">
        <f t="shared" si="25"/>
        <v>||1900|</v>
      </c>
      <c r="I809" s="32">
        <f>IF(G809="",0,IF(COUNTIF($G$2:G809,G809)=1,1,0))</f>
        <v>0</v>
      </c>
      <c r="J809" s="32">
        <f>IF(H809="",0,IF(COUNTIF($H$2:H809,H809)=1,1,0))</f>
        <v>0</v>
      </c>
    </row>
    <row r="810" spans="1:10" ht="14.25" hidden="1" customHeight="1" x14ac:dyDescent="0.35">
      <c r="A810" s="30"/>
      <c r="E810" s="31"/>
      <c r="G810" s="32" t="str">
        <f t="shared" si="24"/>
        <v>|||1900|</v>
      </c>
      <c r="H810" s="32" t="str">
        <f t="shared" si="25"/>
        <v>||1900|</v>
      </c>
      <c r="I810" s="32">
        <f>IF(G810="",0,IF(COUNTIF($G$2:G810,G810)=1,1,0))</f>
        <v>0</v>
      </c>
      <c r="J810" s="32">
        <f>IF(H810="",0,IF(COUNTIF($H$2:H810,H810)=1,1,0))</f>
        <v>0</v>
      </c>
    </row>
    <row r="811" spans="1:10" ht="14.25" hidden="1" customHeight="1" x14ac:dyDescent="0.35">
      <c r="A811" s="30"/>
      <c r="E811" s="31"/>
      <c r="G811" s="32" t="str">
        <f t="shared" si="24"/>
        <v>|||1900|</v>
      </c>
      <c r="H811" s="32" t="str">
        <f t="shared" si="25"/>
        <v>||1900|</v>
      </c>
      <c r="I811" s="32">
        <f>IF(G811="",0,IF(COUNTIF($G$2:G811,G811)=1,1,0))</f>
        <v>0</v>
      </c>
      <c r="J811" s="32">
        <f>IF(H811="",0,IF(COUNTIF($H$2:H811,H811)=1,1,0))</f>
        <v>0</v>
      </c>
    </row>
    <row r="812" spans="1:10" ht="14.25" hidden="1" customHeight="1" x14ac:dyDescent="0.35">
      <c r="A812" s="30"/>
      <c r="E812" s="31"/>
      <c r="G812" s="32" t="str">
        <f t="shared" si="24"/>
        <v>|||1900|</v>
      </c>
      <c r="H812" s="32" t="str">
        <f t="shared" si="25"/>
        <v>||1900|</v>
      </c>
      <c r="I812" s="32">
        <f>IF(G812="",0,IF(COUNTIF($G$2:G812,G812)=1,1,0))</f>
        <v>0</v>
      </c>
      <c r="J812" s="32">
        <f>IF(H812="",0,IF(COUNTIF($H$2:H812,H812)=1,1,0))</f>
        <v>0</v>
      </c>
    </row>
    <row r="813" spans="1:10" ht="14.25" hidden="1" customHeight="1" x14ac:dyDescent="0.35">
      <c r="A813" s="30"/>
      <c r="E813" s="31"/>
      <c r="G813" s="32" t="str">
        <f t="shared" si="24"/>
        <v>|||1900|</v>
      </c>
      <c r="H813" s="32" t="str">
        <f t="shared" si="25"/>
        <v>||1900|</v>
      </c>
      <c r="I813" s="32">
        <f>IF(G813="",0,IF(COUNTIF($G$2:G813,G813)=1,1,0))</f>
        <v>0</v>
      </c>
      <c r="J813" s="32">
        <f>IF(H813="",0,IF(COUNTIF($H$2:H813,H813)=1,1,0))</f>
        <v>0</v>
      </c>
    </row>
    <row r="814" spans="1:10" ht="14.25" hidden="1" customHeight="1" x14ac:dyDescent="0.35">
      <c r="A814" s="30"/>
      <c r="E814" s="31"/>
      <c r="G814" s="32" t="str">
        <f t="shared" si="24"/>
        <v>|||1900|</v>
      </c>
      <c r="H814" s="32" t="str">
        <f t="shared" si="25"/>
        <v>||1900|</v>
      </c>
      <c r="I814" s="32">
        <f>IF(G814="",0,IF(COUNTIF($G$2:G814,G814)=1,1,0))</f>
        <v>0</v>
      </c>
      <c r="J814" s="32">
        <f>IF(H814="",0,IF(COUNTIF($H$2:H814,H814)=1,1,0))</f>
        <v>0</v>
      </c>
    </row>
    <row r="815" spans="1:10" ht="14.25" hidden="1" customHeight="1" x14ac:dyDescent="0.35">
      <c r="A815" s="30"/>
      <c r="E815" s="31"/>
      <c r="G815" s="32" t="str">
        <f t="shared" si="24"/>
        <v>|||1900|</v>
      </c>
      <c r="H815" s="32" t="str">
        <f t="shared" si="25"/>
        <v>||1900|</v>
      </c>
      <c r="I815" s="32">
        <f>IF(G815="",0,IF(COUNTIF($G$2:G815,G815)=1,1,0))</f>
        <v>0</v>
      </c>
      <c r="J815" s="32">
        <f>IF(H815="",0,IF(COUNTIF($H$2:H815,H815)=1,1,0))</f>
        <v>0</v>
      </c>
    </row>
    <row r="816" spans="1:10" ht="14.25" hidden="1" customHeight="1" x14ac:dyDescent="0.35">
      <c r="A816" s="30"/>
      <c r="E816" s="31"/>
      <c r="G816" s="32" t="str">
        <f t="shared" si="24"/>
        <v>|||1900|</v>
      </c>
      <c r="H816" s="32" t="str">
        <f t="shared" si="25"/>
        <v>||1900|</v>
      </c>
      <c r="I816" s="32">
        <f>IF(G816="",0,IF(COUNTIF($G$2:G816,G816)=1,1,0))</f>
        <v>0</v>
      </c>
      <c r="J816" s="32">
        <f>IF(H816="",0,IF(COUNTIF($H$2:H816,H816)=1,1,0))</f>
        <v>0</v>
      </c>
    </row>
    <row r="817" spans="1:10" ht="14.25" hidden="1" customHeight="1" x14ac:dyDescent="0.35">
      <c r="A817" s="30"/>
      <c r="E817" s="31"/>
      <c r="G817" s="32" t="str">
        <f t="shared" si="24"/>
        <v>|||1900|</v>
      </c>
      <c r="H817" s="32" t="str">
        <f t="shared" si="25"/>
        <v>||1900|</v>
      </c>
      <c r="I817" s="32">
        <f>IF(G817="",0,IF(COUNTIF($G$2:G817,G817)=1,1,0))</f>
        <v>0</v>
      </c>
      <c r="J817" s="32">
        <f>IF(H817="",0,IF(COUNTIF($H$2:H817,H817)=1,1,0))</f>
        <v>0</v>
      </c>
    </row>
    <row r="818" spans="1:10" ht="14.25" hidden="1" customHeight="1" x14ac:dyDescent="0.35">
      <c r="A818" s="30"/>
      <c r="E818" s="31"/>
      <c r="G818" s="32" t="str">
        <f t="shared" si="24"/>
        <v>|||1900|</v>
      </c>
      <c r="H818" s="32" t="str">
        <f t="shared" si="25"/>
        <v>||1900|</v>
      </c>
      <c r="I818" s="32">
        <f>IF(G818="",0,IF(COUNTIF($G$2:G818,G818)=1,1,0))</f>
        <v>0</v>
      </c>
      <c r="J818" s="32">
        <f>IF(H818="",0,IF(COUNTIF($H$2:H818,H818)=1,1,0))</f>
        <v>0</v>
      </c>
    </row>
    <row r="819" spans="1:10" ht="14.25" hidden="1" customHeight="1" x14ac:dyDescent="0.35">
      <c r="A819" s="30"/>
      <c r="E819" s="31"/>
      <c r="G819" s="32" t="str">
        <f t="shared" si="24"/>
        <v>|||1900|</v>
      </c>
      <c r="H819" s="32" t="str">
        <f t="shared" si="25"/>
        <v>||1900|</v>
      </c>
      <c r="I819" s="32">
        <f>IF(G819="",0,IF(COUNTIF($G$2:G819,G819)=1,1,0))</f>
        <v>0</v>
      </c>
      <c r="J819" s="32">
        <f>IF(H819="",0,IF(COUNTIF($H$2:H819,H819)=1,1,0))</f>
        <v>0</v>
      </c>
    </row>
    <row r="820" spans="1:10" ht="14.25" hidden="1" customHeight="1" x14ac:dyDescent="0.35">
      <c r="A820" s="30"/>
      <c r="E820" s="31"/>
      <c r="G820" s="32" t="str">
        <f t="shared" si="24"/>
        <v>|||1900|</v>
      </c>
      <c r="H820" s="32" t="str">
        <f t="shared" si="25"/>
        <v>||1900|</v>
      </c>
      <c r="I820" s="32">
        <f>IF(G820="",0,IF(COUNTIF($G$2:G820,G820)=1,1,0))</f>
        <v>0</v>
      </c>
      <c r="J820" s="32">
        <f>IF(H820="",0,IF(COUNTIF($H$2:H820,H820)=1,1,0))</f>
        <v>0</v>
      </c>
    </row>
    <row r="821" spans="1:10" ht="14.25" hidden="1" customHeight="1" x14ac:dyDescent="0.35">
      <c r="A821" s="30"/>
      <c r="E821" s="31"/>
      <c r="G821" s="32" t="str">
        <f t="shared" si="24"/>
        <v>|||1900|</v>
      </c>
      <c r="H821" s="32" t="str">
        <f t="shared" si="25"/>
        <v>||1900|</v>
      </c>
      <c r="I821" s="32">
        <f>IF(G821="",0,IF(COUNTIF($G$2:G821,G821)=1,1,0))</f>
        <v>0</v>
      </c>
      <c r="J821" s="32">
        <f>IF(H821="",0,IF(COUNTIF($H$2:H821,H821)=1,1,0))</f>
        <v>0</v>
      </c>
    </row>
    <row r="822" spans="1:10" ht="14.25" hidden="1" customHeight="1" x14ac:dyDescent="0.35">
      <c r="A822" s="30"/>
      <c r="E822" s="31"/>
      <c r="G822" s="32" t="str">
        <f t="shared" si="24"/>
        <v>|||1900|</v>
      </c>
      <c r="H822" s="32" t="str">
        <f t="shared" si="25"/>
        <v>||1900|</v>
      </c>
      <c r="I822" s="32">
        <f>IF(G822="",0,IF(COUNTIF($G$2:G822,G822)=1,1,0))</f>
        <v>0</v>
      </c>
      <c r="J822" s="32">
        <f>IF(H822="",0,IF(COUNTIF($H$2:H822,H822)=1,1,0))</f>
        <v>0</v>
      </c>
    </row>
    <row r="823" spans="1:10" ht="14.25" hidden="1" customHeight="1" x14ac:dyDescent="0.35">
      <c r="A823" s="30"/>
      <c r="E823" s="31"/>
      <c r="G823" s="32" t="str">
        <f t="shared" si="24"/>
        <v>|||1900|</v>
      </c>
      <c r="H823" s="32" t="str">
        <f t="shared" si="25"/>
        <v>||1900|</v>
      </c>
      <c r="I823" s="32">
        <f>IF(G823="",0,IF(COUNTIF($G$2:G823,G823)=1,1,0))</f>
        <v>0</v>
      </c>
      <c r="J823" s="32">
        <f>IF(H823="",0,IF(COUNTIF($H$2:H823,H823)=1,1,0))</f>
        <v>0</v>
      </c>
    </row>
    <row r="824" spans="1:10" ht="14.25" hidden="1" customHeight="1" x14ac:dyDescent="0.35">
      <c r="A824" s="30"/>
      <c r="E824" s="31"/>
      <c r="G824" s="32" t="str">
        <f t="shared" si="24"/>
        <v>|||1900|</v>
      </c>
      <c r="H824" s="32" t="str">
        <f t="shared" si="25"/>
        <v>||1900|</v>
      </c>
      <c r="I824" s="32">
        <f>IF(G824="",0,IF(COUNTIF($G$2:G824,G824)=1,1,0))</f>
        <v>0</v>
      </c>
      <c r="J824" s="32">
        <f>IF(H824="",0,IF(COUNTIF($H$2:H824,H824)=1,1,0))</f>
        <v>0</v>
      </c>
    </row>
    <row r="825" spans="1:10" ht="14.25" hidden="1" customHeight="1" x14ac:dyDescent="0.35">
      <c r="A825" s="30"/>
      <c r="E825" s="31"/>
      <c r="G825" s="32" t="str">
        <f t="shared" si="24"/>
        <v>|||1900|</v>
      </c>
      <c r="H825" s="32" t="str">
        <f t="shared" si="25"/>
        <v>||1900|</v>
      </c>
      <c r="I825" s="32">
        <f>IF(G825="",0,IF(COUNTIF($G$2:G825,G825)=1,1,0))</f>
        <v>0</v>
      </c>
      <c r="J825" s="32">
        <f>IF(H825="",0,IF(COUNTIF($H$2:H825,H825)=1,1,0))</f>
        <v>0</v>
      </c>
    </row>
    <row r="826" spans="1:10" ht="14.25" hidden="1" customHeight="1" x14ac:dyDescent="0.35">
      <c r="A826" s="30"/>
      <c r="E826" s="31"/>
      <c r="G826" s="32" t="str">
        <f t="shared" si="24"/>
        <v>|||1900|</v>
      </c>
      <c r="H826" s="32" t="str">
        <f t="shared" si="25"/>
        <v>||1900|</v>
      </c>
      <c r="I826" s="32">
        <f>IF(G826="",0,IF(COUNTIF($G$2:G826,G826)=1,1,0))</f>
        <v>0</v>
      </c>
      <c r="J826" s="32">
        <f>IF(H826="",0,IF(COUNTIF($H$2:H826,H826)=1,1,0))</f>
        <v>0</v>
      </c>
    </row>
    <row r="827" spans="1:10" ht="14.25" hidden="1" customHeight="1" x14ac:dyDescent="0.35">
      <c r="A827" s="30"/>
      <c r="E827" s="31"/>
      <c r="G827" s="32" t="str">
        <f t="shared" si="24"/>
        <v>|||1900|</v>
      </c>
      <c r="H827" s="32" t="str">
        <f t="shared" si="25"/>
        <v>||1900|</v>
      </c>
      <c r="I827" s="32">
        <f>IF(G827="",0,IF(COUNTIF($G$2:G827,G827)=1,1,0))</f>
        <v>0</v>
      </c>
      <c r="J827" s="32">
        <f>IF(H827="",0,IF(COUNTIF($H$2:H827,H827)=1,1,0))</f>
        <v>0</v>
      </c>
    </row>
    <row r="828" spans="1:10" ht="14.25" hidden="1" customHeight="1" x14ac:dyDescent="0.35">
      <c r="A828" s="30"/>
      <c r="E828" s="31"/>
      <c r="G828" s="32" t="str">
        <f t="shared" si="24"/>
        <v>|||1900|</v>
      </c>
      <c r="H828" s="32" t="str">
        <f t="shared" si="25"/>
        <v>||1900|</v>
      </c>
      <c r="I828" s="32">
        <f>IF(G828="",0,IF(COUNTIF($G$2:G828,G828)=1,1,0))</f>
        <v>0</v>
      </c>
      <c r="J828" s="32">
        <f>IF(H828="",0,IF(COUNTIF($H$2:H828,H828)=1,1,0))</f>
        <v>0</v>
      </c>
    </row>
    <row r="829" spans="1:10" ht="14.25" hidden="1" customHeight="1" x14ac:dyDescent="0.35">
      <c r="A829" s="30"/>
      <c r="E829" s="31"/>
      <c r="G829" s="32" t="str">
        <f t="shared" si="24"/>
        <v>|||1900|</v>
      </c>
      <c r="H829" s="32" t="str">
        <f t="shared" si="25"/>
        <v>||1900|</v>
      </c>
      <c r="I829" s="32">
        <f>IF(G829="",0,IF(COUNTIF($G$2:G829,G829)=1,1,0))</f>
        <v>0</v>
      </c>
      <c r="J829" s="32">
        <f>IF(H829="",0,IF(COUNTIF($H$2:H829,H829)=1,1,0))</f>
        <v>0</v>
      </c>
    </row>
    <row r="830" spans="1:10" ht="14.25" hidden="1" customHeight="1" x14ac:dyDescent="0.35">
      <c r="A830" s="30"/>
      <c r="E830" s="31"/>
      <c r="G830" s="32" t="str">
        <f t="shared" si="24"/>
        <v>|||1900|</v>
      </c>
      <c r="H830" s="32" t="str">
        <f t="shared" si="25"/>
        <v>||1900|</v>
      </c>
      <c r="I830" s="32">
        <f>IF(G830="",0,IF(COUNTIF($G$2:G830,G830)=1,1,0))</f>
        <v>0</v>
      </c>
      <c r="J830" s="32">
        <f>IF(H830="",0,IF(COUNTIF($H$2:H830,H830)=1,1,0))</f>
        <v>0</v>
      </c>
    </row>
    <row r="831" spans="1:10" ht="14.25" hidden="1" customHeight="1" x14ac:dyDescent="0.35">
      <c r="A831" s="30"/>
      <c r="E831" s="31"/>
      <c r="G831" s="32" t="str">
        <f t="shared" si="24"/>
        <v>|||1900|</v>
      </c>
      <c r="H831" s="32" t="str">
        <f t="shared" si="25"/>
        <v>||1900|</v>
      </c>
      <c r="I831" s="32">
        <f>IF(G831="",0,IF(COUNTIF($G$2:G831,G831)=1,1,0))</f>
        <v>0</v>
      </c>
      <c r="J831" s="32">
        <f>IF(H831="",0,IF(COUNTIF($H$2:H831,H831)=1,1,0))</f>
        <v>0</v>
      </c>
    </row>
    <row r="832" spans="1:10" ht="14.25" hidden="1" customHeight="1" x14ac:dyDescent="0.35">
      <c r="A832" s="30"/>
      <c r="E832" s="31"/>
      <c r="G832" s="32" t="str">
        <f t="shared" si="24"/>
        <v>|||1900|</v>
      </c>
      <c r="H832" s="32" t="str">
        <f t="shared" si="25"/>
        <v>||1900|</v>
      </c>
      <c r="I832" s="32">
        <f>IF(G832="",0,IF(COUNTIF($G$2:G832,G832)=1,1,0))</f>
        <v>0</v>
      </c>
      <c r="J832" s="32">
        <f>IF(H832="",0,IF(COUNTIF($H$2:H832,H832)=1,1,0))</f>
        <v>0</v>
      </c>
    </row>
    <row r="833" spans="1:10" ht="14.25" hidden="1" customHeight="1" x14ac:dyDescent="0.35">
      <c r="A833" s="30"/>
      <c r="E833" s="31"/>
      <c r="G833" s="32" t="str">
        <f t="shared" si="24"/>
        <v>|||1900|</v>
      </c>
      <c r="H833" s="32" t="str">
        <f t="shared" si="25"/>
        <v>||1900|</v>
      </c>
      <c r="I833" s="32">
        <f>IF(G833="",0,IF(COUNTIF($G$2:G833,G833)=1,1,0))</f>
        <v>0</v>
      </c>
      <c r="J833" s="32">
        <f>IF(H833="",0,IF(COUNTIF($H$2:H833,H833)=1,1,0))</f>
        <v>0</v>
      </c>
    </row>
    <row r="834" spans="1:10" ht="14.25" hidden="1" customHeight="1" x14ac:dyDescent="0.35">
      <c r="A834" s="30"/>
      <c r="E834" s="31"/>
      <c r="G834" s="32" t="str">
        <f t="shared" ref="G834:G897" si="26">IF(D834="T",
E834&amp;"|"&amp;F834,
A834&amp;"|"&amp;B834&amp;"|"&amp;C834&amp;"|"&amp;YEAR(E834)&amp;"|"&amp;F834)</f>
        <v>|||1900|</v>
      </c>
      <c r="H834" s="32" t="str">
        <f t="shared" ref="H834:H897" si="27">A834&amp;"|"&amp;C834&amp;"|"&amp;YEAR(E834)&amp;"|"&amp;F834</f>
        <v>||1900|</v>
      </c>
      <c r="I834" s="32">
        <f>IF(G834="",0,IF(COUNTIF($G$2:G834,G834)=1,1,0))</f>
        <v>0</v>
      </c>
      <c r="J834" s="32">
        <f>IF(H834="",0,IF(COUNTIF($H$2:H834,H834)=1,1,0))</f>
        <v>0</v>
      </c>
    </row>
    <row r="835" spans="1:10" ht="14.25" hidden="1" customHeight="1" x14ac:dyDescent="0.35">
      <c r="A835" s="30"/>
      <c r="E835" s="31"/>
      <c r="G835" s="32" t="str">
        <f t="shared" si="26"/>
        <v>|||1900|</v>
      </c>
      <c r="H835" s="32" t="str">
        <f t="shared" si="27"/>
        <v>||1900|</v>
      </c>
      <c r="I835" s="32">
        <f>IF(G835="",0,IF(COUNTIF($G$2:G835,G835)=1,1,0))</f>
        <v>0</v>
      </c>
      <c r="J835" s="32">
        <f>IF(H835="",0,IF(COUNTIF($H$2:H835,H835)=1,1,0))</f>
        <v>0</v>
      </c>
    </row>
    <row r="836" spans="1:10" ht="14.25" hidden="1" customHeight="1" x14ac:dyDescent="0.35">
      <c r="A836" s="30"/>
      <c r="E836" s="31"/>
      <c r="G836" s="32" t="str">
        <f t="shared" si="26"/>
        <v>|||1900|</v>
      </c>
      <c r="H836" s="32" t="str">
        <f t="shared" si="27"/>
        <v>||1900|</v>
      </c>
      <c r="I836" s="32">
        <f>IF(G836="",0,IF(COUNTIF($G$2:G836,G836)=1,1,0))</f>
        <v>0</v>
      </c>
      <c r="J836" s="32">
        <f>IF(H836="",0,IF(COUNTIF($H$2:H836,H836)=1,1,0))</f>
        <v>0</v>
      </c>
    </row>
    <row r="837" spans="1:10" ht="14.25" hidden="1" customHeight="1" x14ac:dyDescent="0.35">
      <c r="A837" s="30"/>
      <c r="E837" s="31"/>
      <c r="G837" s="32" t="str">
        <f t="shared" si="26"/>
        <v>|||1900|</v>
      </c>
      <c r="H837" s="32" t="str">
        <f t="shared" si="27"/>
        <v>||1900|</v>
      </c>
      <c r="I837" s="32">
        <f>IF(G837="",0,IF(COUNTIF($G$2:G837,G837)=1,1,0))</f>
        <v>0</v>
      </c>
      <c r="J837" s="32">
        <f>IF(H837="",0,IF(COUNTIF($H$2:H837,H837)=1,1,0))</f>
        <v>0</v>
      </c>
    </row>
    <row r="838" spans="1:10" ht="14.25" hidden="1" customHeight="1" x14ac:dyDescent="0.35">
      <c r="A838" s="30"/>
      <c r="E838" s="31"/>
      <c r="G838" s="32" t="str">
        <f t="shared" si="26"/>
        <v>|||1900|</v>
      </c>
      <c r="H838" s="32" t="str">
        <f t="shared" si="27"/>
        <v>||1900|</v>
      </c>
      <c r="I838" s="32">
        <f>IF(G838="",0,IF(COUNTIF($G$2:G838,G838)=1,1,0))</f>
        <v>0</v>
      </c>
      <c r="J838" s="32">
        <f>IF(H838="",0,IF(COUNTIF($H$2:H838,H838)=1,1,0))</f>
        <v>0</v>
      </c>
    </row>
    <row r="839" spans="1:10" ht="14.25" hidden="1" customHeight="1" x14ac:dyDescent="0.35">
      <c r="A839" s="30"/>
      <c r="E839" s="31"/>
      <c r="G839" s="32" t="str">
        <f t="shared" si="26"/>
        <v>|||1900|</v>
      </c>
      <c r="H839" s="32" t="str">
        <f t="shared" si="27"/>
        <v>||1900|</v>
      </c>
      <c r="I839" s="32">
        <f>IF(G839="",0,IF(COUNTIF($G$2:G839,G839)=1,1,0))</f>
        <v>0</v>
      </c>
      <c r="J839" s="32">
        <f>IF(H839="",0,IF(COUNTIF($H$2:H839,H839)=1,1,0))</f>
        <v>0</v>
      </c>
    </row>
    <row r="840" spans="1:10" ht="14.25" hidden="1" customHeight="1" x14ac:dyDescent="0.35">
      <c r="A840" s="30"/>
      <c r="E840" s="31"/>
      <c r="G840" s="32" t="str">
        <f t="shared" si="26"/>
        <v>|||1900|</v>
      </c>
      <c r="H840" s="32" t="str">
        <f t="shared" si="27"/>
        <v>||1900|</v>
      </c>
      <c r="I840" s="32">
        <f>IF(G840="",0,IF(COUNTIF($G$2:G840,G840)=1,1,0))</f>
        <v>0</v>
      </c>
      <c r="J840" s="32">
        <f>IF(H840="",0,IF(COUNTIF($H$2:H840,H840)=1,1,0))</f>
        <v>0</v>
      </c>
    </row>
    <row r="841" spans="1:10" ht="14.25" hidden="1" customHeight="1" x14ac:dyDescent="0.35">
      <c r="A841" s="30"/>
      <c r="E841" s="31"/>
      <c r="G841" s="32" t="str">
        <f t="shared" si="26"/>
        <v>|||1900|</v>
      </c>
      <c r="H841" s="32" t="str">
        <f t="shared" si="27"/>
        <v>||1900|</v>
      </c>
      <c r="I841" s="32">
        <f>IF(G841="",0,IF(COUNTIF($G$2:G841,G841)=1,1,0))</f>
        <v>0</v>
      </c>
      <c r="J841" s="32">
        <f>IF(H841="",0,IF(COUNTIF($H$2:H841,H841)=1,1,0))</f>
        <v>0</v>
      </c>
    </row>
    <row r="842" spans="1:10" ht="14.25" hidden="1" customHeight="1" x14ac:dyDescent="0.35">
      <c r="A842" s="30"/>
      <c r="E842" s="31"/>
      <c r="G842" s="32" t="str">
        <f t="shared" si="26"/>
        <v>|||1900|</v>
      </c>
      <c r="H842" s="32" t="str">
        <f t="shared" si="27"/>
        <v>||1900|</v>
      </c>
      <c r="I842" s="32">
        <f>IF(G842="",0,IF(COUNTIF($G$2:G842,G842)=1,1,0))</f>
        <v>0</v>
      </c>
      <c r="J842" s="32">
        <f>IF(H842="",0,IF(COUNTIF($H$2:H842,H842)=1,1,0))</f>
        <v>0</v>
      </c>
    </row>
    <row r="843" spans="1:10" ht="14.25" hidden="1" customHeight="1" x14ac:dyDescent="0.35">
      <c r="A843" s="30"/>
      <c r="E843" s="31"/>
      <c r="G843" s="32" t="str">
        <f t="shared" si="26"/>
        <v>|||1900|</v>
      </c>
      <c r="H843" s="32" t="str">
        <f t="shared" si="27"/>
        <v>||1900|</v>
      </c>
      <c r="I843" s="32">
        <f>IF(G843="",0,IF(COUNTIF($G$2:G843,G843)=1,1,0))</f>
        <v>0</v>
      </c>
      <c r="J843" s="32">
        <f>IF(H843="",0,IF(COUNTIF($H$2:H843,H843)=1,1,0))</f>
        <v>0</v>
      </c>
    </row>
    <row r="844" spans="1:10" ht="14.25" hidden="1" customHeight="1" x14ac:dyDescent="0.35">
      <c r="A844" s="30"/>
      <c r="E844" s="31"/>
      <c r="G844" s="32" t="str">
        <f t="shared" si="26"/>
        <v>|||1900|</v>
      </c>
      <c r="H844" s="32" t="str">
        <f t="shared" si="27"/>
        <v>||1900|</v>
      </c>
      <c r="I844" s="32">
        <f>IF(G844="",0,IF(COUNTIF($G$2:G844,G844)=1,1,0))</f>
        <v>0</v>
      </c>
      <c r="J844" s="32">
        <f>IF(H844="",0,IF(COUNTIF($H$2:H844,H844)=1,1,0))</f>
        <v>0</v>
      </c>
    </row>
    <row r="845" spans="1:10" ht="14.25" hidden="1" customHeight="1" x14ac:dyDescent="0.35">
      <c r="A845" s="30"/>
      <c r="E845" s="31"/>
      <c r="G845" s="32" t="str">
        <f t="shared" si="26"/>
        <v>|||1900|</v>
      </c>
      <c r="H845" s="32" t="str">
        <f t="shared" si="27"/>
        <v>||1900|</v>
      </c>
      <c r="I845" s="32">
        <f>IF(G845="",0,IF(COUNTIF($G$2:G845,G845)=1,1,0))</f>
        <v>0</v>
      </c>
      <c r="J845" s="32">
        <f>IF(H845="",0,IF(COUNTIF($H$2:H845,H845)=1,1,0))</f>
        <v>0</v>
      </c>
    </row>
    <row r="846" spans="1:10" ht="14.25" hidden="1" customHeight="1" x14ac:dyDescent="0.35">
      <c r="A846" s="30"/>
      <c r="E846" s="31"/>
      <c r="G846" s="32" t="str">
        <f t="shared" si="26"/>
        <v>|||1900|</v>
      </c>
      <c r="H846" s="32" t="str">
        <f t="shared" si="27"/>
        <v>||1900|</v>
      </c>
      <c r="I846" s="32">
        <f>IF(G846="",0,IF(COUNTIF($G$2:G846,G846)=1,1,0))</f>
        <v>0</v>
      </c>
      <c r="J846" s="32">
        <f>IF(H846="",0,IF(COUNTIF($H$2:H846,H846)=1,1,0))</f>
        <v>0</v>
      </c>
    </row>
    <row r="847" spans="1:10" ht="14.25" hidden="1" customHeight="1" x14ac:dyDescent="0.35">
      <c r="A847" s="30"/>
      <c r="E847" s="31"/>
      <c r="G847" s="32" t="str">
        <f t="shared" si="26"/>
        <v>|||1900|</v>
      </c>
      <c r="H847" s="32" t="str">
        <f t="shared" si="27"/>
        <v>||1900|</v>
      </c>
      <c r="I847" s="32">
        <f>IF(G847="",0,IF(COUNTIF($G$2:G847,G847)=1,1,0))</f>
        <v>0</v>
      </c>
      <c r="J847" s="32">
        <f>IF(H847="",0,IF(COUNTIF($H$2:H847,H847)=1,1,0))</f>
        <v>0</v>
      </c>
    </row>
    <row r="848" spans="1:10" ht="14.25" hidden="1" customHeight="1" x14ac:dyDescent="0.35">
      <c r="A848" s="30"/>
      <c r="E848" s="31"/>
      <c r="G848" s="32" t="str">
        <f t="shared" si="26"/>
        <v>|||1900|</v>
      </c>
      <c r="H848" s="32" t="str">
        <f t="shared" si="27"/>
        <v>||1900|</v>
      </c>
      <c r="I848" s="32">
        <f>IF(G848="",0,IF(COUNTIF($G$2:G848,G848)=1,1,0))</f>
        <v>0</v>
      </c>
      <c r="J848" s="32">
        <f>IF(H848="",0,IF(COUNTIF($H$2:H848,H848)=1,1,0))</f>
        <v>0</v>
      </c>
    </row>
    <row r="849" spans="1:10" ht="14.25" hidden="1" customHeight="1" x14ac:dyDescent="0.35">
      <c r="A849" s="30"/>
      <c r="E849" s="31"/>
      <c r="G849" s="32" t="str">
        <f t="shared" si="26"/>
        <v>|||1900|</v>
      </c>
      <c r="H849" s="32" t="str">
        <f t="shared" si="27"/>
        <v>||1900|</v>
      </c>
      <c r="I849" s="32">
        <f>IF(G849="",0,IF(COUNTIF($G$2:G849,G849)=1,1,0))</f>
        <v>0</v>
      </c>
      <c r="J849" s="32">
        <f>IF(H849="",0,IF(COUNTIF($H$2:H849,H849)=1,1,0))</f>
        <v>0</v>
      </c>
    </row>
    <row r="850" spans="1:10" ht="14.25" hidden="1" customHeight="1" x14ac:dyDescent="0.35">
      <c r="A850" s="30"/>
      <c r="E850" s="31"/>
      <c r="G850" s="32" t="str">
        <f t="shared" si="26"/>
        <v>|||1900|</v>
      </c>
      <c r="H850" s="32" t="str">
        <f t="shared" si="27"/>
        <v>||1900|</v>
      </c>
      <c r="I850" s="32">
        <f>IF(G850="",0,IF(COUNTIF($G$2:G850,G850)=1,1,0))</f>
        <v>0</v>
      </c>
      <c r="J850" s="32">
        <f>IF(H850="",0,IF(COUNTIF($H$2:H850,H850)=1,1,0))</f>
        <v>0</v>
      </c>
    </row>
    <row r="851" spans="1:10" ht="14.25" hidden="1" customHeight="1" x14ac:dyDescent="0.35">
      <c r="A851" s="30"/>
      <c r="E851" s="31"/>
      <c r="G851" s="32" t="str">
        <f t="shared" si="26"/>
        <v>|||1900|</v>
      </c>
      <c r="H851" s="32" t="str">
        <f t="shared" si="27"/>
        <v>||1900|</v>
      </c>
      <c r="I851" s="32">
        <f>IF(G851="",0,IF(COUNTIF($G$2:G851,G851)=1,1,0))</f>
        <v>0</v>
      </c>
      <c r="J851" s="32">
        <f>IF(H851="",0,IF(COUNTIF($H$2:H851,H851)=1,1,0))</f>
        <v>0</v>
      </c>
    </row>
    <row r="852" spans="1:10" ht="14.25" hidden="1" customHeight="1" x14ac:dyDescent="0.35">
      <c r="A852" s="30"/>
      <c r="E852" s="31"/>
      <c r="G852" s="32" t="str">
        <f t="shared" si="26"/>
        <v>|||1900|</v>
      </c>
      <c r="H852" s="32" t="str">
        <f t="shared" si="27"/>
        <v>||1900|</v>
      </c>
      <c r="I852" s="32">
        <f>IF(G852="",0,IF(COUNTIF($G$2:G852,G852)=1,1,0))</f>
        <v>0</v>
      </c>
      <c r="J852" s="32">
        <f>IF(H852="",0,IF(COUNTIF($H$2:H852,H852)=1,1,0))</f>
        <v>0</v>
      </c>
    </row>
    <row r="853" spans="1:10" ht="14.25" hidden="1" customHeight="1" x14ac:dyDescent="0.35">
      <c r="A853" s="30"/>
      <c r="E853" s="31"/>
      <c r="G853" s="32" t="str">
        <f t="shared" si="26"/>
        <v>|||1900|</v>
      </c>
      <c r="H853" s="32" t="str">
        <f t="shared" si="27"/>
        <v>||1900|</v>
      </c>
      <c r="I853" s="32">
        <f>IF(G853="",0,IF(COUNTIF($G$2:G853,G853)=1,1,0))</f>
        <v>0</v>
      </c>
      <c r="J853" s="32">
        <f>IF(H853="",0,IF(COUNTIF($H$2:H853,H853)=1,1,0))</f>
        <v>0</v>
      </c>
    </row>
    <row r="854" spans="1:10" ht="14.25" hidden="1" customHeight="1" x14ac:dyDescent="0.35">
      <c r="A854" s="30"/>
      <c r="E854" s="31"/>
      <c r="G854" s="32" t="str">
        <f t="shared" si="26"/>
        <v>|||1900|</v>
      </c>
      <c r="H854" s="32" t="str">
        <f t="shared" si="27"/>
        <v>||1900|</v>
      </c>
      <c r="I854" s="32">
        <f>IF(G854="",0,IF(COUNTIF($G$2:G854,G854)=1,1,0))</f>
        <v>0</v>
      </c>
      <c r="J854" s="32">
        <f>IF(H854="",0,IF(COUNTIF($H$2:H854,H854)=1,1,0))</f>
        <v>0</v>
      </c>
    </row>
    <row r="855" spans="1:10" ht="14.25" hidden="1" customHeight="1" x14ac:dyDescent="0.35">
      <c r="A855" s="30"/>
      <c r="E855" s="31"/>
      <c r="G855" s="32" t="str">
        <f t="shared" si="26"/>
        <v>|||1900|</v>
      </c>
      <c r="H855" s="32" t="str">
        <f t="shared" si="27"/>
        <v>||1900|</v>
      </c>
      <c r="I855" s="32">
        <f>IF(G855="",0,IF(COUNTIF($G$2:G855,G855)=1,1,0))</f>
        <v>0</v>
      </c>
      <c r="J855" s="32">
        <f>IF(H855="",0,IF(COUNTIF($H$2:H855,H855)=1,1,0))</f>
        <v>0</v>
      </c>
    </row>
    <row r="856" spans="1:10" ht="14.25" hidden="1" customHeight="1" x14ac:dyDescent="0.35">
      <c r="A856" s="30"/>
      <c r="E856" s="31"/>
      <c r="G856" s="32" t="str">
        <f t="shared" si="26"/>
        <v>|||1900|</v>
      </c>
      <c r="H856" s="32" t="str">
        <f t="shared" si="27"/>
        <v>||1900|</v>
      </c>
      <c r="I856" s="32">
        <f>IF(G856="",0,IF(COUNTIF($G$2:G856,G856)=1,1,0))</f>
        <v>0</v>
      </c>
      <c r="J856" s="32">
        <f>IF(H856="",0,IF(COUNTIF($H$2:H856,H856)=1,1,0))</f>
        <v>0</v>
      </c>
    </row>
    <row r="857" spans="1:10" ht="14.25" hidden="1" customHeight="1" x14ac:dyDescent="0.35">
      <c r="A857" s="30"/>
      <c r="E857" s="31"/>
      <c r="G857" s="32" t="str">
        <f t="shared" si="26"/>
        <v>|||1900|</v>
      </c>
      <c r="H857" s="32" t="str">
        <f t="shared" si="27"/>
        <v>||1900|</v>
      </c>
      <c r="I857" s="32">
        <f>IF(G857="",0,IF(COUNTIF($G$2:G857,G857)=1,1,0))</f>
        <v>0</v>
      </c>
      <c r="J857" s="32">
        <f>IF(H857="",0,IF(COUNTIF($H$2:H857,H857)=1,1,0))</f>
        <v>0</v>
      </c>
    </row>
    <row r="858" spans="1:10" ht="14.25" hidden="1" customHeight="1" x14ac:dyDescent="0.35">
      <c r="A858" s="30"/>
      <c r="E858" s="31"/>
      <c r="G858" s="32" t="str">
        <f t="shared" si="26"/>
        <v>|||1900|</v>
      </c>
      <c r="H858" s="32" t="str">
        <f t="shared" si="27"/>
        <v>||1900|</v>
      </c>
      <c r="I858" s="32">
        <f>IF(G858="",0,IF(COUNTIF($G$2:G858,G858)=1,1,0))</f>
        <v>0</v>
      </c>
      <c r="J858" s="32">
        <f>IF(H858="",0,IF(COUNTIF($H$2:H858,H858)=1,1,0))</f>
        <v>0</v>
      </c>
    </row>
    <row r="859" spans="1:10" ht="14.25" hidden="1" customHeight="1" x14ac:dyDescent="0.35">
      <c r="A859" s="30"/>
      <c r="E859" s="31"/>
      <c r="G859" s="32" t="str">
        <f t="shared" si="26"/>
        <v>|||1900|</v>
      </c>
      <c r="H859" s="32" t="str">
        <f t="shared" si="27"/>
        <v>||1900|</v>
      </c>
      <c r="I859" s="32">
        <f>IF(G859="",0,IF(COUNTIF($G$2:G859,G859)=1,1,0))</f>
        <v>0</v>
      </c>
      <c r="J859" s="32">
        <f>IF(H859="",0,IF(COUNTIF($H$2:H859,H859)=1,1,0))</f>
        <v>0</v>
      </c>
    </row>
    <row r="860" spans="1:10" ht="14.25" hidden="1" customHeight="1" x14ac:dyDescent="0.35">
      <c r="A860" s="30"/>
      <c r="E860" s="31"/>
      <c r="G860" s="32" t="str">
        <f t="shared" si="26"/>
        <v>|||1900|</v>
      </c>
      <c r="H860" s="32" t="str">
        <f t="shared" si="27"/>
        <v>||1900|</v>
      </c>
      <c r="I860" s="32">
        <f>IF(G860="",0,IF(COUNTIF($G$2:G860,G860)=1,1,0))</f>
        <v>0</v>
      </c>
      <c r="J860" s="32">
        <f>IF(H860="",0,IF(COUNTIF($H$2:H860,H860)=1,1,0))</f>
        <v>0</v>
      </c>
    </row>
    <row r="861" spans="1:10" ht="14.25" hidden="1" customHeight="1" x14ac:dyDescent="0.35">
      <c r="A861" s="30"/>
      <c r="E861" s="31"/>
      <c r="G861" s="32" t="str">
        <f t="shared" si="26"/>
        <v>|||1900|</v>
      </c>
      <c r="H861" s="32" t="str">
        <f t="shared" si="27"/>
        <v>||1900|</v>
      </c>
      <c r="I861" s="32">
        <f>IF(G861="",0,IF(COUNTIF($G$2:G861,G861)=1,1,0))</f>
        <v>0</v>
      </c>
      <c r="J861" s="32">
        <f>IF(H861="",0,IF(COUNTIF($H$2:H861,H861)=1,1,0))</f>
        <v>0</v>
      </c>
    </row>
    <row r="862" spans="1:10" ht="14.25" hidden="1" customHeight="1" x14ac:dyDescent="0.35">
      <c r="A862" s="30"/>
      <c r="E862" s="31"/>
      <c r="G862" s="32" t="str">
        <f t="shared" si="26"/>
        <v>|||1900|</v>
      </c>
      <c r="H862" s="32" t="str">
        <f t="shared" si="27"/>
        <v>||1900|</v>
      </c>
      <c r="I862" s="32">
        <f>IF(G862="",0,IF(COUNTIF($G$2:G862,G862)=1,1,0))</f>
        <v>0</v>
      </c>
      <c r="J862" s="32">
        <f>IF(H862="",0,IF(COUNTIF($H$2:H862,H862)=1,1,0))</f>
        <v>0</v>
      </c>
    </row>
    <row r="863" spans="1:10" ht="14.25" hidden="1" customHeight="1" x14ac:dyDescent="0.35">
      <c r="A863" s="30"/>
      <c r="E863" s="31"/>
      <c r="G863" s="32" t="str">
        <f t="shared" si="26"/>
        <v>|||1900|</v>
      </c>
      <c r="H863" s="32" t="str">
        <f t="shared" si="27"/>
        <v>||1900|</v>
      </c>
      <c r="I863" s="32">
        <f>IF(G863="",0,IF(COUNTIF($G$2:G863,G863)=1,1,0))</f>
        <v>0</v>
      </c>
      <c r="J863" s="32">
        <f>IF(H863="",0,IF(COUNTIF($H$2:H863,H863)=1,1,0))</f>
        <v>0</v>
      </c>
    </row>
    <row r="864" spans="1:10" ht="14.25" hidden="1" customHeight="1" x14ac:dyDescent="0.35">
      <c r="A864" s="30"/>
      <c r="E864" s="31"/>
      <c r="G864" s="32" t="str">
        <f t="shared" si="26"/>
        <v>|||1900|</v>
      </c>
      <c r="H864" s="32" t="str">
        <f t="shared" si="27"/>
        <v>||1900|</v>
      </c>
      <c r="I864" s="32">
        <f>IF(G864="",0,IF(COUNTIF($G$2:G864,G864)=1,1,0))</f>
        <v>0</v>
      </c>
      <c r="J864" s="32">
        <f>IF(H864="",0,IF(COUNTIF($H$2:H864,H864)=1,1,0))</f>
        <v>0</v>
      </c>
    </row>
    <row r="865" spans="1:10" ht="14.25" hidden="1" customHeight="1" x14ac:dyDescent="0.35">
      <c r="A865" s="30"/>
      <c r="E865" s="31"/>
      <c r="G865" s="32" t="str">
        <f t="shared" si="26"/>
        <v>|||1900|</v>
      </c>
      <c r="H865" s="32" t="str">
        <f t="shared" si="27"/>
        <v>||1900|</v>
      </c>
      <c r="I865" s="32">
        <f>IF(G865="",0,IF(COUNTIF($G$2:G865,G865)=1,1,0))</f>
        <v>0</v>
      </c>
      <c r="J865" s="32">
        <f>IF(H865="",0,IF(COUNTIF($H$2:H865,H865)=1,1,0))</f>
        <v>0</v>
      </c>
    </row>
    <row r="866" spans="1:10" ht="14.25" hidden="1" customHeight="1" x14ac:dyDescent="0.35">
      <c r="A866" s="30"/>
      <c r="E866" s="31"/>
      <c r="G866" s="32" t="str">
        <f t="shared" si="26"/>
        <v>|||1900|</v>
      </c>
      <c r="H866" s="32" t="str">
        <f t="shared" si="27"/>
        <v>||1900|</v>
      </c>
      <c r="I866" s="32">
        <f>IF(G866="",0,IF(COUNTIF($G$2:G866,G866)=1,1,0))</f>
        <v>0</v>
      </c>
      <c r="J866" s="32">
        <f>IF(H866="",0,IF(COUNTIF($H$2:H866,H866)=1,1,0))</f>
        <v>0</v>
      </c>
    </row>
    <row r="867" spans="1:10" ht="14.25" hidden="1" customHeight="1" x14ac:dyDescent="0.35">
      <c r="A867" s="30"/>
      <c r="E867" s="31"/>
      <c r="G867" s="32" t="str">
        <f t="shared" si="26"/>
        <v>|||1900|</v>
      </c>
      <c r="H867" s="32" t="str">
        <f t="shared" si="27"/>
        <v>||1900|</v>
      </c>
      <c r="I867" s="32">
        <f>IF(G867="",0,IF(COUNTIF($G$2:G867,G867)=1,1,0))</f>
        <v>0</v>
      </c>
      <c r="J867" s="32">
        <f>IF(H867="",0,IF(COUNTIF($H$2:H867,H867)=1,1,0))</f>
        <v>0</v>
      </c>
    </row>
    <row r="868" spans="1:10" ht="14.25" hidden="1" customHeight="1" x14ac:dyDescent="0.35">
      <c r="A868" s="30"/>
      <c r="E868" s="31"/>
      <c r="G868" s="32" t="str">
        <f t="shared" si="26"/>
        <v>|||1900|</v>
      </c>
      <c r="H868" s="32" t="str">
        <f t="shared" si="27"/>
        <v>||1900|</v>
      </c>
      <c r="I868" s="32">
        <f>IF(G868="",0,IF(COUNTIF($G$2:G868,G868)=1,1,0))</f>
        <v>0</v>
      </c>
      <c r="J868" s="32">
        <f>IF(H868="",0,IF(COUNTIF($H$2:H868,H868)=1,1,0))</f>
        <v>0</v>
      </c>
    </row>
    <row r="869" spans="1:10" ht="14.25" hidden="1" customHeight="1" x14ac:dyDescent="0.35">
      <c r="A869" s="30"/>
      <c r="E869" s="31"/>
      <c r="G869" s="32" t="str">
        <f t="shared" si="26"/>
        <v>|||1900|</v>
      </c>
      <c r="H869" s="32" t="str">
        <f t="shared" si="27"/>
        <v>||1900|</v>
      </c>
      <c r="I869" s="32">
        <f>IF(G869="",0,IF(COUNTIF($G$2:G869,G869)=1,1,0))</f>
        <v>0</v>
      </c>
      <c r="J869" s="32">
        <f>IF(H869="",0,IF(COUNTIF($H$2:H869,H869)=1,1,0))</f>
        <v>0</v>
      </c>
    </row>
    <row r="870" spans="1:10" ht="14.25" hidden="1" customHeight="1" x14ac:dyDescent="0.35">
      <c r="A870" s="30"/>
      <c r="E870" s="31"/>
      <c r="G870" s="32" t="str">
        <f t="shared" si="26"/>
        <v>|||1900|</v>
      </c>
      <c r="H870" s="32" t="str">
        <f t="shared" si="27"/>
        <v>||1900|</v>
      </c>
      <c r="I870" s="32">
        <f>IF(G870="",0,IF(COUNTIF($G$2:G870,G870)=1,1,0))</f>
        <v>0</v>
      </c>
      <c r="J870" s="32">
        <f>IF(H870="",0,IF(COUNTIF($H$2:H870,H870)=1,1,0))</f>
        <v>0</v>
      </c>
    </row>
    <row r="871" spans="1:10" ht="14.25" hidden="1" customHeight="1" x14ac:dyDescent="0.35">
      <c r="A871" s="30"/>
      <c r="E871" s="31"/>
      <c r="G871" s="32" t="str">
        <f t="shared" si="26"/>
        <v>|||1900|</v>
      </c>
      <c r="H871" s="32" t="str">
        <f t="shared" si="27"/>
        <v>||1900|</v>
      </c>
      <c r="I871" s="32">
        <f>IF(G871="",0,IF(COUNTIF($G$2:G871,G871)=1,1,0))</f>
        <v>0</v>
      </c>
      <c r="J871" s="32">
        <f>IF(H871="",0,IF(COUNTIF($H$2:H871,H871)=1,1,0))</f>
        <v>0</v>
      </c>
    </row>
    <row r="872" spans="1:10" ht="14.25" hidden="1" customHeight="1" x14ac:dyDescent="0.35">
      <c r="A872" s="30"/>
      <c r="E872" s="31"/>
      <c r="G872" s="32" t="str">
        <f t="shared" si="26"/>
        <v>|||1900|</v>
      </c>
      <c r="H872" s="32" t="str">
        <f t="shared" si="27"/>
        <v>||1900|</v>
      </c>
      <c r="I872" s="32">
        <f>IF(G872="",0,IF(COUNTIF($G$2:G872,G872)=1,1,0))</f>
        <v>0</v>
      </c>
      <c r="J872" s="32">
        <f>IF(H872="",0,IF(COUNTIF($H$2:H872,H872)=1,1,0))</f>
        <v>0</v>
      </c>
    </row>
    <row r="873" spans="1:10" ht="14.25" hidden="1" customHeight="1" x14ac:dyDescent="0.35">
      <c r="A873" s="30"/>
      <c r="E873" s="31"/>
      <c r="G873" s="32" t="str">
        <f t="shared" si="26"/>
        <v>|||1900|</v>
      </c>
      <c r="H873" s="32" t="str">
        <f t="shared" si="27"/>
        <v>||1900|</v>
      </c>
      <c r="I873" s="32">
        <f>IF(G873="",0,IF(COUNTIF($G$2:G873,G873)=1,1,0))</f>
        <v>0</v>
      </c>
      <c r="J873" s="32">
        <f>IF(H873="",0,IF(COUNTIF($H$2:H873,H873)=1,1,0))</f>
        <v>0</v>
      </c>
    </row>
    <row r="874" spans="1:10" ht="14.25" hidden="1" customHeight="1" x14ac:dyDescent="0.35">
      <c r="A874" s="30"/>
      <c r="E874" s="31"/>
      <c r="G874" s="32" t="str">
        <f t="shared" si="26"/>
        <v>|||1900|</v>
      </c>
      <c r="H874" s="32" t="str">
        <f t="shared" si="27"/>
        <v>||1900|</v>
      </c>
      <c r="I874" s="32">
        <f>IF(G874="",0,IF(COUNTIF($G$2:G874,G874)=1,1,0))</f>
        <v>0</v>
      </c>
      <c r="J874" s="32">
        <f>IF(H874="",0,IF(COUNTIF($H$2:H874,H874)=1,1,0))</f>
        <v>0</v>
      </c>
    </row>
    <row r="875" spans="1:10" ht="14.25" hidden="1" customHeight="1" x14ac:dyDescent="0.35">
      <c r="A875" s="30"/>
      <c r="E875" s="31"/>
      <c r="G875" s="32" t="str">
        <f t="shared" si="26"/>
        <v>|||1900|</v>
      </c>
      <c r="H875" s="32" t="str">
        <f t="shared" si="27"/>
        <v>||1900|</v>
      </c>
      <c r="I875" s="32">
        <f>IF(G875="",0,IF(COUNTIF($G$2:G875,G875)=1,1,0))</f>
        <v>0</v>
      </c>
      <c r="J875" s="32">
        <f>IF(H875="",0,IF(COUNTIF($H$2:H875,H875)=1,1,0))</f>
        <v>0</v>
      </c>
    </row>
    <row r="876" spans="1:10" ht="14.25" hidden="1" customHeight="1" x14ac:dyDescent="0.35">
      <c r="A876" s="30"/>
      <c r="E876" s="31"/>
      <c r="G876" s="32" t="str">
        <f t="shared" si="26"/>
        <v>|||1900|</v>
      </c>
      <c r="H876" s="32" t="str">
        <f t="shared" si="27"/>
        <v>||1900|</v>
      </c>
      <c r="I876" s="32">
        <f>IF(G876="",0,IF(COUNTIF($G$2:G876,G876)=1,1,0))</f>
        <v>0</v>
      </c>
      <c r="J876" s="32">
        <f>IF(H876="",0,IF(COUNTIF($H$2:H876,H876)=1,1,0))</f>
        <v>0</v>
      </c>
    </row>
    <row r="877" spans="1:10" ht="14.25" hidden="1" customHeight="1" x14ac:dyDescent="0.35">
      <c r="A877" s="30"/>
      <c r="E877" s="31"/>
      <c r="G877" s="32" t="str">
        <f t="shared" si="26"/>
        <v>|||1900|</v>
      </c>
      <c r="H877" s="32" t="str">
        <f t="shared" si="27"/>
        <v>||1900|</v>
      </c>
      <c r="I877" s="32">
        <f>IF(G877="",0,IF(COUNTIF($G$2:G877,G877)=1,1,0))</f>
        <v>0</v>
      </c>
      <c r="J877" s="32">
        <f>IF(H877="",0,IF(COUNTIF($H$2:H877,H877)=1,1,0))</f>
        <v>0</v>
      </c>
    </row>
    <row r="878" spans="1:10" ht="14.25" hidden="1" customHeight="1" x14ac:dyDescent="0.35">
      <c r="A878" s="30"/>
      <c r="E878" s="31"/>
      <c r="G878" s="32" t="str">
        <f t="shared" si="26"/>
        <v>|||1900|</v>
      </c>
      <c r="H878" s="32" t="str">
        <f t="shared" si="27"/>
        <v>||1900|</v>
      </c>
      <c r="I878" s="32">
        <f>IF(G878="",0,IF(COUNTIF($G$2:G878,G878)=1,1,0))</f>
        <v>0</v>
      </c>
      <c r="J878" s="32">
        <f>IF(H878="",0,IF(COUNTIF($H$2:H878,H878)=1,1,0))</f>
        <v>0</v>
      </c>
    </row>
    <row r="879" spans="1:10" ht="14.25" hidden="1" customHeight="1" x14ac:dyDescent="0.35">
      <c r="A879" s="30"/>
      <c r="E879" s="31"/>
      <c r="G879" s="32" t="str">
        <f t="shared" si="26"/>
        <v>|||1900|</v>
      </c>
      <c r="H879" s="32" t="str">
        <f t="shared" si="27"/>
        <v>||1900|</v>
      </c>
      <c r="I879" s="32">
        <f>IF(G879="",0,IF(COUNTIF($G$2:G879,G879)=1,1,0))</f>
        <v>0</v>
      </c>
      <c r="J879" s="32">
        <f>IF(H879="",0,IF(COUNTIF($H$2:H879,H879)=1,1,0))</f>
        <v>0</v>
      </c>
    </row>
    <row r="880" spans="1:10" ht="14.25" hidden="1" customHeight="1" x14ac:dyDescent="0.35">
      <c r="A880" s="30"/>
      <c r="E880" s="31"/>
      <c r="G880" s="32" t="str">
        <f t="shared" si="26"/>
        <v>|||1900|</v>
      </c>
      <c r="H880" s="32" t="str">
        <f t="shared" si="27"/>
        <v>||1900|</v>
      </c>
      <c r="I880" s="32">
        <f>IF(G880="",0,IF(COUNTIF($G$2:G880,G880)=1,1,0))</f>
        <v>0</v>
      </c>
      <c r="J880" s="32">
        <f>IF(H880="",0,IF(COUNTIF($H$2:H880,H880)=1,1,0))</f>
        <v>0</v>
      </c>
    </row>
    <row r="881" spans="1:10" ht="14.25" hidden="1" customHeight="1" x14ac:dyDescent="0.35">
      <c r="A881" s="30"/>
      <c r="E881" s="31"/>
      <c r="G881" s="32" t="str">
        <f t="shared" si="26"/>
        <v>|||1900|</v>
      </c>
      <c r="H881" s="32" t="str">
        <f t="shared" si="27"/>
        <v>||1900|</v>
      </c>
      <c r="I881" s="32">
        <f>IF(G881="",0,IF(COUNTIF($G$2:G881,G881)=1,1,0))</f>
        <v>0</v>
      </c>
      <c r="J881" s="32">
        <f>IF(H881="",0,IF(COUNTIF($H$2:H881,H881)=1,1,0))</f>
        <v>0</v>
      </c>
    </row>
    <row r="882" spans="1:10" ht="14.25" hidden="1" customHeight="1" x14ac:dyDescent="0.35">
      <c r="A882" s="30"/>
      <c r="E882" s="31"/>
      <c r="G882" s="32" t="str">
        <f t="shared" si="26"/>
        <v>|||1900|</v>
      </c>
      <c r="H882" s="32" t="str">
        <f t="shared" si="27"/>
        <v>||1900|</v>
      </c>
      <c r="I882" s="32">
        <f>IF(G882="",0,IF(COUNTIF($G$2:G882,G882)=1,1,0))</f>
        <v>0</v>
      </c>
      <c r="J882" s="32">
        <f>IF(H882="",0,IF(COUNTIF($H$2:H882,H882)=1,1,0))</f>
        <v>0</v>
      </c>
    </row>
    <row r="883" spans="1:10" ht="14.25" hidden="1" customHeight="1" x14ac:dyDescent="0.35">
      <c r="A883" s="30"/>
      <c r="E883" s="31"/>
      <c r="G883" s="32" t="str">
        <f t="shared" si="26"/>
        <v>|||1900|</v>
      </c>
      <c r="H883" s="32" t="str">
        <f t="shared" si="27"/>
        <v>||1900|</v>
      </c>
      <c r="I883" s="32">
        <f>IF(G883="",0,IF(COUNTIF($G$2:G883,G883)=1,1,0))</f>
        <v>0</v>
      </c>
      <c r="J883" s="32">
        <f>IF(H883="",0,IF(COUNTIF($H$2:H883,H883)=1,1,0))</f>
        <v>0</v>
      </c>
    </row>
    <row r="884" spans="1:10" ht="14.25" hidden="1" customHeight="1" x14ac:dyDescent="0.35">
      <c r="A884" s="30"/>
      <c r="E884" s="31"/>
      <c r="G884" s="32" t="str">
        <f t="shared" si="26"/>
        <v>|||1900|</v>
      </c>
      <c r="H884" s="32" t="str">
        <f t="shared" si="27"/>
        <v>||1900|</v>
      </c>
      <c r="I884" s="32">
        <f>IF(G884="",0,IF(COUNTIF($G$2:G884,G884)=1,1,0))</f>
        <v>0</v>
      </c>
      <c r="J884" s="32">
        <f>IF(H884="",0,IF(COUNTIF($H$2:H884,H884)=1,1,0))</f>
        <v>0</v>
      </c>
    </row>
    <row r="885" spans="1:10" ht="14.25" hidden="1" customHeight="1" x14ac:dyDescent="0.35">
      <c r="A885" s="30"/>
      <c r="E885" s="31"/>
      <c r="G885" s="32" t="str">
        <f t="shared" si="26"/>
        <v>|||1900|</v>
      </c>
      <c r="H885" s="32" t="str">
        <f t="shared" si="27"/>
        <v>||1900|</v>
      </c>
      <c r="I885" s="32">
        <f>IF(G885="",0,IF(COUNTIF($G$2:G885,G885)=1,1,0))</f>
        <v>0</v>
      </c>
      <c r="J885" s="32">
        <f>IF(H885="",0,IF(COUNTIF($H$2:H885,H885)=1,1,0))</f>
        <v>0</v>
      </c>
    </row>
    <row r="886" spans="1:10" ht="14.25" hidden="1" customHeight="1" x14ac:dyDescent="0.35">
      <c r="A886" s="30"/>
      <c r="E886" s="31"/>
      <c r="G886" s="32" t="str">
        <f t="shared" si="26"/>
        <v>|||1900|</v>
      </c>
      <c r="H886" s="32" t="str">
        <f t="shared" si="27"/>
        <v>||1900|</v>
      </c>
      <c r="I886" s="32">
        <f>IF(G886="",0,IF(COUNTIF($G$2:G886,G886)=1,1,0))</f>
        <v>0</v>
      </c>
      <c r="J886" s="32">
        <f>IF(H886="",0,IF(COUNTIF($H$2:H886,H886)=1,1,0))</f>
        <v>0</v>
      </c>
    </row>
    <row r="887" spans="1:10" ht="14.25" hidden="1" customHeight="1" x14ac:dyDescent="0.35">
      <c r="A887" s="30"/>
      <c r="E887" s="31"/>
      <c r="G887" s="32" t="str">
        <f t="shared" si="26"/>
        <v>|||1900|</v>
      </c>
      <c r="H887" s="32" t="str">
        <f t="shared" si="27"/>
        <v>||1900|</v>
      </c>
      <c r="I887" s="32">
        <f>IF(G887="",0,IF(COUNTIF($G$2:G887,G887)=1,1,0))</f>
        <v>0</v>
      </c>
      <c r="J887" s="32">
        <f>IF(H887="",0,IF(COUNTIF($H$2:H887,H887)=1,1,0))</f>
        <v>0</v>
      </c>
    </row>
    <row r="888" spans="1:10" ht="14.25" hidden="1" customHeight="1" x14ac:dyDescent="0.35">
      <c r="A888" s="30"/>
      <c r="E888" s="31"/>
      <c r="G888" s="32" t="str">
        <f t="shared" si="26"/>
        <v>|||1900|</v>
      </c>
      <c r="H888" s="32" t="str">
        <f t="shared" si="27"/>
        <v>||1900|</v>
      </c>
      <c r="I888" s="32">
        <f>IF(G888="",0,IF(COUNTIF($G$2:G888,G888)=1,1,0))</f>
        <v>0</v>
      </c>
      <c r="J888" s="32">
        <f>IF(H888="",0,IF(COUNTIF($H$2:H888,H888)=1,1,0))</f>
        <v>0</v>
      </c>
    </row>
    <row r="889" spans="1:10" ht="14.25" hidden="1" customHeight="1" x14ac:dyDescent="0.35">
      <c r="A889" s="30"/>
      <c r="E889" s="31"/>
      <c r="G889" s="32" t="str">
        <f t="shared" si="26"/>
        <v>|||1900|</v>
      </c>
      <c r="H889" s="32" t="str">
        <f t="shared" si="27"/>
        <v>||1900|</v>
      </c>
      <c r="I889" s="32">
        <f>IF(G889="",0,IF(COUNTIF($G$2:G889,G889)=1,1,0))</f>
        <v>0</v>
      </c>
      <c r="J889" s="32">
        <f>IF(H889="",0,IF(COUNTIF($H$2:H889,H889)=1,1,0))</f>
        <v>0</v>
      </c>
    </row>
    <row r="890" spans="1:10" ht="14.25" hidden="1" customHeight="1" x14ac:dyDescent="0.35">
      <c r="A890" s="30"/>
      <c r="E890" s="31"/>
      <c r="G890" s="32" t="str">
        <f t="shared" si="26"/>
        <v>|||1900|</v>
      </c>
      <c r="H890" s="32" t="str">
        <f t="shared" si="27"/>
        <v>||1900|</v>
      </c>
      <c r="I890" s="32">
        <f>IF(G890="",0,IF(COUNTIF($G$2:G890,G890)=1,1,0))</f>
        <v>0</v>
      </c>
      <c r="J890" s="32">
        <f>IF(H890="",0,IF(COUNTIF($H$2:H890,H890)=1,1,0))</f>
        <v>0</v>
      </c>
    </row>
    <row r="891" spans="1:10" ht="14.25" hidden="1" customHeight="1" x14ac:dyDescent="0.35">
      <c r="A891" s="30"/>
      <c r="E891" s="31"/>
      <c r="G891" s="32" t="str">
        <f t="shared" si="26"/>
        <v>|||1900|</v>
      </c>
      <c r="H891" s="32" t="str">
        <f t="shared" si="27"/>
        <v>||1900|</v>
      </c>
      <c r="I891" s="32">
        <f>IF(G891="",0,IF(COUNTIF($G$2:G891,G891)=1,1,0))</f>
        <v>0</v>
      </c>
      <c r="J891" s="32">
        <f>IF(H891="",0,IF(COUNTIF($H$2:H891,H891)=1,1,0))</f>
        <v>0</v>
      </c>
    </row>
    <row r="892" spans="1:10" ht="14.25" hidden="1" customHeight="1" x14ac:dyDescent="0.35">
      <c r="A892" s="30"/>
      <c r="E892" s="31"/>
      <c r="G892" s="32" t="str">
        <f t="shared" si="26"/>
        <v>|||1900|</v>
      </c>
      <c r="H892" s="32" t="str">
        <f t="shared" si="27"/>
        <v>||1900|</v>
      </c>
      <c r="I892" s="32">
        <f>IF(G892="",0,IF(COUNTIF($G$2:G892,G892)=1,1,0))</f>
        <v>0</v>
      </c>
      <c r="J892" s="32">
        <f>IF(H892="",0,IF(COUNTIF($H$2:H892,H892)=1,1,0))</f>
        <v>0</v>
      </c>
    </row>
    <row r="893" spans="1:10" ht="14.25" hidden="1" customHeight="1" x14ac:dyDescent="0.35">
      <c r="A893" s="30"/>
      <c r="E893" s="31"/>
      <c r="G893" s="32" t="str">
        <f t="shared" si="26"/>
        <v>|||1900|</v>
      </c>
      <c r="H893" s="32" t="str">
        <f t="shared" si="27"/>
        <v>||1900|</v>
      </c>
      <c r="I893" s="32">
        <f>IF(G893="",0,IF(COUNTIF($G$2:G893,G893)=1,1,0))</f>
        <v>0</v>
      </c>
      <c r="J893" s="32">
        <f>IF(H893="",0,IF(COUNTIF($H$2:H893,H893)=1,1,0))</f>
        <v>0</v>
      </c>
    </row>
    <row r="894" spans="1:10" ht="14.25" hidden="1" customHeight="1" x14ac:dyDescent="0.35">
      <c r="A894" s="30"/>
      <c r="E894" s="31"/>
      <c r="G894" s="32" t="str">
        <f t="shared" si="26"/>
        <v>|||1900|</v>
      </c>
      <c r="H894" s="32" t="str">
        <f t="shared" si="27"/>
        <v>||1900|</v>
      </c>
      <c r="I894" s="32">
        <f>IF(G894="",0,IF(COUNTIF($G$2:G894,G894)=1,1,0))</f>
        <v>0</v>
      </c>
      <c r="J894" s="32">
        <f>IF(H894="",0,IF(COUNTIF($H$2:H894,H894)=1,1,0))</f>
        <v>0</v>
      </c>
    </row>
    <row r="895" spans="1:10" ht="14.25" hidden="1" customHeight="1" x14ac:dyDescent="0.35">
      <c r="A895" s="30"/>
      <c r="E895" s="31"/>
      <c r="G895" s="32" t="str">
        <f t="shared" si="26"/>
        <v>|||1900|</v>
      </c>
      <c r="H895" s="32" t="str">
        <f t="shared" si="27"/>
        <v>||1900|</v>
      </c>
      <c r="I895" s="32">
        <f>IF(G895="",0,IF(COUNTIF($G$2:G895,G895)=1,1,0))</f>
        <v>0</v>
      </c>
      <c r="J895" s="32">
        <f>IF(H895="",0,IF(COUNTIF($H$2:H895,H895)=1,1,0))</f>
        <v>0</v>
      </c>
    </row>
    <row r="896" spans="1:10" ht="14.25" hidden="1" customHeight="1" x14ac:dyDescent="0.35">
      <c r="A896" s="30"/>
      <c r="E896" s="31"/>
      <c r="G896" s="32" t="str">
        <f t="shared" si="26"/>
        <v>|||1900|</v>
      </c>
      <c r="H896" s="32" t="str">
        <f t="shared" si="27"/>
        <v>||1900|</v>
      </c>
      <c r="I896" s="32">
        <f>IF(G896="",0,IF(COUNTIF($G$2:G896,G896)=1,1,0))</f>
        <v>0</v>
      </c>
      <c r="J896" s="32">
        <f>IF(H896="",0,IF(COUNTIF($H$2:H896,H896)=1,1,0))</f>
        <v>0</v>
      </c>
    </row>
    <row r="897" spans="1:10" ht="14.25" hidden="1" customHeight="1" x14ac:dyDescent="0.35">
      <c r="A897" s="30"/>
      <c r="E897" s="31"/>
      <c r="G897" s="32" t="str">
        <f t="shared" si="26"/>
        <v>|||1900|</v>
      </c>
      <c r="H897" s="32" t="str">
        <f t="shared" si="27"/>
        <v>||1900|</v>
      </c>
      <c r="I897" s="32">
        <f>IF(G897="",0,IF(COUNTIF($G$2:G897,G897)=1,1,0))</f>
        <v>0</v>
      </c>
      <c r="J897" s="32">
        <f>IF(H897="",0,IF(COUNTIF($H$2:H897,H897)=1,1,0))</f>
        <v>0</v>
      </c>
    </row>
    <row r="898" spans="1:10" ht="14.25" hidden="1" customHeight="1" x14ac:dyDescent="0.35">
      <c r="A898" s="30"/>
      <c r="E898" s="31"/>
      <c r="G898" s="32" t="str">
        <f t="shared" ref="G898:G961" si="28">IF(D898="T",
E898&amp;"|"&amp;F898,
A898&amp;"|"&amp;B898&amp;"|"&amp;C898&amp;"|"&amp;YEAR(E898)&amp;"|"&amp;F898)</f>
        <v>|||1900|</v>
      </c>
      <c r="H898" s="32" t="str">
        <f t="shared" ref="H898:H961" si="29">A898&amp;"|"&amp;C898&amp;"|"&amp;YEAR(E898)&amp;"|"&amp;F898</f>
        <v>||1900|</v>
      </c>
      <c r="I898" s="32">
        <f>IF(G898="",0,IF(COUNTIF($G$2:G898,G898)=1,1,0))</f>
        <v>0</v>
      </c>
      <c r="J898" s="32">
        <f>IF(H898="",0,IF(COUNTIF($H$2:H898,H898)=1,1,0))</f>
        <v>0</v>
      </c>
    </row>
    <row r="899" spans="1:10" ht="14.25" hidden="1" customHeight="1" x14ac:dyDescent="0.35">
      <c r="A899" s="30"/>
      <c r="E899" s="31"/>
      <c r="G899" s="32" t="str">
        <f t="shared" si="28"/>
        <v>|||1900|</v>
      </c>
      <c r="H899" s="32" t="str">
        <f t="shared" si="29"/>
        <v>||1900|</v>
      </c>
      <c r="I899" s="32">
        <f>IF(G899="",0,IF(COUNTIF($G$2:G899,G899)=1,1,0))</f>
        <v>0</v>
      </c>
      <c r="J899" s="32">
        <f>IF(H899="",0,IF(COUNTIF($H$2:H899,H899)=1,1,0))</f>
        <v>0</v>
      </c>
    </row>
    <row r="900" spans="1:10" ht="14.25" hidden="1" customHeight="1" x14ac:dyDescent="0.35">
      <c r="A900" s="30"/>
      <c r="E900" s="31"/>
      <c r="G900" s="32" t="str">
        <f t="shared" si="28"/>
        <v>|||1900|</v>
      </c>
      <c r="H900" s="32" t="str">
        <f t="shared" si="29"/>
        <v>||1900|</v>
      </c>
      <c r="I900" s="32">
        <f>IF(G900="",0,IF(COUNTIF($G$2:G900,G900)=1,1,0))</f>
        <v>0</v>
      </c>
      <c r="J900" s="32">
        <f>IF(H900="",0,IF(COUNTIF($H$2:H900,H900)=1,1,0))</f>
        <v>0</v>
      </c>
    </row>
    <row r="901" spans="1:10" ht="14.25" hidden="1" customHeight="1" x14ac:dyDescent="0.35">
      <c r="A901" s="30"/>
      <c r="E901" s="31"/>
      <c r="G901" s="32" t="str">
        <f t="shared" si="28"/>
        <v>|||1900|</v>
      </c>
      <c r="H901" s="32" t="str">
        <f t="shared" si="29"/>
        <v>||1900|</v>
      </c>
      <c r="I901" s="32">
        <f>IF(G901="",0,IF(COUNTIF($G$2:G901,G901)=1,1,0))</f>
        <v>0</v>
      </c>
      <c r="J901" s="32">
        <f>IF(H901="",0,IF(COUNTIF($H$2:H901,H901)=1,1,0))</f>
        <v>0</v>
      </c>
    </row>
    <row r="902" spans="1:10" ht="14.25" hidden="1" customHeight="1" x14ac:dyDescent="0.35">
      <c r="A902" s="30"/>
      <c r="E902" s="31"/>
      <c r="G902" s="32" t="str">
        <f t="shared" si="28"/>
        <v>|||1900|</v>
      </c>
      <c r="H902" s="32" t="str">
        <f t="shared" si="29"/>
        <v>||1900|</v>
      </c>
      <c r="I902" s="32">
        <f>IF(G902="",0,IF(COUNTIF($G$2:G902,G902)=1,1,0))</f>
        <v>0</v>
      </c>
      <c r="J902" s="32">
        <f>IF(H902="",0,IF(COUNTIF($H$2:H902,H902)=1,1,0))</f>
        <v>0</v>
      </c>
    </row>
    <row r="903" spans="1:10" ht="14.25" hidden="1" customHeight="1" x14ac:dyDescent="0.35">
      <c r="A903" s="30"/>
      <c r="E903" s="31"/>
      <c r="G903" s="32" t="str">
        <f t="shared" si="28"/>
        <v>|||1900|</v>
      </c>
      <c r="H903" s="32" t="str">
        <f t="shared" si="29"/>
        <v>||1900|</v>
      </c>
      <c r="I903" s="32">
        <f>IF(G903="",0,IF(COUNTIF($G$2:G903,G903)=1,1,0))</f>
        <v>0</v>
      </c>
      <c r="J903" s="32">
        <f>IF(H903="",0,IF(COUNTIF($H$2:H903,H903)=1,1,0))</f>
        <v>0</v>
      </c>
    </row>
    <row r="904" spans="1:10" ht="14.25" hidden="1" customHeight="1" x14ac:dyDescent="0.35">
      <c r="A904" s="30"/>
      <c r="E904" s="31"/>
      <c r="G904" s="32" t="str">
        <f t="shared" si="28"/>
        <v>|||1900|</v>
      </c>
      <c r="H904" s="32" t="str">
        <f t="shared" si="29"/>
        <v>||1900|</v>
      </c>
      <c r="I904" s="32">
        <f>IF(G904="",0,IF(COUNTIF($G$2:G904,G904)=1,1,0))</f>
        <v>0</v>
      </c>
      <c r="J904" s="32">
        <f>IF(H904="",0,IF(COUNTIF($H$2:H904,H904)=1,1,0))</f>
        <v>0</v>
      </c>
    </row>
    <row r="905" spans="1:10" ht="14.25" hidden="1" customHeight="1" x14ac:dyDescent="0.35">
      <c r="A905" s="30"/>
      <c r="E905" s="31"/>
      <c r="G905" s="32" t="str">
        <f t="shared" si="28"/>
        <v>|||1900|</v>
      </c>
      <c r="H905" s="32" t="str">
        <f t="shared" si="29"/>
        <v>||1900|</v>
      </c>
      <c r="I905" s="32">
        <f>IF(G905="",0,IF(COUNTIF($G$2:G905,G905)=1,1,0))</f>
        <v>0</v>
      </c>
      <c r="J905" s="32">
        <f>IF(H905="",0,IF(COUNTIF($H$2:H905,H905)=1,1,0))</f>
        <v>0</v>
      </c>
    </row>
    <row r="906" spans="1:10" ht="14.25" hidden="1" customHeight="1" x14ac:dyDescent="0.35">
      <c r="A906" s="30"/>
      <c r="E906" s="31"/>
      <c r="G906" s="32" t="str">
        <f t="shared" si="28"/>
        <v>|||1900|</v>
      </c>
      <c r="H906" s="32" t="str">
        <f t="shared" si="29"/>
        <v>||1900|</v>
      </c>
      <c r="I906" s="32">
        <f>IF(G906="",0,IF(COUNTIF($G$2:G906,G906)=1,1,0))</f>
        <v>0</v>
      </c>
      <c r="J906" s="32">
        <f>IF(H906="",0,IF(COUNTIF($H$2:H906,H906)=1,1,0))</f>
        <v>0</v>
      </c>
    </row>
    <row r="907" spans="1:10" ht="14.25" hidden="1" customHeight="1" x14ac:dyDescent="0.35">
      <c r="A907" s="30"/>
      <c r="E907" s="31"/>
      <c r="G907" s="32" t="str">
        <f t="shared" si="28"/>
        <v>|||1900|</v>
      </c>
      <c r="H907" s="32" t="str">
        <f t="shared" si="29"/>
        <v>||1900|</v>
      </c>
      <c r="I907" s="32">
        <f>IF(G907="",0,IF(COUNTIF($G$2:G907,G907)=1,1,0))</f>
        <v>0</v>
      </c>
      <c r="J907" s="32">
        <f>IF(H907="",0,IF(COUNTIF($H$2:H907,H907)=1,1,0))</f>
        <v>0</v>
      </c>
    </row>
    <row r="908" spans="1:10" ht="14.25" hidden="1" customHeight="1" x14ac:dyDescent="0.35">
      <c r="A908" s="30"/>
      <c r="E908" s="31"/>
      <c r="G908" s="32" t="str">
        <f t="shared" si="28"/>
        <v>|||1900|</v>
      </c>
      <c r="H908" s="32" t="str">
        <f t="shared" si="29"/>
        <v>||1900|</v>
      </c>
      <c r="I908" s="32">
        <f>IF(G908="",0,IF(COUNTIF($G$2:G908,G908)=1,1,0))</f>
        <v>0</v>
      </c>
      <c r="J908" s="32">
        <f>IF(H908="",0,IF(COUNTIF($H$2:H908,H908)=1,1,0))</f>
        <v>0</v>
      </c>
    </row>
    <row r="909" spans="1:10" ht="14.25" hidden="1" customHeight="1" x14ac:dyDescent="0.35">
      <c r="A909" s="30"/>
      <c r="E909" s="31"/>
      <c r="G909" s="32" t="str">
        <f t="shared" si="28"/>
        <v>|||1900|</v>
      </c>
      <c r="H909" s="32" t="str">
        <f t="shared" si="29"/>
        <v>||1900|</v>
      </c>
      <c r="I909" s="32">
        <f>IF(G909="",0,IF(COUNTIF($G$2:G909,G909)=1,1,0))</f>
        <v>0</v>
      </c>
      <c r="J909" s="32">
        <f>IF(H909="",0,IF(COUNTIF($H$2:H909,H909)=1,1,0))</f>
        <v>0</v>
      </c>
    </row>
    <row r="910" spans="1:10" ht="14.25" hidden="1" customHeight="1" x14ac:dyDescent="0.35">
      <c r="A910" s="30"/>
      <c r="E910" s="31"/>
      <c r="G910" s="32" t="str">
        <f t="shared" si="28"/>
        <v>|||1900|</v>
      </c>
      <c r="H910" s="32" t="str">
        <f t="shared" si="29"/>
        <v>||1900|</v>
      </c>
      <c r="I910" s="32">
        <f>IF(G910="",0,IF(COUNTIF($G$2:G910,G910)=1,1,0))</f>
        <v>0</v>
      </c>
      <c r="J910" s="32">
        <f>IF(H910="",0,IF(COUNTIF($H$2:H910,H910)=1,1,0))</f>
        <v>0</v>
      </c>
    </row>
    <row r="911" spans="1:10" ht="14.25" hidden="1" customHeight="1" x14ac:dyDescent="0.35">
      <c r="A911" s="30"/>
      <c r="E911" s="31"/>
      <c r="G911" s="32" t="str">
        <f t="shared" si="28"/>
        <v>|||1900|</v>
      </c>
      <c r="H911" s="32" t="str">
        <f t="shared" si="29"/>
        <v>||1900|</v>
      </c>
      <c r="I911" s="32">
        <f>IF(G911="",0,IF(COUNTIF($G$2:G911,G911)=1,1,0))</f>
        <v>0</v>
      </c>
      <c r="J911" s="32">
        <f>IF(H911="",0,IF(COUNTIF($H$2:H911,H911)=1,1,0))</f>
        <v>0</v>
      </c>
    </row>
    <row r="912" spans="1:10" ht="14.25" hidden="1" customHeight="1" x14ac:dyDescent="0.35">
      <c r="A912" s="30"/>
      <c r="E912" s="31"/>
      <c r="G912" s="32" t="str">
        <f t="shared" si="28"/>
        <v>|||1900|</v>
      </c>
      <c r="H912" s="32" t="str">
        <f t="shared" si="29"/>
        <v>||1900|</v>
      </c>
      <c r="I912" s="32">
        <f>IF(G912="",0,IF(COUNTIF($G$2:G912,G912)=1,1,0))</f>
        <v>0</v>
      </c>
      <c r="J912" s="32">
        <f>IF(H912="",0,IF(COUNTIF($H$2:H912,H912)=1,1,0))</f>
        <v>0</v>
      </c>
    </row>
    <row r="913" spans="1:10" ht="14.25" hidden="1" customHeight="1" x14ac:dyDescent="0.35">
      <c r="A913" s="30"/>
      <c r="E913" s="31"/>
      <c r="G913" s="32" t="str">
        <f t="shared" si="28"/>
        <v>|||1900|</v>
      </c>
      <c r="H913" s="32" t="str">
        <f t="shared" si="29"/>
        <v>||1900|</v>
      </c>
      <c r="I913" s="32">
        <f>IF(G913="",0,IF(COUNTIF($G$2:G913,G913)=1,1,0))</f>
        <v>0</v>
      </c>
      <c r="J913" s="32">
        <f>IF(H913="",0,IF(COUNTIF($H$2:H913,H913)=1,1,0))</f>
        <v>0</v>
      </c>
    </row>
    <row r="914" spans="1:10" ht="14.25" hidden="1" customHeight="1" x14ac:dyDescent="0.35">
      <c r="A914" s="30"/>
      <c r="E914" s="31"/>
      <c r="G914" s="32" t="str">
        <f t="shared" si="28"/>
        <v>|||1900|</v>
      </c>
      <c r="H914" s="32" t="str">
        <f t="shared" si="29"/>
        <v>||1900|</v>
      </c>
      <c r="I914" s="32">
        <f>IF(G914="",0,IF(COUNTIF($G$2:G914,G914)=1,1,0))</f>
        <v>0</v>
      </c>
      <c r="J914" s="32">
        <f>IF(H914="",0,IF(COUNTIF($H$2:H914,H914)=1,1,0))</f>
        <v>0</v>
      </c>
    </row>
    <row r="915" spans="1:10" ht="14.25" hidden="1" customHeight="1" x14ac:dyDescent="0.35">
      <c r="A915" s="30"/>
      <c r="E915" s="31"/>
      <c r="G915" s="32" t="str">
        <f t="shared" si="28"/>
        <v>|||1900|</v>
      </c>
      <c r="H915" s="32" t="str">
        <f t="shared" si="29"/>
        <v>||1900|</v>
      </c>
      <c r="I915" s="32">
        <f>IF(G915="",0,IF(COUNTIF($G$2:G915,G915)=1,1,0))</f>
        <v>0</v>
      </c>
      <c r="J915" s="32">
        <f>IF(H915="",0,IF(COUNTIF($H$2:H915,H915)=1,1,0))</f>
        <v>0</v>
      </c>
    </row>
    <row r="916" spans="1:10" ht="14.25" hidden="1" customHeight="1" x14ac:dyDescent="0.35">
      <c r="A916" s="30"/>
      <c r="E916" s="31"/>
      <c r="G916" s="32" t="str">
        <f t="shared" si="28"/>
        <v>|||1900|</v>
      </c>
      <c r="H916" s="32" t="str">
        <f t="shared" si="29"/>
        <v>||1900|</v>
      </c>
      <c r="I916" s="32">
        <f>IF(G916="",0,IF(COUNTIF($G$2:G916,G916)=1,1,0))</f>
        <v>0</v>
      </c>
      <c r="J916" s="32">
        <f>IF(H916="",0,IF(COUNTIF($H$2:H916,H916)=1,1,0))</f>
        <v>0</v>
      </c>
    </row>
    <row r="917" spans="1:10" ht="14.25" hidden="1" customHeight="1" x14ac:dyDescent="0.35">
      <c r="A917" s="30"/>
      <c r="E917" s="31"/>
      <c r="G917" s="32" t="str">
        <f t="shared" si="28"/>
        <v>|||1900|</v>
      </c>
      <c r="H917" s="32" t="str">
        <f t="shared" si="29"/>
        <v>||1900|</v>
      </c>
      <c r="I917" s="32">
        <f>IF(G917="",0,IF(COUNTIF($G$2:G917,G917)=1,1,0))</f>
        <v>0</v>
      </c>
      <c r="J917" s="32">
        <f>IF(H917="",0,IF(COUNTIF($H$2:H917,H917)=1,1,0))</f>
        <v>0</v>
      </c>
    </row>
    <row r="918" spans="1:10" ht="14.25" hidden="1" customHeight="1" x14ac:dyDescent="0.35">
      <c r="A918" s="30"/>
      <c r="E918" s="31"/>
      <c r="G918" s="32" t="str">
        <f t="shared" si="28"/>
        <v>|||1900|</v>
      </c>
      <c r="H918" s="32" t="str">
        <f t="shared" si="29"/>
        <v>||1900|</v>
      </c>
      <c r="I918" s="32">
        <f>IF(G918="",0,IF(COUNTIF($G$2:G918,G918)=1,1,0))</f>
        <v>0</v>
      </c>
      <c r="J918" s="32">
        <f>IF(H918="",0,IF(COUNTIF($H$2:H918,H918)=1,1,0))</f>
        <v>0</v>
      </c>
    </row>
    <row r="919" spans="1:10" ht="14.25" hidden="1" customHeight="1" x14ac:dyDescent="0.35">
      <c r="A919" s="30"/>
      <c r="E919" s="31"/>
      <c r="G919" s="32" t="str">
        <f t="shared" si="28"/>
        <v>|||1900|</v>
      </c>
      <c r="H919" s="32" t="str">
        <f t="shared" si="29"/>
        <v>||1900|</v>
      </c>
      <c r="I919" s="32">
        <f>IF(G919="",0,IF(COUNTIF($G$2:G919,G919)=1,1,0))</f>
        <v>0</v>
      </c>
      <c r="J919" s="32">
        <f>IF(H919="",0,IF(COUNTIF($H$2:H919,H919)=1,1,0))</f>
        <v>0</v>
      </c>
    </row>
    <row r="920" spans="1:10" ht="14.25" hidden="1" customHeight="1" x14ac:dyDescent="0.35">
      <c r="A920" s="30"/>
      <c r="E920" s="31"/>
      <c r="G920" s="32" t="str">
        <f t="shared" si="28"/>
        <v>|||1900|</v>
      </c>
      <c r="H920" s="32" t="str">
        <f t="shared" si="29"/>
        <v>||1900|</v>
      </c>
      <c r="I920" s="32">
        <f>IF(G920="",0,IF(COUNTIF($G$2:G920,G920)=1,1,0))</f>
        <v>0</v>
      </c>
      <c r="J920" s="32">
        <f>IF(H920="",0,IF(COUNTIF($H$2:H920,H920)=1,1,0))</f>
        <v>0</v>
      </c>
    </row>
    <row r="921" spans="1:10" ht="14.25" hidden="1" customHeight="1" x14ac:dyDescent="0.35">
      <c r="A921" s="30"/>
      <c r="E921" s="31"/>
      <c r="G921" s="32" t="str">
        <f t="shared" si="28"/>
        <v>|||1900|</v>
      </c>
      <c r="H921" s="32" t="str">
        <f t="shared" si="29"/>
        <v>||1900|</v>
      </c>
      <c r="I921" s="32">
        <f>IF(G921="",0,IF(COUNTIF($G$2:G921,G921)=1,1,0))</f>
        <v>0</v>
      </c>
      <c r="J921" s="32">
        <f>IF(H921="",0,IF(COUNTIF($H$2:H921,H921)=1,1,0))</f>
        <v>0</v>
      </c>
    </row>
    <row r="922" spans="1:10" ht="14.25" hidden="1" customHeight="1" x14ac:dyDescent="0.35">
      <c r="A922" s="30"/>
      <c r="E922" s="31"/>
      <c r="G922" s="32" t="str">
        <f t="shared" si="28"/>
        <v>|||1900|</v>
      </c>
      <c r="H922" s="32" t="str">
        <f t="shared" si="29"/>
        <v>||1900|</v>
      </c>
      <c r="I922" s="32">
        <f>IF(G922="",0,IF(COUNTIF($G$2:G922,G922)=1,1,0))</f>
        <v>0</v>
      </c>
      <c r="J922" s="32">
        <f>IF(H922="",0,IF(COUNTIF($H$2:H922,H922)=1,1,0))</f>
        <v>0</v>
      </c>
    </row>
    <row r="923" spans="1:10" ht="14.25" hidden="1" customHeight="1" x14ac:dyDescent="0.35">
      <c r="A923" s="30"/>
      <c r="E923" s="31"/>
      <c r="G923" s="32" t="str">
        <f t="shared" si="28"/>
        <v>|||1900|</v>
      </c>
      <c r="H923" s="32" t="str">
        <f t="shared" si="29"/>
        <v>||1900|</v>
      </c>
      <c r="I923" s="32">
        <f>IF(G923="",0,IF(COUNTIF($G$2:G923,G923)=1,1,0))</f>
        <v>0</v>
      </c>
      <c r="J923" s="32">
        <f>IF(H923="",0,IF(COUNTIF($H$2:H923,H923)=1,1,0))</f>
        <v>0</v>
      </c>
    </row>
    <row r="924" spans="1:10" ht="14.25" hidden="1" customHeight="1" x14ac:dyDescent="0.35">
      <c r="A924" s="30"/>
      <c r="E924" s="31"/>
      <c r="G924" s="32" t="str">
        <f t="shared" si="28"/>
        <v>|||1900|</v>
      </c>
      <c r="H924" s="32" t="str">
        <f t="shared" si="29"/>
        <v>||1900|</v>
      </c>
      <c r="I924" s="32">
        <f>IF(G924="",0,IF(COUNTIF($G$2:G924,G924)=1,1,0))</f>
        <v>0</v>
      </c>
      <c r="J924" s="32">
        <f>IF(H924="",0,IF(COUNTIF($H$2:H924,H924)=1,1,0))</f>
        <v>0</v>
      </c>
    </row>
    <row r="925" spans="1:10" ht="14.25" hidden="1" customHeight="1" x14ac:dyDescent="0.35">
      <c r="A925" s="30"/>
      <c r="E925" s="31"/>
      <c r="G925" s="32" t="str">
        <f t="shared" si="28"/>
        <v>|||1900|</v>
      </c>
      <c r="H925" s="32" t="str">
        <f t="shared" si="29"/>
        <v>||1900|</v>
      </c>
      <c r="I925" s="32">
        <f>IF(G925="",0,IF(COUNTIF($G$2:G925,G925)=1,1,0))</f>
        <v>0</v>
      </c>
      <c r="J925" s="32">
        <f>IF(H925="",0,IF(COUNTIF($H$2:H925,H925)=1,1,0))</f>
        <v>0</v>
      </c>
    </row>
    <row r="926" spans="1:10" ht="14.25" hidden="1" customHeight="1" x14ac:dyDescent="0.35">
      <c r="A926" s="30"/>
      <c r="E926" s="31"/>
      <c r="G926" s="32" t="str">
        <f t="shared" si="28"/>
        <v>|||1900|</v>
      </c>
      <c r="H926" s="32" t="str">
        <f t="shared" si="29"/>
        <v>||1900|</v>
      </c>
      <c r="I926" s="32">
        <f>IF(G926="",0,IF(COUNTIF($G$2:G926,G926)=1,1,0))</f>
        <v>0</v>
      </c>
      <c r="J926" s="32">
        <f>IF(H926="",0,IF(COUNTIF($H$2:H926,H926)=1,1,0))</f>
        <v>0</v>
      </c>
    </row>
    <row r="927" spans="1:10" ht="14.25" hidden="1" customHeight="1" x14ac:dyDescent="0.35">
      <c r="A927" s="30"/>
      <c r="E927" s="31"/>
      <c r="G927" s="32" t="str">
        <f t="shared" si="28"/>
        <v>|||1900|</v>
      </c>
      <c r="H927" s="32" t="str">
        <f t="shared" si="29"/>
        <v>||1900|</v>
      </c>
      <c r="I927" s="32">
        <f>IF(G927="",0,IF(COUNTIF($G$2:G927,G927)=1,1,0))</f>
        <v>0</v>
      </c>
      <c r="J927" s="32">
        <f>IF(H927="",0,IF(COUNTIF($H$2:H927,H927)=1,1,0))</f>
        <v>0</v>
      </c>
    </row>
    <row r="928" spans="1:10" ht="14.25" hidden="1" customHeight="1" x14ac:dyDescent="0.35">
      <c r="A928" s="30"/>
      <c r="E928" s="31"/>
      <c r="G928" s="32" t="str">
        <f t="shared" si="28"/>
        <v>|||1900|</v>
      </c>
      <c r="H928" s="32" t="str">
        <f t="shared" si="29"/>
        <v>||1900|</v>
      </c>
      <c r="I928" s="32">
        <f>IF(G928="",0,IF(COUNTIF($G$2:G928,G928)=1,1,0))</f>
        <v>0</v>
      </c>
      <c r="J928" s="32">
        <f>IF(H928="",0,IF(COUNTIF($H$2:H928,H928)=1,1,0))</f>
        <v>0</v>
      </c>
    </row>
    <row r="929" spans="1:10" ht="14.25" hidden="1" customHeight="1" x14ac:dyDescent="0.35">
      <c r="A929" s="30"/>
      <c r="E929" s="31"/>
      <c r="G929" s="32" t="str">
        <f t="shared" si="28"/>
        <v>|||1900|</v>
      </c>
      <c r="H929" s="32" t="str">
        <f t="shared" si="29"/>
        <v>||1900|</v>
      </c>
      <c r="I929" s="32">
        <f>IF(G929="",0,IF(COUNTIF($G$2:G929,G929)=1,1,0))</f>
        <v>0</v>
      </c>
      <c r="J929" s="32">
        <f>IF(H929="",0,IF(COUNTIF($H$2:H929,H929)=1,1,0))</f>
        <v>0</v>
      </c>
    </row>
    <row r="930" spans="1:10" ht="14.25" hidden="1" customHeight="1" x14ac:dyDescent="0.35">
      <c r="A930" s="30"/>
      <c r="E930" s="31"/>
      <c r="G930" s="32" t="str">
        <f t="shared" si="28"/>
        <v>|||1900|</v>
      </c>
      <c r="H930" s="32" t="str">
        <f t="shared" si="29"/>
        <v>||1900|</v>
      </c>
      <c r="I930" s="32">
        <f>IF(G930="",0,IF(COUNTIF($G$2:G930,G930)=1,1,0))</f>
        <v>0</v>
      </c>
      <c r="J930" s="32">
        <f>IF(H930="",0,IF(COUNTIF($H$2:H930,H930)=1,1,0))</f>
        <v>0</v>
      </c>
    </row>
    <row r="931" spans="1:10" ht="14.25" hidden="1" customHeight="1" x14ac:dyDescent="0.35">
      <c r="A931" s="30"/>
      <c r="E931" s="31"/>
      <c r="G931" s="32" t="str">
        <f t="shared" si="28"/>
        <v>|||1900|</v>
      </c>
      <c r="H931" s="32" t="str">
        <f t="shared" si="29"/>
        <v>||1900|</v>
      </c>
      <c r="I931" s="32">
        <f>IF(G931="",0,IF(COUNTIF($G$2:G931,G931)=1,1,0))</f>
        <v>0</v>
      </c>
      <c r="J931" s="32">
        <f>IF(H931="",0,IF(COUNTIF($H$2:H931,H931)=1,1,0))</f>
        <v>0</v>
      </c>
    </row>
    <row r="932" spans="1:10" ht="14.25" hidden="1" customHeight="1" x14ac:dyDescent="0.35">
      <c r="A932" s="30"/>
      <c r="E932" s="31"/>
      <c r="G932" s="32" t="str">
        <f t="shared" si="28"/>
        <v>|||1900|</v>
      </c>
      <c r="H932" s="32" t="str">
        <f t="shared" si="29"/>
        <v>||1900|</v>
      </c>
      <c r="I932" s="32">
        <f>IF(G932="",0,IF(COUNTIF($G$2:G932,G932)=1,1,0))</f>
        <v>0</v>
      </c>
      <c r="J932" s="32">
        <f>IF(H932="",0,IF(COUNTIF($H$2:H932,H932)=1,1,0))</f>
        <v>0</v>
      </c>
    </row>
    <row r="933" spans="1:10" ht="14.25" hidden="1" customHeight="1" x14ac:dyDescent="0.35">
      <c r="A933" s="30"/>
      <c r="E933" s="31"/>
      <c r="G933" s="32" t="str">
        <f t="shared" si="28"/>
        <v>|||1900|</v>
      </c>
      <c r="H933" s="32" t="str">
        <f t="shared" si="29"/>
        <v>||1900|</v>
      </c>
      <c r="I933" s="32">
        <f>IF(G933="",0,IF(COUNTIF($G$2:G933,G933)=1,1,0))</f>
        <v>0</v>
      </c>
      <c r="J933" s="32">
        <f>IF(H933="",0,IF(COUNTIF($H$2:H933,H933)=1,1,0))</f>
        <v>0</v>
      </c>
    </row>
    <row r="934" spans="1:10" ht="14.25" hidden="1" customHeight="1" x14ac:dyDescent="0.35">
      <c r="A934" s="30"/>
      <c r="E934" s="31"/>
      <c r="G934" s="32" t="str">
        <f t="shared" si="28"/>
        <v>|||1900|</v>
      </c>
      <c r="H934" s="32" t="str">
        <f t="shared" si="29"/>
        <v>||1900|</v>
      </c>
      <c r="I934" s="32">
        <f>IF(G934="",0,IF(COUNTIF($G$2:G934,G934)=1,1,0))</f>
        <v>0</v>
      </c>
      <c r="J934" s="32">
        <f>IF(H934="",0,IF(COUNTIF($H$2:H934,H934)=1,1,0))</f>
        <v>0</v>
      </c>
    </row>
    <row r="935" spans="1:10" ht="14.25" hidden="1" customHeight="1" x14ac:dyDescent="0.35">
      <c r="A935" s="30"/>
      <c r="E935" s="31"/>
      <c r="G935" s="32" t="str">
        <f t="shared" si="28"/>
        <v>|||1900|</v>
      </c>
      <c r="H935" s="32" t="str">
        <f t="shared" si="29"/>
        <v>||1900|</v>
      </c>
      <c r="I935" s="32">
        <f>IF(G935="",0,IF(COUNTIF($G$2:G935,G935)=1,1,0))</f>
        <v>0</v>
      </c>
      <c r="J935" s="32">
        <f>IF(H935="",0,IF(COUNTIF($H$2:H935,H935)=1,1,0))</f>
        <v>0</v>
      </c>
    </row>
    <row r="936" spans="1:10" ht="14.25" hidden="1" customHeight="1" x14ac:dyDescent="0.35">
      <c r="A936" s="30"/>
      <c r="E936" s="31"/>
      <c r="G936" s="32" t="str">
        <f t="shared" si="28"/>
        <v>|||1900|</v>
      </c>
      <c r="H936" s="32" t="str">
        <f t="shared" si="29"/>
        <v>||1900|</v>
      </c>
      <c r="I936" s="32">
        <f>IF(G936="",0,IF(COUNTIF($G$2:G936,G936)=1,1,0))</f>
        <v>0</v>
      </c>
      <c r="J936" s="32">
        <f>IF(H936="",0,IF(COUNTIF($H$2:H936,H936)=1,1,0))</f>
        <v>0</v>
      </c>
    </row>
    <row r="937" spans="1:10" ht="14.25" hidden="1" customHeight="1" x14ac:dyDescent="0.35">
      <c r="A937" s="30"/>
      <c r="E937" s="31"/>
      <c r="G937" s="32" t="str">
        <f t="shared" si="28"/>
        <v>|||1900|</v>
      </c>
      <c r="H937" s="32" t="str">
        <f t="shared" si="29"/>
        <v>||1900|</v>
      </c>
      <c r="I937" s="32">
        <f>IF(G937="",0,IF(COUNTIF($G$2:G937,G937)=1,1,0))</f>
        <v>0</v>
      </c>
      <c r="J937" s="32">
        <f>IF(H937="",0,IF(COUNTIF($H$2:H937,H937)=1,1,0))</f>
        <v>0</v>
      </c>
    </row>
    <row r="938" spans="1:10" ht="14.25" hidden="1" customHeight="1" x14ac:dyDescent="0.35">
      <c r="A938" s="30"/>
      <c r="E938" s="31"/>
      <c r="G938" s="32" t="str">
        <f t="shared" si="28"/>
        <v>|||1900|</v>
      </c>
      <c r="H938" s="32" t="str">
        <f t="shared" si="29"/>
        <v>||1900|</v>
      </c>
      <c r="I938" s="32">
        <f>IF(G938="",0,IF(COUNTIF($G$2:G938,G938)=1,1,0))</f>
        <v>0</v>
      </c>
      <c r="J938" s="32">
        <f>IF(H938="",0,IF(COUNTIF($H$2:H938,H938)=1,1,0))</f>
        <v>0</v>
      </c>
    </row>
    <row r="939" spans="1:10" ht="14.25" hidden="1" customHeight="1" x14ac:dyDescent="0.35">
      <c r="A939" s="30"/>
      <c r="E939" s="31"/>
      <c r="G939" s="32" t="str">
        <f t="shared" si="28"/>
        <v>|||1900|</v>
      </c>
      <c r="H939" s="32" t="str">
        <f t="shared" si="29"/>
        <v>||1900|</v>
      </c>
      <c r="I939" s="32">
        <f>IF(G939="",0,IF(COUNTIF($G$2:G939,G939)=1,1,0))</f>
        <v>0</v>
      </c>
      <c r="J939" s="32">
        <f>IF(H939="",0,IF(COUNTIF($H$2:H939,H939)=1,1,0))</f>
        <v>0</v>
      </c>
    </row>
    <row r="940" spans="1:10" ht="14.25" hidden="1" customHeight="1" x14ac:dyDescent="0.35">
      <c r="A940" s="30"/>
      <c r="E940" s="31"/>
      <c r="G940" s="32" t="str">
        <f t="shared" si="28"/>
        <v>|||1900|</v>
      </c>
      <c r="H940" s="32" t="str">
        <f t="shared" si="29"/>
        <v>||1900|</v>
      </c>
      <c r="I940" s="32">
        <f>IF(G940="",0,IF(COUNTIF($G$2:G940,G940)=1,1,0))</f>
        <v>0</v>
      </c>
      <c r="J940" s="32">
        <f>IF(H940="",0,IF(COUNTIF($H$2:H940,H940)=1,1,0))</f>
        <v>0</v>
      </c>
    </row>
    <row r="941" spans="1:10" ht="14.25" hidden="1" customHeight="1" x14ac:dyDescent="0.35">
      <c r="A941" s="30"/>
      <c r="E941" s="31"/>
      <c r="G941" s="32" t="str">
        <f t="shared" si="28"/>
        <v>|||1900|</v>
      </c>
      <c r="H941" s="32" t="str">
        <f t="shared" si="29"/>
        <v>||1900|</v>
      </c>
      <c r="I941" s="32">
        <f>IF(G941="",0,IF(COUNTIF($G$2:G941,G941)=1,1,0))</f>
        <v>0</v>
      </c>
      <c r="J941" s="32">
        <f>IF(H941="",0,IF(COUNTIF($H$2:H941,H941)=1,1,0))</f>
        <v>0</v>
      </c>
    </row>
    <row r="942" spans="1:10" ht="14.25" hidden="1" customHeight="1" x14ac:dyDescent="0.35">
      <c r="A942" s="30"/>
      <c r="E942" s="31"/>
      <c r="G942" s="32" t="str">
        <f t="shared" si="28"/>
        <v>|||1900|</v>
      </c>
      <c r="H942" s="32" t="str">
        <f t="shared" si="29"/>
        <v>||1900|</v>
      </c>
      <c r="I942" s="32">
        <f>IF(G942="",0,IF(COUNTIF($G$2:G942,G942)=1,1,0))</f>
        <v>0</v>
      </c>
      <c r="J942" s="32">
        <f>IF(H942="",0,IF(COUNTIF($H$2:H942,H942)=1,1,0))</f>
        <v>0</v>
      </c>
    </row>
    <row r="943" spans="1:10" ht="14.25" hidden="1" customHeight="1" x14ac:dyDescent="0.35">
      <c r="A943" s="30"/>
      <c r="E943" s="31"/>
      <c r="G943" s="32" t="str">
        <f t="shared" si="28"/>
        <v>|||1900|</v>
      </c>
      <c r="H943" s="32" t="str">
        <f t="shared" si="29"/>
        <v>||1900|</v>
      </c>
      <c r="I943" s="32">
        <f>IF(G943="",0,IF(COUNTIF($G$2:G943,G943)=1,1,0))</f>
        <v>0</v>
      </c>
      <c r="J943" s="32">
        <f>IF(H943="",0,IF(COUNTIF($H$2:H943,H943)=1,1,0))</f>
        <v>0</v>
      </c>
    </row>
    <row r="944" spans="1:10" ht="14.25" hidden="1" customHeight="1" x14ac:dyDescent="0.35">
      <c r="A944" s="30"/>
      <c r="E944" s="31"/>
      <c r="G944" s="32" t="str">
        <f t="shared" si="28"/>
        <v>|||1900|</v>
      </c>
      <c r="H944" s="32" t="str">
        <f t="shared" si="29"/>
        <v>||1900|</v>
      </c>
      <c r="I944" s="32">
        <f>IF(G944="",0,IF(COUNTIF($G$2:G944,G944)=1,1,0))</f>
        <v>0</v>
      </c>
      <c r="J944" s="32">
        <f>IF(H944="",0,IF(COUNTIF($H$2:H944,H944)=1,1,0))</f>
        <v>0</v>
      </c>
    </row>
    <row r="945" spans="1:10" ht="14.25" hidden="1" customHeight="1" x14ac:dyDescent="0.35">
      <c r="A945" s="30"/>
      <c r="E945" s="31"/>
      <c r="G945" s="32" t="str">
        <f t="shared" si="28"/>
        <v>|||1900|</v>
      </c>
      <c r="H945" s="32" t="str">
        <f t="shared" si="29"/>
        <v>||1900|</v>
      </c>
      <c r="I945" s="32">
        <f>IF(G945="",0,IF(COUNTIF($G$2:G945,G945)=1,1,0))</f>
        <v>0</v>
      </c>
      <c r="J945" s="32">
        <f>IF(H945="",0,IF(COUNTIF($H$2:H945,H945)=1,1,0))</f>
        <v>0</v>
      </c>
    </row>
    <row r="946" spans="1:10" ht="14.25" hidden="1" customHeight="1" x14ac:dyDescent="0.35">
      <c r="A946" s="30"/>
      <c r="E946" s="31"/>
      <c r="G946" s="32" t="str">
        <f t="shared" si="28"/>
        <v>|||1900|</v>
      </c>
      <c r="H946" s="32" t="str">
        <f t="shared" si="29"/>
        <v>||1900|</v>
      </c>
      <c r="I946" s="32">
        <f>IF(G946="",0,IF(COUNTIF($G$2:G946,G946)=1,1,0))</f>
        <v>0</v>
      </c>
      <c r="J946" s="32">
        <f>IF(H946="",0,IF(COUNTIF($H$2:H946,H946)=1,1,0))</f>
        <v>0</v>
      </c>
    </row>
    <row r="947" spans="1:10" ht="14.25" hidden="1" customHeight="1" x14ac:dyDescent="0.35">
      <c r="A947" s="30"/>
      <c r="E947" s="31"/>
      <c r="G947" s="32" t="str">
        <f t="shared" si="28"/>
        <v>|||1900|</v>
      </c>
      <c r="H947" s="32" t="str">
        <f t="shared" si="29"/>
        <v>||1900|</v>
      </c>
      <c r="I947" s="32">
        <f>IF(G947="",0,IF(COUNTIF($G$2:G947,G947)=1,1,0))</f>
        <v>0</v>
      </c>
      <c r="J947" s="32">
        <f>IF(H947="",0,IF(COUNTIF($H$2:H947,H947)=1,1,0))</f>
        <v>0</v>
      </c>
    </row>
    <row r="948" spans="1:10" ht="14.25" hidden="1" customHeight="1" x14ac:dyDescent="0.35">
      <c r="A948" s="30"/>
      <c r="E948" s="31"/>
      <c r="G948" s="32" t="str">
        <f t="shared" si="28"/>
        <v>|||1900|</v>
      </c>
      <c r="H948" s="32" t="str">
        <f t="shared" si="29"/>
        <v>||1900|</v>
      </c>
      <c r="I948" s="32">
        <f>IF(G948="",0,IF(COUNTIF($G$2:G948,G948)=1,1,0))</f>
        <v>0</v>
      </c>
      <c r="J948" s="32">
        <f>IF(H948="",0,IF(COUNTIF($H$2:H948,H948)=1,1,0))</f>
        <v>0</v>
      </c>
    </row>
    <row r="949" spans="1:10" ht="14.25" hidden="1" customHeight="1" x14ac:dyDescent="0.35">
      <c r="A949" s="30"/>
      <c r="E949" s="31"/>
      <c r="G949" s="32" t="str">
        <f t="shared" si="28"/>
        <v>|||1900|</v>
      </c>
      <c r="H949" s="32" t="str">
        <f t="shared" si="29"/>
        <v>||1900|</v>
      </c>
      <c r="I949" s="32">
        <f>IF(G949="",0,IF(COUNTIF($G$2:G949,G949)=1,1,0))</f>
        <v>0</v>
      </c>
      <c r="J949" s="32">
        <f>IF(H949="",0,IF(COUNTIF($H$2:H949,H949)=1,1,0))</f>
        <v>0</v>
      </c>
    </row>
    <row r="950" spans="1:10" ht="14.25" hidden="1" customHeight="1" x14ac:dyDescent="0.35">
      <c r="A950" s="30"/>
      <c r="E950" s="31"/>
      <c r="G950" s="32" t="str">
        <f t="shared" si="28"/>
        <v>|||1900|</v>
      </c>
      <c r="H950" s="32" t="str">
        <f t="shared" si="29"/>
        <v>||1900|</v>
      </c>
      <c r="I950" s="32">
        <f>IF(G950="",0,IF(COUNTIF($G$2:G950,G950)=1,1,0))</f>
        <v>0</v>
      </c>
      <c r="J950" s="32">
        <f>IF(H950="",0,IF(COUNTIF($H$2:H950,H950)=1,1,0))</f>
        <v>0</v>
      </c>
    </row>
    <row r="951" spans="1:10" ht="14.25" hidden="1" customHeight="1" x14ac:dyDescent="0.35">
      <c r="A951" s="30"/>
      <c r="E951" s="31"/>
      <c r="G951" s="32" t="str">
        <f t="shared" si="28"/>
        <v>|||1900|</v>
      </c>
      <c r="H951" s="32" t="str">
        <f t="shared" si="29"/>
        <v>||1900|</v>
      </c>
      <c r="I951" s="32">
        <f>IF(G951="",0,IF(COUNTIF($G$2:G951,G951)=1,1,0))</f>
        <v>0</v>
      </c>
      <c r="J951" s="32">
        <f>IF(H951="",0,IF(COUNTIF($H$2:H951,H951)=1,1,0))</f>
        <v>0</v>
      </c>
    </row>
    <row r="952" spans="1:10" ht="14.25" hidden="1" customHeight="1" x14ac:dyDescent="0.35">
      <c r="A952" s="30"/>
      <c r="E952" s="31"/>
      <c r="G952" s="32" t="str">
        <f t="shared" si="28"/>
        <v>|||1900|</v>
      </c>
      <c r="H952" s="32" t="str">
        <f t="shared" si="29"/>
        <v>||1900|</v>
      </c>
      <c r="I952" s="32">
        <f>IF(G952="",0,IF(COUNTIF($G$2:G952,G952)=1,1,0))</f>
        <v>0</v>
      </c>
      <c r="J952" s="32">
        <f>IF(H952="",0,IF(COUNTIF($H$2:H952,H952)=1,1,0))</f>
        <v>0</v>
      </c>
    </row>
    <row r="953" spans="1:10" ht="14.25" hidden="1" customHeight="1" x14ac:dyDescent="0.35">
      <c r="A953" s="30"/>
      <c r="E953" s="31"/>
      <c r="G953" s="32" t="str">
        <f t="shared" si="28"/>
        <v>|||1900|</v>
      </c>
      <c r="H953" s="32" t="str">
        <f t="shared" si="29"/>
        <v>||1900|</v>
      </c>
      <c r="I953" s="32">
        <f>IF(G953="",0,IF(COUNTIF($G$2:G953,G953)=1,1,0))</f>
        <v>0</v>
      </c>
      <c r="J953" s="32">
        <f>IF(H953="",0,IF(COUNTIF($H$2:H953,H953)=1,1,0))</f>
        <v>0</v>
      </c>
    </row>
    <row r="954" spans="1:10" ht="14.25" hidden="1" customHeight="1" x14ac:dyDescent="0.35">
      <c r="A954" s="30"/>
      <c r="E954" s="31"/>
      <c r="G954" s="32" t="str">
        <f t="shared" si="28"/>
        <v>|||1900|</v>
      </c>
      <c r="H954" s="32" t="str">
        <f t="shared" si="29"/>
        <v>||1900|</v>
      </c>
      <c r="I954" s="32">
        <f>IF(G954="",0,IF(COUNTIF($G$2:G954,G954)=1,1,0))</f>
        <v>0</v>
      </c>
      <c r="J954" s="32">
        <f>IF(H954="",0,IF(COUNTIF($H$2:H954,H954)=1,1,0))</f>
        <v>0</v>
      </c>
    </row>
    <row r="955" spans="1:10" ht="14.25" hidden="1" customHeight="1" x14ac:dyDescent="0.35">
      <c r="A955" s="30"/>
      <c r="E955" s="31"/>
      <c r="G955" s="32" t="str">
        <f t="shared" si="28"/>
        <v>|||1900|</v>
      </c>
      <c r="H955" s="32" t="str">
        <f t="shared" si="29"/>
        <v>||1900|</v>
      </c>
      <c r="I955" s="32">
        <f>IF(G955="",0,IF(COUNTIF($G$2:G955,G955)=1,1,0))</f>
        <v>0</v>
      </c>
      <c r="J955" s="32">
        <f>IF(H955="",0,IF(COUNTIF($H$2:H955,H955)=1,1,0))</f>
        <v>0</v>
      </c>
    </row>
    <row r="956" spans="1:10" ht="14.25" hidden="1" customHeight="1" x14ac:dyDescent="0.35">
      <c r="A956" s="30"/>
      <c r="E956" s="31"/>
      <c r="G956" s="32" t="str">
        <f t="shared" si="28"/>
        <v>|||1900|</v>
      </c>
      <c r="H956" s="32" t="str">
        <f t="shared" si="29"/>
        <v>||1900|</v>
      </c>
      <c r="I956" s="32">
        <f>IF(G956="",0,IF(COUNTIF($G$2:G956,G956)=1,1,0))</f>
        <v>0</v>
      </c>
      <c r="J956" s="32">
        <f>IF(H956="",0,IF(COUNTIF($H$2:H956,H956)=1,1,0))</f>
        <v>0</v>
      </c>
    </row>
    <row r="957" spans="1:10" ht="14.25" hidden="1" customHeight="1" x14ac:dyDescent="0.35">
      <c r="A957" s="30"/>
      <c r="E957" s="31"/>
      <c r="G957" s="32" t="str">
        <f t="shared" si="28"/>
        <v>|||1900|</v>
      </c>
      <c r="H957" s="32" t="str">
        <f t="shared" si="29"/>
        <v>||1900|</v>
      </c>
      <c r="I957" s="32">
        <f>IF(G957="",0,IF(COUNTIF($G$2:G957,G957)=1,1,0))</f>
        <v>0</v>
      </c>
      <c r="J957" s="32">
        <f>IF(H957="",0,IF(COUNTIF($H$2:H957,H957)=1,1,0))</f>
        <v>0</v>
      </c>
    </row>
    <row r="958" spans="1:10" ht="14.25" hidden="1" customHeight="1" x14ac:dyDescent="0.35">
      <c r="A958" s="30"/>
      <c r="E958" s="31"/>
      <c r="G958" s="32" t="str">
        <f t="shared" si="28"/>
        <v>|||1900|</v>
      </c>
      <c r="H958" s="32" t="str">
        <f t="shared" si="29"/>
        <v>||1900|</v>
      </c>
      <c r="I958" s="32">
        <f>IF(G958="",0,IF(COUNTIF($G$2:G958,G958)=1,1,0))</f>
        <v>0</v>
      </c>
      <c r="J958" s="32">
        <f>IF(H958="",0,IF(COUNTIF($H$2:H958,H958)=1,1,0))</f>
        <v>0</v>
      </c>
    </row>
    <row r="959" spans="1:10" ht="14.25" hidden="1" customHeight="1" x14ac:dyDescent="0.35">
      <c r="A959" s="30"/>
      <c r="E959" s="31"/>
      <c r="G959" s="32" t="str">
        <f t="shared" si="28"/>
        <v>|||1900|</v>
      </c>
      <c r="H959" s="32" t="str">
        <f t="shared" si="29"/>
        <v>||1900|</v>
      </c>
      <c r="I959" s="32">
        <f>IF(G959="",0,IF(COUNTIF($G$2:G959,G959)=1,1,0))</f>
        <v>0</v>
      </c>
      <c r="J959" s="32">
        <f>IF(H959="",0,IF(COUNTIF($H$2:H959,H959)=1,1,0))</f>
        <v>0</v>
      </c>
    </row>
    <row r="960" spans="1:10" ht="14.25" hidden="1" customHeight="1" x14ac:dyDescent="0.35">
      <c r="A960" s="30"/>
      <c r="E960" s="31"/>
      <c r="G960" s="32" t="str">
        <f t="shared" si="28"/>
        <v>|||1900|</v>
      </c>
      <c r="H960" s="32" t="str">
        <f t="shared" si="29"/>
        <v>||1900|</v>
      </c>
      <c r="I960" s="32">
        <f>IF(G960="",0,IF(COUNTIF($G$2:G960,G960)=1,1,0))</f>
        <v>0</v>
      </c>
      <c r="J960" s="32">
        <f>IF(H960="",0,IF(COUNTIF($H$2:H960,H960)=1,1,0))</f>
        <v>0</v>
      </c>
    </row>
    <row r="961" spans="1:10" ht="14.25" hidden="1" customHeight="1" x14ac:dyDescent="0.35">
      <c r="A961" s="30"/>
      <c r="E961" s="31"/>
      <c r="G961" s="32" t="str">
        <f t="shared" si="28"/>
        <v>|||1900|</v>
      </c>
      <c r="H961" s="32" t="str">
        <f t="shared" si="29"/>
        <v>||1900|</v>
      </c>
      <c r="I961" s="32">
        <f>IF(G961="",0,IF(COUNTIF($G$2:G961,G961)=1,1,0))</f>
        <v>0</v>
      </c>
      <c r="J961" s="32">
        <f>IF(H961="",0,IF(COUNTIF($H$2:H961,H961)=1,1,0))</f>
        <v>0</v>
      </c>
    </row>
    <row r="962" spans="1:10" ht="14.25" hidden="1" customHeight="1" x14ac:dyDescent="0.35">
      <c r="A962" s="30"/>
      <c r="E962" s="31"/>
      <c r="G962" s="32" t="str">
        <f t="shared" ref="G962:G1025" si="30">IF(D962="T",
E962&amp;"|"&amp;F962,
A962&amp;"|"&amp;B962&amp;"|"&amp;C962&amp;"|"&amp;YEAR(E962)&amp;"|"&amp;F962)</f>
        <v>|||1900|</v>
      </c>
      <c r="H962" s="32" t="str">
        <f t="shared" ref="H962:H1025" si="31">A962&amp;"|"&amp;C962&amp;"|"&amp;YEAR(E962)&amp;"|"&amp;F962</f>
        <v>||1900|</v>
      </c>
      <c r="I962" s="32">
        <f>IF(G962="",0,IF(COUNTIF($G$2:G962,G962)=1,1,0))</f>
        <v>0</v>
      </c>
      <c r="J962" s="32">
        <f>IF(H962="",0,IF(COUNTIF($H$2:H962,H962)=1,1,0))</f>
        <v>0</v>
      </c>
    </row>
    <row r="963" spans="1:10" ht="14.25" hidden="1" customHeight="1" x14ac:dyDescent="0.35">
      <c r="A963" s="30"/>
      <c r="E963" s="31"/>
      <c r="G963" s="32" t="str">
        <f t="shared" si="30"/>
        <v>|||1900|</v>
      </c>
      <c r="H963" s="32" t="str">
        <f t="shared" si="31"/>
        <v>||1900|</v>
      </c>
      <c r="I963" s="32">
        <f>IF(G963="",0,IF(COUNTIF($G$2:G963,G963)=1,1,0))</f>
        <v>0</v>
      </c>
      <c r="J963" s="32">
        <f>IF(H963="",0,IF(COUNTIF($H$2:H963,H963)=1,1,0))</f>
        <v>0</v>
      </c>
    </row>
    <row r="964" spans="1:10" ht="14.25" hidden="1" customHeight="1" x14ac:dyDescent="0.35">
      <c r="A964" s="30"/>
      <c r="E964" s="31"/>
      <c r="G964" s="32" t="str">
        <f t="shared" si="30"/>
        <v>|||1900|</v>
      </c>
      <c r="H964" s="32" t="str">
        <f t="shared" si="31"/>
        <v>||1900|</v>
      </c>
      <c r="I964" s="32">
        <f>IF(G964="",0,IF(COUNTIF($G$2:G964,G964)=1,1,0))</f>
        <v>0</v>
      </c>
      <c r="J964" s="32">
        <f>IF(H964="",0,IF(COUNTIF($H$2:H964,H964)=1,1,0))</f>
        <v>0</v>
      </c>
    </row>
    <row r="965" spans="1:10" ht="14.25" hidden="1" customHeight="1" x14ac:dyDescent="0.35">
      <c r="A965" s="30"/>
      <c r="E965" s="31"/>
      <c r="G965" s="32" t="str">
        <f t="shared" si="30"/>
        <v>|||1900|</v>
      </c>
      <c r="H965" s="32" t="str">
        <f t="shared" si="31"/>
        <v>||1900|</v>
      </c>
      <c r="I965" s="32">
        <f>IF(G965="",0,IF(COUNTIF($G$2:G965,G965)=1,1,0))</f>
        <v>0</v>
      </c>
      <c r="J965" s="32">
        <f>IF(H965="",0,IF(COUNTIF($H$2:H965,H965)=1,1,0))</f>
        <v>0</v>
      </c>
    </row>
    <row r="966" spans="1:10" ht="14.25" hidden="1" customHeight="1" x14ac:dyDescent="0.35">
      <c r="A966" s="30"/>
      <c r="E966" s="31"/>
      <c r="G966" s="32" t="str">
        <f t="shared" si="30"/>
        <v>|||1900|</v>
      </c>
      <c r="H966" s="32" t="str">
        <f t="shared" si="31"/>
        <v>||1900|</v>
      </c>
      <c r="I966" s="32">
        <f>IF(G966="",0,IF(COUNTIF($G$2:G966,G966)=1,1,0))</f>
        <v>0</v>
      </c>
      <c r="J966" s="32">
        <f>IF(H966="",0,IF(COUNTIF($H$2:H966,H966)=1,1,0))</f>
        <v>0</v>
      </c>
    </row>
    <row r="967" spans="1:10" ht="14.25" hidden="1" customHeight="1" x14ac:dyDescent="0.35">
      <c r="A967" s="30"/>
      <c r="E967" s="31"/>
      <c r="G967" s="32" t="str">
        <f t="shared" si="30"/>
        <v>|||1900|</v>
      </c>
      <c r="H967" s="32" t="str">
        <f t="shared" si="31"/>
        <v>||1900|</v>
      </c>
      <c r="I967" s="32">
        <f>IF(G967="",0,IF(COUNTIF($G$2:G967,G967)=1,1,0))</f>
        <v>0</v>
      </c>
      <c r="J967" s="32">
        <f>IF(H967="",0,IF(COUNTIF($H$2:H967,H967)=1,1,0))</f>
        <v>0</v>
      </c>
    </row>
    <row r="968" spans="1:10" ht="14.25" hidden="1" customHeight="1" x14ac:dyDescent="0.35">
      <c r="A968" s="30"/>
      <c r="E968" s="31"/>
      <c r="G968" s="32" t="str">
        <f t="shared" si="30"/>
        <v>|||1900|</v>
      </c>
      <c r="H968" s="32" t="str">
        <f t="shared" si="31"/>
        <v>||1900|</v>
      </c>
      <c r="I968" s="32">
        <f>IF(G968="",0,IF(COUNTIF($G$2:G968,G968)=1,1,0))</f>
        <v>0</v>
      </c>
      <c r="J968" s="32">
        <f>IF(H968="",0,IF(COUNTIF($H$2:H968,H968)=1,1,0))</f>
        <v>0</v>
      </c>
    </row>
    <row r="969" spans="1:10" ht="14.25" hidden="1" customHeight="1" x14ac:dyDescent="0.35">
      <c r="A969" s="30"/>
      <c r="E969" s="31"/>
      <c r="G969" s="32" t="str">
        <f t="shared" si="30"/>
        <v>|||1900|</v>
      </c>
      <c r="H969" s="32" t="str">
        <f t="shared" si="31"/>
        <v>||1900|</v>
      </c>
      <c r="I969" s="32">
        <f>IF(G969="",0,IF(COUNTIF($G$2:G969,G969)=1,1,0))</f>
        <v>0</v>
      </c>
      <c r="J969" s="32">
        <f>IF(H969="",0,IF(COUNTIF($H$2:H969,H969)=1,1,0))</f>
        <v>0</v>
      </c>
    </row>
    <row r="970" spans="1:10" ht="14.25" hidden="1" customHeight="1" x14ac:dyDescent="0.35">
      <c r="A970" s="30"/>
      <c r="E970" s="31"/>
      <c r="G970" s="32" t="str">
        <f t="shared" si="30"/>
        <v>|||1900|</v>
      </c>
      <c r="H970" s="32" t="str">
        <f t="shared" si="31"/>
        <v>||1900|</v>
      </c>
      <c r="I970" s="32">
        <f>IF(G970="",0,IF(COUNTIF($G$2:G970,G970)=1,1,0))</f>
        <v>0</v>
      </c>
      <c r="J970" s="32">
        <f>IF(H970="",0,IF(COUNTIF($H$2:H970,H970)=1,1,0))</f>
        <v>0</v>
      </c>
    </row>
    <row r="971" spans="1:10" ht="14.25" hidden="1" customHeight="1" x14ac:dyDescent="0.35">
      <c r="A971" s="30"/>
      <c r="E971" s="31"/>
      <c r="G971" s="32" t="str">
        <f t="shared" si="30"/>
        <v>|||1900|</v>
      </c>
      <c r="H971" s="32" t="str">
        <f t="shared" si="31"/>
        <v>||1900|</v>
      </c>
      <c r="I971" s="32">
        <f>IF(G971="",0,IF(COUNTIF($G$2:G971,G971)=1,1,0))</f>
        <v>0</v>
      </c>
      <c r="J971" s="32">
        <f>IF(H971="",0,IF(COUNTIF($H$2:H971,H971)=1,1,0))</f>
        <v>0</v>
      </c>
    </row>
    <row r="972" spans="1:10" ht="14.25" hidden="1" customHeight="1" x14ac:dyDescent="0.35">
      <c r="A972" s="30"/>
      <c r="E972" s="31"/>
      <c r="G972" s="32" t="str">
        <f t="shared" si="30"/>
        <v>|||1900|</v>
      </c>
      <c r="H972" s="32" t="str">
        <f t="shared" si="31"/>
        <v>||1900|</v>
      </c>
      <c r="I972" s="32">
        <f>IF(G972="",0,IF(COUNTIF($G$2:G972,G972)=1,1,0))</f>
        <v>0</v>
      </c>
      <c r="J972" s="32">
        <f>IF(H972="",0,IF(COUNTIF($H$2:H972,H972)=1,1,0))</f>
        <v>0</v>
      </c>
    </row>
    <row r="973" spans="1:10" ht="14.25" hidden="1" customHeight="1" x14ac:dyDescent="0.35">
      <c r="A973" s="30"/>
      <c r="E973" s="31"/>
      <c r="G973" s="32" t="str">
        <f t="shared" si="30"/>
        <v>|||1900|</v>
      </c>
      <c r="H973" s="32" t="str">
        <f t="shared" si="31"/>
        <v>||1900|</v>
      </c>
      <c r="I973" s="32">
        <f>IF(G973="",0,IF(COUNTIF($G$2:G973,G973)=1,1,0))</f>
        <v>0</v>
      </c>
      <c r="J973" s="32">
        <f>IF(H973="",0,IF(COUNTIF($H$2:H973,H973)=1,1,0))</f>
        <v>0</v>
      </c>
    </row>
    <row r="974" spans="1:10" ht="14.25" hidden="1" customHeight="1" x14ac:dyDescent="0.35">
      <c r="A974" s="30"/>
      <c r="E974" s="31"/>
      <c r="G974" s="32" t="str">
        <f t="shared" si="30"/>
        <v>|||1900|</v>
      </c>
      <c r="H974" s="32" t="str">
        <f t="shared" si="31"/>
        <v>||1900|</v>
      </c>
      <c r="I974" s="32">
        <f>IF(G974="",0,IF(COUNTIF($G$2:G974,G974)=1,1,0))</f>
        <v>0</v>
      </c>
      <c r="J974" s="32">
        <f>IF(H974="",0,IF(COUNTIF($H$2:H974,H974)=1,1,0))</f>
        <v>0</v>
      </c>
    </row>
    <row r="975" spans="1:10" ht="14.25" hidden="1" customHeight="1" x14ac:dyDescent="0.35">
      <c r="A975" s="30"/>
      <c r="E975" s="31"/>
      <c r="G975" s="32" t="str">
        <f t="shared" si="30"/>
        <v>|||1900|</v>
      </c>
      <c r="H975" s="32" t="str">
        <f t="shared" si="31"/>
        <v>||1900|</v>
      </c>
      <c r="I975" s="32">
        <f>IF(G975="",0,IF(COUNTIF($G$2:G975,G975)=1,1,0))</f>
        <v>0</v>
      </c>
      <c r="J975" s="32">
        <f>IF(H975="",0,IF(COUNTIF($H$2:H975,H975)=1,1,0))</f>
        <v>0</v>
      </c>
    </row>
    <row r="976" spans="1:10" ht="14.25" hidden="1" customHeight="1" x14ac:dyDescent="0.35">
      <c r="A976" s="30"/>
      <c r="E976" s="31"/>
      <c r="G976" s="32" t="str">
        <f t="shared" si="30"/>
        <v>|||1900|</v>
      </c>
      <c r="H976" s="32" t="str">
        <f t="shared" si="31"/>
        <v>||1900|</v>
      </c>
      <c r="I976" s="32">
        <f>IF(G976="",0,IF(COUNTIF($G$2:G976,G976)=1,1,0))</f>
        <v>0</v>
      </c>
      <c r="J976" s="32">
        <f>IF(H976="",0,IF(COUNTIF($H$2:H976,H976)=1,1,0))</f>
        <v>0</v>
      </c>
    </row>
    <row r="977" spans="1:10" ht="14.25" hidden="1" customHeight="1" x14ac:dyDescent="0.35">
      <c r="A977" s="30"/>
      <c r="E977" s="31"/>
      <c r="G977" s="32" t="str">
        <f t="shared" si="30"/>
        <v>|||1900|</v>
      </c>
      <c r="H977" s="32" t="str">
        <f t="shared" si="31"/>
        <v>||1900|</v>
      </c>
      <c r="I977" s="32">
        <f>IF(G977="",0,IF(COUNTIF($G$2:G977,G977)=1,1,0))</f>
        <v>0</v>
      </c>
      <c r="J977" s="32">
        <f>IF(H977="",0,IF(COUNTIF($H$2:H977,H977)=1,1,0))</f>
        <v>0</v>
      </c>
    </row>
    <row r="978" spans="1:10" ht="14.25" hidden="1" customHeight="1" x14ac:dyDescent="0.35">
      <c r="A978" s="30"/>
      <c r="E978" s="31"/>
      <c r="G978" s="32" t="str">
        <f t="shared" si="30"/>
        <v>|||1900|</v>
      </c>
      <c r="H978" s="32" t="str">
        <f t="shared" si="31"/>
        <v>||1900|</v>
      </c>
      <c r="I978" s="32">
        <f>IF(G978="",0,IF(COUNTIF($G$2:G978,G978)=1,1,0))</f>
        <v>0</v>
      </c>
      <c r="J978" s="32">
        <f>IF(H978="",0,IF(COUNTIF($H$2:H978,H978)=1,1,0))</f>
        <v>0</v>
      </c>
    </row>
    <row r="979" spans="1:10" ht="14.25" hidden="1" customHeight="1" x14ac:dyDescent="0.35">
      <c r="A979" s="30"/>
      <c r="E979" s="31"/>
      <c r="G979" s="32" t="str">
        <f t="shared" si="30"/>
        <v>|||1900|</v>
      </c>
      <c r="H979" s="32" t="str">
        <f t="shared" si="31"/>
        <v>||1900|</v>
      </c>
      <c r="I979" s="32">
        <f>IF(G979="",0,IF(COUNTIF($G$2:G979,G979)=1,1,0))</f>
        <v>0</v>
      </c>
      <c r="J979" s="32">
        <f>IF(H979="",0,IF(COUNTIF($H$2:H979,H979)=1,1,0))</f>
        <v>0</v>
      </c>
    </row>
    <row r="980" spans="1:10" ht="14.25" hidden="1" customHeight="1" x14ac:dyDescent="0.35">
      <c r="A980" s="30"/>
      <c r="E980" s="31"/>
      <c r="G980" s="32" t="str">
        <f t="shared" si="30"/>
        <v>|||1900|</v>
      </c>
      <c r="H980" s="32" t="str">
        <f t="shared" si="31"/>
        <v>||1900|</v>
      </c>
      <c r="I980" s="32">
        <f>IF(G980="",0,IF(COUNTIF($G$2:G980,G980)=1,1,0))</f>
        <v>0</v>
      </c>
      <c r="J980" s="32">
        <f>IF(H980="",0,IF(COUNTIF($H$2:H980,H980)=1,1,0))</f>
        <v>0</v>
      </c>
    </row>
    <row r="981" spans="1:10" ht="14.25" hidden="1" customHeight="1" x14ac:dyDescent="0.35">
      <c r="A981" s="30"/>
      <c r="E981" s="31"/>
      <c r="G981" s="32" t="str">
        <f t="shared" si="30"/>
        <v>|||1900|</v>
      </c>
      <c r="H981" s="32" t="str">
        <f t="shared" si="31"/>
        <v>||1900|</v>
      </c>
      <c r="I981" s="32">
        <f>IF(G981="",0,IF(COUNTIF($G$2:G981,G981)=1,1,0))</f>
        <v>0</v>
      </c>
      <c r="J981" s="32">
        <f>IF(H981="",0,IF(COUNTIF($H$2:H981,H981)=1,1,0))</f>
        <v>0</v>
      </c>
    </row>
    <row r="982" spans="1:10" ht="14.25" hidden="1" customHeight="1" x14ac:dyDescent="0.35">
      <c r="A982" s="30"/>
      <c r="E982" s="31"/>
      <c r="G982" s="32" t="str">
        <f t="shared" si="30"/>
        <v>|||1900|</v>
      </c>
      <c r="H982" s="32" t="str">
        <f t="shared" si="31"/>
        <v>||1900|</v>
      </c>
      <c r="I982" s="32">
        <f>IF(G982="",0,IF(COUNTIF($G$2:G982,G982)=1,1,0))</f>
        <v>0</v>
      </c>
      <c r="J982" s="32">
        <f>IF(H982="",0,IF(COUNTIF($H$2:H982,H982)=1,1,0))</f>
        <v>0</v>
      </c>
    </row>
    <row r="983" spans="1:10" ht="14.25" hidden="1" customHeight="1" x14ac:dyDescent="0.35">
      <c r="A983" s="30"/>
      <c r="E983" s="31"/>
      <c r="G983" s="32" t="str">
        <f t="shared" si="30"/>
        <v>|||1900|</v>
      </c>
      <c r="H983" s="32" t="str">
        <f t="shared" si="31"/>
        <v>||1900|</v>
      </c>
      <c r="I983" s="32">
        <f>IF(G983="",0,IF(COUNTIF($G$2:G983,G983)=1,1,0))</f>
        <v>0</v>
      </c>
      <c r="J983" s="32">
        <f>IF(H983="",0,IF(COUNTIF($H$2:H983,H983)=1,1,0))</f>
        <v>0</v>
      </c>
    </row>
    <row r="984" spans="1:10" ht="14.25" hidden="1" customHeight="1" x14ac:dyDescent="0.35">
      <c r="A984" s="30"/>
      <c r="E984" s="31"/>
      <c r="G984" s="32" t="str">
        <f t="shared" si="30"/>
        <v>|||1900|</v>
      </c>
      <c r="H984" s="32" t="str">
        <f t="shared" si="31"/>
        <v>||1900|</v>
      </c>
      <c r="I984" s="32">
        <f>IF(G984="",0,IF(COUNTIF($G$2:G984,G984)=1,1,0))</f>
        <v>0</v>
      </c>
      <c r="J984" s="32">
        <f>IF(H984="",0,IF(COUNTIF($H$2:H984,H984)=1,1,0))</f>
        <v>0</v>
      </c>
    </row>
    <row r="985" spans="1:10" ht="14.25" hidden="1" customHeight="1" x14ac:dyDescent="0.35">
      <c r="A985" s="30"/>
      <c r="E985" s="31"/>
      <c r="G985" s="32" t="str">
        <f t="shared" si="30"/>
        <v>|||1900|</v>
      </c>
      <c r="H985" s="32" t="str">
        <f t="shared" si="31"/>
        <v>||1900|</v>
      </c>
      <c r="I985" s="32">
        <f>IF(G985="",0,IF(COUNTIF($G$2:G985,G985)=1,1,0))</f>
        <v>0</v>
      </c>
      <c r="J985" s="32">
        <f>IF(H985="",0,IF(COUNTIF($H$2:H985,H985)=1,1,0))</f>
        <v>0</v>
      </c>
    </row>
    <row r="986" spans="1:10" ht="14.25" hidden="1" customHeight="1" x14ac:dyDescent="0.35">
      <c r="A986" s="30"/>
      <c r="E986" s="31"/>
      <c r="G986" s="32" t="str">
        <f t="shared" si="30"/>
        <v>|||1900|</v>
      </c>
      <c r="H986" s="32" t="str">
        <f t="shared" si="31"/>
        <v>||1900|</v>
      </c>
      <c r="I986" s="32">
        <f>IF(G986="",0,IF(COUNTIF($G$2:G986,G986)=1,1,0))</f>
        <v>0</v>
      </c>
      <c r="J986" s="32">
        <f>IF(H986="",0,IF(COUNTIF($H$2:H986,H986)=1,1,0))</f>
        <v>0</v>
      </c>
    </row>
    <row r="987" spans="1:10" ht="14.25" hidden="1" customHeight="1" x14ac:dyDescent="0.35">
      <c r="A987" s="30"/>
      <c r="E987" s="31"/>
      <c r="G987" s="32" t="str">
        <f t="shared" si="30"/>
        <v>|||1900|</v>
      </c>
      <c r="H987" s="32" t="str">
        <f t="shared" si="31"/>
        <v>||1900|</v>
      </c>
      <c r="I987" s="32">
        <f>IF(G987="",0,IF(COUNTIF($G$2:G987,G987)=1,1,0))</f>
        <v>0</v>
      </c>
      <c r="J987" s="32">
        <f>IF(H987="",0,IF(COUNTIF($H$2:H987,H987)=1,1,0))</f>
        <v>0</v>
      </c>
    </row>
    <row r="988" spans="1:10" ht="14.25" hidden="1" customHeight="1" x14ac:dyDescent="0.35">
      <c r="A988" s="30"/>
      <c r="E988" s="31"/>
      <c r="G988" s="32" t="str">
        <f t="shared" si="30"/>
        <v>|||1900|</v>
      </c>
      <c r="H988" s="32" t="str">
        <f t="shared" si="31"/>
        <v>||1900|</v>
      </c>
      <c r="I988" s="32">
        <f>IF(G988="",0,IF(COUNTIF($G$2:G988,G988)=1,1,0))</f>
        <v>0</v>
      </c>
      <c r="J988" s="32">
        <f>IF(H988="",0,IF(COUNTIF($H$2:H988,H988)=1,1,0))</f>
        <v>0</v>
      </c>
    </row>
    <row r="989" spans="1:10" ht="14.25" hidden="1" customHeight="1" x14ac:dyDescent="0.35">
      <c r="A989" s="30"/>
      <c r="E989" s="31"/>
      <c r="G989" s="32" t="str">
        <f t="shared" si="30"/>
        <v>|||1900|</v>
      </c>
      <c r="H989" s="32" t="str">
        <f t="shared" si="31"/>
        <v>||1900|</v>
      </c>
      <c r="I989" s="32">
        <f>IF(G989="",0,IF(COUNTIF($G$2:G989,G989)=1,1,0))</f>
        <v>0</v>
      </c>
      <c r="J989" s="32">
        <f>IF(H989="",0,IF(COUNTIF($H$2:H989,H989)=1,1,0))</f>
        <v>0</v>
      </c>
    </row>
    <row r="990" spans="1:10" ht="14.25" hidden="1" customHeight="1" x14ac:dyDescent="0.35">
      <c r="A990" s="30"/>
      <c r="E990" s="31"/>
      <c r="G990" s="32" t="str">
        <f t="shared" si="30"/>
        <v>|||1900|</v>
      </c>
      <c r="H990" s="32" t="str">
        <f t="shared" si="31"/>
        <v>||1900|</v>
      </c>
      <c r="I990" s="32">
        <f>IF(G990="",0,IF(COUNTIF($G$2:G990,G990)=1,1,0))</f>
        <v>0</v>
      </c>
      <c r="J990" s="32">
        <f>IF(H990="",0,IF(COUNTIF($H$2:H990,H990)=1,1,0))</f>
        <v>0</v>
      </c>
    </row>
    <row r="991" spans="1:10" ht="14.25" hidden="1" customHeight="1" x14ac:dyDescent="0.35">
      <c r="A991" s="30"/>
      <c r="E991" s="31"/>
      <c r="G991" s="32" t="str">
        <f t="shared" si="30"/>
        <v>|||1900|</v>
      </c>
      <c r="H991" s="32" t="str">
        <f t="shared" si="31"/>
        <v>||1900|</v>
      </c>
      <c r="I991" s="32">
        <f>IF(G991="",0,IF(COUNTIF($G$2:G991,G991)=1,1,0))</f>
        <v>0</v>
      </c>
      <c r="J991" s="32">
        <f>IF(H991="",0,IF(COUNTIF($H$2:H991,H991)=1,1,0))</f>
        <v>0</v>
      </c>
    </row>
    <row r="992" spans="1:10" ht="14.25" hidden="1" customHeight="1" x14ac:dyDescent="0.35">
      <c r="A992" s="30"/>
      <c r="E992" s="31"/>
      <c r="G992" s="32" t="str">
        <f t="shared" si="30"/>
        <v>|||1900|</v>
      </c>
      <c r="H992" s="32" t="str">
        <f t="shared" si="31"/>
        <v>||1900|</v>
      </c>
      <c r="I992" s="32">
        <f>IF(G992="",0,IF(COUNTIF($G$2:G992,G992)=1,1,0))</f>
        <v>0</v>
      </c>
      <c r="J992" s="32">
        <f>IF(H992="",0,IF(COUNTIF($H$2:H992,H992)=1,1,0))</f>
        <v>0</v>
      </c>
    </row>
    <row r="993" spans="1:10" ht="14.25" hidden="1" customHeight="1" x14ac:dyDescent="0.35">
      <c r="A993" s="30"/>
      <c r="E993" s="31"/>
      <c r="G993" s="32" t="str">
        <f t="shared" si="30"/>
        <v>|||1900|</v>
      </c>
      <c r="H993" s="32" t="str">
        <f t="shared" si="31"/>
        <v>||1900|</v>
      </c>
      <c r="I993" s="32">
        <f>IF(G993="",0,IF(COUNTIF($G$2:G993,G993)=1,1,0))</f>
        <v>0</v>
      </c>
      <c r="J993" s="32">
        <f>IF(H993="",0,IF(COUNTIF($H$2:H993,H993)=1,1,0))</f>
        <v>0</v>
      </c>
    </row>
    <row r="994" spans="1:10" ht="14.25" hidden="1" customHeight="1" x14ac:dyDescent="0.35">
      <c r="A994" s="30"/>
      <c r="E994" s="31"/>
      <c r="G994" s="32" t="str">
        <f t="shared" si="30"/>
        <v>|||1900|</v>
      </c>
      <c r="H994" s="32" t="str">
        <f t="shared" si="31"/>
        <v>||1900|</v>
      </c>
      <c r="I994" s="32">
        <f>IF(G994="",0,IF(COUNTIF($G$2:G994,G994)=1,1,0))</f>
        <v>0</v>
      </c>
      <c r="J994" s="32">
        <f>IF(H994="",0,IF(COUNTIF($H$2:H994,H994)=1,1,0))</f>
        <v>0</v>
      </c>
    </row>
    <row r="995" spans="1:10" ht="14.25" hidden="1" customHeight="1" x14ac:dyDescent="0.35">
      <c r="A995" s="30"/>
      <c r="E995" s="31"/>
      <c r="G995" s="32" t="str">
        <f t="shared" si="30"/>
        <v>|||1900|</v>
      </c>
      <c r="H995" s="32" t="str">
        <f t="shared" si="31"/>
        <v>||1900|</v>
      </c>
      <c r="I995" s="32">
        <f>IF(G995="",0,IF(COUNTIF($G$2:G995,G995)=1,1,0))</f>
        <v>0</v>
      </c>
      <c r="J995" s="32">
        <f>IF(H995="",0,IF(COUNTIF($H$2:H995,H995)=1,1,0))</f>
        <v>0</v>
      </c>
    </row>
    <row r="996" spans="1:10" ht="14.25" hidden="1" customHeight="1" x14ac:dyDescent="0.35">
      <c r="A996" s="30"/>
      <c r="E996" s="31"/>
      <c r="G996" s="32" t="str">
        <f t="shared" si="30"/>
        <v>|||1900|</v>
      </c>
      <c r="H996" s="32" t="str">
        <f t="shared" si="31"/>
        <v>||1900|</v>
      </c>
      <c r="I996" s="32">
        <f>IF(G996="",0,IF(COUNTIF($G$2:G996,G996)=1,1,0))</f>
        <v>0</v>
      </c>
      <c r="J996" s="32">
        <f>IF(H996="",0,IF(COUNTIF($H$2:H996,H996)=1,1,0))</f>
        <v>0</v>
      </c>
    </row>
    <row r="997" spans="1:10" ht="14.25" hidden="1" customHeight="1" x14ac:dyDescent="0.35">
      <c r="A997" s="30"/>
      <c r="E997" s="31"/>
      <c r="G997" s="32" t="str">
        <f t="shared" si="30"/>
        <v>|||1900|</v>
      </c>
      <c r="H997" s="32" t="str">
        <f t="shared" si="31"/>
        <v>||1900|</v>
      </c>
      <c r="I997" s="32">
        <f>IF(G997="",0,IF(COUNTIF($G$2:G997,G997)=1,1,0))</f>
        <v>0</v>
      </c>
      <c r="J997" s="32">
        <f>IF(H997="",0,IF(COUNTIF($H$2:H997,H997)=1,1,0))</f>
        <v>0</v>
      </c>
    </row>
    <row r="998" spans="1:10" ht="14.25" hidden="1" customHeight="1" x14ac:dyDescent="0.35">
      <c r="A998" s="30"/>
      <c r="E998" s="31"/>
      <c r="G998" s="32" t="str">
        <f t="shared" si="30"/>
        <v>|||1900|</v>
      </c>
      <c r="H998" s="32" t="str">
        <f t="shared" si="31"/>
        <v>||1900|</v>
      </c>
      <c r="I998" s="32">
        <f>IF(G998="",0,IF(COUNTIF($G$2:G998,G998)=1,1,0))</f>
        <v>0</v>
      </c>
      <c r="J998" s="32">
        <f>IF(H998="",0,IF(COUNTIF($H$2:H998,H998)=1,1,0))</f>
        <v>0</v>
      </c>
    </row>
    <row r="999" spans="1:10" ht="14.25" hidden="1" customHeight="1" x14ac:dyDescent="0.35">
      <c r="A999" s="30"/>
      <c r="E999" s="31"/>
      <c r="G999" s="32" t="str">
        <f t="shared" si="30"/>
        <v>|||1900|</v>
      </c>
      <c r="H999" s="32" t="str">
        <f t="shared" si="31"/>
        <v>||1900|</v>
      </c>
      <c r="I999" s="32">
        <f>IF(G999="",0,IF(COUNTIF($G$2:G999,G999)=1,1,0))</f>
        <v>0</v>
      </c>
      <c r="J999" s="32">
        <f>IF(H999="",0,IF(COUNTIF($H$2:H999,H999)=1,1,0))</f>
        <v>0</v>
      </c>
    </row>
    <row r="1000" spans="1:10" ht="14.25" hidden="1" customHeight="1" x14ac:dyDescent="0.35">
      <c r="A1000" s="30"/>
      <c r="E1000" s="31"/>
      <c r="G1000" s="32" t="str">
        <f t="shared" si="30"/>
        <v>|||1900|</v>
      </c>
      <c r="H1000" s="32" t="str">
        <f t="shared" si="31"/>
        <v>||1900|</v>
      </c>
      <c r="I1000" s="32">
        <f>IF(G1000="",0,IF(COUNTIF($G$2:G1000,G1000)=1,1,0))</f>
        <v>0</v>
      </c>
      <c r="J1000" s="32">
        <f>IF(H1000="",0,IF(COUNTIF($H$2:H1000,H1000)=1,1,0))</f>
        <v>0</v>
      </c>
    </row>
    <row r="1001" spans="1:10" ht="14.25" hidden="1" customHeight="1" x14ac:dyDescent="0.35">
      <c r="A1001" s="30"/>
      <c r="E1001" s="31"/>
      <c r="G1001" s="32" t="str">
        <f t="shared" si="30"/>
        <v>|||1900|</v>
      </c>
      <c r="H1001" s="32" t="str">
        <f t="shared" si="31"/>
        <v>||1900|</v>
      </c>
      <c r="I1001" s="32">
        <f>IF(G1001="",0,IF(COUNTIF($G$2:G1001,G1001)=1,1,0))</f>
        <v>0</v>
      </c>
      <c r="J1001" s="32">
        <f>IF(H1001="",0,IF(COUNTIF($H$2:H1001,H1001)=1,1,0))</f>
        <v>0</v>
      </c>
    </row>
    <row r="1002" spans="1:10" ht="14.25" hidden="1" customHeight="1" x14ac:dyDescent="0.35">
      <c r="A1002" s="30"/>
      <c r="E1002" s="31"/>
      <c r="G1002" s="32" t="str">
        <f t="shared" si="30"/>
        <v>|||1900|</v>
      </c>
      <c r="H1002" s="32" t="str">
        <f t="shared" si="31"/>
        <v>||1900|</v>
      </c>
      <c r="I1002" s="32">
        <f>IF(G1002="",0,IF(COUNTIF($G$2:G1002,G1002)=1,1,0))</f>
        <v>0</v>
      </c>
      <c r="J1002" s="32">
        <f>IF(H1002="",0,IF(COUNTIF($H$2:H1002,H1002)=1,1,0))</f>
        <v>0</v>
      </c>
    </row>
    <row r="1003" spans="1:10" ht="14.25" hidden="1" customHeight="1" x14ac:dyDescent="0.35">
      <c r="A1003" s="30"/>
      <c r="E1003" s="31"/>
      <c r="G1003" s="32" t="str">
        <f t="shared" si="30"/>
        <v>|||1900|</v>
      </c>
      <c r="H1003" s="32" t="str">
        <f t="shared" si="31"/>
        <v>||1900|</v>
      </c>
      <c r="I1003" s="32">
        <f>IF(G1003="",0,IF(COUNTIF($G$2:G1003,G1003)=1,1,0))</f>
        <v>0</v>
      </c>
      <c r="J1003" s="32">
        <f>IF(H1003="",0,IF(COUNTIF($H$2:H1003,H1003)=1,1,0))</f>
        <v>0</v>
      </c>
    </row>
    <row r="1004" spans="1:10" ht="14.25" hidden="1" customHeight="1" x14ac:dyDescent="0.35">
      <c r="A1004" s="30"/>
      <c r="E1004" s="31"/>
      <c r="G1004" s="32" t="str">
        <f t="shared" si="30"/>
        <v>|||1900|</v>
      </c>
      <c r="H1004" s="32" t="str">
        <f t="shared" si="31"/>
        <v>||1900|</v>
      </c>
      <c r="I1004" s="32">
        <f>IF(G1004="",0,IF(COUNTIF($G$2:G1004,G1004)=1,1,0))</f>
        <v>0</v>
      </c>
      <c r="J1004" s="32">
        <f>IF(H1004="",0,IF(COUNTIF($H$2:H1004,H1004)=1,1,0))</f>
        <v>0</v>
      </c>
    </row>
    <row r="1005" spans="1:10" ht="14.25" hidden="1" customHeight="1" x14ac:dyDescent="0.35">
      <c r="A1005" s="30"/>
      <c r="E1005" s="31"/>
      <c r="G1005" s="32" t="str">
        <f t="shared" si="30"/>
        <v>|||1900|</v>
      </c>
      <c r="H1005" s="32" t="str">
        <f t="shared" si="31"/>
        <v>||1900|</v>
      </c>
      <c r="I1005" s="32">
        <f>IF(G1005="",0,IF(COUNTIF($G$2:G1005,G1005)=1,1,0))</f>
        <v>0</v>
      </c>
      <c r="J1005" s="32">
        <f>IF(H1005="",0,IF(COUNTIF($H$2:H1005,H1005)=1,1,0))</f>
        <v>0</v>
      </c>
    </row>
    <row r="1006" spans="1:10" ht="14.25" hidden="1" customHeight="1" x14ac:dyDescent="0.35">
      <c r="A1006" s="30"/>
      <c r="E1006" s="31"/>
      <c r="G1006" s="32" t="str">
        <f t="shared" si="30"/>
        <v>|||1900|</v>
      </c>
      <c r="H1006" s="32" t="str">
        <f t="shared" si="31"/>
        <v>||1900|</v>
      </c>
      <c r="I1006" s="32">
        <f>IF(G1006="",0,IF(COUNTIF($G$2:G1006,G1006)=1,1,0))</f>
        <v>0</v>
      </c>
      <c r="J1006" s="32">
        <f>IF(H1006="",0,IF(COUNTIF($H$2:H1006,H1006)=1,1,0))</f>
        <v>0</v>
      </c>
    </row>
    <row r="1007" spans="1:10" ht="14.25" hidden="1" customHeight="1" x14ac:dyDescent="0.35">
      <c r="A1007" s="30"/>
      <c r="E1007" s="31"/>
      <c r="G1007" s="32" t="str">
        <f t="shared" si="30"/>
        <v>|||1900|</v>
      </c>
      <c r="H1007" s="32" t="str">
        <f t="shared" si="31"/>
        <v>||1900|</v>
      </c>
      <c r="I1007" s="32">
        <f>IF(G1007="",0,IF(COUNTIF($G$2:G1007,G1007)=1,1,0))</f>
        <v>0</v>
      </c>
      <c r="J1007" s="32">
        <f>IF(H1007="",0,IF(COUNTIF($H$2:H1007,H1007)=1,1,0))</f>
        <v>0</v>
      </c>
    </row>
    <row r="1008" spans="1:10" ht="14.25" hidden="1" customHeight="1" x14ac:dyDescent="0.35">
      <c r="A1008" s="30"/>
      <c r="E1008" s="31"/>
      <c r="G1008" s="32" t="str">
        <f t="shared" si="30"/>
        <v>|||1900|</v>
      </c>
      <c r="H1008" s="32" t="str">
        <f t="shared" si="31"/>
        <v>||1900|</v>
      </c>
      <c r="I1008" s="32">
        <f>IF(G1008="",0,IF(COUNTIF($G$2:G1008,G1008)=1,1,0))</f>
        <v>0</v>
      </c>
      <c r="J1008" s="32">
        <f>IF(H1008="",0,IF(COUNTIF($H$2:H1008,H1008)=1,1,0))</f>
        <v>0</v>
      </c>
    </row>
    <row r="1009" spans="1:10" ht="14.25" hidden="1" customHeight="1" x14ac:dyDescent="0.35">
      <c r="A1009" s="30"/>
      <c r="E1009" s="31"/>
      <c r="G1009" s="32" t="str">
        <f t="shared" si="30"/>
        <v>|||1900|</v>
      </c>
      <c r="H1009" s="32" t="str">
        <f t="shared" si="31"/>
        <v>||1900|</v>
      </c>
      <c r="I1009" s="32">
        <f>IF(G1009="",0,IF(COUNTIF($G$2:G1009,G1009)=1,1,0))</f>
        <v>0</v>
      </c>
      <c r="J1009" s="32">
        <f>IF(H1009="",0,IF(COUNTIF($H$2:H1009,H1009)=1,1,0))</f>
        <v>0</v>
      </c>
    </row>
    <row r="1010" spans="1:10" ht="14.25" hidden="1" customHeight="1" x14ac:dyDescent="0.35">
      <c r="A1010" s="30"/>
      <c r="E1010" s="31"/>
      <c r="G1010" s="32" t="str">
        <f t="shared" si="30"/>
        <v>|||1900|</v>
      </c>
      <c r="H1010" s="32" t="str">
        <f t="shared" si="31"/>
        <v>||1900|</v>
      </c>
      <c r="I1010" s="32">
        <f>IF(G1010="",0,IF(COUNTIF($G$2:G1010,G1010)=1,1,0))</f>
        <v>0</v>
      </c>
      <c r="J1010" s="32">
        <f>IF(H1010="",0,IF(COUNTIF($H$2:H1010,H1010)=1,1,0))</f>
        <v>0</v>
      </c>
    </row>
    <row r="1011" spans="1:10" ht="14.25" hidden="1" customHeight="1" x14ac:dyDescent="0.35">
      <c r="A1011" s="30"/>
      <c r="E1011" s="31"/>
      <c r="G1011" s="32" t="str">
        <f t="shared" si="30"/>
        <v>|||1900|</v>
      </c>
      <c r="H1011" s="32" t="str">
        <f t="shared" si="31"/>
        <v>||1900|</v>
      </c>
      <c r="I1011" s="32">
        <f>IF(G1011="",0,IF(COUNTIF($G$2:G1011,G1011)=1,1,0))</f>
        <v>0</v>
      </c>
      <c r="J1011" s="32">
        <f>IF(H1011="",0,IF(COUNTIF($H$2:H1011,H1011)=1,1,0))</f>
        <v>0</v>
      </c>
    </row>
    <row r="1012" spans="1:10" ht="14.25" hidden="1" customHeight="1" x14ac:dyDescent="0.35">
      <c r="A1012" s="30"/>
      <c r="E1012" s="31"/>
      <c r="G1012" s="32" t="str">
        <f t="shared" si="30"/>
        <v>|||1900|</v>
      </c>
      <c r="H1012" s="32" t="str">
        <f t="shared" si="31"/>
        <v>||1900|</v>
      </c>
      <c r="I1012" s="32">
        <f>IF(G1012="",0,IF(COUNTIF($G$2:G1012,G1012)=1,1,0))</f>
        <v>0</v>
      </c>
      <c r="J1012" s="32">
        <f>IF(H1012="",0,IF(COUNTIF($H$2:H1012,H1012)=1,1,0))</f>
        <v>0</v>
      </c>
    </row>
    <row r="1013" spans="1:10" ht="14.25" hidden="1" customHeight="1" x14ac:dyDescent="0.35">
      <c r="A1013" s="30"/>
      <c r="E1013" s="31"/>
      <c r="G1013" s="32" t="str">
        <f t="shared" si="30"/>
        <v>|||1900|</v>
      </c>
      <c r="H1013" s="32" t="str">
        <f t="shared" si="31"/>
        <v>||1900|</v>
      </c>
      <c r="I1013" s="32">
        <f>IF(G1013="",0,IF(COUNTIF($G$2:G1013,G1013)=1,1,0))</f>
        <v>0</v>
      </c>
      <c r="J1013" s="32">
        <f>IF(H1013="",0,IF(COUNTIF($H$2:H1013,H1013)=1,1,0))</f>
        <v>0</v>
      </c>
    </row>
    <row r="1014" spans="1:10" ht="14.25" hidden="1" customHeight="1" x14ac:dyDescent="0.35">
      <c r="A1014" s="30"/>
      <c r="E1014" s="31"/>
      <c r="G1014" s="32" t="str">
        <f t="shared" si="30"/>
        <v>|||1900|</v>
      </c>
      <c r="H1014" s="32" t="str">
        <f t="shared" si="31"/>
        <v>||1900|</v>
      </c>
      <c r="I1014" s="32">
        <f>IF(G1014="",0,IF(COUNTIF($G$2:G1014,G1014)=1,1,0))</f>
        <v>0</v>
      </c>
      <c r="J1014" s="32">
        <f>IF(H1014="",0,IF(COUNTIF($H$2:H1014,H1014)=1,1,0))</f>
        <v>0</v>
      </c>
    </row>
    <row r="1015" spans="1:10" ht="14.25" hidden="1" customHeight="1" x14ac:dyDescent="0.35">
      <c r="A1015" s="30"/>
      <c r="E1015" s="31"/>
      <c r="G1015" s="32" t="str">
        <f t="shared" si="30"/>
        <v>|||1900|</v>
      </c>
      <c r="H1015" s="32" t="str">
        <f t="shared" si="31"/>
        <v>||1900|</v>
      </c>
      <c r="I1015" s="32">
        <f>IF(G1015="",0,IF(COUNTIF($G$2:G1015,G1015)=1,1,0))</f>
        <v>0</v>
      </c>
      <c r="J1015" s="32">
        <f>IF(H1015="",0,IF(COUNTIF($H$2:H1015,H1015)=1,1,0))</f>
        <v>0</v>
      </c>
    </row>
    <row r="1016" spans="1:10" ht="14.25" hidden="1" customHeight="1" x14ac:dyDescent="0.35">
      <c r="A1016" s="30"/>
      <c r="E1016" s="31"/>
      <c r="G1016" s="32" t="str">
        <f t="shared" si="30"/>
        <v>|||1900|</v>
      </c>
      <c r="H1016" s="32" t="str">
        <f t="shared" si="31"/>
        <v>||1900|</v>
      </c>
      <c r="I1016" s="32">
        <f>IF(G1016="",0,IF(COUNTIF($G$2:G1016,G1016)=1,1,0))</f>
        <v>0</v>
      </c>
      <c r="J1016" s="32">
        <f>IF(H1016="",0,IF(COUNTIF($H$2:H1016,H1016)=1,1,0))</f>
        <v>0</v>
      </c>
    </row>
    <row r="1017" spans="1:10" ht="14.25" hidden="1" customHeight="1" x14ac:dyDescent="0.35">
      <c r="A1017" s="30"/>
      <c r="E1017" s="31"/>
      <c r="G1017" s="32" t="str">
        <f t="shared" si="30"/>
        <v>|||1900|</v>
      </c>
      <c r="H1017" s="32" t="str">
        <f t="shared" si="31"/>
        <v>||1900|</v>
      </c>
      <c r="I1017" s="32">
        <f>IF(G1017="",0,IF(COUNTIF($G$2:G1017,G1017)=1,1,0))</f>
        <v>0</v>
      </c>
      <c r="J1017" s="32">
        <f>IF(H1017="",0,IF(COUNTIF($H$2:H1017,H1017)=1,1,0))</f>
        <v>0</v>
      </c>
    </row>
    <row r="1018" spans="1:10" ht="14.25" hidden="1" customHeight="1" x14ac:dyDescent="0.35">
      <c r="A1018" s="30"/>
      <c r="E1018" s="31"/>
      <c r="G1018" s="32" t="str">
        <f t="shared" si="30"/>
        <v>|||1900|</v>
      </c>
      <c r="H1018" s="32" t="str">
        <f t="shared" si="31"/>
        <v>||1900|</v>
      </c>
      <c r="I1018" s="32">
        <f>IF(G1018="",0,IF(COUNTIF($G$2:G1018,G1018)=1,1,0))</f>
        <v>0</v>
      </c>
      <c r="J1018" s="32">
        <f>IF(H1018="",0,IF(COUNTIF($H$2:H1018,H1018)=1,1,0))</f>
        <v>0</v>
      </c>
    </row>
    <row r="1019" spans="1:10" ht="14.25" hidden="1" customHeight="1" x14ac:dyDescent="0.35">
      <c r="A1019" s="30"/>
      <c r="E1019" s="31"/>
      <c r="G1019" s="32" t="str">
        <f t="shared" si="30"/>
        <v>|||1900|</v>
      </c>
      <c r="H1019" s="32" t="str">
        <f t="shared" si="31"/>
        <v>||1900|</v>
      </c>
      <c r="I1019" s="32">
        <f>IF(G1019="",0,IF(COUNTIF($G$2:G1019,G1019)=1,1,0))</f>
        <v>0</v>
      </c>
      <c r="J1019" s="32">
        <f>IF(H1019="",0,IF(COUNTIF($H$2:H1019,H1019)=1,1,0))</f>
        <v>0</v>
      </c>
    </row>
    <row r="1020" spans="1:10" ht="14.25" hidden="1" customHeight="1" x14ac:dyDescent="0.35">
      <c r="A1020" s="30"/>
      <c r="E1020" s="31"/>
      <c r="G1020" s="32" t="str">
        <f t="shared" si="30"/>
        <v>|||1900|</v>
      </c>
      <c r="H1020" s="32" t="str">
        <f t="shared" si="31"/>
        <v>||1900|</v>
      </c>
      <c r="I1020" s="32">
        <f>IF(G1020="",0,IF(COUNTIF($G$2:G1020,G1020)=1,1,0))</f>
        <v>0</v>
      </c>
      <c r="J1020" s="32">
        <f>IF(H1020="",0,IF(COUNTIF($H$2:H1020,H1020)=1,1,0))</f>
        <v>0</v>
      </c>
    </row>
    <row r="1021" spans="1:10" ht="14.25" hidden="1" customHeight="1" x14ac:dyDescent="0.35">
      <c r="A1021" s="30"/>
      <c r="E1021" s="31"/>
      <c r="G1021" s="32" t="str">
        <f t="shared" si="30"/>
        <v>|||1900|</v>
      </c>
      <c r="H1021" s="32" t="str">
        <f t="shared" si="31"/>
        <v>||1900|</v>
      </c>
      <c r="I1021" s="32">
        <f>IF(G1021="",0,IF(COUNTIF($G$2:G1021,G1021)=1,1,0))</f>
        <v>0</v>
      </c>
      <c r="J1021" s="32">
        <f>IF(H1021="",0,IF(COUNTIF($H$2:H1021,H1021)=1,1,0))</f>
        <v>0</v>
      </c>
    </row>
    <row r="1022" spans="1:10" ht="14.25" hidden="1" customHeight="1" x14ac:dyDescent="0.35">
      <c r="A1022" s="30"/>
      <c r="E1022" s="31"/>
      <c r="G1022" s="32" t="str">
        <f t="shared" si="30"/>
        <v>|||1900|</v>
      </c>
      <c r="H1022" s="32" t="str">
        <f t="shared" si="31"/>
        <v>||1900|</v>
      </c>
      <c r="I1022" s="32">
        <f>IF(G1022="",0,IF(COUNTIF($G$2:G1022,G1022)=1,1,0))</f>
        <v>0</v>
      </c>
      <c r="J1022" s="32">
        <f>IF(H1022="",0,IF(COUNTIF($H$2:H1022,H1022)=1,1,0))</f>
        <v>0</v>
      </c>
    </row>
    <row r="1023" spans="1:10" ht="14.25" hidden="1" customHeight="1" x14ac:dyDescent="0.35">
      <c r="A1023" s="30"/>
      <c r="E1023" s="31"/>
      <c r="G1023" s="32" t="str">
        <f t="shared" si="30"/>
        <v>|||1900|</v>
      </c>
      <c r="H1023" s="32" t="str">
        <f t="shared" si="31"/>
        <v>||1900|</v>
      </c>
      <c r="I1023" s="32">
        <f>IF(G1023="",0,IF(COUNTIF($G$2:G1023,G1023)=1,1,0))</f>
        <v>0</v>
      </c>
      <c r="J1023" s="32">
        <f>IF(H1023="",0,IF(COUNTIF($H$2:H1023,H1023)=1,1,0))</f>
        <v>0</v>
      </c>
    </row>
    <row r="1024" spans="1:10" ht="14.25" hidden="1" customHeight="1" x14ac:dyDescent="0.35">
      <c r="A1024" s="30"/>
      <c r="E1024" s="31"/>
      <c r="G1024" s="32" t="str">
        <f t="shared" si="30"/>
        <v>|||1900|</v>
      </c>
      <c r="H1024" s="32" t="str">
        <f t="shared" si="31"/>
        <v>||1900|</v>
      </c>
      <c r="I1024" s="32">
        <f>IF(G1024="",0,IF(COUNTIF($G$2:G1024,G1024)=1,1,0))</f>
        <v>0</v>
      </c>
      <c r="J1024" s="32">
        <f>IF(H1024="",0,IF(COUNTIF($H$2:H1024,H1024)=1,1,0))</f>
        <v>0</v>
      </c>
    </row>
    <row r="1025" spans="1:10" ht="14.25" hidden="1" customHeight="1" x14ac:dyDescent="0.35">
      <c r="A1025" s="30"/>
      <c r="E1025" s="31"/>
      <c r="G1025" s="32" t="str">
        <f t="shared" si="30"/>
        <v>|||1900|</v>
      </c>
      <c r="H1025" s="32" t="str">
        <f t="shared" si="31"/>
        <v>||1900|</v>
      </c>
      <c r="I1025" s="32">
        <f>IF(G1025="",0,IF(COUNTIF($G$2:G1025,G1025)=1,1,0))</f>
        <v>0</v>
      </c>
      <c r="J1025" s="32">
        <f>IF(H1025="",0,IF(COUNTIF($H$2:H1025,H1025)=1,1,0))</f>
        <v>0</v>
      </c>
    </row>
    <row r="1026" spans="1:10" ht="14.25" hidden="1" customHeight="1" x14ac:dyDescent="0.35">
      <c r="A1026" s="30"/>
      <c r="E1026" s="31"/>
      <c r="G1026" s="32" t="str">
        <f t="shared" ref="G1026:G1089" si="32">IF(D1026="T",
E1026&amp;"|"&amp;F1026,
A1026&amp;"|"&amp;B1026&amp;"|"&amp;C1026&amp;"|"&amp;YEAR(E1026)&amp;"|"&amp;F1026)</f>
        <v>|||1900|</v>
      </c>
      <c r="H1026" s="32" t="str">
        <f t="shared" ref="H1026:H1089" si="33">A1026&amp;"|"&amp;C1026&amp;"|"&amp;YEAR(E1026)&amp;"|"&amp;F1026</f>
        <v>||1900|</v>
      </c>
      <c r="I1026" s="32">
        <f>IF(G1026="",0,IF(COUNTIF($G$2:G1026,G1026)=1,1,0))</f>
        <v>0</v>
      </c>
      <c r="J1026" s="32">
        <f>IF(H1026="",0,IF(COUNTIF($H$2:H1026,H1026)=1,1,0))</f>
        <v>0</v>
      </c>
    </row>
    <row r="1027" spans="1:10" ht="14.25" hidden="1" customHeight="1" x14ac:dyDescent="0.35">
      <c r="A1027" s="30"/>
      <c r="E1027" s="31"/>
      <c r="G1027" s="32" t="str">
        <f t="shared" si="32"/>
        <v>|||1900|</v>
      </c>
      <c r="H1027" s="32" t="str">
        <f t="shared" si="33"/>
        <v>||1900|</v>
      </c>
      <c r="I1027" s="32">
        <f>IF(G1027="",0,IF(COUNTIF($G$2:G1027,G1027)=1,1,0))</f>
        <v>0</v>
      </c>
      <c r="J1027" s="32">
        <f>IF(H1027="",0,IF(COUNTIF($H$2:H1027,H1027)=1,1,0))</f>
        <v>0</v>
      </c>
    </row>
    <row r="1028" spans="1:10" ht="14.25" hidden="1" customHeight="1" x14ac:dyDescent="0.35">
      <c r="A1028" s="30"/>
      <c r="E1028" s="31"/>
      <c r="G1028" s="32" t="str">
        <f t="shared" si="32"/>
        <v>|||1900|</v>
      </c>
      <c r="H1028" s="32" t="str">
        <f t="shared" si="33"/>
        <v>||1900|</v>
      </c>
      <c r="I1028" s="32">
        <f>IF(G1028="",0,IF(COUNTIF($G$2:G1028,G1028)=1,1,0))</f>
        <v>0</v>
      </c>
      <c r="J1028" s="32">
        <f>IF(H1028="",0,IF(COUNTIF($H$2:H1028,H1028)=1,1,0))</f>
        <v>0</v>
      </c>
    </row>
    <row r="1029" spans="1:10" ht="14.25" hidden="1" customHeight="1" x14ac:dyDescent="0.35">
      <c r="A1029" s="30"/>
      <c r="E1029" s="31"/>
      <c r="G1029" s="32" t="str">
        <f t="shared" si="32"/>
        <v>|||1900|</v>
      </c>
      <c r="H1029" s="32" t="str">
        <f t="shared" si="33"/>
        <v>||1900|</v>
      </c>
      <c r="I1029" s="32">
        <f>IF(G1029="",0,IF(COUNTIF($G$2:G1029,G1029)=1,1,0))</f>
        <v>0</v>
      </c>
      <c r="J1029" s="32">
        <f>IF(H1029="",0,IF(COUNTIF($H$2:H1029,H1029)=1,1,0))</f>
        <v>0</v>
      </c>
    </row>
    <row r="1030" spans="1:10" ht="14.25" hidden="1" customHeight="1" x14ac:dyDescent="0.35">
      <c r="A1030" s="30"/>
      <c r="E1030" s="31"/>
      <c r="G1030" s="32" t="str">
        <f t="shared" si="32"/>
        <v>|||1900|</v>
      </c>
      <c r="H1030" s="32" t="str">
        <f t="shared" si="33"/>
        <v>||1900|</v>
      </c>
      <c r="I1030" s="32">
        <f>IF(G1030="",0,IF(COUNTIF($G$2:G1030,G1030)=1,1,0))</f>
        <v>0</v>
      </c>
      <c r="J1030" s="32">
        <f>IF(H1030="",0,IF(COUNTIF($H$2:H1030,H1030)=1,1,0))</f>
        <v>0</v>
      </c>
    </row>
    <row r="1031" spans="1:10" ht="14.25" hidden="1" customHeight="1" x14ac:dyDescent="0.35">
      <c r="A1031" s="30"/>
      <c r="E1031" s="31"/>
      <c r="G1031" s="32" t="str">
        <f t="shared" si="32"/>
        <v>|||1900|</v>
      </c>
      <c r="H1031" s="32" t="str">
        <f t="shared" si="33"/>
        <v>||1900|</v>
      </c>
      <c r="I1031" s="32">
        <f>IF(G1031="",0,IF(COUNTIF($G$2:G1031,G1031)=1,1,0))</f>
        <v>0</v>
      </c>
      <c r="J1031" s="32">
        <f>IF(H1031="",0,IF(COUNTIF($H$2:H1031,H1031)=1,1,0))</f>
        <v>0</v>
      </c>
    </row>
    <row r="1032" spans="1:10" ht="14.25" hidden="1" customHeight="1" x14ac:dyDescent="0.35">
      <c r="A1032" s="30"/>
      <c r="E1032" s="31"/>
      <c r="G1032" s="32" t="str">
        <f t="shared" si="32"/>
        <v>|||1900|</v>
      </c>
      <c r="H1032" s="32" t="str">
        <f t="shared" si="33"/>
        <v>||1900|</v>
      </c>
      <c r="I1032" s="32">
        <f>IF(G1032="",0,IF(COUNTIF($G$2:G1032,G1032)=1,1,0))</f>
        <v>0</v>
      </c>
      <c r="J1032" s="32">
        <f>IF(H1032="",0,IF(COUNTIF($H$2:H1032,H1032)=1,1,0))</f>
        <v>0</v>
      </c>
    </row>
    <row r="1033" spans="1:10" ht="14.25" hidden="1" customHeight="1" x14ac:dyDescent="0.35">
      <c r="A1033" s="30"/>
      <c r="E1033" s="31"/>
      <c r="G1033" s="32" t="str">
        <f t="shared" si="32"/>
        <v>|||1900|</v>
      </c>
      <c r="H1033" s="32" t="str">
        <f t="shared" si="33"/>
        <v>||1900|</v>
      </c>
      <c r="I1033" s="32">
        <f>IF(G1033="",0,IF(COUNTIF($G$2:G1033,G1033)=1,1,0))</f>
        <v>0</v>
      </c>
      <c r="J1033" s="32">
        <f>IF(H1033="",0,IF(COUNTIF($H$2:H1033,H1033)=1,1,0))</f>
        <v>0</v>
      </c>
    </row>
    <row r="1034" spans="1:10" ht="14.25" hidden="1" customHeight="1" x14ac:dyDescent="0.35">
      <c r="A1034" s="30"/>
      <c r="E1034" s="31"/>
      <c r="G1034" s="32" t="str">
        <f t="shared" si="32"/>
        <v>|||1900|</v>
      </c>
      <c r="H1034" s="32" t="str">
        <f t="shared" si="33"/>
        <v>||1900|</v>
      </c>
      <c r="I1034" s="32">
        <f>IF(G1034="",0,IF(COUNTIF($G$2:G1034,G1034)=1,1,0))</f>
        <v>0</v>
      </c>
      <c r="J1034" s="32">
        <f>IF(H1034="",0,IF(COUNTIF($H$2:H1034,H1034)=1,1,0))</f>
        <v>0</v>
      </c>
    </row>
    <row r="1035" spans="1:10" ht="14.25" hidden="1" customHeight="1" x14ac:dyDescent="0.35">
      <c r="A1035" s="30"/>
      <c r="E1035" s="31"/>
      <c r="G1035" s="32" t="str">
        <f t="shared" si="32"/>
        <v>|||1900|</v>
      </c>
      <c r="H1035" s="32" t="str">
        <f t="shared" si="33"/>
        <v>||1900|</v>
      </c>
      <c r="I1035" s="32">
        <f>IF(G1035="",0,IF(COUNTIF($G$2:G1035,G1035)=1,1,0))</f>
        <v>0</v>
      </c>
      <c r="J1035" s="32">
        <f>IF(H1035="",0,IF(COUNTIF($H$2:H1035,H1035)=1,1,0))</f>
        <v>0</v>
      </c>
    </row>
    <row r="1036" spans="1:10" ht="14.25" hidden="1" customHeight="1" x14ac:dyDescent="0.35">
      <c r="A1036" s="30"/>
      <c r="E1036" s="31"/>
      <c r="G1036" s="32" t="str">
        <f t="shared" si="32"/>
        <v>|||1900|</v>
      </c>
      <c r="H1036" s="32" t="str">
        <f t="shared" si="33"/>
        <v>||1900|</v>
      </c>
      <c r="I1036" s="32">
        <f>IF(G1036="",0,IF(COUNTIF($G$2:G1036,G1036)=1,1,0))</f>
        <v>0</v>
      </c>
      <c r="J1036" s="32">
        <f>IF(H1036="",0,IF(COUNTIF($H$2:H1036,H1036)=1,1,0))</f>
        <v>0</v>
      </c>
    </row>
    <row r="1037" spans="1:10" ht="14.25" hidden="1" customHeight="1" x14ac:dyDescent="0.35">
      <c r="A1037" s="30"/>
      <c r="E1037" s="31"/>
      <c r="G1037" s="32" t="str">
        <f t="shared" si="32"/>
        <v>|||1900|</v>
      </c>
      <c r="H1037" s="32" t="str">
        <f t="shared" si="33"/>
        <v>||1900|</v>
      </c>
      <c r="I1037" s="32">
        <f>IF(G1037="",0,IF(COUNTIF($G$2:G1037,G1037)=1,1,0))</f>
        <v>0</v>
      </c>
      <c r="J1037" s="32">
        <f>IF(H1037="",0,IF(COUNTIF($H$2:H1037,H1037)=1,1,0))</f>
        <v>0</v>
      </c>
    </row>
    <row r="1038" spans="1:10" ht="14.25" hidden="1" customHeight="1" x14ac:dyDescent="0.35">
      <c r="A1038" s="30"/>
      <c r="E1038" s="31"/>
      <c r="G1038" s="32" t="str">
        <f t="shared" si="32"/>
        <v>|||1900|</v>
      </c>
      <c r="H1038" s="32" t="str">
        <f t="shared" si="33"/>
        <v>||1900|</v>
      </c>
      <c r="I1038" s="32">
        <f>IF(G1038="",0,IF(COUNTIF($G$2:G1038,G1038)=1,1,0))</f>
        <v>0</v>
      </c>
      <c r="J1038" s="32">
        <f>IF(H1038="",0,IF(COUNTIF($H$2:H1038,H1038)=1,1,0))</f>
        <v>0</v>
      </c>
    </row>
    <row r="1039" spans="1:10" ht="14.25" hidden="1" customHeight="1" x14ac:dyDescent="0.35">
      <c r="A1039" s="30"/>
      <c r="E1039" s="31"/>
      <c r="G1039" s="32" t="str">
        <f t="shared" si="32"/>
        <v>|||1900|</v>
      </c>
      <c r="H1039" s="32" t="str">
        <f t="shared" si="33"/>
        <v>||1900|</v>
      </c>
      <c r="I1039" s="32">
        <f>IF(G1039="",0,IF(COUNTIF($G$2:G1039,G1039)=1,1,0))</f>
        <v>0</v>
      </c>
      <c r="J1039" s="32">
        <f>IF(H1039="",0,IF(COUNTIF($H$2:H1039,H1039)=1,1,0))</f>
        <v>0</v>
      </c>
    </row>
    <row r="1040" spans="1:10" ht="14.25" hidden="1" customHeight="1" x14ac:dyDescent="0.35">
      <c r="A1040" s="30"/>
      <c r="E1040" s="31"/>
      <c r="G1040" s="32" t="str">
        <f t="shared" si="32"/>
        <v>|||1900|</v>
      </c>
      <c r="H1040" s="32" t="str">
        <f t="shared" si="33"/>
        <v>||1900|</v>
      </c>
      <c r="I1040" s="32">
        <f>IF(G1040="",0,IF(COUNTIF($G$2:G1040,G1040)=1,1,0))</f>
        <v>0</v>
      </c>
      <c r="J1040" s="32">
        <f>IF(H1040="",0,IF(COUNTIF($H$2:H1040,H1040)=1,1,0))</f>
        <v>0</v>
      </c>
    </row>
    <row r="1041" spans="1:10" ht="14.25" hidden="1" customHeight="1" x14ac:dyDescent="0.35">
      <c r="A1041" s="30"/>
      <c r="E1041" s="31"/>
      <c r="G1041" s="32" t="str">
        <f t="shared" si="32"/>
        <v>|||1900|</v>
      </c>
      <c r="H1041" s="32" t="str">
        <f t="shared" si="33"/>
        <v>||1900|</v>
      </c>
      <c r="I1041" s="32">
        <f>IF(G1041="",0,IF(COUNTIF($G$2:G1041,G1041)=1,1,0))</f>
        <v>0</v>
      </c>
      <c r="J1041" s="32">
        <f>IF(H1041="",0,IF(COUNTIF($H$2:H1041,H1041)=1,1,0))</f>
        <v>0</v>
      </c>
    </row>
    <row r="1042" spans="1:10" ht="14.25" hidden="1" customHeight="1" x14ac:dyDescent="0.35">
      <c r="A1042" s="30"/>
      <c r="E1042" s="31"/>
      <c r="G1042" s="32" t="str">
        <f t="shared" si="32"/>
        <v>|||1900|</v>
      </c>
      <c r="H1042" s="32" t="str">
        <f t="shared" si="33"/>
        <v>||1900|</v>
      </c>
      <c r="I1042" s="32">
        <f>IF(G1042="",0,IF(COUNTIF($G$2:G1042,G1042)=1,1,0))</f>
        <v>0</v>
      </c>
      <c r="J1042" s="32">
        <f>IF(H1042="",0,IF(COUNTIF($H$2:H1042,H1042)=1,1,0))</f>
        <v>0</v>
      </c>
    </row>
    <row r="1043" spans="1:10" ht="14.25" hidden="1" customHeight="1" x14ac:dyDescent="0.35">
      <c r="A1043" s="30"/>
      <c r="E1043" s="31"/>
      <c r="G1043" s="32" t="str">
        <f t="shared" si="32"/>
        <v>|||1900|</v>
      </c>
      <c r="H1043" s="32" t="str">
        <f t="shared" si="33"/>
        <v>||1900|</v>
      </c>
      <c r="I1043" s="32">
        <f>IF(G1043="",0,IF(COUNTIF($G$2:G1043,G1043)=1,1,0))</f>
        <v>0</v>
      </c>
      <c r="J1043" s="32">
        <f>IF(H1043="",0,IF(COUNTIF($H$2:H1043,H1043)=1,1,0))</f>
        <v>0</v>
      </c>
    </row>
    <row r="1044" spans="1:10" ht="14.25" hidden="1" customHeight="1" x14ac:dyDescent="0.35">
      <c r="A1044" s="30"/>
      <c r="E1044" s="31"/>
      <c r="G1044" s="32" t="str">
        <f t="shared" si="32"/>
        <v>|||1900|</v>
      </c>
      <c r="H1044" s="32" t="str">
        <f t="shared" si="33"/>
        <v>||1900|</v>
      </c>
      <c r="I1044" s="32">
        <f>IF(G1044="",0,IF(COUNTIF($G$2:G1044,G1044)=1,1,0))</f>
        <v>0</v>
      </c>
      <c r="J1044" s="32">
        <f>IF(H1044="",0,IF(COUNTIF($H$2:H1044,H1044)=1,1,0))</f>
        <v>0</v>
      </c>
    </row>
    <row r="1045" spans="1:10" ht="14.25" hidden="1" customHeight="1" x14ac:dyDescent="0.35">
      <c r="A1045" s="30"/>
      <c r="E1045" s="31"/>
      <c r="G1045" s="32" t="str">
        <f t="shared" si="32"/>
        <v>|||1900|</v>
      </c>
      <c r="H1045" s="32" t="str">
        <f t="shared" si="33"/>
        <v>||1900|</v>
      </c>
      <c r="I1045" s="32">
        <f>IF(G1045="",0,IF(COUNTIF($G$2:G1045,G1045)=1,1,0))</f>
        <v>0</v>
      </c>
      <c r="J1045" s="32">
        <f>IF(H1045="",0,IF(COUNTIF($H$2:H1045,H1045)=1,1,0))</f>
        <v>0</v>
      </c>
    </row>
    <row r="1046" spans="1:10" ht="14.25" hidden="1" customHeight="1" x14ac:dyDescent="0.35">
      <c r="A1046" s="30"/>
      <c r="E1046" s="31"/>
      <c r="G1046" s="32" t="str">
        <f t="shared" si="32"/>
        <v>|||1900|</v>
      </c>
      <c r="H1046" s="32" t="str">
        <f t="shared" si="33"/>
        <v>||1900|</v>
      </c>
      <c r="I1046" s="32">
        <f>IF(G1046="",0,IF(COUNTIF($G$2:G1046,G1046)=1,1,0))</f>
        <v>0</v>
      </c>
      <c r="J1046" s="32">
        <f>IF(H1046="",0,IF(COUNTIF($H$2:H1046,H1046)=1,1,0))</f>
        <v>0</v>
      </c>
    </row>
    <row r="1047" spans="1:10" ht="14.25" hidden="1" customHeight="1" x14ac:dyDescent="0.35">
      <c r="A1047" s="30"/>
      <c r="E1047" s="31"/>
      <c r="G1047" s="32" t="str">
        <f t="shared" si="32"/>
        <v>|||1900|</v>
      </c>
      <c r="H1047" s="32" t="str">
        <f t="shared" si="33"/>
        <v>||1900|</v>
      </c>
      <c r="I1047" s="32">
        <f>IF(G1047="",0,IF(COUNTIF($G$2:G1047,G1047)=1,1,0))</f>
        <v>0</v>
      </c>
      <c r="J1047" s="32">
        <f>IF(H1047="",0,IF(COUNTIF($H$2:H1047,H1047)=1,1,0))</f>
        <v>0</v>
      </c>
    </row>
    <row r="1048" spans="1:10" ht="14.25" hidden="1" customHeight="1" x14ac:dyDescent="0.35">
      <c r="A1048" s="30"/>
      <c r="E1048" s="31"/>
      <c r="G1048" s="32" t="str">
        <f t="shared" si="32"/>
        <v>|||1900|</v>
      </c>
      <c r="H1048" s="32" t="str">
        <f t="shared" si="33"/>
        <v>||1900|</v>
      </c>
      <c r="I1048" s="32">
        <f>IF(G1048="",0,IF(COUNTIF($G$2:G1048,G1048)=1,1,0))</f>
        <v>0</v>
      </c>
      <c r="J1048" s="32">
        <f>IF(H1048="",0,IF(COUNTIF($H$2:H1048,H1048)=1,1,0))</f>
        <v>0</v>
      </c>
    </row>
    <row r="1049" spans="1:10" ht="14.25" hidden="1" customHeight="1" x14ac:dyDescent="0.35">
      <c r="A1049" s="30"/>
      <c r="E1049" s="31"/>
      <c r="G1049" s="32" t="str">
        <f t="shared" si="32"/>
        <v>|||1900|</v>
      </c>
      <c r="H1049" s="32" t="str">
        <f t="shared" si="33"/>
        <v>||1900|</v>
      </c>
      <c r="I1049" s="32">
        <f>IF(G1049="",0,IF(COUNTIF($G$2:G1049,G1049)=1,1,0))</f>
        <v>0</v>
      </c>
      <c r="J1049" s="32">
        <f>IF(H1049="",0,IF(COUNTIF($H$2:H1049,H1049)=1,1,0))</f>
        <v>0</v>
      </c>
    </row>
    <row r="1050" spans="1:10" ht="14.25" hidden="1" customHeight="1" x14ac:dyDescent="0.35">
      <c r="A1050" s="30"/>
      <c r="E1050" s="31"/>
      <c r="G1050" s="32" t="str">
        <f t="shared" si="32"/>
        <v>|||1900|</v>
      </c>
      <c r="H1050" s="32" t="str">
        <f t="shared" si="33"/>
        <v>||1900|</v>
      </c>
      <c r="I1050" s="32">
        <f>IF(G1050="",0,IF(COUNTIF($G$2:G1050,G1050)=1,1,0))</f>
        <v>0</v>
      </c>
      <c r="J1050" s="32">
        <f>IF(H1050="",0,IF(COUNTIF($H$2:H1050,H1050)=1,1,0))</f>
        <v>0</v>
      </c>
    </row>
    <row r="1051" spans="1:10" ht="14.25" hidden="1" customHeight="1" x14ac:dyDescent="0.35">
      <c r="A1051" s="30"/>
      <c r="E1051" s="31"/>
      <c r="G1051" s="32" t="str">
        <f t="shared" si="32"/>
        <v>|||1900|</v>
      </c>
      <c r="H1051" s="32" t="str">
        <f t="shared" si="33"/>
        <v>||1900|</v>
      </c>
      <c r="I1051" s="32">
        <f>IF(G1051="",0,IF(COUNTIF($G$2:G1051,G1051)=1,1,0))</f>
        <v>0</v>
      </c>
      <c r="J1051" s="32">
        <f>IF(H1051="",0,IF(COUNTIF($H$2:H1051,H1051)=1,1,0))</f>
        <v>0</v>
      </c>
    </row>
    <row r="1052" spans="1:10" ht="14.25" hidden="1" customHeight="1" x14ac:dyDescent="0.35">
      <c r="A1052" s="30"/>
      <c r="E1052" s="31"/>
      <c r="G1052" s="32" t="str">
        <f t="shared" si="32"/>
        <v>|||1900|</v>
      </c>
      <c r="H1052" s="32" t="str">
        <f t="shared" si="33"/>
        <v>||1900|</v>
      </c>
      <c r="I1052" s="32">
        <f>IF(G1052="",0,IF(COUNTIF($G$2:G1052,G1052)=1,1,0))</f>
        <v>0</v>
      </c>
      <c r="J1052" s="32">
        <f>IF(H1052="",0,IF(COUNTIF($H$2:H1052,H1052)=1,1,0))</f>
        <v>0</v>
      </c>
    </row>
    <row r="1053" spans="1:10" ht="14.25" hidden="1" customHeight="1" x14ac:dyDescent="0.35">
      <c r="A1053" s="30"/>
      <c r="E1053" s="31"/>
      <c r="G1053" s="32" t="str">
        <f t="shared" si="32"/>
        <v>|||1900|</v>
      </c>
      <c r="H1053" s="32" t="str">
        <f t="shared" si="33"/>
        <v>||1900|</v>
      </c>
      <c r="I1053" s="32">
        <f>IF(G1053="",0,IF(COUNTIF($G$2:G1053,G1053)=1,1,0))</f>
        <v>0</v>
      </c>
      <c r="J1053" s="32">
        <f>IF(H1053="",0,IF(COUNTIF($H$2:H1053,H1053)=1,1,0))</f>
        <v>0</v>
      </c>
    </row>
    <row r="1054" spans="1:10" ht="14.25" hidden="1" customHeight="1" x14ac:dyDescent="0.35">
      <c r="A1054" s="30"/>
      <c r="E1054" s="31"/>
      <c r="G1054" s="32" t="str">
        <f t="shared" si="32"/>
        <v>|||1900|</v>
      </c>
      <c r="H1054" s="32" t="str">
        <f t="shared" si="33"/>
        <v>||1900|</v>
      </c>
      <c r="I1054" s="32">
        <f>IF(G1054="",0,IF(COUNTIF($G$2:G1054,G1054)=1,1,0))</f>
        <v>0</v>
      </c>
      <c r="J1054" s="32">
        <f>IF(H1054="",0,IF(COUNTIF($H$2:H1054,H1054)=1,1,0))</f>
        <v>0</v>
      </c>
    </row>
    <row r="1055" spans="1:10" ht="14.25" hidden="1" customHeight="1" x14ac:dyDescent="0.35">
      <c r="A1055" s="30"/>
      <c r="E1055" s="31"/>
      <c r="G1055" s="32" t="str">
        <f t="shared" si="32"/>
        <v>|||1900|</v>
      </c>
      <c r="H1055" s="32" t="str">
        <f t="shared" si="33"/>
        <v>||1900|</v>
      </c>
      <c r="I1055" s="32">
        <f>IF(G1055="",0,IF(COUNTIF($G$2:G1055,G1055)=1,1,0))</f>
        <v>0</v>
      </c>
      <c r="J1055" s="32">
        <f>IF(H1055="",0,IF(COUNTIF($H$2:H1055,H1055)=1,1,0))</f>
        <v>0</v>
      </c>
    </row>
    <row r="1056" spans="1:10" ht="14.25" hidden="1" customHeight="1" x14ac:dyDescent="0.35">
      <c r="A1056" s="30"/>
      <c r="E1056" s="31"/>
      <c r="G1056" s="32" t="str">
        <f t="shared" si="32"/>
        <v>|||1900|</v>
      </c>
      <c r="H1056" s="32" t="str">
        <f t="shared" si="33"/>
        <v>||1900|</v>
      </c>
      <c r="I1056" s="32">
        <f>IF(G1056="",0,IF(COUNTIF($G$2:G1056,G1056)=1,1,0))</f>
        <v>0</v>
      </c>
      <c r="J1056" s="32">
        <f>IF(H1056="",0,IF(COUNTIF($H$2:H1056,H1056)=1,1,0))</f>
        <v>0</v>
      </c>
    </row>
    <row r="1057" spans="1:10" ht="14.25" hidden="1" customHeight="1" x14ac:dyDescent="0.35">
      <c r="A1057" s="30"/>
      <c r="E1057" s="31"/>
      <c r="G1057" s="32" t="str">
        <f t="shared" si="32"/>
        <v>|||1900|</v>
      </c>
      <c r="H1057" s="32" t="str">
        <f t="shared" si="33"/>
        <v>||1900|</v>
      </c>
      <c r="I1057" s="32">
        <f>IF(G1057="",0,IF(COUNTIF($G$2:G1057,G1057)=1,1,0))</f>
        <v>0</v>
      </c>
      <c r="J1057" s="32">
        <f>IF(H1057="",0,IF(COUNTIF($H$2:H1057,H1057)=1,1,0))</f>
        <v>0</v>
      </c>
    </row>
    <row r="1058" spans="1:10" ht="14.25" hidden="1" customHeight="1" x14ac:dyDescent="0.35">
      <c r="A1058" s="30"/>
      <c r="E1058" s="31"/>
      <c r="G1058" s="32" t="str">
        <f t="shared" si="32"/>
        <v>|||1900|</v>
      </c>
      <c r="H1058" s="32" t="str">
        <f t="shared" si="33"/>
        <v>||1900|</v>
      </c>
      <c r="I1058" s="32">
        <f>IF(G1058="",0,IF(COUNTIF($G$2:G1058,G1058)=1,1,0))</f>
        <v>0</v>
      </c>
      <c r="J1058" s="32">
        <f>IF(H1058="",0,IF(COUNTIF($H$2:H1058,H1058)=1,1,0))</f>
        <v>0</v>
      </c>
    </row>
    <row r="1059" spans="1:10" ht="14.25" hidden="1" customHeight="1" x14ac:dyDescent="0.35">
      <c r="A1059" s="30"/>
      <c r="E1059" s="31"/>
      <c r="G1059" s="32" t="str">
        <f t="shared" si="32"/>
        <v>|||1900|</v>
      </c>
      <c r="H1059" s="32" t="str">
        <f t="shared" si="33"/>
        <v>||1900|</v>
      </c>
      <c r="I1059" s="32">
        <f>IF(G1059="",0,IF(COUNTIF($G$2:G1059,G1059)=1,1,0))</f>
        <v>0</v>
      </c>
      <c r="J1059" s="32">
        <f>IF(H1059="",0,IF(COUNTIF($H$2:H1059,H1059)=1,1,0))</f>
        <v>0</v>
      </c>
    </row>
    <row r="1060" spans="1:10" ht="14.25" hidden="1" customHeight="1" x14ac:dyDescent="0.35">
      <c r="A1060" s="30"/>
      <c r="E1060" s="31"/>
      <c r="G1060" s="32" t="str">
        <f t="shared" si="32"/>
        <v>|||1900|</v>
      </c>
      <c r="H1060" s="32" t="str">
        <f t="shared" si="33"/>
        <v>||1900|</v>
      </c>
      <c r="I1060" s="32">
        <f>IF(G1060="",0,IF(COUNTIF($G$2:G1060,G1060)=1,1,0))</f>
        <v>0</v>
      </c>
      <c r="J1060" s="32">
        <f>IF(H1060="",0,IF(COUNTIF($H$2:H1060,H1060)=1,1,0))</f>
        <v>0</v>
      </c>
    </row>
    <row r="1061" spans="1:10" ht="14.25" hidden="1" customHeight="1" x14ac:dyDescent="0.35">
      <c r="A1061" s="30"/>
      <c r="E1061" s="31"/>
      <c r="G1061" s="32" t="str">
        <f t="shared" si="32"/>
        <v>|||1900|</v>
      </c>
      <c r="H1061" s="32" t="str">
        <f t="shared" si="33"/>
        <v>||1900|</v>
      </c>
      <c r="I1061" s="32">
        <f>IF(G1061="",0,IF(COUNTIF($G$2:G1061,G1061)=1,1,0))</f>
        <v>0</v>
      </c>
      <c r="J1061" s="32">
        <f>IF(H1061="",0,IF(COUNTIF($H$2:H1061,H1061)=1,1,0))</f>
        <v>0</v>
      </c>
    </row>
    <row r="1062" spans="1:10" ht="14.25" hidden="1" customHeight="1" x14ac:dyDescent="0.35">
      <c r="A1062" s="30"/>
      <c r="E1062" s="31"/>
      <c r="G1062" s="32" t="str">
        <f t="shared" si="32"/>
        <v>|||1900|</v>
      </c>
      <c r="H1062" s="32" t="str">
        <f t="shared" si="33"/>
        <v>||1900|</v>
      </c>
      <c r="I1062" s="32">
        <f>IF(G1062="",0,IF(COUNTIF($G$2:G1062,G1062)=1,1,0))</f>
        <v>0</v>
      </c>
      <c r="J1062" s="32">
        <f>IF(H1062="",0,IF(COUNTIF($H$2:H1062,H1062)=1,1,0))</f>
        <v>0</v>
      </c>
    </row>
    <row r="1063" spans="1:10" ht="14.25" hidden="1" customHeight="1" x14ac:dyDescent="0.35">
      <c r="A1063" s="30"/>
      <c r="E1063" s="31"/>
      <c r="G1063" s="32" t="str">
        <f t="shared" si="32"/>
        <v>|||1900|</v>
      </c>
      <c r="H1063" s="32" t="str">
        <f t="shared" si="33"/>
        <v>||1900|</v>
      </c>
      <c r="I1063" s="32">
        <f>IF(G1063="",0,IF(COUNTIF($G$2:G1063,G1063)=1,1,0))</f>
        <v>0</v>
      </c>
      <c r="J1063" s="32">
        <f>IF(H1063="",0,IF(COUNTIF($H$2:H1063,H1063)=1,1,0))</f>
        <v>0</v>
      </c>
    </row>
    <row r="1064" spans="1:10" ht="14.25" hidden="1" customHeight="1" x14ac:dyDescent="0.35">
      <c r="A1064" s="30"/>
      <c r="E1064" s="31"/>
      <c r="G1064" s="32" t="str">
        <f t="shared" si="32"/>
        <v>|||1900|</v>
      </c>
      <c r="H1064" s="32" t="str">
        <f t="shared" si="33"/>
        <v>||1900|</v>
      </c>
      <c r="I1064" s="32">
        <f>IF(G1064="",0,IF(COUNTIF($G$2:G1064,G1064)=1,1,0))</f>
        <v>0</v>
      </c>
      <c r="J1064" s="32">
        <f>IF(H1064="",0,IF(COUNTIF($H$2:H1064,H1064)=1,1,0))</f>
        <v>0</v>
      </c>
    </row>
    <row r="1065" spans="1:10" ht="14.25" hidden="1" customHeight="1" x14ac:dyDescent="0.35">
      <c r="A1065" s="30"/>
      <c r="E1065" s="31"/>
      <c r="G1065" s="32" t="str">
        <f t="shared" si="32"/>
        <v>|||1900|</v>
      </c>
      <c r="H1065" s="32" t="str">
        <f t="shared" si="33"/>
        <v>||1900|</v>
      </c>
      <c r="I1065" s="32">
        <f>IF(G1065="",0,IF(COUNTIF($G$2:G1065,G1065)=1,1,0))</f>
        <v>0</v>
      </c>
      <c r="J1065" s="32">
        <f>IF(H1065="",0,IF(COUNTIF($H$2:H1065,H1065)=1,1,0))</f>
        <v>0</v>
      </c>
    </row>
    <row r="1066" spans="1:10" ht="14.25" hidden="1" customHeight="1" x14ac:dyDescent="0.35">
      <c r="A1066" s="30"/>
      <c r="E1066" s="31"/>
      <c r="G1066" s="32" t="str">
        <f t="shared" si="32"/>
        <v>|||1900|</v>
      </c>
      <c r="H1066" s="32" t="str">
        <f t="shared" si="33"/>
        <v>||1900|</v>
      </c>
      <c r="I1066" s="32">
        <f>IF(G1066="",0,IF(COUNTIF($G$2:G1066,G1066)=1,1,0))</f>
        <v>0</v>
      </c>
      <c r="J1066" s="32">
        <f>IF(H1066="",0,IF(COUNTIF($H$2:H1066,H1066)=1,1,0))</f>
        <v>0</v>
      </c>
    </row>
    <row r="1067" spans="1:10" ht="14.25" hidden="1" customHeight="1" x14ac:dyDescent="0.35">
      <c r="A1067" s="30"/>
      <c r="E1067" s="31"/>
      <c r="G1067" s="32" t="str">
        <f t="shared" si="32"/>
        <v>|||1900|</v>
      </c>
      <c r="H1067" s="32" t="str">
        <f t="shared" si="33"/>
        <v>||1900|</v>
      </c>
      <c r="I1067" s="32">
        <f>IF(G1067="",0,IF(COUNTIF($G$2:G1067,G1067)=1,1,0))</f>
        <v>0</v>
      </c>
      <c r="J1067" s="32">
        <f>IF(H1067="",0,IF(COUNTIF($H$2:H1067,H1067)=1,1,0))</f>
        <v>0</v>
      </c>
    </row>
    <row r="1068" spans="1:10" ht="14.25" hidden="1" customHeight="1" x14ac:dyDescent="0.35">
      <c r="A1068" s="30"/>
      <c r="E1068" s="31"/>
      <c r="G1068" s="32" t="str">
        <f t="shared" si="32"/>
        <v>|||1900|</v>
      </c>
      <c r="H1068" s="32" t="str">
        <f t="shared" si="33"/>
        <v>||1900|</v>
      </c>
      <c r="I1068" s="32">
        <f>IF(G1068="",0,IF(COUNTIF($G$2:G1068,G1068)=1,1,0))</f>
        <v>0</v>
      </c>
      <c r="J1068" s="32">
        <f>IF(H1068="",0,IF(COUNTIF($H$2:H1068,H1068)=1,1,0))</f>
        <v>0</v>
      </c>
    </row>
    <row r="1069" spans="1:10" ht="14.25" hidden="1" customHeight="1" x14ac:dyDescent="0.35">
      <c r="A1069" s="30"/>
      <c r="E1069" s="31"/>
      <c r="G1069" s="32" t="str">
        <f t="shared" si="32"/>
        <v>|||1900|</v>
      </c>
      <c r="H1069" s="32" t="str">
        <f t="shared" si="33"/>
        <v>||1900|</v>
      </c>
      <c r="I1069" s="32">
        <f>IF(G1069="",0,IF(COUNTIF($G$2:G1069,G1069)=1,1,0))</f>
        <v>0</v>
      </c>
      <c r="J1069" s="32">
        <f>IF(H1069="",0,IF(COUNTIF($H$2:H1069,H1069)=1,1,0))</f>
        <v>0</v>
      </c>
    </row>
    <row r="1070" spans="1:10" ht="14.25" hidden="1" customHeight="1" x14ac:dyDescent="0.35">
      <c r="A1070" s="30"/>
      <c r="E1070" s="31"/>
      <c r="G1070" s="32" t="str">
        <f t="shared" si="32"/>
        <v>|||1900|</v>
      </c>
      <c r="H1070" s="32" t="str">
        <f t="shared" si="33"/>
        <v>||1900|</v>
      </c>
      <c r="I1070" s="32">
        <f>IF(G1070="",0,IF(COUNTIF($G$2:G1070,G1070)=1,1,0))</f>
        <v>0</v>
      </c>
      <c r="J1070" s="32">
        <f>IF(H1070="",0,IF(COUNTIF($H$2:H1070,H1070)=1,1,0))</f>
        <v>0</v>
      </c>
    </row>
    <row r="1071" spans="1:10" ht="14.25" hidden="1" customHeight="1" x14ac:dyDescent="0.35">
      <c r="A1071" s="30"/>
      <c r="E1071" s="31"/>
      <c r="G1071" s="32" t="str">
        <f t="shared" si="32"/>
        <v>|||1900|</v>
      </c>
      <c r="H1071" s="32" t="str">
        <f t="shared" si="33"/>
        <v>||1900|</v>
      </c>
      <c r="I1071" s="32">
        <f>IF(G1071="",0,IF(COUNTIF($G$2:G1071,G1071)=1,1,0))</f>
        <v>0</v>
      </c>
      <c r="J1071" s="32">
        <f>IF(H1071="",0,IF(COUNTIF($H$2:H1071,H1071)=1,1,0))</f>
        <v>0</v>
      </c>
    </row>
    <row r="1072" spans="1:10" ht="14.25" hidden="1" customHeight="1" x14ac:dyDescent="0.35">
      <c r="A1072" s="30"/>
      <c r="E1072" s="31"/>
      <c r="G1072" s="32" t="str">
        <f t="shared" si="32"/>
        <v>|||1900|</v>
      </c>
      <c r="H1072" s="32" t="str">
        <f t="shared" si="33"/>
        <v>||1900|</v>
      </c>
      <c r="I1072" s="32">
        <f>IF(G1072="",0,IF(COUNTIF($G$2:G1072,G1072)=1,1,0))</f>
        <v>0</v>
      </c>
      <c r="J1072" s="32">
        <f>IF(H1072="",0,IF(COUNTIF($H$2:H1072,H1072)=1,1,0))</f>
        <v>0</v>
      </c>
    </row>
    <row r="1073" spans="1:10" ht="14.25" hidden="1" customHeight="1" x14ac:dyDescent="0.35">
      <c r="A1073" s="30"/>
      <c r="E1073" s="31"/>
      <c r="G1073" s="32" t="str">
        <f t="shared" si="32"/>
        <v>|||1900|</v>
      </c>
      <c r="H1073" s="32" t="str">
        <f t="shared" si="33"/>
        <v>||1900|</v>
      </c>
      <c r="I1073" s="32">
        <f>IF(G1073="",0,IF(COUNTIF($G$2:G1073,G1073)=1,1,0))</f>
        <v>0</v>
      </c>
      <c r="J1073" s="32">
        <f>IF(H1073="",0,IF(COUNTIF($H$2:H1073,H1073)=1,1,0))</f>
        <v>0</v>
      </c>
    </row>
    <row r="1074" spans="1:10" ht="14.25" hidden="1" customHeight="1" x14ac:dyDescent="0.35">
      <c r="A1074" s="30"/>
      <c r="E1074" s="31"/>
      <c r="G1074" s="32" t="str">
        <f t="shared" si="32"/>
        <v>|||1900|</v>
      </c>
      <c r="H1074" s="32" t="str">
        <f t="shared" si="33"/>
        <v>||1900|</v>
      </c>
      <c r="I1074" s="32">
        <f>IF(G1074="",0,IF(COUNTIF($G$2:G1074,G1074)=1,1,0))</f>
        <v>0</v>
      </c>
      <c r="J1074" s="32">
        <f>IF(H1074="",0,IF(COUNTIF($H$2:H1074,H1074)=1,1,0))</f>
        <v>0</v>
      </c>
    </row>
    <row r="1075" spans="1:10" ht="14.25" hidden="1" customHeight="1" x14ac:dyDescent="0.35">
      <c r="A1075" s="30"/>
      <c r="E1075" s="31"/>
      <c r="G1075" s="32" t="str">
        <f t="shared" si="32"/>
        <v>|||1900|</v>
      </c>
      <c r="H1075" s="32" t="str">
        <f t="shared" si="33"/>
        <v>||1900|</v>
      </c>
      <c r="I1075" s="32">
        <f>IF(G1075="",0,IF(COUNTIF($G$2:G1075,G1075)=1,1,0))</f>
        <v>0</v>
      </c>
      <c r="J1075" s="32">
        <f>IF(H1075="",0,IF(COUNTIF($H$2:H1075,H1075)=1,1,0))</f>
        <v>0</v>
      </c>
    </row>
    <row r="1076" spans="1:10" ht="14.25" hidden="1" customHeight="1" x14ac:dyDescent="0.35">
      <c r="A1076" s="30"/>
      <c r="E1076" s="31"/>
      <c r="G1076" s="32" t="str">
        <f t="shared" si="32"/>
        <v>|||1900|</v>
      </c>
      <c r="H1076" s="32" t="str">
        <f t="shared" si="33"/>
        <v>||1900|</v>
      </c>
      <c r="I1076" s="32">
        <f>IF(G1076="",0,IF(COUNTIF($G$2:G1076,G1076)=1,1,0))</f>
        <v>0</v>
      </c>
      <c r="J1076" s="32">
        <f>IF(H1076="",0,IF(COUNTIF($H$2:H1076,H1076)=1,1,0))</f>
        <v>0</v>
      </c>
    </row>
    <row r="1077" spans="1:10" ht="14.25" hidden="1" customHeight="1" x14ac:dyDescent="0.35">
      <c r="A1077" s="30"/>
      <c r="E1077" s="31"/>
      <c r="G1077" s="32" t="str">
        <f t="shared" si="32"/>
        <v>|||1900|</v>
      </c>
      <c r="H1077" s="32" t="str">
        <f t="shared" si="33"/>
        <v>||1900|</v>
      </c>
      <c r="I1077" s="32">
        <f>IF(G1077="",0,IF(COUNTIF($G$2:G1077,G1077)=1,1,0))</f>
        <v>0</v>
      </c>
      <c r="J1077" s="32">
        <f>IF(H1077="",0,IF(COUNTIF($H$2:H1077,H1077)=1,1,0))</f>
        <v>0</v>
      </c>
    </row>
    <row r="1078" spans="1:10" ht="14.25" hidden="1" customHeight="1" x14ac:dyDescent="0.35">
      <c r="A1078" s="30"/>
      <c r="E1078" s="31"/>
      <c r="G1078" s="32" t="str">
        <f t="shared" si="32"/>
        <v>|||1900|</v>
      </c>
      <c r="H1078" s="32" t="str">
        <f t="shared" si="33"/>
        <v>||1900|</v>
      </c>
      <c r="I1078" s="32">
        <f>IF(G1078="",0,IF(COUNTIF($G$2:G1078,G1078)=1,1,0))</f>
        <v>0</v>
      </c>
      <c r="J1078" s="32">
        <f>IF(H1078="",0,IF(COUNTIF($H$2:H1078,H1078)=1,1,0))</f>
        <v>0</v>
      </c>
    </row>
    <row r="1079" spans="1:10" ht="14.25" hidden="1" customHeight="1" x14ac:dyDescent="0.35">
      <c r="A1079" s="30"/>
      <c r="E1079" s="31"/>
      <c r="G1079" s="32" t="str">
        <f t="shared" si="32"/>
        <v>|||1900|</v>
      </c>
      <c r="H1079" s="32" t="str">
        <f t="shared" si="33"/>
        <v>||1900|</v>
      </c>
      <c r="I1079" s="32">
        <f>IF(G1079="",0,IF(COUNTIF($G$2:G1079,G1079)=1,1,0))</f>
        <v>0</v>
      </c>
      <c r="J1079" s="32">
        <f>IF(H1079="",0,IF(COUNTIF($H$2:H1079,H1079)=1,1,0))</f>
        <v>0</v>
      </c>
    </row>
    <row r="1080" spans="1:10" ht="14.25" hidden="1" customHeight="1" x14ac:dyDescent="0.35">
      <c r="A1080" s="30"/>
      <c r="E1080" s="31"/>
      <c r="G1080" s="32" t="str">
        <f t="shared" si="32"/>
        <v>|||1900|</v>
      </c>
      <c r="H1080" s="32" t="str">
        <f t="shared" si="33"/>
        <v>||1900|</v>
      </c>
      <c r="I1080" s="32">
        <f>IF(G1080="",0,IF(COUNTIF($G$2:G1080,G1080)=1,1,0))</f>
        <v>0</v>
      </c>
      <c r="J1080" s="32">
        <f>IF(H1080="",0,IF(COUNTIF($H$2:H1080,H1080)=1,1,0))</f>
        <v>0</v>
      </c>
    </row>
    <row r="1081" spans="1:10" ht="14.25" hidden="1" customHeight="1" x14ac:dyDescent="0.35">
      <c r="A1081" s="30"/>
      <c r="E1081" s="31"/>
      <c r="G1081" s="32" t="str">
        <f t="shared" si="32"/>
        <v>|||1900|</v>
      </c>
      <c r="H1081" s="32" t="str">
        <f t="shared" si="33"/>
        <v>||1900|</v>
      </c>
      <c r="I1081" s="32">
        <f>IF(G1081="",0,IF(COUNTIF($G$2:G1081,G1081)=1,1,0))</f>
        <v>0</v>
      </c>
      <c r="J1081" s="32">
        <f>IF(H1081="",0,IF(COUNTIF($H$2:H1081,H1081)=1,1,0))</f>
        <v>0</v>
      </c>
    </row>
    <row r="1082" spans="1:10" ht="14.25" hidden="1" customHeight="1" x14ac:dyDescent="0.35">
      <c r="A1082" s="30"/>
      <c r="E1082" s="31"/>
      <c r="G1082" s="32" t="str">
        <f t="shared" si="32"/>
        <v>|||1900|</v>
      </c>
      <c r="H1082" s="32" t="str">
        <f t="shared" si="33"/>
        <v>||1900|</v>
      </c>
      <c r="I1082" s="32">
        <f>IF(G1082="",0,IF(COUNTIF($G$2:G1082,G1082)=1,1,0))</f>
        <v>0</v>
      </c>
      <c r="J1082" s="32">
        <f>IF(H1082="",0,IF(COUNTIF($H$2:H1082,H1082)=1,1,0))</f>
        <v>0</v>
      </c>
    </row>
    <row r="1083" spans="1:10" ht="14.25" hidden="1" customHeight="1" x14ac:dyDescent="0.35">
      <c r="A1083" s="30"/>
      <c r="E1083" s="31"/>
      <c r="G1083" s="32" t="str">
        <f t="shared" si="32"/>
        <v>|||1900|</v>
      </c>
      <c r="H1083" s="32" t="str">
        <f t="shared" si="33"/>
        <v>||1900|</v>
      </c>
      <c r="I1083" s="32">
        <f>IF(G1083="",0,IF(COUNTIF($G$2:G1083,G1083)=1,1,0))</f>
        <v>0</v>
      </c>
      <c r="J1083" s="32">
        <f>IF(H1083="",0,IF(COUNTIF($H$2:H1083,H1083)=1,1,0))</f>
        <v>0</v>
      </c>
    </row>
    <row r="1084" spans="1:10" ht="14.25" hidden="1" customHeight="1" x14ac:dyDescent="0.35">
      <c r="A1084" s="30"/>
      <c r="E1084" s="31"/>
      <c r="G1084" s="32" t="str">
        <f t="shared" si="32"/>
        <v>|||1900|</v>
      </c>
      <c r="H1084" s="32" t="str">
        <f t="shared" si="33"/>
        <v>||1900|</v>
      </c>
      <c r="I1084" s="32">
        <f>IF(G1084="",0,IF(COUNTIF($G$2:G1084,G1084)=1,1,0))</f>
        <v>0</v>
      </c>
      <c r="J1084" s="32">
        <f>IF(H1084="",0,IF(COUNTIF($H$2:H1084,H1084)=1,1,0))</f>
        <v>0</v>
      </c>
    </row>
    <row r="1085" spans="1:10" ht="14.25" hidden="1" customHeight="1" x14ac:dyDescent="0.35">
      <c r="A1085" s="30"/>
      <c r="E1085" s="31"/>
      <c r="G1085" s="32" t="str">
        <f t="shared" si="32"/>
        <v>|||1900|</v>
      </c>
      <c r="H1085" s="32" t="str">
        <f t="shared" si="33"/>
        <v>||1900|</v>
      </c>
      <c r="I1085" s="32">
        <f>IF(G1085="",0,IF(COUNTIF($G$2:G1085,G1085)=1,1,0))</f>
        <v>0</v>
      </c>
      <c r="J1085" s="32">
        <f>IF(H1085="",0,IF(COUNTIF($H$2:H1085,H1085)=1,1,0))</f>
        <v>0</v>
      </c>
    </row>
    <row r="1086" spans="1:10" ht="14.25" hidden="1" customHeight="1" x14ac:dyDescent="0.35">
      <c r="A1086" s="30"/>
      <c r="E1086" s="31"/>
      <c r="G1086" s="32" t="str">
        <f t="shared" si="32"/>
        <v>|||1900|</v>
      </c>
      <c r="H1086" s="32" t="str">
        <f t="shared" si="33"/>
        <v>||1900|</v>
      </c>
      <c r="I1086" s="32">
        <f>IF(G1086="",0,IF(COUNTIF($G$2:G1086,G1086)=1,1,0))</f>
        <v>0</v>
      </c>
      <c r="J1086" s="32">
        <f>IF(H1086="",0,IF(COUNTIF($H$2:H1086,H1086)=1,1,0))</f>
        <v>0</v>
      </c>
    </row>
    <row r="1087" spans="1:10" ht="14.25" hidden="1" customHeight="1" x14ac:dyDescent="0.35">
      <c r="A1087" s="30"/>
      <c r="E1087" s="31"/>
      <c r="G1087" s="32" t="str">
        <f t="shared" si="32"/>
        <v>|||1900|</v>
      </c>
      <c r="H1087" s="32" t="str">
        <f t="shared" si="33"/>
        <v>||1900|</v>
      </c>
      <c r="I1087" s="32">
        <f>IF(G1087="",0,IF(COUNTIF($G$2:G1087,G1087)=1,1,0))</f>
        <v>0</v>
      </c>
      <c r="J1087" s="32">
        <f>IF(H1087="",0,IF(COUNTIF($H$2:H1087,H1087)=1,1,0))</f>
        <v>0</v>
      </c>
    </row>
    <row r="1088" spans="1:10" ht="14.25" hidden="1" customHeight="1" x14ac:dyDescent="0.35">
      <c r="A1088" s="30"/>
      <c r="E1088" s="31"/>
      <c r="G1088" s="32" t="str">
        <f t="shared" si="32"/>
        <v>|||1900|</v>
      </c>
      <c r="H1088" s="32" t="str">
        <f t="shared" si="33"/>
        <v>||1900|</v>
      </c>
      <c r="I1088" s="32">
        <f>IF(G1088="",0,IF(COUNTIF($G$2:G1088,G1088)=1,1,0))</f>
        <v>0</v>
      </c>
      <c r="J1088" s="32">
        <f>IF(H1088="",0,IF(COUNTIF($H$2:H1088,H1088)=1,1,0))</f>
        <v>0</v>
      </c>
    </row>
    <row r="1089" spans="1:10" ht="14.25" hidden="1" customHeight="1" x14ac:dyDescent="0.35">
      <c r="A1089" s="30"/>
      <c r="E1089" s="31"/>
      <c r="G1089" s="32" t="str">
        <f t="shared" si="32"/>
        <v>|||1900|</v>
      </c>
      <c r="H1089" s="32" t="str">
        <f t="shared" si="33"/>
        <v>||1900|</v>
      </c>
      <c r="I1089" s="32">
        <f>IF(G1089="",0,IF(COUNTIF($G$2:G1089,G1089)=1,1,0))</f>
        <v>0</v>
      </c>
      <c r="J1089" s="32">
        <f>IF(H1089="",0,IF(COUNTIF($H$2:H1089,H1089)=1,1,0))</f>
        <v>0</v>
      </c>
    </row>
    <row r="1090" spans="1:10" ht="14.25" hidden="1" customHeight="1" x14ac:dyDescent="0.35">
      <c r="A1090" s="30"/>
      <c r="E1090" s="31"/>
      <c r="G1090" s="32" t="str">
        <f t="shared" ref="G1090:G1153" si="34">IF(D1090="T",
E1090&amp;"|"&amp;F1090,
A1090&amp;"|"&amp;B1090&amp;"|"&amp;C1090&amp;"|"&amp;YEAR(E1090)&amp;"|"&amp;F1090)</f>
        <v>|||1900|</v>
      </c>
      <c r="H1090" s="32" t="str">
        <f t="shared" ref="H1090:H1153" si="35">A1090&amp;"|"&amp;C1090&amp;"|"&amp;YEAR(E1090)&amp;"|"&amp;F1090</f>
        <v>||1900|</v>
      </c>
      <c r="I1090" s="32">
        <f>IF(G1090="",0,IF(COUNTIF($G$2:G1090,G1090)=1,1,0))</f>
        <v>0</v>
      </c>
      <c r="J1090" s="32">
        <f>IF(H1090="",0,IF(COUNTIF($H$2:H1090,H1090)=1,1,0))</f>
        <v>0</v>
      </c>
    </row>
    <row r="1091" spans="1:10" ht="14.25" hidden="1" customHeight="1" x14ac:dyDescent="0.35">
      <c r="A1091" s="30"/>
      <c r="E1091" s="31"/>
      <c r="G1091" s="32" t="str">
        <f t="shared" si="34"/>
        <v>|||1900|</v>
      </c>
      <c r="H1091" s="32" t="str">
        <f t="shared" si="35"/>
        <v>||1900|</v>
      </c>
      <c r="I1091" s="32">
        <f>IF(G1091="",0,IF(COUNTIF($G$2:G1091,G1091)=1,1,0))</f>
        <v>0</v>
      </c>
      <c r="J1091" s="32">
        <f>IF(H1091="",0,IF(COUNTIF($H$2:H1091,H1091)=1,1,0))</f>
        <v>0</v>
      </c>
    </row>
    <row r="1092" spans="1:10" ht="14.25" hidden="1" customHeight="1" x14ac:dyDescent="0.35">
      <c r="A1092" s="30"/>
      <c r="E1092" s="31"/>
      <c r="G1092" s="32" t="str">
        <f t="shared" si="34"/>
        <v>|||1900|</v>
      </c>
      <c r="H1092" s="32" t="str">
        <f t="shared" si="35"/>
        <v>||1900|</v>
      </c>
      <c r="I1092" s="32">
        <f>IF(G1092="",0,IF(COUNTIF($G$2:G1092,G1092)=1,1,0))</f>
        <v>0</v>
      </c>
      <c r="J1092" s="32">
        <f>IF(H1092="",0,IF(COUNTIF($H$2:H1092,H1092)=1,1,0))</f>
        <v>0</v>
      </c>
    </row>
    <row r="1093" spans="1:10" ht="14.25" hidden="1" customHeight="1" x14ac:dyDescent="0.35">
      <c r="A1093" s="30"/>
      <c r="E1093" s="31"/>
      <c r="G1093" s="32" t="str">
        <f t="shared" si="34"/>
        <v>|||1900|</v>
      </c>
      <c r="H1093" s="32" t="str">
        <f t="shared" si="35"/>
        <v>||1900|</v>
      </c>
      <c r="I1093" s="32">
        <f>IF(G1093="",0,IF(COUNTIF($G$2:G1093,G1093)=1,1,0))</f>
        <v>0</v>
      </c>
      <c r="J1093" s="32">
        <f>IF(H1093="",0,IF(COUNTIF($H$2:H1093,H1093)=1,1,0))</f>
        <v>0</v>
      </c>
    </row>
    <row r="1094" spans="1:10" ht="14.25" hidden="1" customHeight="1" x14ac:dyDescent="0.35">
      <c r="A1094" s="30"/>
      <c r="E1094" s="31"/>
      <c r="G1094" s="32" t="str">
        <f t="shared" si="34"/>
        <v>|||1900|</v>
      </c>
      <c r="H1094" s="32" t="str">
        <f t="shared" si="35"/>
        <v>||1900|</v>
      </c>
      <c r="I1094" s="32">
        <f>IF(G1094="",0,IF(COUNTIF($G$2:G1094,G1094)=1,1,0))</f>
        <v>0</v>
      </c>
      <c r="J1094" s="32">
        <f>IF(H1094="",0,IF(COUNTIF($H$2:H1094,H1094)=1,1,0))</f>
        <v>0</v>
      </c>
    </row>
    <row r="1095" spans="1:10" ht="14.25" hidden="1" customHeight="1" x14ac:dyDescent="0.35">
      <c r="A1095" s="30"/>
      <c r="E1095" s="31"/>
      <c r="G1095" s="32" t="str">
        <f t="shared" si="34"/>
        <v>|||1900|</v>
      </c>
      <c r="H1095" s="32" t="str">
        <f t="shared" si="35"/>
        <v>||1900|</v>
      </c>
      <c r="I1095" s="32">
        <f>IF(G1095="",0,IF(COUNTIF($G$2:G1095,G1095)=1,1,0))</f>
        <v>0</v>
      </c>
      <c r="J1095" s="32">
        <f>IF(H1095="",0,IF(COUNTIF($H$2:H1095,H1095)=1,1,0))</f>
        <v>0</v>
      </c>
    </row>
    <row r="1096" spans="1:10" ht="14.25" hidden="1" customHeight="1" x14ac:dyDescent="0.35">
      <c r="A1096" s="30"/>
      <c r="E1096" s="31"/>
      <c r="G1096" s="32" t="str">
        <f t="shared" si="34"/>
        <v>|||1900|</v>
      </c>
      <c r="H1096" s="32" t="str">
        <f t="shared" si="35"/>
        <v>||1900|</v>
      </c>
      <c r="I1096" s="32">
        <f>IF(G1096="",0,IF(COUNTIF($G$2:G1096,G1096)=1,1,0))</f>
        <v>0</v>
      </c>
      <c r="J1096" s="32">
        <f>IF(H1096="",0,IF(COUNTIF($H$2:H1096,H1096)=1,1,0))</f>
        <v>0</v>
      </c>
    </row>
    <row r="1097" spans="1:10" ht="14.25" hidden="1" customHeight="1" x14ac:dyDescent="0.35">
      <c r="A1097" s="30"/>
      <c r="E1097" s="31"/>
      <c r="G1097" s="32" t="str">
        <f t="shared" si="34"/>
        <v>|||1900|</v>
      </c>
      <c r="H1097" s="32" t="str">
        <f t="shared" si="35"/>
        <v>||1900|</v>
      </c>
      <c r="I1097" s="32">
        <f>IF(G1097="",0,IF(COUNTIF($G$2:G1097,G1097)=1,1,0))</f>
        <v>0</v>
      </c>
      <c r="J1097" s="32">
        <f>IF(H1097="",0,IF(COUNTIF($H$2:H1097,H1097)=1,1,0))</f>
        <v>0</v>
      </c>
    </row>
    <row r="1098" spans="1:10" ht="14.25" hidden="1" customHeight="1" x14ac:dyDescent="0.35">
      <c r="A1098" s="30"/>
      <c r="E1098" s="31"/>
      <c r="G1098" s="32" t="str">
        <f t="shared" si="34"/>
        <v>|||1900|</v>
      </c>
      <c r="H1098" s="32" t="str">
        <f t="shared" si="35"/>
        <v>||1900|</v>
      </c>
      <c r="I1098" s="32">
        <f>IF(G1098="",0,IF(COUNTIF($G$2:G1098,G1098)=1,1,0))</f>
        <v>0</v>
      </c>
      <c r="J1098" s="32">
        <f>IF(H1098="",0,IF(COUNTIF($H$2:H1098,H1098)=1,1,0))</f>
        <v>0</v>
      </c>
    </row>
    <row r="1099" spans="1:10" ht="14.25" hidden="1" customHeight="1" x14ac:dyDescent="0.35">
      <c r="A1099" s="30"/>
      <c r="E1099" s="31"/>
      <c r="G1099" s="32" t="str">
        <f t="shared" si="34"/>
        <v>|||1900|</v>
      </c>
      <c r="H1099" s="32" t="str">
        <f t="shared" si="35"/>
        <v>||1900|</v>
      </c>
      <c r="I1099" s="32">
        <f>IF(G1099="",0,IF(COUNTIF($G$2:G1099,G1099)=1,1,0))</f>
        <v>0</v>
      </c>
      <c r="J1099" s="32">
        <f>IF(H1099="",0,IF(COUNTIF($H$2:H1099,H1099)=1,1,0))</f>
        <v>0</v>
      </c>
    </row>
    <row r="1100" spans="1:10" ht="14.25" hidden="1" customHeight="1" x14ac:dyDescent="0.35">
      <c r="A1100" s="30"/>
      <c r="E1100" s="31"/>
      <c r="G1100" s="32" t="str">
        <f t="shared" si="34"/>
        <v>|||1900|</v>
      </c>
      <c r="H1100" s="32" t="str">
        <f t="shared" si="35"/>
        <v>||1900|</v>
      </c>
      <c r="I1100" s="32">
        <f>IF(G1100="",0,IF(COUNTIF($G$2:G1100,G1100)=1,1,0))</f>
        <v>0</v>
      </c>
      <c r="J1100" s="32">
        <f>IF(H1100="",0,IF(COUNTIF($H$2:H1100,H1100)=1,1,0))</f>
        <v>0</v>
      </c>
    </row>
    <row r="1101" spans="1:10" ht="14.25" hidden="1" customHeight="1" x14ac:dyDescent="0.35">
      <c r="A1101" s="30"/>
      <c r="E1101" s="31"/>
      <c r="G1101" s="32" t="str">
        <f t="shared" si="34"/>
        <v>|||1900|</v>
      </c>
      <c r="H1101" s="32" t="str">
        <f t="shared" si="35"/>
        <v>||1900|</v>
      </c>
      <c r="I1101" s="32">
        <f>IF(G1101="",0,IF(COUNTIF($G$2:G1101,G1101)=1,1,0))</f>
        <v>0</v>
      </c>
      <c r="J1101" s="32">
        <f>IF(H1101="",0,IF(COUNTIF($H$2:H1101,H1101)=1,1,0))</f>
        <v>0</v>
      </c>
    </row>
    <row r="1102" spans="1:10" ht="14.25" hidden="1" customHeight="1" x14ac:dyDescent="0.35">
      <c r="A1102" s="30"/>
      <c r="E1102" s="31"/>
      <c r="G1102" s="32" t="str">
        <f t="shared" si="34"/>
        <v>|||1900|</v>
      </c>
      <c r="H1102" s="32" t="str">
        <f t="shared" si="35"/>
        <v>||1900|</v>
      </c>
      <c r="I1102" s="32">
        <f>IF(G1102="",0,IF(COUNTIF($G$2:G1102,G1102)=1,1,0))</f>
        <v>0</v>
      </c>
      <c r="J1102" s="32">
        <f>IF(H1102="",0,IF(COUNTIF($H$2:H1102,H1102)=1,1,0))</f>
        <v>0</v>
      </c>
    </row>
    <row r="1103" spans="1:10" ht="14.25" hidden="1" customHeight="1" x14ac:dyDescent="0.35">
      <c r="A1103" s="30"/>
      <c r="E1103" s="31"/>
      <c r="G1103" s="32" t="str">
        <f t="shared" si="34"/>
        <v>|||1900|</v>
      </c>
      <c r="H1103" s="32" t="str">
        <f t="shared" si="35"/>
        <v>||1900|</v>
      </c>
      <c r="I1103" s="32">
        <f>IF(G1103="",0,IF(COUNTIF($G$2:G1103,G1103)=1,1,0))</f>
        <v>0</v>
      </c>
      <c r="J1103" s="32">
        <f>IF(H1103="",0,IF(COUNTIF($H$2:H1103,H1103)=1,1,0))</f>
        <v>0</v>
      </c>
    </row>
    <row r="1104" spans="1:10" ht="14.25" hidden="1" customHeight="1" x14ac:dyDescent="0.35">
      <c r="A1104" s="30"/>
      <c r="E1104" s="31"/>
      <c r="G1104" s="32" t="str">
        <f t="shared" si="34"/>
        <v>|||1900|</v>
      </c>
      <c r="H1104" s="32" t="str">
        <f t="shared" si="35"/>
        <v>||1900|</v>
      </c>
      <c r="I1104" s="32">
        <f>IF(G1104="",0,IF(COUNTIF($G$2:G1104,G1104)=1,1,0))</f>
        <v>0</v>
      </c>
      <c r="J1104" s="32">
        <f>IF(H1104="",0,IF(COUNTIF($H$2:H1104,H1104)=1,1,0))</f>
        <v>0</v>
      </c>
    </row>
    <row r="1105" spans="1:10" ht="14.25" hidden="1" customHeight="1" x14ac:dyDescent="0.35">
      <c r="A1105" s="30"/>
      <c r="E1105" s="31"/>
      <c r="G1105" s="32" t="str">
        <f t="shared" si="34"/>
        <v>|||1900|</v>
      </c>
      <c r="H1105" s="32" t="str">
        <f t="shared" si="35"/>
        <v>||1900|</v>
      </c>
      <c r="I1105" s="32">
        <f>IF(G1105="",0,IF(COUNTIF($G$2:G1105,G1105)=1,1,0))</f>
        <v>0</v>
      </c>
      <c r="J1105" s="32">
        <f>IF(H1105="",0,IF(COUNTIF($H$2:H1105,H1105)=1,1,0))</f>
        <v>0</v>
      </c>
    </row>
    <row r="1106" spans="1:10" ht="14.25" hidden="1" customHeight="1" x14ac:dyDescent="0.35">
      <c r="A1106" s="30"/>
      <c r="E1106" s="31"/>
      <c r="G1106" s="32" t="str">
        <f t="shared" si="34"/>
        <v>|||1900|</v>
      </c>
      <c r="H1106" s="32" t="str">
        <f t="shared" si="35"/>
        <v>||1900|</v>
      </c>
      <c r="I1106" s="32">
        <f>IF(G1106="",0,IF(COUNTIF($G$2:G1106,G1106)=1,1,0))</f>
        <v>0</v>
      </c>
      <c r="J1106" s="32">
        <f>IF(H1106="",0,IF(COUNTIF($H$2:H1106,H1106)=1,1,0))</f>
        <v>0</v>
      </c>
    </row>
    <row r="1107" spans="1:10" ht="14.25" hidden="1" customHeight="1" x14ac:dyDescent="0.35">
      <c r="A1107" s="30"/>
      <c r="E1107" s="31"/>
      <c r="G1107" s="32" t="str">
        <f t="shared" si="34"/>
        <v>|||1900|</v>
      </c>
      <c r="H1107" s="32" t="str">
        <f t="shared" si="35"/>
        <v>||1900|</v>
      </c>
      <c r="I1107" s="32">
        <f>IF(G1107="",0,IF(COUNTIF($G$2:G1107,G1107)=1,1,0))</f>
        <v>0</v>
      </c>
      <c r="J1107" s="32">
        <f>IF(H1107="",0,IF(COUNTIF($H$2:H1107,H1107)=1,1,0))</f>
        <v>0</v>
      </c>
    </row>
    <row r="1108" spans="1:10" ht="14.25" hidden="1" customHeight="1" x14ac:dyDescent="0.35">
      <c r="A1108" s="30"/>
      <c r="E1108" s="31"/>
      <c r="G1108" s="32" t="str">
        <f t="shared" si="34"/>
        <v>|||1900|</v>
      </c>
      <c r="H1108" s="32" t="str">
        <f t="shared" si="35"/>
        <v>||1900|</v>
      </c>
      <c r="I1108" s="32">
        <f>IF(G1108="",0,IF(COUNTIF($G$2:G1108,G1108)=1,1,0))</f>
        <v>0</v>
      </c>
      <c r="J1108" s="32">
        <f>IF(H1108="",0,IF(COUNTIF($H$2:H1108,H1108)=1,1,0))</f>
        <v>0</v>
      </c>
    </row>
    <row r="1109" spans="1:10" ht="14.25" hidden="1" customHeight="1" x14ac:dyDescent="0.35">
      <c r="A1109" s="30"/>
      <c r="E1109" s="31"/>
      <c r="G1109" s="32" t="str">
        <f t="shared" si="34"/>
        <v>|||1900|</v>
      </c>
      <c r="H1109" s="32" t="str">
        <f t="shared" si="35"/>
        <v>||1900|</v>
      </c>
      <c r="I1109" s="32">
        <f>IF(G1109="",0,IF(COUNTIF($G$2:G1109,G1109)=1,1,0))</f>
        <v>0</v>
      </c>
      <c r="J1109" s="32">
        <f>IF(H1109="",0,IF(COUNTIF($H$2:H1109,H1109)=1,1,0))</f>
        <v>0</v>
      </c>
    </row>
    <row r="1110" spans="1:10" ht="14.25" hidden="1" customHeight="1" x14ac:dyDescent="0.35">
      <c r="A1110" s="30"/>
      <c r="E1110" s="31"/>
      <c r="G1110" s="32" t="str">
        <f t="shared" si="34"/>
        <v>|||1900|</v>
      </c>
      <c r="H1110" s="32" t="str">
        <f t="shared" si="35"/>
        <v>||1900|</v>
      </c>
      <c r="I1110" s="32">
        <f>IF(G1110="",0,IF(COUNTIF($G$2:G1110,G1110)=1,1,0))</f>
        <v>0</v>
      </c>
      <c r="J1110" s="32">
        <f>IF(H1110="",0,IF(COUNTIF($H$2:H1110,H1110)=1,1,0))</f>
        <v>0</v>
      </c>
    </row>
    <row r="1111" spans="1:10" ht="14.25" hidden="1" customHeight="1" x14ac:dyDescent="0.35">
      <c r="A1111" s="30"/>
      <c r="E1111" s="31"/>
      <c r="G1111" s="32" t="str">
        <f t="shared" si="34"/>
        <v>|||1900|</v>
      </c>
      <c r="H1111" s="32" t="str">
        <f t="shared" si="35"/>
        <v>||1900|</v>
      </c>
      <c r="I1111" s="32">
        <f>IF(G1111="",0,IF(COUNTIF($G$2:G1111,G1111)=1,1,0))</f>
        <v>0</v>
      </c>
      <c r="J1111" s="32">
        <f>IF(H1111="",0,IF(COUNTIF($H$2:H1111,H1111)=1,1,0))</f>
        <v>0</v>
      </c>
    </row>
    <row r="1112" spans="1:10" ht="14.25" hidden="1" customHeight="1" x14ac:dyDescent="0.35">
      <c r="A1112" s="30"/>
      <c r="E1112" s="31"/>
      <c r="G1112" s="32" t="str">
        <f t="shared" si="34"/>
        <v>|||1900|</v>
      </c>
      <c r="H1112" s="32" t="str">
        <f t="shared" si="35"/>
        <v>||1900|</v>
      </c>
      <c r="I1112" s="32">
        <f>IF(G1112="",0,IF(COUNTIF($G$2:G1112,G1112)=1,1,0))</f>
        <v>0</v>
      </c>
      <c r="J1112" s="32">
        <f>IF(H1112="",0,IF(COUNTIF($H$2:H1112,H1112)=1,1,0))</f>
        <v>0</v>
      </c>
    </row>
    <row r="1113" spans="1:10" ht="14.25" hidden="1" customHeight="1" x14ac:dyDescent="0.35">
      <c r="A1113" s="30"/>
      <c r="E1113" s="31"/>
      <c r="G1113" s="32" t="str">
        <f t="shared" si="34"/>
        <v>|||1900|</v>
      </c>
      <c r="H1113" s="32" t="str">
        <f t="shared" si="35"/>
        <v>||1900|</v>
      </c>
      <c r="I1113" s="32">
        <f>IF(G1113="",0,IF(COUNTIF($G$2:G1113,G1113)=1,1,0))</f>
        <v>0</v>
      </c>
      <c r="J1113" s="32">
        <f>IF(H1113="",0,IF(COUNTIF($H$2:H1113,H1113)=1,1,0))</f>
        <v>0</v>
      </c>
    </row>
    <row r="1114" spans="1:10" ht="14.25" hidden="1" customHeight="1" x14ac:dyDescent="0.35">
      <c r="A1114" s="30"/>
      <c r="E1114" s="31"/>
      <c r="G1114" s="32" t="str">
        <f t="shared" si="34"/>
        <v>|||1900|</v>
      </c>
      <c r="H1114" s="32" t="str">
        <f t="shared" si="35"/>
        <v>||1900|</v>
      </c>
      <c r="I1114" s="32">
        <f>IF(G1114="",0,IF(COUNTIF($G$2:G1114,G1114)=1,1,0))</f>
        <v>0</v>
      </c>
      <c r="J1114" s="32">
        <f>IF(H1114="",0,IF(COUNTIF($H$2:H1114,H1114)=1,1,0))</f>
        <v>0</v>
      </c>
    </row>
    <row r="1115" spans="1:10" ht="14.25" hidden="1" customHeight="1" x14ac:dyDescent="0.35">
      <c r="A1115" s="30"/>
      <c r="E1115" s="31"/>
      <c r="G1115" s="32" t="str">
        <f t="shared" si="34"/>
        <v>|||1900|</v>
      </c>
      <c r="H1115" s="32" t="str">
        <f t="shared" si="35"/>
        <v>||1900|</v>
      </c>
      <c r="I1115" s="32">
        <f>IF(G1115="",0,IF(COUNTIF($G$2:G1115,G1115)=1,1,0))</f>
        <v>0</v>
      </c>
      <c r="J1115" s="32">
        <f>IF(H1115="",0,IF(COUNTIF($H$2:H1115,H1115)=1,1,0))</f>
        <v>0</v>
      </c>
    </row>
    <row r="1116" spans="1:10" ht="14.25" hidden="1" customHeight="1" x14ac:dyDescent="0.35">
      <c r="A1116" s="30"/>
      <c r="E1116" s="31"/>
      <c r="G1116" s="32" t="str">
        <f t="shared" si="34"/>
        <v>|||1900|</v>
      </c>
      <c r="H1116" s="32" t="str">
        <f t="shared" si="35"/>
        <v>||1900|</v>
      </c>
      <c r="I1116" s="32">
        <f>IF(G1116="",0,IF(COUNTIF($G$2:G1116,G1116)=1,1,0))</f>
        <v>0</v>
      </c>
      <c r="J1116" s="32">
        <f>IF(H1116="",0,IF(COUNTIF($H$2:H1116,H1116)=1,1,0))</f>
        <v>0</v>
      </c>
    </row>
    <row r="1117" spans="1:10" ht="14.25" hidden="1" customHeight="1" x14ac:dyDescent="0.35">
      <c r="A1117" s="30"/>
      <c r="E1117" s="31"/>
      <c r="G1117" s="32" t="str">
        <f t="shared" si="34"/>
        <v>|||1900|</v>
      </c>
      <c r="H1117" s="32" t="str">
        <f t="shared" si="35"/>
        <v>||1900|</v>
      </c>
      <c r="I1117" s="32">
        <f>IF(G1117="",0,IF(COUNTIF($G$2:G1117,G1117)=1,1,0))</f>
        <v>0</v>
      </c>
      <c r="J1117" s="32">
        <f>IF(H1117="",0,IF(COUNTIF($H$2:H1117,H1117)=1,1,0))</f>
        <v>0</v>
      </c>
    </row>
    <row r="1118" spans="1:10" ht="14.25" hidden="1" customHeight="1" x14ac:dyDescent="0.35">
      <c r="A1118" s="30"/>
      <c r="E1118" s="31"/>
      <c r="G1118" s="32" t="str">
        <f t="shared" si="34"/>
        <v>|||1900|</v>
      </c>
      <c r="H1118" s="32" t="str">
        <f t="shared" si="35"/>
        <v>||1900|</v>
      </c>
      <c r="I1118" s="32">
        <f>IF(G1118="",0,IF(COUNTIF($G$2:G1118,G1118)=1,1,0))</f>
        <v>0</v>
      </c>
      <c r="J1118" s="32">
        <f>IF(H1118="",0,IF(COUNTIF($H$2:H1118,H1118)=1,1,0))</f>
        <v>0</v>
      </c>
    </row>
    <row r="1119" spans="1:10" ht="14.25" hidden="1" customHeight="1" x14ac:dyDescent="0.35">
      <c r="A1119" s="30"/>
      <c r="E1119" s="31"/>
      <c r="G1119" s="32" t="str">
        <f t="shared" si="34"/>
        <v>|||1900|</v>
      </c>
      <c r="H1119" s="32" t="str">
        <f t="shared" si="35"/>
        <v>||1900|</v>
      </c>
      <c r="I1119" s="32">
        <f>IF(G1119="",0,IF(COUNTIF($G$2:G1119,G1119)=1,1,0))</f>
        <v>0</v>
      </c>
      <c r="J1119" s="32">
        <f>IF(H1119="",0,IF(COUNTIF($H$2:H1119,H1119)=1,1,0))</f>
        <v>0</v>
      </c>
    </row>
    <row r="1120" spans="1:10" ht="14.25" hidden="1" customHeight="1" x14ac:dyDescent="0.35">
      <c r="A1120" s="30"/>
      <c r="E1120" s="31"/>
      <c r="G1120" s="32" t="str">
        <f t="shared" si="34"/>
        <v>|||1900|</v>
      </c>
      <c r="H1120" s="32" t="str">
        <f t="shared" si="35"/>
        <v>||1900|</v>
      </c>
      <c r="I1120" s="32">
        <f>IF(G1120="",0,IF(COUNTIF($G$2:G1120,G1120)=1,1,0))</f>
        <v>0</v>
      </c>
      <c r="J1120" s="32">
        <f>IF(H1120="",0,IF(COUNTIF($H$2:H1120,H1120)=1,1,0))</f>
        <v>0</v>
      </c>
    </row>
    <row r="1121" spans="1:10" ht="14.25" hidden="1" customHeight="1" x14ac:dyDescent="0.35">
      <c r="A1121" s="30"/>
      <c r="E1121" s="31"/>
      <c r="G1121" s="32" t="str">
        <f t="shared" si="34"/>
        <v>|||1900|</v>
      </c>
      <c r="H1121" s="32" t="str">
        <f t="shared" si="35"/>
        <v>||1900|</v>
      </c>
      <c r="I1121" s="32">
        <f>IF(G1121="",0,IF(COUNTIF($G$2:G1121,G1121)=1,1,0))</f>
        <v>0</v>
      </c>
      <c r="J1121" s="32">
        <f>IF(H1121="",0,IF(COUNTIF($H$2:H1121,H1121)=1,1,0))</f>
        <v>0</v>
      </c>
    </row>
    <row r="1122" spans="1:10" ht="14.25" hidden="1" customHeight="1" x14ac:dyDescent="0.35">
      <c r="A1122" s="30"/>
      <c r="E1122" s="31"/>
      <c r="G1122" s="32" t="str">
        <f t="shared" si="34"/>
        <v>|||1900|</v>
      </c>
      <c r="H1122" s="32" t="str">
        <f t="shared" si="35"/>
        <v>||1900|</v>
      </c>
      <c r="I1122" s="32">
        <f>IF(G1122="",0,IF(COUNTIF($G$2:G1122,G1122)=1,1,0))</f>
        <v>0</v>
      </c>
      <c r="J1122" s="32">
        <f>IF(H1122="",0,IF(COUNTIF($H$2:H1122,H1122)=1,1,0))</f>
        <v>0</v>
      </c>
    </row>
    <row r="1123" spans="1:10" ht="14.25" hidden="1" customHeight="1" x14ac:dyDescent="0.35">
      <c r="A1123" s="30"/>
      <c r="E1123" s="31"/>
      <c r="G1123" s="32" t="str">
        <f t="shared" si="34"/>
        <v>|||1900|</v>
      </c>
      <c r="H1123" s="32" t="str">
        <f t="shared" si="35"/>
        <v>||1900|</v>
      </c>
      <c r="I1123" s="32">
        <f>IF(G1123="",0,IF(COUNTIF($G$2:G1123,G1123)=1,1,0))</f>
        <v>0</v>
      </c>
      <c r="J1123" s="32">
        <f>IF(H1123="",0,IF(COUNTIF($H$2:H1123,H1123)=1,1,0))</f>
        <v>0</v>
      </c>
    </row>
    <row r="1124" spans="1:10" ht="14.25" hidden="1" customHeight="1" x14ac:dyDescent="0.35">
      <c r="A1124" s="30"/>
      <c r="E1124" s="31"/>
      <c r="G1124" s="32" t="str">
        <f t="shared" si="34"/>
        <v>|||1900|</v>
      </c>
      <c r="H1124" s="32" t="str">
        <f t="shared" si="35"/>
        <v>||1900|</v>
      </c>
      <c r="I1124" s="32">
        <f>IF(G1124="",0,IF(COUNTIF($G$2:G1124,G1124)=1,1,0))</f>
        <v>0</v>
      </c>
      <c r="J1124" s="32">
        <f>IF(H1124="",0,IF(COUNTIF($H$2:H1124,H1124)=1,1,0))</f>
        <v>0</v>
      </c>
    </row>
    <row r="1125" spans="1:10" ht="14.25" hidden="1" customHeight="1" x14ac:dyDescent="0.35">
      <c r="A1125" s="30"/>
      <c r="E1125" s="31"/>
      <c r="G1125" s="32" t="str">
        <f t="shared" si="34"/>
        <v>|||1900|</v>
      </c>
      <c r="H1125" s="32" t="str">
        <f t="shared" si="35"/>
        <v>||1900|</v>
      </c>
      <c r="I1125" s="32">
        <f>IF(G1125="",0,IF(COUNTIF($G$2:G1125,G1125)=1,1,0))</f>
        <v>0</v>
      </c>
      <c r="J1125" s="32">
        <f>IF(H1125="",0,IF(COUNTIF($H$2:H1125,H1125)=1,1,0))</f>
        <v>0</v>
      </c>
    </row>
    <row r="1126" spans="1:10" ht="14.25" hidden="1" customHeight="1" x14ac:dyDescent="0.35">
      <c r="A1126" s="30"/>
      <c r="E1126" s="31"/>
      <c r="G1126" s="32" t="str">
        <f t="shared" si="34"/>
        <v>|||1900|</v>
      </c>
      <c r="H1126" s="32" t="str">
        <f t="shared" si="35"/>
        <v>||1900|</v>
      </c>
      <c r="I1126" s="32">
        <f>IF(G1126="",0,IF(COUNTIF($G$2:G1126,G1126)=1,1,0))</f>
        <v>0</v>
      </c>
      <c r="J1126" s="32">
        <f>IF(H1126="",0,IF(COUNTIF($H$2:H1126,H1126)=1,1,0))</f>
        <v>0</v>
      </c>
    </row>
    <row r="1127" spans="1:10" ht="14.25" hidden="1" customHeight="1" x14ac:dyDescent="0.35">
      <c r="A1127" s="30"/>
      <c r="E1127" s="31"/>
      <c r="G1127" s="32" t="str">
        <f t="shared" si="34"/>
        <v>|||1900|</v>
      </c>
      <c r="H1127" s="32" t="str">
        <f t="shared" si="35"/>
        <v>||1900|</v>
      </c>
      <c r="I1127" s="32">
        <f>IF(G1127="",0,IF(COUNTIF($G$2:G1127,G1127)=1,1,0))</f>
        <v>0</v>
      </c>
      <c r="J1127" s="32">
        <f>IF(H1127="",0,IF(COUNTIF($H$2:H1127,H1127)=1,1,0))</f>
        <v>0</v>
      </c>
    </row>
    <row r="1128" spans="1:10" ht="14.25" hidden="1" customHeight="1" x14ac:dyDescent="0.35">
      <c r="A1128" s="30"/>
      <c r="E1128" s="31"/>
      <c r="G1128" s="32" t="str">
        <f t="shared" si="34"/>
        <v>|||1900|</v>
      </c>
      <c r="H1128" s="32" t="str">
        <f t="shared" si="35"/>
        <v>||1900|</v>
      </c>
      <c r="I1128" s="32">
        <f>IF(G1128="",0,IF(COUNTIF($G$2:G1128,G1128)=1,1,0))</f>
        <v>0</v>
      </c>
      <c r="J1128" s="32">
        <f>IF(H1128="",0,IF(COUNTIF($H$2:H1128,H1128)=1,1,0))</f>
        <v>0</v>
      </c>
    </row>
    <row r="1129" spans="1:10" ht="14.25" hidden="1" customHeight="1" x14ac:dyDescent="0.35">
      <c r="A1129" s="30"/>
      <c r="E1129" s="31"/>
      <c r="G1129" s="32" t="str">
        <f t="shared" si="34"/>
        <v>|||1900|</v>
      </c>
      <c r="H1129" s="32" t="str">
        <f t="shared" si="35"/>
        <v>||1900|</v>
      </c>
      <c r="I1129" s="32">
        <f>IF(G1129="",0,IF(COUNTIF($G$2:G1129,G1129)=1,1,0))</f>
        <v>0</v>
      </c>
      <c r="J1129" s="32">
        <f>IF(H1129="",0,IF(COUNTIF($H$2:H1129,H1129)=1,1,0))</f>
        <v>0</v>
      </c>
    </row>
    <row r="1130" spans="1:10" ht="14.25" hidden="1" customHeight="1" x14ac:dyDescent="0.35">
      <c r="A1130" s="30"/>
      <c r="E1130" s="31"/>
      <c r="G1130" s="32" t="str">
        <f t="shared" si="34"/>
        <v>|||1900|</v>
      </c>
      <c r="H1130" s="32" t="str">
        <f t="shared" si="35"/>
        <v>||1900|</v>
      </c>
      <c r="I1130" s="32">
        <f>IF(G1130="",0,IF(COUNTIF($G$2:G1130,G1130)=1,1,0))</f>
        <v>0</v>
      </c>
      <c r="J1130" s="32">
        <f>IF(H1130="",0,IF(COUNTIF($H$2:H1130,H1130)=1,1,0))</f>
        <v>0</v>
      </c>
    </row>
    <row r="1131" spans="1:10" ht="14.25" hidden="1" customHeight="1" x14ac:dyDescent="0.35">
      <c r="A1131" s="30"/>
      <c r="E1131" s="31"/>
      <c r="G1131" s="32" t="str">
        <f t="shared" si="34"/>
        <v>|||1900|</v>
      </c>
      <c r="H1131" s="32" t="str">
        <f t="shared" si="35"/>
        <v>||1900|</v>
      </c>
      <c r="I1131" s="32">
        <f>IF(G1131="",0,IF(COUNTIF($G$2:G1131,G1131)=1,1,0))</f>
        <v>0</v>
      </c>
      <c r="J1131" s="32">
        <f>IF(H1131="",0,IF(COUNTIF($H$2:H1131,H1131)=1,1,0))</f>
        <v>0</v>
      </c>
    </row>
    <row r="1132" spans="1:10" ht="14.25" hidden="1" customHeight="1" x14ac:dyDescent="0.35">
      <c r="A1132" s="30"/>
      <c r="E1132" s="31"/>
      <c r="G1132" s="32" t="str">
        <f t="shared" si="34"/>
        <v>|||1900|</v>
      </c>
      <c r="H1132" s="32" t="str">
        <f t="shared" si="35"/>
        <v>||1900|</v>
      </c>
      <c r="I1132" s="32">
        <f>IF(G1132="",0,IF(COUNTIF($G$2:G1132,G1132)=1,1,0))</f>
        <v>0</v>
      </c>
      <c r="J1132" s="32">
        <f>IF(H1132="",0,IF(COUNTIF($H$2:H1132,H1132)=1,1,0))</f>
        <v>0</v>
      </c>
    </row>
    <row r="1133" spans="1:10" ht="14.25" hidden="1" customHeight="1" x14ac:dyDescent="0.35">
      <c r="A1133" s="30"/>
      <c r="E1133" s="31"/>
      <c r="G1133" s="32" t="str">
        <f t="shared" si="34"/>
        <v>|||1900|</v>
      </c>
      <c r="H1133" s="32" t="str">
        <f t="shared" si="35"/>
        <v>||1900|</v>
      </c>
      <c r="I1133" s="32">
        <f>IF(G1133="",0,IF(COUNTIF($G$2:G1133,G1133)=1,1,0))</f>
        <v>0</v>
      </c>
      <c r="J1133" s="32">
        <f>IF(H1133="",0,IF(COUNTIF($H$2:H1133,H1133)=1,1,0))</f>
        <v>0</v>
      </c>
    </row>
    <row r="1134" spans="1:10" ht="14.25" hidden="1" customHeight="1" x14ac:dyDescent="0.35">
      <c r="A1134" s="30"/>
      <c r="E1134" s="31"/>
      <c r="G1134" s="32" t="str">
        <f t="shared" si="34"/>
        <v>|||1900|</v>
      </c>
      <c r="H1134" s="32" t="str">
        <f t="shared" si="35"/>
        <v>||1900|</v>
      </c>
      <c r="I1134" s="32">
        <f>IF(G1134="",0,IF(COUNTIF($G$2:G1134,G1134)=1,1,0))</f>
        <v>0</v>
      </c>
      <c r="J1134" s="32">
        <f>IF(H1134="",0,IF(COUNTIF($H$2:H1134,H1134)=1,1,0))</f>
        <v>0</v>
      </c>
    </row>
    <row r="1135" spans="1:10" ht="14.25" hidden="1" customHeight="1" x14ac:dyDescent="0.35">
      <c r="A1135" s="30"/>
      <c r="E1135" s="31"/>
      <c r="G1135" s="32" t="str">
        <f t="shared" si="34"/>
        <v>|||1900|</v>
      </c>
      <c r="H1135" s="32" t="str">
        <f t="shared" si="35"/>
        <v>||1900|</v>
      </c>
      <c r="I1135" s="32">
        <f>IF(G1135="",0,IF(COUNTIF($G$2:G1135,G1135)=1,1,0))</f>
        <v>0</v>
      </c>
      <c r="J1135" s="32">
        <f>IF(H1135="",0,IF(COUNTIF($H$2:H1135,H1135)=1,1,0))</f>
        <v>0</v>
      </c>
    </row>
    <row r="1136" spans="1:10" ht="14.25" hidden="1" customHeight="1" x14ac:dyDescent="0.35">
      <c r="A1136" s="30"/>
      <c r="E1136" s="31"/>
      <c r="G1136" s="32" t="str">
        <f t="shared" si="34"/>
        <v>|||1900|</v>
      </c>
      <c r="H1136" s="32" t="str">
        <f t="shared" si="35"/>
        <v>||1900|</v>
      </c>
      <c r="I1136" s="32">
        <f>IF(G1136="",0,IF(COUNTIF($G$2:G1136,G1136)=1,1,0))</f>
        <v>0</v>
      </c>
      <c r="J1136" s="32">
        <f>IF(H1136="",0,IF(COUNTIF($H$2:H1136,H1136)=1,1,0))</f>
        <v>0</v>
      </c>
    </row>
    <row r="1137" spans="1:10" ht="14.25" hidden="1" customHeight="1" x14ac:dyDescent="0.35">
      <c r="A1137" s="30"/>
      <c r="E1137" s="31"/>
      <c r="G1137" s="32" t="str">
        <f t="shared" si="34"/>
        <v>|||1900|</v>
      </c>
      <c r="H1137" s="32" t="str">
        <f t="shared" si="35"/>
        <v>||1900|</v>
      </c>
      <c r="I1137" s="32">
        <f>IF(G1137="",0,IF(COUNTIF($G$2:G1137,G1137)=1,1,0))</f>
        <v>0</v>
      </c>
      <c r="J1137" s="32">
        <f>IF(H1137="",0,IF(COUNTIF($H$2:H1137,H1137)=1,1,0))</f>
        <v>0</v>
      </c>
    </row>
    <row r="1138" spans="1:10" ht="14.25" hidden="1" customHeight="1" x14ac:dyDescent="0.35">
      <c r="A1138" s="30"/>
      <c r="E1138" s="31"/>
      <c r="G1138" s="32" t="str">
        <f t="shared" si="34"/>
        <v>|||1900|</v>
      </c>
      <c r="H1138" s="32" t="str">
        <f t="shared" si="35"/>
        <v>||1900|</v>
      </c>
      <c r="I1138" s="32">
        <f>IF(G1138="",0,IF(COUNTIF($G$2:G1138,G1138)=1,1,0))</f>
        <v>0</v>
      </c>
      <c r="J1138" s="32">
        <f>IF(H1138="",0,IF(COUNTIF($H$2:H1138,H1138)=1,1,0))</f>
        <v>0</v>
      </c>
    </row>
    <row r="1139" spans="1:10" ht="14.25" hidden="1" customHeight="1" x14ac:dyDescent="0.35">
      <c r="A1139" s="30"/>
      <c r="E1139" s="31"/>
      <c r="G1139" s="32" t="str">
        <f t="shared" si="34"/>
        <v>|||1900|</v>
      </c>
      <c r="H1139" s="32" t="str">
        <f t="shared" si="35"/>
        <v>||1900|</v>
      </c>
      <c r="I1139" s="32">
        <f>IF(G1139="",0,IF(COUNTIF($G$2:G1139,G1139)=1,1,0))</f>
        <v>0</v>
      </c>
      <c r="J1139" s="32">
        <f>IF(H1139="",0,IF(COUNTIF($H$2:H1139,H1139)=1,1,0))</f>
        <v>0</v>
      </c>
    </row>
    <row r="1140" spans="1:10" ht="14.25" hidden="1" customHeight="1" x14ac:dyDescent="0.35">
      <c r="A1140" s="30"/>
      <c r="E1140" s="31"/>
      <c r="G1140" s="32" t="str">
        <f t="shared" si="34"/>
        <v>|||1900|</v>
      </c>
      <c r="H1140" s="32" t="str">
        <f t="shared" si="35"/>
        <v>||1900|</v>
      </c>
      <c r="I1140" s="32">
        <f>IF(G1140="",0,IF(COUNTIF($G$2:G1140,G1140)=1,1,0))</f>
        <v>0</v>
      </c>
      <c r="J1140" s="32">
        <f>IF(H1140="",0,IF(COUNTIF($H$2:H1140,H1140)=1,1,0))</f>
        <v>0</v>
      </c>
    </row>
    <row r="1141" spans="1:10" ht="14.25" hidden="1" customHeight="1" x14ac:dyDescent="0.35">
      <c r="A1141" s="30"/>
      <c r="E1141" s="31"/>
      <c r="G1141" s="32" t="str">
        <f t="shared" si="34"/>
        <v>|||1900|</v>
      </c>
      <c r="H1141" s="32" t="str">
        <f t="shared" si="35"/>
        <v>||1900|</v>
      </c>
      <c r="I1141" s="32">
        <f>IF(G1141="",0,IF(COUNTIF($G$2:G1141,G1141)=1,1,0))</f>
        <v>0</v>
      </c>
      <c r="J1141" s="32">
        <f>IF(H1141="",0,IF(COUNTIF($H$2:H1141,H1141)=1,1,0))</f>
        <v>0</v>
      </c>
    </row>
    <row r="1142" spans="1:10" ht="14.25" hidden="1" customHeight="1" x14ac:dyDescent="0.35">
      <c r="A1142" s="30"/>
      <c r="E1142" s="31"/>
      <c r="G1142" s="32" t="str">
        <f t="shared" si="34"/>
        <v>|||1900|</v>
      </c>
      <c r="H1142" s="32" t="str">
        <f t="shared" si="35"/>
        <v>||1900|</v>
      </c>
      <c r="I1142" s="32">
        <f>IF(G1142="",0,IF(COUNTIF($G$2:G1142,G1142)=1,1,0))</f>
        <v>0</v>
      </c>
      <c r="J1142" s="32">
        <f>IF(H1142="",0,IF(COUNTIF($H$2:H1142,H1142)=1,1,0))</f>
        <v>0</v>
      </c>
    </row>
    <row r="1143" spans="1:10" ht="14.25" hidden="1" customHeight="1" x14ac:dyDescent="0.35">
      <c r="A1143" s="30"/>
      <c r="E1143" s="31"/>
      <c r="G1143" s="32" t="str">
        <f t="shared" si="34"/>
        <v>|||1900|</v>
      </c>
      <c r="H1143" s="32" t="str">
        <f t="shared" si="35"/>
        <v>||1900|</v>
      </c>
      <c r="I1143" s="32">
        <f>IF(G1143="",0,IF(COUNTIF($G$2:G1143,G1143)=1,1,0))</f>
        <v>0</v>
      </c>
      <c r="J1143" s="32">
        <f>IF(H1143="",0,IF(COUNTIF($H$2:H1143,H1143)=1,1,0))</f>
        <v>0</v>
      </c>
    </row>
    <row r="1144" spans="1:10" ht="14.25" hidden="1" customHeight="1" x14ac:dyDescent="0.35">
      <c r="A1144" s="30"/>
      <c r="E1144" s="31"/>
      <c r="G1144" s="32" t="str">
        <f t="shared" si="34"/>
        <v>|||1900|</v>
      </c>
      <c r="H1144" s="32" t="str">
        <f t="shared" si="35"/>
        <v>||1900|</v>
      </c>
      <c r="I1144" s="32">
        <f>IF(G1144="",0,IF(COUNTIF($G$2:G1144,G1144)=1,1,0))</f>
        <v>0</v>
      </c>
      <c r="J1144" s="32">
        <f>IF(H1144="",0,IF(COUNTIF($H$2:H1144,H1144)=1,1,0))</f>
        <v>0</v>
      </c>
    </row>
    <row r="1145" spans="1:10" ht="14.25" hidden="1" customHeight="1" x14ac:dyDescent="0.35">
      <c r="A1145" s="30"/>
      <c r="E1145" s="31"/>
      <c r="G1145" s="32" t="str">
        <f t="shared" si="34"/>
        <v>|||1900|</v>
      </c>
      <c r="H1145" s="32" t="str">
        <f t="shared" si="35"/>
        <v>||1900|</v>
      </c>
      <c r="I1145" s="32">
        <f>IF(G1145="",0,IF(COUNTIF($G$2:G1145,G1145)=1,1,0))</f>
        <v>0</v>
      </c>
      <c r="J1145" s="32">
        <f>IF(H1145="",0,IF(COUNTIF($H$2:H1145,H1145)=1,1,0))</f>
        <v>0</v>
      </c>
    </row>
    <row r="1146" spans="1:10" ht="14.25" hidden="1" customHeight="1" x14ac:dyDescent="0.35">
      <c r="A1146" s="30"/>
      <c r="E1146" s="31"/>
      <c r="G1146" s="32" t="str">
        <f t="shared" si="34"/>
        <v>|||1900|</v>
      </c>
      <c r="H1146" s="32" t="str">
        <f t="shared" si="35"/>
        <v>||1900|</v>
      </c>
      <c r="I1146" s="32">
        <f>IF(G1146="",0,IF(COUNTIF($G$2:G1146,G1146)=1,1,0))</f>
        <v>0</v>
      </c>
      <c r="J1146" s="32">
        <f>IF(H1146="",0,IF(COUNTIF($H$2:H1146,H1146)=1,1,0))</f>
        <v>0</v>
      </c>
    </row>
    <row r="1147" spans="1:10" ht="14.25" hidden="1" customHeight="1" x14ac:dyDescent="0.35">
      <c r="A1147" s="30"/>
      <c r="E1147" s="31"/>
      <c r="G1147" s="32" t="str">
        <f t="shared" si="34"/>
        <v>|||1900|</v>
      </c>
      <c r="H1147" s="32" t="str">
        <f t="shared" si="35"/>
        <v>||1900|</v>
      </c>
      <c r="I1147" s="32">
        <f>IF(G1147="",0,IF(COUNTIF($G$2:G1147,G1147)=1,1,0))</f>
        <v>0</v>
      </c>
      <c r="J1147" s="32">
        <f>IF(H1147="",0,IF(COUNTIF($H$2:H1147,H1147)=1,1,0))</f>
        <v>0</v>
      </c>
    </row>
    <row r="1148" spans="1:10" ht="14.25" hidden="1" customHeight="1" x14ac:dyDescent="0.35">
      <c r="A1148" s="30"/>
      <c r="E1148" s="31"/>
      <c r="G1148" s="32" t="str">
        <f t="shared" si="34"/>
        <v>|||1900|</v>
      </c>
      <c r="H1148" s="32" t="str">
        <f t="shared" si="35"/>
        <v>||1900|</v>
      </c>
      <c r="I1148" s="32">
        <f>IF(G1148="",0,IF(COUNTIF($G$2:G1148,G1148)=1,1,0))</f>
        <v>0</v>
      </c>
      <c r="J1148" s="32">
        <f>IF(H1148="",0,IF(COUNTIF($H$2:H1148,H1148)=1,1,0))</f>
        <v>0</v>
      </c>
    </row>
    <row r="1149" spans="1:10" ht="14.25" hidden="1" customHeight="1" x14ac:dyDescent="0.35">
      <c r="A1149" s="30"/>
      <c r="E1149" s="31"/>
      <c r="G1149" s="32" t="str">
        <f t="shared" si="34"/>
        <v>|||1900|</v>
      </c>
      <c r="H1149" s="32" t="str">
        <f t="shared" si="35"/>
        <v>||1900|</v>
      </c>
      <c r="I1149" s="32">
        <f>IF(G1149="",0,IF(COUNTIF($G$2:G1149,G1149)=1,1,0))</f>
        <v>0</v>
      </c>
      <c r="J1149" s="32">
        <f>IF(H1149="",0,IF(COUNTIF($H$2:H1149,H1149)=1,1,0))</f>
        <v>0</v>
      </c>
    </row>
    <row r="1150" spans="1:10" ht="14.25" hidden="1" customHeight="1" x14ac:dyDescent="0.35">
      <c r="A1150" s="30"/>
      <c r="E1150" s="31"/>
      <c r="G1150" s="32" t="str">
        <f t="shared" si="34"/>
        <v>|||1900|</v>
      </c>
      <c r="H1150" s="32" t="str">
        <f t="shared" si="35"/>
        <v>||1900|</v>
      </c>
      <c r="I1150" s="32">
        <f>IF(G1150="",0,IF(COUNTIF($G$2:G1150,G1150)=1,1,0))</f>
        <v>0</v>
      </c>
      <c r="J1150" s="32">
        <f>IF(H1150="",0,IF(COUNTIF($H$2:H1150,H1150)=1,1,0))</f>
        <v>0</v>
      </c>
    </row>
    <row r="1151" spans="1:10" ht="14.25" hidden="1" customHeight="1" x14ac:dyDescent="0.35">
      <c r="A1151" s="30"/>
      <c r="E1151" s="31"/>
      <c r="G1151" s="32" t="str">
        <f t="shared" si="34"/>
        <v>|||1900|</v>
      </c>
      <c r="H1151" s="32" t="str">
        <f t="shared" si="35"/>
        <v>||1900|</v>
      </c>
      <c r="I1151" s="32">
        <f>IF(G1151="",0,IF(COUNTIF($G$2:G1151,G1151)=1,1,0))</f>
        <v>0</v>
      </c>
      <c r="J1151" s="32">
        <f>IF(H1151="",0,IF(COUNTIF($H$2:H1151,H1151)=1,1,0))</f>
        <v>0</v>
      </c>
    </row>
    <row r="1152" spans="1:10" ht="14.25" hidden="1" customHeight="1" x14ac:dyDescent="0.35">
      <c r="A1152" s="30"/>
      <c r="E1152" s="31"/>
      <c r="G1152" s="32" t="str">
        <f t="shared" si="34"/>
        <v>|||1900|</v>
      </c>
      <c r="H1152" s="32" t="str">
        <f t="shared" si="35"/>
        <v>||1900|</v>
      </c>
      <c r="I1152" s="32">
        <f>IF(G1152="",0,IF(COUNTIF($G$2:G1152,G1152)=1,1,0))</f>
        <v>0</v>
      </c>
      <c r="J1152" s="32">
        <f>IF(H1152="",0,IF(COUNTIF($H$2:H1152,H1152)=1,1,0))</f>
        <v>0</v>
      </c>
    </row>
    <row r="1153" spans="1:10" ht="14.25" hidden="1" customHeight="1" x14ac:dyDescent="0.35">
      <c r="A1153" s="30"/>
      <c r="E1153" s="31"/>
      <c r="G1153" s="32" t="str">
        <f t="shared" si="34"/>
        <v>|||1900|</v>
      </c>
      <c r="H1153" s="32" t="str">
        <f t="shared" si="35"/>
        <v>||1900|</v>
      </c>
      <c r="I1153" s="32">
        <f>IF(G1153="",0,IF(COUNTIF($G$2:G1153,G1153)=1,1,0))</f>
        <v>0</v>
      </c>
      <c r="J1153" s="32">
        <f>IF(H1153="",0,IF(COUNTIF($H$2:H1153,H1153)=1,1,0))</f>
        <v>0</v>
      </c>
    </row>
    <row r="1154" spans="1:10" ht="14.25" hidden="1" customHeight="1" x14ac:dyDescent="0.35">
      <c r="A1154" s="30"/>
      <c r="E1154" s="31"/>
      <c r="G1154" s="32" t="str">
        <f t="shared" ref="G1154:G1217" si="36">IF(D1154="T",
E1154&amp;"|"&amp;F1154,
A1154&amp;"|"&amp;B1154&amp;"|"&amp;C1154&amp;"|"&amp;YEAR(E1154)&amp;"|"&amp;F1154)</f>
        <v>|||1900|</v>
      </c>
      <c r="H1154" s="32" t="str">
        <f t="shared" ref="H1154:H1217" si="37">A1154&amp;"|"&amp;C1154&amp;"|"&amp;YEAR(E1154)&amp;"|"&amp;F1154</f>
        <v>||1900|</v>
      </c>
      <c r="I1154" s="32">
        <f>IF(G1154="",0,IF(COUNTIF($G$2:G1154,G1154)=1,1,0))</f>
        <v>0</v>
      </c>
      <c r="J1154" s="32">
        <f>IF(H1154="",0,IF(COUNTIF($H$2:H1154,H1154)=1,1,0))</f>
        <v>0</v>
      </c>
    </row>
    <row r="1155" spans="1:10" ht="14.25" hidden="1" customHeight="1" x14ac:dyDescent="0.35">
      <c r="A1155" s="30"/>
      <c r="E1155" s="31"/>
      <c r="G1155" s="32" t="str">
        <f t="shared" si="36"/>
        <v>|||1900|</v>
      </c>
      <c r="H1155" s="32" t="str">
        <f t="shared" si="37"/>
        <v>||1900|</v>
      </c>
      <c r="I1155" s="32">
        <f>IF(G1155="",0,IF(COUNTIF($G$2:G1155,G1155)=1,1,0))</f>
        <v>0</v>
      </c>
      <c r="J1155" s="32">
        <f>IF(H1155="",0,IF(COUNTIF($H$2:H1155,H1155)=1,1,0))</f>
        <v>0</v>
      </c>
    </row>
    <row r="1156" spans="1:10" ht="14.25" hidden="1" customHeight="1" x14ac:dyDescent="0.35">
      <c r="A1156" s="30"/>
      <c r="E1156" s="31"/>
      <c r="G1156" s="32" t="str">
        <f t="shared" si="36"/>
        <v>|||1900|</v>
      </c>
      <c r="H1156" s="32" t="str">
        <f t="shared" si="37"/>
        <v>||1900|</v>
      </c>
      <c r="I1156" s="32">
        <f>IF(G1156="",0,IF(COUNTIF($G$2:G1156,G1156)=1,1,0))</f>
        <v>0</v>
      </c>
      <c r="J1156" s="32">
        <f>IF(H1156="",0,IF(COUNTIF($H$2:H1156,H1156)=1,1,0))</f>
        <v>0</v>
      </c>
    </row>
    <row r="1157" spans="1:10" ht="14.25" hidden="1" customHeight="1" x14ac:dyDescent="0.35">
      <c r="A1157" s="30"/>
      <c r="E1157" s="31"/>
      <c r="G1157" s="32" t="str">
        <f t="shared" si="36"/>
        <v>|||1900|</v>
      </c>
      <c r="H1157" s="32" t="str">
        <f t="shared" si="37"/>
        <v>||1900|</v>
      </c>
      <c r="I1157" s="32">
        <f>IF(G1157="",0,IF(COUNTIF($G$2:G1157,G1157)=1,1,0))</f>
        <v>0</v>
      </c>
      <c r="J1157" s="32">
        <f>IF(H1157="",0,IF(COUNTIF($H$2:H1157,H1157)=1,1,0))</f>
        <v>0</v>
      </c>
    </row>
    <row r="1158" spans="1:10" ht="14.25" hidden="1" customHeight="1" x14ac:dyDescent="0.35">
      <c r="A1158" s="30"/>
      <c r="E1158" s="31"/>
      <c r="G1158" s="32" t="str">
        <f t="shared" si="36"/>
        <v>|||1900|</v>
      </c>
      <c r="H1158" s="32" t="str">
        <f t="shared" si="37"/>
        <v>||1900|</v>
      </c>
      <c r="I1158" s="32">
        <f>IF(G1158="",0,IF(COUNTIF($G$2:G1158,G1158)=1,1,0))</f>
        <v>0</v>
      </c>
      <c r="J1158" s="32">
        <f>IF(H1158="",0,IF(COUNTIF($H$2:H1158,H1158)=1,1,0))</f>
        <v>0</v>
      </c>
    </row>
    <row r="1159" spans="1:10" ht="14.25" hidden="1" customHeight="1" x14ac:dyDescent="0.35">
      <c r="A1159" s="30"/>
      <c r="E1159" s="31"/>
      <c r="G1159" s="32" t="str">
        <f t="shared" si="36"/>
        <v>|||1900|</v>
      </c>
      <c r="H1159" s="32" t="str">
        <f t="shared" si="37"/>
        <v>||1900|</v>
      </c>
      <c r="I1159" s="32">
        <f>IF(G1159="",0,IF(COUNTIF($G$2:G1159,G1159)=1,1,0))</f>
        <v>0</v>
      </c>
      <c r="J1159" s="32">
        <f>IF(H1159="",0,IF(COUNTIF($H$2:H1159,H1159)=1,1,0))</f>
        <v>0</v>
      </c>
    </row>
    <row r="1160" spans="1:10" ht="14.25" hidden="1" customHeight="1" x14ac:dyDescent="0.35">
      <c r="A1160" s="30"/>
      <c r="E1160" s="31"/>
      <c r="G1160" s="32" t="str">
        <f t="shared" si="36"/>
        <v>|||1900|</v>
      </c>
      <c r="H1160" s="32" t="str">
        <f t="shared" si="37"/>
        <v>||1900|</v>
      </c>
      <c r="I1160" s="32">
        <f>IF(G1160="",0,IF(COUNTIF($G$2:G1160,G1160)=1,1,0))</f>
        <v>0</v>
      </c>
      <c r="J1160" s="32">
        <f>IF(H1160="",0,IF(COUNTIF($H$2:H1160,H1160)=1,1,0))</f>
        <v>0</v>
      </c>
    </row>
    <row r="1161" spans="1:10" ht="14.25" hidden="1" customHeight="1" x14ac:dyDescent="0.35">
      <c r="A1161" s="30"/>
      <c r="E1161" s="31"/>
      <c r="G1161" s="32" t="str">
        <f t="shared" si="36"/>
        <v>|||1900|</v>
      </c>
      <c r="H1161" s="32" t="str">
        <f t="shared" si="37"/>
        <v>||1900|</v>
      </c>
      <c r="I1161" s="32">
        <f>IF(G1161="",0,IF(COUNTIF($G$2:G1161,G1161)=1,1,0))</f>
        <v>0</v>
      </c>
      <c r="J1161" s="32">
        <f>IF(H1161="",0,IF(COUNTIF($H$2:H1161,H1161)=1,1,0))</f>
        <v>0</v>
      </c>
    </row>
    <row r="1162" spans="1:10" ht="14.25" hidden="1" customHeight="1" x14ac:dyDescent="0.35">
      <c r="A1162" s="30"/>
      <c r="E1162" s="31"/>
      <c r="G1162" s="32" t="str">
        <f t="shared" si="36"/>
        <v>|||1900|</v>
      </c>
      <c r="H1162" s="32" t="str">
        <f t="shared" si="37"/>
        <v>||1900|</v>
      </c>
      <c r="I1162" s="32">
        <f>IF(G1162="",0,IF(COUNTIF($G$2:G1162,G1162)=1,1,0))</f>
        <v>0</v>
      </c>
      <c r="J1162" s="32">
        <f>IF(H1162="",0,IF(COUNTIF($H$2:H1162,H1162)=1,1,0))</f>
        <v>0</v>
      </c>
    </row>
    <row r="1163" spans="1:10" ht="14.25" hidden="1" customHeight="1" x14ac:dyDescent="0.35">
      <c r="A1163" s="30"/>
      <c r="E1163" s="31"/>
      <c r="G1163" s="32" t="str">
        <f t="shared" si="36"/>
        <v>|||1900|</v>
      </c>
      <c r="H1163" s="32" t="str">
        <f t="shared" si="37"/>
        <v>||1900|</v>
      </c>
      <c r="I1163" s="32">
        <f>IF(G1163="",0,IF(COUNTIF($G$2:G1163,G1163)=1,1,0))</f>
        <v>0</v>
      </c>
      <c r="J1163" s="32">
        <f>IF(H1163="",0,IF(COUNTIF($H$2:H1163,H1163)=1,1,0))</f>
        <v>0</v>
      </c>
    </row>
    <row r="1164" spans="1:10" ht="14.25" hidden="1" customHeight="1" x14ac:dyDescent="0.35">
      <c r="A1164" s="30"/>
      <c r="E1164" s="31"/>
      <c r="G1164" s="32" t="str">
        <f t="shared" si="36"/>
        <v>|||1900|</v>
      </c>
      <c r="H1164" s="32" t="str">
        <f t="shared" si="37"/>
        <v>||1900|</v>
      </c>
      <c r="I1164" s="32">
        <f>IF(G1164="",0,IF(COUNTIF($G$2:G1164,G1164)=1,1,0))</f>
        <v>0</v>
      </c>
      <c r="J1164" s="32">
        <f>IF(H1164="",0,IF(COUNTIF($H$2:H1164,H1164)=1,1,0))</f>
        <v>0</v>
      </c>
    </row>
    <row r="1165" spans="1:10" ht="14.25" hidden="1" customHeight="1" x14ac:dyDescent="0.35">
      <c r="A1165" s="30"/>
      <c r="E1165" s="31"/>
      <c r="G1165" s="32" t="str">
        <f t="shared" si="36"/>
        <v>|||1900|</v>
      </c>
      <c r="H1165" s="32" t="str">
        <f t="shared" si="37"/>
        <v>||1900|</v>
      </c>
      <c r="I1165" s="32">
        <f>IF(G1165="",0,IF(COUNTIF($G$2:G1165,G1165)=1,1,0))</f>
        <v>0</v>
      </c>
      <c r="J1165" s="32">
        <f>IF(H1165="",0,IF(COUNTIF($H$2:H1165,H1165)=1,1,0))</f>
        <v>0</v>
      </c>
    </row>
    <row r="1166" spans="1:10" ht="14.25" hidden="1" customHeight="1" x14ac:dyDescent="0.35">
      <c r="A1166" s="30"/>
      <c r="E1166" s="31"/>
      <c r="G1166" s="32" t="str">
        <f t="shared" si="36"/>
        <v>|||1900|</v>
      </c>
      <c r="H1166" s="32" t="str">
        <f t="shared" si="37"/>
        <v>||1900|</v>
      </c>
      <c r="I1166" s="32">
        <f>IF(G1166="",0,IF(COUNTIF($G$2:G1166,G1166)=1,1,0))</f>
        <v>0</v>
      </c>
      <c r="J1166" s="32">
        <f>IF(H1166="",0,IF(COUNTIF($H$2:H1166,H1166)=1,1,0))</f>
        <v>0</v>
      </c>
    </row>
    <row r="1167" spans="1:10" ht="14.25" hidden="1" customHeight="1" x14ac:dyDescent="0.35">
      <c r="A1167" s="30"/>
      <c r="E1167" s="31"/>
      <c r="G1167" s="32" t="str">
        <f t="shared" si="36"/>
        <v>|||1900|</v>
      </c>
      <c r="H1167" s="32" t="str">
        <f t="shared" si="37"/>
        <v>||1900|</v>
      </c>
      <c r="I1167" s="32">
        <f>IF(G1167="",0,IF(COUNTIF($G$2:G1167,G1167)=1,1,0))</f>
        <v>0</v>
      </c>
      <c r="J1167" s="32">
        <f>IF(H1167="",0,IF(COUNTIF($H$2:H1167,H1167)=1,1,0))</f>
        <v>0</v>
      </c>
    </row>
    <row r="1168" spans="1:10" ht="14.25" hidden="1" customHeight="1" x14ac:dyDescent="0.35">
      <c r="A1168" s="30"/>
      <c r="E1168" s="31"/>
      <c r="G1168" s="32" t="str">
        <f t="shared" si="36"/>
        <v>|||1900|</v>
      </c>
      <c r="H1168" s="32" t="str">
        <f t="shared" si="37"/>
        <v>||1900|</v>
      </c>
      <c r="I1168" s="32">
        <f>IF(G1168="",0,IF(COUNTIF($G$2:G1168,G1168)=1,1,0))</f>
        <v>0</v>
      </c>
      <c r="J1168" s="32">
        <f>IF(H1168="",0,IF(COUNTIF($H$2:H1168,H1168)=1,1,0))</f>
        <v>0</v>
      </c>
    </row>
    <row r="1169" spans="1:10" ht="14.25" hidden="1" customHeight="1" x14ac:dyDescent="0.35">
      <c r="A1169" s="30"/>
      <c r="E1169" s="31"/>
      <c r="G1169" s="32" t="str">
        <f t="shared" si="36"/>
        <v>|||1900|</v>
      </c>
      <c r="H1169" s="32" t="str">
        <f t="shared" si="37"/>
        <v>||1900|</v>
      </c>
      <c r="I1169" s="32">
        <f>IF(G1169="",0,IF(COUNTIF($G$2:G1169,G1169)=1,1,0))</f>
        <v>0</v>
      </c>
      <c r="J1169" s="32">
        <f>IF(H1169="",0,IF(COUNTIF($H$2:H1169,H1169)=1,1,0))</f>
        <v>0</v>
      </c>
    </row>
    <row r="1170" spans="1:10" ht="14.25" hidden="1" customHeight="1" x14ac:dyDescent="0.35">
      <c r="A1170" s="30"/>
      <c r="E1170" s="31"/>
      <c r="G1170" s="32" t="str">
        <f t="shared" si="36"/>
        <v>|||1900|</v>
      </c>
      <c r="H1170" s="32" t="str">
        <f t="shared" si="37"/>
        <v>||1900|</v>
      </c>
      <c r="I1170" s="32">
        <f>IF(G1170="",0,IF(COUNTIF($G$2:G1170,G1170)=1,1,0))</f>
        <v>0</v>
      </c>
      <c r="J1170" s="32">
        <f>IF(H1170="",0,IF(COUNTIF($H$2:H1170,H1170)=1,1,0))</f>
        <v>0</v>
      </c>
    </row>
    <row r="1171" spans="1:10" ht="14.25" hidden="1" customHeight="1" x14ac:dyDescent="0.35">
      <c r="A1171" s="30"/>
      <c r="E1171" s="31"/>
      <c r="G1171" s="32" t="str">
        <f t="shared" si="36"/>
        <v>|||1900|</v>
      </c>
      <c r="H1171" s="32" t="str">
        <f t="shared" si="37"/>
        <v>||1900|</v>
      </c>
      <c r="I1171" s="32">
        <f>IF(G1171="",0,IF(COUNTIF($G$2:G1171,G1171)=1,1,0))</f>
        <v>0</v>
      </c>
      <c r="J1171" s="32">
        <f>IF(H1171="",0,IF(COUNTIF($H$2:H1171,H1171)=1,1,0))</f>
        <v>0</v>
      </c>
    </row>
    <row r="1172" spans="1:10" ht="14.25" hidden="1" customHeight="1" x14ac:dyDescent="0.35">
      <c r="A1172" s="30"/>
      <c r="E1172" s="31"/>
      <c r="G1172" s="32" t="str">
        <f t="shared" si="36"/>
        <v>|||1900|</v>
      </c>
      <c r="H1172" s="32" t="str">
        <f t="shared" si="37"/>
        <v>||1900|</v>
      </c>
      <c r="I1172" s="32">
        <f>IF(G1172="",0,IF(COUNTIF($G$2:G1172,G1172)=1,1,0))</f>
        <v>0</v>
      </c>
      <c r="J1172" s="32">
        <f>IF(H1172="",0,IF(COUNTIF($H$2:H1172,H1172)=1,1,0))</f>
        <v>0</v>
      </c>
    </row>
    <row r="1173" spans="1:10" ht="14.25" hidden="1" customHeight="1" x14ac:dyDescent="0.35">
      <c r="A1173" s="30"/>
      <c r="E1173" s="31"/>
      <c r="G1173" s="32" t="str">
        <f t="shared" si="36"/>
        <v>|||1900|</v>
      </c>
      <c r="H1173" s="32" t="str">
        <f t="shared" si="37"/>
        <v>||1900|</v>
      </c>
      <c r="I1173" s="32">
        <f>IF(G1173="",0,IF(COUNTIF($G$2:G1173,G1173)=1,1,0))</f>
        <v>0</v>
      </c>
      <c r="J1173" s="32">
        <f>IF(H1173="",0,IF(COUNTIF($H$2:H1173,H1173)=1,1,0))</f>
        <v>0</v>
      </c>
    </row>
    <row r="1174" spans="1:10" ht="14.25" hidden="1" customHeight="1" x14ac:dyDescent="0.35">
      <c r="A1174" s="30"/>
      <c r="E1174" s="31"/>
      <c r="G1174" s="32" t="str">
        <f t="shared" si="36"/>
        <v>|||1900|</v>
      </c>
      <c r="H1174" s="32" t="str">
        <f t="shared" si="37"/>
        <v>||1900|</v>
      </c>
      <c r="I1174" s="32">
        <f>IF(G1174="",0,IF(COUNTIF($G$2:G1174,G1174)=1,1,0))</f>
        <v>0</v>
      </c>
      <c r="J1174" s="32">
        <f>IF(H1174="",0,IF(COUNTIF($H$2:H1174,H1174)=1,1,0))</f>
        <v>0</v>
      </c>
    </row>
    <row r="1175" spans="1:10" ht="14.25" hidden="1" customHeight="1" x14ac:dyDescent="0.35">
      <c r="A1175" s="30"/>
      <c r="E1175" s="31"/>
      <c r="G1175" s="32" t="str">
        <f t="shared" si="36"/>
        <v>|||1900|</v>
      </c>
      <c r="H1175" s="32" t="str">
        <f t="shared" si="37"/>
        <v>||1900|</v>
      </c>
      <c r="I1175" s="32">
        <f>IF(G1175="",0,IF(COUNTIF($G$2:G1175,G1175)=1,1,0))</f>
        <v>0</v>
      </c>
      <c r="J1175" s="32">
        <f>IF(H1175="",0,IF(COUNTIF($H$2:H1175,H1175)=1,1,0))</f>
        <v>0</v>
      </c>
    </row>
    <row r="1176" spans="1:10" ht="14.25" hidden="1" customHeight="1" x14ac:dyDescent="0.35">
      <c r="A1176" s="30"/>
      <c r="E1176" s="31"/>
      <c r="G1176" s="32" t="str">
        <f t="shared" si="36"/>
        <v>|||1900|</v>
      </c>
      <c r="H1176" s="32" t="str">
        <f t="shared" si="37"/>
        <v>||1900|</v>
      </c>
      <c r="I1176" s="32">
        <f>IF(G1176="",0,IF(COUNTIF($G$2:G1176,G1176)=1,1,0))</f>
        <v>0</v>
      </c>
      <c r="J1176" s="32">
        <f>IF(H1176="",0,IF(COUNTIF($H$2:H1176,H1176)=1,1,0))</f>
        <v>0</v>
      </c>
    </row>
    <row r="1177" spans="1:10" ht="14.25" hidden="1" customHeight="1" x14ac:dyDescent="0.35">
      <c r="A1177" s="30"/>
      <c r="E1177" s="31"/>
      <c r="G1177" s="32" t="str">
        <f t="shared" si="36"/>
        <v>|||1900|</v>
      </c>
      <c r="H1177" s="32" t="str">
        <f t="shared" si="37"/>
        <v>||1900|</v>
      </c>
      <c r="I1177" s="32">
        <f>IF(G1177="",0,IF(COUNTIF($G$2:G1177,G1177)=1,1,0))</f>
        <v>0</v>
      </c>
      <c r="J1177" s="32">
        <f>IF(H1177="",0,IF(COUNTIF($H$2:H1177,H1177)=1,1,0))</f>
        <v>0</v>
      </c>
    </row>
    <row r="1178" spans="1:10" ht="14.25" hidden="1" customHeight="1" x14ac:dyDescent="0.35">
      <c r="A1178" s="30"/>
      <c r="E1178" s="31"/>
      <c r="G1178" s="32" t="str">
        <f t="shared" si="36"/>
        <v>|||1900|</v>
      </c>
      <c r="H1178" s="32" t="str">
        <f t="shared" si="37"/>
        <v>||1900|</v>
      </c>
      <c r="I1178" s="32">
        <f>IF(G1178="",0,IF(COUNTIF($G$2:G1178,G1178)=1,1,0))</f>
        <v>0</v>
      </c>
      <c r="J1178" s="32">
        <f>IF(H1178="",0,IF(COUNTIF($H$2:H1178,H1178)=1,1,0))</f>
        <v>0</v>
      </c>
    </row>
    <row r="1179" spans="1:10" ht="14.25" hidden="1" customHeight="1" x14ac:dyDescent="0.35">
      <c r="A1179" s="30"/>
      <c r="E1179" s="31"/>
      <c r="G1179" s="32" t="str">
        <f t="shared" si="36"/>
        <v>|||1900|</v>
      </c>
      <c r="H1179" s="32" t="str">
        <f t="shared" si="37"/>
        <v>||1900|</v>
      </c>
      <c r="I1179" s="32">
        <f>IF(G1179="",0,IF(COUNTIF($G$2:G1179,G1179)=1,1,0))</f>
        <v>0</v>
      </c>
      <c r="J1179" s="32">
        <f>IF(H1179="",0,IF(COUNTIF($H$2:H1179,H1179)=1,1,0))</f>
        <v>0</v>
      </c>
    </row>
    <row r="1180" spans="1:10" ht="14.25" hidden="1" customHeight="1" x14ac:dyDescent="0.35">
      <c r="A1180" s="30"/>
      <c r="E1180" s="31"/>
      <c r="G1180" s="32" t="str">
        <f t="shared" si="36"/>
        <v>|||1900|</v>
      </c>
      <c r="H1180" s="32" t="str">
        <f t="shared" si="37"/>
        <v>||1900|</v>
      </c>
      <c r="I1180" s="32">
        <f>IF(G1180="",0,IF(COUNTIF($G$2:G1180,G1180)=1,1,0))</f>
        <v>0</v>
      </c>
      <c r="J1180" s="32">
        <f>IF(H1180="",0,IF(COUNTIF($H$2:H1180,H1180)=1,1,0))</f>
        <v>0</v>
      </c>
    </row>
    <row r="1181" spans="1:10" ht="14.25" hidden="1" customHeight="1" x14ac:dyDescent="0.35">
      <c r="A1181" s="30"/>
      <c r="E1181" s="31"/>
      <c r="G1181" s="32" t="str">
        <f t="shared" si="36"/>
        <v>|||1900|</v>
      </c>
      <c r="H1181" s="32" t="str">
        <f t="shared" si="37"/>
        <v>||1900|</v>
      </c>
      <c r="I1181" s="32">
        <f>IF(G1181="",0,IF(COUNTIF($G$2:G1181,G1181)=1,1,0))</f>
        <v>0</v>
      </c>
      <c r="J1181" s="32">
        <f>IF(H1181="",0,IF(COUNTIF($H$2:H1181,H1181)=1,1,0))</f>
        <v>0</v>
      </c>
    </row>
    <row r="1182" spans="1:10" ht="14.25" hidden="1" customHeight="1" x14ac:dyDescent="0.35">
      <c r="A1182" s="30"/>
      <c r="E1182" s="31"/>
      <c r="G1182" s="32" t="str">
        <f t="shared" si="36"/>
        <v>|||1900|</v>
      </c>
      <c r="H1182" s="32" t="str">
        <f t="shared" si="37"/>
        <v>||1900|</v>
      </c>
      <c r="I1182" s="32">
        <f>IF(G1182="",0,IF(COUNTIF($G$2:G1182,G1182)=1,1,0))</f>
        <v>0</v>
      </c>
      <c r="J1182" s="32">
        <f>IF(H1182="",0,IF(COUNTIF($H$2:H1182,H1182)=1,1,0))</f>
        <v>0</v>
      </c>
    </row>
    <row r="1183" spans="1:10" ht="14.25" hidden="1" customHeight="1" x14ac:dyDescent="0.35">
      <c r="A1183" s="30"/>
      <c r="E1183" s="31"/>
      <c r="G1183" s="32" t="str">
        <f t="shared" si="36"/>
        <v>|||1900|</v>
      </c>
      <c r="H1183" s="32" t="str">
        <f t="shared" si="37"/>
        <v>||1900|</v>
      </c>
      <c r="I1183" s="32">
        <f>IF(G1183="",0,IF(COUNTIF($G$2:G1183,G1183)=1,1,0))</f>
        <v>0</v>
      </c>
      <c r="J1183" s="32">
        <f>IF(H1183="",0,IF(COUNTIF($H$2:H1183,H1183)=1,1,0))</f>
        <v>0</v>
      </c>
    </row>
    <row r="1184" spans="1:10" ht="14.25" hidden="1" customHeight="1" x14ac:dyDescent="0.35">
      <c r="A1184" s="30"/>
      <c r="E1184" s="31"/>
      <c r="G1184" s="32" t="str">
        <f t="shared" si="36"/>
        <v>|||1900|</v>
      </c>
      <c r="H1184" s="32" t="str">
        <f t="shared" si="37"/>
        <v>||1900|</v>
      </c>
      <c r="I1184" s="32">
        <f>IF(G1184="",0,IF(COUNTIF($G$2:G1184,G1184)=1,1,0))</f>
        <v>0</v>
      </c>
      <c r="J1184" s="32">
        <f>IF(H1184="",0,IF(COUNTIF($H$2:H1184,H1184)=1,1,0))</f>
        <v>0</v>
      </c>
    </row>
    <row r="1185" spans="1:10" ht="14.25" hidden="1" customHeight="1" x14ac:dyDescent="0.35">
      <c r="A1185" s="30"/>
      <c r="E1185" s="31"/>
      <c r="G1185" s="32" t="str">
        <f t="shared" si="36"/>
        <v>|||1900|</v>
      </c>
      <c r="H1185" s="32" t="str">
        <f t="shared" si="37"/>
        <v>||1900|</v>
      </c>
      <c r="I1185" s="32">
        <f>IF(G1185="",0,IF(COUNTIF($G$2:G1185,G1185)=1,1,0))</f>
        <v>0</v>
      </c>
      <c r="J1185" s="32">
        <f>IF(H1185="",0,IF(COUNTIF($H$2:H1185,H1185)=1,1,0))</f>
        <v>0</v>
      </c>
    </row>
    <row r="1186" spans="1:10" ht="14.25" hidden="1" customHeight="1" x14ac:dyDescent="0.35">
      <c r="A1186" s="30"/>
      <c r="E1186" s="31"/>
      <c r="G1186" s="32" t="str">
        <f t="shared" si="36"/>
        <v>|||1900|</v>
      </c>
      <c r="H1186" s="32" t="str">
        <f t="shared" si="37"/>
        <v>||1900|</v>
      </c>
      <c r="I1186" s="32">
        <f>IF(G1186="",0,IF(COUNTIF($G$2:G1186,G1186)=1,1,0))</f>
        <v>0</v>
      </c>
      <c r="J1186" s="32">
        <f>IF(H1186="",0,IF(COUNTIF($H$2:H1186,H1186)=1,1,0))</f>
        <v>0</v>
      </c>
    </row>
    <row r="1187" spans="1:10" ht="14.25" hidden="1" customHeight="1" x14ac:dyDescent="0.35">
      <c r="A1187" s="30"/>
      <c r="E1187" s="31"/>
      <c r="G1187" s="32" t="str">
        <f t="shared" si="36"/>
        <v>|||1900|</v>
      </c>
      <c r="H1187" s="32" t="str">
        <f t="shared" si="37"/>
        <v>||1900|</v>
      </c>
      <c r="I1187" s="32">
        <f>IF(G1187="",0,IF(COUNTIF($G$2:G1187,G1187)=1,1,0))</f>
        <v>0</v>
      </c>
      <c r="J1187" s="32">
        <f>IF(H1187="",0,IF(COUNTIF($H$2:H1187,H1187)=1,1,0))</f>
        <v>0</v>
      </c>
    </row>
    <row r="1188" spans="1:10" ht="14.25" hidden="1" customHeight="1" x14ac:dyDescent="0.35">
      <c r="A1188" s="30"/>
      <c r="E1188" s="31"/>
      <c r="G1188" s="32" t="str">
        <f t="shared" si="36"/>
        <v>|||1900|</v>
      </c>
      <c r="H1188" s="32" t="str">
        <f t="shared" si="37"/>
        <v>||1900|</v>
      </c>
      <c r="I1188" s="32">
        <f>IF(G1188="",0,IF(COUNTIF($G$2:G1188,G1188)=1,1,0))</f>
        <v>0</v>
      </c>
      <c r="J1188" s="32">
        <f>IF(H1188="",0,IF(COUNTIF($H$2:H1188,H1188)=1,1,0))</f>
        <v>0</v>
      </c>
    </row>
    <row r="1189" spans="1:10" ht="14.25" hidden="1" customHeight="1" x14ac:dyDescent="0.35">
      <c r="A1189" s="30"/>
      <c r="E1189" s="31"/>
      <c r="G1189" s="32" t="str">
        <f t="shared" si="36"/>
        <v>|||1900|</v>
      </c>
      <c r="H1189" s="32" t="str">
        <f t="shared" si="37"/>
        <v>||1900|</v>
      </c>
      <c r="I1189" s="32">
        <f>IF(G1189="",0,IF(COUNTIF($G$2:G1189,G1189)=1,1,0))</f>
        <v>0</v>
      </c>
      <c r="J1189" s="32">
        <f>IF(H1189="",0,IF(COUNTIF($H$2:H1189,H1189)=1,1,0))</f>
        <v>0</v>
      </c>
    </row>
    <row r="1190" spans="1:10" ht="14.25" hidden="1" customHeight="1" x14ac:dyDescent="0.35">
      <c r="A1190" s="30"/>
      <c r="E1190" s="31"/>
      <c r="G1190" s="32" t="str">
        <f t="shared" si="36"/>
        <v>|||1900|</v>
      </c>
      <c r="H1190" s="32" t="str">
        <f t="shared" si="37"/>
        <v>||1900|</v>
      </c>
      <c r="I1190" s="32">
        <f>IF(G1190="",0,IF(COUNTIF($G$2:G1190,G1190)=1,1,0))</f>
        <v>0</v>
      </c>
      <c r="J1190" s="32">
        <f>IF(H1190="",0,IF(COUNTIF($H$2:H1190,H1190)=1,1,0))</f>
        <v>0</v>
      </c>
    </row>
    <row r="1191" spans="1:10" ht="14.25" hidden="1" customHeight="1" x14ac:dyDescent="0.35">
      <c r="A1191" s="30"/>
      <c r="E1191" s="31"/>
      <c r="G1191" s="32" t="str">
        <f t="shared" si="36"/>
        <v>|||1900|</v>
      </c>
      <c r="H1191" s="32" t="str">
        <f t="shared" si="37"/>
        <v>||1900|</v>
      </c>
      <c r="I1191" s="32">
        <f>IF(G1191="",0,IF(COUNTIF($G$2:G1191,G1191)=1,1,0))</f>
        <v>0</v>
      </c>
      <c r="J1191" s="32">
        <f>IF(H1191="",0,IF(COUNTIF($H$2:H1191,H1191)=1,1,0))</f>
        <v>0</v>
      </c>
    </row>
    <row r="1192" spans="1:10" ht="14.25" hidden="1" customHeight="1" x14ac:dyDescent="0.35">
      <c r="A1192" s="30"/>
      <c r="E1192" s="31"/>
      <c r="G1192" s="32" t="str">
        <f t="shared" si="36"/>
        <v>|||1900|</v>
      </c>
      <c r="H1192" s="32" t="str">
        <f t="shared" si="37"/>
        <v>||1900|</v>
      </c>
      <c r="I1192" s="32">
        <f>IF(G1192="",0,IF(COUNTIF($G$2:G1192,G1192)=1,1,0))</f>
        <v>0</v>
      </c>
      <c r="J1192" s="32">
        <f>IF(H1192="",0,IF(COUNTIF($H$2:H1192,H1192)=1,1,0))</f>
        <v>0</v>
      </c>
    </row>
    <row r="1193" spans="1:10" ht="14.25" hidden="1" customHeight="1" x14ac:dyDescent="0.35">
      <c r="A1193" s="30"/>
      <c r="E1193" s="31"/>
      <c r="G1193" s="32" t="str">
        <f t="shared" si="36"/>
        <v>|||1900|</v>
      </c>
      <c r="H1193" s="32" t="str">
        <f t="shared" si="37"/>
        <v>||1900|</v>
      </c>
      <c r="I1193" s="32">
        <f>IF(G1193="",0,IF(COUNTIF($G$2:G1193,G1193)=1,1,0))</f>
        <v>0</v>
      </c>
      <c r="J1193" s="32">
        <f>IF(H1193="",0,IF(COUNTIF($H$2:H1193,H1193)=1,1,0))</f>
        <v>0</v>
      </c>
    </row>
    <row r="1194" spans="1:10" ht="14.25" hidden="1" customHeight="1" x14ac:dyDescent="0.35">
      <c r="A1194" s="30"/>
      <c r="E1194" s="31"/>
      <c r="G1194" s="32" t="str">
        <f t="shared" si="36"/>
        <v>|||1900|</v>
      </c>
      <c r="H1194" s="32" t="str">
        <f t="shared" si="37"/>
        <v>||1900|</v>
      </c>
      <c r="I1194" s="32">
        <f>IF(G1194="",0,IF(COUNTIF($G$2:G1194,G1194)=1,1,0))</f>
        <v>0</v>
      </c>
      <c r="J1194" s="32">
        <f>IF(H1194="",0,IF(COUNTIF($H$2:H1194,H1194)=1,1,0))</f>
        <v>0</v>
      </c>
    </row>
    <row r="1195" spans="1:10" ht="14.25" hidden="1" customHeight="1" x14ac:dyDescent="0.35">
      <c r="A1195" s="30"/>
      <c r="E1195" s="31"/>
      <c r="G1195" s="32" t="str">
        <f t="shared" si="36"/>
        <v>|||1900|</v>
      </c>
      <c r="H1195" s="32" t="str">
        <f t="shared" si="37"/>
        <v>||1900|</v>
      </c>
      <c r="I1195" s="32">
        <f>IF(G1195="",0,IF(COUNTIF($G$2:G1195,G1195)=1,1,0))</f>
        <v>0</v>
      </c>
      <c r="J1195" s="32">
        <f>IF(H1195="",0,IF(COUNTIF($H$2:H1195,H1195)=1,1,0))</f>
        <v>0</v>
      </c>
    </row>
    <row r="1196" spans="1:10" ht="14.25" hidden="1" customHeight="1" x14ac:dyDescent="0.35">
      <c r="A1196" s="30"/>
      <c r="E1196" s="31"/>
      <c r="G1196" s="32" t="str">
        <f t="shared" si="36"/>
        <v>|||1900|</v>
      </c>
      <c r="H1196" s="32" t="str">
        <f t="shared" si="37"/>
        <v>||1900|</v>
      </c>
      <c r="I1196" s="32">
        <f>IF(G1196="",0,IF(COUNTIF($G$2:G1196,G1196)=1,1,0))</f>
        <v>0</v>
      </c>
      <c r="J1196" s="32">
        <f>IF(H1196="",0,IF(COUNTIF($H$2:H1196,H1196)=1,1,0))</f>
        <v>0</v>
      </c>
    </row>
    <row r="1197" spans="1:10" ht="14.25" hidden="1" customHeight="1" x14ac:dyDescent="0.35">
      <c r="A1197" s="30"/>
      <c r="E1197" s="31"/>
      <c r="G1197" s="32" t="str">
        <f t="shared" si="36"/>
        <v>|||1900|</v>
      </c>
      <c r="H1197" s="32" t="str">
        <f t="shared" si="37"/>
        <v>||1900|</v>
      </c>
      <c r="I1197" s="32">
        <f>IF(G1197="",0,IF(COUNTIF($G$2:G1197,G1197)=1,1,0))</f>
        <v>0</v>
      </c>
      <c r="J1197" s="32">
        <f>IF(H1197="",0,IF(COUNTIF($H$2:H1197,H1197)=1,1,0))</f>
        <v>0</v>
      </c>
    </row>
    <row r="1198" spans="1:10" ht="14.25" hidden="1" customHeight="1" x14ac:dyDescent="0.35">
      <c r="A1198" s="30"/>
      <c r="E1198" s="31"/>
      <c r="G1198" s="32" t="str">
        <f t="shared" si="36"/>
        <v>|||1900|</v>
      </c>
      <c r="H1198" s="32" t="str">
        <f t="shared" si="37"/>
        <v>||1900|</v>
      </c>
      <c r="I1198" s="32">
        <f>IF(G1198="",0,IF(COUNTIF($G$2:G1198,G1198)=1,1,0))</f>
        <v>0</v>
      </c>
      <c r="J1198" s="32">
        <f>IF(H1198="",0,IF(COUNTIF($H$2:H1198,H1198)=1,1,0))</f>
        <v>0</v>
      </c>
    </row>
    <row r="1199" spans="1:10" ht="14.25" hidden="1" customHeight="1" x14ac:dyDescent="0.35">
      <c r="A1199" s="30"/>
      <c r="E1199" s="31"/>
      <c r="G1199" s="32" t="str">
        <f t="shared" si="36"/>
        <v>|||1900|</v>
      </c>
      <c r="H1199" s="32" t="str">
        <f t="shared" si="37"/>
        <v>||1900|</v>
      </c>
      <c r="I1199" s="32">
        <f>IF(G1199="",0,IF(COUNTIF($G$2:G1199,G1199)=1,1,0))</f>
        <v>0</v>
      </c>
      <c r="J1199" s="32">
        <f>IF(H1199="",0,IF(COUNTIF($H$2:H1199,H1199)=1,1,0))</f>
        <v>0</v>
      </c>
    </row>
    <row r="1200" spans="1:10" ht="14.25" hidden="1" customHeight="1" x14ac:dyDescent="0.35">
      <c r="A1200" s="30"/>
      <c r="E1200" s="31"/>
      <c r="G1200" s="32" t="str">
        <f t="shared" si="36"/>
        <v>|||1900|</v>
      </c>
      <c r="H1200" s="32" t="str">
        <f t="shared" si="37"/>
        <v>||1900|</v>
      </c>
      <c r="I1200" s="32">
        <f>IF(G1200="",0,IF(COUNTIF($G$2:G1200,G1200)=1,1,0))</f>
        <v>0</v>
      </c>
      <c r="J1200" s="32">
        <f>IF(H1200="",0,IF(COUNTIF($H$2:H1200,H1200)=1,1,0))</f>
        <v>0</v>
      </c>
    </row>
    <row r="1201" spans="1:10" ht="14.25" hidden="1" customHeight="1" x14ac:dyDescent="0.35">
      <c r="A1201" s="30"/>
      <c r="E1201" s="31"/>
      <c r="G1201" s="32" t="str">
        <f t="shared" si="36"/>
        <v>|||1900|</v>
      </c>
      <c r="H1201" s="32" t="str">
        <f t="shared" si="37"/>
        <v>||1900|</v>
      </c>
      <c r="I1201" s="32">
        <f>IF(G1201="",0,IF(COUNTIF($G$2:G1201,G1201)=1,1,0))</f>
        <v>0</v>
      </c>
      <c r="J1201" s="32">
        <f>IF(H1201="",0,IF(COUNTIF($H$2:H1201,H1201)=1,1,0))</f>
        <v>0</v>
      </c>
    </row>
    <row r="1202" spans="1:10" ht="14.25" hidden="1" customHeight="1" x14ac:dyDescent="0.35">
      <c r="A1202" s="30"/>
      <c r="E1202" s="31"/>
      <c r="G1202" s="32" t="str">
        <f t="shared" si="36"/>
        <v>|||1900|</v>
      </c>
      <c r="H1202" s="32" t="str">
        <f t="shared" si="37"/>
        <v>||1900|</v>
      </c>
      <c r="I1202" s="32">
        <f>IF(G1202="",0,IF(COUNTIF($G$2:G1202,G1202)=1,1,0))</f>
        <v>0</v>
      </c>
      <c r="J1202" s="32">
        <f>IF(H1202="",0,IF(COUNTIF($H$2:H1202,H1202)=1,1,0))</f>
        <v>0</v>
      </c>
    </row>
    <row r="1203" spans="1:10" ht="14.25" hidden="1" customHeight="1" x14ac:dyDescent="0.35">
      <c r="A1203" s="30"/>
      <c r="E1203" s="31"/>
      <c r="G1203" s="32" t="str">
        <f t="shared" si="36"/>
        <v>|||1900|</v>
      </c>
      <c r="H1203" s="32" t="str">
        <f t="shared" si="37"/>
        <v>||1900|</v>
      </c>
      <c r="I1203" s="32">
        <f>IF(G1203="",0,IF(COUNTIF($G$2:G1203,G1203)=1,1,0))</f>
        <v>0</v>
      </c>
      <c r="J1203" s="32">
        <f>IF(H1203="",0,IF(COUNTIF($H$2:H1203,H1203)=1,1,0))</f>
        <v>0</v>
      </c>
    </row>
    <row r="1204" spans="1:10" ht="14.25" hidden="1" customHeight="1" x14ac:dyDescent="0.35">
      <c r="A1204" s="30"/>
      <c r="E1204" s="31"/>
      <c r="G1204" s="32" t="str">
        <f t="shared" si="36"/>
        <v>|||1900|</v>
      </c>
      <c r="H1204" s="32" t="str">
        <f t="shared" si="37"/>
        <v>||1900|</v>
      </c>
      <c r="I1204" s="32">
        <f>IF(G1204="",0,IF(COUNTIF($G$2:G1204,G1204)=1,1,0))</f>
        <v>0</v>
      </c>
      <c r="J1204" s="32">
        <f>IF(H1204="",0,IF(COUNTIF($H$2:H1204,H1204)=1,1,0))</f>
        <v>0</v>
      </c>
    </row>
    <row r="1205" spans="1:10" ht="14.25" hidden="1" customHeight="1" x14ac:dyDescent="0.35">
      <c r="A1205" s="30"/>
      <c r="E1205" s="31"/>
      <c r="G1205" s="32" t="str">
        <f t="shared" si="36"/>
        <v>|||1900|</v>
      </c>
      <c r="H1205" s="32" t="str">
        <f t="shared" si="37"/>
        <v>||1900|</v>
      </c>
      <c r="I1205" s="32">
        <f>IF(G1205="",0,IF(COUNTIF($G$2:G1205,G1205)=1,1,0))</f>
        <v>0</v>
      </c>
      <c r="J1205" s="32">
        <f>IF(H1205="",0,IF(COUNTIF($H$2:H1205,H1205)=1,1,0))</f>
        <v>0</v>
      </c>
    </row>
    <row r="1206" spans="1:10" ht="14.25" hidden="1" customHeight="1" x14ac:dyDescent="0.35">
      <c r="A1206" s="30"/>
      <c r="E1206" s="31"/>
      <c r="G1206" s="32" t="str">
        <f t="shared" si="36"/>
        <v>|||1900|</v>
      </c>
      <c r="H1206" s="32" t="str">
        <f t="shared" si="37"/>
        <v>||1900|</v>
      </c>
      <c r="I1206" s="32">
        <f>IF(G1206="",0,IF(COUNTIF($G$2:G1206,G1206)=1,1,0))</f>
        <v>0</v>
      </c>
      <c r="J1206" s="32">
        <f>IF(H1206="",0,IF(COUNTIF($H$2:H1206,H1206)=1,1,0))</f>
        <v>0</v>
      </c>
    </row>
    <row r="1207" spans="1:10" ht="14.25" hidden="1" customHeight="1" x14ac:dyDescent="0.35">
      <c r="A1207" s="30"/>
      <c r="E1207" s="31"/>
      <c r="G1207" s="32" t="str">
        <f t="shared" si="36"/>
        <v>|||1900|</v>
      </c>
      <c r="H1207" s="32" t="str">
        <f t="shared" si="37"/>
        <v>||1900|</v>
      </c>
      <c r="I1207" s="32">
        <f>IF(G1207="",0,IF(COUNTIF($G$2:G1207,G1207)=1,1,0))</f>
        <v>0</v>
      </c>
      <c r="J1207" s="32">
        <f>IF(H1207="",0,IF(COUNTIF($H$2:H1207,H1207)=1,1,0))</f>
        <v>0</v>
      </c>
    </row>
    <row r="1208" spans="1:10" ht="14.25" hidden="1" customHeight="1" x14ac:dyDescent="0.35">
      <c r="A1208" s="30"/>
      <c r="E1208" s="31"/>
      <c r="G1208" s="32" t="str">
        <f t="shared" si="36"/>
        <v>|||1900|</v>
      </c>
      <c r="H1208" s="32" t="str">
        <f t="shared" si="37"/>
        <v>||1900|</v>
      </c>
      <c r="I1208" s="32">
        <f>IF(G1208="",0,IF(COUNTIF($G$2:G1208,G1208)=1,1,0))</f>
        <v>0</v>
      </c>
      <c r="J1208" s="32">
        <f>IF(H1208="",0,IF(COUNTIF($H$2:H1208,H1208)=1,1,0))</f>
        <v>0</v>
      </c>
    </row>
    <row r="1209" spans="1:10" ht="14.25" hidden="1" customHeight="1" x14ac:dyDescent="0.35">
      <c r="A1209" s="30"/>
      <c r="E1209" s="31"/>
      <c r="G1209" s="32" t="str">
        <f t="shared" si="36"/>
        <v>|||1900|</v>
      </c>
      <c r="H1209" s="32" t="str">
        <f t="shared" si="37"/>
        <v>||1900|</v>
      </c>
      <c r="I1209" s="32">
        <f>IF(G1209="",0,IF(COUNTIF($G$2:G1209,G1209)=1,1,0))</f>
        <v>0</v>
      </c>
      <c r="J1209" s="32">
        <f>IF(H1209="",0,IF(COUNTIF($H$2:H1209,H1209)=1,1,0))</f>
        <v>0</v>
      </c>
    </row>
    <row r="1210" spans="1:10" ht="14.25" hidden="1" customHeight="1" x14ac:dyDescent="0.35">
      <c r="A1210" s="30"/>
      <c r="E1210" s="31"/>
      <c r="G1210" s="32" t="str">
        <f t="shared" si="36"/>
        <v>|||1900|</v>
      </c>
      <c r="H1210" s="32" t="str">
        <f t="shared" si="37"/>
        <v>||1900|</v>
      </c>
      <c r="I1210" s="32">
        <f>IF(G1210="",0,IF(COUNTIF($G$2:G1210,G1210)=1,1,0))</f>
        <v>0</v>
      </c>
      <c r="J1210" s="32">
        <f>IF(H1210="",0,IF(COUNTIF($H$2:H1210,H1210)=1,1,0))</f>
        <v>0</v>
      </c>
    </row>
    <row r="1211" spans="1:10" ht="14.25" hidden="1" customHeight="1" x14ac:dyDescent="0.35">
      <c r="A1211" s="30"/>
      <c r="E1211" s="31"/>
      <c r="G1211" s="32" t="str">
        <f t="shared" si="36"/>
        <v>|||1900|</v>
      </c>
      <c r="H1211" s="32" t="str">
        <f t="shared" si="37"/>
        <v>||1900|</v>
      </c>
      <c r="I1211" s="32">
        <f>IF(G1211="",0,IF(COUNTIF($G$2:G1211,G1211)=1,1,0))</f>
        <v>0</v>
      </c>
      <c r="J1211" s="32">
        <f>IF(H1211="",0,IF(COUNTIF($H$2:H1211,H1211)=1,1,0))</f>
        <v>0</v>
      </c>
    </row>
    <row r="1212" spans="1:10" ht="14.25" hidden="1" customHeight="1" x14ac:dyDescent="0.35">
      <c r="A1212" s="30"/>
      <c r="E1212" s="31"/>
      <c r="G1212" s="32" t="str">
        <f t="shared" si="36"/>
        <v>|||1900|</v>
      </c>
      <c r="H1212" s="32" t="str">
        <f t="shared" si="37"/>
        <v>||1900|</v>
      </c>
      <c r="I1212" s="32">
        <f>IF(G1212="",0,IF(COUNTIF($G$2:G1212,G1212)=1,1,0))</f>
        <v>0</v>
      </c>
      <c r="J1212" s="32">
        <f>IF(H1212="",0,IF(COUNTIF($H$2:H1212,H1212)=1,1,0))</f>
        <v>0</v>
      </c>
    </row>
    <row r="1213" spans="1:10" ht="14.25" hidden="1" customHeight="1" x14ac:dyDescent="0.35">
      <c r="A1213" s="30"/>
      <c r="E1213" s="31"/>
      <c r="G1213" s="32" t="str">
        <f t="shared" si="36"/>
        <v>|||1900|</v>
      </c>
      <c r="H1213" s="32" t="str">
        <f t="shared" si="37"/>
        <v>||1900|</v>
      </c>
      <c r="I1213" s="32">
        <f>IF(G1213="",0,IF(COUNTIF($G$2:G1213,G1213)=1,1,0))</f>
        <v>0</v>
      </c>
      <c r="J1213" s="32">
        <f>IF(H1213="",0,IF(COUNTIF($H$2:H1213,H1213)=1,1,0))</f>
        <v>0</v>
      </c>
    </row>
    <row r="1214" spans="1:10" ht="14.25" hidden="1" customHeight="1" x14ac:dyDescent="0.35">
      <c r="A1214" s="30"/>
      <c r="E1214" s="31"/>
      <c r="G1214" s="32" t="str">
        <f t="shared" si="36"/>
        <v>|||1900|</v>
      </c>
      <c r="H1214" s="32" t="str">
        <f t="shared" si="37"/>
        <v>||1900|</v>
      </c>
      <c r="I1214" s="32">
        <f>IF(G1214="",0,IF(COUNTIF($G$2:G1214,G1214)=1,1,0))</f>
        <v>0</v>
      </c>
      <c r="J1214" s="32">
        <f>IF(H1214="",0,IF(COUNTIF($H$2:H1214,H1214)=1,1,0))</f>
        <v>0</v>
      </c>
    </row>
    <row r="1215" spans="1:10" ht="14.25" hidden="1" customHeight="1" x14ac:dyDescent="0.35">
      <c r="A1215" s="30"/>
      <c r="E1215" s="31"/>
      <c r="G1215" s="32" t="str">
        <f t="shared" si="36"/>
        <v>|||1900|</v>
      </c>
      <c r="H1215" s="32" t="str">
        <f t="shared" si="37"/>
        <v>||1900|</v>
      </c>
      <c r="I1215" s="32">
        <f>IF(G1215="",0,IF(COUNTIF($G$2:G1215,G1215)=1,1,0))</f>
        <v>0</v>
      </c>
      <c r="J1215" s="32">
        <f>IF(H1215="",0,IF(COUNTIF($H$2:H1215,H1215)=1,1,0))</f>
        <v>0</v>
      </c>
    </row>
    <row r="1216" spans="1:10" ht="14.25" hidden="1" customHeight="1" x14ac:dyDescent="0.35">
      <c r="A1216" s="30"/>
      <c r="E1216" s="31"/>
      <c r="G1216" s="32" t="str">
        <f t="shared" si="36"/>
        <v>|||1900|</v>
      </c>
      <c r="H1216" s="32" t="str">
        <f t="shared" si="37"/>
        <v>||1900|</v>
      </c>
      <c r="I1216" s="32">
        <f>IF(G1216="",0,IF(COUNTIF($G$2:G1216,G1216)=1,1,0))</f>
        <v>0</v>
      </c>
      <c r="J1216" s="32">
        <f>IF(H1216="",0,IF(COUNTIF($H$2:H1216,H1216)=1,1,0))</f>
        <v>0</v>
      </c>
    </row>
    <row r="1217" spans="1:10" ht="14.25" hidden="1" customHeight="1" x14ac:dyDescent="0.35">
      <c r="A1217" s="30"/>
      <c r="E1217" s="31"/>
      <c r="G1217" s="32" t="str">
        <f t="shared" si="36"/>
        <v>|||1900|</v>
      </c>
      <c r="H1217" s="32" t="str">
        <f t="shared" si="37"/>
        <v>||1900|</v>
      </c>
      <c r="I1217" s="32">
        <f>IF(G1217="",0,IF(COUNTIF($G$2:G1217,G1217)=1,1,0))</f>
        <v>0</v>
      </c>
      <c r="J1217" s="32">
        <f>IF(H1217="",0,IF(COUNTIF($H$2:H1217,H1217)=1,1,0))</f>
        <v>0</v>
      </c>
    </row>
    <row r="1218" spans="1:10" ht="14.25" hidden="1" customHeight="1" x14ac:dyDescent="0.35">
      <c r="A1218" s="30"/>
      <c r="E1218" s="31"/>
      <c r="G1218" s="32" t="str">
        <f t="shared" ref="G1218:G1281" si="38">IF(D1218="T",
E1218&amp;"|"&amp;F1218,
A1218&amp;"|"&amp;B1218&amp;"|"&amp;C1218&amp;"|"&amp;YEAR(E1218)&amp;"|"&amp;F1218)</f>
        <v>|||1900|</v>
      </c>
      <c r="H1218" s="32" t="str">
        <f t="shared" ref="H1218:H1281" si="39">A1218&amp;"|"&amp;C1218&amp;"|"&amp;YEAR(E1218)&amp;"|"&amp;F1218</f>
        <v>||1900|</v>
      </c>
      <c r="I1218" s="32">
        <f>IF(G1218="",0,IF(COUNTIF($G$2:G1218,G1218)=1,1,0))</f>
        <v>0</v>
      </c>
      <c r="J1218" s="32">
        <f>IF(H1218="",0,IF(COUNTIF($H$2:H1218,H1218)=1,1,0))</f>
        <v>0</v>
      </c>
    </row>
    <row r="1219" spans="1:10" ht="14.25" hidden="1" customHeight="1" x14ac:dyDescent="0.35">
      <c r="A1219" s="30"/>
      <c r="E1219" s="31"/>
      <c r="G1219" s="32" t="str">
        <f t="shared" si="38"/>
        <v>|||1900|</v>
      </c>
      <c r="H1219" s="32" t="str">
        <f t="shared" si="39"/>
        <v>||1900|</v>
      </c>
      <c r="I1219" s="32">
        <f>IF(G1219="",0,IF(COUNTIF($G$2:G1219,G1219)=1,1,0))</f>
        <v>0</v>
      </c>
      <c r="J1219" s="32">
        <f>IF(H1219="",0,IF(COUNTIF($H$2:H1219,H1219)=1,1,0))</f>
        <v>0</v>
      </c>
    </row>
    <row r="1220" spans="1:10" ht="14.25" hidden="1" customHeight="1" x14ac:dyDescent="0.35">
      <c r="A1220" s="30"/>
      <c r="E1220" s="31"/>
      <c r="G1220" s="32" t="str">
        <f t="shared" si="38"/>
        <v>|||1900|</v>
      </c>
      <c r="H1220" s="32" t="str">
        <f t="shared" si="39"/>
        <v>||1900|</v>
      </c>
      <c r="I1220" s="32">
        <f>IF(G1220="",0,IF(COUNTIF($G$2:G1220,G1220)=1,1,0))</f>
        <v>0</v>
      </c>
      <c r="J1220" s="32">
        <f>IF(H1220="",0,IF(COUNTIF($H$2:H1220,H1220)=1,1,0))</f>
        <v>0</v>
      </c>
    </row>
    <row r="1221" spans="1:10" ht="14.25" hidden="1" customHeight="1" x14ac:dyDescent="0.35">
      <c r="A1221" s="30"/>
      <c r="E1221" s="31"/>
      <c r="G1221" s="32" t="str">
        <f t="shared" si="38"/>
        <v>|||1900|</v>
      </c>
      <c r="H1221" s="32" t="str">
        <f t="shared" si="39"/>
        <v>||1900|</v>
      </c>
      <c r="I1221" s="32">
        <f>IF(G1221="",0,IF(COUNTIF($G$2:G1221,G1221)=1,1,0))</f>
        <v>0</v>
      </c>
      <c r="J1221" s="32">
        <f>IF(H1221="",0,IF(COUNTIF($H$2:H1221,H1221)=1,1,0))</f>
        <v>0</v>
      </c>
    </row>
    <row r="1222" spans="1:10" ht="14.25" hidden="1" customHeight="1" x14ac:dyDescent="0.35">
      <c r="A1222" s="30"/>
      <c r="E1222" s="31"/>
      <c r="G1222" s="32" t="str">
        <f t="shared" si="38"/>
        <v>|||1900|</v>
      </c>
      <c r="H1222" s="32" t="str">
        <f t="shared" si="39"/>
        <v>||1900|</v>
      </c>
      <c r="I1222" s="32">
        <f>IF(G1222="",0,IF(COUNTIF($G$2:G1222,G1222)=1,1,0))</f>
        <v>0</v>
      </c>
      <c r="J1222" s="32">
        <f>IF(H1222="",0,IF(COUNTIF($H$2:H1222,H1222)=1,1,0))</f>
        <v>0</v>
      </c>
    </row>
    <row r="1223" spans="1:10" ht="14.25" hidden="1" customHeight="1" x14ac:dyDescent="0.35">
      <c r="A1223" s="30"/>
      <c r="E1223" s="31"/>
      <c r="G1223" s="32" t="str">
        <f t="shared" si="38"/>
        <v>|||1900|</v>
      </c>
      <c r="H1223" s="32" t="str">
        <f t="shared" si="39"/>
        <v>||1900|</v>
      </c>
      <c r="I1223" s="32">
        <f>IF(G1223="",0,IF(COUNTIF($G$2:G1223,G1223)=1,1,0))</f>
        <v>0</v>
      </c>
      <c r="J1223" s="32">
        <f>IF(H1223="",0,IF(COUNTIF($H$2:H1223,H1223)=1,1,0))</f>
        <v>0</v>
      </c>
    </row>
    <row r="1224" spans="1:10" ht="14.25" hidden="1" customHeight="1" x14ac:dyDescent="0.35">
      <c r="A1224" s="30"/>
      <c r="E1224" s="31"/>
      <c r="G1224" s="32" t="str">
        <f t="shared" si="38"/>
        <v>|||1900|</v>
      </c>
      <c r="H1224" s="32" t="str">
        <f t="shared" si="39"/>
        <v>||1900|</v>
      </c>
      <c r="I1224" s="32">
        <f>IF(G1224="",0,IF(COUNTIF($G$2:G1224,G1224)=1,1,0))</f>
        <v>0</v>
      </c>
      <c r="J1224" s="32">
        <f>IF(H1224="",0,IF(COUNTIF($H$2:H1224,H1224)=1,1,0))</f>
        <v>0</v>
      </c>
    </row>
    <row r="1225" spans="1:10" ht="14.25" hidden="1" customHeight="1" x14ac:dyDescent="0.35">
      <c r="A1225" s="30"/>
      <c r="E1225" s="31"/>
      <c r="G1225" s="32" t="str">
        <f t="shared" si="38"/>
        <v>|||1900|</v>
      </c>
      <c r="H1225" s="32" t="str">
        <f t="shared" si="39"/>
        <v>||1900|</v>
      </c>
      <c r="I1225" s="32">
        <f>IF(G1225="",0,IF(COUNTIF($G$2:G1225,G1225)=1,1,0))</f>
        <v>0</v>
      </c>
      <c r="J1225" s="32">
        <f>IF(H1225="",0,IF(COUNTIF($H$2:H1225,H1225)=1,1,0))</f>
        <v>0</v>
      </c>
    </row>
    <row r="1226" spans="1:10" ht="14.25" hidden="1" customHeight="1" x14ac:dyDescent="0.35">
      <c r="A1226" s="30"/>
      <c r="E1226" s="31"/>
      <c r="G1226" s="32" t="str">
        <f t="shared" si="38"/>
        <v>|||1900|</v>
      </c>
      <c r="H1226" s="32" t="str">
        <f t="shared" si="39"/>
        <v>||1900|</v>
      </c>
      <c r="I1226" s="32">
        <f>IF(G1226="",0,IF(COUNTIF($G$2:G1226,G1226)=1,1,0))</f>
        <v>0</v>
      </c>
      <c r="J1226" s="32">
        <f>IF(H1226="",0,IF(COUNTIF($H$2:H1226,H1226)=1,1,0))</f>
        <v>0</v>
      </c>
    </row>
    <row r="1227" spans="1:10" ht="14.25" hidden="1" customHeight="1" x14ac:dyDescent="0.35">
      <c r="A1227" s="30"/>
      <c r="E1227" s="31"/>
      <c r="G1227" s="32" t="str">
        <f t="shared" si="38"/>
        <v>|||1900|</v>
      </c>
      <c r="H1227" s="32" t="str">
        <f t="shared" si="39"/>
        <v>||1900|</v>
      </c>
      <c r="I1227" s="32">
        <f>IF(G1227="",0,IF(COUNTIF($G$2:G1227,G1227)=1,1,0))</f>
        <v>0</v>
      </c>
      <c r="J1227" s="32">
        <f>IF(H1227="",0,IF(COUNTIF($H$2:H1227,H1227)=1,1,0))</f>
        <v>0</v>
      </c>
    </row>
    <row r="1228" spans="1:10" ht="14.25" hidden="1" customHeight="1" x14ac:dyDescent="0.35">
      <c r="A1228" s="30"/>
      <c r="E1228" s="31"/>
      <c r="G1228" s="32" t="str">
        <f t="shared" si="38"/>
        <v>|||1900|</v>
      </c>
      <c r="H1228" s="32" t="str">
        <f t="shared" si="39"/>
        <v>||1900|</v>
      </c>
      <c r="I1228" s="32">
        <f>IF(G1228="",0,IF(COUNTIF($G$2:G1228,G1228)=1,1,0))</f>
        <v>0</v>
      </c>
      <c r="J1228" s="32">
        <f>IF(H1228="",0,IF(COUNTIF($H$2:H1228,H1228)=1,1,0))</f>
        <v>0</v>
      </c>
    </row>
    <row r="1229" spans="1:10" ht="14.25" hidden="1" customHeight="1" x14ac:dyDescent="0.35">
      <c r="A1229" s="30"/>
      <c r="E1229" s="31"/>
      <c r="G1229" s="32" t="str">
        <f t="shared" si="38"/>
        <v>|||1900|</v>
      </c>
      <c r="H1229" s="32" t="str">
        <f t="shared" si="39"/>
        <v>||1900|</v>
      </c>
      <c r="I1229" s="32">
        <f>IF(G1229="",0,IF(COUNTIF($G$2:G1229,G1229)=1,1,0))</f>
        <v>0</v>
      </c>
      <c r="J1229" s="32">
        <f>IF(H1229="",0,IF(COUNTIF($H$2:H1229,H1229)=1,1,0))</f>
        <v>0</v>
      </c>
    </row>
    <row r="1230" spans="1:10" ht="14.25" hidden="1" customHeight="1" x14ac:dyDescent="0.35">
      <c r="A1230" s="30"/>
      <c r="E1230" s="31"/>
      <c r="G1230" s="32" t="str">
        <f t="shared" si="38"/>
        <v>|||1900|</v>
      </c>
      <c r="H1230" s="32" t="str">
        <f t="shared" si="39"/>
        <v>||1900|</v>
      </c>
      <c r="I1230" s="32">
        <f>IF(G1230="",0,IF(COUNTIF($G$2:G1230,G1230)=1,1,0))</f>
        <v>0</v>
      </c>
      <c r="J1230" s="32">
        <f>IF(H1230="",0,IF(COUNTIF($H$2:H1230,H1230)=1,1,0))</f>
        <v>0</v>
      </c>
    </row>
    <row r="1231" spans="1:10" ht="14.25" hidden="1" customHeight="1" x14ac:dyDescent="0.35">
      <c r="A1231" s="30"/>
      <c r="E1231" s="31"/>
      <c r="G1231" s="32" t="str">
        <f t="shared" si="38"/>
        <v>|||1900|</v>
      </c>
      <c r="H1231" s="32" t="str">
        <f t="shared" si="39"/>
        <v>||1900|</v>
      </c>
      <c r="I1231" s="32">
        <f>IF(G1231="",0,IF(COUNTIF($G$2:G1231,G1231)=1,1,0))</f>
        <v>0</v>
      </c>
      <c r="J1231" s="32">
        <f>IF(H1231="",0,IF(COUNTIF($H$2:H1231,H1231)=1,1,0))</f>
        <v>0</v>
      </c>
    </row>
    <row r="1232" spans="1:10" ht="14.25" hidden="1" customHeight="1" x14ac:dyDescent="0.35">
      <c r="A1232" s="30"/>
      <c r="E1232" s="31"/>
      <c r="G1232" s="32" t="str">
        <f t="shared" si="38"/>
        <v>|||1900|</v>
      </c>
      <c r="H1232" s="32" t="str">
        <f t="shared" si="39"/>
        <v>||1900|</v>
      </c>
      <c r="I1232" s="32">
        <f>IF(G1232="",0,IF(COUNTIF($G$2:G1232,G1232)=1,1,0))</f>
        <v>0</v>
      </c>
      <c r="J1232" s="32">
        <f>IF(H1232="",0,IF(COUNTIF($H$2:H1232,H1232)=1,1,0))</f>
        <v>0</v>
      </c>
    </row>
    <row r="1233" spans="1:10" ht="14.25" hidden="1" customHeight="1" x14ac:dyDescent="0.35">
      <c r="A1233" s="30"/>
      <c r="E1233" s="31"/>
      <c r="G1233" s="32" t="str">
        <f t="shared" si="38"/>
        <v>|||1900|</v>
      </c>
      <c r="H1233" s="32" t="str">
        <f t="shared" si="39"/>
        <v>||1900|</v>
      </c>
      <c r="I1233" s="32">
        <f>IF(G1233="",0,IF(COUNTIF($G$2:G1233,G1233)=1,1,0))</f>
        <v>0</v>
      </c>
      <c r="J1233" s="32">
        <f>IF(H1233="",0,IF(COUNTIF($H$2:H1233,H1233)=1,1,0))</f>
        <v>0</v>
      </c>
    </row>
    <row r="1234" spans="1:10" ht="14.25" hidden="1" customHeight="1" x14ac:dyDescent="0.35">
      <c r="A1234" s="30"/>
      <c r="E1234" s="31"/>
      <c r="G1234" s="32" t="str">
        <f t="shared" si="38"/>
        <v>|||1900|</v>
      </c>
      <c r="H1234" s="32" t="str">
        <f t="shared" si="39"/>
        <v>||1900|</v>
      </c>
      <c r="I1234" s="32">
        <f>IF(G1234="",0,IF(COUNTIF($G$2:G1234,G1234)=1,1,0))</f>
        <v>0</v>
      </c>
      <c r="J1234" s="32">
        <f>IF(H1234="",0,IF(COUNTIF($H$2:H1234,H1234)=1,1,0))</f>
        <v>0</v>
      </c>
    </row>
    <row r="1235" spans="1:10" ht="14.25" hidden="1" customHeight="1" x14ac:dyDescent="0.35">
      <c r="A1235" s="30"/>
      <c r="E1235" s="31"/>
      <c r="G1235" s="32" t="str">
        <f t="shared" si="38"/>
        <v>|||1900|</v>
      </c>
      <c r="H1235" s="32" t="str">
        <f t="shared" si="39"/>
        <v>||1900|</v>
      </c>
      <c r="I1235" s="32">
        <f>IF(G1235="",0,IF(COUNTIF($G$2:G1235,G1235)=1,1,0))</f>
        <v>0</v>
      </c>
      <c r="J1235" s="32">
        <f>IF(H1235="",0,IF(COUNTIF($H$2:H1235,H1235)=1,1,0))</f>
        <v>0</v>
      </c>
    </row>
    <row r="1236" spans="1:10" ht="14.25" hidden="1" customHeight="1" x14ac:dyDescent="0.35">
      <c r="A1236" s="30"/>
      <c r="E1236" s="31"/>
      <c r="G1236" s="32" t="str">
        <f t="shared" si="38"/>
        <v>|||1900|</v>
      </c>
      <c r="H1236" s="32" t="str">
        <f t="shared" si="39"/>
        <v>||1900|</v>
      </c>
      <c r="I1236" s="32">
        <f>IF(G1236="",0,IF(COUNTIF($G$2:G1236,G1236)=1,1,0))</f>
        <v>0</v>
      </c>
      <c r="J1236" s="32">
        <f>IF(H1236="",0,IF(COUNTIF($H$2:H1236,H1236)=1,1,0))</f>
        <v>0</v>
      </c>
    </row>
    <row r="1237" spans="1:10" ht="14.25" hidden="1" customHeight="1" x14ac:dyDescent="0.35">
      <c r="A1237" s="30"/>
      <c r="E1237" s="31"/>
      <c r="G1237" s="32" t="str">
        <f t="shared" si="38"/>
        <v>|||1900|</v>
      </c>
      <c r="H1237" s="32" t="str">
        <f t="shared" si="39"/>
        <v>||1900|</v>
      </c>
      <c r="I1237" s="32">
        <f>IF(G1237="",0,IF(COUNTIF($G$2:G1237,G1237)=1,1,0))</f>
        <v>0</v>
      </c>
      <c r="J1237" s="32">
        <f>IF(H1237="",0,IF(COUNTIF($H$2:H1237,H1237)=1,1,0))</f>
        <v>0</v>
      </c>
    </row>
    <row r="1238" spans="1:10" ht="14.25" hidden="1" customHeight="1" x14ac:dyDescent="0.35">
      <c r="A1238" s="30"/>
      <c r="E1238" s="31"/>
      <c r="G1238" s="32" t="str">
        <f t="shared" si="38"/>
        <v>|||1900|</v>
      </c>
      <c r="H1238" s="32" t="str">
        <f t="shared" si="39"/>
        <v>||1900|</v>
      </c>
      <c r="I1238" s="32">
        <f>IF(G1238="",0,IF(COUNTIF($G$2:G1238,G1238)=1,1,0))</f>
        <v>0</v>
      </c>
      <c r="J1238" s="32">
        <f>IF(H1238="",0,IF(COUNTIF($H$2:H1238,H1238)=1,1,0))</f>
        <v>0</v>
      </c>
    </row>
    <row r="1239" spans="1:10" ht="14.25" hidden="1" customHeight="1" x14ac:dyDescent="0.35">
      <c r="A1239" s="30"/>
      <c r="E1239" s="31"/>
      <c r="G1239" s="32" t="str">
        <f t="shared" si="38"/>
        <v>|||1900|</v>
      </c>
      <c r="H1239" s="32" t="str">
        <f t="shared" si="39"/>
        <v>||1900|</v>
      </c>
      <c r="I1239" s="32">
        <f>IF(G1239="",0,IF(COUNTIF($G$2:G1239,G1239)=1,1,0))</f>
        <v>0</v>
      </c>
      <c r="J1239" s="32">
        <f>IF(H1239="",0,IF(COUNTIF($H$2:H1239,H1239)=1,1,0))</f>
        <v>0</v>
      </c>
    </row>
    <row r="1240" spans="1:10" ht="14.25" hidden="1" customHeight="1" x14ac:dyDescent="0.35">
      <c r="A1240" s="30"/>
      <c r="E1240" s="31"/>
      <c r="G1240" s="32" t="str">
        <f t="shared" si="38"/>
        <v>|||1900|</v>
      </c>
      <c r="H1240" s="32" t="str">
        <f t="shared" si="39"/>
        <v>||1900|</v>
      </c>
      <c r="I1240" s="32">
        <f>IF(G1240="",0,IF(COUNTIF($G$2:G1240,G1240)=1,1,0))</f>
        <v>0</v>
      </c>
      <c r="J1240" s="32">
        <f>IF(H1240="",0,IF(COUNTIF($H$2:H1240,H1240)=1,1,0))</f>
        <v>0</v>
      </c>
    </row>
    <row r="1241" spans="1:10" ht="14.25" hidden="1" customHeight="1" x14ac:dyDescent="0.35">
      <c r="A1241" s="30"/>
      <c r="E1241" s="31"/>
      <c r="G1241" s="32" t="str">
        <f t="shared" si="38"/>
        <v>|||1900|</v>
      </c>
      <c r="H1241" s="32" t="str">
        <f t="shared" si="39"/>
        <v>||1900|</v>
      </c>
      <c r="I1241" s="32">
        <f>IF(G1241="",0,IF(COUNTIF($G$2:G1241,G1241)=1,1,0))</f>
        <v>0</v>
      </c>
      <c r="J1241" s="32">
        <f>IF(H1241="",0,IF(COUNTIF($H$2:H1241,H1241)=1,1,0))</f>
        <v>0</v>
      </c>
    </row>
    <row r="1242" spans="1:10" ht="14.25" hidden="1" customHeight="1" x14ac:dyDescent="0.35">
      <c r="A1242" s="30"/>
      <c r="E1242" s="31"/>
      <c r="G1242" s="32" t="str">
        <f t="shared" si="38"/>
        <v>|||1900|</v>
      </c>
      <c r="H1242" s="32" t="str">
        <f t="shared" si="39"/>
        <v>||1900|</v>
      </c>
      <c r="I1242" s="32">
        <f>IF(G1242="",0,IF(COUNTIF($G$2:G1242,G1242)=1,1,0))</f>
        <v>0</v>
      </c>
      <c r="J1242" s="32">
        <f>IF(H1242="",0,IF(COUNTIF($H$2:H1242,H1242)=1,1,0))</f>
        <v>0</v>
      </c>
    </row>
    <row r="1243" spans="1:10" ht="14.25" hidden="1" customHeight="1" x14ac:dyDescent="0.35">
      <c r="A1243" s="30"/>
      <c r="E1243" s="31"/>
      <c r="G1243" s="32" t="str">
        <f t="shared" si="38"/>
        <v>|||1900|</v>
      </c>
      <c r="H1243" s="32" t="str">
        <f t="shared" si="39"/>
        <v>||1900|</v>
      </c>
      <c r="I1243" s="32">
        <f>IF(G1243="",0,IF(COUNTIF($G$2:G1243,G1243)=1,1,0))</f>
        <v>0</v>
      </c>
      <c r="J1243" s="32">
        <f>IF(H1243="",0,IF(COUNTIF($H$2:H1243,H1243)=1,1,0))</f>
        <v>0</v>
      </c>
    </row>
    <row r="1244" spans="1:10" ht="14.25" hidden="1" customHeight="1" x14ac:dyDescent="0.35">
      <c r="A1244" s="30"/>
      <c r="E1244" s="31"/>
      <c r="G1244" s="32" t="str">
        <f t="shared" si="38"/>
        <v>|||1900|</v>
      </c>
      <c r="H1244" s="32" t="str">
        <f t="shared" si="39"/>
        <v>||1900|</v>
      </c>
      <c r="I1244" s="32">
        <f>IF(G1244="",0,IF(COUNTIF($G$2:G1244,G1244)=1,1,0))</f>
        <v>0</v>
      </c>
      <c r="J1244" s="32">
        <f>IF(H1244="",0,IF(COUNTIF($H$2:H1244,H1244)=1,1,0))</f>
        <v>0</v>
      </c>
    </row>
    <row r="1245" spans="1:10" ht="14.25" hidden="1" customHeight="1" x14ac:dyDescent="0.35">
      <c r="A1245" s="30"/>
      <c r="E1245" s="31"/>
      <c r="G1245" s="32" t="str">
        <f t="shared" si="38"/>
        <v>|||1900|</v>
      </c>
      <c r="H1245" s="32" t="str">
        <f t="shared" si="39"/>
        <v>||1900|</v>
      </c>
      <c r="I1245" s="32">
        <f>IF(G1245="",0,IF(COUNTIF($G$2:G1245,G1245)=1,1,0))</f>
        <v>0</v>
      </c>
      <c r="J1245" s="32">
        <f>IF(H1245="",0,IF(COUNTIF($H$2:H1245,H1245)=1,1,0))</f>
        <v>0</v>
      </c>
    </row>
    <row r="1246" spans="1:10" ht="14.25" hidden="1" customHeight="1" x14ac:dyDescent="0.35">
      <c r="A1246" s="30"/>
      <c r="E1246" s="31"/>
      <c r="G1246" s="32" t="str">
        <f t="shared" si="38"/>
        <v>|||1900|</v>
      </c>
      <c r="H1246" s="32" t="str">
        <f t="shared" si="39"/>
        <v>||1900|</v>
      </c>
      <c r="I1246" s="32">
        <f>IF(G1246="",0,IF(COUNTIF($G$2:G1246,G1246)=1,1,0))</f>
        <v>0</v>
      </c>
      <c r="J1246" s="32">
        <f>IF(H1246="",0,IF(COUNTIF($H$2:H1246,H1246)=1,1,0))</f>
        <v>0</v>
      </c>
    </row>
    <row r="1247" spans="1:10" ht="14.25" hidden="1" customHeight="1" x14ac:dyDescent="0.35">
      <c r="A1247" s="30"/>
      <c r="E1247" s="31"/>
      <c r="G1247" s="32" t="str">
        <f t="shared" si="38"/>
        <v>|||1900|</v>
      </c>
      <c r="H1247" s="32" t="str">
        <f t="shared" si="39"/>
        <v>||1900|</v>
      </c>
      <c r="I1247" s="32">
        <f>IF(G1247="",0,IF(COUNTIF($G$2:G1247,G1247)=1,1,0))</f>
        <v>0</v>
      </c>
      <c r="J1247" s="32">
        <f>IF(H1247="",0,IF(COUNTIF($H$2:H1247,H1247)=1,1,0))</f>
        <v>0</v>
      </c>
    </row>
    <row r="1248" spans="1:10" ht="14.25" hidden="1" customHeight="1" x14ac:dyDescent="0.35">
      <c r="A1248" s="30"/>
      <c r="E1248" s="31"/>
      <c r="G1248" s="32" t="str">
        <f t="shared" si="38"/>
        <v>|||1900|</v>
      </c>
      <c r="H1248" s="32" t="str">
        <f t="shared" si="39"/>
        <v>||1900|</v>
      </c>
      <c r="I1248" s="32">
        <f>IF(G1248="",0,IF(COUNTIF($G$2:G1248,G1248)=1,1,0))</f>
        <v>0</v>
      </c>
      <c r="J1248" s="32">
        <f>IF(H1248="",0,IF(COUNTIF($H$2:H1248,H1248)=1,1,0))</f>
        <v>0</v>
      </c>
    </row>
    <row r="1249" spans="1:10" ht="14.25" hidden="1" customHeight="1" x14ac:dyDescent="0.35">
      <c r="A1249" s="30"/>
      <c r="E1249" s="31"/>
      <c r="G1249" s="32" t="str">
        <f t="shared" si="38"/>
        <v>|||1900|</v>
      </c>
      <c r="H1249" s="32" t="str">
        <f t="shared" si="39"/>
        <v>||1900|</v>
      </c>
      <c r="I1249" s="32">
        <f>IF(G1249="",0,IF(COUNTIF($G$2:G1249,G1249)=1,1,0))</f>
        <v>0</v>
      </c>
      <c r="J1249" s="32">
        <f>IF(H1249="",0,IF(COUNTIF($H$2:H1249,H1249)=1,1,0))</f>
        <v>0</v>
      </c>
    </row>
    <row r="1250" spans="1:10" ht="14.25" hidden="1" customHeight="1" x14ac:dyDescent="0.35">
      <c r="A1250" s="30"/>
      <c r="E1250" s="31"/>
      <c r="G1250" s="32" t="str">
        <f t="shared" si="38"/>
        <v>|||1900|</v>
      </c>
      <c r="H1250" s="32" t="str">
        <f t="shared" si="39"/>
        <v>||1900|</v>
      </c>
      <c r="I1250" s="32">
        <f>IF(G1250="",0,IF(COUNTIF($G$2:G1250,G1250)=1,1,0))</f>
        <v>0</v>
      </c>
      <c r="J1250" s="32">
        <f>IF(H1250="",0,IF(COUNTIF($H$2:H1250,H1250)=1,1,0))</f>
        <v>0</v>
      </c>
    </row>
    <row r="1251" spans="1:10" ht="14.25" hidden="1" customHeight="1" x14ac:dyDescent="0.35">
      <c r="A1251" s="30"/>
      <c r="E1251" s="31"/>
      <c r="G1251" s="32" t="str">
        <f t="shared" si="38"/>
        <v>|||1900|</v>
      </c>
      <c r="H1251" s="32" t="str">
        <f t="shared" si="39"/>
        <v>||1900|</v>
      </c>
      <c r="I1251" s="32">
        <f>IF(G1251="",0,IF(COUNTIF($G$2:G1251,G1251)=1,1,0))</f>
        <v>0</v>
      </c>
      <c r="J1251" s="32">
        <f>IF(H1251="",0,IF(COUNTIF($H$2:H1251,H1251)=1,1,0))</f>
        <v>0</v>
      </c>
    </row>
    <row r="1252" spans="1:10" ht="14.25" hidden="1" customHeight="1" x14ac:dyDescent="0.35">
      <c r="A1252" s="30"/>
      <c r="E1252" s="31"/>
      <c r="G1252" s="32" t="str">
        <f t="shared" si="38"/>
        <v>|||1900|</v>
      </c>
      <c r="H1252" s="32" t="str">
        <f t="shared" si="39"/>
        <v>||1900|</v>
      </c>
      <c r="I1252" s="32">
        <f>IF(G1252="",0,IF(COUNTIF($G$2:G1252,G1252)=1,1,0))</f>
        <v>0</v>
      </c>
      <c r="J1252" s="32">
        <f>IF(H1252="",0,IF(COUNTIF($H$2:H1252,H1252)=1,1,0))</f>
        <v>0</v>
      </c>
    </row>
    <row r="1253" spans="1:10" ht="14.25" hidden="1" customHeight="1" x14ac:dyDescent="0.35">
      <c r="A1253" s="30"/>
      <c r="E1253" s="31"/>
      <c r="G1253" s="32" t="str">
        <f t="shared" si="38"/>
        <v>|||1900|</v>
      </c>
      <c r="H1253" s="32" t="str">
        <f t="shared" si="39"/>
        <v>||1900|</v>
      </c>
      <c r="I1253" s="32">
        <f>IF(G1253="",0,IF(COUNTIF($G$2:G1253,G1253)=1,1,0))</f>
        <v>0</v>
      </c>
      <c r="J1253" s="32">
        <f>IF(H1253="",0,IF(COUNTIF($H$2:H1253,H1253)=1,1,0))</f>
        <v>0</v>
      </c>
    </row>
    <row r="1254" spans="1:10" ht="14.25" hidden="1" customHeight="1" x14ac:dyDescent="0.35">
      <c r="A1254" s="30"/>
      <c r="E1254" s="31"/>
      <c r="G1254" s="32" t="str">
        <f t="shared" si="38"/>
        <v>|||1900|</v>
      </c>
      <c r="H1254" s="32" t="str">
        <f t="shared" si="39"/>
        <v>||1900|</v>
      </c>
      <c r="I1254" s="32">
        <f>IF(G1254="",0,IF(COUNTIF($G$2:G1254,G1254)=1,1,0))</f>
        <v>0</v>
      </c>
      <c r="J1254" s="32">
        <f>IF(H1254="",0,IF(COUNTIF($H$2:H1254,H1254)=1,1,0))</f>
        <v>0</v>
      </c>
    </row>
    <row r="1255" spans="1:10" ht="14.25" hidden="1" customHeight="1" x14ac:dyDescent="0.35">
      <c r="A1255" s="30"/>
      <c r="E1255" s="31"/>
      <c r="G1255" s="32" t="str">
        <f t="shared" si="38"/>
        <v>|||1900|</v>
      </c>
      <c r="H1255" s="32" t="str">
        <f t="shared" si="39"/>
        <v>||1900|</v>
      </c>
      <c r="I1255" s="32">
        <f>IF(G1255="",0,IF(COUNTIF($G$2:G1255,G1255)=1,1,0))</f>
        <v>0</v>
      </c>
      <c r="J1255" s="32">
        <f>IF(H1255="",0,IF(COUNTIF($H$2:H1255,H1255)=1,1,0))</f>
        <v>0</v>
      </c>
    </row>
    <row r="1256" spans="1:10" ht="14.25" hidden="1" customHeight="1" x14ac:dyDescent="0.35">
      <c r="A1256" s="30"/>
      <c r="E1256" s="31"/>
      <c r="G1256" s="32" t="str">
        <f t="shared" si="38"/>
        <v>|||1900|</v>
      </c>
      <c r="H1256" s="32" t="str">
        <f t="shared" si="39"/>
        <v>||1900|</v>
      </c>
      <c r="I1256" s="32">
        <f>IF(G1256="",0,IF(COUNTIF($G$2:G1256,G1256)=1,1,0))</f>
        <v>0</v>
      </c>
      <c r="J1256" s="32">
        <f>IF(H1256="",0,IF(COUNTIF($H$2:H1256,H1256)=1,1,0))</f>
        <v>0</v>
      </c>
    </row>
    <row r="1257" spans="1:10" ht="14.25" hidden="1" customHeight="1" x14ac:dyDescent="0.35">
      <c r="A1257" s="30"/>
      <c r="E1257" s="31"/>
      <c r="G1257" s="32" t="str">
        <f t="shared" si="38"/>
        <v>|||1900|</v>
      </c>
      <c r="H1257" s="32" t="str">
        <f t="shared" si="39"/>
        <v>||1900|</v>
      </c>
      <c r="I1257" s="32">
        <f>IF(G1257="",0,IF(COUNTIF($G$2:G1257,G1257)=1,1,0))</f>
        <v>0</v>
      </c>
      <c r="J1257" s="32">
        <f>IF(H1257="",0,IF(COUNTIF($H$2:H1257,H1257)=1,1,0))</f>
        <v>0</v>
      </c>
    </row>
    <row r="1258" spans="1:10" ht="14.25" hidden="1" customHeight="1" x14ac:dyDescent="0.35">
      <c r="A1258" s="30"/>
      <c r="E1258" s="31"/>
      <c r="G1258" s="32" t="str">
        <f t="shared" si="38"/>
        <v>|||1900|</v>
      </c>
      <c r="H1258" s="32" t="str">
        <f t="shared" si="39"/>
        <v>||1900|</v>
      </c>
      <c r="I1258" s="32">
        <f>IF(G1258="",0,IF(COUNTIF($G$2:G1258,G1258)=1,1,0))</f>
        <v>0</v>
      </c>
      <c r="J1258" s="32">
        <f>IF(H1258="",0,IF(COUNTIF($H$2:H1258,H1258)=1,1,0))</f>
        <v>0</v>
      </c>
    </row>
    <row r="1259" spans="1:10" ht="14.25" hidden="1" customHeight="1" x14ac:dyDescent="0.35">
      <c r="A1259" s="30"/>
      <c r="E1259" s="31"/>
      <c r="G1259" s="32" t="str">
        <f t="shared" si="38"/>
        <v>|||1900|</v>
      </c>
      <c r="H1259" s="32" t="str">
        <f t="shared" si="39"/>
        <v>||1900|</v>
      </c>
      <c r="I1259" s="32">
        <f>IF(G1259="",0,IF(COUNTIF($G$2:G1259,G1259)=1,1,0))</f>
        <v>0</v>
      </c>
      <c r="J1259" s="32">
        <f>IF(H1259="",0,IF(COUNTIF($H$2:H1259,H1259)=1,1,0))</f>
        <v>0</v>
      </c>
    </row>
    <row r="1260" spans="1:10" ht="14.25" hidden="1" customHeight="1" x14ac:dyDescent="0.35">
      <c r="A1260" s="30"/>
      <c r="E1260" s="31"/>
      <c r="G1260" s="32" t="str">
        <f t="shared" si="38"/>
        <v>|||1900|</v>
      </c>
      <c r="H1260" s="32" t="str">
        <f t="shared" si="39"/>
        <v>||1900|</v>
      </c>
      <c r="I1260" s="32">
        <f>IF(G1260="",0,IF(COUNTIF($G$2:G1260,G1260)=1,1,0))</f>
        <v>0</v>
      </c>
      <c r="J1260" s="32">
        <f>IF(H1260="",0,IF(COUNTIF($H$2:H1260,H1260)=1,1,0))</f>
        <v>0</v>
      </c>
    </row>
    <row r="1261" spans="1:10" ht="14.25" hidden="1" customHeight="1" x14ac:dyDescent="0.35">
      <c r="A1261" s="30"/>
      <c r="E1261" s="31"/>
      <c r="G1261" s="32" t="str">
        <f t="shared" si="38"/>
        <v>|||1900|</v>
      </c>
      <c r="H1261" s="32" t="str">
        <f t="shared" si="39"/>
        <v>||1900|</v>
      </c>
      <c r="I1261" s="32">
        <f>IF(G1261="",0,IF(COUNTIF($G$2:G1261,G1261)=1,1,0))</f>
        <v>0</v>
      </c>
      <c r="J1261" s="32">
        <f>IF(H1261="",0,IF(COUNTIF($H$2:H1261,H1261)=1,1,0))</f>
        <v>0</v>
      </c>
    </row>
    <row r="1262" spans="1:10" ht="14.25" hidden="1" customHeight="1" x14ac:dyDescent="0.35">
      <c r="A1262" s="30"/>
      <c r="E1262" s="31"/>
      <c r="G1262" s="32" t="str">
        <f t="shared" si="38"/>
        <v>|||1900|</v>
      </c>
      <c r="H1262" s="32" t="str">
        <f t="shared" si="39"/>
        <v>||1900|</v>
      </c>
      <c r="I1262" s="32">
        <f>IF(G1262="",0,IF(COUNTIF($G$2:G1262,G1262)=1,1,0))</f>
        <v>0</v>
      </c>
      <c r="J1262" s="32">
        <f>IF(H1262="",0,IF(COUNTIF($H$2:H1262,H1262)=1,1,0))</f>
        <v>0</v>
      </c>
    </row>
    <row r="1263" spans="1:10" ht="14.25" hidden="1" customHeight="1" x14ac:dyDescent="0.35">
      <c r="A1263" s="30"/>
      <c r="E1263" s="31"/>
      <c r="G1263" s="32" t="str">
        <f t="shared" si="38"/>
        <v>|||1900|</v>
      </c>
      <c r="H1263" s="32" t="str">
        <f t="shared" si="39"/>
        <v>||1900|</v>
      </c>
      <c r="I1263" s="32">
        <f>IF(G1263="",0,IF(COUNTIF($G$2:G1263,G1263)=1,1,0))</f>
        <v>0</v>
      </c>
      <c r="J1263" s="32">
        <f>IF(H1263="",0,IF(COUNTIF($H$2:H1263,H1263)=1,1,0))</f>
        <v>0</v>
      </c>
    </row>
    <row r="1264" spans="1:10" ht="14.25" hidden="1" customHeight="1" x14ac:dyDescent="0.35">
      <c r="A1264" s="30"/>
      <c r="E1264" s="31"/>
      <c r="G1264" s="32" t="str">
        <f t="shared" si="38"/>
        <v>|||1900|</v>
      </c>
      <c r="H1264" s="32" t="str">
        <f t="shared" si="39"/>
        <v>||1900|</v>
      </c>
      <c r="I1264" s="32">
        <f>IF(G1264="",0,IF(COUNTIF($G$2:G1264,G1264)=1,1,0))</f>
        <v>0</v>
      </c>
      <c r="J1264" s="32">
        <f>IF(H1264="",0,IF(COUNTIF($H$2:H1264,H1264)=1,1,0))</f>
        <v>0</v>
      </c>
    </row>
    <row r="1265" spans="1:10" ht="14.25" hidden="1" customHeight="1" x14ac:dyDescent="0.35">
      <c r="A1265" s="30"/>
      <c r="E1265" s="31"/>
      <c r="G1265" s="32" t="str">
        <f t="shared" si="38"/>
        <v>|||1900|</v>
      </c>
      <c r="H1265" s="32" t="str">
        <f t="shared" si="39"/>
        <v>||1900|</v>
      </c>
      <c r="I1265" s="32">
        <f>IF(G1265="",0,IF(COUNTIF($G$2:G1265,G1265)=1,1,0))</f>
        <v>0</v>
      </c>
      <c r="J1265" s="32">
        <f>IF(H1265="",0,IF(COUNTIF($H$2:H1265,H1265)=1,1,0))</f>
        <v>0</v>
      </c>
    </row>
    <row r="1266" spans="1:10" ht="14.25" hidden="1" customHeight="1" x14ac:dyDescent="0.35">
      <c r="A1266" s="30"/>
      <c r="E1266" s="31"/>
      <c r="G1266" s="32" t="str">
        <f t="shared" si="38"/>
        <v>|||1900|</v>
      </c>
      <c r="H1266" s="32" t="str">
        <f t="shared" si="39"/>
        <v>||1900|</v>
      </c>
      <c r="I1266" s="32">
        <f>IF(G1266="",0,IF(COUNTIF($G$2:G1266,G1266)=1,1,0))</f>
        <v>0</v>
      </c>
      <c r="J1266" s="32">
        <f>IF(H1266="",0,IF(COUNTIF($H$2:H1266,H1266)=1,1,0))</f>
        <v>0</v>
      </c>
    </row>
    <row r="1267" spans="1:10" ht="14.25" hidden="1" customHeight="1" x14ac:dyDescent="0.35">
      <c r="A1267" s="30"/>
      <c r="E1267" s="31"/>
      <c r="G1267" s="32" t="str">
        <f t="shared" si="38"/>
        <v>|||1900|</v>
      </c>
      <c r="H1267" s="32" t="str">
        <f t="shared" si="39"/>
        <v>||1900|</v>
      </c>
      <c r="I1267" s="32">
        <f>IF(G1267="",0,IF(COUNTIF($G$2:G1267,G1267)=1,1,0))</f>
        <v>0</v>
      </c>
      <c r="J1267" s="32">
        <f>IF(H1267="",0,IF(COUNTIF($H$2:H1267,H1267)=1,1,0))</f>
        <v>0</v>
      </c>
    </row>
    <row r="1268" spans="1:10" ht="14.25" hidden="1" customHeight="1" x14ac:dyDescent="0.35">
      <c r="A1268" s="30"/>
      <c r="E1268" s="31"/>
      <c r="G1268" s="32" t="str">
        <f t="shared" si="38"/>
        <v>|||1900|</v>
      </c>
      <c r="H1268" s="32" t="str">
        <f t="shared" si="39"/>
        <v>||1900|</v>
      </c>
      <c r="I1268" s="32">
        <f>IF(G1268="",0,IF(COUNTIF($G$2:G1268,G1268)=1,1,0))</f>
        <v>0</v>
      </c>
      <c r="J1268" s="32">
        <f>IF(H1268="",0,IF(COUNTIF($H$2:H1268,H1268)=1,1,0))</f>
        <v>0</v>
      </c>
    </row>
    <row r="1269" spans="1:10" ht="14.25" hidden="1" customHeight="1" x14ac:dyDescent="0.35">
      <c r="A1269" s="30"/>
      <c r="E1269" s="31"/>
      <c r="G1269" s="32" t="str">
        <f t="shared" si="38"/>
        <v>|||1900|</v>
      </c>
      <c r="H1269" s="32" t="str">
        <f t="shared" si="39"/>
        <v>||1900|</v>
      </c>
      <c r="I1269" s="32">
        <f>IF(G1269="",0,IF(COUNTIF($G$2:G1269,G1269)=1,1,0))</f>
        <v>0</v>
      </c>
      <c r="J1269" s="32">
        <f>IF(H1269="",0,IF(COUNTIF($H$2:H1269,H1269)=1,1,0))</f>
        <v>0</v>
      </c>
    </row>
    <row r="1270" spans="1:10" ht="14.25" hidden="1" customHeight="1" x14ac:dyDescent="0.35">
      <c r="A1270" s="30"/>
      <c r="E1270" s="31"/>
      <c r="G1270" s="32" t="str">
        <f t="shared" si="38"/>
        <v>|||1900|</v>
      </c>
      <c r="H1270" s="32" t="str">
        <f t="shared" si="39"/>
        <v>||1900|</v>
      </c>
      <c r="I1270" s="32">
        <f>IF(G1270="",0,IF(COUNTIF($G$2:G1270,G1270)=1,1,0))</f>
        <v>0</v>
      </c>
      <c r="J1270" s="32">
        <f>IF(H1270="",0,IF(COUNTIF($H$2:H1270,H1270)=1,1,0))</f>
        <v>0</v>
      </c>
    </row>
    <row r="1271" spans="1:10" ht="14.25" hidden="1" customHeight="1" x14ac:dyDescent="0.35">
      <c r="A1271" s="30"/>
      <c r="E1271" s="31"/>
      <c r="G1271" s="32" t="str">
        <f t="shared" si="38"/>
        <v>|||1900|</v>
      </c>
      <c r="H1271" s="32" t="str">
        <f t="shared" si="39"/>
        <v>||1900|</v>
      </c>
      <c r="I1271" s="32">
        <f>IF(G1271="",0,IF(COUNTIF($G$2:G1271,G1271)=1,1,0))</f>
        <v>0</v>
      </c>
      <c r="J1271" s="32">
        <f>IF(H1271="",0,IF(COUNTIF($H$2:H1271,H1271)=1,1,0))</f>
        <v>0</v>
      </c>
    </row>
    <row r="1272" spans="1:10" ht="14.25" hidden="1" customHeight="1" x14ac:dyDescent="0.35">
      <c r="A1272" s="30"/>
      <c r="E1272" s="31"/>
      <c r="G1272" s="32" t="str">
        <f t="shared" si="38"/>
        <v>|||1900|</v>
      </c>
      <c r="H1272" s="32" t="str">
        <f t="shared" si="39"/>
        <v>||1900|</v>
      </c>
      <c r="I1272" s="32">
        <f>IF(G1272="",0,IF(COUNTIF($G$2:G1272,G1272)=1,1,0))</f>
        <v>0</v>
      </c>
      <c r="J1272" s="32">
        <f>IF(H1272="",0,IF(COUNTIF($H$2:H1272,H1272)=1,1,0))</f>
        <v>0</v>
      </c>
    </row>
    <row r="1273" spans="1:10" ht="14.25" hidden="1" customHeight="1" x14ac:dyDescent="0.35">
      <c r="A1273" s="30"/>
      <c r="E1273" s="31"/>
      <c r="G1273" s="32" t="str">
        <f t="shared" si="38"/>
        <v>|||1900|</v>
      </c>
      <c r="H1273" s="32" t="str">
        <f t="shared" si="39"/>
        <v>||1900|</v>
      </c>
      <c r="I1273" s="32">
        <f>IF(G1273="",0,IF(COUNTIF($G$2:G1273,G1273)=1,1,0))</f>
        <v>0</v>
      </c>
      <c r="J1273" s="32">
        <f>IF(H1273="",0,IF(COUNTIF($H$2:H1273,H1273)=1,1,0))</f>
        <v>0</v>
      </c>
    </row>
    <row r="1274" spans="1:10" ht="14.25" hidden="1" customHeight="1" x14ac:dyDescent="0.35">
      <c r="A1274" s="30"/>
      <c r="E1274" s="31"/>
      <c r="G1274" s="32" t="str">
        <f t="shared" si="38"/>
        <v>|||1900|</v>
      </c>
      <c r="H1274" s="32" t="str">
        <f t="shared" si="39"/>
        <v>||1900|</v>
      </c>
      <c r="I1274" s="32">
        <f>IF(G1274="",0,IF(COUNTIF($G$2:G1274,G1274)=1,1,0))</f>
        <v>0</v>
      </c>
      <c r="J1274" s="32">
        <f>IF(H1274="",0,IF(COUNTIF($H$2:H1274,H1274)=1,1,0))</f>
        <v>0</v>
      </c>
    </row>
    <row r="1275" spans="1:10" ht="14.25" hidden="1" customHeight="1" x14ac:dyDescent="0.35">
      <c r="A1275" s="30"/>
      <c r="E1275" s="31"/>
      <c r="G1275" s="32" t="str">
        <f t="shared" si="38"/>
        <v>|||1900|</v>
      </c>
      <c r="H1275" s="32" t="str">
        <f t="shared" si="39"/>
        <v>||1900|</v>
      </c>
      <c r="I1275" s="32">
        <f>IF(G1275="",0,IF(COUNTIF($G$2:G1275,G1275)=1,1,0))</f>
        <v>0</v>
      </c>
      <c r="J1275" s="32">
        <f>IF(H1275="",0,IF(COUNTIF($H$2:H1275,H1275)=1,1,0))</f>
        <v>0</v>
      </c>
    </row>
    <row r="1276" spans="1:10" ht="14.25" hidden="1" customHeight="1" x14ac:dyDescent="0.35">
      <c r="A1276" s="30"/>
      <c r="E1276" s="31"/>
      <c r="G1276" s="32" t="str">
        <f t="shared" si="38"/>
        <v>|||1900|</v>
      </c>
      <c r="H1276" s="32" t="str">
        <f t="shared" si="39"/>
        <v>||1900|</v>
      </c>
      <c r="I1276" s="32">
        <f>IF(G1276="",0,IF(COUNTIF($G$2:G1276,G1276)=1,1,0))</f>
        <v>0</v>
      </c>
      <c r="J1276" s="32">
        <f>IF(H1276="",0,IF(COUNTIF($H$2:H1276,H1276)=1,1,0))</f>
        <v>0</v>
      </c>
    </row>
    <row r="1277" spans="1:10" ht="14.25" hidden="1" customHeight="1" x14ac:dyDescent="0.35">
      <c r="A1277" s="30"/>
      <c r="E1277" s="31"/>
      <c r="G1277" s="32" t="str">
        <f t="shared" si="38"/>
        <v>|||1900|</v>
      </c>
      <c r="H1277" s="32" t="str">
        <f t="shared" si="39"/>
        <v>||1900|</v>
      </c>
      <c r="I1277" s="32">
        <f>IF(G1277="",0,IF(COUNTIF($G$2:G1277,G1277)=1,1,0))</f>
        <v>0</v>
      </c>
      <c r="J1277" s="32">
        <f>IF(H1277="",0,IF(COUNTIF($H$2:H1277,H1277)=1,1,0))</f>
        <v>0</v>
      </c>
    </row>
    <row r="1278" spans="1:10" ht="14.25" hidden="1" customHeight="1" x14ac:dyDescent="0.35">
      <c r="A1278" s="30"/>
      <c r="E1278" s="31"/>
      <c r="G1278" s="32" t="str">
        <f t="shared" si="38"/>
        <v>|||1900|</v>
      </c>
      <c r="H1278" s="32" t="str">
        <f t="shared" si="39"/>
        <v>||1900|</v>
      </c>
      <c r="I1278" s="32">
        <f>IF(G1278="",0,IF(COUNTIF($G$2:G1278,G1278)=1,1,0))</f>
        <v>0</v>
      </c>
      <c r="J1278" s="32">
        <f>IF(H1278="",0,IF(COUNTIF($H$2:H1278,H1278)=1,1,0))</f>
        <v>0</v>
      </c>
    </row>
    <row r="1279" spans="1:10" ht="14.25" hidden="1" customHeight="1" x14ac:dyDescent="0.35">
      <c r="A1279" s="30"/>
      <c r="E1279" s="31"/>
      <c r="G1279" s="32" t="str">
        <f t="shared" si="38"/>
        <v>|||1900|</v>
      </c>
      <c r="H1279" s="32" t="str">
        <f t="shared" si="39"/>
        <v>||1900|</v>
      </c>
      <c r="I1279" s="32">
        <f>IF(G1279="",0,IF(COUNTIF($G$2:G1279,G1279)=1,1,0))</f>
        <v>0</v>
      </c>
      <c r="J1279" s="32">
        <f>IF(H1279="",0,IF(COUNTIF($H$2:H1279,H1279)=1,1,0))</f>
        <v>0</v>
      </c>
    </row>
    <row r="1280" spans="1:10" ht="14.25" hidden="1" customHeight="1" x14ac:dyDescent="0.35">
      <c r="A1280" s="30"/>
      <c r="E1280" s="31"/>
      <c r="G1280" s="32" t="str">
        <f t="shared" si="38"/>
        <v>|||1900|</v>
      </c>
      <c r="H1280" s="32" t="str">
        <f t="shared" si="39"/>
        <v>||1900|</v>
      </c>
      <c r="I1280" s="32">
        <f>IF(G1280="",0,IF(COUNTIF($G$2:G1280,G1280)=1,1,0))</f>
        <v>0</v>
      </c>
      <c r="J1280" s="32">
        <f>IF(H1280="",0,IF(COUNTIF($H$2:H1280,H1280)=1,1,0))</f>
        <v>0</v>
      </c>
    </row>
    <row r="1281" spans="1:10" ht="14.25" hidden="1" customHeight="1" x14ac:dyDescent="0.35">
      <c r="A1281" s="30"/>
      <c r="E1281" s="31"/>
      <c r="G1281" s="32" t="str">
        <f t="shared" si="38"/>
        <v>|||1900|</v>
      </c>
      <c r="H1281" s="32" t="str">
        <f t="shared" si="39"/>
        <v>||1900|</v>
      </c>
      <c r="I1281" s="32">
        <f>IF(G1281="",0,IF(COUNTIF($G$2:G1281,G1281)=1,1,0))</f>
        <v>0</v>
      </c>
      <c r="J1281" s="32">
        <f>IF(H1281="",0,IF(COUNTIF($H$2:H1281,H1281)=1,1,0))</f>
        <v>0</v>
      </c>
    </row>
    <row r="1282" spans="1:10" ht="14.25" hidden="1" customHeight="1" x14ac:dyDescent="0.35">
      <c r="A1282" s="30"/>
      <c r="E1282" s="31"/>
      <c r="G1282" s="32" t="str">
        <f t="shared" ref="G1282:G1345" si="40">IF(D1282="T",
E1282&amp;"|"&amp;F1282,
A1282&amp;"|"&amp;B1282&amp;"|"&amp;C1282&amp;"|"&amp;YEAR(E1282)&amp;"|"&amp;F1282)</f>
        <v>|||1900|</v>
      </c>
      <c r="H1282" s="32" t="str">
        <f t="shared" ref="H1282:H1345" si="41">A1282&amp;"|"&amp;C1282&amp;"|"&amp;YEAR(E1282)&amp;"|"&amp;F1282</f>
        <v>||1900|</v>
      </c>
      <c r="I1282" s="32">
        <f>IF(G1282="",0,IF(COUNTIF($G$2:G1282,G1282)=1,1,0))</f>
        <v>0</v>
      </c>
      <c r="J1282" s="32">
        <f>IF(H1282="",0,IF(COUNTIF($H$2:H1282,H1282)=1,1,0))</f>
        <v>0</v>
      </c>
    </row>
    <row r="1283" spans="1:10" ht="14.25" hidden="1" customHeight="1" x14ac:dyDescent="0.35">
      <c r="A1283" s="30"/>
      <c r="E1283" s="31"/>
      <c r="G1283" s="32" t="str">
        <f t="shared" si="40"/>
        <v>|||1900|</v>
      </c>
      <c r="H1283" s="32" t="str">
        <f t="shared" si="41"/>
        <v>||1900|</v>
      </c>
      <c r="I1283" s="32">
        <f>IF(G1283="",0,IF(COUNTIF($G$2:G1283,G1283)=1,1,0))</f>
        <v>0</v>
      </c>
      <c r="J1283" s="32">
        <f>IF(H1283="",0,IF(COUNTIF($H$2:H1283,H1283)=1,1,0))</f>
        <v>0</v>
      </c>
    </row>
    <row r="1284" spans="1:10" ht="14.25" hidden="1" customHeight="1" x14ac:dyDescent="0.35">
      <c r="A1284" s="30"/>
      <c r="E1284" s="31"/>
      <c r="G1284" s="32" t="str">
        <f t="shared" si="40"/>
        <v>|||1900|</v>
      </c>
      <c r="H1284" s="32" t="str">
        <f t="shared" si="41"/>
        <v>||1900|</v>
      </c>
      <c r="I1284" s="32">
        <f>IF(G1284="",0,IF(COUNTIF($G$2:G1284,G1284)=1,1,0))</f>
        <v>0</v>
      </c>
      <c r="J1284" s="32">
        <f>IF(H1284="",0,IF(COUNTIF($H$2:H1284,H1284)=1,1,0))</f>
        <v>0</v>
      </c>
    </row>
    <row r="1285" spans="1:10" ht="14.25" hidden="1" customHeight="1" x14ac:dyDescent="0.35">
      <c r="A1285" s="30"/>
      <c r="E1285" s="31"/>
      <c r="G1285" s="32" t="str">
        <f t="shared" si="40"/>
        <v>|||1900|</v>
      </c>
      <c r="H1285" s="32" t="str">
        <f t="shared" si="41"/>
        <v>||1900|</v>
      </c>
      <c r="I1285" s="32">
        <f>IF(G1285="",0,IF(COUNTIF($G$2:G1285,G1285)=1,1,0))</f>
        <v>0</v>
      </c>
      <c r="J1285" s="32">
        <f>IF(H1285="",0,IF(COUNTIF($H$2:H1285,H1285)=1,1,0))</f>
        <v>0</v>
      </c>
    </row>
    <row r="1286" spans="1:10" ht="14.25" hidden="1" customHeight="1" x14ac:dyDescent="0.35">
      <c r="A1286" s="30"/>
      <c r="E1286" s="31"/>
      <c r="G1286" s="32" t="str">
        <f t="shared" si="40"/>
        <v>|||1900|</v>
      </c>
      <c r="H1286" s="32" t="str">
        <f t="shared" si="41"/>
        <v>||1900|</v>
      </c>
      <c r="I1286" s="32">
        <f>IF(G1286="",0,IF(COUNTIF($G$2:G1286,G1286)=1,1,0))</f>
        <v>0</v>
      </c>
      <c r="J1286" s="32">
        <f>IF(H1286="",0,IF(COUNTIF($H$2:H1286,H1286)=1,1,0))</f>
        <v>0</v>
      </c>
    </row>
    <row r="1287" spans="1:10" ht="14.25" hidden="1" customHeight="1" x14ac:dyDescent="0.35">
      <c r="A1287" s="30"/>
      <c r="E1287" s="31"/>
      <c r="G1287" s="32" t="str">
        <f t="shared" si="40"/>
        <v>|||1900|</v>
      </c>
      <c r="H1287" s="32" t="str">
        <f t="shared" si="41"/>
        <v>||1900|</v>
      </c>
      <c r="I1287" s="32">
        <f>IF(G1287="",0,IF(COUNTIF($G$2:G1287,G1287)=1,1,0))</f>
        <v>0</v>
      </c>
      <c r="J1287" s="32">
        <f>IF(H1287="",0,IF(COUNTIF($H$2:H1287,H1287)=1,1,0))</f>
        <v>0</v>
      </c>
    </row>
    <row r="1288" spans="1:10" ht="14.25" hidden="1" customHeight="1" x14ac:dyDescent="0.35">
      <c r="A1288" s="30"/>
      <c r="E1288" s="31"/>
      <c r="G1288" s="32" t="str">
        <f t="shared" si="40"/>
        <v>|||1900|</v>
      </c>
      <c r="H1288" s="32" t="str">
        <f t="shared" si="41"/>
        <v>||1900|</v>
      </c>
      <c r="I1288" s="32">
        <f>IF(G1288="",0,IF(COUNTIF($G$2:G1288,G1288)=1,1,0))</f>
        <v>0</v>
      </c>
      <c r="J1288" s="32">
        <f>IF(H1288="",0,IF(COUNTIF($H$2:H1288,H1288)=1,1,0))</f>
        <v>0</v>
      </c>
    </row>
    <row r="1289" spans="1:10" ht="14.25" hidden="1" customHeight="1" x14ac:dyDescent="0.35">
      <c r="A1289" s="30"/>
      <c r="E1289" s="31"/>
      <c r="G1289" s="32" t="str">
        <f t="shared" si="40"/>
        <v>|||1900|</v>
      </c>
      <c r="H1289" s="32" t="str">
        <f t="shared" si="41"/>
        <v>||1900|</v>
      </c>
      <c r="I1289" s="32">
        <f>IF(G1289="",0,IF(COUNTIF($G$2:G1289,G1289)=1,1,0))</f>
        <v>0</v>
      </c>
      <c r="J1289" s="32">
        <f>IF(H1289="",0,IF(COUNTIF($H$2:H1289,H1289)=1,1,0))</f>
        <v>0</v>
      </c>
    </row>
    <row r="1290" spans="1:10" ht="14.25" hidden="1" customHeight="1" x14ac:dyDescent="0.35">
      <c r="A1290" s="30"/>
      <c r="E1290" s="31"/>
      <c r="G1290" s="32" t="str">
        <f t="shared" si="40"/>
        <v>|||1900|</v>
      </c>
      <c r="H1290" s="32" t="str">
        <f t="shared" si="41"/>
        <v>||1900|</v>
      </c>
      <c r="I1290" s="32">
        <f>IF(G1290="",0,IF(COUNTIF($G$2:G1290,G1290)=1,1,0))</f>
        <v>0</v>
      </c>
      <c r="J1290" s="32">
        <f>IF(H1290="",0,IF(COUNTIF($H$2:H1290,H1290)=1,1,0))</f>
        <v>0</v>
      </c>
    </row>
    <row r="1291" spans="1:10" ht="14.25" hidden="1" customHeight="1" x14ac:dyDescent="0.35">
      <c r="A1291" s="30"/>
      <c r="E1291" s="31"/>
      <c r="G1291" s="32" t="str">
        <f t="shared" si="40"/>
        <v>|||1900|</v>
      </c>
      <c r="H1291" s="32" t="str">
        <f t="shared" si="41"/>
        <v>||1900|</v>
      </c>
      <c r="I1291" s="32">
        <f>IF(G1291="",0,IF(COUNTIF($G$2:G1291,G1291)=1,1,0))</f>
        <v>0</v>
      </c>
      <c r="J1291" s="32">
        <f>IF(H1291="",0,IF(COUNTIF($H$2:H1291,H1291)=1,1,0))</f>
        <v>0</v>
      </c>
    </row>
    <row r="1292" spans="1:10" ht="14.25" hidden="1" customHeight="1" x14ac:dyDescent="0.35">
      <c r="A1292" s="30"/>
      <c r="E1292" s="31"/>
      <c r="G1292" s="32" t="str">
        <f t="shared" si="40"/>
        <v>|||1900|</v>
      </c>
      <c r="H1292" s="32" t="str">
        <f t="shared" si="41"/>
        <v>||1900|</v>
      </c>
      <c r="I1292" s="32">
        <f>IF(G1292="",0,IF(COUNTIF($G$2:G1292,G1292)=1,1,0))</f>
        <v>0</v>
      </c>
      <c r="J1292" s="32">
        <f>IF(H1292="",0,IF(COUNTIF($H$2:H1292,H1292)=1,1,0))</f>
        <v>0</v>
      </c>
    </row>
    <row r="1293" spans="1:10" ht="14.25" hidden="1" customHeight="1" x14ac:dyDescent="0.35">
      <c r="A1293" s="30"/>
      <c r="E1293" s="31"/>
      <c r="G1293" s="32" t="str">
        <f t="shared" si="40"/>
        <v>|||1900|</v>
      </c>
      <c r="H1293" s="32" t="str">
        <f t="shared" si="41"/>
        <v>||1900|</v>
      </c>
      <c r="I1293" s="32">
        <f>IF(G1293="",0,IF(COUNTIF($G$2:G1293,G1293)=1,1,0))</f>
        <v>0</v>
      </c>
      <c r="J1293" s="32">
        <f>IF(H1293="",0,IF(COUNTIF($H$2:H1293,H1293)=1,1,0))</f>
        <v>0</v>
      </c>
    </row>
    <row r="1294" spans="1:10" ht="14.25" hidden="1" customHeight="1" x14ac:dyDescent="0.35">
      <c r="A1294" s="30"/>
      <c r="E1294" s="31"/>
      <c r="G1294" s="32" t="str">
        <f t="shared" si="40"/>
        <v>|||1900|</v>
      </c>
      <c r="H1294" s="32" t="str">
        <f t="shared" si="41"/>
        <v>||1900|</v>
      </c>
      <c r="I1294" s="32">
        <f>IF(G1294="",0,IF(COUNTIF($G$2:G1294,G1294)=1,1,0))</f>
        <v>0</v>
      </c>
      <c r="J1294" s="32">
        <f>IF(H1294="",0,IF(COUNTIF($H$2:H1294,H1294)=1,1,0))</f>
        <v>0</v>
      </c>
    </row>
    <row r="1295" spans="1:10" ht="14.25" hidden="1" customHeight="1" x14ac:dyDescent="0.35">
      <c r="A1295" s="30"/>
      <c r="E1295" s="31"/>
      <c r="G1295" s="32" t="str">
        <f t="shared" si="40"/>
        <v>|||1900|</v>
      </c>
      <c r="H1295" s="32" t="str">
        <f t="shared" si="41"/>
        <v>||1900|</v>
      </c>
      <c r="I1295" s="32">
        <f>IF(G1295="",0,IF(COUNTIF($G$2:G1295,G1295)=1,1,0))</f>
        <v>0</v>
      </c>
      <c r="J1295" s="32">
        <f>IF(H1295="",0,IF(COUNTIF($H$2:H1295,H1295)=1,1,0))</f>
        <v>0</v>
      </c>
    </row>
    <row r="1296" spans="1:10" ht="14.25" hidden="1" customHeight="1" x14ac:dyDescent="0.35">
      <c r="A1296" s="30"/>
      <c r="E1296" s="31"/>
      <c r="G1296" s="32" t="str">
        <f t="shared" si="40"/>
        <v>|||1900|</v>
      </c>
      <c r="H1296" s="32" t="str">
        <f t="shared" si="41"/>
        <v>||1900|</v>
      </c>
      <c r="I1296" s="32">
        <f>IF(G1296="",0,IF(COUNTIF($G$2:G1296,G1296)=1,1,0))</f>
        <v>0</v>
      </c>
      <c r="J1296" s="32">
        <f>IF(H1296="",0,IF(COUNTIF($H$2:H1296,H1296)=1,1,0))</f>
        <v>0</v>
      </c>
    </row>
    <row r="1297" spans="1:10" ht="14.25" hidden="1" customHeight="1" x14ac:dyDescent="0.35">
      <c r="A1297" s="30"/>
      <c r="E1297" s="31"/>
      <c r="G1297" s="32" t="str">
        <f t="shared" si="40"/>
        <v>|||1900|</v>
      </c>
      <c r="H1297" s="32" t="str">
        <f t="shared" si="41"/>
        <v>||1900|</v>
      </c>
      <c r="I1297" s="32">
        <f>IF(G1297="",0,IF(COUNTIF($G$2:G1297,G1297)=1,1,0))</f>
        <v>0</v>
      </c>
      <c r="J1297" s="32">
        <f>IF(H1297="",0,IF(COUNTIF($H$2:H1297,H1297)=1,1,0))</f>
        <v>0</v>
      </c>
    </row>
    <row r="1298" spans="1:10" ht="14.25" hidden="1" customHeight="1" x14ac:dyDescent="0.35">
      <c r="A1298" s="30"/>
      <c r="E1298" s="31"/>
      <c r="G1298" s="32" t="str">
        <f t="shared" si="40"/>
        <v>|||1900|</v>
      </c>
      <c r="H1298" s="32" t="str">
        <f t="shared" si="41"/>
        <v>||1900|</v>
      </c>
      <c r="I1298" s="32">
        <f>IF(G1298="",0,IF(COUNTIF($G$2:G1298,G1298)=1,1,0))</f>
        <v>0</v>
      </c>
      <c r="J1298" s="32">
        <f>IF(H1298="",0,IF(COUNTIF($H$2:H1298,H1298)=1,1,0))</f>
        <v>0</v>
      </c>
    </row>
    <row r="1299" spans="1:10" ht="14.25" hidden="1" customHeight="1" x14ac:dyDescent="0.35">
      <c r="A1299" s="30"/>
      <c r="E1299" s="31"/>
      <c r="G1299" s="32" t="str">
        <f t="shared" si="40"/>
        <v>|||1900|</v>
      </c>
      <c r="H1299" s="32" t="str">
        <f t="shared" si="41"/>
        <v>||1900|</v>
      </c>
      <c r="I1299" s="32">
        <f>IF(G1299="",0,IF(COUNTIF($G$2:G1299,G1299)=1,1,0))</f>
        <v>0</v>
      </c>
      <c r="J1299" s="32">
        <f>IF(H1299="",0,IF(COUNTIF($H$2:H1299,H1299)=1,1,0))</f>
        <v>0</v>
      </c>
    </row>
    <row r="1300" spans="1:10" ht="14.25" hidden="1" customHeight="1" x14ac:dyDescent="0.35">
      <c r="A1300" s="30"/>
      <c r="E1300" s="31"/>
      <c r="G1300" s="32" t="str">
        <f t="shared" si="40"/>
        <v>|||1900|</v>
      </c>
      <c r="H1300" s="32" t="str">
        <f t="shared" si="41"/>
        <v>||1900|</v>
      </c>
      <c r="I1300" s="32">
        <f>IF(G1300="",0,IF(COUNTIF($G$2:G1300,G1300)=1,1,0))</f>
        <v>0</v>
      </c>
      <c r="J1300" s="32">
        <f>IF(H1300="",0,IF(COUNTIF($H$2:H1300,H1300)=1,1,0))</f>
        <v>0</v>
      </c>
    </row>
    <row r="1301" spans="1:10" ht="14.25" hidden="1" customHeight="1" x14ac:dyDescent="0.35">
      <c r="A1301" s="30"/>
      <c r="E1301" s="31"/>
      <c r="G1301" s="32" t="str">
        <f t="shared" si="40"/>
        <v>|||1900|</v>
      </c>
      <c r="H1301" s="32" t="str">
        <f t="shared" si="41"/>
        <v>||1900|</v>
      </c>
      <c r="I1301" s="32">
        <f>IF(G1301="",0,IF(COUNTIF($G$2:G1301,G1301)=1,1,0))</f>
        <v>0</v>
      </c>
      <c r="J1301" s="32">
        <f>IF(H1301="",0,IF(COUNTIF($H$2:H1301,H1301)=1,1,0))</f>
        <v>0</v>
      </c>
    </row>
    <row r="1302" spans="1:10" ht="14.25" hidden="1" customHeight="1" x14ac:dyDescent="0.35">
      <c r="A1302" s="30"/>
      <c r="E1302" s="31"/>
      <c r="G1302" s="32" t="str">
        <f t="shared" si="40"/>
        <v>|||1900|</v>
      </c>
      <c r="H1302" s="32" t="str">
        <f t="shared" si="41"/>
        <v>||1900|</v>
      </c>
      <c r="I1302" s="32">
        <f>IF(G1302="",0,IF(COUNTIF($G$2:G1302,G1302)=1,1,0))</f>
        <v>0</v>
      </c>
      <c r="J1302" s="32">
        <f>IF(H1302="",0,IF(COUNTIF($H$2:H1302,H1302)=1,1,0))</f>
        <v>0</v>
      </c>
    </row>
    <row r="1303" spans="1:10" ht="14.25" hidden="1" customHeight="1" x14ac:dyDescent="0.35">
      <c r="A1303" s="30"/>
      <c r="E1303" s="31"/>
      <c r="G1303" s="32" t="str">
        <f t="shared" si="40"/>
        <v>|||1900|</v>
      </c>
      <c r="H1303" s="32" t="str">
        <f t="shared" si="41"/>
        <v>||1900|</v>
      </c>
      <c r="I1303" s="32">
        <f>IF(G1303="",0,IF(COUNTIF($G$2:G1303,G1303)=1,1,0))</f>
        <v>0</v>
      </c>
      <c r="J1303" s="32">
        <f>IF(H1303="",0,IF(COUNTIF($H$2:H1303,H1303)=1,1,0))</f>
        <v>0</v>
      </c>
    </row>
    <row r="1304" spans="1:10" ht="14.25" hidden="1" customHeight="1" x14ac:dyDescent="0.35">
      <c r="A1304" s="30"/>
      <c r="E1304" s="31"/>
      <c r="G1304" s="32" t="str">
        <f t="shared" si="40"/>
        <v>|||1900|</v>
      </c>
      <c r="H1304" s="32" t="str">
        <f t="shared" si="41"/>
        <v>||1900|</v>
      </c>
      <c r="I1304" s="32">
        <f>IF(G1304="",0,IF(COUNTIF($G$2:G1304,G1304)=1,1,0))</f>
        <v>0</v>
      </c>
      <c r="J1304" s="32">
        <f>IF(H1304="",0,IF(COUNTIF($H$2:H1304,H1304)=1,1,0))</f>
        <v>0</v>
      </c>
    </row>
    <row r="1305" spans="1:10" ht="14.25" hidden="1" customHeight="1" x14ac:dyDescent="0.35">
      <c r="A1305" s="30"/>
      <c r="E1305" s="31"/>
      <c r="G1305" s="32" t="str">
        <f t="shared" si="40"/>
        <v>|||1900|</v>
      </c>
      <c r="H1305" s="32" t="str">
        <f t="shared" si="41"/>
        <v>||1900|</v>
      </c>
      <c r="I1305" s="32">
        <f>IF(G1305="",0,IF(COUNTIF($G$2:G1305,G1305)=1,1,0))</f>
        <v>0</v>
      </c>
      <c r="J1305" s="32">
        <f>IF(H1305="",0,IF(COUNTIF($H$2:H1305,H1305)=1,1,0))</f>
        <v>0</v>
      </c>
    </row>
    <row r="1306" spans="1:10" ht="14.25" hidden="1" customHeight="1" x14ac:dyDescent="0.35">
      <c r="A1306" s="30"/>
      <c r="E1306" s="31"/>
      <c r="G1306" s="32" t="str">
        <f t="shared" si="40"/>
        <v>|||1900|</v>
      </c>
      <c r="H1306" s="32" t="str">
        <f t="shared" si="41"/>
        <v>||1900|</v>
      </c>
      <c r="I1306" s="32">
        <f>IF(G1306="",0,IF(COUNTIF($G$2:G1306,G1306)=1,1,0))</f>
        <v>0</v>
      </c>
      <c r="J1306" s="32">
        <f>IF(H1306="",0,IF(COUNTIF($H$2:H1306,H1306)=1,1,0))</f>
        <v>0</v>
      </c>
    </row>
    <row r="1307" spans="1:10" ht="14.25" hidden="1" customHeight="1" x14ac:dyDescent="0.35">
      <c r="A1307" s="30"/>
      <c r="E1307" s="31"/>
      <c r="G1307" s="32" t="str">
        <f t="shared" si="40"/>
        <v>|||1900|</v>
      </c>
      <c r="H1307" s="32" t="str">
        <f t="shared" si="41"/>
        <v>||1900|</v>
      </c>
      <c r="I1307" s="32">
        <f>IF(G1307="",0,IF(COUNTIF($G$2:G1307,G1307)=1,1,0))</f>
        <v>0</v>
      </c>
      <c r="J1307" s="32">
        <f>IF(H1307="",0,IF(COUNTIF($H$2:H1307,H1307)=1,1,0))</f>
        <v>0</v>
      </c>
    </row>
    <row r="1308" spans="1:10" ht="14.25" hidden="1" customHeight="1" x14ac:dyDescent="0.35">
      <c r="A1308" s="30"/>
      <c r="E1308" s="31"/>
      <c r="G1308" s="32" t="str">
        <f t="shared" si="40"/>
        <v>|||1900|</v>
      </c>
      <c r="H1308" s="32" t="str">
        <f t="shared" si="41"/>
        <v>||1900|</v>
      </c>
      <c r="I1308" s="32">
        <f>IF(G1308="",0,IF(COUNTIF($G$2:G1308,G1308)=1,1,0))</f>
        <v>0</v>
      </c>
      <c r="J1308" s="32">
        <f>IF(H1308="",0,IF(COUNTIF($H$2:H1308,H1308)=1,1,0))</f>
        <v>0</v>
      </c>
    </row>
    <row r="1309" spans="1:10" ht="14.25" hidden="1" customHeight="1" x14ac:dyDescent="0.35">
      <c r="A1309" s="30"/>
      <c r="E1309" s="31"/>
      <c r="G1309" s="32" t="str">
        <f t="shared" si="40"/>
        <v>|||1900|</v>
      </c>
      <c r="H1309" s="32" t="str">
        <f t="shared" si="41"/>
        <v>||1900|</v>
      </c>
      <c r="I1309" s="32">
        <f>IF(G1309="",0,IF(COUNTIF($G$2:G1309,G1309)=1,1,0))</f>
        <v>0</v>
      </c>
      <c r="J1309" s="32">
        <f>IF(H1309="",0,IF(COUNTIF($H$2:H1309,H1309)=1,1,0))</f>
        <v>0</v>
      </c>
    </row>
    <row r="1310" spans="1:10" ht="14.25" hidden="1" customHeight="1" x14ac:dyDescent="0.35">
      <c r="A1310" s="30"/>
      <c r="E1310" s="31"/>
      <c r="G1310" s="32" t="str">
        <f t="shared" si="40"/>
        <v>|||1900|</v>
      </c>
      <c r="H1310" s="32" t="str">
        <f t="shared" si="41"/>
        <v>||1900|</v>
      </c>
      <c r="I1310" s="32">
        <f>IF(G1310="",0,IF(COUNTIF($G$2:G1310,G1310)=1,1,0))</f>
        <v>0</v>
      </c>
      <c r="J1310" s="32">
        <f>IF(H1310="",0,IF(COUNTIF($H$2:H1310,H1310)=1,1,0))</f>
        <v>0</v>
      </c>
    </row>
    <row r="1311" spans="1:10" ht="14.25" hidden="1" customHeight="1" x14ac:dyDescent="0.35">
      <c r="A1311" s="30"/>
      <c r="E1311" s="31"/>
      <c r="G1311" s="32" t="str">
        <f t="shared" si="40"/>
        <v>|||1900|</v>
      </c>
      <c r="H1311" s="32" t="str">
        <f t="shared" si="41"/>
        <v>||1900|</v>
      </c>
      <c r="I1311" s="32">
        <f>IF(G1311="",0,IF(COUNTIF($G$2:G1311,G1311)=1,1,0))</f>
        <v>0</v>
      </c>
      <c r="J1311" s="32">
        <f>IF(H1311="",0,IF(COUNTIF($H$2:H1311,H1311)=1,1,0))</f>
        <v>0</v>
      </c>
    </row>
    <row r="1312" spans="1:10" ht="14.25" hidden="1" customHeight="1" x14ac:dyDescent="0.35">
      <c r="A1312" s="30"/>
      <c r="E1312" s="31"/>
      <c r="G1312" s="32" t="str">
        <f t="shared" si="40"/>
        <v>|||1900|</v>
      </c>
      <c r="H1312" s="32" t="str">
        <f t="shared" si="41"/>
        <v>||1900|</v>
      </c>
      <c r="I1312" s="32">
        <f>IF(G1312="",0,IF(COUNTIF($G$2:G1312,G1312)=1,1,0))</f>
        <v>0</v>
      </c>
      <c r="J1312" s="32">
        <f>IF(H1312="",0,IF(COUNTIF($H$2:H1312,H1312)=1,1,0))</f>
        <v>0</v>
      </c>
    </row>
    <row r="1313" spans="1:10" ht="14.25" hidden="1" customHeight="1" x14ac:dyDescent="0.35">
      <c r="A1313" s="30"/>
      <c r="E1313" s="31"/>
      <c r="G1313" s="32" t="str">
        <f t="shared" si="40"/>
        <v>|||1900|</v>
      </c>
      <c r="H1313" s="32" t="str">
        <f t="shared" si="41"/>
        <v>||1900|</v>
      </c>
      <c r="I1313" s="32">
        <f>IF(G1313="",0,IF(COUNTIF($G$2:G1313,G1313)=1,1,0))</f>
        <v>0</v>
      </c>
      <c r="J1313" s="32">
        <f>IF(H1313="",0,IF(COUNTIF($H$2:H1313,H1313)=1,1,0))</f>
        <v>0</v>
      </c>
    </row>
    <row r="1314" spans="1:10" ht="14.25" hidden="1" customHeight="1" x14ac:dyDescent="0.35">
      <c r="A1314" s="30"/>
      <c r="E1314" s="31"/>
      <c r="G1314" s="32" t="str">
        <f t="shared" si="40"/>
        <v>|||1900|</v>
      </c>
      <c r="H1314" s="32" t="str">
        <f t="shared" si="41"/>
        <v>||1900|</v>
      </c>
      <c r="I1314" s="32">
        <f>IF(G1314="",0,IF(COUNTIF($G$2:G1314,G1314)=1,1,0))</f>
        <v>0</v>
      </c>
      <c r="J1314" s="32">
        <f>IF(H1314="",0,IF(COUNTIF($H$2:H1314,H1314)=1,1,0))</f>
        <v>0</v>
      </c>
    </row>
    <row r="1315" spans="1:10" ht="14.25" hidden="1" customHeight="1" x14ac:dyDescent="0.35">
      <c r="A1315" s="30"/>
      <c r="E1315" s="31"/>
      <c r="G1315" s="32" t="str">
        <f t="shared" si="40"/>
        <v>|||1900|</v>
      </c>
      <c r="H1315" s="32" t="str">
        <f t="shared" si="41"/>
        <v>||1900|</v>
      </c>
      <c r="I1315" s="32">
        <f>IF(G1315="",0,IF(COUNTIF($G$2:G1315,G1315)=1,1,0))</f>
        <v>0</v>
      </c>
      <c r="J1315" s="32">
        <f>IF(H1315="",0,IF(COUNTIF($H$2:H1315,H1315)=1,1,0))</f>
        <v>0</v>
      </c>
    </row>
    <row r="1316" spans="1:10" ht="14.25" hidden="1" customHeight="1" x14ac:dyDescent="0.35">
      <c r="A1316" s="30"/>
      <c r="E1316" s="31"/>
      <c r="G1316" s="32" t="str">
        <f t="shared" si="40"/>
        <v>|||1900|</v>
      </c>
      <c r="H1316" s="32" t="str">
        <f t="shared" si="41"/>
        <v>||1900|</v>
      </c>
      <c r="I1316" s="32">
        <f>IF(G1316="",0,IF(COUNTIF($G$2:G1316,G1316)=1,1,0))</f>
        <v>0</v>
      </c>
      <c r="J1316" s="32">
        <f>IF(H1316="",0,IF(COUNTIF($H$2:H1316,H1316)=1,1,0))</f>
        <v>0</v>
      </c>
    </row>
    <row r="1317" spans="1:10" ht="14.25" hidden="1" customHeight="1" x14ac:dyDescent="0.35">
      <c r="A1317" s="30"/>
      <c r="E1317" s="31"/>
      <c r="G1317" s="32" t="str">
        <f t="shared" si="40"/>
        <v>|||1900|</v>
      </c>
      <c r="H1317" s="32" t="str">
        <f t="shared" si="41"/>
        <v>||1900|</v>
      </c>
      <c r="I1317" s="32">
        <f>IF(G1317="",0,IF(COUNTIF($G$2:G1317,G1317)=1,1,0))</f>
        <v>0</v>
      </c>
      <c r="J1317" s="32">
        <f>IF(H1317="",0,IF(COUNTIF($H$2:H1317,H1317)=1,1,0))</f>
        <v>0</v>
      </c>
    </row>
    <row r="1318" spans="1:10" ht="14.25" hidden="1" customHeight="1" x14ac:dyDescent="0.35">
      <c r="A1318" s="30"/>
      <c r="E1318" s="31"/>
      <c r="G1318" s="32" t="str">
        <f t="shared" si="40"/>
        <v>|||1900|</v>
      </c>
      <c r="H1318" s="32" t="str">
        <f t="shared" si="41"/>
        <v>||1900|</v>
      </c>
      <c r="I1318" s="32">
        <f>IF(G1318="",0,IF(COUNTIF($G$2:G1318,G1318)=1,1,0))</f>
        <v>0</v>
      </c>
      <c r="J1318" s="32">
        <f>IF(H1318="",0,IF(COUNTIF($H$2:H1318,H1318)=1,1,0))</f>
        <v>0</v>
      </c>
    </row>
    <row r="1319" spans="1:10" ht="14.25" hidden="1" customHeight="1" x14ac:dyDescent="0.35">
      <c r="A1319" s="30"/>
      <c r="E1319" s="31"/>
      <c r="G1319" s="32" t="str">
        <f t="shared" si="40"/>
        <v>|||1900|</v>
      </c>
      <c r="H1319" s="32" t="str">
        <f t="shared" si="41"/>
        <v>||1900|</v>
      </c>
      <c r="I1319" s="32">
        <f>IF(G1319="",0,IF(COUNTIF($G$2:G1319,G1319)=1,1,0))</f>
        <v>0</v>
      </c>
      <c r="J1319" s="32">
        <f>IF(H1319="",0,IF(COUNTIF($H$2:H1319,H1319)=1,1,0))</f>
        <v>0</v>
      </c>
    </row>
    <row r="1320" spans="1:10" ht="14.25" hidden="1" customHeight="1" x14ac:dyDescent="0.35">
      <c r="A1320" s="30"/>
      <c r="E1320" s="31"/>
      <c r="G1320" s="32" t="str">
        <f t="shared" si="40"/>
        <v>|||1900|</v>
      </c>
      <c r="H1320" s="32" t="str">
        <f t="shared" si="41"/>
        <v>||1900|</v>
      </c>
      <c r="I1320" s="32">
        <f>IF(G1320="",0,IF(COUNTIF($G$2:G1320,G1320)=1,1,0))</f>
        <v>0</v>
      </c>
      <c r="J1320" s="32">
        <f>IF(H1320="",0,IF(COUNTIF($H$2:H1320,H1320)=1,1,0))</f>
        <v>0</v>
      </c>
    </row>
    <row r="1321" spans="1:10" ht="14.25" hidden="1" customHeight="1" x14ac:dyDescent="0.35">
      <c r="A1321" s="30"/>
      <c r="E1321" s="31"/>
      <c r="G1321" s="32" t="str">
        <f t="shared" si="40"/>
        <v>|||1900|</v>
      </c>
      <c r="H1321" s="32" t="str">
        <f t="shared" si="41"/>
        <v>||1900|</v>
      </c>
      <c r="I1321" s="32">
        <f>IF(G1321="",0,IF(COUNTIF($G$2:G1321,G1321)=1,1,0))</f>
        <v>0</v>
      </c>
      <c r="J1321" s="32">
        <f>IF(H1321="",0,IF(COUNTIF($H$2:H1321,H1321)=1,1,0))</f>
        <v>0</v>
      </c>
    </row>
    <row r="1322" spans="1:10" ht="14.25" hidden="1" customHeight="1" x14ac:dyDescent="0.35">
      <c r="A1322" s="30"/>
      <c r="E1322" s="31"/>
      <c r="G1322" s="32" t="str">
        <f t="shared" si="40"/>
        <v>|||1900|</v>
      </c>
      <c r="H1322" s="32" t="str">
        <f t="shared" si="41"/>
        <v>||1900|</v>
      </c>
      <c r="I1322" s="32">
        <f>IF(G1322="",0,IF(COUNTIF($G$2:G1322,G1322)=1,1,0))</f>
        <v>0</v>
      </c>
      <c r="J1322" s="32">
        <f>IF(H1322="",0,IF(COUNTIF($H$2:H1322,H1322)=1,1,0))</f>
        <v>0</v>
      </c>
    </row>
    <row r="1323" spans="1:10" ht="14.25" hidden="1" customHeight="1" x14ac:dyDescent="0.35">
      <c r="A1323" s="30"/>
      <c r="E1323" s="31"/>
      <c r="G1323" s="32" t="str">
        <f t="shared" si="40"/>
        <v>|||1900|</v>
      </c>
      <c r="H1323" s="32" t="str">
        <f t="shared" si="41"/>
        <v>||1900|</v>
      </c>
      <c r="I1323" s="32">
        <f>IF(G1323="",0,IF(COUNTIF($G$2:G1323,G1323)=1,1,0))</f>
        <v>0</v>
      </c>
      <c r="J1323" s="32">
        <f>IF(H1323="",0,IF(COUNTIF($H$2:H1323,H1323)=1,1,0))</f>
        <v>0</v>
      </c>
    </row>
    <row r="1324" spans="1:10" ht="14.25" hidden="1" customHeight="1" x14ac:dyDescent="0.35">
      <c r="A1324" s="30"/>
      <c r="E1324" s="31"/>
      <c r="G1324" s="32" t="str">
        <f t="shared" si="40"/>
        <v>|||1900|</v>
      </c>
      <c r="H1324" s="32" t="str">
        <f t="shared" si="41"/>
        <v>||1900|</v>
      </c>
      <c r="I1324" s="32">
        <f>IF(G1324="",0,IF(COUNTIF($G$2:G1324,G1324)=1,1,0))</f>
        <v>0</v>
      </c>
      <c r="J1324" s="32">
        <f>IF(H1324="",0,IF(COUNTIF($H$2:H1324,H1324)=1,1,0))</f>
        <v>0</v>
      </c>
    </row>
    <row r="1325" spans="1:10" ht="14.25" hidden="1" customHeight="1" x14ac:dyDescent="0.35">
      <c r="A1325" s="30"/>
      <c r="E1325" s="31"/>
      <c r="G1325" s="32" t="str">
        <f t="shared" si="40"/>
        <v>|||1900|</v>
      </c>
      <c r="H1325" s="32" t="str">
        <f t="shared" si="41"/>
        <v>||1900|</v>
      </c>
      <c r="I1325" s="32">
        <f>IF(G1325="",0,IF(COUNTIF($G$2:G1325,G1325)=1,1,0))</f>
        <v>0</v>
      </c>
      <c r="J1325" s="32">
        <f>IF(H1325="",0,IF(COUNTIF($H$2:H1325,H1325)=1,1,0))</f>
        <v>0</v>
      </c>
    </row>
    <row r="1326" spans="1:10" ht="14.25" hidden="1" customHeight="1" x14ac:dyDescent="0.35">
      <c r="A1326" s="30"/>
      <c r="E1326" s="31"/>
      <c r="G1326" s="32" t="str">
        <f t="shared" si="40"/>
        <v>|||1900|</v>
      </c>
      <c r="H1326" s="32" t="str">
        <f t="shared" si="41"/>
        <v>||1900|</v>
      </c>
      <c r="I1326" s="32">
        <f>IF(G1326="",0,IF(COUNTIF($G$2:G1326,G1326)=1,1,0))</f>
        <v>0</v>
      </c>
      <c r="J1326" s="32">
        <f>IF(H1326="",0,IF(COUNTIF($H$2:H1326,H1326)=1,1,0))</f>
        <v>0</v>
      </c>
    </row>
    <row r="1327" spans="1:10" ht="14.25" hidden="1" customHeight="1" x14ac:dyDescent="0.35">
      <c r="A1327" s="30"/>
      <c r="E1327" s="31"/>
      <c r="G1327" s="32" t="str">
        <f t="shared" si="40"/>
        <v>|||1900|</v>
      </c>
      <c r="H1327" s="32" t="str">
        <f t="shared" si="41"/>
        <v>||1900|</v>
      </c>
      <c r="I1327" s="32">
        <f>IF(G1327="",0,IF(COUNTIF($G$2:G1327,G1327)=1,1,0))</f>
        <v>0</v>
      </c>
      <c r="J1327" s="32">
        <f>IF(H1327="",0,IF(COUNTIF($H$2:H1327,H1327)=1,1,0))</f>
        <v>0</v>
      </c>
    </row>
    <row r="1328" spans="1:10" ht="14.25" hidden="1" customHeight="1" x14ac:dyDescent="0.35">
      <c r="A1328" s="30"/>
      <c r="E1328" s="31"/>
      <c r="G1328" s="32" t="str">
        <f t="shared" si="40"/>
        <v>|||1900|</v>
      </c>
      <c r="H1328" s="32" t="str">
        <f t="shared" si="41"/>
        <v>||1900|</v>
      </c>
      <c r="I1328" s="32">
        <f>IF(G1328="",0,IF(COUNTIF($G$2:G1328,G1328)=1,1,0))</f>
        <v>0</v>
      </c>
      <c r="J1328" s="32">
        <f>IF(H1328="",0,IF(COUNTIF($H$2:H1328,H1328)=1,1,0))</f>
        <v>0</v>
      </c>
    </row>
    <row r="1329" spans="1:10" ht="14.25" hidden="1" customHeight="1" x14ac:dyDescent="0.35">
      <c r="A1329" s="30"/>
      <c r="E1329" s="31"/>
      <c r="G1329" s="32" t="str">
        <f t="shared" si="40"/>
        <v>|||1900|</v>
      </c>
      <c r="H1329" s="32" t="str">
        <f t="shared" si="41"/>
        <v>||1900|</v>
      </c>
      <c r="I1329" s="32">
        <f>IF(G1329="",0,IF(COUNTIF($G$2:G1329,G1329)=1,1,0))</f>
        <v>0</v>
      </c>
      <c r="J1329" s="32">
        <f>IF(H1329="",0,IF(COUNTIF($H$2:H1329,H1329)=1,1,0))</f>
        <v>0</v>
      </c>
    </row>
    <row r="1330" spans="1:10" ht="14.25" hidden="1" customHeight="1" x14ac:dyDescent="0.35">
      <c r="A1330" s="30"/>
      <c r="E1330" s="31"/>
      <c r="G1330" s="32" t="str">
        <f t="shared" si="40"/>
        <v>|||1900|</v>
      </c>
      <c r="H1330" s="32" t="str">
        <f t="shared" si="41"/>
        <v>||1900|</v>
      </c>
      <c r="I1330" s="32">
        <f>IF(G1330="",0,IF(COUNTIF($G$2:G1330,G1330)=1,1,0))</f>
        <v>0</v>
      </c>
      <c r="J1330" s="32">
        <f>IF(H1330="",0,IF(COUNTIF($H$2:H1330,H1330)=1,1,0))</f>
        <v>0</v>
      </c>
    </row>
    <row r="1331" spans="1:10" ht="14.25" hidden="1" customHeight="1" x14ac:dyDescent="0.35">
      <c r="A1331" s="30"/>
      <c r="E1331" s="31"/>
      <c r="G1331" s="32" t="str">
        <f t="shared" si="40"/>
        <v>|||1900|</v>
      </c>
      <c r="H1331" s="32" t="str">
        <f t="shared" si="41"/>
        <v>||1900|</v>
      </c>
      <c r="I1331" s="32">
        <f>IF(G1331="",0,IF(COUNTIF($G$2:G1331,G1331)=1,1,0))</f>
        <v>0</v>
      </c>
      <c r="J1331" s="32">
        <f>IF(H1331="",0,IF(COUNTIF($H$2:H1331,H1331)=1,1,0))</f>
        <v>0</v>
      </c>
    </row>
    <row r="1332" spans="1:10" ht="14.25" hidden="1" customHeight="1" x14ac:dyDescent="0.35">
      <c r="A1332" s="30"/>
      <c r="E1332" s="31"/>
      <c r="G1332" s="32" t="str">
        <f t="shared" si="40"/>
        <v>|||1900|</v>
      </c>
      <c r="H1332" s="32" t="str">
        <f t="shared" si="41"/>
        <v>||1900|</v>
      </c>
      <c r="I1332" s="32">
        <f>IF(G1332="",0,IF(COUNTIF($G$2:G1332,G1332)=1,1,0))</f>
        <v>0</v>
      </c>
      <c r="J1332" s="32">
        <f>IF(H1332="",0,IF(COUNTIF($H$2:H1332,H1332)=1,1,0))</f>
        <v>0</v>
      </c>
    </row>
    <row r="1333" spans="1:10" ht="14.25" hidden="1" customHeight="1" x14ac:dyDescent="0.35">
      <c r="A1333" s="30"/>
      <c r="E1333" s="31"/>
      <c r="G1333" s="32" t="str">
        <f t="shared" si="40"/>
        <v>|||1900|</v>
      </c>
      <c r="H1333" s="32" t="str">
        <f t="shared" si="41"/>
        <v>||1900|</v>
      </c>
      <c r="I1333" s="32">
        <f>IF(G1333="",0,IF(COUNTIF($G$2:G1333,G1333)=1,1,0))</f>
        <v>0</v>
      </c>
      <c r="J1333" s="32">
        <f>IF(H1333="",0,IF(COUNTIF($H$2:H1333,H1333)=1,1,0))</f>
        <v>0</v>
      </c>
    </row>
    <row r="1334" spans="1:10" ht="14.25" hidden="1" customHeight="1" x14ac:dyDescent="0.35">
      <c r="A1334" s="30"/>
      <c r="E1334" s="31"/>
      <c r="G1334" s="32" t="str">
        <f t="shared" si="40"/>
        <v>|||1900|</v>
      </c>
      <c r="H1334" s="32" t="str">
        <f t="shared" si="41"/>
        <v>||1900|</v>
      </c>
      <c r="I1334" s="32">
        <f>IF(G1334="",0,IF(COUNTIF($G$2:G1334,G1334)=1,1,0))</f>
        <v>0</v>
      </c>
      <c r="J1334" s="32">
        <f>IF(H1334="",0,IF(COUNTIF($H$2:H1334,H1334)=1,1,0))</f>
        <v>0</v>
      </c>
    </row>
    <row r="1335" spans="1:10" ht="14.25" hidden="1" customHeight="1" x14ac:dyDescent="0.35">
      <c r="A1335" s="30"/>
      <c r="E1335" s="31"/>
      <c r="G1335" s="32" t="str">
        <f t="shared" si="40"/>
        <v>|||1900|</v>
      </c>
      <c r="H1335" s="32" t="str">
        <f t="shared" si="41"/>
        <v>||1900|</v>
      </c>
      <c r="I1335" s="32">
        <f>IF(G1335="",0,IF(COUNTIF($G$2:G1335,G1335)=1,1,0))</f>
        <v>0</v>
      </c>
      <c r="J1335" s="32">
        <f>IF(H1335="",0,IF(COUNTIF($H$2:H1335,H1335)=1,1,0))</f>
        <v>0</v>
      </c>
    </row>
    <row r="1336" spans="1:10" ht="14.25" hidden="1" customHeight="1" x14ac:dyDescent="0.35">
      <c r="A1336" s="30"/>
      <c r="E1336" s="31"/>
      <c r="G1336" s="32" t="str">
        <f t="shared" si="40"/>
        <v>|||1900|</v>
      </c>
      <c r="H1336" s="32" t="str">
        <f t="shared" si="41"/>
        <v>||1900|</v>
      </c>
      <c r="I1336" s="32">
        <f>IF(G1336="",0,IF(COUNTIF($G$2:G1336,G1336)=1,1,0))</f>
        <v>0</v>
      </c>
      <c r="J1336" s="32">
        <f>IF(H1336="",0,IF(COUNTIF($H$2:H1336,H1336)=1,1,0))</f>
        <v>0</v>
      </c>
    </row>
    <row r="1337" spans="1:10" ht="14.25" hidden="1" customHeight="1" x14ac:dyDescent="0.35">
      <c r="A1337" s="30"/>
      <c r="E1337" s="31"/>
      <c r="G1337" s="32" t="str">
        <f t="shared" si="40"/>
        <v>|||1900|</v>
      </c>
      <c r="H1337" s="32" t="str">
        <f t="shared" si="41"/>
        <v>||1900|</v>
      </c>
      <c r="I1337" s="32">
        <f>IF(G1337="",0,IF(COUNTIF($G$2:G1337,G1337)=1,1,0))</f>
        <v>0</v>
      </c>
      <c r="J1337" s="32">
        <f>IF(H1337="",0,IF(COUNTIF($H$2:H1337,H1337)=1,1,0))</f>
        <v>0</v>
      </c>
    </row>
    <row r="1338" spans="1:10" ht="14.25" hidden="1" customHeight="1" x14ac:dyDescent="0.35">
      <c r="A1338" s="30"/>
      <c r="E1338" s="31"/>
      <c r="G1338" s="32" t="str">
        <f t="shared" si="40"/>
        <v>|||1900|</v>
      </c>
      <c r="H1338" s="32" t="str">
        <f t="shared" si="41"/>
        <v>||1900|</v>
      </c>
      <c r="I1338" s="32">
        <f>IF(G1338="",0,IF(COUNTIF($G$2:G1338,G1338)=1,1,0))</f>
        <v>0</v>
      </c>
      <c r="J1338" s="32">
        <f>IF(H1338="",0,IF(COUNTIF($H$2:H1338,H1338)=1,1,0))</f>
        <v>0</v>
      </c>
    </row>
    <row r="1339" spans="1:10" ht="14.25" hidden="1" customHeight="1" x14ac:dyDescent="0.35">
      <c r="A1339" s="30"/>
      <c r="E1339" s="31"/>
      <c r="G1339" s="32" t="str">
        <f t="shared" si="40"/>
        <v>|||1900|</v>
      </c>
      <c r="H1339" s="32" t="str">
        <f t="shared" si="41"/>
        <v>||1900|</v>
      </c>
      <c r="I1339" s="32">
        <f>IF(G1339="",0,IF(COUNTIF($G$2:G1339,G1339)=1,1,0))</f>
        <v>0</v>
      </c>
      <c r="J1339" s="32">
        <f>IF(H1339="",0,IF(COUNTIF($H$2:H1339,H1339)=1,1,0))</f>
        <v>0</v>
      </c>
    </row>
    <row r="1340" spans="1:10" ht="14.25" hidden="1" customHeight="1" x14ac:dyDescent="0.35">
      <c r="A1340" s="30"/>
      <c r="E1340" s="31"/>
      <c r="G1340" s="32" t="str">
        <f t="shared" si="40"/>
        <v>|||1900|</v>
      </c>
      <c r="H1340" s="32" t="str">
        <f t="shared" si="41"/>
        <v>||1900|</v>
      </c>
      <c r="I1340" s="32">
        <f>IF(G1340="",0,IF(COUNTIF($G$2:G1340,G1340)=1,1,0))</f>
        <v>0</v>
      </c>
      <c r="J1340" s="32">
        <f>IF(H1340="",0,IF(COUNTIF($H$2:H1340,H1340)=1,1,0))</f>
        <v>0</v>
      </c>
    </row>
    <row r="1341" spans="1:10" ht="14.25" hidden="1" customHeight="1" x14ac:dyDescent="0.35">
      <c r="A1341" s="30"/>
      <c r="E1341" s="31"/>
      <c r="G1341" s="32" t="str">
        <f t="shared" si="40"/>
        <v>|||1900|</v>
      </c>
      <c r="H1341" s="32" t="str">
        <f t="shared" si="41"/>
        <v>||1900|</v>
      </c>
      <c r="I1341" s="32">
        <f>IF(G1341="",0,IF(COUNTIF($G$2:G1341,G1341)=1,1,0))</f>
        <v>0</v>
      </c>
      <c r="J1341" s="32">
        <f>IF(H1341="",0,IF(COUNTIF($H$2:H1341,H1341)=1,1,0))</f>
        <v>0</v>
      </c>
    </row>
    <row r="1342" spans="1:10" ht="14.25" hidden="1" customHeight="1" x14ac:dyDescent="0.35">
      <c r="A1342" s="30"/>
      <c r="E1342" s="31"/>
      <c r="G1342" s="32" t="str">
        <f t="shared" si="40"/>
        <v>|||1900|</v>
      </c>
      <c r="H1342" s="32" t="str">
        <f t="shared" si="41"/>
        <v>||1900|</v>
      </c>
      <c r="I1342" s="32">
        <f>IF(G1342="",0,IF(COUNTIF($G$2:G1342,G1342)=1,1,0))</f>
        <v>0</v>
      </c>
      <c r="J1342" s="32">
        <f>IF(H1342="",0,IF(COUNTIF($H$2:H1342,H1342)=1,1,0))</f>
        <v>0</v>
      </c>
    </row>
    <row r="1343" spans="1:10" ht="14.25" hidden="1" customHeight="1" x14ac:dyDescent="0.35">
      <c r="A1343" s="30"/>
      <c r="E1343" s="31"/>
      <c r="G1343" s="32" t="str">
        <f t="shared" si="40"/>
        <v>|||1900|</v>
      </c>
      <c r="H1343" s="32" t="str">
        <f t="shared" si="41"/>
        <v>||1900|</v>
      </c>
      <c r="I1343" s="32">
        <f>IF(G1343="",0,IF(COUNTIF($G$2:G1343,G1343)=1,1,0))</f>
        <v>0</v>
      </c>
      <c r="J1343" s="32">
        <f>IF(H1343="",0,IF(COUNTIF($H$2:H1343,H1343)=1,1,0))</f>
        <v>0</v>
      </c>
    </row>
    <row r="1344" spans="1:10" ht="14.25" hidden="1" customHeight="1" x14ac:dyDescent="0.35">
      <c r="A1344" s="30"/>
      <c r="E1344" s="31"/>
      <c r="G1344" s="32" t="str">
        <f t="shared" si="40"/>
        <v>|||1900|</v>
      </c>
      <c r="H1344" s="32" t="str">
        <f t="shared" si="41"/>
        <v>||1900|</v>
      </c>
      <c r="I1344" s="32">
        <f>IF(G1344="",0,IF(COUNTIF($G$2:G1344,G1344)=1,1,0))</f>
        <v>0</v>
      </c>
      <c r="J1344" s="32">
        <f>IF(H1344="",0,IF(COUNTIF($H$2:H1344,H1344)=1,1,0))</f>
        <v>0</v>
      </c>
    </row>
    <row r="1345" spans="1:10" ht="14.25" hidden="1" customHeight="1" x14ac:dyDescent="0.35">
      <c r="A1345" s="30"/>
      <c r="E1345" s="31"/>
      <c r="G1345" s="32" t="str">
        <f t="shared" si="40"/>
        <v>|||1900|</v>
      </c>
      <c r="H1345" s="32" t="str">
        <f t="shared" si="41"/>
        <v>||1900|</v>
      </c>
      <c r="I1345" s="32">
        <f>IF(G1345="",0,IF(COUNTIF($G$2:G1345,G1345)=1,1,0))</f>
        <v>0</v>
      </c>
      <c r="J1345" s="32">
        <f>IF(H1345="",0,IF(COUNTIF($H$2:H1345,H1345)=1,1,0))</f>
        <v>0</v>
      </c>
    </row>
    <row r="1346" spans="1:10" ht="14.25" hidden="1" customHeight="1" x14ac:dyDescent="0.35">
      <c r="A1346" s="30"/>
      <c r="E1346" s="31"/>
      <c r="G1346" s="32" t="str">
        <f t="shared" ref="G1346:G1409" si="42">IF(D1346="T",
E1346&amp;"|"&amp;F1346,
A1346&amp;"|"&amp;B1346&amp;"|"&amp;C1346&amp;"|"&amp;YEAR(E1346)&amp;"|"&amp;F1346)</f>
        <v>|||1900|</v>
      </c>
      <c r="H1346" s="32" t="str">
        <f t="shared" ref="H1346:H1409" si="43">A1346&amp;"|"&amp;C1346&amp;"|"&amp;YEAR(E1346)&amp;"|"&amp;F1346</f>
        <v>||1900|</v>
      </c>
      <c r="I1346" s="32">
        <f>IF(G1346="",0,IF(COUNTIF($G$2:G1346,G1346)=1,1,0))</f>
        <v>0</v>
      </c>
      <c r="J1346" s="32">
        <f>IF(H1346="",0,IF(COUNTIF($H$2:H1346,H1346)=1,1,0))</f>
        <v>0</v>
      </c>
    </row>
    <row r="1347" spans="1:10" ht="14.25" hidden="1" customHeight="1" x14ac:dyDescent="0.35">
      <c r="A1347" s="30"/>
      <c r="E1347" s="31"/>
      <c r="G1347" s="32" t="str">
        <f t="shared" si="42"/>
        <v>|||1900|</v>
      </c>
      <c r="H1347" s="32" t="str">
        <f t="shared" si="43"/>
        <v>||1900|</v>
      </c>
      <c r="I1347" s="32">
        <f>IF(G1347="",0,IF(COUNTIF($G$2:G1347,G1347)=1,1,0))</f>
        <v>0</v>
      </c>
      <c r="J1347" s="32">
        <f>IF(H1347="",0,IF(COUNTIF($H$2:H1347,H1347)=1,1,0))</f>
        <v>0</v>
      </c>
    </row>
    <row r="1348" spans="1:10" ht="14.25" hidden="1" customHeight="1" x14ac:dyDescent="0.35">
      <c r="A1348" s="30"/>
      <c r="E1348" s="31"/>
      <c r="G1348" s="32" t="str">
        <f t="shared" si="42"/>
        <v>|||1900|</v>
      </c>
      <c r="H1348" s="32" t="str">
        <f t="shared" si="43"/>
        <v>||1900|</v>
      </c>
      <c r="I1348" s="32">
        <f>IF(G1348="",0,IF(COUNTIF($G$2:G1348,G1348)=1,1,0))</f>
        <v>0</v>
      </c>
      <c r="J1348" s="32">
        <f>IF(H1348="",0,IF(COUNTIF($H$2:H1348,H1348)=1,1,0))</f>
        <v>0</v>
      </c>
    </row>
    <row r="1349" spans="1:10" ht="14.25" hidden="1" customHeight="1" x14ac:dyDescent="0.35">
      <c r="A1349" s="30"/>
      <c r="E1349" s="31"/>
      <c r="G1349" s="32" t="str">
        <f t="shared" si="42"/>
        <v>|||1900|</v>
      </c>
      <c r="H1349" s="32" t="str">
        <f t="shared" si="43"/>
        <v>||1900|</v>
      </c>
      <c r="I1349" s="32">
        <f>IF(G1349="",0,IF(COUNTIF($G$2:G1349,G1349)=1,1,0))</f>
        <v>0</v>
      </c>
      <c r="J1349" s="32">
        <f>IF(H1349="",0,IF(COUNTIF($H$2:H1349,H1349)=1,1,0))</f>
        <v>0</v>
      </c>
    </row>
    <row r="1350" spans="1:10" ht="14.25" hidden="1" customHeight="1" x14ac:dyDescent="0.35">
      <c r="A1350" s="30"/>
      <c r="E1350" s="31"/>
      <c r="G1350" s="32" t="str">
        <f t="shared" si="42"/>
        <v>|||1900|</v>
      </c>
      <c r="H1350" s="32" t="str">
        <f t="shared" si="43"/>
        <v>||1900|</v>
      </c>
      <c r="I1350" s="32">
        <f>IF(G1350="",0,IF(COUNTIF($G$2:G1350,G1350)=1,1,0))</f>
        <v>0</v>
      </c>
      <c r="J1350" s="32">
        <f>IF(H1350="",0,IF(COUNTIF($H$2:H1350,H1350)=1,1,0))</f>
        <v>0</v>
      </c>
    </row>
    <row r="1351" spans="1:10" ht="14.25" hidden="1" customHeight="1" x14ac:dyDescent="0.35">
      <c r="A1351" s="30"/>
      <c r="E1351" s="31"/>
      <c r="G1351" s="32" t="str">
        <f t="shared" si="42"/>
        <v>|||1900|</v>
      </c>
      <c r="H1351" s="32" t="str">
        <f t="shared" si="43"/>
        <v>||1900|</v>
      </c>
      <c r="I1351" s="32">
        <f>IF(G1351="",0,IF(COUNTIF($G$2:G1351,G1351)=1,1,0))</f>
        <v>0</v>
      </c>
      <c r="J1351" s="32">
        <f>IF(H1351="",0,IF(COUNTIF($H$2:H1351,H1351)=1,1,0))</f>
        <v>0</v>
      </c>
    </row>
    <row r="1352" spans="1:10" ht="14.25" hidden="1" customHeight="1" x14ac:dyDescent="0.35">
      <c r="A1352" s="30"/>
      <c r="E1352" s="31"/>
      <c r="G1352" s="32" t="str">
        <f t="shared" si="42"/>
        <v>|||1900|</v>
      </c>
      <c r="H1352" s="32" t="str">
        <f t="shared" si="43"/>
        <v>||1900|</v>
      </c>
      <c r="I1352" s="32">
        <f>IF(G1352="",0,IF(COUNTIF($G$2:G1352,G1352)=1,1,0))</f>
        <v>0</v>
      </c>
      <c r="J1352" s="32">
        <f>IF(H1352="",0,IF(COUNTIF($H$2:H1352,H1352)=1,1,0))</f>
        <v>0</v>
      </c>
    </row>
    <row r="1353" spans="1:10" ht="14.25" hidden="1" customHeight="1" x14ac:dyDescent="0.35">
      <c r="A1353" s="30"/>
      <c r="E1353" s="31"/>
      <c r="G1353" s="32" t="str">
        <f t="shared" si="42"/>
        <v>|||1900|</v>
      </c>
      <c r="H1353" s="32" t="str">
        <f t="shared" si="43"/>
        <v>||1900|</v>
      </c>
      <c r="I1353" s="32">
        <f>IF(G1353="",0,IF(COUNTIF($G$2:G1353,G1353)=1,1,0))</f>
        <v>0</v>
      </c>
      <c r="J1353" s="32">
        <f>IF(H1353="",0,IF(COUNTIF($H$2:H1353,H1353)=1,1,0))</f>
        <v>0</v>
      </c>
    </row>
    <row r="1354" spans="1:10" ht="14.25" hidden="1" customHeight="1" x14ac:dyDescent="0.35">
      <c r="A1354" s="30"/>
      <c r="E1354" s="31"/>
      <c r="G1354" s="32" t="str">
        <f t="shared" si="42"/>
        <v>|||1900|</v>
      </c>
      <c r="H1354" s="32" t="str">
        <f t="shared" si="43"/>
        <v>||1900|</v>
      </c>
      <c r="I1354" s="32">
        <f>IF(G1354="",0,IF(COUNTIF($G$2:G1354,G1354)=1,1,0))</f>
        <v>0</v>
      </c>
      <c r="J1354" s="32">
        <f>IF(H1354="",0,IF(COUNTIF($H$2:H1354,H1354)=1,1,0))</f>
        <v>0</v>
      </c>
    </row>
    <row r="1355" spans="1:10" ht="14.25" hidden="1" customHeight="1" x14ac:dyDescent="0.35">
      <c r="A1355" s="30"/>
      <c r="E1355" s="31"/>
      <c r="G1355" s="32" t="str">
        <f t="shared" si="42"/>
        <v>|||1900|</v>
      </c>
      <c r="H1355" s="32" t="str">
        <f t="shared" si="43"/>
        <v>||1900|</v>
      </c>
      <c r="I1355" s="32">
        <f>IF(G1355="",0,IF(COUNTIF($G$2:G1355,G1355)=1,1,0))</f>
        <v>0</v>
      </c>
      <c r="J1355" s="32">
        <f>IF(H1355="",0,IF(COUNTIF($H$2:H1355,H1355)=1,1,0))</f>
        <v>0</v>
      </c>
    </row>
    <row r="1356" spans="1:10" ht="14.25" hidden="1" customHeight="1" x14ac:dyDescent="0.35">
      <c r="A1356" s="30"/>
      <c r="E1356" s="31"/>
      <c r="G1356" s="32" t="str">
        <f t="shared" si="42"/>
        <v>|||1900|</v>
      </c>
      <c r="H1356" s="32" t="str">
        <f t="shared" si="43"/>
        <v>||1900|</v>
      </c>
      <c r="I1356" s="32">
        <f>IF(G1356="",0,IF(COUNTIF($G$2:G1356,G1356)=1,1,0))</f>
        <v>0</v>
      </c>
      <c r="J1356" s="32">
        <f>IF(H1356="",0,IF(COUNTIF($H$2:H1356,H1356)=1,1,0))</f>
        <v>0</v>
      </c>
    </row>
    <row r="1357" spans="1:10" ht="14.25" hidden="1" customHeight="1" x14ac:dyDescent="0.35">
      <c r="A1357" s="30"/>
      <c r="E1357" s="31"/>
      <c r="G1357" s="32" t="str">
        <f t="shared" si="42"/>
        <v>|||1900|</v>
      </c>
      <c r="H1357" s="32" t="str">
        <f t="shared" si="43"/>
        <v>||1900|</v>
      </c>
      <c r="I1357" s="32">
        <f>IF(G1357="",0,IF(COUNTIF($G$2:G1357,G1357)=1,1,0))</f>
        <v>0</v>
      </c>
      <c r="J1357" s="32">
        <f>IF(H1357="",0,IF(COUNTIF($H$2:H1357,H1357)=1,1,0))</f>
        <v>0</v>
      </c>
    </row>
    <row r="1358" spans="1:10" ht="14.25" hidden="1" customHeight="1" x14ac:dyDescent="0.35">
      <c r="A1358" s="30"/>
      <c r="E1358" s="31"/>
      <c r="G1358" s="32" t="str">
        <f t="shared" si="42"/>
        <v>|||1900|</v>
      </c>
      <c r="H1358" s="32" t="str">
        <f t="shared" si="43"/>
        <v>||1900|</v>
      </c>
      <c r="I1358" s="32">
        <f>IF(G1358="",0,IF(COUNTIF($G$2:G1358,G1358)=1,1,0))</f>
        <v>0</v>
      </c>
      <c r="J1358" s="32">
        <f>IF(H1358="",0,IF(COUNTIF($H$2:H1358,H1358)=1,1,0))</f>
        <v>0</v>
      </c>
    </row>
    <row r="1359" spans="1:10" ht="14.25" hidden="1" customHeight="1" x14ac:dyDescent="0.35">
      <c r="A1359" s="30"/>
      <c r="E1359" s="31"/>
      <c r="G1359" s="32" t="str">
        <f t="shared" si="42"/>
        <v>|||1900|</v>
      </c>
      <c r="H1359" s="32" t="str">
        <f t="shared" si="43"/>
        <v>||1900|</v>
      </c>
      <c r="I1359" s="32">
        <f>IF(G1359="",0,IF(COUNTIF($G$2:G1359,G1359)=1,1,0))</f>
        <v>0</v>
      </c>
      <c r="J1359" s="32">
        <f>IF(H1359="",0,IF(COUNTIF($H$2:H1359,H1359)=1,1,0))</f>
        <v>0</v>
      </c>
    </row>
    <row r="1360" spans="1:10" ht="14.25" hidden="1" customHeight="1" x14ac:dyDescent="0.35">
      <c r="A1360" s="30"/>
      <c r="E1360" s="31"/>
      <c r="G1360" s="32" t="str">
        <f t="shared" si="42"/>
        <v>|||1900|</v>
      </c>
      <c r="H1360" s="32" t="str">
        <f t="shared" si="43"/>
        <v>||1900|</v>
      </c>
      <c r="I1360" s="32">
        <f>IF(G1360="",0,IF(COUNTIF($G$2:G1360,G1360)=1,1,0))</f>
        <v>0</v>
      </c>
      <c r="J1360" s="32">
        <f>IF(H1360="",0,IF(COUNTIF($H$2:H1360,H1360)=1,1,0))</f>
        <v>0</v>
      </c>
    </row>
    <row r="1361" spans="1:10" ht="14.25" hidden="1" customHeight="1" x14ac:dyDescent="0.35">
      <c r="A1361" s="30"/>
      <c r="E1361" s="31"/>
      <c r="G1361" s="32" t="str">
        <f t="shared" si="42"/>
        <v>|||1900|</v>
      </c>
      <c r="H1361" s="32" t="str">
        <f t="shared" si="43"/>
        <v>||1900|</v>
      </c>
      <c r="I1361" s="32">
        <f>IF(G1361="",0,IF(COUNTIF($G$2:G1361,G1361)=1,1,0))</f>
        <v>0</v>
      </c>
      <c r="J1361" s="32">
        <f>IF(H1361="",0,IF(COUNTIF($H$2:H1361,H1361)=1,1,0))</f>
        <v>0</v>
      </c>
    </row>
    <row r="1362" spans="1:10" ht="14.25" hidden="1" customHeight="1" x14ac:dyDescent="0.35">
      <c r="A1362" s="30"/>
      <c r="E1362" s="31"/>
      <c r="G1362" s="32" t="str">
        <f t="shared" si="42"/>
        <v>|||1900|</v>
      </c>
      <c r="H1362" s="32" t="str">
        <f t="shared" si="43"/>
        <v>||1900|</v>
      </c>
      <c r="I1362" s="32">
        <f>IF(G1362="",0,IF(COUNTIF($G$2:G1362,G1362)=1,1,0))</f>
        <v>0</v>
      </c>
      <c r="J1362" s="32">
        <f>IF(H1362="",0,IF(COUNTIF($H$2:H1362,H1362)=1,1,0))</f>
        <v>0</v>
      </c>
    </row>
    <row r="1363" spans="1:10" ht="14.25" hidden="1" customHeight="1" x14ac:dyDescent="0.35">
      <c r="A1363" s="30"/>
      <c r="E1363" s="31"/>
      <c r="G1363" s="32" t="str">
        <f t="shared" si="42"/>
        <v>|||1900|</v>
      </c>
      <c r="H1363" s="32" t="str">
        <f t="shared" si="43"/>
        <v>||1900|</v>
      </c>
      <c r="I1363" s="32">
        <f>IF(G1363="",0,IF(COUNTIF($G$2:G1363,G1363)=1,1,0))</f>
        <v>0</v>
      </c>
      <c r="J1363" s="32">
        <f>IF(H1363="",0,IF(COUNTIF($H$2:H1363,H1363)=1,1,0))</f>
        <v>0</v>
      </c>
    </row>
    <row r="1364" spans="1:10" ht="14.25" hidden="1" customHeight="1" x14ac:dyDescent="0.35">
      <c r="A1364" s="30"/>
      <c r="E1364" s="31"/>
      <c r="G1364" s="32" t="str">
        <f t="shared" si="42"/>
        <v>|||1900|</v>
      </c>
      <c r="H1364" s="32" t="str">
        <f t="shared" si="43"/>
        <v>||1900|</v>
      </c>
      <c r="I1364" s="32">
        <f>IF(G1364="",0,IF(COUNTIF($G$2:G1364,G1364)=1,1,0))</f>
        <v>0</v>
      </c>
      <c r="J1364" s="32">
        <f>IF(H1364="",0,IF(COUNTIF($H$2:H1364,H1364)=1,1,0))</f>
        <v>0</v>
      </c>
    </row>
    <row r="1365" spans="1:10" ht="14.25" hidden="1" customHeight="1" x14ac:dyDescent="0.35">
      <c r="A1365" s="30"/>
      <c r="E1365" s="31"/>
      <c r="G1365" s="32" t="str">
        <f t="shared" si="42"/>
        <v>|||1900|</v>
      </c>
      <c r="H1365" s="32" t="str">
        <f t="shared" si="43"/>
        <v>||1900|</v>
      </c>
      <c r="I1365" s="32">
        <f>IF(G1365="",0,IF(COUNTIF($G$2:G1365,G1365)=1,1,0))</f>
        <v>0</v>
      </c>
      <c r="J1365" s="32">
        <f>IF(H1365="",0,IF(COUNTIF($H$2:H1365,H1365)=1,1,0))</f>
        <v>0</v>
      </c>
    </row>
    <row r="1366" spans="1:10" ht="14.25" hidden="1" customHeight="1" x14ac:dyDescent="0.35">
      <c r="A1366" s="30"/>
      <c r="E1366" s="31"/>
      <c r="G1366" s="32" t="str">
        <f t="shared" si="42"/>
        <v>|||1900|</v>
      </c>
      <c r="H1366" s="32" t="str">
        <f t="shared" si="43"/>
        <v>||1900|</v>
      </c>
      <c r="I1366" s="32">
        <f>IF(G1366="",0,IF(COUNTIF($G$2:G1366,G1366)=1,1,0))</f>
        <v>0</v>
      </c>
      <c r="J1366" s="32">
        <f>IF(H1366="",0,IF(COUNTIF($H$2:H1366,H1366)=1,1,0))</f>
        <v>0</v>
      </c>
    </row>
    <row r="1367" spans="1:10" ht="14.25" hidden="1" customHeight="1" x14ac:dyDescent="0.35">
      <c r="A1367" s="30"/>
      <c r="E1367" s="31"/>
      <c r="G1367" s="32" t="str">
        <f t="shared" si="42"/>
        <v>|||1900|</v>
      </c>
      <c r="H1367" s="32" t="str">
        <f t="shared" si="43"/>
        <v>||1900|</v>
      </c>
      <c r="I1367" s="32">
        <f>IF(G1367="",0,IF(COUNTIF($G$2:G1367,G1367)=1,1,0))</f>
        <v>0</v>
      </c>
      <c r="J1367" s="32">
        <f>IF(H1367="",0,IF(COUNTIF($H$2:H1367,H1367)=1,1,0))</f>
        <v>0</v>
      </c>
    </row>
    <row r="1368" spans="1:10" ht="14.25" hidden="1" customHeight="1" x14ac:dyDescent="0.35">
      <c r="A1368" s="30"/>
      <c r="E1368" s="31"/>
      <c r="G1368" s="32" t="str">
        <f t="shared" si="42"/>
        <v>|||1900|</v>
      </c>
      <c r="H1368" s="32" t="str">
        <f t="shared" si="43"/>
        <v>||1900|</v>
      </c>
      <c r="I1368" s="32">
        <f>IF(G1368="",0,IF(COUNTIF($G$2:G1368,G1368)=1,1,0))</f>
        <v>0</v>
      </c>
      <c r="J1368" s="32">
        <f>IF(H1368="",0,IF(COUNTIF($H$2:H1368,H1368)=1,1,0))</f>
        <v>0</v>
      </c>
    </row>
    <row r="1369" spans="1:10" ht="14.25" hidden="1" customHeight="1" x14ac:dyDescent="0.35">
      <c r="A1369" s="30"/>
      <c r="E1369" s="31"/>
      <c r="G1369" s="32" t="str">
        <f t="shared" si="42"/>
        <v>|||1900|</v>
      </c>
      <c r="H1369" s="32" t="str">
        <f t="shared" si="43"/>
        <v>||1900|</v>
      </c>
      <c r="I1369" s="32">
        <f>IF(G1369="",0,IF(COUNTIF($G$2:G1369,G1369)=1,1,0))</f>
        <v>0</v>
      </c>
      <c r="J1369" s="32">
        <f>IF(H1369="",0,IF(COUNTIF($H$2:H1369,H1369)=1,1,0))</f>
        <v>0</v>
      </c>
    </row>
    <row r="1370" spans="1:10" ht="14.25" hidden="1" customHeight="1" x14ac:dyDescent="0.35">
      <c r="A1370" s="30"/>
      <c r="E1370" s="31"/>
      <c r="G1370" s="32" t="str">
        <f t="shared" si="42"/>
        <v>|||1900|</v>
      </c>
      <c r="H1370" s="32" t="str">
        <f t="shared" si="43"/>
        <v>||1900|</v>
      </c>
      <c r="I1370" s="32">
        <f>IF(G1370="",0,IF(COUNTIF($G$2:G1370,G1370)=1,1,0))</f>
        <v>0</v>
      </c>
      <c r="J1370" s="32">
        <f>IF(H1370="",0,IF(COUNTIF($H$2:H1370,H1370)=1,1,0))</f>
        <v>0</v>
      </c>
    </row>
    <row r="1371" spans="1:10" ht="14.25" hidden="1" customHeight="1" x14ac:dyDescent="0.35">
      <c r="A1371" s="30"/>
      <c r="E1371" s="31"/>
      <c r="G1371" s="32" t="str">
        <f t="shared" si="42"/>
        <v>|||1900|</v>
      </c>
      <c r="H1371" s="32" t="str">
        <f t="shared" si="43"/>
        <v>||1900|</v>
      </c>
      <c r="I1371" s="32">
        <f>IF(G1371="",0,IF(COUNTIF($G$2:G1371,G1371)=1,1,0))</f>
        <v>0</v>
      </c>
      <c r="J1371" s="32">
        <f>IF(H1371="",0,IF(COUNTIF($H$2:H1371,H1371)=1,1,0))</f>
        <v>0</v>
      </c>
    </row>
    <row r="1372" spans="1:10" ht="14.25" hidden="1" customHeight="1" x14ac:dyDescent="0.35">
      <c r="A1372" s="30"/>
      <c r="E1372" s="31"/>
      <c r="G1372" s="32" t="str">
        <f t="shared" si="42"/>
        <v>|||1900|</v>
      </c>
      <c r="H1372" s="32" t="str">
        <f t="shared" si="43"/>
        <v>||1900|</v>
      </c>
      <c r="I1372" s="32">
        <f>IF(G1372="",0,IF(COUNTIF($G$2:G1372,G1372)=1,1,0))</f>
        <v>0</v>
      </c>
      <c r="J1372" s="32">
        <f>IF(H1372="",0,IF(COUNTIF($H$2:H1372,H1372)=1,1,0))</f>
        <v>0</v>
      </c>
    </row>
    <row r="1373" spans="1:10" ht="14.25" hidden="1" customHeight="1" x14ac:dyDescent="0.35">
      <c r="A1373" s="30"/>
      <c r="E1373" s="31"/>
      <c r="G1373" s="32" t="str">
        <f t="shared" si="42"/>
        <v>|||1900|</v>
      </c>
      <c r="H1373" s="32" t="str">
        <f t="shared" si="43"/>
        <v>||1900|</v>
      </c>
      <c r="I1373" s="32">
        <f>IF(G1373="",0,IF(COUNTIF($G$2:G1373,G1373)=1,1,0))</f>
        <v>0</v>
      </c>
      <c r="J1373" s="32">
        <f>IF(H1373="",0,IF(COUNTIF($H$2:H1373,H1373)=1,1,0))</f>
        <v>0</v>
      </c>
    </row>
    <row r="1374" spans="1:10" ht="14.25" hidden="1" customHeight="1" x14ac:dyDescent="0.35">
      <c r="A1374" s="30"/>
      <c r="E1374" s="31"/>
      <c r="G1374" s="32" t="str">
        <f t="shared" si="42"/>
        <v>|||1900|</v>
      </c>
      <c r="H1374" s="32" t="str">
        <f t="shared" si="43"/>
        <v>||1900|</v>
      </c>
      <c r="I1374" s="32">
        <f>IF(G1374="",0,IF(COUNTIF($G$2:G1374,G1374)=1,1,0))</f>
        <v>0</v>
      </c>
      <c r="J1374" s="32">
        <f>IF(H1374="",0,IF(COUNTIF($H$2:H1374,H1374)=1,1,0))</f>
        <v>0</v>
      </c>
    </row>
    <row r="1375" spans="1:10" ht="14.25" hidden="1" customHeight="1" x14ac:dyDescent="0.35">
      <c r="A1375" s="30"/>
      <c r="E1375" s="31"/>
      <c r="G1375" s="32" t="str">
        <f t="shared" si="42"/>
        <v>|||1900|</v>
      </c>
      <c r="H1375" s="32" t="str">
        <f t="shared" si="43"/>
        <v>||1900|</v>
      </c>
      <c r="I1375" s="32">
        <f>IF(G1375="",0,IF(COUNTIF($G$2:G1375,G1375)=1,1,0))</f>
        <v>0</v>
      </c>
      <c r="J1375" s="32">
        <f>IF(H1375="",0,IF(COUNTIF($H$2:H1375,H1375)=1,1,0))</f>
        <v>0</v>
      </c>
    </row>
    <row r="1376" spans="1:10" ht="14.25" hidden="1" customHeight="1" x14ac:dyDescent="0.35">
      <c r="A1376" s="30"/>
      <c r="E1376" s="31"/>
      <c r="G1376" s="32" t="str">
        <f t="shared" si="42"/>
        <v>|||1900|</v>
      </c>
      <c r="H1376" s="32" t="str">
        <f t="shared" si="43"/>
        <v>||1900|</v>
      </c>
      <c r="I1376" s="32">
        <f>IF(G1376="",0,IF(COUNTIF($G$2:G1376,G1376)=1,1,0))</f>
        <v>0</v>
      </c>
      <c r="J1376" s="32">
        <f>IF(H1376="",0,IF(COUNTIF($H$2:H1376,H1376)=1,1,0))</f>
        <v>0</v>
      </c>
    </row>
    <row r="1377" spans="1:10" ht="14.25" hidden="1" customHeight="1" x14ac:dyDescent="0.35">
      <c r="A1377" s="30"/>
      <c r="E1377" s="31"/>
      <c r="G1377" s="32" t="str">
        <f t="shared" si="42"/>
        <v>|||1900|</v>
      </c>
      <c r="H1377" s="32" t="str">
        <f t="shared" si="43"/>
        <v>||1900|</v>
      </c>
      <c r="I1377" s="32">
        <f>IF(G1377="",0,IF(COUNTIF($G$2:G1377,G1377)=1,1,0))</f>
        <v>0</v>
      </c>
      <c r="J1377" s="32">
        <f>IF(H1377="",0,IF(COUNTIF($H$2:H1377,H1377)=1,1,0))</f>
        <v>0</v>
      </c>
    </row>
    <row r="1378" spans="1:10" ht="14.25" hidden="1" customHeight="1" x14ac:dyDescent="0.35">
      <c r="A1378" s="30"/>
      <c r="E1378" s="31"/>
      <c r="G1378" s="32" t="str">
        <f t="shared" si="42"/>
        <v>|||1900|</v>
      </c>
      <c r="H1378" s="32" t="str">
        <f t="shared" si="43"/>
        <v>||1900|</v>
      </c>
      <c r="I1378" s="32">
        <f>IF(G1378="",0,IF(COUNTIF($G$2:G1378,G1378)=1,1,0))</f>
        <v>0</v>
      </c>
      <c r="J1378" s="32">
        <f>IF(H1378="",0,IF(COUNTIF($H$2:H1378,H1378)=1,1,0))</f>
        <v>0</v>
      </c>
    </row>
    <row r="1379" spans="1:10" ht="14.25" hidden="1" customHeight="1" x14ac:dyDescent="0.35">
      <c r="A1379" s="30"/>
      <c r="E1379" s="31"/>
      <c r="G1379" s="32" t="str">
        <f t="shared" si="42"/>
        <v>|||1900|</v>
      </c>
      <c r="H1379" s="32" t="str">
        <f t="shared" si="43"/>
        <v>||1900|</v>
      </c>
      <c r="I1379" s="32">
        <f>IF(G1379="",0,IF(COUNTIF($G$2:G1379,G1379)=1,1,0))</f>
        <v>0</v>
      </c>
      <c r="J1379" s="32">
        <f>IF(H1379="",0,IF(COUNTIF($H$2:H1379,H1379)=1,1,0))</f>
        <v>0</v>
      </c>
    </row>
    <row r="1380" spans="1:10" ht="14.25" hidden="1" customHeight="1" x14ac:dyDescent="0.35">
      <c r="A1380" s="30"/>
      <c r="E1380" s="31"/>
      <c r="G1380" s="32" t="str">
        <f t="shared" si="42"/>
        <v>|||1900|</v>
      </c>
      <c r="H1380" s="32" t="str">
        <f t="shared" si="43"/>
        <v>||1900|</v>
      </c>
      <c r="I1380" s="32">
        <f>IF(G1380="",0,IF(COUNTIF($G$2:G1380,G1380)=1,1,0))</f>
        <v>0</v>
      </c>
      <c r="J1380" s="32">
        <f>IF(H1380="",0,IF(COUNTIF($H$2:H1380,H1380)=1,1,0))</f>
        <v>0</v>
      </c>
    </row>
    <row r="1381" spans="1:10" ht="14.25" hidden="1" customHeight="1" x14ac:dyDescent="0.35">
      <c r="A1381" s="30"/>
      <c r="E1381" s="31"/>
      <c r="G1381" s="32" t="str">
        <f t="shared" si="42"/>
        <v>|||1900|</v>
      </c>
      <c r="H1381" s="32" t="str">
        <f t="shared" si="43"/>
        <v>||1900|</v>
      </c>
      <c r="I1381" s="32">
        <f>IF(G1381="",0,IF(COUNTIF($G$2:G1381,G1381)=1,1,0))</f>
        <v>0</v>
      </c>
      <c r="J1381" s="32">
        <f>IF(H1381="",0,IF(COUNTIF($H$2:H1381,H1381)=1,1,0))</f>
        <v>0</v>
      </c>
    </row>
    <row r="1382" spans="1:10" ht="14.25" hidden="1" customHeight="1" x14ac:dyDescent="0.35">
      <c r="A1382" s="30"/>
      <c r="E1382" s="31"/>
      <c r="G1382" s="32" t="str">
        <f t="shared" si="42"/>
        <v>|||1900|</v>
      </c>
      <c r="H1382" s="32" t="str">
        <f t="shared" si="43"/>
        <v>||1900|</v>
      </c>
      <c r="I1382" s="32">
        <f>IF(G1382="",0,IF(COUNTIF($G$2:G1382,G1382)=1,1,0))</f>
        <v>0</v>
      </c>
      <c r="J1382" s="32">
        <f>IF(H1382="",0,IF(COUNTIF($H$2:H1382,H1382)=1,1,0))</f>
        <v>0</v>
      </c>
    </row>
    <row r="1383" spans="1:10" ht="14.25" hidden="1" customHeight="1" x14ac:dyDescent="0.35">
      <c r="A1383" s="30"/>
      <c r="E1383" s="31"/>
      <c r="G1383" s="32" t="str">
        <f t="shared" si="42"/>
        <v>|||1900|</v>
      </c>
      <c r="H1383" s="32" t="str">
        <f t="shared" si="43"/>
        <v>||1900|</v>
      </c>
      <c r="I1383" s="32">
        <f>IF(G1383="",0,IF(COUNTIF($G$2:G1383,G1383)=1,1,0))</f>
        <v>0</v>
      </c>
      <c r="J1383" s="32">
        <f>IF(H1383="",0,IF(COUNTIF($H$2:H1383,H1383)=1,1,0))</f>
        <v>0</v>
      </c>
    </row>
    <row r="1384" spans="1:10" ht="14.25" hidden="1" customHeight="1" x14ac:dyDescent="0.35">
      <c r="A1384" s="30"/>
      <c r="E1384" s="31"/>
      <c r="G1384" s="32" t="str">
        <f t="shared" si="42"/>
        <v>|||1900|</v>
      </c>
      <c r="H1384" s="32" t="str">
        <f t="shared" si="43"/>
        <v>||1900|</v>
      </c>
      <c r="I1384" s="32">
        <f>IF(G1384="",0,IF(COUNTIF($G$2:G1384,G1384)=1,1,0))</f>
        <v>0</v>
      </c>
      <c r="J1384" s="32">
        <f>IF(H1384="",0,IF(COUNTIF($H$2:H1384,H1384)=1,1,0))</f>
        <v>0</v>
      </c>
    </row>
    <row r="1385" spans="1:10" ht="14.25" hidden="1" customHeight="1" x14ac:dyDescent="0.35">
      <c r="A1385" s="30"/>
      <c r="E1385" s="31"/>
      <c r="G1385" s="32" t="str">
        <f t="shared" si="42"/>
        <v>|||1900|</v>
      </c>
      <c r="H1385" s="32" t="str">
        <f t="shared" si="43"/>
        <v>||1900|</v>
      </c>
      <c r="I1385" s="32">
        <f>IF(G1385="",0,IF(COUNTIF($G$2:G1385,G1385)=1,1,0))</f>
        <v>0</v>
      </c>
      <c r="J1385" s="32">
        <f>IF(H1385="",0,IF(COUNTIF($H$2:H1385,H1385)=1,1,0))</f>
        <v>0</v>
      </c>
    </row>
    <row r="1386" spans="1:10" ht="14.25" hidden="1" customHeight="1" x14ac:dyDescent="0.35">
      <c r="A1386" s="30"/>
      <c r="E1386" s="31"/>
      <c r="G1386" s="32" t="str">
        <f t="shared" si="42"/>
        <v>|||1900|</v>
      </c>
      <c r="H1386" s="32" t="str">
        <f t="shared" si="43"/>
        <v>||1900|</v>
      </c>
      <c r="I1386" s="32">
        <f>IF(G1386="",0,IF(COUNTIF($G$2:G1386,G1386)=1,1,0))</f>
        <v>0</v>
      </c>
      <c r="J1386" s="32">
        <f>IF(H1386="",0,IF(COUNTIF($H$2:H1386,H1386)=1,1,0))</f>
        <v>0</v>
      </c>
    </row>
    <row r="1387" spans="1:10" ht="14.25" hidden="1" customHeight="1" x14ac:dyDescent="0.35">
      <c r="A1387" s="30"/>
      <c r="E1387" s="31"/>
      <c r="G1387" s="32" t="str">
        <f t="shared" si="42"/>
        <v>|||1900|</v>
      </c>
      <c r="H1387" s="32" t="str">
        <f t="shared" si="43"/>
        <v>||1900|</v>
      </c>
      <c r="I1387" s="32">
        <f>IF(G1387="",0,IF(COUNTIF($G$2:G1387,G1387)=1,1,0))</f>
        <v>0</v>
      </c>
      <c r="J1387" s="32">
        <f>IF(H1387="",0,IF(COUNTIF($H$2:H1387,H1387)=1,1,0))</f>
        <v>0</v>
      </c>
    </row>
    <row r="1388" spans="1:10" ht="14.25" hidden="1" customHeight="1" x14ac:dyDescent="0.35">
      <c r="A1388" s="30"/>
      <c r="E1388" s="31"/>
      <c r="G1388" s="32" t="str">
        <f t="shared" si="42"/>
        <v>|||1900|</v>
      </c>
      <c r="H1388" s="32" t="str">
        <f t="shared" si="43"/>
        <v>||1900|</v>
      </c>
      <c r="I1388" s="32">
        <f>IF(G1388="",0,IF(COUNTIF($G$2:G1388,G1388)=1,1,0))</f>
        <v>0</v>
      </c>
      <c r="J1388" s="32">
        <f>IF(H1388="",0,IF(COUNTIF($H$2:H1388,H1388)=1,1,0))</f>
        <v>0</v>
      </c>
    </row>
    <row r="1389" spans="1:10" ht="14.25" hidden="1" customHeight="1" x14ac:dyDescent="0.35">
      <c r="A1389" s="30"/>
      <c r="E1389" s="31"/>
      <c r="G1389" s="32" t="str">
        <f t="shared" si="42"/>
        <v>|||1900|</v>
      </c>
      <c r="H1389" s="32" t="str">
        <f t="shared" si="43"/>
        <v>||1900|</v>
      </c>
      <c r="I1389" s="32">
        <f>IF(G1389="",0,IF(COUNTIF($G$2:G1389,G1389)=1,1,0))</f>
        <v>0</v>
      </c>
      <c r="J1389" s="32">
        <f>IF(H1389="",0,IF(COUNTIF($H$2:H1389,H1389)=1,1,0))</f>
        <v>0</v>
      </c>
    </row>
    <row r="1390" spans="1:10" ht="14.25" hidden="1" customHeight="1" x14ac:dyDescent="0.35">
      <c r="A1390" s="30"/>
      <c r="E1390" s="31"/>
      <c r="G1390" s="32" t="str">
        <f t="shared" si="42"/>
        <v>|||1900|</v>
      </c>
      <c r="H1390" s="32" t="str">
        <f t="shared" si="43"/>
        <v>||1900|</v>
      </c>
      <c r="I1390" s="32">
        <f>IF(G1390="",0,IF(COUNTIF($G$2:G1390,G1390)=1,1,0))</f>
        <v>0</v>
      </c>
      <c r="J1390" s="32">
        <f>IF(H1390="",0,IF(COUNTIF($H$2:H1390,H1390)=1,1,0))</f>
        <v>0</v>
      </c>
    </row>
    <row r="1391" spans="1:10" ht="14.25" hidden="1" customHeight="1" x14ac:dyDescent="0.35">
      <c r="A1391" s="30"/>
      <c r="E1391" s="31"/>
      <c r="G1391" s="32" t="str">
        <f t="shared" si="42"/>
        <v>|||1900|</v>
      </c>
      <c r="H1391" s="32" t="str">
        <f t="shared" si="43"/>
        <v>||1900|</v>
      </c>
      <c r="I1391" s="32">
        <f>IF(G1391="",0,IF(COUNTIF($G$2:G1391,G1391)=1,1,0))</f>
        <v>0</v>
      </c>
      <c r="J1391" s="32">
        <f>IF(H1391="",0,IF(COUNTIF($H$2:H1391,H1391)=1,1,0))</f>
        <v>0</v>
      </c>
    </row>
    <row r="1392" spans="1:10" ht="14.25" hidden="1" customHeight="1" x14ac:dyDescent="0.35">
      <c r="A1392" s="30"/>
      <c r="E1392" s="31"/>
      <c r="G1392" s="32" t="str">
        <f t="shared" si="42"/>
        <v>|||1900|</v>
      </c>
      <c r="H1392" s="32" t="str">
        <f t="shared" si="43"/>
        <v>||1900|</v>
      </c>
      <c r="I1392" s="32">
        <f>IF(G1392="",0,IF(COUNTIF($G$2:G1392,G1392)=1,1,0))</f>
        <v>0</v>
      </c>
      <c r="J1392" s="32">
        <f>IF(H1392="",0,IF(COUNTIF($H$2:H1392,H1392)=1,1,0))</f>
        <v>0</v>
      </c>
    </row>
    <row r="1393" spans="1:10" ht="14.25" hidden="1" customHeight="1" x14ac:dyDescent="0.35">
      <c r="A1393" s="30"/>
      <c r="E1393" s="31"/>
      <c r="G1393" s="32" t="str">
        <f t="shared" si="42"/>
        <v>|||1900|</v>
      </c>
      <c r="H1393" s="32" t="str">
        <f t="shared" si="43"/>
        <v>||1900|</v>
      </c>
      <c r="I1393" s="32">
        <f>IF(G1393="",0,IF(COUNTIF($G$2:G1393,G1393)=1,1,0))</f>
        <v>0</v>
      </c>
      <c r="J1393" s="32">
        <f>IF(H1393="",0,IF(COUNTIF($H$2:H1393,H1393)=1,1,0))</f>
        <v>0</v>
      </c>
    </row>
    <row r="1394" spans="1:10" ht="14.25" hidden="1" customHeight="1" x14ac:dyDescent="0.35">
      <c r="A1394" s="30"/>
      <c r="E1394" s="31"/>
      <c r="G1394" s="32" t="str">
        <f t="shared" si="42"/>
        <v>|||1900|</v>
      </c>
      <c r="H1394" s="32" t="str">
        <f t="shared" si="43"/>
        <v>||1900|</v>
      </c>
      <c r="I1394" s="32">
        <f>IF(G1394="",0,IF(COUNTIF($G$2:G1394,G1394)=1,1,0))</f>
        <v>0</v>
      </c>
      <c r="J1394" s="32">
        <f>IF(H1394="",0,IF(COUNTIF($H$2:H1394,H1394)=1,1,0))</f>
        <v>0</v>
      </c>
    </row>
    <row r="1395" spans="1:10" ht="14.25" hidden="1" customHeight="1" x14ac:dyDescent="0.35">
      <c r="A1395" s="30"/>
      <c r="E1395" s="31"/>
      <c r="G1395" s="32" t="str">
        <f t="shared" si="42"/>
        <v>|||1900|</v>
      </c>
      <c r="H1395" s="32" t="str">
        <f t="shared" si="43"/>
        <v>||1900|</v>
      </c>
      <c r="I1395" s="32">
        <f>IF(G1395="",0,IF(COUNTIF($G$2:G1395,G1395)=1,1,0))</f>
        <v>0</v>
      </c>
      <c r="J1395" s="32">
        <f>IF(H1395="",0,IF(COUNTIF($H$2:H1395,H1395)=1,1,0))</f>
        <v>0</v>
      </c>
    </row>
    <row r="1396" spans="1:10" ht="14.25" hidden="1" customHeight="1" x14ac:dyDescent="0.35">
      <c r="A1396" s="30"/>
      <c r="E1396" s="31"/>
      <c r="G1396" s="32" t="str">
        <f t="shared" si="42"/>
        <v>|||1900|</v>
      </c>
      <c r="H1396" s="32" t="str">
        <f t="shared" si="43"/>
        <v>||1900|</v>
      </c>
      <c r="I1396" s="32">
        <f>IF(G1396="",0,IF(COUNTIF($G$2:G1396,G1396)=1,1,0))</f>
        <v>0</v>
      </c>
      <c r="J1396" s="32">
        <f>IF(H1396="",0,IF(COUNTIF($H$2:H1396,H1396)=1,1,0))</f>
        <v>0</v>
      </c>
    </row>
    <row r="1397" spans="1:10" ht="14.25" hidden="1" customHeight="1" x14ac:dyDescent="0.35">
      <c r="A1397" s="30"/>
      <c r="E1397" s="31"/>
      <c r="G1397" s="32" t="str">
        <f t="shared" si="42"/>
        <v>|||1900|</v>
      </c>
      <c r="H1397" s="32" t="str">
        <f t="shared" si="43"/>
        <v>||1900|</v>
      </c>
      <c r="I1397" s="32">
        <f>IF(G1397="",0,IF(COUNTIF($G$2:G1397,G1397)=1,1,0))</f>
        <v>0</v>
      </c>
      <c r="J1397" s="32">
        <f>IF(H1397="",0,IF(COUNTIF($H$2:H1397,H1397)=1,1,0))</f>
        <v>0</v>
      </c>
    </row>
    <row r="1398" spans="1:10" ht="14.25" hidden="1" customHeight="1" x14ac:dyDescent="0.35">
      <c r="A1398" s="30"/>
      <c r="E1398" s="31"/>
      <c r="G1398" s="32" t="str">
        <f t="shared" si="42"/>
        <v>|||1900|</v>
      </c>
      <c r="H1398" s="32" t="str">
        <f t="shared" si="43"/>
        <v>||1900|</v>
      </c>
      <c r="I1398" s="32">
        <f>IF(G1398="",0,IF(COUNTIF($G$2:G1398,G1398)=1,1,0))</f>
        <v>0</v>
      </c>
      <c r="J1398" s="32">
        <f>IF(H1398="",0,IF(COUNTIF($H$2:H1398,H1398)=1,1,0))</f>
        <v>0</v>
      </c>
    </row>
    <row r="1399" spans="1:10" ht="14.25" hidden="1" customHeight="1" x14ac:dyDescent="0.35">
      <c r="A1399" s="30"/>
      <c r="E1399" s="31"/>
      <c r="G1399" s="32" t="str">
        <f t="shared" si="42"/>
        <v>|||1900|</v>
      </c>
      <c r="H1399" s="32" t="str">
        <f t="shared" si="43"/>
        <v>||1900|</v>
      </c>
      <c r="I1399" s="32">
        <f>IF(G1399="",0,IF(COUNTIF($G$2:G1399,G1399)=1,1,0))</f>
        <v>0</v>
      </c>
      <c r="J1399" s="32">
        <f>IF(H1399="",0,IF(COUNTIF($H$2:H1399,H1399)=1,1,0))</f>
        <v>0</v>
      </c>
    </row>
    <row r="1400" spans="1:10" ht="14.25" hidden="1" customHeight="1" x14ac:dyDescent="0.35">
      <c r="A1400" s="30"/>
      <c r="E1400" s="31"/>
      <c r="G1400" s="32" t="str">
        <f t="shared" si="42"/>
        <v>|||1900|</v>
      </c>
      <c r="H1400" s="32" t="str">
        <f t="shared" si="43"/>
        <v>||1900|</v>
      </c>
      <c r="I1400" s="32">
        <f>IF(G1400="",0,IF(COUNTIF($G$2:G1400,G1400)=1,1,0))</f>
        <v>0</v>
      </c>
      <c r="J1400" s="32">
        <f>IF(H1400="",0,IF(COUNTIF($H$2:H1400,H1400)=1,1,0))</f>
        <v>0</v>
      </c>
    </row>
    <row r="1401" spans="1:10" ht="14.25" hidden="1" customHeight="1" x14ac:dyDescent="0.35">
      <c r="A1401" s="30"/>
      <c r="E1401" s="31"/>
      <c r="G1401" s="32" t="str">
        <f t="shared" si="42"/>
        <v>|||1900|</v>
      </c>
      <c r="H1401" s="32" t="str">
        <f t="shared" si="43"/>
        <v>||1900|</v>
      </c>
      <c r="I1401" s="32">
        <f>IF(G1401="",0,IF(COUNTIF($G$2:G1401,G1401)=1,1,0))</f>
        <v>0</v>
      </c>
      <c r="J1401" s="32">
        <f>IF(H1401="",0,IF(COUNTIF($H$2:H1401,H1401)=1,1,0))</f>
        <v>0</v>
      </c>
    </row>
    <row r="1402" spans="1:10" ht="14.25" hidden="1" customHeight="1" x14ac:dyDescent="0.35">
      <c r="A1402" s="30"/>
      <c r="E1402" s="31"/>
      <c r="G1402" s="32" t="str">
        <f t="shared" si="42"/>
        <v>|||1900|</v>
      </c>
      <c r="H1402" s="32" t="str">
        <f t="shared" si="43"/>
        <v>||1900|</v>
      </c>
      <c r="I1402" s="32">
        <f>IF(G1402="",0,IF(COUNTIF($G$2:G1402,G1402)=1,1,0))</f>
        <v>0</v>
      </c>
      <c r="J1402" s="32">
        <f>IF(H1402="",0,IF(COUNTIF($H$2:H1402,H1402)=1,1,0))</f>
        <v>0</v>
      </c>
    </row>
    <row r="1403" spans="1:10" ht="14.25" hidden="1" customHeight="1" x14ac:dyDescent="0.35">
      <c r="A1403" s="30"/>
      <c r="E1403" s="31"/>
      <c r="G1403" s="32" t="str">
        <f t="shared" si="42"/>
        <v>|||1900|</v>
      </c>
      <c r="H1403" s="32" t="str">
        <f t="shared" si="43"/>
        <v>||1900|</v>
      </c>
      <c r="I1403" s="32">
        <f>IF(G1403="",0,IF(COUNTIF($G$2:G1403,G1403)=1,1,0))</f>
        <v>0</v>
      </c>
      <c r="J1403" s="32">
        <f>IF(H1403="",0,IF(COUNTIF($H$2:H1403,H1403)=1,1,0))</f>
        <v>0</v>
      </c>
    </row>
    <row r="1404" spans="1:10" ht="14.25" hidden="1" customHeight="1" x14ac:dyDescent="0.35">
      <c r="A1404" s="30"/>
      <c r="E1404" s="31"/>
      <c r="G1404" s="32" t="str">
        <f t="shared" si="42"/>
        <v>|||1900|</v>
      </c>
      <c r="H1404" s="32" t="str">
        <f t="shared" si="43"/>
        <v>||1900|</v>
      </c>
      <c r="I1404" s="32">
        <f>IF(G1404="",0,IF(COUNTIF($G$2:G1404,G1404)=1,1,0))</f>
        <v>0</v>
      </c>
      <c r="J1404" s="32">
        <f>IF(H1404="",0,IF(COUNTIF($H$2:H1404,H1404)=1,1,0))</f>
        <v>0</v>
      </c>
    </row>
    <row r="1405" spans="1:10" ht="14.25" hidden="1" customHeight="1" x14ac:dyDescent="0.35">
      <c r="A1405" s="30"/>
      <c r="E1405" s="31"/>
      <c r="G1405" s="32" t="str">
        <f t="shared" si="42"/>
        <v>|||1900|</v>
      </c>
      <c r="H1405" s="32" t="str">
        <f t="shared" si="43"/>
        <v>||1900|</v>
      </c>
      <c r="I1405" s="32">
        <f>IF(G1405="",0,IF(COUNTIF($G$2:G1405,G1405)=1,1,0))</f>
        <v>0</v>
      </c>
      <c r="J1405" s="32">
        <f>IF(H1405="",0,IF(COUNTIF($H$2:H1405,H1405)=1,1,0))</f>
        <v>0</v>
      </c>
    </row>
    <row r="1406" spans="1:10" ht="14.25" hidden="1" customHeight="1" x14ac:dyDescent="0.35">
      <c r="A1406" s="30"/>
      <c r="E1406" s="31"/>
      <c r="G1406" s="32" t="str">
        <f t="shared" si="42"/>
        <v>|||1900|</v>
      </c>
      <c r="H1406" s="32" t="str">
        <f t="shared" si="43"/>
        <v>||1900|</v>
      </c>
      <c r="I1406" s="32">
        <f>IF(G1406="",0,IF(COUNTIF($G$2:G1406,G1406)=1,1,0))</f>
        <v>0</v>
      </c>
      <c r="J1406" s="32">
        <f>IF(H1406="",0,IF(COUNTIF($H$2:H1406,H1406)=1,1,0))</f>
        <v>0</v>
      </c>
    </row>
    <row r="1407" spans="1:10" ht="14.25" hidden="1" customHeight="1" x14ac:dyDescent="0.35">
      <c r="A1407" s="30"/>
      <c r="E1407" s="31"/>
      <c r="G1407" s="32" t="str">
        <f t="shared" si="42"/>
        <v>|||1900|</v>
      </c>
      <c r="H1407" s="32" t="str">
        <f t="shared" si="43"/>
        <v>||1900|</v>
      </c>
      <c r="I1407" s="32">
        <f>IF(G1407="",0,IF(COUNTIF($G$2:G1407,G1407)=1,1,0))</f>
        <v>0</v>
      </c>
      <c r="J1407" s="32">
        <f>IF(H1407="",0,IF(COUNTIF($H$2:H1407,H1407)=1,1,0))</f>
        <v>0</v>
      </c>
    </row>
    <row r="1408" spans="1:10" ht="14.25" hidden="1" customHeight="1" x14ac:dyDescent="0.35">
      <c r="A1408" s="30"/>
      <c r="E1408" s="31"/>
      <c r="G1408" s="32" t="str">
        <f t="shared" si="42"/>
        <v>|||1900|</v>
      </c>
      <c r="H1408" s="32" t="str">
        <f t="shared" si="43"/>
        <v>||1900|</v>
      </c>
      <c r="I1408" s="32">
        <f>IF(G1408="",0,IF(COUNTIF($G$2:G1408,G1408)=1,1,0))</f>
        <v>0</v>
      </c>
      <c r="J1408" s="32">
        <f>IF(H1408="",0,IF(COUNTIF($H$2:H1408,H1408)=1,1,0))</f>
        <v>0</v>
      </c>
    </row>
    <row r="1409" spans="1:10" ht="14.25" hidden="1" customHeight="1" x14ac:dyDescent="0.35">
      <c r="A1409" s="30"/>
      <c r="E1409" s="31"/>
      <c r="G1409" s="32" t="str">
        <f t="shared" si="42"/>
        <v>|||1900|</v>
      </c>
      <c r="H1409" s="32" t="str">
        <f t="shared" si="43"/>
        <v>||1900|</v>
      </c>
      <c r="I1409" s="32">
        <f>IF(G1409="",0,IF(COUNTIF($G$2:G1409,G1409)=1,1,0))</f>
        <v>0</v>
      </c>
      <c r="J1409" s="32">
        <f>IF(H1409="",0,IF(COUNTIF($H$2:H1409,H1409)=1,1,0))</f>
        <v>0</v>
      </c>
    </row>
    <row r="1410" spans="1:10" ht="14.25" hidden="1" customHeight="1" x14ac:dyDescent="0.35">
      <c r="A1410" s="30"/>
      <c r="E1410" s="31"/>
      <c r="G1410" s="32" t="str">
        <f t="shared" ref="G1410:G1473" si="44">IF(D1410="T",
E1410&amp;"|"&amp;F1410,
A1410&amp;"|"&amp;B1410&amp;"|"&amp;C1410&amp;"|"&amp;YEAR(E1410)&amp;"|"&amp;F1410)</f>
        <v>|||1900|</v>
      </c>
      <c r="H1410" s="32" t="str">
        <f t="shared" ref="H1410:H1473" si="45">A1410&amp;"|"&amp;C1410&amp;"|"&amp;YEAR(E1410)&amp;"|"&amp;F1410</f>
        <v>||1900|</v>
      </c>
      <c r="I1410" s="32">
        <f>IF(G1410="",0,IF(COUNTIF($G$2:G1410,G1410)=1,1,0))</f>
        <v>0</v>
      </c>
      <c r="J1410" s="32">
        <f>IF(H1410="",0,IF(COUNTIF($H$2:H1410,H1410)=1,1,0))</f>
        <v>0</v>
      </c>
    </row>
    <row r="1411" spans="1:10" ht="14.25" hidden="1" customHeight="1" x14ac:dyDescent="0.35">
      <c r="A1411" s="30"/>
      <c r="E1411" s="31"/>
      <c r="G1411" s="32" t="str">
        <f t="shared" si="44"/>
        <v>|||1900|</v>
      </c>
      <c r="H1411" s="32" t="str">
        <f t="shared" si="45"/>
        <v>||1900|</v>
      </c>
      <c r="I1411" s="32">
        <f>IF(G1411="",0,IF(COUNTIF($G$2:G1411,G1411)=1,1,0))</f>
        <v>0</v>
      </c>
      <c r="J1411" s="32">
        <f>IF(H1411="",0,IF(COUNTIF($H$2:H1411,H1411)=1,1,0))</f>
        <v>0</v>
      </c>
    </row>
    <row r="1412" spans="1:10" ht="14.25" hidden="1" customHeight="1" x14ac:dyDescent="0.35">
      <c r="A1412" s="30"/>
      <c r="E1412" s="31"/>
      <c r="G1412" s="32" t="str">
        <f t="shared" si="44"/>
        <v>|||1900|</v>
      </c>
      <c r="H1412" s="32" t="str">
        <f t="shared" si="45"/>
        <v>||1900|</v>
      </c>
      <c r="I1412" s="32">
        <f>IF(G1412="",0,IF(COUNTIF($G$2:G1412,G1412)=1,1,0))</f>
        <v>0</v>
      </c>
      <c r="J1412" s="32">
        <f>IF(H1412="",0,IF(COUNTIF($H$2:H1412,H1412)=1,1,0))</f>
        <v>0</v>
      </c>
    </row>
    <row r="1413" spans="1:10" ht="14.25" hidden="1" customHeight="1" x14ac:dyDescent="0.35">
      <c r="A1413" s="30"/>
      <c r="E1413" s="31"/>
      <c r="G1413" s="32" t="str">
        <f t="shared" si="44"/>
        <v>|||1900|</v>
      </c>
      <c r="H1413" s="32" t="str">
        <f t="shared" si="45"/>
        <v>||1900|</v>
      </c>
      <c r="I1413" s="32">
        <f>IF(G1413="",0,IF(COUNTIF($G$2:G1413,G1413)=1,1,0))</f>
        <v>0</v>
      </c>
      <c r="J1413" s="32">
        <f>IF(H1413="",0,IF(COUNTIF($H$2:H1413,H1413)=1,1,0))</f>
        <v>0</v>
      </c>
    </row>
    <row r="1414" spans="1:10" ht="14.25" hidden="1" customHeight="1" x14ac:dyDescent="0.35">
      <c r="A1414" s="30"/>
      <c r="E1414" s="31"/>
      <c r="G1414" s="32" t="str">
        <f t="shared" si="44"/>
        <v>|||1900|</v>
      </c>
      <c r="H1414" s="32" t="str">
        <f t="shared" si="45"/>
        <v>||1900|</v>
      </c>
      <c r="I1414" s="32">
        <f>IF(G1414="",0,IF(COUNTIF($G$2:G1414,G1414)=1,1,0))</f>
        <v>0</v>
      </c>
      <c r="J1414" s="32">
        <f>IF(H1414="",0,IF(COUNTIF($H$2:H1414,H1414)=1,1,0))</f>
        <v>0</v>
      </c>
    </row>
    <row r="1415" spans="1:10" ht="14.25" hidden="1" customHeight="1" x14ac:dyDescent="0.35">
      <c r="A1415" s="30"/>
      <c r="E1415" s="31"/>
      <c r="G1415" s="32" t="str">
        <f t="shared" si="44"/>
        <v>|||1900|</v>
      </c>
      <c r="H1415" s="32" t="str">
        <f t="shared" si="45"/>
        <v>||1900|</v>
      </c>
      <c r="I1415" s="32">
        <f>IF(G1415="",0,IF(COUNTIF($G$2:G1415,G1415)=1,1,0))</f>
        <v>0</v>
      </c>
      <c r="J1415" s="32">
        <f>IF(H1415="",0,IF(COUNTIF($H$2:H1415,H1415)=1,1,0))</f>
        <v>0</v>
      </c>
    </row>
    <row r="1416" spans="1:10" ht="14.25" hidden="1" customHeight="1" x14ac:dyDescent="0.35">
      <c r="A1416" s="30"/>
      <c r="E1416" s="31"/>
      <c r="G1416" s="32" t="str">
        <f t="shared" si="44"/>
        <v>|||1900|</v>
      </c>
      <c r="H1416" s="32" t="str">
        <f t="shared" si="45"/>
        <v>||1900|</v>
      </c>
      <c r="I1416" s="32">
        <f>IF(G1416="",0,IF(COUNTIF($G$2:G1416,G1416)=1,1,0))</f>
        <v>0</v>
      </c>
      <c r="J1416" s="32">
        <f>IF(H1416="",0,IF(COUNTIF($H$2:H1416,H1416)=1,1,0))</f>
        <v>0</v>
      </c>
    </row>
    <row r="1417" spans="1:10" ht="14.25" hidden="1" customHeight="1" x14ac:dyDescent="0.35">
      <c r="A1417" s="30"/>
      <c r="E1417" s="31"/>
      <c r="G1417" s="32" t="str">
        <f t="shared" si="44"/>
        <v>|||1900|</v>
      </c>
      <c r="H1417" s="32" t="str">
        <f t="shared" si="45"/>
        <v>||1900|</v>
      </c>
      <c r="I1417" s="32">
        <f>IF(G1417="",0,IF(COUNTIF($G$2:G1417,G1417)=1,1,0))</f>
        <v>0</v>
      </c>
      <c r="J1417" s="32">
        <f>IF(H1417="",0,IF(COUNTIF($H$2:H1417,H1417)=1,1,0))</f>
        <v>0</v>
      </c>
    </row>
    <row r="1418" spans="1:10" ht="14.25" hidden="1" customHeight="1" x14ac:dyDescent="0.35">
      <c r="A1418" s="30"/>
      <c r="E1418" s="31"/>
      <c r="G1418" s="32" t="str">
        <f t="shared" si="44"/>
        <v>|||1900|</v>
      </c>
      <c r="H1418" s="32" t="str">
        <f t="shared" si="45"/>
        <v>||1900|</v>
      </c>
      <c r="I1418" s="32">
        <f>IF(G1418="",0,IF(COUNTIF($G$2:G1418,G1418)=1,1,0))</f>
        <v>0</v>
      </c>
      <c r="J1418" s="32">
        <f>IF(H1418="",0,IF(COUNTIF($H$2:H1418,H1418)=1,1,0))</f>
        <v>0</v>
      </c>
    </row>
    <row r="1419" spans="1:10" ht="14.25" hidden="1" customHeight="1" x14ac:dyDescent="0.35">
      <c r="A1419" s="30"/>
      <c r="E1419" s="31"/>
      <c r="G1419" s="32" t="str">
        <f t="shared" si="44"/>
        <v>|||1900|</v>
      </c>
      <c r="H1419" s="32" t="str">
        <f t="shared" si="45"/>
        <v>||1900|</v>
      </c>
      <c r="I1419" s="32">
        <f>IF(G1419="",0,IF(COUNTIF($G$2:G1419,G1419)=1,1,0))</f>
        <v>0</v>
      </c>
      <c r="J1419" s="32">
        <f>IF(H1419="",0,IF(COUNTIF($H$2:H1419,H1419)=1,1,0))</f>
        <v>0</v>
      </c>
    </row>
    <row r="1420" spans="1:10" ht="14.25" hidden="1" customHeight="1" x14ac:dyDescent="0.35">
      <c r="A1420" s="30"/>
      <c r="E1420" s="31"/>
      <c r="G1420" s="32" t="str">
        <f t="shared" si="44"/>
        <v>|||1900|</v>
      </c>
      <c r="H1420" s="32" t="str">
        <f t="shared" si="45"/>
        <v>||1900|</v>
      </c>
      <c r="I1420" s="32">
        <f>IF(G1420="",0,IF(COUNTIF($G$2:G1420,G1420)=1,1,0))</f>
        <v>0</v>
      </c>
      <c r="J1420" s="32">
        <f>IF(H1420="",0,IF(COUNTIF($H$2:H1420,H1420)=1,1,0))</f>
        <v>0</v>
      </c>
    </row>
    <row r="1421" spans="1:10" ht="14.25" hidden="1" customHeight="1" x14ac:dyDescent="0.35">
      <c r="A1421" s="30"/>
      <c r="E1421" s="31"/>
      <c r="G1421" s="32" t="str">
        <f t="shared" si="44"/>
        <v>|||1900|</v>
      </c>
      <c r="H1421" s="32" t="str">
        <f t="shared" si="45"/>
        <v>||1900|</v>
      </c>
      <c r="I1421" s="32">
        <f>IF(G1421="",0,IF(COUNTIF($G$2:G1421,G1421)=1,1,0))</f>
        <v>0</v>
      </c>
      <c r="J1421" s="32">
        <f>IF(H1421="",0,IF(COUNTIF($H$2:H1421,H1421)=1,1,0))</f>
        <v>0</v>
      </c>
    </row>
    <row r="1422" spans="1:10" ht="14.25" hidden="1" customHeight="1" x14ac:dyDescent="0.35">
      <c r="A1422" s="30"/>
      <c r="E1422" s="31"/>
      <c r="G1422" s="32" t="str">
        <f t="shared" si="44"/>
        <v>|||1900|</v>
      </c>
      <c r="H1422" s="32" t="str">
        <f t="shared" si="45"/>
        <v>||1900|</v>
      </c>
      <c r="I1422" s="32">
        <f>IF(G1422="",0,IF(COUNTIF($G$2:G1422,G1422)=1,1,0))</f>
        <v>0</v>
      </c>
      <c r="J1422" s="32">
        <f>IF(H1422="",0,IF(COUNTIF($H$2:H1422,H1422)=1,1,0))</f>
        <v>0</v>
      </c>
    </row>
    <row r="1423" spans="1:10" ht="14.25" hidden="1" customHeight="1" x14ac:dyDescent="0.35">
      <c r="A1423" s="30"/>
      <c r="E1423" s="31"/>
      <c r="G1423" s="32" t="str">
        <f t="shared" si="44"/>
        <v>|||1900|</v>
      </c>
      <c r="H1423" s="32" t="str">
        <f t="shared" si="45"/>
        <v>||1900|</v>
      </c>
      <c r="I1423" s="32">
        <f>IF(G1423="",0,IF(COUNTIF($G$2:G1423,G1423)=1,1,0))</f>
        <v>0</v>
      </c>
      <c r="J1423" s="32">
        <f>IF(H1423="",0,IF(COUNTIF($H$2:H1423,H1423)=1,1,0))</f>
        <v>0</v>
      </c>
    </row>
    <row r="1424" spans="1:10" ht="14.25" hidden="1" customHeight="1" x14ac:dyDescent="0.35">
      <c r="A1424" s="30"/>
      <c r="E1424" s="31"/>
      <c r="G1424" s="32" t="str">
        <f t="shared" si="44"/>
        <v>|||1900|</v>
      </c>
      <c r="H1424" s="32" t="str">
        <f t="shared" si="45"/>
        <v>||1900|</v>
      </c>
      <c r="I1424" s="32">
        <f>IF(G1424="",0,IF(COUNTIF($G$2:G1424,G1424)=1,1,0))</f>
        <v>0</v>
      </c>
      <c r="J1424" s="32">
        <f>IF(H1424="",0,IF(COUNTIF($H$2:H1424,H1424)=1,1,0))</f>
        <v>0</v>
      </c>
    </row>
    <row r="1425" spans="1:10" ht="14.25" hidden="1" customHeight="1" x14ac:dyDescent="0.35">
      <c r="A1425" s="30"/>
      <c r="E1425" s="31"/>
      <c r="G1425" s="32" t="str">
        <f t="shared" si="44"/>
        <v>|||1900|</v>
      </c>
      <c r="H1425" s="32" t="str">
        <f t="shared" si="45"/>
        <v>||1900|</v>
      </c>
      <c r="I1425" s="32">
        <f>IF(G1425="",0,IF(COUNTIF($G$2:G1425,G1425)=1,1,0))</f>
        <v>0</v>
      </c>
      <c r="J1425" s="32">
        <f>IF(H1425="",0,IF(COUNTIF($H$2:H1425,H1425)=1,1,0))</f>
        <v>0</v>
      </c>
    </row>
    <row r="1426" spans="1:10" ht="14.25" hidden="1" customHeight="1" x14ac:dyDescent="0.35">
      <c r="A1426" s="30"/>
      <c r="E1426" s="31"/>
      <c r="G1426" s="32" t="str">
        <f t="shared" si="44"/>
        <v>|||1900|</v>
      </c>
      <c r="H1426" s="32" t="str">
        <f t="shared" si="45"/>
        <v>||1900|</v>
      </c>
      <c r="I1426" s="32">
        <f>IF(G1426="",0,IF(COUNTIF($G$2:G1426,G1426)=1,1,0))</f>
        <v>0</v>
      </c>
      <c r="J1426" s="32">
        <f>IF(H1426="",0,IF(COUNTIF($H$2:H1426,H1426)=1,1,0))</f>
        <v>0</v>
      </c>
    </row>
    <row r="1427" spans="1:10" ht="14.25" hidden="1" customHeight="1" x14ac:dyDescent="0.35">
      <c r="A1427" s="30"/>
      <c r="E1427" s="31"/>
      <c r="G1427" s="32" t="str">
        <f t="shared" si="44"/>
        <v>|||1900|</v>
      </c>
      <c r="H1427" s="32" t="str">
        <f t="shared" si="45"/>
        <v>||1900|</v>
      </c>
      <c r="I1427" s="32">
        <f>IF(G1427="",0,IF(COUNTIF($G$2:G1427,G1427)=1,1,0))</f>
        <v>0</v>
      </c>
      <c r="J1427" s="32">
        <f>IF(H1427="",0,IF(COUNTIF($H$2:H1427,H1427)=1,1,0))</f>
        <v>0</v>
      </c>
    </row>
    <row r="1428" spans="1:10" ht="14.25" hidden="1" customHeight="1" x14ac:dyDescent="0.35">
      <c r="A1428" s="30"/>
      <c r="E1428" s="31"/>
      <c r="G1428" s="32" t="str">
        <f t="shared" si="44"/>
        <v>|||1900|</v>
      </c>
      <c r="H1428" s="32" t="str">
        <f t="shared" si="45"/>
        <v>||1900|</v>
      </c>
      <c r="I1428" s="32">
        <f>IF(G1428="",0,IF(COUNTIF($G$2:G1428,G1428)=1,1,0))</f>
        <v>0</v>
      </c>
      <c r="J1428" s="32">
        <f>IF(H1428="",0,IF(COUNTIF($H$2:H1428,H1428)=1,1,0))</f>
        <v>0</v>
      </c>
    </row>
    <row r="1429" spans="1:10" ht="14.25" hidden="1" customHeight="1" x14ac:dyDescent="0.35">
      <c r="A1429" s="30"/>
      <c r="E1429" s="31"/>
      <c r="G1429" s="32" t="str">
        <f t="shared" si="44"/>
        <v>|||1900|</v>
      </c>
      <c r="H1429" s="32" t="str">
        <f t="shared" si="45"/>
        <v>||1900|</v>
      </c>
      <c r="I1429" s="32">
        <f>IF(G1429="",0,IF(COUNTIF($G$2:G1429,G1429)=1,1,0))</f>
        <v>0</v>
      </c>
      <c r="J1429" s="32">
        <f>IF(H1429="",0,IF(COUNTIF($H$2:H1429,H1429)=1,1,0))</f>
        <v>0</v>
      </c>
    </row>
    <row r="1430" spans="1:10" ht="14.25" hidden="1" customHeight="1" x14ac:dyDescent="0.35">
      <c r="A1430" s="30"/>
      <c r="E1430" s="31"/>
      <c r="G1430" s="32" t="str">
        <f t="shared" si="44"/>
        <v>|||1900|</v>
      </c>
      <c r="H1430" s="32" t="str">
        <f t="shared" si="45"/>
        <v>||1900|</v>
      </c>
      <c r="I1430" s="32">
        <f>IF(G1430="",0,IF(COUNTIF($G$2:G1430,G1430)=1,1,0))</f>
        <v>0</v>
      </c>
      <c r="J1430" s="32">
        <f>IF(H1430="",0,IF(COUNTIF($H$2:H1430,H1430)=1,1,0))</f>
        <v>0</v>
      </c>
    </row>
    <row r="1431" spans="1:10" ht="14.25" hidden="1" customHeight="1" x14ac:dyDescent="0.35">
      <c r="A1431" s="30"/>
      <c r="E1431" s="31"/>
      <c r="G1431" s="32" t="str">
        <f t="shared" si="44"/>
        <v>|||1900|</v>
      </c>
      <c r="H1431" s="32" t="str">
        <f t="shared" si="45"/>
        <v>||1900|</v>
      </c>
      <c r="I1431" s="32">
        <f>IF(G1431="",0,IF(COUNTIF($G$2:G1431,G1431)=1,1,0))</f>
        <v>0</v>
      </c>
      <c r="J1431" s="32">
        <f>IF(H1431="",0,IF(COUNTIF($H$2:H1431,H1431)=1,1,0))</f>
        <v>0</v>
      </c>
    </row>
    <row r="1432" spans="1:10" ht="14.25" hidden="1" customHeight="1" x14ac:dyDescent="0.35">
      <c r="A1432" s="30"/>
      <c r="E1432" s="31"/>
      <c r="G1432" s="32" t="str">
        <f t="shared" si="44"/>
        <v>|||1900|</v>
      </c>
      <c r="H1432" s="32" t="str">
        <f t="shared" si="45"/>
        <v>||1900|</v>
      </c>
      <c r="I1432" s="32">
        <f>IF(G1432="",0,IF(COUNTIF($G$2:G1432,G1432)=1,1,0))</f>
        <v>0</v>
      </c>
      <c r="J1432" s="32">
        <f>IF(H1432="",0,IF(COUNTIF($H$2:H1432,H1432)=1,1,0))</f>
        <v>0</v>
      </c>
    </row>
    <row r="1433" spans="1:10" ht="14.25" hidden="1" customHeight="1" x14ac:dyDescent="0.35">
      <c r="A1433" s="30"/>
      <c r="E1433" s="31"/>
      <c r="G1433" s="32" t="str">
        <f t="shared" si="44"/>
        <v>|||1900|</v>
      </c>
      <c r="H1433" s="32" t="str">
        <f t="shared" si="45"/>
        <v>||1900|</v>
      </c>
      <c r="I1433" s="32">
        <f>IF(G1433="",0,IF(COUNTIF($G$2:G1433,G1433)=1,1,0))</f>
        <v>0</v>
      </c>
      <c r="J1433" s="32">
        <f>IF(H1433="",0,IF(COUNTIF($H$2:H1433,H1433)=1,1,0))</f>
        <v>0</v>
      </c>
    </row>
    <row r="1434" spans="1:10" ht="14.25" hidden="1" customHeight="1" x14ac:dyDescent="0.35">
      <c r="A1434" s="30"/>
      <c r="E1434" s="31"/>
      <c r="G1434" s="32" t="str">
        <f t="shared" si="44"/>
        <v>|||1900|</v>
      </c>
      <c r="H1434" s="32" t="str">
        <f t="shared" si="45"/>
        <v>||1900|</v>
      </c>
      <c r="I1434" s="32">
        <f>IF(G1434="",0,IF(COUNTIF($G$2:G1434,G1434)=1,1,0))</f>
        <v>0</v>
      </c>
      <c r="J1434" s="32">
        <f>IF(H1434="",0,IF(COUNTIF($H$2:H1434,H1434)=1,1,0))</f>
        <v>0</v>
      </c>
    </row>
    <row r="1435" spans="1:10" ht="14.25" hidden="1" customHeight="1" x14ac:dyDescent="0.35">
      <c r="A1435" s="30"/>
      <c r="E1435" s="31"/>
      <c r="G1435" s="32" t="str">
        <f t="shared" si="44"/>
        <v>|||1900|</v>
      </c>
      <c r="H1435" s="32" t="str">
        <f t="shared" si="45"/>
        <v>||1900|</v>
      </c>
      <c r="I1435" s="32">
        <f>IF(G1435="",0,IF(COUNTIF($G$2:G1435,G1435)=1,1,0))</f>
        <v>0</v>
      </c>
      <c r="J1435" s="32">
        <f>IF(H1435="",0,IF(COUNTIF($H$2:H1435,H1435)=1,1,0))</f>
        <v>0</v>
      </c>
    </row>
    <row r="1436" spans="1:10" ht="14.25" hidden="1" customHeight="1" x14ac:dyDescent="0.35">
      <c r="A1436" s="30"/>
      <c r="E1436" s="31"/>
      <c r="G1436" s="32" t="str">
        <f t="shared" si="44"/>
        <v>|||1900|</v>
      </c>
      <c r="H1436" s="32" t="str">
        <f t="shared" si="45"/>
        <v>||1900|</v>
      </c>
      <c r="I1436" s="32">
        <f>IF(G1436="",0,IF(COUNTIF($G$2:G1436,G1436)=1,1,0))</f>
        <v>0</v>
      </c>
      <c r="J1436" s="32">
        <f>IF(H1436="",0,IF(COUNTIF($H$2:H1436,H1436)=1,1,0))</f>
        <v>0</v>
      </c>
    </row>
    <row r="1437" spans="1:10" ht="14.25" hidden="1" customHeight="1" x14ac:dyDescent="0.35">
      <c r="A1437" s="30"/>
      <c r="E1437" s="31"/>
      <c r="G1437" s="32" t="str">
        <f t="shared" si="44"/>
        <v>|||1900|</v>
      </c>
      <c r="H1437" s="32" t="str">
        <f t="shared" si="45"/>
        <v>||1900|</v>
      </c>
      <c r="I1437" s="32">
        <f>IF(G1437="",0,IF(COUNTIF($G$2:G1437,G1437)=1,1,0))</f>
        <v>0</v>
      </c>
      <c r="J1437" s="32">
        <f>IF(H1437="",0,IF(COUNTIF($H$2:H1437,H1437)=1,1,0))</f>
        <v>0</v>
      </c>
    </row>
    <row r="1438" spans="1:10" ht="14.25" hidden="1" customHeight="1" x14ac:dyDescent="0.35">
      <c r="A1438" s="30"/>
      <c r="E1438" s="31"/>
      <c r="G1438" s="32" t="str">
        <f t="shared" si="44"/>
        <v>|||1900|</v>
      </c>
      <c r="H1438" s="32" t="str">
        <f t="shared" si="45"/>
        <v>||1900|</v>
      </c>
      <c r="I1438" s="32">
        <f>IF(G1438="",0,IF(COUNTIF($G$2:G1438,G1438)=1,1,0))</f>
        <v>0</v>
      </c>
      <c r="J1438" s="32">
        <f>IF(H1438="",0,IF(COUNTIF($H$2:H1438,H1438)=1,1,0))</f>
        <v>0</v>
      </c>
    </row>
    <row r="1439" spans="1:10" ht="14.25" hidden="1" customHeight="1" x14ac:dyDescent="0.35">
      <c r="A1439" s="30"/>
      <c r="E1439" s="31"/>
      <c r="G1439" s="32" t="str">
        <f t="shared" si="44"/>
        <v>|||1900|</v>
      </c>
      <c r="H1439" s="32" t="str">
        <f t="shared" si="45"/>
        <v>||1900|</v>
      </c>
      <c r="I1439" s="32">
        <f>IF(G1439="",0,IF(COUNTIF($G$2:G1439,G1439)=1,1,0))</f>
        <v>0</v>
      </c>
      <c r="J1439" s="32">
        <f>IF(H1439="",0,IF(COUNTIF($H$2:H1439,H1439)=1,1,0))</f>
        <v>0</v>
      </c>
    </row>
    <row r="1440" spans="1:10" ht="14.25" hidden="1" customHeight="1" x14ac:dyDescent="0.35">
      <c r="A1440" s="30"/>
      <c r="E1440" s="31"/>
      <c r="G1440" s="32" t="str">
        <f t="shared" si="44"/>
        <v>|||1900|</v>
      </c>
      <c r="H1440" s="32" t="str">
        <f t="shared" si="45"/>
        <v>||1900|</v>
      </c>
      <c r="I1440" s="32">
        <f>IF(G1440="",0,IF(COUNTIF($G$2:G1440,G1440)=1,1,0))</f>
        <v>0</v>
      </c>
      <c r="J1440" s="32">
        <f>IF(H1440="",0,IF(COUNTIF($H$2:H1440,H1440)=1,1,0))</f>
        <v>0</v>
      </c>
    </row>
    <row r="1441" spans="1:10" ht="14.25" hidden="1" customHeight="1" x14ac:dyDescent="0.35">
      <c r="A1441" s="30"/>
      <c r="E1441" s="31"/>
      <c r="G1441" s="32" t="str">
        <f t="shared" si="44"/>
        <v>|||1900|</v>
      </c>
      <c r="H1441" s="32" t="str">
        <f t="shared" si="45"/>
        <v>||1900|</v>
      </c>
      <c r="I1441" s="32">
        <f>IF(G1441="",0,IF(COUNTIF($G$2:G1441,G1441)=1,1,0))</f>
        <v>0</v>
      </c>
      <c r="J1441" s="32">
        <f>IF(H1441="",0,IF(COUNTIF($H$2:H1441,H1441)=1,1,0))</f>
        <v>0</v>
      </c>
    </row>
    <row r="1442" spans="1:10" ht="14.25" hidden="1" customHeight="1" x14ac:dyDescent="0.35">
      <c r="A1442" s="30"/>
      <c r="E1442" s="31"/>
      <c r="G1442" s="32" t="str">
        <f t="shared" si="44"/>
        <v>|||1900|</v>
      </c>
      <c r="H1442" s="32" t="str">
        <f t="shared" si="45"/>
        <v>||1900|</v>
      </c>
      <c r="I1442" s="32">
        <f>IF(G1442="",0,IF(COUNTIF($G$2:G1442,G1442)=1,1,0))</f>
        <v>0</v>
      </c>
      <c r="J1442" s="32">
        <f>IF(H1442="",0,IF(COUNTIF($H$2:H1442,H1442)=1,1,0))</f>
        <v>0</v>
      </c>
    </row>
    <row r="1443" spans="1:10" ht="14.25" hidden="1" customHeight="1" x14ac:dyDescent="0.35">
      <c r="A1443" s="30"/>
      <c r="E1443" s="31"/>
      <c r="G1443" s="32" t="str">
        <f t="shared" si="44"/>
        <v>|||1900|</v>
      </c>
      <c r="H1443" s="32" t="str">
        <f t="shared" si="45"/>
        <v>||1900|</v>
      </c>
      <c r="I1443" s="32">
        <f>IF(G1443="",0,IF(COUNTIF($G$2:G1443,G1443)=1,1,0))</f>
        <v>0</v>
      </c>
      <c r="J1443" s="32">
        <f>IF(H1443="",0,IF(COUNTIF($H$2:H1443,H1443)=1,1,0))</f>
        <v>0</v>
      </c>
    </row>
    <row r="1444" spans="1:10" ht="14.25" hidden="1" customHeight="1" x14ac:dyDescent="0.35">
      <c r="A1444" s="30"/>
      <c r="E1444" s="31"/>
      <c r="G1444" s="32" t="str">
        <f t="shared" si="44"/>
        <v>|||1900|</v>
      </c>
      <c r="H1444" s="32" t="str">
        <f t="shared" si="45"/>
        <v>||1900|</v>
      </c>
      <c r="I1444" s="32">
        <f>IF(G1444="",0,IF(COUNTIF($G$2:G1444,G1444)=1,1,0))</f>
        <v>0</v>
      </c>
      <c r="J1444" s="32">
        <f>IF(H1444="",0,IF(COUNTIF($H$2:H1444,H1444)=1,1,0))</f>
        <v>0</v>
      </c>
    </row>
    <row r="1445" spans="1:10" ht="14.25" hidden="1" customHeight="1" x14ac:dyDescent="0.35">
      <c r="A1445" s="30"/>
      <c r="E1445" s="31"/>
      <c r="G1445" s="32" t="str">
        <f t="shared" si="44"/>
        <v>|||1900|</v>
      </c>
      <c r="H1445" s="32" t="str">
        <f t="shared" si="45"/>
        <v>||1900|</v>
      </c>
      <c r="I1445" s="32">
        <f>IF(G1445="",0,IF(COUNTIF($G$2:G1445,G1445)=1,1,0))</f>
        <v>0</v>
      </c>
      <c r="J1445" s="32">
        <f>IF(H1445="",0,IF(COUNTIF($H$2:H1445,H1445)=1,1,0))</f>
        <v>0</v>
      </c>
    </row>
    <row r="1446" spans="1:10" ht="14.25" hidden="1" customHeight="1" x14ac:dyDescent="0.35">
      <c r="A1446" s="30"/>
      <c r="E1446" s="31"/>
      <c r="G1446" s="32" t="str">
        <f t="shared" si="44"/>
        <v>|||1900|</v>
      </c>
      <c r="H1446" s="32" t="str">
        <f t="shared" si="45"/>
        <v>||1900|</v>
      </c>
      <c r="I1446" s="32">
        <f>IF(G1446="",0,IF(COUNTIF($G$2:G1446,G1446)=1,1,0))</f>
        <v>0</v>
      </c>
      <c r="J1446" s="32">
        <f>IF(H1446="",0,IF(COUNTIF($H$2:H1446,H1446)=1,1,0))</f>
        <v>0</v>
      </c>
    </row>
    <row r="1447" spans="1:10" ht="14.25" hidden="1" customHeight="1" x14ac:dyDescent="0.35">
      <c r="A1447" s="30"/>
      <c r="E1447" s="31"/>
      <c r="G1447" s="32" t="str">
        <f t="shared" si="44"/>
        <v>|||1900|</v>
      </c>
      <c r="H1447" s="32" t="str">
        <f t="shared" si="45"/>
        <v>||1900|</v>
      </c>
      <c r="I1447" s="32">
        <f>IF(G1447="",0,IF(COUNTIF($G$2:G1447,G1447)=1,1,0))</f>
        <v>0</v>
      </c>
      <c r="J1447" s="32">
        <f>IF(H1447="",0,IF(COUNTIF($H$2:H1447,H1447)=1,1,0))</f>
        <v>0</v>
      </c>
    </row>
    <row r="1448" spans="1:10" ht="14.25" hidden="1" customHeight="1" x14ac:dyDescent="0.35">
      <c r="A1448" s="30"/>
      <c r="E1448" s="31"/>
      <c r="G1448" s="32" t="str">
        <f t="shared" si="44"/>
        <v>|||1900|</v>
      </c>
      <c r="H1448" s="32" t="str">
        <f t="shared" si="45"/>
        <v>||1900|</v>
      </c>
      <c r="I1448" s="32">
        <f>IF(G1448="",0,IF(COUNTIF($G$2:G1448,G1448)=1,1,0))</f>
        <v>0</v>
      </c>
      <c r="J1448" s="32">
        <f>IF(H1448="",0,IF(COUNTIF($H$2:H1448,H1448)=1,1,0))</f>
        <v>0</v>
      </c>
    </row>
    <row r="1449" spans="1:10" ht="14.25" hidden="1" customHeight="1" x14ac:dyDescent="0.35">
      <c r="A1449" s="30"/>
      <c r="E1449" s="31"/>
      <c r="G1449" s="32" t="str">
        <f t="shared" si="44"/>
        <v>|||1900|</v>
      </c>
      <c r="H1449" s="32" t="str">
        <f t="shared" si="45"/>
        <v>||1900|</v>
      </c>
      <c r="I1449" s="32">
        <f>IF(G1449="",0,IF(COUNTIF($G$2:G1449,G1449)=1,1,0))</f>
        <v>0</v>
      </c>
      <c r="J1449" s="32">
        <f>IF(H1449="",0,IF(COUNTIF($H$2:H1449,H1449)=1,1,0))</f>
        <v>0</v>
      </c>
    </row>
    <row r="1450" spans="1:10" ht="14.25" hidden="1" customHeight="1" x14ac:dyDescent="0.35">
      <c r="A1450" s="30"/>
      <c r="E1450" s="31"/>
      <c r="G1450" s="32" t="str">
        <f t="shared" si="44"/>
        <v>|||1900|</v>
      </c>
      <c r="H1450" s="32" t="str">
        <f t="shared" si="45"/>
        <v>||1900|</v>
      </c>
      <c r="I1450" s="32">
        <f>IF(G1450="",0,IF(COUNTIF($G$2:G1450,G1450)=1,1,0))</f>
        <v>0</v>
      </c>
      <c r="J1450" s="32">
        <f>IF(H1450="",0,IF(COUNTIF($H$2:H1450,H1450)=1,1,0))</f>
        <v>0</v>
      </c>
    </row>
    <row r="1451" spans="1:10" ht="14.25" hidden="1" customHeight="1" x14ac:dyDescent="0.35">
      <c r="A1451" s="30"/>
      <c r="E1451" s="31"/>
      <c r="G1451" s="32" t="str">
        <f t="shared" si="44"/>
        <v>|||1900|</v>
      </c>
      <c r="H1451" s="32" t="str">
        <f t="shared" si="45"/>
        <v>||1900|</v>
      </c>
      <c r="I1451" s="32">
        <f>IF(G1451="",0,IF(COUNTIF($G$2:G1451,G1451)=1,1,0))</f>
        <v>0</v>
      </c>
      <c r="J1451" s="32">
        <f>IF(H1451="",0,IF(COUNTIF($H$2:H1451,H1451)=1,1,0))</f>
        <v>0</v>
      </c>
    </row>
    <row r="1452" spans="1:10" ht="14.25" hidden="1" customHeight="1" x14ac:dyDescent="0.35">
      <c r="A1452" s="30"/>
      <c r="E1452" s="31"/>
      <c r="G1452" s="32" t="str">
        <f t="shared" si="44"/>
        <v>|||1900|</v>
      </c>
      <c r="H1452" s="32" t="str">
        <f t="shared" si="45"/>
        <v>||1900|</v>
      </c>
      <c r="I1452" s="32">
        <f>IF(G1452="",0,IF(COUNTIF($G$2:G1452,G1452)=1,1,0))</f>
        <v>0</v>
      </c>
      <c r="J1452" s="32">
        <f>IF(H1452="",0,IF(COUNTIF($H$2:H1452,H1452)=1,1,0))</f>
        <v>0</v>
      </c>
    </row>
    <row r="1453" spans="1:10" ht="14.25" hidden="1" customHeight="1" x14ac:dyDescent="0.35">
      <c r="A1453" s="30"/>
      <c r="E1453" s="31"/>
      <c r="G1453" s="32" t="str">
        <f t="shared" si="44"/>
        <v>|||1900|</v>
      </c>
      <c r="H1453" s="32" t="str">
        <f t="shared" si="45"/>
        <v>||1900|</v>
      </c>
      <c r="I1453" s="32">
        <f>IF(G1453="",0,IF(COUNTIF($G$2:G1453,G1453)=1,1,0))</f>
        <v>0</v>
      </c>
      <c r="J1453" s="32">
        <f>IF(H1453="",0,IF(COUNTIF($H$2:H1453,H1453)=1,1,0))</f>
        <v>0</v>
      </c>
    </row>
    <row r="1454" spans="1:10" ht="14.25" hidden="1" customHeight="1" x14ac:dyDescent="0.35">
      <c r="A1454" s="30"/>
      <c r="E1454" s="31"/>
      <c r="G1454" s="32" t="str">
        <f t="shared" si="44"/>
        <v>|||1900|</v>
      </c>
      <c r="H1454" s="32" t="str">
        <f t="shared" si="45"/>
        <v>||1900|</v>
      </c>
      <c r="I1454" s="32">
        <f>IF(G1454="",0,IF(COUNTIF($G$2:G1454,G1454)=1,1,0))</f>
        <v>0</v>
      </c>
      <c r="J1454" s="32">
        <f>IF(H1454="",0,IF(COUNTIF($H$2:H1454,H1454)=1,1,0))</f>
        <v>0</v>
      </c>
    </row>
    <row r="1455" spans="1:10" ht="14.25" hidden="1" customHeight="1" x14ac:dyDescent="0.35">
      <c r="A1455" s="30"/>
      <c r="E1455" s="31"/>
      <c r="G1455" s="32" t="str">
        <f t="shared" si="44"/>
        <v>|||1900|</v>
      </c>
      <c r="H1455" s="32" t="str">
        <f t="shared" si="45"/>
        <v>||1900|</v>
      </c>
      <c r="I1455" s="32">
        <f>IF(G1455="",0,IF(COUNTIF($G$2:G1455,G1455)=1,1,0))</f>
        <v>0</v>
      </c>
      <c r="J1455" s="32">
        <f>IF(H1455="",0,IF(COUNTIF($H$2:H1455,H1455)=1,1,0))</f>
        <v>0</v>
      </c>
    </row>
    <row r="1456" spans="1:10" ht="14.25" hidden="1" customHeight="1" x14ac:dyDescent="0.35">
      <c r="A1456" s="30"/>
      <c r="E1456" s="31"/>
      <c r="G1456" s="32" t="str">
        <f t="shared" si="44"/>
        <v>|||1900|</v>
      </c>
      <c r="H1456" s="32" t="str">
        <f t="shared" si="45"/>
        <v>||1900|</v>
      </c>
      <c r="I1456" s="32">
        <f>IF(G1456="",0,IF(COUNTIF($G$2:G1456,G1456)=1,1,0))</f>
        <v>0</v>
      </c>
      <c r="J1456" s="32">
        <f>IF(H1456="",0,IF(COUNTIF($H$2:H1456,H1456)=1,1,0))</f>
        <v>0</v>
      </c>
    </row>
    <row r="1457" spans="1:10" ht="14.25" hidden="1" customHeight="1" x14ac:dyDescent="0.35">
      <c r="A1457" s="30"/>
      <c r="E1457" s="31"/>
      <c r="G1457" s="32" t="str">
        <f t="shared" si="44"/>
        <v>|||1900|</v>
      </c>
      <c r="H1457" s="32" t="str">
        <f t="shared" si="45"/>
        <v>||1900|</v>
      </c>
      <c r="I1457" s="32">
        <f>IF(G1457="",0,IF(COUNTIF($G$2:G1457,G1457)=1,1,0))</f>
        <v>0</v>
      </c>
      <c r="J1457" s="32">
        <f>IF(H1457="",0,IF(COUNTIF($H$2:H1457,H1457)=1,1,0))</f>
        <v>0</v>
      </c>
    </row>
    <row r="1458" spans="1:10" ht="14.25" hidden="1" customHeight="1" x14ac:dyDescent="0.35">
      <c r="A1458" s="30"/>
      <c r="E1458" s="31"/>
      <c r="G1458" s="32" t="str">
        <f t="shared" si="44"/>
        <v>|||1900|</v>
      </c>
      <c r="H1458" s="32" t="str">
        <f t="shared" si="45"/>
        <v>||1900|</v>
      </c>
      <c r="I1458" s="32">
        <f>IF(G1458="",0,IF(COUNTIF($G$2:G1458,G1458)=1,1,0))</f>
        <v>0</v>
      </c>
      <c r="J1458" s="32">
        <f>IF(H1458="",0,IF(COUNTIF($H$2:H1458,H1458)=1,1,0))</f>
        <v>0</v>
      </c>
    </row>
    <row r="1459" spans="1:10" ht="14.25" hidden="1" customHeight="1" x14ac:dyDescent="0.35">
      <c r="A1459" s="30"/>
      <c r="E1459" s="31"/>
      <c r="G1459" s="32" t="str">
        <f t="shared" si="44"/>
        <v>|||1900|</v>
      </c>
      <c r="H1459" s="32" t="str">
        <f t="shared" si="45"/>
        <v>||1900|</v>
      </c>
      <c r="I1459" s="32">
        <f>IF(G1459="",0,IF(COUNTIF($G$2:G1459,G1459)=1,1,0))</f>
        <v>0</v>
      </c>
      <c r="J1459" s="32">
        <f>IF(H1459="",0,IF(COUNTIF($H$2:H1459,H1459)=1,1,0))</f>
        <v>0</v>
      </c>
    </row>
    <row r="1460" spans="1:10" ht="14.25" hidden="1" customHeight="1" x14ac:dyDescent="0.35">
      <c r="A1460" s="30"/>
      <c r="E1460" s="31"/>
      <c r="G1460" s="32" t="str">
        <f t="shared" si="44"/>
        <v>|||1900|</v>
      </c>
      <c r="H1460" s="32" t="str">
        <f t="shared" si="45"/>
        <v>||1900|</v>
      </c>
      <c r="I1460" s="32">
        <f>IF(G1460="",0,IF(COUNTIF($G$2:G1460,G1460)=1,1,0))</f>
        <v>0</v>
      </c>
      <c r="J1460" s="32">
        <f>IF(H1460="",0,IF(COUNTIF($H$2:H1460,H1460)=1,1,0))</f>
        <v>0</v>
      </c>
    </row>
    <row r="1461" spans="1:10" ht="14.25" hidden="1" customHeight="1" x14ac:dyDescent="0.35">
      <c r="A1461" s="30"/>
      <c r="E1461" s="31"/>
      <c r="G1461" s="32" t="str">
        <f t="shared" si="44"/>
        <v>|||1900|</v>
      </c>
      <c r="H1461" s="32" t="str">
        <f t="shared" si="45"/>
        <v>||1900|</v>
      </c>
      <c r="I1461" s="32">
        <f>IF(G1461="",0,IF(COUNTIF($G$2:G1461,G1461)=1,1,0))</f>
        <v>0</v>
      </c>
      <c r="J1461" s="32">
        <f>IF(H1461="",0,IF(COUNTIF($H$2:H1461,H1461)=1,1,0))</f>
        <v>0</v>
      </c>
    </row>
    <row r="1462" spans="1:10" ht="14.25" hidden="1" customHeight="1" x14ac:dyDescent="0.35">
      <c r="A1462" s="30"/>
      <c r="E1462" s="31"/>
      <c r="G1462" s="32" t="str">
        <f t="shared" si="44"/>
        <v>|||1900|</v>
      </c>
      <c r="H1462" s="32" t="str">
        <f t="shared" si="45"/>
        <v>||1900|</v>
      </c>
      <c r="I1462" s="32">
        <f>IF(G1462="",0,IF(COUNTIF($G$2:G1462,G1462)=1,1,0))</f>
        <v>0</v>
      </c>
      <c r="J1462" s="32">
        <f>IF(H1462="",0,IF(COUNTIF($H$2:H1462,H1462)=1,1,0))</f>
        <v>0</v>
      </c>
    </row>
    <row r="1463" spans="1:10" ht="14.25" hidden="1" customHeight="1" x14ac:dyDescent="0.35">
      <c r="A1463" s="30"/>
      <c r="E1463" s="31"/>
      <c r="G1463" s="32" t="str">
        <f t="shared" si="44"/>
        <v>|||1900|</v>
      </c>
      <c r="H1463" s="32" t="str">
        <f t="shared" si="45"/>
        <v>||1900|</v>
      </c>
      <c r="I1463" s="32">
        <f>IF(G1463="",0,IF(COUNTIF($G$2:G1463,G1463)=1,1,0))</f>
        <v>0</v>
      </c>
      <c r="J1463" s="32">
        <f>IF(H1463="",0,IF(COUNTIF($H$2:H1463,H1463)=1,1,0))</f>
        <v>0</v>
      </c>
    </row>
    <row r="1464" spans="1:10" ht="14.25" hidden="1" customHeight="1" x14ac:dyDescent="0.35">
      <c r="A1464" s="30"/>
      <c r="E1464" s="31"/>
      <c r="G1464" s="32" t="str">
        <f t="shared" si="44"/>
        <v>|||1900|</v>
      </c>
      <c r="H1464" s="32" t="str">
        <f t="shared" si="45"/>
        <v>||1900|</v>
      </c>
      <c r="I1464" s="32">
        <f>IF(G1464="",0,IF(COUNTIF($G$2:G1464,G1464)=1,1,0))</f>
        <v>0</v>
      </c>
      <c r="J1464" s="32">
        <f>IF(H1464="",0,IF(COUNTIF($H$2:H1464,H1464)=1,1,0))</f>
        <v>0</v>
      </c>
    </row>
    <row r="1465" spans="1:10" ht="14.25" hidden="1" customHeight="1" x14ac:dyDescent="0.35">
      <c r="A1465" s="30"/>
      <c r="E1465" s="31"/>
      <c r="G1465" s="32" t="str">
        <f t="shared" si="44"/>
        <v>|||1900|</v>
      </c>
      <c r="H1465" s="32" t="str">
        <f t="shared" si="45"/>
        <v>||1900|</v>
      </c>
      <c r="I1465" s="32">
        <f>IF(G1465="",0,IF(COUNTIF($G$2:G1465,G1465)=1,1,0))</f>
        <v>0</v>
      </c>
      <c r="J1465" s="32">
        <f>IF(H1465="",0,IF(COUNTIF($H$2:H1465,H1465)=1,1,0))</f>
        <v>0</v>
      </c>
    </row>
    <row r="1466" spans="1:10" ht="14.25" hidden="1" customHeight="1" x14ac:dyDescent="0.35">
      <c r="A1466" s="30"/>
      <c r="E1466" s="31"/>
      <c r="G1466" s="32" t="str">
        <f t="shared" si="44"/>
        <v>|||1900|</v>
      </c>
      <c r="H1466" s="32" t="str">
        <f t="shared" si="45"/>
        <v>||1900|</v>
      </c>
      <c r="I1466" s="32">
        <f>IF(G1466="",0,IF(COUNTIF($G$2:G1466,G1466)=1,1,0))</f>
        <v>0</v>
      </c>
      <c r="J1466" s="32">
        <f>IF(H1466="",0,IF(COUNTIF($H$2:H1466,H1466)=1,1,0))</f>
        <v>0</v>
      </c>
    </row>
    <row r="1467" spans="1:10" ht="14.25" hidden="1" customHeight="1" x14ac:dyDescent="0.35">
      <c r="A1467" s="30"/>
      <c r="E1467" s="31"/>
      <c r="G1467" s="32" t="str">
        <f t="shared" si="44"/>
        <v>|||1900|</v>
      </c>
      <c r="H1467" s="32" t="str">
        <f t="shared" si="45"/>
        <v>||1900|</v>
      </c>
      <c r="I1467" s="32">
        <f>IF(G1467="",0,IF(COUNTIF($G$2:G1467,G1467)=1,1,0))</f>
        <v>0</v>
      </c>
      <c r="J1467" s="32">
        <f>IF(H1467="",0,IF(COUNTIF($H$2:H1467,H1467)=1,1,0))</f>
        <v>0</v>
      </c>
    </row>
    <row r="1468" spans="1:10" ht="14.25" hidden="1" customHeight="1" x14ac:dyDescent="0.35">
      <c r="A1468" s="30"/>
      <c r="E1468" s="31"/>
      <c r="G1468" s="32" t="str">
        <f t="shared" si="44"/>
        <v>|||1900|</v>
      </c>
      <c r="H1468" s="32" t="str">
        <f t="shared" si="45"/>
        <v>||1900|</v>
      </c>
      <c r="I1468" s="32">
        <f>IF(G1468="",0,IF(COUNTIF($G$2:G1468,G1468)=1,1,0))</f>
        <v>0</v>
      </c>
      <c r="J1468" s="32">
        <f>IF(H1468="",0,IF(COUNTIF($H$2:H1468,H1468)=1,1,0))</f>
        <v>0</v>
      </c>
    </row>
    <row r="1469" spans="1:10" ht="14.25" hidden="1" customHeight="1" x14ac:dyDescent="0.35">
      <c r="A1469" s="30"/>
      <c r="E1469" s="31"/>
      <c r="G1469" s="32" t="str">
        <f t="shared" si="44"/>
        <v>|||1900|</v>
      </c>
      <c r="H1469" s="32" t="str">
        <f t="shared" si="45"/>
        <v>||1900|</v>
      </c>
      <c r="I1469" s="32">
        <f>IF(G1469="",0,IF(COUNTIF($G$2:G1469,G1469)=1,1,0))</f>
        <v>0</v>
      </c>
      <c r="J1469" s="32">
        <f>IF(H1469="",0,IF(COUNTIF($H$2:H1469,H1469)=1,1,0))</f>
        <v>0</v>
      </c>
    </row>
    <row r="1470" spans="1:10" ht="14.25" hidden="1" customHeight="1" x14ac:dyDescent="0.35">
      <c r="A1470" s="30"/>
      <c r="E1470" s="31"/>
      <c r="G1470" s="32" t="str">
        <f t="shared" si="44"/>
        <v>|||1900|</v>
      </c>
      <c r="H1470" s="32" t="str">
        <f t="shared" si="45"/>
        <v>||1900|</v>
      </c>
      <c r="I1470" s="32">
        <f>IF(G1470="",0,IF(COUNTIF($G$2:G1470,G1470)=1,1,0))</f>
        <v>0</v>
      </c>
      <c r="J1470" s="32">
        <f>IF(H1470="",0,IF(COUNTIF($H$2:H1470,H1470)=1,1,0))</f>
        <v>0</v>
      </c>
    </row>
    <row r="1471" spans="1:10" ht="14.25" hidden="1" customHeight="1" x14ac:dyDescent="0.35">
      <c r="A1471" s="30"/>
      <c r="E1471" s="31"/>
      <c r="G1471" s="32" t="str">
        <f t="shared" si="44"/>
        <v>|||1900|</v>
      </c>
      <c r="H1471" s="32" t="str">
        <f t="shared" si="45"/>
        <v>||1900|</v>
      </c>
      <c r="I1471" s="32">
        <f>IF(G1471="",0,IF(COUNTIF($G$2:G1471,G1471)=1,1,0))</f>
        <v>0</v>
      </c>
      <c r="J1471" s="32">
        <f>IF(H1471="",0,IF(COUNTIF($H$2:H1471,H1471)=1,1,0))</f>
        <v>0</v>
      </c>
    </row>
    <row r="1472" spans="1:10" ht="14.25" hidden="1" customHeight="1" x14ac:dyDescent="0.35">
      <c r="A1472" s="30"/>
      <c r="E1472" s="31"/>
      <c r="G1472" s="32" t="str">
        <f t="shared" si="44"/>
        <v>|||1900|</v>
      </c>
      <c r="H1472" s="32" t="str">
        <f t="shared" si="45"/>
        <v>||1900|</v>
      </c>
      <c r="I1472" s="32">
        <f>IF(G1472="",0,IF(COUNTIF($G$2:G1472,G1472)=1,1,0))</f>
        <v>0</v>
      </c>
      <c r="J1472" s="32">
        <f>IF(H1472="",0,IF(COUNTIF($H$2:H1472,H1472)=1,1,0))</f>
        <v>0</v>
      </c>
    </row>
    <row r="1473" spans="1:10" ht="14.25" hidden="1" customHeight="1" x14ac:dyDescent="0.35">
      <c r="A1473" s="30"/>
      <c r="E1473" s="31"/>
      <c r="G1473" s="32" t="str">
        <f t="shared" si="44"/>
        <v>|||1900|</v>
      </c>
      <c r="H1473" s="32" t="str">
        <f t="shared" si="45"/>
        <v>||1900|</v>
      </c>
      <c r="I1473" s="32">
        <f>IF(G1473="",0,IF(COUNTIF($G$2:G1473,G1473)=1,1,0))</f>
        <v>0</v>
      </c>
      <c r="J1473" s="32">
        <f>IF(H1473="",0,IF(COUNTIF($H$2:H1473,H1473)=1,1,0))</f>
        <v>0</v>
      </c>
    </row>
    <row r="1474" spans="1:10" ht="14.25" hidden="1" customHeight="1" x14ac:dyDescent="0.35">
      <c r="A1474" s="30"/>
      <c r="E1474" s="31"/>
      <c r="G1474" s="32" t="str">
        <f t="shared" ref="G1474:G1537" si="46">IF(D1474="T",
E1474&amp;"|"&amp;F1474,
A1474&amp;"|"&amp;B1474&amp;"|"&amp;C1474&amp;"|"&amp;YEAR(E1474)&amp;"|"&amp;F1474)</f>
        <v>|||1900|</v>
      </c>
      <c r="H1474" s="32" t="str">
        <f t="shared" ref="H1474:H1537" si="47">A1474&amp;"|"&amp;C1474&amp;"|"&amp;YEAR(E1474)&amp;"|"&amp;F1474</f>
        <v>||1900|</v>
      </c>
      <c r="I1474" s="32">
        <f>IF(G1474="",0,IF(COUNTIF($G$2:G1474,G1474)=1,1,0))</f>
        <v>0</v>
      </c>
      <c r="J1474" s="32">
        <f>IF(H1474="",0,IF(COUNTIF($H$2:H1474,H1474)=1,1,0))</f>
        <v>0</v>
      </c>
    </row>
    <row r="1475" spans="1:10" ht="14.25" hidden="1" customHeight="1" x14ac:dyDescent="0.35">
      <c r="A1475" s="30"/>
      <c r="E1475" s="31"/>
      <c r="G1475" s="32" t="str">
        <f t="shared" si="46"/>
        <v>|||1900|</v>
      </c>
      <c r="H1475" s="32" t="str">
        <f t="shared" si="47"/>
        <v>||1900|</v>
      </c>
      <c r="I1475" s="32">
        <f>IF(G1475="",0,IF(COUNTIF($G$2:G1475,G1475)=1,1,0))</f>
        <v>0</v>
      </c>
      <c r="J1475" s="32">
        <f>IF(H1475="",0,IF(COUNTIF($H$2:H1475,H1475)=1,1,0))</f>
        <v>0</v>
      </c>
    </row>
    <row r="1476" spans="1:10" ht="14.25" hidden="1" customHeight="1" x14ac:dyDescent="0.35">
      <c r="A1476" s="30"/>
      <c r="E1476" s="31"/>
      <c r="G1476" s="32" t="str">
        <f t="shared" si="46"/>
        <v>|||1900|</v>
      </c>
      <c r="H1476" s="32" t="str">
        <f t="shared" si="47"/>
        <v>||1900|</v>
      </c>
      <c r="I1476" s="32">
        <f>IF(G1476="",0,IF(COUNTIF($G$2:G1476,G1476)=1,1,0))</f>
        <v>0</v>
      </c>
      <c r="J1476" s="32">
        <f>IF(H1476="",0,IF(COUNTIF($H$2:H1476,H1476)=1,1,0))</f>
        <v>0</v>
      </c>
    </row>
    <row r="1477" spans="1:10" ht="14.25" hidden="1" customHeight="1" x14ac:dyDescent="0.35">
      <c r="A1477" s="30"/>
      <c r="E1477" s="31"/>
      <c r="G1477" s="32" t="str">
        <f t="shared" si="46"/>
        <v>|||1900|</v>
      </c>
      <c r="H1477" s="32" t="str">
        <f t="shared" si="47"/>
        <v>||1900|</v>
      </c>
      <c r="I1477" s="32">
        <f>IF(G1477="",0,IF(COUNTIF($G$2:G1477,G1477)=1,1,0))</f>
        <v>0</v>
      </c>
      <c r="J1477" s="32">
        <f>IF(H1477="",0,IF(COUNTIF($H$2:H1477,H1477)=1,1,0))</f>
        <v>0</v>
      </c>
    </row>
    <row r="1478" spans="1:10" ht="14.25" hidden="1" customHeight="1" x14ac:dyDescent="0.35">
      <c r="A1478" s="30"/>
      <c r="E1478" s="31"/>
      <c r="G1478" s="32" t="str">
        <f t="shared" si="46"/>
        <v>|||1900|</v>
      </c>
      <c r="H1478" s="32" t="str">
        <f t="shared" si="47"/>
        <v>||1900|</v>
      </c>
      <c r="I1478" s="32">
        <f>IF(G1478="",0,IF(COUNTIF($G$2:G1478,G1478)=1,1,0))</f>
        <v>0</v>
      </c>
      <c r="J1478" s="32">
        <f>IF(H1478="",0,IF(COUNTIF($H$2:H1478,H1478)=1,1,0))</f>
        <v>0</v>
      </c>
    </row>
    <row r="1479" spans="1:10" ht="14.25" hidden="1" customHeight="1" x14ac:dyDescent="0.35">
      <c r="A1479" s="30"/>
      <c r="E1479" s="31"/>
      <c r="G1479" s="32" t="str">
        <f t="shared" si="46"/>
        <v>|||1900|</v>
      </c>
      <c r="H1479" s="32" t="str">
        <f t="shared" si="47"/>
        <v>||1900|</v>
      </c>
      <c r="I1479" s="32">
        <f>IF(G1479="",0,IF(COUNTIF($G$2:G1479,G1479)=1,1,0))</f>
        <v>0</v>
      </c>
      <c r="J1479" s="32">
        <f>IF(H1479="",0,IF(COUNTIF($H$2:H1479,H1479)=1,1,0))</f>
        <v>0</v>
      </c>
    </row>
    <row r="1480" spans="1:10" ht="14.25" hidden="1" customHeight="1" x14ac:dyDescent="0.35">
      <c r="A1480" s="30"/>
      <c r="E1480" s="31"/>
      <c r="G1480" s="32" t="str">
        <f t="shared" si="46"/>
        <v>|||1900|</v>
      </c>
      <c r="H1480" s="32" t="str">
        <f t="shared" si="47"/>
        <v>||1900|</v>
      </c>
      <c r="I1480" s="32">
        <f>IF(G1480="",0,IF(COUNTIF($G$2:G1480,G1480)=1,1,0))</f>
        <v>0</v>
      </c>
      <c r="J1480" s="32">
        <f>IF(H1480="",0,IF(COUNTIF($H$2:H1480,H1480)=1,1,0))</f>
        <v>0</v>
      </c>
    </row>
    <row r="1481" spans="1:10" ht="14.25" hidden="1" customHeight="1" x14ac:dyDescent="0.35">
      <c r="A1481" s="30"/>
      <c r="E1481" s="31"/>
      <c r="G1481" s="32" t="str">
        <f t="shared" si="46"/>
        <v>|||1900|</v>
      </c>
      <c r="H1481" s="32" t="str">
        <f t="shared" si="47"/>
        <v>||1900|</v>
      </c>
      <c r="I1481" s="32">
        <f>IF(G1481="",0,IF(COUNTIF($G$2:G1481,G1481)=1,1,0))</f>
        <v>0</v>
      </c>
      <c r="J1481" s="32">
        <f>IF(H1481="",0,IF(COUNTIF($H$2:H1481,H1481)=1,1,0))</f>
        <v>0</v>
      </c>
    </row>
    <row r="1482" spans="1:10" ht="14.25" hidden="1" customHeight="1" x14ac:dyDescent="0.35">
      <c r="A1482" s="30"/>
      <c r="E1482" s="31"/>
      <c r="G1482" s="32" t="str">
        <f t="shared" si="46"/>
        <v>|||1900|</v>
      </c>
      <c r="H1482" s="32" t="str">
        <f t="shared" si="47"/>
        <v>||1900|</v>
      </c>
      <c r="I1482" s="32">
        <f>IF(G1482="",0,IF(COUNTIF($G$2:G1482,G1482)=1,1,0))</f>
        <v>0</v>
      </c>
      <c r="J1482" s="32">
        <f>IF(H1482="",0,IF(COUNTIF($H$2:H1482,H1482)=1,1,0))</f>
        <v>0</v>
      </c>
    </row>
    <row r="1483" spans="1:10" ht="14.25" hidden="1" customHeight="1" x14ac:dyDescent="0.35">
      <c r="A1483" s="30"/>
      <c r="E1483" s="31"/>
      <c r="G1483" s="32" t="str">
        <f t="shared" si="46"/>
        <v>|||1900|</v>
      </c>
      <c r="H1483" s="32" t="str">
        <f t="shared" si="47"/>
        <v>||1900|</v>
      </c>
      <c r="I1483" s="32">
        <f>IF(G1483="",0,IF(COUNTIF($G$2:G1483,G1483)=1,1,0))</f>
        <v>0</v>
      </c>
      <c r="J1483" s="32">
        <f>IF(H1483="",0,IF(COUNTIF($H$2:H1483,H1483)=1,1,0))</f>
        <v>0</v>
      </c>
    </row>
    <row r="1484" spans="1:10" ht="14.25" hidden="1" customHeight="1" x14ac:dyDescent="0.35">
      <c r="A1484" s="30"/>
      <c r="E1484" s="31"/>
      <c r="G1484" s="32" t="str">
        <f t="shared" si="46"/>
        <v>|||1900|</v>
      </c>
      <c r="H1484" s="32" t="str">
        <f t="shared" si="47"/>
        <v>||1900|</v>
      </c>
      <c r="I1484" s="32">
        <f>IF(G1484="",0,IF(COUNTIF($G$2:G1484,G1484)=1,1,0))</f>
        <v>0</v>
      </c>
      <c r="J1484" s="32">
        <f>IF(H1484="",0,IF(COUNTIF($H$2:H1484,H1484)=1,1,0))</f>
        <v>0</v>
      </c>
    </row>
    <row r="1485" spans="1:10" ht="14.25" hidden="1" customHeight="1" x14ac:dyDescent="0.35">
      <c r="A1485" s="30"/>
      <c r="E1485" s="31"/>
      <c r="G1485" s="32" t="str">
        <f t="shared" si="46"/>
        <v>|||1900|</v>
      </c>
      <c r="H1485" s="32" t="str">
        <f t="shared" si="47"/>
        <v>||1900|</v>
      </c>
      <c r="I1485" s="32">
        <f>IF(G1485="",0,IF(COUNTIF($G$2:G1485,G1485)=1,1,0))</f>
        <v>0</v>
      </c>
      <c r="J1485" s="32">
        <f>IF(H1485="",0,IF(COUNTIF($H$2:H1485,H1485)=1,1,0))</f>
        <v>0</v>
      </c>
    </row>
    <row r="1486" spans="1:10" ht="14.25" hidden="1" customHeight="1" x14ac:dyDescent="0.35">
      <c r="A1486" s="30"/>
      <c r="E1486" s="31"/>
      <c r="G1486" s="32" t="str">
        <f t="shared" si="46"/>
        <v>|||1900|</v>
      </c>
      <c r="H1486" s="32" t="str">
        <f t="shared" si="47"/>
        <v>||1900|</v>
      </c>
      <c r="I1486" s="32">
        <f>IF(G1486="",0,IF(COUNTIF($G$2:G1486,G1486)=1,1,0))</f>
        <v>0</v>
      </c>
      <c r="J1486" s="32">
        <f>IF(H1486="",0,IF(COUNTIF($H$2:H1486,H1486)=1,1,0))</f>
        <v>0</v>
      </c>
    </row>
    <row r="1487" spans="1:10" ht="14.25" hidden="1" customHeight="1" x14ac:dyDescent="0.35">
      <c r="A1487" s="30"/>
      <c r="E1487" s="31"/>
      <c r="G1487" s="32" t="str">
        <f t="shared" si="46"/>
        <v>|||1900|</v>
      </c>
      <c r="H1487" s="32" t="str">
        <f t="shared" si="47"/>
        <v>||1900|</v>
      </c>
      <c r="I1487" s="32">
        <f>IF(G1487="",0,IF(COUNTIF($G$2:G1487,G1487)=1,1,0))</f>
        <v>0</v>
      </c>
      <c r="J1487" s="32">
        <f>IF(H1487="",0,IF(COUNTIF($H$2:H1487,H1487)=1,1,0))</f>
        <v>0</v>
      </c>
    </row>
    <row r="1488" spans="1:10" ht="14.25" hidden="1" customHeight="1" x14ac:dyDescent="0.35">
      <c r="A1488" s="30"/>
      <c r="E1488" s="31"/>
      <c r="G1488" s="32" t="str">
        <f t="shared" si="46"/>
        <v>|||1900|</v>
      </c>
      <c r="H1488" s="32" t="str">
        <f t="shared" si="47"/>
        <v>||1900|</v>
      </c>
      <c r="I1488" s="32">
        <f>IF(G1488="",0,IF(COUNTIF($G$2:G1488,G1488)=1,1,0))</f>
        <v>0</v>
      </c>
      <c r="J1488" s="32">
        <f>IF(H1488="",0,IF(COUNTIF($H$2:H1488,H1488)=1,1,0))</f>
        <v>0</v>
      </c>
    </row>
    <row r="1489" spans="1:10" ht="14.25" hidden="1" customHeight="1" x14ac:dyDescent="0.35">
      <c r="A1489" s="30"/>
      <c r="E1489" s="31"/>
      <c r="G1489" s="32" t="str">
        <f t="shared" si="46"/>
        <v>|||1900|</v>
      </c>
      <c r="H1489" s="32" t="str">
        <f t="shared" si="47"/>
        <v>||1900|</v>
      </c>
      <c r="I1489" s="32">
        <f>IF(G1489="",0,IF(COUNTIF($G$2:G1489,G1489)=1,1,0))</f>
        <v>0</v>
      </c>
      <c r="J1489" s="32">
        <f>IF(H1489="",0,IF(COUNTIF($H$2:H1489,H1489)=1,1,0))</f>
        <v>0</v>
      </c>
    </row>
    <row r="1490" spans="1:10" ht="14.25" hidden="1" customHeight="1" x14ac:dyDescent="0.35">
      <c r="A1490" s="30"/>
      <c r="E1490" s="31"/>
      <c r="G1490" s="32" t="str">
        <f t="shared" si="46"/>
        <v>|||1900|</v>
      </c>
      <c r="H1490" s="32" t="str">
        <f t="shared" si="47"/>
        <v>||1900|</v>
      </c>
      <c r="I1490" s="32">
        <f>IF(G1490="",0,IF(COUNTIF($G$2:G1490,G1490)=1,1,0))</f>
        <v>0</v>
      </c>
      <c r="J1490" s="32">
        <f>IF(H1490="",0,IF(COUNTIF($H$2:H1490,H1490)=1,1,0))</f>
        <v>0</v>
      </c>
    </row>
    <row r="1491" spans="1:10" ht="14.25" hidden="1" customHeight="1" x14ac:dyDescent="0.35">
      <c r="A1491" s="30"/>
      <c r="E1491" s="31"/>
      <c r="G1491" s="32" t="str">
        <f t="shared" si="46"/>
        <v>|||1900|</v>
      </c>
      <c r="H1491" s="32" t="str">
        <f t="shared" si="47"/>
        <v>||1900|</v>
      </c>
      <c r="I1491" s="32">
        <f>IF(G1491="",0,IF(COUNTIF($G$2:G1491,G1491)=1,1,0))</f>
        <v>0</v>
      </c>
      <c r="J1491" s="32">
        <f>IF(H1491="",0,IF(COUNTIF($H$2:H1491,H1491)=1,1,0))</f>
        <v>0</v>
      </c>
    </row>
    <row r="1492" spans="1:10" ht="14.25" hidden="1" customHeight="1" x14ac:dyDescent="0.35">
      <c r="A1492" s="30"/>
      <c r="E1492" s="31"/>
      <c r="G1492" s="32" t="str">
        <f t="shared" si="46"/>
        <v>|||1900|</v>
      </c>
      <c r="H1492" s="32" t="str">
        <f t="shared" si="47"/>
        <v>||1900|</v>
      </c>
      <c r="I1492" s="32">
        <f>IF(G1492="",0,IF(COUNTIF($G$2:G1492,G1492)=1,1,0))</f>
        <v>0</v>
      </c>
      <c r="J1492" s="32">
        <f>IF(H1492="",0,IF(COUNTIF($H$2:H1492,H1492)=1,1,0))</f>
        <v>0</v>
      </c>
    </row>
    <row r="1493" spans="1:10" ht="14.25" hidden="1" customHeight="1" x14ac:dyDescent="0.35">
      <c r="A1493" s="30"/>
      <c r="E1493" s="31"/>
      <c r="G1493" s="32" t="str">
        <f t="shared" si="46"/>
        <v>|||1900|</v>
      </c>
      <c r="H1493" s="32" t="str">
        <f t="shared" si="47"/>
        <v>||1900|</v>
      </c>
      <c r="I1493" s="32">
        <f>IF(G1493="",0,IF(COUNTIF($G$2:G1493,G1493)=1,1,0))</f>
        <v>0</v>
      </c>
      <c r="J1493" s="32">
        <f>IF(H1493="",0,IF(COUNTIF($H$2:H1493,H1493)=1,1,0))</f>
        <v>0</v>
      </c>
    </row>
    <row r="1494" spans="1:10" ht="14.25" hidden="1" customHeight="1" x14ac:dyDescent="0.35">
      <c r="A1494" s="30"/>
      <c r="E1494" s="31"/>
      <c r="G1494" s="32" t="str">
        <f t="shared" si="46"/>
        <v>|||1900|</v>
      </c>
      <c r="H1494" s="32" t="str">
        <f t="shared" si="47"/>
        <v>||1900|</v>
      </c>
      <c r="I1494" s="32">
        <f>IF(G1494="",0,IF(COUNTIF($G$2:G1494,G1494)=1,1,0))</f>
        <v>0</v>
      </c>
      <c r="J1494" s="32">
        <f>IF(H1494="",0,IF(COUNTIF($H$2:H1494,H1494)=1,1,0))</f>
        <v>0</v>
      </c>
    </row>
    <row r="1495" spans="1:10" ht="14.25" hidden="1" customHeight="1" x14ac:dyDescent="0.35">
      <c r="A1495" s="30"/>
      <c r="E1495" s="31"/>
      <c r="G1495" s="32" t="str">
        <f t="shared" si="46"/>
        <v>|||1900|</v>
      </c>
      <c r="H1495" s="32" t="str">
        <f t="shared" si="47"/>
        <v>||1900|</v>
      </c>
      <c r="I1495" s="32">
        <f>IF(G1495="",0,IF(COUNTIF($G$2:G1495,G1495)=1,1,0))</f>
        <v>0</v>
      </c>
      <c r="J1495" s="32">
        <f>IF(H1495="",0,IF(COUNTIF($H$2:H1495,H1495)=1,1,0))</f>
        <v>0</v>
      </c>
    </row>
    <row r="1496" spans="1:10" ht="14.25" hidden="1" customHeight="1" x14ac:dyDescent="0.35">
      <c r="A1496" s="30"/>
      <c r="E1496" s="31"/>
      <c r="G1496" s="32" t="str">
        <f t="shared" si="46"/>
        <v>|||1900|</v>
      </c>
      <c r="H1496" s="32" t="str">
        <f t="shared" si="47"/>
        <v>||1900|</v>
      </c>
      <c r="I1496" s="32">
        <f>IF(G1496="",0,IF(COUNTIF($G$2:G1496,G1496)=1,1,0))</f>
        <v>0</v>
      </c>
      <c r="J1496" s="32">
        <f>IF(H1496="",0,IF(COUNTIF($H$2:H1496,H1496)=1,1,0))</f>
        <v>0</v>
      </c>
    </row>
    <row r="1497" spans="1:10" ht="14.25" hidden="1" customHeight="1" x14ac:dyDescent="0.35">
      <c r="A1497" s="30"/>
      <c r="E1497" s="31"/>
      <c r="G1497" s="32" t="str">
        <f t="shared" si="46"/>
        <v>|||1900|</v>
      </c>
      <c r="H1497" s="32" t="str">
        <f t="shared" si="47"/>
        <v>||1900|</v>
      </c>
      <c r="I1497" s="32">
        <f>IF(G1497="",0,IF(COUNTIF($G$2:G1497,G1497)=1,1,0))</f>
        <v>0</v>
      </c>
      <c r="J1497" s="32">
        <f>IF(H1497="",0,IF(COUNTIF($H$2:H1497,H1497)=1,1,0))</f>
        <v>0</v>
      </c>
    </row>
    <row r="1498" spans="1:10" ht="14.25" hidden="1" customHeight="1" x14ac:dyDescent="0.35">
      <c r="A1498" s="30"/>
      <c r="E1498" s="31"/>
      <c r="G1498" s="32" t="str">
        <f t="shared" si="46"/>
        <v>|||1900|</v>
      </c>
      <c r="H1498" s="32" t="str">
        <f t="shared" si="47"/>
        <v>||1900|</v>
      </c>
      <c r="I1498" s="32">
        <f>IF(G1498="",0,IF(COUNTIF($G$2:G1498,G1498)=1,1,0))</f>
        <v>0</v>
      </c>
      <c r="J1498" s="32">
        <f>IF(H1498="",0,IF(COUNTIF($H$2:H1498,H1498)=1,1,0))</f>
        <v>0</v>
      </c>
    </row>
    <row r="1499" spans="1:10" ht="14.25" hidden="1" customHeight="1" x14ac:dyDescent="0.35">
      <c r="A1499" s="30"/>
      <c r="E1499" s="31"/>
      <c r="G1499" s="32" t="str">
        <f t="shared" si="46"/>
        <v>|||1900|</v>
      </c>
      <c r="H1499" s="32" t="str">
        <f t="shared" si="47"/>
        <v>||1900|</v>
      </c>
      <c r="I1499" s="32">
        <f>IF(G1499="",0,IF(COUNTIF($G$2:G1499,G1499)=1,1,0))</f>
        <v>0</v>
      </c>
      <c r="J1499" s="32">
        <f>IF(H1499="",0,IF(COUNTIF($H$2:H1499,H1499)=1,1,0))</f>
        <v>0</v>
      </c>
    </row>
    <row r="1500" spans="1:10" ht="14.25" hidden="1" customHeight="1" x14ac:dyDescent="0.35">
      <c r="A1500" s="30"/>
      <c r="E1500" s="31"/>
      <c r="G1500" s="32" t="str">
        <f t="shared" si="46"/>
        <v>|||1900|</v>
      </c>
      <c r="H1500" s="32" t="str">
        <f t="shared" si="47"/>
        <v>||1900|</v>
      </c>
      <c r="I1500" s="32">
        <f>IF(G1500="",0,IF(COUNTIF($G$2:G1500,G1500)=1,1,0))</f>
        <v>0</v>
      </c>
      <c r="J1500" s="32">
        <f>IF(H1500="",0,IF(COUNTIF($H$2:H1500,H1500)=1,1,0))</f>
        <v>0</v>
      </c>
    </row>
    <row r="1501" spans="1:10" ht="14.25" hidden="1" customHeight="1" x14ac:dyDescent="0.35">
      <c r="A1501" s="30"/>
      <c r="E1501" s="31"/>
      <c r="G1501" s="32" t="str">
        <f t="shared" si="46"/>
        <v>|||1900|</v>
      </c>
      <c r="H1501" s="32" t="str">
        <f t="shared" si="47"/>
        <v>||1900|</v>
      </c>
      <c r="I1501" s="32">
        <f>IF(G1501="",0,IF(COUNTIF($G$2:G1501,G1501)=1,1,0))</f>
        <v>0</v>
      </c>
      <c r="J1501" s="32">
        <f>IF(H1501="",0,IF(COUNTIF($H$2:H1501,H1501)=1,1,0))</f>
        <v>0</v>
      </c>
    </row>
    <row r="1502" spans="1:10" ht="14.25" hidden="1" customHeight="1" x14ac:dyDescent="0.35">
      <c r="A1502" s="30"/>
      <c r="E1502" s="31"/>
      <c r="G1502" s="32" t="str">
        <f t="shared" si="46"/>
        <v>|||1900|</v>
      </c>
      <c r="H1502" s="32" t="str">
        <f t="shared" si="47"/>
        <v>||1900|</v>
      </c>
      <c r="I1502" s="32">
        <f>IF(G1502="",0,IF(COUNTIF($G$2:G1502,G1502)=1,1,0))</f>
        <v>0</v>
      </c>
      <c r="J1502" s="32">
        <f>IF(H1502="",0,IF(COUNTIF($H$2:H1502,H1502)=1,1,0))</f>
        <v>0</v>
      </c>
    </row>
    <row r="1503" spans="1:10" ht="14.25" hidden="1" customHeight="1" x14ac:dyDescent="0.35">
      <c r="A1503" s="30"/>
      <c r="E1503" s="31"/>
      <c r="G1503" s="32" t="str">
        <f t="shared" si="46"/>
        <v>|||1900|</v>
      </c>
      <c r="H1503" s="32" t="str">
        <f t="shared" si="47"/>
        <v>||1900|</v>
      </c>
      <c r="I1503" s="32">
        <f>IF(G1503="",0,IF(COUNTIF($G$2:G1503,G1503)=1,1,0))</f>
        <v>0</v>
      </c>
      <c r="J1503" s="32">
        <f>IF(H1503="",0,IF(COUNTIF($H$2:H1503,H1503)=1,1,0))</f>
        <v>0</v>
      </c>
    </row>
    <row r="1504" spans="1:10" ht="14.25" hidden="1" customHeight="1" x14ac:dyDescent="0.35">
      <c r="A1504" s="30"/>
      <c r="E1504" s="31"/>
      <c r="G1504" s="32" t="str">
        <f t="shared" si="46"/>
        <v>|||1900|</v>
      </c>
      <c r="H1504" s="32" t="str">
        <f t="shared" si="47"/>
        <v>||1900|</v>
      </c>
      <c r="I1504" s="32">
        <f>IF(G1504="",0,IF(COUNTIF($G$2:G1504,G1504)=1,1,0))</f>
        <v>0</v>
      </c>
      <c r="J1504" s="32">
        <f>IF(H1504="",0,IF(COUNTIF($H$2:H1504,H1504)=1,1,0))</f>
        <v>0</v>
      </c>
    </row>
    <row r="1505" spans="1:10" ht="14.25" hidden="1" customHeight="1" x14ac:dyDescent="0.35">
      <c r="A1505" s="30"/>
      <c r="E1505" s="31"/>
      <c r="G1505" s="32" t="str">
        <f t="shared" si="46"/>
        <v>|||1900|</v>
      </c>
      <c r="H1505" s="32" t="str">
        <f t="shared" si="47"/>
        <v>||1900|</v>
      </c>
      <c r="I1505" s="32">
        <f>IF(G1505="",0,IF(COUNTIF($G$2:G1505,G1505)=1,1,0))</f>
        <v>0</v>
      </c>
      <c r="J1505" s="32">
        <f>IF(H1505="",0,IF(COUNTIF($H$2:H1505,H1505)=1,1,0))</f>
        <v>0</v>
      </c>
    </row>
    <row r="1506" spans="1:10" ht="14.25" hidden="1" customHeight="1" x14ac:dyDescent="0.35">
      <c r="A1506" s="30"/>
      <c r="E1506" s="31"/>
      <c r="G1506" s="32" t="str">
        <f t="shared" si="46"/>
        <v>|||1900|</v>
      </c>
      <c r="H1506" s="32" t="str">
        <f t="shared" si="47"/>
        <v>||1900|</v>
      </c>
      <c r="I1506" s="32">
        <f>IF(G1506="",0,IF(COUNTIF($G$2:G1506,G1506)=1,1,0))</f>
        <v>0</v>
      </c>
      <c r="J1506" s="32">
        <f>IF(H1506="",0,IF(COUNTIF($H$2:H1506,H1506)=1,1,0))</f>
        <v>0</v>
      </c>
    </row>
    <row r="1507" spans="1:10" ht="14.25" hidden="1" customHeight="1" x14ac:dyDescent="0.35">
      <c r="A1507" s="30"/>
      <c r="E1507" s="31"/>
      <c r="G1507" s="32" t="str">
        <f t="shared" si="46"/>
        <v>|||1900|</v>
      </c>
      <c r="H1507" s="32" t="str">
        <f t="shared" si="47"/>
        <v>||1900|</v>
      </c>
      <c r="I1507" s="32">
        <f>IF(G1507="",0,IF(COUNTIF($G$2:G1507,G1507)=1,1,0))</f>
        <v>0</v>
      </c>
      <c r="J1507" s="32">
        <f>IF(H1507="",0,IF(COUNTIF($H$2:H1507,H1507)=1,1,0))</f>
        <v>0</v>
      </c>
    </row>
    <row r="1508" spans="1:10" ht="14.25" hidden="1" customHeight="1" x14ac:dyDescent="0.35">
      <c r="A1508" s="30"/>
      <c r="E1508" s="31"/>
      <c r="G1508" s="32" t="str">
        <f t="shared" si="46"/>
        <v>|||1900|</v>
      </c>
      <c r="H1508" s="32" t="str">
        <f t="shared" si="47"/>
        <v>||1900|</v>
      </c>
      <c r="I1508" s="32">
        <f>IF(G1508="",0,IF(COUNTIF($G$2:G1508,G1508)=1,1,0))</f>
        <v>0</v>
      </c>
      <c r="J1508" s="32">
        <f>IF(H1508="",0,IF(COUNTIF($H$2:H1508,H1508)=1,1,0))</f>
        <v>0</v>
      </c>
    </row>
    <row r="1509" spans="1:10" ht="14.25" hidden="1" customHeight="1" x14ac:dyDescent="0.35">
      <c r="A1509" s="30"/>
      <c r="E1509" s="31"/>
      <c r="G1509" s="32" t="str">
        <f t="shared" si="46"/>
        <v>|||1900|</v>
      </c>
      <c r="H1509" s="32" t="str">
        <f t="shared" si="47"/>
        <v>||1900|</v>
      </c>
      <c r="I1509" s="32">
        <f>IF(G1509="",0,IF(COUNTIF($G$2:G1509,G1509)=1,1,0))</f>
        <v>0</v>
      </c>
      <c r="J1509" s="32">
        <f>IF(H1509="",0,IF(COUNTIF($H$2:H1509,H1509)=1,1,0))</f>
        <v>0</v>
      </c>
    </row>
    <row r="1510" spans="1:10" ht="14.25" hidden="1" customHeight="1" x14ac:dyDescent="0.35">
      <c r="A1510" s="30"/>
      <c r="E1510" s="31"/>
      <c r="G1510" s="32" t="str">
        <f t="shared" si="46"/>
        <v>|||1900|</v>
      </c>
      <c r="H1510" s="32" t="str">
        <f t="shared" si="47"/>
        <v>||1900|</v>
      </c>
      <c r="I1510" s="32">
        <f>IF(G1510="",0,IF(COUNTIF($G$2:G1510,G1510)=1,1,0))</f>
        <v>0</v>
      </c>
      <c r="J1510" s="32">
        <f>IF(H1510="",0,IF(COUNTIF($H$2:H1510,H1510)=1,1,0))</f>
        <v>0</v>
      </c>
    </row>
    <row r="1511" spans="1:10" ht="14.25" hidden="1" customHeight="1" x14ac:dyDescent="0.35">
      <c r="A1511" s="30"/>
      <c r="E1511" s="31"/>
      <c r="G1511" s="32" t="str">
        <f t="shared" si="46"/>
        <v>|||1900|</v>
      </c>
      <c r="H1511" s="32" t="str">
        <f t="shared" si="47"/>
        <v>||1900|</v>
      </c>
      <c r="I1511" s="32">
        <f>IF(G1511="",0,IF(COUNTIF($G$2:G1511,G1511)=1,1,0))</f>
        <v>0</v>
      </c>
      <c r="J1511" s="32">
        <f>IF(H1511="",0,IF(COUNTIF($H$2:H1511,H1511)=1,1,0))</f>
        <v>0</v>
      </c>
    </row>
    <row r="1512" spans="1:10" ht="14.25" hidden="1" customHeight="1" x14ac:dyDescent="0.35">
      <c r="A1512" s="30"/>
      <c r="E1512" s="31"/>
      <c r="G1512" s="32" t="str">
        <f t="shared" si="46"/>
        <v>|||1900|</v>
      </c>
      <c r="H1512" s="32" t="str">
        <f t="shared" si="47"/>
        <v>||1900|</v>
      </c>
      <c r="I1512" s="32">
        <f>IF(G1512="",0,IF(COUNTIF($G$2:G1512,G1512)=1,1,0))</f>
        <v>0</v>
      </c>
      <c r="J1512" s="32">
        <f>IF(H1512="",0,IF(COUNTIF($H$2:H1512,H1512)=1,1,0))</f>
        <v>0</v>
      </c>
    </row>
    <row r="1513" spans="1:10" ht="14.25" hidden="1" customHeight="1" x14ac:dyDescent="0.35">
      <c r="A1513" s="30"/>
      <c r="E1513" s="31"/>
      <c r="G1513" s="32" t="str">
        <f t="shared" si="46"/>
        <v>|||1900|</v>
      </c>
      <c r="H1513" s="32" t="str">
        <f t="shared" si="47"/>
        <v>||1900|</v>
      </c>
      <c r="I1513" s="32">
        <f>IF(G1513="",0,IF(COUNTIF($G$2:G1513,G1513)=1,1,0))</f>
        <v>0</v>
      </c>
      <c r="J1513" s="32">
        <f>IF(H1513="",0,IF(COUNTIF($H$2:H1513,H1513)=1,1,0))</f>
        <v>0</v>
      </c>
    </row>
    <row r="1514" spans="1:10" ht="14.25" hidden="1" customHeight="1" x14ac:dyDescent="0.35">
      <c r="A1514" s="30"/>
      <c r="E1514" s="31"/>
      <c r="G1514" s="32" t="str">
        <f t="shared" si="46"/>
        <v>|||1900|</v>
      </c>
      <c r="H1514" s="32" t="str">
        <f t="shared" si="47"/>
        <v>||1900|</v>
      </c>
      <c r="I1514" s="32">
        <f>IF(G1514="",0,IF(COUNTIF($G$2:G1514,G1514)=1,1,0))</f>
        <v>0</v>
      </c>
      <c r="J1514" s="32">
        <f>IF(H1514="",0,IF(COUNTIF($H$2:H1514,H1514)=1,1,0))</f>
        <v>0</v>
      </c>
    </row>
    <row r="1515" spans="1:10" ht="14.25" hidden="1" customHeight="1" x14ac:dyDescent="0.35">
      <c r="A1515" s="30"/>
      <c r="E1515" s="31"/>
      <c r="G1515" s="32" t="str">
        <f t="shared" si="46"/>
        <v>|||1900|</v>
      </c>
      <c r="H1515" s="32" t="str">
        <f t="shared" si="47"/>
        <v>||1900|</v>
      </c>
      <c r="I1515" s="32">
        <f>IF(G1515="",0,IF(COUNTIF($G$2:G1515,G1515)=1,1,0))</f>
        <v>0</v>
      </c>
      <c r="J1515" s="32">
        <f>IF(H1515="",0,IF(COUNTIF($H$2:H1515,H1515)=1,1,0))</f>
        <v>0</v>
      </c>
    </row>
    <row r="1516" spans="1:10" ht="14.25" hidden="1" customHeight="1" x14ac:dyDescent="0.35">
      <c r="A1516" s="30"/>
      <c r="E1516" s="31"/>
      <c r="G1516" s="32" t="str">
        <f t="shared" si="46"/>
        <v>|||1900|</v>
      </c>
      <c r="H1516" s="32" t="str">
        <f t="shared" si="47"/>
        <v>||1900|</v>
      </c>
      <c r="I1516" s="32">
        <f>IF(G1516="",0,IF(COUNTIF($G$2:G1516,G1516)=1,1,0))</f>
        <v>0</v>
      </c>
      <c r="J1516" s="32">
        <f>IF(H1516="",0,IF(COUNTIF($H$2:H1516,H1516)=1,1,0))</f>
        <v>0</v>
      </c>
    </row>
    <row r="1517" spans="1:10" ht="14.25" hidden="1" customHeight="1" x14ac:dyDescent="0.35">
      <c r="A1517" s="30"/>
      <c r="E1517" s="31"/>
      <c r="G1517" s="32" t="str">
        <f t="shared" si="46"/>
        <v>|||1900|</v>
      </c>
      <c r="H1517" s="32" t="str">
        <f t="shared" si="47"/>
        <v>||1900|</v>
      </c>
      <c r="I1517" s="32">
        <f>IF(G1517="",0,IF(COUNTIF($G$2:G1517,G1517)=1,1,0))</f>
        <v>0</v>
      </c>
      <c r="J1517" s="32">
        <f>IF(H1517="",0,IF(COUNTIF($H$2:H1517,H1517)=1,1,0))</f>
        <v>0</v>
      </c>
    </row>
    <row r="1518" spans="1:10" ht="14.25" hidden="1" customHeight="1" x14ac:dyDescent="0.35">
      <c r="A1518" s="30"/>
      <c r="E1518" s="31"/>
      <c r="G1518" s="32" t="str">
        <f t="shared" si="46"/>
        <v>|||1900|</v>
      </c>
      <c r="H1518" s="32" t="str">
        <f t="shared" si="47"/>
        <v>||1900|</v>
      </c>
      <c r="I1518" s="32">
        <f>IF(G1518="",0,IF(COUNTIF($G$2:G1518,G1518)=1,1,0))</f>
        <v>0</v>
      </c>
      <c r="J1518" s="32">
        <f>IF(H1518="",0,IF(COUNTIF($H$2:H1518,H1518)=1,1,0))</f>
        <v>0</v>
      </c>
    </row>
    <row r="1519" spans="1:10" ht="14.25" hidden="1" customHeight="1" x14ac:dyDescent="0.35">
      <c r="A1519" s="30"/>
      <c r="E1519" s="31"/>
      <c r="G1519" s="32" t="str">
        <f t="shared" si="46"/>
        <v>|||1900|</v>
      </c>
      <c r="H1519" s="32" t="str">
        <f t="shared" si="47"/>
        <v>||1900|</v>
      </c>
      <c r="I1519" s="32">
        <f>IF(G1519="",0,IF(COUNTIF($G$2:G1519,G1519)=1,1,0))</f>
        <v>0</v>
      </c>
      <c r="J1519" s="32">
        <f>IF(H1519="",0,IF(COUNTIF($H$2:H1519,H1519)=1,1,0))</f>
        <v>0</v>
      </c>
    </row>
    <row r="1520" spans="1:10" ht="14.25" hidden="1" customHeight="1" x14ac:dyDescent="0.35">
      <c r="A1520" s="30"/>
      <c r="E1520" s="31"/>
      <c r="G1520" s="32" t="str">
        <f t="shared" si="46"/>
        <v>|||1900|</v>
      </c>
      <c r="H1520" s="32" t="str">
        <f t="shared" si="47"/>
        <v>||1900|</v>
      </c>
      <c r="I1520" s="32">
        <f>IF(G1520="",0,IF(COUNTIF($G$2:G1520,G1520)=1,1,0))</f>
        <v>0</v>
      </c>
      <c r="J1520" s="32">
        <f>IF(H1520="",0,IF(COUNTIF($H$2:H1520,H1520)=1,1,0))</f>
        <v>0</v>
      </c>
    </row>
    <row r="1521" spans="1:10" ht="14.25" hidden="1" customHeight="1" x14ac:dyDescent="0.35">
      <c r="A1521" s="30"/>
      <c r="E1521" s="31"/>
      <c r="G1521" s="32" t="str">
        <f t="shared" si="46"/>
        <v>|||1900|</v>
      </c>
      <c r="H1521" s="32" t="str">
        <f t="shared" si="47"/>
        <v>||1900|</v>
      </c>
      <c r="I1521" s="32">
        <f>IF(G1521="",0,IF(COUNTIF($G$2:G1521,G1521)=1,1,0))</f>
        <v>0</v>
      </c>
      <c r="J1521" s="32">
        <f>IF(H1521="",0,IF(COUNTIF($H$2:H1521,H1521)=1,1,0))</f>
        <v>0</v>
      </c>
    </row>
    <row r="1522" spans="1:10" ht="14.25" hidden="1" customHeight="1" x14ac:dyDescent="0.35">
      <c r="A1522" s="30"/>
      <c r="E1522" s="31"/>
      <c r="G1522" s="32" t="str">
        <f t="shared" si="46"/>
        <v>|||1900|</v>
      </c>
      <c r="H1522" s="32" t="str">
        <f t="shared" si="47"/>
        <v>||1900|</v>
      </c>
      <c r="I1522" s="32">
        <f>IF(G1522="",0,IF(COUNTIF($G$2:G1522,G1522)=1,1,0))</f>
        <v>0</v>
      </c>
      <c r="J1522" s="32">
        <f>IF(H1522="",0,IF(COUNTIF($H$2:H1522,H1522)=1,1,0))</f>
        <v>0</v>
      </c>
    </row>
    <row r="1523" spans="1:10" ht="14.25" hidden="1" customHeight="1" x14ac:dyDescent="0.35">
      <c r="A1523" s="30"/>
      <c r="E1523" s="31"/>
      <c r="G1523" s="32" t="str">
        <f t="shared" si="46"/>
        <v>|||1900|</v>
      </c>
      <c r="H1523" s="32" t="str">
        <f t="shared" si="47"/>
        <v>||1900|</v>
      </c>
      <c r="I1523" s="32">
        <f>IF(G1523="",0,IF(COUNTIF($G$2:G1523,G1523)=1,1,0))</f>
        <v>0</v>
      </c>
      <c r="J1523" s="32">
        <f>IF(H1523="",0,IF(COUNTIF($H$2:H1523,H1523)=1,1,0))</f>
        <v>0</v>
      </c>
    </row>
    <row r="1524" spans="1:10" ht="14.25" hidden="1" customHeight="1" x14ac:dyDescent="0.35">
      <c r="A1524" s="30"/>
      <c r="E1524" s="31"/>
      <c r="G1524" s="32" t="str">
        <f t="shared" si="46"/>
        <v>|||1900|</v>
      </c>
      <c r="H1524" s="32" t="str">
        <f t="shared" si="47"/>
        <v>||1900|</v>
      </c>
      <c r="I1524" s="32">
        <f>IF(G1524="",0,IF(COUNTIF($G$2:G1524,G1524)=1,1,0))</f>
        <v>0</v>
      </c>
      <c r="J1524" s="32">
        <f>IF(H1524="",0,IF(COUNTIF($H$2:H1524,H1524)=1,1,0))</f>
        <v>0</v>
      </c>
    </row>
    <row r="1525" spans="1:10" ht="14.25" hidden="1" customHeight="1" x14ac:dyDescent="0.35">
      <c r="A1525" s="30"/>
      <c r="E1525" s="31"/>
      <c r="G1525" s="32" t="str">
        <f t="shared" si="46"/>
        <v>|||1900|</v>
      </c>
      <c r="H1525" s="32" t="str">
        <f t="shared" si="47"/>
        <v>||1900|</v>
      </c>
      <c r="I1525" s="32">
        <f>IF(G1525="",0,IF(COUNTIF($G$2:G1525,G1525)=1,1,0))</f>
        <v>0</v>
      </c>
      <c r="J1525" s="32">
        <f>IF(H1525="",0,IF(COUNTIF($H$2:H1525,H1525)=1,1,0))</f>
        <v>0</v>
      </c>
    </row>
    <row r="1526" spans="1:10" ht="14.25" hidden="1" customHeight="1" x14ac:dyDescent="0.35">
      <c r="A1526" s="30"/>
      <c r="E1526" s="31"/>
      <c r="G1526" s="32" t="str">
        <f t="shared" si="46"/>
        <v>|||1900|</v>
      </c>
      <c r="H1526" s="32" t="str">
        <f t="shared" si="47"/>
        <v>||1900|</v>
      </c>
      <c r="I1526" s="32">
        <f>IF(G1526="",0,IF(COUNTIF($G$2:G1526,G1526)=1,1,0))</f>
        <v>0</v>
      </c>
      <c r="J1526" s="32">
        <f>IF(H1526="",0,IF(COUNTIF($H$2:H1526,H1526)=1,1,0))</f>
        <v>0</v>
      </c>
    </row>
    <row r="1527" spans="1:10" ht="14.25" hidden="1" customHeight="1" x14ac:dyDescent="0.35">
      <c r="A1527" s="30"/>
      <c r="E1527" s="31"/>
      <c r="G1527" s="32" t="str">
        <f t="shared" si="46"/>
        <v>|||1900|</v>
      </c>
      <c r="H1527" s="32" t="str">
        <f t="shared" si="47"/>
        <v>||1900|</v>
      </c>
      <c r="I1527" s="32">
        <f>IF(G1527="",0,IF(COUNTIF($G$2:G1527,G1527)=1,1,0))</f>
        <v>0</v>
      </c>
      <c r="J1527" s="32">
        <f>IF(H1527="",0,IF(COUNTIF($H$2:H1527,H1527)=1,1,0))</f>
        <v>0</v>
      </c>
    </row>
    <row r="1528" spans="1:10" ht="14.25" hidden="1" customHeight="1" x14ac:dyDescent="0.35">
      <c r="A1528" s="30"/>
      <c r="E1528" s="31"/>
      <c r="G1528" s="32" t="str">
        <f t="shared" si="46"/>
        <v>|||1900|</v>
      </c>
      <c r="H1528" s="32" t="str">
        <f t="shared" si="47"/>
        <v>||1900|</v>
      </c>
      <c r="I1528" s="32">
        <f>IF(G1528="",0,IF(COUNTIF($G$2:G1528,G1528)=1,1,0))</f>
        <v>0</v>
      </c>
      <c r="J1528" s="32">
        <f>IF(H1528="",0,IF(COUNTIF($H$2:H1528,H1528)=1,1,0))</f>
        <v>0</v>
      </c>
    </row>
    <row r="1529" spans="1:10" ht="14.25" hidden="1" customHeight="1" x14ac:dyDescent="0.35">
      <c r="A1529" s="30"/>
      <c r="E1529" s="31"/>
      <c r="G1529" s="32" t="str">
        <f t="shared" si="46"/>
        <v>|||1900|</v>
      </c>
      <c r="H1529" s="32" t="str">
        <f t="shared" si="47"/>
        <v>||1900|</v>
      </c>
      <c r="I1529" s="32">
        <f>IF(G1529="",0,IF(COUNTIF($G$2:G1529,G1529)=1,1,0))</f>
        <v>0</v>
      </c>
      <c r="J1529" s="32">
        <f>IF(H1529="",0,IF(COUNTIF($H$2:H1529,H1529)=1,1,0))</f>
        <v>0</v>
      </c>
    </row>
    <row r="1530" spans="1:10" ht="14.25" hidden="1" customHeight="1" x14ac:dyDescent="0.35">
      <c r="A1530" s="30"/>
      <c r="E1530" s="31"/>
      <c r="G1530" s="32" t="str">
        <f t="shared" si="46"/>
        <v>|||1900|</v>
      </c>
      <c r="H1530" s="32" t="str">
        <f t="shared" si="47"/>
        <v>||1900|</v>
      </c>
      <c r="I1530" s="32">
        <f>IF(G1530="",0,IF(COUNTIF($G$2:G1530,G1530)=1,1,0))</f>
        <v>0</v>
      </c>
      <c r="J1530" s="32">
        <f>IF(H1530="",0,IF(COUNTIF($H$2:H1530,H1530)=1,1,0))</f>
        <v>0</v>
      </c>
    </row>
    <row r="1531" spans="1:10" ht="14.25" hidden="1" customHeight="1" x14ac:dyDescent="0.35">
      <c r="A1531" s="30"/>
      <c r="E1531" s="31"/>
      <c r="G1531" s="32" t="str">
        <f t="shared" si="46"/>
        <v>|||1900|</v>
      </c>
      <c r="H1531" s="32" t="str">
        <f t="shared" si="47"/>
        <v>||1900|</v>
      </c>
      <c r="I1531" s="32">
        <f>IF(G1531="",0,IF(COUNTIF($G$2:G1531,G1531)=1,1,0))</f>
        <v>0</v>
      </c>
      <c r="J1531" s="32">
        <f>IF(H1531="",0,IF(COUNTIF($H$2:H1531,H1531)=1,1,0))</f>
        <v>0</v>
      </c>
    </row>
    <row r="1532" spans="1:10" ht="14.25" hidden="1" customHeight="1" x14ac:dyDescent="0.35">
      <c r="A1532" s="30"/>
      <c r="E1532" s="31"/>
      <c r="G1532" s="32" t="str">
        <f t="shared" si="46"/>
        <v>|||1900|</v>
      </c>
      <c r="H1532" s="32" t="str">
        <f t="shared" si="47"/>
        <v>||1900|</v>
      </c>
      <c r="I1532" s="32">
        <f>IF(G1532="",0,IF(COUNTIF($G$2:G1532,G1532)=1,1,0))</f>
        <v>0</v>
      </c>
      <c r="J1532" s="32">
        <f>IF(H1532="",0,IF(COUNTIF($H$2:H1532,H1532)=1,1,0))</f>
        <v>0</v>
      </c>
    </row>
    <row r="1533" spans="1:10" ht="14.25" hidden="1" customHeight="1" x14ac:dyDescent="0.35">
      <c r="A1533" s="30"/>
      <c r="E1533" s="31"/>
      <c r="G1533" s="32" t="str">
        <f t="shared" si="46"/>
        <v>|||1900|</v>
      </c>
      <c r="H1533" s="32" t="str">
        <f t="shared" si="47"/>
        <v>||1900|</v>
      </c>
      <c r="I1533" s="32">
        <f>IF(G1533="",0,IF(COUNTIF($G$2:G1533,G1533)=1,1,0))</f>
        <v>0</v>
      </c>
      <c r="J1533" s="32">
        <f>IF(H1533="",0,IF(COUNTIF($H$2:H1533,H1533)=1,1,0))</f>
        <v>0</v>
      </c>
    </row>
    <row r="1534" spans="1:10" ht="14.25" hidden="1" customHeight="1" x14ac:dyDescent="0.35">
      <c r="A1534" s="30"/>
      <c r="E1534" s="31"/>
      <c r="G1534" s="32" t="str">
        <f t="shared" si="46"/>
        <v>|||1900|</v>
      </c>
      <c r="H1534" s="32" t="str">
        <f t="shared" si="47"/>
        <v>||1900|</v>
      </c>
      <c r="I1534" s="32">
        <f>IF(G1534="",0,IF(COUNTIF($G$2:G1534,G1534)=1,1,0))</f>
        <v>0</v>
      </c>
      <c r="J1534" s="32">
        <f>IF(H1534="",0,IF(COUNTIF($H$2:H1534,H1534)=1,1,0))</f>
        <v>0</v>
      </c>
    </row>
    <row r="1535" spans="1:10" ht="14.25" hidden="1" customHeight="1" x14ac:dyDescent="0.35">
      <c r="A1535" s="30"/>
      <c r="E1535" s="31"/>
      <c r="G1535" s="32" t="str">
        <f t="shared" si="46"/>
        <v>|||1900|</v>
      </c>
      <c r="H1535" s="32" t="str">
        <f t="shared" si="47"/>
        <v>||1900|</v>
      </c>
      <c r="I1535" s="32">
        <f>IF(G1535="",0,IF(COUNTIF($G$2:G1535,G1535)=1,1,0))</f>
        <v>0</v>
      </c>
      <c r="J1535" s="32">
        <f>IF(H1535="",0,IF(COUNTIF($H$2:H1535,H1535)=1,1,0))</f>
        <v>0</v>
      </c>
    </row>
    <row r="1536" spans="1:10" ht="14.25" hidden="1" customHeight="1" x14ac:dyDescent="0.35">
      <c r="A1536" s="30"/>
      <c r="E1536" s="31"/>
      <c r="G1536" s="32" t="str">
        <f t="shared" si="46"/>
        <v>|||1900|</v>
      </c>
      <c r="H1536" s="32" t="str">
        <f t="shared" si="47"/>
        <v>||1900|</v>
      </c>
      <c r="I1536" s="32">
        <f>IF(G1536="",0,IF(COUNTIF($G$2:G1536,G1536)=1,1,0))</f>
        <v>0</v>
      </c>
      <c r="J1536" s="32">
        <f>IF(H1536="",0,IF(COUNTIF($H$2:H1536,H1536)=1,1,0))</f>
        <v>0</v>
      </c>
    </row>
    <row r="1537" spans="1:10" ht="14.25" hidden="1" customHeight="1" x14ac:dyDescent="0.35">
      <c r="A1537" s="30"/>
      <c r="E1537" s="31"/>
      <c r="G1537" s="32" t="str">
        <f t="shared" si="46"/>
        <v>|||1900|</v>
      </c>
      <c r="H1537" s="32" t="str">
        <f t="shared" si="47"/>
        <v>||1900|</v>
      </c>
      <c r="I1537" s="32">
        <f>IF(G1537="",0,IF(COUNTIF($G$2:G1537,G1537)=1,1,0))</f>
        <v>0</v>
      </c>
      <c r="J1537" s="32">
        <f>IF(H1537="",0,IF(COUNTIF($H$2:H1537,H1537)=1,1,0))</f>
        <v>0</v>
      </c>
    </row>
    <row r="1538" spans="1:10" ht="14.25" hidden="1" customHeight="1" x14ac:dyDescent="0.35">
      <c r="A1538" s="30"/>
      <c r="E1538" s="31"/>
      <c r="G1538" s="32" t="str">
        <f t="shared" ref="G1538:G1601" si="48">IF(D1538="T",
E1538&amp;"|"&amp;F1538,
A1538&amp;"|"&amp;B1538&amp;"|"&amp;C1538&amp;"|"&amp;YEAR(E1538)&amp;"|"&amp;F1538)</f>
        <v>|||1900|</v>
      </c>
      <c r="H1538" s="32" t="str">
        <f t="shared" ref="H1538:H1601" si="49">A1538&amp;"|"&amp;C1538&amp;"|"&amp;YEAR(E1538)&amp;"|"&amp;F1538</f>
        <v>||1900|</v>
      </c>
      <c r="I1538" s="32">
        <f>IF(G1538="",0,IF(COUNTIF($G$2:G1538,G1538)=1,1,0))</f>
        <v>0</v>
      </c>
      <c r="J1538" s="32">
        <f>IF(H1538="",0,IF(COUNTIF($H$2:H1538,H1538)=1,1,0))</f>
        <v>0</v>
      </c>
    </row>
    <row r="1539" spans="1:10" ht="14.25" hidden="1" customHeight="1" x14ac:dyDescent="0.35">
      <c r="A1539" s="30"/>
      <c r="E1539" s="31"/>
      <c r="G1539" s="32" t="str">
        <f t="shared" si="48"/>
        <v>|||1900|</v>
      </c>
      <c r="H1539" s="32" t="str">
        <f t="shared" si="49"/>
        <v>||1900|</v>
      </c>
      <c r="I1539" s="32">
        <f>IF(G1539="",0,IF(COUNTIF($G$2:G1539,G1539)=1,1,0))</f>
        <v>0</v>
      </c>
      <c r="J1539" s="32">
        <f>IF(H1539="",0,IF(COUNTIF($H$2:H1539,H1539)=1,1,0))</f>
        <v>0</v>
      </c>
    </row>
    <row r="1540" spans="1:10" ht="14.25" hidden="1" customHeight="1" x14ac:dyDescent="0.35">
      <c r="A1540" s="30"/>
      <c r="E1540" s="31"/>
      <c r="G1540" s="32" t="str">
        <f t="shared" si="48"/>
        <v>|||1900|</v>
      </c>
      <c r="H1540" s="32" t="str">
        <f t="shared" si="49"/>
        <v>||1900|</v>
      </c>
      <c r="I1540" s="32">
        <f>IF(G1540="",0,IF(COUNTIF($G$2:G1540,G1540)=1,1,0))</f>
        <v>0</v>
      </c>
      <c r="J1540" s="32">
        <f>IF(H1540="",0,IF(COUNTIF($H$2:H1540,H1540)=1,1,0))</f>
        <v>0</v>
      </c>
    </row>
    <row r="1541" spans="1:10" ht="14.25" hidden="1" customHeight="1" x14ac:dyDescent="0.35">
      <c r="A1541" s="30"/>
      <c r="E1541" s="31"/>
      <c r="G1541" s="32" t="str">
        <f t="shared" si="48"/>
        <v>|||1900|</v>
      </c>
      <c r="H1541" s="32" t="str">
        <f t="shared" si="49"/>
        <v>||1900|</v>
      </c>
      <c r="I1541" s="32">
        <f>IF(G1541="",0,IF(COUNTIF($G$2:G1541,G1541)=1,1,0))</f>
        <v>0</v>
      </c>
      <c r="J1541" s="32">
        <f>IF(H1541="",0,IF(COUNTIF($H$2:H1541,H1541)=1,1,0))</f>
        <v>0</v>
      </c>
    </row>
    <row r="1542" spans="1:10" ht="14.25" hidden="1" customHeight="1" x14ac:dyDescent="0.35">
      <c r="A1542" s="30"/>
      <c r="E1542" s="31"/>
      <c r="G1542" s="32" t="str">
        <f t="shared" si="48"/>
        <v>|||1900|</v>
      </c>
      <c r="H1542" s="32" t="str">
        <f t="shared" si="49"/>
        <v>||1900|</v>
      </c>
      <c r="I1542" s="32">
        <f>IF(G1542="",0,IF(COUNTIF($G$2:G1542,G1542)=1,1,0))</f>
        <v>0</v>
      </c>
      <c r="J1542" s="32">
        <f>IF(H1542="",0,IF(COUNTIF($H$2:H1542,H1542)=1,1,0))</f>
        <v>0</v>
      </c>
    </row>
    <row r="1543" spans="1:10" ht="14.25" hidden="1" customHeight="1" x14ac:dyDescent="0.35">
      <c r="A1543" s="30"/>
      <c r="E1543" s="31"/>
      <c r="G1543" s="32" t="str">
        <f t="shared" si="48"/>
        <v>|||1900|</v>
      </c>
      <c r="H1543" s="32" t="str">
        <f t="shared" si="49"/>
        <v>||1900|</v>
      </c>
      <c r="I1543" s="32">
        <f>IF(G1543="",0,IF(COUNTIF($G$2:G1543,G1543)=1,1,0))</f>
        <v>0</v>
      </c>
      <c r="J1543" s="32">
        <f>IF(H1543="",0,IF(COUNTIF($H$2:H1543,H1543)=1,1,0))</f>
        <v>0</v>
      </c>
    </row>
    <row r="1544" spans="1:10" ht="14.25" hidden="1" customHeight="1" x14ac:dyDescent="0.35">
      <c r="A1544" s="30"/>
      <c r="E1544" s="31"/>
      <c r="G1544" s="32" t="str">
        <f t="shared" si="48"/>
        <v>|||1900|</v>
      </c>
      <c r="H1544" s="32" t="str">
        <f t="shared" si="49"/>
        <v>||1900|</v>
      </c>
      <c r="I1544" s="32">
        <f>IF(G1544="",0,IF(COUNTIF($G$2:G1544,G1544)=1,1,0))</f>
        <v>0</v>
      </c>
      <c r="J1544" s="32">
        <f>IF(H1544="",0,IF(COUNTIF($H$2:H1544,H1544)=1,1,0))</f>
        <v>0</v>
      </c>
    </row>
    <row r="1545" spans="1:10" ht="14.25" hidden="1" customHeight="1" x14ac:dyDescent="0.35">
      <c r="A1545" s="30"/>
      <c r="E1545" s="31"/>
      <c r="G1545" s="32" t="str">
        <f t="shared" si="48"/>
        <v>|||1900|</v>
      </c>
      <c r="H1545" s="32" t="str">
        <f t="shared" si="49"/>
        <v>||1900|</v>
      </c>
      <c r="I1545" s="32">
        <f>IF(G1545="",0,IF(COUNTIF($G$2:G1545,G1545)=1,1,0))</f>
        <v>0</v>
      </c>
      <c r="J1545" s="32">
        <f>IF(H1545="",0,IF(COUNTIF($H$2:H1545,H1545)=1,1,0))</f>
        <v>0</v>
      </c>
    </row>
    <row r="1546" spans="1:10" ht="14.25" hidden="1" customHeight="1" x14ac:dyDescent="0.35">
      <c r="A1546" s="30"/>
      <c r="E1546" s="31"/>
      <c r="G1546" s="32" t="str">
        <f t="shared" si="48"/>
        <v>|||1900|</v>
      </c>
      <c r="H1546" s="32" t="str">
        <f t="shared" si="49"/>
        <v>||1900|</v>
      </c>
      <c r="I1546" s="32">
        <f>IF(G1546="",0,IF(COUNTIF($G$2:G1546,G1546)=1,1,0))</f>
        <v>0</v>
      </c>
      <c r="J1546" s="32">
        <f>IF(H1546="",0,IF(COUNTIF($H$2:H1546,H1546)=1,1,0))</f>
        <v>0</v>
      </c>
    </row>
    <row r="1547" spans="1:10" ht="14.25" hidden="1" customHeight="1" x14ac:dyDescent="0.35">
      <c r="A1547" s="30"/>
      <c r="E1547" s="31"/>
      <c r="G1547" s="32" t="str">
        <f t="shared" si="48"/>
        <v>|||1900|</v>
      </c>
      <c r="H1547" s="32" t="str">
        <f t="shared" si="49"/>
        <v>||1900|</v>
      </c>
      <c r="I1547" s="32">
        <f>IF(G1547="",0,IF(COUNTIF($G$2:G1547,G1547)=1,1,0))</f>
        <v>0</v>
      </c>
      <c r="J1547" s="32">
        <f>IF(H1547="",0,IF(COUNTIF($H$2:H1547,H1547)=1,1,0))</f>
        <v>0</v>
      </c>
    </row>
    <row r="1548" spans="1:10" ht="14.25" hidden="1" customHeight="1" x14ac:dyDescent="0.35">
      <c r="A1548" s="30"/>
      <c r="E1548" s="31"/>
      <c r="G1548" s="32" t="str">
        <f t="shared" si="48"/>
        <v>|||1900|</v>
      </c>
      <c r="H1548" s="32" t="str">
        <f t="shared" si="49"/>
        <v>||1900|</v>
      </c>
      <c r="I1548" s="32">
        <f>IF(G1548="",0,IF(COUNTIF($G$2:G1548,G1548)=1,1,0))</f>
        <v>0</v>
      </c>
      <c r="J1548" s="32">
        <f>IF(H1548="",0,IF(COUNTIF($H$2:H1548,H1548)=1,1,0))</f>
        <v>0</v>
      </c>
    </row>
    <row r="1549" spans="1:10" ht="14.25" hidden="1" customHeight="1" x14ac:dyDescent="0.35">
      <c r="A1549" s="30"/>
      <c r="E1549" s="31"/>
      <c r="G1549" s="32" t="str">
        <f t="shared" si="48"/>
        <v>|||1900|</v>
      </c>
      <c r="H1549" s="32" t="str">
        <f t="shared" si="49"/>
        <v>||1900|</v>
      </c>
      <c r="I1549" s="32">
        <f>IF(G1549="",0,IF(COUNTIF($G$2:G1549,G1549)=1,1,0))</f>
        <v>0</v>
      </c>
      <c r="J1549" s="32">
        <f>IF(H1549="",0,IF(COUNTIF($H$2:H1549,H1549)=1,1,0))</f>
        <v>0</v>
      </c>
    </row>
    <row r="1550" spans="1:10" ht="14.25" hidden="1" customHeight="1" x14ac:dyDescent="0.35">
      <c r="A1550" s="30"/>
      <c r="E1550" s="31"/>
      <c r="G1550" s="32" t="str">
        <f t="shared" si="48"/>
        <v>|||1900|</v>
      </c>
      <c r="H1550" s="32" t="str">
        <f t="shared" si="49"/>
        <v>||1900|</v>
      </c>
      <c r="I1550" s="32">
        <f>IF(G1550="",0,IF(COUNTIF($G$2:G1550,G1550)=1,1,0))</f>
        <v>0</v>
      </c>
      <c r="J1550" s="32">
        <f>IF(H1550="",0,IF(COUNTIF($H$2:H1550,H1550)=1,1,0))</f>
        <v>0</v>
      </c>
    </row>
    <row r="1551" spans="1:10" ht="14.25" hidden="1" customHeight="1" x14ac:dyDescent="0.35">
      <c r="A1551" s="30"/>
      <c r="E1551" s="31"/>
      <c r="G1551" s="32" t="str">
        <f t="shared" si="48"/>
        <v>|||1900|</v>
      </c>
      <c r="H1551" s="32" t="str">
        <f t="shared" si="49"/>
        <v>||1900|</v>
      </c>
      <c r="I1551" s="32">
        <f>IF(G1551="",0,IF(COUNTIF($G$2:G1551,G1551)=1,1,0))</f>
        <v>0</v>
      </c>
      <c r="J1551" s="32">
        <f>IF(H1551="",0,IF(COUNTIF($H$2:H1551,H1551)=1,1,0))</f>
        <v>0</v>
      </c>
    </row>
    <row r="1552" spans="1:10" ht="14.25" hidden="1" customHeight="1" x14ac:dyDescent="0.35">
      <c r="A1552" s="30"/>
      <c r="E1552" s="31"/>
      <c r="G1552" s="32" t="str">
        <f t="shared" si="48"/>
        <v>|||1900|</v>
      </c>
      <c r="H1552" s="32" t="str">
        <f t="shared" si="49"/>
        <v>||1900|</v>
      </c>
      <c r="I1552" s="32">
        <f>IF(G1552="",0,IF(COUNTIF($G$2:G1552,G1552)=1,1,0))</f>
        <v>0</v>
      </c>
      <c r="J1552" s="32">
        <f>IF(H1552="",0,IF(COUNTIF($H$2:H1552,H1552)=1,1,0))</f>
        <v>0</v>
      </c>
    </row>
    <row r="1553" spans="1:10" ht="14.25" hidden="1" customHeight="1" x14ac:dyDescent="0.35">
      <c r="A1553" s="30"/>
      <c r="E1553" s="31"/>
      <c r="G1553" s="32" t="str">
        <f t="shared" si="48"/>
        <v>|||1900|</v>
      </c>
      <c r="H1553" s="32" t="str">
        <f t="shared" si="49"/>
        <v>||1900|</v>
      </c>
      <c r="I1553" s="32">
        <f>IF(G1553="",0,IF(COUNTIF($G$2:G1553,G1553)=1,1,0))</f>
        <v>0</v>
      </c>
      <c r="J1553" s="32">
        <f>IF(H1553="",0,IF(COUNTIF($H$2:H1553,H1553)=1,1,0))</f>
        <v>0</v>
      </c>
    </row>
    <row r="1554" spans="1:10" ht="14.25" hidden="1" customHeight="1" x14ac:dyDescent="0.35">
      <c r="A1554" s="30"/>
      <c r="E1554" s="31"/>
      <c r="G1554" s="32" t="str">
        <f t="shared" si="48"/>
        <v>|||1900|</v>
      </c>
      <c r="H1554" s="32" t="str">
        <f t="shared" si="49"/>
        <v>||1900|</v>
      </c>
      <c r="I1554" s="32">
        <f>IF(G1554="",0,IF(COUNTIF($G$2:G1554,G1554)=1,1,0))</f>
        <v>0</v>
      </c>
      <c r="J1554" s="32">
        <f>IF(H1554="",0,IF(COUNTIF($H$2:H1554,H1554)=1,1,0))</f>
        <v>0</v>
      </c>
    </row>
    <row r="1555" spans="1:10" ht="14.25" hidden="1" customHeight="1" x14ac:dyDescent="0.35">
      <c r="A1555" s="30"/>
      <c r="E1555" s="31"/>
      <c r="G1555" s="32" t="str">
        <f t="shared" si="48"/>
        <v>|||1900|</v>
      </c>
      <c r="H1555" s="32" t="str">
        <f t="shared" si="49"/>
        <v>||1900|</v>
      </c>
      <c r="I1555" s="32">
        <f>IF(G1555="",0,IF(COUNTIF($G$2:G1555,G1555)=1,1,0))</f>
        <v>0</v>
      </c>
      <c r="J1555" s="32">
        <f>IF(H1555="",0,IF(COUNTIF($H$2:H1555,H1555)=1,1,0))</f>
        <v>0</v>
      </c>
    </row>
    <row r="1556" spans="1:10" ht="14.25" hidden="1" customHeight="1" x14ac:dyDescent="0.35">
      <c r="A1556" s="30"/>
      <c r="E1556" s="31"/>
      <c r="G1556" s="32" t="str">
        <f t="shared" si="48"/>
        <v>|||1900|</v>
      </c>
      <c r="H1556" s="32" t="str">
        <f t="shared" si="49"/>
        <v>||1900|</v>
      </c>
      <c r="I1556" s="32">
        <f>IF(G1556="",0,IF(COUNTIF($G$2:G1556,G1556)=1,1,0))</f>
        <v>0</v>
      </c>
      <c r="J1556" s="32">
        <f>IF(H1556="",0,IF(COUNTIF($H$2:H1556,H1556)=1,1,0))</f>
        <v>0</v>
      </c>
    </row>
    <row r="1557" spans="1:10" ht="14.25" hidden="1" customHeight="1" x14ac:dyDescent="0.35">
      <c r="A1557" s="30"/>
      <c r="E1557" s="31"/>
      <c r="G1557" s="32" t="str">
        <f t="shared" si="48"/>
        <v>|||1900|</v>
      </c>
      <c r="H1557" s="32" t="str">
        <f t="shared" si="49"/>
        <v>||1900|</v>
      </c>
      <c r="I1557" s="32">
        <f>IF(G1557="",0,IF(COUNTIF($G$2:G1557,G1557)=1,1,0))</f>
        <v>0</v>
      </c>
      <c r="J1557" s="32">
        <f>IF(H1557="",0,IF(COUNTIF($H$2:H1557,H1557)=1,1,0))</f>
        <v>0</v>
      </c>
    </row>
    <row r="1558" spans="1:10" ht="14.25" hidden="1" customHeight="1" x14ac:dyDescent="0.35">
      <c r="A1558" s="30"/>
      <c r="E1558" s="31"/>
      <c r="G1558" s="32" t="str">
        <f t="shared" si="48"/>
        <v>|||1900|</v>
      </c>
      <c r="H1558" s="32" t="str">
        <f t="shared" si="49"/>
        <v>||1900|</v>
      </c>
      <c r="I1558" s="32">
        <f>IF(G1558="",0,IF(COUNTIF($G$2:G1558,G1558)=1,1,0))</f>
        <v>0</v>
      </c>
      <c r="J1558" s="32">
        <f>IF(H1558="",0,IF(COUNTIF($H$2:H1558,H1558)=1,1,0))</f>
        <v>0</v>
      </c>
    </row>
    <row r="1559" spans="1:10" ht="14.25" hidden="1" customHeight="1" x14ac:dyDescent="0.35">
      <c r="A1559" s="30"/>
      <c r="E1559" s="31"/>
      <c r="G1559" s="32" t="str">
        <f t="shared" si="48"/>
        <v>|||1900|</v>
      </c>
      <c r="H1559" s="32" t="str">
        <f t="shared" si="49"/>
        <v>||1900|</v>
      </c>
      <c r="I1559" s="32">
        <f>IF(G1559="",0,IF(COUNTIF($G$2:G1559,G1559)=1,1,0))</f>
        <v>0</v>
      </c>
      <c r="J1559" s="32">
        <f>IF(H1559="",0,IF(COUNTIF($H$2:H1559,H1559)=1,1,0))</f>
        <v>0</v>
      </c>
    </row>
    <row r="1560" spans="1:10" ht="14.25" hidden="1" customHeight="1" x14ac:dyDescent="0.35">
      <c r="A1560" s="30"/>
      <c r="E1560" s="31"/>
      <c r="G1560" s="32" t="str">
        <f t="shared" si="48"/>
        <v>|||1900|</v>
      </c>
      <c r="H1560" s="32" t="str">
        <f t="shared" si="49"/>
        <v>||1900|</v>
      </c>
      <c r="I1560" s="32">
        <f>IF(G1560="",0,IF(COUNTIF($G$2:G1560,G1560)=1,1,0))</f>
        <v>0</v>
      </c>
      <c r="J1560" s="32">
        <f>IF(H1560="",0,IF(COUNTIF($H$2:H1560,H1560)=1,1,0))</f>
        <v>0</v>
      </c>
    </row>
    <row r="1561" spans="1:10" ht="14.25" hidden="1" customHeight="1" x14ac:dyDescent="0.35">
      <c r="A1561" s="30"/>
      <c r="E1561" s="31"/>
      <c r="G1561" s="32" t="str">
        <f t="shared" si="48"/>
        <v>|||1900|</v>
      </c>
      <c r="H1561" s="32" t="str">
        <f t="shared" si="49"/>
        <v>||1900|</v>
      </c>
      <c r="I1561" s="32">
        <f>IF(G1561="",0,IF(COUNTIF($G$2:G1561,G1561)=1,1,0))</f>
        <v>0</v>
      </c>
      <c r="J1561" s="32">
        <f>IF(H1561="",0,IF(COUNTIF($H$2:H1561,H1561)=1,1,0))</f>
        <v>0</v>
      </c>
    </row>
    <row r="1562" spans="1:10" ht="14.25" hidden="1" customHeight="1" x14ac:dyDescent="0.35">
      <c r="A1562" s="30"/>
      <c r="E1562" s="31"/>
      <c r="G1562" s="32" t="str">
        <f t="shared" si="48"/>
        <v>|||1900|</v>
      </c>
      <c r="H1562" s="32" t="str">
        <f t="shared" si="49"/>
        <v>||1900|</v>
      </c>
      <c r="I1562" s="32">
        <f>IF(G1562="",0,IF(COUNTIF($G$2:G1562,G1562)=1,1,0))</f>
        <v>0</v>
      </c>
      <c r="J1562" s="32">
        <f>IF(H1562="",0,IF(COUNTIF($H$2:H1562,H1562)=1,1,0))</f>
        <v>0</v>
      </c>
    </row>
    <row r="1563" spans="1:10" ht="14.25" hidden="1" customHeight="1" x14ac:dyDescent="0.35">
      <c r="A1563" s="30"/>
      <c r="E1563" s="31"/>
      <c r="G1563" s="32" t="str">
        <f t="shared" si="48"/>
        <v>|||1900|</v>
      </c>
      <c r="H1563" s="32" t="str">
        <f t="shared" si="49"/>
        <v>||1900|</v>
      </c>
      <c r="I1563" s="32">
        <f>IF(G1563="",0,IF(COUNTIF($G$2:G1563,G1563)=1,1,0))</f>
        <v>0</v>
      </c>
      <c r="J1563" s="32">
        <f>IF(H1563="",0,IF(COUNTIF($H$2:H1563,H1563)=1,1,0))</f>
        <v>0</v>
      </c>
    </row>
    <row r="1564" spans="1:10" ht="14.25" hidden="1" customHeight="1" x14ac:dyDescent="0.35">
      <c r="A1564" s="30"/>
      <c r="E1564" s="31"/>
      <c r="G1564" s="32" t="str">
        <f t="shared" si="48"/>
        <v>|||1900|</v>
      </c>
      <c r="H1564" s="32" t="str">
        <f t="shared" si="49"/>
        <v>||1900|</v>
      </c>
      <c r="I1564" s="32">
        <f>IF(G1564="",0,IF(COUNTIF($G$2:G1564,G1564)=1,1,0))</f>
        <v>0</v>
      </c>
      <c r="J1564" s="32">
        <f>IF(H1564="",0,IF(COUNTIF($H$2:H1564,H1564)=1,1,0))</f>
        <v>0</v>
      </c>
    </row>
    <row r="1565" spans="1:10" ht="14.25" hidden="1" customHeight="1" x14ac:dyDescent="0.35">
      <c r="A1565" s="30"/>
      <c r="E1565" s="31"/>
      <c r="G1565" s="32" t="str">
        <f t="shared" si="48"/>
        <v>|||1900|</v>
      </c>
      <c r="H1565" s="32" t="str">
        <f t="shared" si="49"/>
        <v>||1900|</v>
      </c>
      <c r="I1565" s="32">
        <f>IF(G1565="",0,IF(COUNTIF($G$2:G1565,G1565)=1,1,0))</f>
        <v>0</v>
      </c>
      <c r="J1565" s="32">
        <f>IF(H1565="",0,IF(COUNTIF($H$2:H1565,H1565)=1,1,0))</f>
        <v>0</v>
      </c>
    </row>
    <row r="1566" spans="1:10" ht="14.25" hidden="1" customHeight="1" x14ac:dyDescent="0.35">
      <c r="A1566" s="30"/>
      <c r="E1566" s="31"/>
      <c r="G1566" s="32" t="str">
        <f t="shared" si="48"/>
        <v>|||1900|</v>
      </c>
      <c r="H1566" s="32" t="str">
        <f t="shared" si="49"/>
        <v>||1900|</v>
      </c>
      <c r="I1566" s="32">
        <f>IF(G1566="",0,IF(COUNTIF($G$2:G1566,G1566)=1,1,0))</f>
        <v>0</v>
      </c>
      <c r="J1566" s="32">
        <f>IF(H1566="",0,IF(COUNTIF($H$2:H1566,H1566)=1,1,0))</f>
        <v>0</v>
      </c>
    </row>
    <row r="1567" spans="1:10" ht="14.25" hidden="1" customHeight="1" x14ac:dyDescent="0.35">
      <c r="A1567" s="30"/>
      <c r="E1567" s="31"/>
      <c r="G1567" s="32" t="str">
        <f t="shared" si="48"/>
        <v>|||1900|</v>
      </c>
      <c r="H1567" s="32" t="str">
        <f t="shared" si="49"/>
        <v>||1900|</v>
      </c>
      <c r="I1567" s="32">
        <f>IF(G1567="",0,IF(COUNTIF($G$2:G1567,G1567)=1,1,0))</f>
        <v>0</v>
      </c>
      <c r="J1567" s="32">
        <f>IF(H1567="",0,IF(COUNTIF($H$2:H1567,H1567)=1,1,0))</f>
        <v>0</v>
      </c>
    </row>
    <row r="1568" spans="1:10" ht="14.25" hidden="1" customHeight="1" x14ac:dyDescent="0.35">
      <c r="A1568" s="30"/>
      <c r="E1568" s="31"/>
      <c r="G1568" s="32" t="str">
        <f t="shared" si="48"/>
        <v>|||1900|</v>
      </c>
      <c r="H1568" s="32" t="str">
        <f t="shared" si="49"/>
        <v>||1900|</v>
      </c>
      <c r="I1568" s="32">
        <f>IF(G1568="",0,IF(COUNTIF($G$2:G1568,G1568)=1,1,0))</f>
        <v>0</v>
      </c>
      <c r="J1568" s="32">
        <f>IF(H1568="",0,IF(COUNTIF($H$2:H1568,H1568)=1,1,0))</f>
        <v>0</v>
      </c>
    </row>
    <row r="1569" spans="1:10" ht="14.25" hidden="1" customHeight="1" x14ac:dyDescent="0.35">
      <c r="A1569" s="30"/>
      <c r="E1569" s="31"/>
      <c r="G1569" s="32" t="str">
        <f t="shared" si="48"/>
        <v>|||1900|</v>
      </c>
      <c r="H1569" s="32" t="str">
        <f t="shared" si="49"/>
        <v>||1900|</v>
      </c>
      <c r="I1569" s="32">
        <f>IF(G1569="",0,IF(COUNTIF($G$2:G1569,G1569)=1,1,0))</f>
        <v>0</v>
      </c>
      <c r="J1569" s="32">
        <f>IF(H1569="",0,IF(COUNTIF($H$2:H1569,H1569)=1,1,0))</f>
        <v>0</v>
      </c>
    </row>
    <row r="1570" spans="1:10" ht="14.25" hidden="1" customHeight="1" x14ac:dyDescent="0.35">
      <c r="A1570" s="30"/>
      <c r="E1570" s="31"/>
      <c r="G1570" s="32" t="str">
        <f t="shared" si="48"/>
        <v>|||1900|</v>
      </c>
      <c r="H1570" s="32" t="str">
        <f t="shared" si="49"/>
        <v>||1900|</v>
      </c>
      <c r="I1570" s="32">
        <f>IF(G1570="",0,IF(COUNTIF($G$2:G1570,G1570)=1,1,0))</f>
        <v>0</v>
      </c>
      <c r="J1570" s="32">
        <f>IF(H1570="",0,IF(COUNTIF($H$2:H1570,H1570)=1,1,0))</f>
        <v>0</v>
      </c>
    </row>
    <row r="1571" spans="1:10" ht="14.25" hidden="1" customHeight="1" x14ac:dyDescent="0.35">
      <c r="A1571" s="30"/>
      <c r="E1571" s="31"/>
      <c r="G1571" s="32" t="str">
        <f t="shared" si="48"/>
        <v>|||1900|</v>
      </c>
      <c r="H1571" s="32" t="str">
        <f t="shared" si="49"/>
        <v>||1900|</v>
      </c>
      <c r="I1571" s="32">
        <f>IF(G1571="",0,IF(COUNTIF($G$2:G1571,G1571)=1,1,0))</f>
        <v>0</v>
      </c>
      <c r="J1571" s="32">
        <f>IF(H1571="",0,IF(COUNTIF($H$2:H1571,H1571)=1,1,0))</f>
        <v>0</v>
      </c>
    </row>
    <row r="1572" spans="1:10" ht="14.25" hidden="1" customHeight="1" x14ac:dyDescent="0.35">
      <c r="A1572" s="30"/>
      <c r="E1572" s="31"/>
      <c r="G1572" s="32" t="str">
        <f t="shared" si="48"/>
        <v>|||1900|</v>
      </c>
      <c r="H1572" s="32" t="str">
        <f t="shared" si="49"/>
        <v>||1900|</v>
      </c>
      <c r="I1572" s="32">
        <f>IF(G1572="",0,IF(COUNTIF($G$2:G1572,G1572)=1,1,0))</f>
        <v>0</v>
      </c>
      <c r="J1572" s="32">
        <f>IF(H1572="",0,IF(COUNTIF($H$2:H1572,H1572)=1,1,0))</f>
        <v>0</v>
      </c>
    </row>
    <row r="1573" spans="1:10" ht="14.25" hidden="1" customHeight="1" x14ac:dyDescent="0.35">
      <c r="A1573" s="30"/>
      <c r="E1573" s="31"/>
      <c r="G1573" s="32" t="str">
        <f t="shared" si="48"/>
        <v>|||1900|</v>
      </c>
      <c r="H1573" s="32" t="str">
        <f t="shared" si="49"/>
        <v>||1900|</v>
      </c>
      <c r="I1573" s="32">
        <f>IF(G1573="",0,IF(COUNTIF($G$2:G1573,G1573)=1,1,0))</f>
        <v>0</v>
      </c>
      <c r="J1573" s="32">
        <f>IF(H1573="",0,IF(COUNTIF($H$2:H1573,H1573)=1,1,0))</f>
        <v>0</v>
      </c>
    </row>
    <row r="1574" spans="1:10" ht="14.25" hidden="1" customHeight="1" x14ac:dyDescent="0.35">
      <c r="A1574" s="30"/>
      <c r="E1574" s="31"/>
      <c r="G1574" s="32" t="str">
        <f t="shared" si="48"/>
        <v>|||1900|</v>
      </c>
      <c r="H1574" s="32" t="str">
        <f t="shared" si="49"/>
        <v>||1900|</v>
      </c>
      <c r="I1574" s="32">
        <f>IF(G1574="",0,IF(COUNTIF($G$2:G1574,G1574)=1,1,0))</f>
        <v>0</v>
      </c>
      <c r="J1574" s="32">
        <f>IF(H1574="",0,IF(COUNTIF($H$2:H1574,H1574)=1,1,0))</f>
        <v>0</v>
      </c>
    </row>
    <row r="1575" spans="1:10" ht="14.25" hidden="1" customHeight="1" x14ac:dyDescent="0.35">
      <c r="A1575" s="30"/>
      <c r="E1575" s="31"/>
      <c r="G1575" s="32" t="str">
        <f t="shared" si="48"/>
        <v>|||1900|</v>
      </c>
      <c r="H1575" s="32" t="str">
        <f t="shared" si="49"/>
        <v>||1900|</v>
      </c>
      <c r="I1575" s="32">
        <f>IF(G1575="",0,IF(COUNTIF($G$2:G1575,G1575)=1,1,0))</f>
        <v>0</v>
      </c>
      <c r="J1575" s="32">
        <f>IF(H1575="",0,IF(COUNTIF($H$2:H1575,H1575)=1,1,0))</f>
        <v>0</v>
      </c>
    </row>
    <row r="1576" spans="1:10" ht="14.25" hidden="1" customHeight="1" x14ac:dyDescent="0.35">
      <c r="A1576" s="30"/>
      <c r="E1576" s="31"/>
      <c r="G1576" s="32" t="str">
        <f t="shared" si="48"/>
        <v>|||1900|</v>
      </c>
      <c r="H1576" s="32" t="str">
        <f t="shared" si="49"/>
        <v>||1900|</v>
      </c>
      <c r="I1576" s="32">
        <f>IF(G1576="",0,IF(COUNTIF($G$2:G1576,G1576)=1,1,0))</f>
        <v>0</v>
      </c>
      <c r="J1576" s="32">
        <f>IF(H1576="",0,IF(COUNTIF($H$2:H1576,H1576)=1,1,0))</f>
        <v>0</v>
      </c>
    </row>
    <row r="1577" spans="1:10" ht="14.25" hidden="1" customHeight="1" x14ac:dyDescent="0.35">
      <c r="A1577" s="30"/>
      <c r="E1577" s="31"/>
      <c r="G1577" s="32" t="str">
        <f t="shared" si="48"/>
        <v>|||1900|</v>
      </c>
      <c r="H1577" s="32" t="str">
        <f t="shared" si="49"/>
        <v>||1900|</v>
      </c>
      <c r="I1577" s="32">
        <f>IF(G1577="",0,IF(COUNTIF($G$2:G1577,G1577)=1,1,0))</f>
        <v>0</v>
      </c>
      <c r="J1577" s="32">
        <f>IF(H1577="",0,IF(COUNTIF($H$2:H1577,H1577)=1,1,0))</f>
        <v>0</v>
      </c>
    </row>
    <row r="1578" spans="1:10" ht="14.25" hidden="1" customHeight="1" x14ac:dyDescent="0.35">
      <c r="A1578" s="30"/>
      <c r="E1578" s="31"/>
      <c r="G1578" s="32" t="str">
        <f t="shared" si="48"/>
        <v>|||1900|</v>
      </c>
      <c r="H1578" s="32" t="str">
        <f t="shared" si="49"/>
        <v>||1900|</v>
      </c>
      <c r="I1578" s="32">
        <f>IF(G1578="",0,IF(COUNTIF($G$2:G1578,G1578)=1,1,0))</f>
        <v>0</v>
      </c>
      <c r="J1578" s="32">
        <f>IF(H1578="",0,IF(COUNTIF($H$2:H1578,H1578)=1,1,0))</f>
        <v>0</v>
      </c>
    </row>
    <row r="1579" spans="1:10" ht="14.25" hidden="1" customHeight="1" x14ac:dyDescent="0.35">
      <c r="A1579" s="30"/>
      <c r="E1579" s="31"/>
      <c r="G1579" s="32" t="str">
        <f t="shared" si="48"/>
        <v>|||1900|</v>
      </c>
      <c r="H1579" s="32" t="str">
        <f t="shared" si="49"/>
        <v>||1900|</v>
      </c>
      <c r="I1579" s="32">
        <f>IF(G1579="",0,IF(COUNTIF($G$2:G1579,G1579)=1,1,0))</f>
        <v>0</v>
      </c>
      <c r="J1579" s="32">
        <f>IF(H1579="",0,IF(COUNTIF($H$2:H1579,H1579)=1,1,0))</f>
        <v>0</v>
      </c>
    </row>
    <row r="1580" spans="1:10" ht="14.25" hidden="1" customHeight="1" x14ac:dyDescent="0.35">
      <c r="A1580" s="30"/>
      <c r="E1580" s="31"/>
      <c r="G1580" s="32" t="str">
        <f t="shared" si="48"/>
        <v>|||1900|</v>
      </c>
      <c r="H1580" s="32" t="str">
        <f t="shared" si="49"/>
        <v>||1900|</v>
      </c>
      <c r="I1580" s="32">
        <f>IF(G1580="",0,IF(COUNTIF($G$2:G1580,G1580)=1,1,0))</f>
        <v>0</v>
      </c>
      <c r="J1580" s="32">
        <f>IF(H1580="",0,IF(COUNTIF($H$2:H1580,H1580)=1,1,0))</f>
        <v>0</v>
      </c>
    </row>
    <row r="1581" spans="1:10" ht="14.25" hidden="1" customHeight="1" x14ac:dyDescent="0.35">
      <c r="A1581" s="30"/>
      <c r="E1581" s="31"/>
      <c r="G1581" s="32" t="str">
        <f t="shared" si="48"/>
        <v>|||1900|</v>
      </c>
      <c r="H1581" s="32" t="str">
        <f t="shared" si="49"/>
        <v>||1900|</v>
      </c>
      <c r="I1581" s="32">
        <f>IF(G1581="",0,IF(COUNTIF($G$2:G1581,G1581)=1,1,0))</f>
        <v>0</v>
      </c>
      <c r="J1581" s="32">
        <f>IF(H1581="",0,IF(COUNTIF($H$2:H1581,H1581)=1,1,0))</f>
        <v>0</v>
      </c>
    </row>
    <row r="1582" spans="1:10" ht="14.25" hidden="1" customHeight="1" x14ac:dyDescent="0.35">
      <c r="A1582" s="30"/>
      <c r="E1582" s="31"/>
      <c r="G1582" s="32" t="str">
        <f t="shared" si="48"/>
        <v>|||1900|</v>
      </c>
      <c r="H1582" s="32" t="str">
        <f t="shared" si="49"/>
        <v>||1900|</v>
      </c>
      <c r="I1582" s="32">
        <f>IF(G1582="",0,IF(COUNTIF($G$2:G1582,G1582)=1,1,0))</f>
        <v>0</v>
      </c>
      <c r="J1582" s="32">
        <f>IF(H1582="",0,IF(COUNTIF($H$2:H1582,H1582)=1,1,0))</f>
        <v>0</v>
      </c>
    </row>
    <row r="1583" spans="1:10" ht="14.25" hidden="1" customHeight="1" x14ac:dyDescent="0.35">
      <c r="A1583" s="30"/>
      <c r="E1583" s="31"/>
      <c r="G1583" s="32" t="str">
        <f t="shared" si="48"/>
        <v>|||1900|</v>
      </c>
      <c r="H1583" s="32" t="str">
        <f t="shared" si="49"/>
        <v>||1900|</v>
      </c>
      <c r="I1583" s="32">
        <f>IF(G1583="",0,IF(COUNTIF($G$2:G1583,G1583)=1,1,0))</f>
        <v>0</v>
      </c>
      <c r="J1583" s="32">
        <f>IF(H1583="",0,IF(COUNTIF($H$2:H1583,H1583)=1,1,0))</f>
        <v>0</v>
      </c>
    </row>
    <row r="1584" spans="1:10" ht="14.25" hidden="1" customHeight="1" x14ac:dyDescent="0.35">
      <c r="A1584" s="30"/>
      <c r="E1584" s="31"/>
      <c r="G1584" s="32" t="str">
        <f t="shared" si="48"/>
        <v>|||1900|</v>
      </c>
      <c r="H1584" s="32" t="str">
        <f t="shared" si="49"/>
        <v>||1900|</v>
      </c>
      <c r="I1584" s="32">
        <f>IF(G1584="",0,IF(COUNTIF($G$2:G1584,G1584)=1,1,0))</f>
        <v>0</v>
      </c>
      <c r="J1584" s="32">
        <f>IF(H1584="",0,IF(COUNTIF($H$2:H1584,H1584)=1,1,0))</f>
        <v>0</v>
      </c>
    </row>
    <row r="1585" spans="1:10" ht="14.25" hidden="1" customHeight="1" x14ac:dyDescent="0.35">
      <c r="A1585" s="30"/>
      <c r="E1585" s="31"/>
      <c r="G1585" s="32" t="str">
        <f t="shared" si="48"/>
        <v>|||1900|</v>
      </c>
      <c r="H1585" s="32" t="str">
        <f t="shared" si="49"/>
        <v>||1900|</v>
      </c>
      <c r="I1585" s="32">
        <f>IF(G1585="",0,IF(COUNTIF($G$2:G1585,G1585)=1,1,0))</f>
        <v>0</v>
      </c>
      <c r="J1585" s="32">
        <f>IF(H1585="",0,IF(COUNTIF($H$2:H1585,H1585)=1,1,0))</f>
        <v>0</v>
      </c>
    </row>
    <row r="1586" spans="1:10" ht="14.25" hidden="1" customHeight="1" x14ac:dyDescent="0.35">
      <c r="A1586" s="30"/>
      <c r="E1586" s="31"/>
      <c r="G1586" s="32" t="str">
        <f t="shared" si="48"/>
        <v>|||1900|</v>
      </c>
      <c r="H1586" s="32" t="str">
        <f t="shared" si="49"/>
        <v>||1900|</v>
      </c>
      <c r="I1586" s="32">
        <f>IF(G1586="",0,IF(COUNTIF($G$2:G1586,G1586)=1,1,0))</f>
        <v>0</v>
      </c>
      <c r="J1586" s="32">
        <f>IF(H1586="",0,IF(COUNTIF($H$2:H1586,H1586)=1,1,0))</f>
        <v>0</v>
      </c>
    </row>
    <row r="1587" spans="1:10" ht="14.25" hidden="1" customHeight="1" x14ac:dyDescent="0.35">
      <c r="A1587" s="30"/>
      <c r="E1587" s="31"/>
      <c r="G1587" s="32" t="str">
        <f t="shared" si="48"/>
        <v>|||1900|</v>
      </c>
      <c r="H1587" s="32" t="str">
        <f t="shared" si="49"/>
        <v>||1900|</v>
      </c>
      <c r="I1587" s="32">
        <f>IF(G1587="",0,IF(COUNTIF($G$2:G1587,G1587)=1,1,0))</f>
        <v>0</v>
      </c>
      <c r="J1587" s="32">
        <f>IF(H1587="",0,IF(COUNTIF($H$2:H1587,H1587)=1,1,0))</f>
        <v>0</v>
      </c>
    </row>
    <row r="1588" spans="1:10" ht="14.25" hidden="1" customHeight="1" x14ac:dyDescent="0.35">
      <c r="A1588" s="30"/>
      <c r="E1588" s="31"/>
      <c r="G1588" s="32" t="str">
        <f t="shared" si="48"/>
        <v>|||1900|</v>
      </c>
      <c r="H1588" s="32" t="str">
        <f t="shared" si="49"/>
        <v>||1900|</v>
      </c>
      <c r="I1588" s="32">
        <f>IF(G1588="",0,IF(COUNTIF($G$2:G1588,G1588)=1,1,0))</f>
        <v>0</v>
      </c>
      <c r="J1588" s="32">
        <f>IF(H1588="",0,IF(COUNTIF($H$2:H1588,H1588)=1,1,0))</f>
        <v>0</v>
      </c>
    </row>
    <row r="1589" spans="1:10" ht="14.25" hidden="1" customHeight="1" x14ac:dyDescent="0.35">
      <c r="A1589" s="30"/>
      <c r="E1589" s="31"/>
      <c r="G1589" s="32" t="str">
        <f t="shared" si="48"/>
        <v>|||1900|</v>
      </c>
      <c r="H1589" s="32" t="str">
        <f t="shared" si="49"/>
        <v>||1900|</v>
      </c>
      <c r="I1589" s="32">
        <f>IF(G1589="",0,IF(COUNTIF($G$2:G1589,G1589)=1,1,0))</f>
        <v>0</v>
      </c>
      <c r="J1589" s="32">
        <f>IF(H1589="",0,IF(COUNTIF($H$2:H1589,H1589)=1,1,0))</f>
        <v>0</v>
      </c>
    </row>
    <row r="1590" spans="1:10" ht="14.25" hidden="1" customHeight="1" x14ac:dyDescent="0.35">
      <c r="A1590" s="30"/>
      <c r="E1590" s="31"/>
      <c r="G1590" s="32" t="str">
        <f t="shared" si="48"/>
        <v>|||1900|</v>
      </c>
      <c r="H1590" s="32" t="str">
        <f t="shared" si="49"/>
        <v>||1900|</v>
      </c>
      <c r="I1590" s="32">
        <f>IF(G1590="",0,IF(COUNTIF($G$2:G1590,G1590)=1,1,0))</f>
        <v>0</v>
      </c>
      <c r="J1590" s="32">
        <f>IF(H1590="",0,IF(COUNTIF($H$2:H1590,H1590)=1,1,0))</f>
        <v>0</v>
      </c>
    </row>
    <row r="1591" spans="1:10" ht="14.25" hidden="1" customHeight="1" x14ac:dyDescent="0.35">
      <c r="A1591" s="30"/>
      <c r="E1591" s="31"/>
      <c r="G1591" s="32" t="str">
        <f t="shared" si="48"/>
        <v>|||1900|</v>
      </c>
      <c r="H1591" s="32" t="str">
        <f t="shared" si="49"/>
        <v>||1900|</v>
      </c>
      <c r="I1591" s="32">
        <f>IF(G1591="",0,IF(COUNTIF($G$2:G1591,G1591)=1,1,0))</f>
        <v>0</v>
      </c>
      <c r="J1591" s="32">
        <f>IF(H1591="",0,IF(COUNTIF($H$2:H1591,H1591)=1,1,0))</f>
        <v>0</v>
      </c>
    </row>
    <row r="1592" spans="1:10" ht="14.25" hidden="1" customHeight="1" x14ac:dyDescent="0.35">
      <c r="A1592" s="30"/>
      <c r="E1592" s="31"/>
      <c r="G1592" s="32" t="str">
        <f t="shared" si="48"/>
        <v>|||1900|</v>
      </c>
      <c r="H1592" s="32" t="str">
        <f t="shared" si="49"/>
        <v>||1900|</v>
      </c>
      <c r="I1592" s="32">
        <f>IF(G1592="",0,IF(COUNTIF($G$2:G1592,G1592)=1,1,0))</f>
        <v>0</v>
      </c>
      <c r="J1592" s="32">
        <f>IF(H1592="",0,IF(COUNTIF($H$2:H1592,H1592)=1,1,0))</f>
        <v>0</v>
      </c>
    </row>
    <row r="1593" spans="1:10" ht="14.25" hidden="1" customHeight="1" x14ac:dyDescent="0.35">
      <c r="A1593" s="30"/>
      <c r="E1593" s="31"/>
      <c r="G1593" s="32" t="str">
        <f t="shared" si="48"/>
        <v>|||1900|</v>
      </c>
      <c r="H1593" s="32" t="str">
        <f t="shared" si="49"/>
        <v>||1900|</v>
      </c>
      <c r="I1593" s="32">
        <f>IF(G1593="",0,IF(COUNTIF($G$2:G1593,G1593)=1,1,0))</f>
        <v>0</v>
      </c>
      <c r="J1593" s="32">
        <f>IF(H1593="",0,IF(COUNTIF($H$2:H1593,H1593)=1,1,0))</f>
        <v>0</v>
      </c>
    </row>
    <row r="1594" spans="1:10" ht="14.25" hidden="1" customHeight="1" x14ac:dyDescent="0.35">
      <c r="A1594" s="30"/>
      <c r="E1594" s="31"/>
      <c r="G1594" s="32" t="str">
        <f t="shared" si="48"/>
        <v>|||1900|</v>
      </c>
      <c r="H1594" s="32" t="str">
        <f t="shared" si="49"/>
        <v>||1900|</v>
      </c>
      <c r="I1594" s="32">
        <f>IF(G1594="",0,IF(COUNTIF($G$2:G1594,G1594)=1,1,0))</f>
        <v>0</v>
      </c>
      <c r="J1594" s="32">
        <f>IF(H1594="",0,IF(COUNTIF($H$2:H1594,H1594)=1,1,0))</f>
        <v>0</v>
      </c>
    </row>
    <row r="1595" spans="1:10" ht="14.25" hidden="1" customHeight="1" x14ac:dyDescent="0.35">
      <c r="A1595" s="30"/>
      <c r="E1595" s="31"/>
      <c r="G1595" s="32" t="str">
        <f t="shared" si="48"/>
        <v>|||1900|</v>
      </c>
      <c r="H1595" s="32" t="str">
        <f t="shared" si="49"/>
        <v>||1900|</v>
      </c>
      <c r="I1595" s="32">
        <f>IF(G1595="",0,IF(COUNTIF($G$2:G1595,G1595)=1,1,0))</f>
        <v>0</v>
      </c>
      <c r="J1595" s="32">
        <f>IF(H1595="",0,IF(COUNTIF($H$2:H1595,H1595)=1,1,0))</f>
        <v>0</v>
      </c>
    </row>
    <row r="1596" spans="1:10" ht="14.25" hidden="1" customHeight="1" x14ac:dyDescent="0.35">
      <c r="A1596" s="30"/>
      <c r="E1596" s="31"/>
      <c r="G1596" s="32" t="str">
        <f t="shared" si="48"/>
        <v>|||1900|</v>
      </c>
      <c r="H1596" s="32" t="str">
        <f t="shared" si="49"/>
        <v>||1900|</v>
      </c>
      <c r="I1596" s="32">
        <f>IF(G1596="",0,IF(COUNTIF($G$2:G1596,G1596)=1,1,0))</f>
        <v>0</v>
      </c>
      <c r="J1596" s="32">
        <f>IF(H1596="",0,IF(COUNTIF($H$2:H1596,H1596)=1,1,0))</f>
        <v>0</v>
      </c>
    </row>
    <row r="1597" spans="1:10" ht="14.25" hidden="1" customHeight="1" x14ac:dyDescent="0.35">
      <c r="A1597" s="30"/>
      <c r="E1597" s="31"/>
      <c r="G1597" s="32" t="str">
        <f t="shared" si="48"/>
        <v>|||1900|</v>
      </c>
      <c r="H1597" s="32" t="str">
        <f t="shared" si="49"/>
        <v>||1900|</v>
      </c>
      <c r="I1597" s="32">
        <f>IF(G1597="",0,IF(COUNTIF($G$2:G1597,G1597)=1,1,0))</f>
        <v>0</v>
      </c>
      <c r="J1597" s="32">
        <f>IF(H1597="",0,IF(COUNTIF($H$2:H1597,H1597)=1,1,0))</f>
        <v>0</v>
      </c>
    </row>
    <row r="1598" spans="1:10" ht="14.25" hidden="1" customHeight="1" x14ac:dyDescent="0.35">
      <c r="A1598" s="30"/>
      <c r="E1598" s="31"/>
      <c r="G1598" s="32" t="str">
        <f t="shared" si="48"/>
        <v>|||1900|</v>
      </c>
      <c r="H1598" s="32" t="str">
        <f t="shared" si="49"/>
        <v>||1900|</v>
      </c>
      <c r="I1598" s="32">
        <f>IF(G1598="",0,IF(COUNTIF($G$2:G1598,G1598)=1,1,0))</f>
        <v>0</v>
      </c>
      <c r="J1598" s="32">
        <f>IF(H1598="",0,IF(COUNTIF($H$2:H1598,H1598)=1,1,0))</f>
        <v>0</v>
      </c>
    </row>
    <row r="1599" spans="1:10" ht="14.25" hidden="1" customHeight="1" x14ac:dyDescent="0.35">
      <c r="A1599" s="30"/>
      <c r="E1599" s="31"/>
      <c r="G1599" s="32" t="str">
        <f t="shared" si="48"/>
        <v>|||1900|</v>
      </c>
      <c r="H1599" s="32" t="str">
        <f t="shared" si="49"/>
        <v>||1900|</v>
      </c>
      <c r="I1599" s="32">
        <f>IF(G1599="",0,IF(COUNTIF($G$2:G1599,G1599)=1,1,0))</f>
        <v>0</v>
      </c>
      <c r="J1599" s="32">
        <f>IF(H1599="",0,IF(COUNTIF($H$2:H1599,H1599)=1,1,0))</f>
        <v>0</v>
      </c>
    </row>
    <row r="1600" spans="1:10" ht="14.25" hidden="1" customHeight="1" x14ac:dyDescent="0.35">
      <c r="A1600" s="30"/>
      <c r="E1600" s="31"/>
      <c r="G1600" s="32" t="str">
        <f t="shared" si="48"/>
        <v>|||1900|</v>
      </c>
      <c r="H1600" s="32" t="str">
        <f t="shared" si="49"/>
        <v>||1900|</v>
      </c>
      <c r="I1600" s="32">
        <f>IF(G1600="",0,IF(COUNTIF($G$2:G1600,G1600)=1,1,0))</f>
        <v>0</v>
      </c>
      <c r="J1600" s="32">
        <f>IF(H1600="",0,IF(COUNTIF($H$2:H1600,H1600)=1,1,0))</f>
        <v>0</v>
      </c>
    </row>
    <row r="1601" spans="1:10" ht="14.25" hidden="1" customHeight="1" x14ac:dyDescent="0.35">
      <c r="A1601" s="30"/>
      <c r="E1601" s="31"/>
      <c r="G1601" s="32" t="str">
        <f t="shared" si="48"/>
        <v>|||1900|</v>
      </c>
      <c r="H1601" s="32" t="str">
        <f t="shared" si="49"/>
        <v>||1900|</v>
      </c>
      <c r="I1601" s="32">
        <f>IF(G1601="",0,IF(COUNTIF($G$2:G1601,G1601)=1,1,0))</f>
        <v>0</v>
      </c>
      <c r="J1601" s="32">
        <f>IF(H1601="",0,IF(COUNTIF($H$2:H1601,H1601)=1,1,0))</f>
        <v>0</v>
      </c>
    </row>
    <row r="1602" spans="1:10" ht="14.25" hidden="1" customHeight="1" x14ac:dyDescent="0.35">
      <c r="A1602" s="30"/>
      <c r="E1602" s="31"/>
      <c r="G1602" s="32" t="str">
        <f t="shared" ref="G1602:G1665" si="50">IF(D1602="T",
E1602&amp;"|"&amp;F1602,
A1602&amp;"|"&amp;B1602&amp;"|"&amp;C1602&amp;"|"&amp;YEAR(E1602)&amp;"|"&amp;F1602)</f>
        <v>|||1900|</v>
      </c>
      <c r="H1602" s="32" t="str">
        <f t="shared" ref="H1602:H1665" si="51">A1602&amp;"|"&amp;C1602&amp;"|"&amp;YEAR(E1602)&amp;"|"&amp;F1602</f>
        <v>||1900|</v>
      </c>
      <c r="I1602" s="32">
        <f>IF(G1602="",0,IF(COUNTIF($G$2:G1602,G1602)=1,1,0))</f>
        <v>0</v>
      </c>
      <c r="J1602" s="32">
        <f>IF(H1602="",0,IF(COUNTIF($H$2:H1602,H1602)=1,1,0))</f>
        <v>0</v>
      </c>
    </row>
    <row r="1603" spans="1:10" ht="14.25" hidden="1" customHeight="1" x14ac:dyDescent="0.35">
      <c r="A1603" s="30"/>
      <c r="E1603" s="31"/>
      <c r="G1603" s="32" t="str">
        <f t="shared" si="50"/>
        <v>|||1900|</v>
      </c>
      <c r="H1603" s="32" t="str">
        <f t="shared" si="51"/>
        <v>||1900|</v>
      </c>
      <c r="I1603" s="32">
        <f>IF(G1603="",0,IF(COUNTIF($G$2:G1603,G1603)=1,1,0))</f>
        <v>0</v>
      </c>
      <c r="J1603" s="32">
        <f>IF(H1603="",0,IF(COUNTIF($H$2:H1603,H1603)=1,1,0))</f>
        <v>0</v>
      </c>
    </row>
    <row r="1604" spans="1:10" ht="14.25" hidden="1" customHeight="1" x14ac:dyDescent="0.35">
      <c r="A1604" s="30"/>
      <c r="E1604" s="31"/>
      <c r="G1604" s="32" t="str">
        <f t="shared" si="50"/>
        <v>|||1900|</v>
      </c>
      <c r="H1604" s="32" t="str">
        <f t="shared" si="51"/>
        <v>||1900|</v>
      </c>
      <c r="I1604" s="32">
        <f>IF(G1604="",0,IF(COUNTIF($G$2:G1604,G1604)=1,1,0))</f>
        <v>0</v>
      </c>
      <c r="J1604" s="32">
        <f>IF(H1604="",0,IF(COUNTIF($H$2:H1604,H1604)=1,1,0))</f>
        <v>0</v>
      </c>
    </row>
    <row r="1605" spans="1:10" ht="14.25" hidden="1" customHeight="1" x14ac:dyDescent="0.35">
      <c r="A1605" s="30"/>
      <c r="E1605" s="31"/>
      <c r="G1605" s="32" t="str">
        <f t="shared" si="50"/>
        <v>|||1900|</v>
      </c>
      <c r="H1605" s="32" t="str">
        <f t="shared" si="51"/>
        <v>||1900|</v>
      </c>
      <c r="I1605" s="32">
        <f>IF(G1605="",0,IF(COUNTIF($G$2:G1605,G1605)=1,1,0))</f>
        <v>0</v>
      </c>
      <c r="J1605" s="32">
        <f>IF(H1605="",0,IF(COUNTIF($H$2:H1605,H1605)=1,1,0))</f>
        <v>0</v>
      </c>
    </row>
    <row r="1606" spans="1:10" ht="14.25" hidden="1" customHeight="1" x14ac:dyDescent="0.35">
      <c r="A1606" s="30"/>
      <c r="E1606" s="31"/>
      <c r="G1606" s="32" t="str">
        <f t="shared" si="50"/>
        <v>|||1900|</v>
      </c>
      <c r="H1606" s="32" t="str">
        <f t="shared" si="51"/>
        <v>||1900|</v>
      </c>
      <c r="I1606" s="32">
        <f>IF(G1606="",0,IF(COUNTIF($G$2:G1606,G1606)=1,1,0))</f>
        <v>0</v>
      </c>
      <c r="J1606" s="32">
        <f>IF(H1606="",0,IF(COUNTIF($H$2:H1606,H1606)=1,1,0))</f>
        <v>0</v>
      </c>
    </row>
    <row r="1607" spans="1:10" ht="14.25" hidden="1" customHeight="1" x14ac:dyDescent="0.35">
      <c r="A1607" s="30"/>
      <c r="E1607" s="31"/>
      <c r="G1607" s="32" t="str">
        <f t="shared" si="50"/>
        <v>|||1900|</v>
      </c>
      <c r="H1607" s="32" t="str">
        <f t="shared" si="51"/>
        <v>||1900|</v>
      </c>
      <c r="I1607" s="32">
        <f>IF(G1607="",0,IF(COUNTIF($G$2:G1607,G1607)=1,1,0))</f>
        <v>0</v>
      </c>
      <c r="J1607" s="32">
        <f>IF(H1607="",0,IF(COUNTIF($H$2:H1607,H1607)=1,1,0))</f>
        <v>0</v>
      </c>
    </row>
    <row r="1608" spans="1:10" ht="14.25" hidden="1" customHeight="1" x14ac:dyDescent="0.35">
      <c r="A1608" s="30"/>
      <c r="E1608" s="31"/>
      <c r="G1608" s="32" t="str">
        <f t="shared" si="50"/>
        <v>|||1900|</v>
      </c>
      <c r="H1608" s="32" t="str">
        <f t="shared" si="51"/>
        <v>||1900|</v>
      </c>
      <c r="I1608" s="32">
        <f>IF(G1608="",0,IF(COUNTIF($G$2:G1608,G1608)=1,1,0))</f>
        <v>0</v>
      </c>
      <c r="J1608" s="32">
        <f>IF(H1608="",0,IF(COUNTIF($H$2:H1608,H1608)=1,1,0))</f>
        <v>0</v>
      </c>
    </row>
    <row r="1609" spans="1:10" ht="14.25" hidden="1" customHeight="1" x14ac:dyDescent="0.35">
      <c r="A1609" s="30"/>
      <c r="E1609" s="31"/>
      <c r="G1609" s="32" t="str">
        <f t="shared" si="50"/>
        <v>|||1900|</v>
      </c>
      <c r="H1609" s="32" t="str">
        <f t="shared" si="51"/>
        <v>||1900|</v>
      </c>
      <c r="I1609" s="32">
        <f>IF(G1609="",0,IF(COUNTIF($G$2:G1609,G1609)=1,1,0))</f>
        <v>0</v>
      </c>
      <c r="J1609" s="32">
        <f>IF(H1609="",0,IF(COUNTIF($H$2:H1609,H1609)=1,1,0))</f>
        <v>0</v>
      </c>
    </row>
    <row r="1610" spans="1:10" ht="14.25" hidden="1" customHeight="1" x14ac:dyDescent="0.35">
      <c r="A1610" s="30"/>
      <c r="E1610" s="31"/>
      <c r="G1610" s="32" t="str">
        <f t="shared" si="50"/>
        <v>|||1900|</v>
      </c>
      <c r="H1610" s="32" t="str">
        <f t="shared" si="51"/>
        <v>||1900|</v>
      </c>
      <c r="I1610" s="32">
        <f>IF(G1610="",0,IF(COUNTIF($G$2:G1610,G1610)=1,1,0))</f>
        <v>0</v>
      </c>
      <c r="J1610" s="32">
        <f>IF(H1610="",0,IF(COUNTIF($H$2:H1610,H1610)=1,1,0))</f>
        <v>0</v>
      </c>
    </row>
    <row r="1611" spans="1:10" ht="14.25" hidden="1" customHeight="1" x14ac:dyDescent="0.35">
      <c r="A1611" s="30"/>
      <c r="E1611" s="31"/>
      <c r="G1611" s="32" t="str">
        <f t="shared" si="50"/>
        <v>|||1900|</v>
      </c>
      <c r="H1611" s="32" t="str">
        <f t="shared" si="51"/>
        <v>||1900|</v>
      </c>
      <c r="I1611" s="32">
        <f>IF(G1611="",0,IF(COUNTIF($G$2:G1611,G1611)=1,1,0))</f>
        <v>0</v>
      </c>
      <c r="J1611" s="32">
        <f>IF(H1611="",0,IF(COUNTIF($H$2:H1611,H1611)=1,1,0))</f>
        <v>0</v>
      </c>
    </row>
    <row r="1612" spans="1:10" ht="14.25" hidden="1" customHeight="1" x14ac:dyDescent="0.35">
      <c r="A1612" s="30"/>
      <c r="E1612" s="31"/>
      <c r="G1612" s="32" t="str">
        <f t="shared" si="50"/>
        <v>|||1900|</v>
      </c>
      <c r="H1612" s="32" t="str">
        <f t="shared" si="51"/>
        <v>||1900|</v>
      </c>
      <c r="I1612" s="32">
        <f>IF(G1612="",0,IF(COUNTIF($G$2:G1612,G1612)=1,1,0))</f>
        <v>0</v>
      </c>
      <c r="J1612" s="32">
        <f>IF(H1612="",0,IF(COUNTIF($H$2:H1612,H1612)=1,1,0))</f>
        <v>0</v>
      </c>
    </row>
    <row r="1613" spans="1:10" ht="14.25" hidden="1" customHeight="1" x14ac:dyDescent="0.35">
      <c r="A1613" s="30"/>
      <c r="E1613" s="31"/>
      <c r="G1613" s="32" t="str">
        <f t="shared" si="50"/>
        <v>|||1900|</v>
      </c>
      <c r="H1613" s="32" t="str">
        <f t="shared" si="51"/>
        <v>||1900|</v>
      </c>
      <c r="I1613" s="32">
        <f>IF(G1613="",0,IF(COUNTIF($G$2:G1613,G1613)=1,1,0))</f>
        <v>0</v>
      </c>
      <c r="J1613" s="32">
        <f>IF(H1613="",0,IF(COUNTIF($H$2:H1613,H1613)=1,1,0))</f>
        <v>0</v>
      </c>
    </row>
    <row r="1614" spans="1:10" ht="14.25" hidden="1" customHeight="1" x14ac:dyDescent="0.35">
      <c r="A1614" s="30"/>
      <c r="E1614" s="31"/>
      <c r="G1614" s="32" t="str">
        <f t="shared" si="50"/>
        <v>|||1900|</v>
      </c>
      <c r="H1614" s="32" t="str">
        <f t="shared" si="51"/>
        <v>||1900|</v>
      </c>
      <c r="I1614" s="32">
        <f>IF(G1614="",0,IF(COUNTIF($G$2:G1614,G1614)=1,1,0))</f>
        <v>0</v>
      </c>
      <c r="J1614" s="32">
        <f>IF(H1614="",0,IF(COUNTIF($H$2:H1614,H1614)=1,1,0))</f>
        <v>0</v>
      </c>
    </row>
    <row r="1615" spans="1:10" ht="14.25" hidden="1" customHeight="1" x14ac:dyDescent="0.35">
      <c r="A1615" s="30"/>
      <c r="E1615" s="31"/>
      <c r="G1615" s="32" t="str">
        <f t="shared" si="50"/>
        <v>|||1900|</v>
      </c>
      <c r="H1615" s="32" t="str">
        <f t="shared" si="51"/>
        <v>||1900|</v>
      </c>
      <c r="I1615" s="32">
        <f>IF(G1615="",0,IF(COUNTIF($G$2:G1615,G1615)=1,1,0))</f>
        <v>0</v>
      </c>
      <c r="J1615" s="32">
        <f>IF(H1615="",0,IF(COUNTIF($H$2:H1615,H1615)=1,1,0))</f>
        <v>0</v>
      </c>
    </row>
    <row r="1616" spans="1:10" ht="14.25" hidden="1" customHeight="1" x14ac:dyDescent="0.35">
      <c r="A1616" s="30"/>
      <c r="E1616" s="31"/>
      <c r="G1616" s="32" t="str">
        <f t="shared" si="50"/>
        <v>|||1900|</v>
      </c>
      <c r="H1616" s="32" t="str">
        <f t="shared" si="51"/>
        <v>||1900|</v>
      </c>
      <c r="I1616" s="32">
        <f>IF(G1616="",0,IF(COUNTIF($G$2:G1616,G1616)=1,1,0))</f>
        <v>0</v>
      </c>
      <c r="J1616" s="32">
        <f>IF(H1616="",0,IF(COUNTIF($H$2:H1616,H1616)=1,1,0))</f>
        <v>0</v>
      </c>
    </row>
    <row r="1617" spans="1:10" ht="14.25" hidden="1" customHeight="1" x14ac:dyDescent="0.35">
      <c r="A1617" s="30"/>
      <c r="E1617" s="31"/>
      <c r="G1617" s="32" t="str">
        <f t="shared" si="50"/>
        <v>|||1900|</v>
      </c>
      <c r="H1617" s="32" t="str">
        <f t="shared" si="51"/>
        <v>||1900|</v>
      </c>
      <c r="I1617" s="32">
        <f>IF(G1617="",0,IF(COUNTIF($G$2:G1617,G1617)=1,1,0))</f>
        <v>0</v>
      </c>
      <c r="J1617" s="32">
        <f>IF(H1617="",0,IF(COUNTIF($H$2:H1617,H1617)=1,1,0))</f>
        <v>0</v>
      </c>
    </row>
    <row r="1618" spans="1:10" ht="14.25" hidden="1" customHeight="1" x14ac:dyDescent="0.35">
      <c r="A1618" s="30"/>
      <c r="E1618" s="31"/>
      <c r="G1618" s="32" t="str">
        <f t="shared" si="50"/>
        <v>|||1900|</v>
      </c>
      <c r="H1618" s="32" t="str">
        <f t="shared" si="51"/>
        <v>||1900|</v>
      </c>
      <c r="I1618" s="32">
        <f>IF(G1618="",0,IF(COUNTIF($G$2:G1618,G1618)=1,1,0))</f>
        <v>0</v>
      </c>
      <c r="J1618" s="32">
        <f>IF(H1618="",0,IF(COUNTIF($H$2:H1618,H1618)=1,1,0))</f>
        <v>0</v>
      </c>
    </row>
    <row r="1619" spans="1:10" ht="14.25" hidden="1" customHeight="1" x14ac:dyDescent="0.35">
      <c r="A1619" s="30"/>
      <c r="E1619" s="31"/>
      <c r="G1619" s="32" t="str">
        <f t="shared" si="50"/>
        <v>|||1900|</v>
      </c>
      <c r="H1619" s="32" t="str">
        <f t="shared" si="51"/>
        <v>||1900|</v>
      </c>
      <c r="I1619" s="32">
        <f>IF(G1619="",0,IF(COUNTIF($G$2:G1619,G1619)=1,1,0))</f>
        <v>0</v>
      </c>
      <c r="J1619" s="32">
        <f>IF(H1619="",0,IF(COUNTIF($H$2:H1619,H1619)=1,1,0))</f>
        <v>0</v>
      </c>
    </row>
    <row r="1620" spans="1:10" ht="14.25" hidden="1" customHeight="1" x14ac:dyDescent="0.35">
      <c r="A1620" s="30"/>
      <c r="E1620" s="31"/>
      <c r="G1620" s="32" t="str">
        <f t="shared" si="50"/>
        <v>|||1900|</v>
      </c>
      <c r="H1620" s="32" t="str">
        <f t="shared" si="51"/>
        <v>||1900|</v>
      </c>
      <c r="I1620" s="32">
        <f>IF(G1620="",0,IF(COUNTIF($G$2:G1620,G1620)=1,1,0))</f>
        <v>0</v>
      </c>
      <c r="J1620" s="32">
        <f>IF(H1620="",0,IF(COUNTIF($H$2:H1620,H1620)=1,1,0))</f>
        <v>0</v>
      </c>
    </row>
    <row r="1621" spans="1:10" ht="14.25" hidden="1" customHeight="1" x14ac:dyDescent="0.35">
      <c r="A1621" s="30"/>
      <c r="E1621" s="31"/>
      <c r="G1621" s="32" t="str">
        <f t="shared" si="50"/>
        <v>|||1900|</v>
      </c>
      <c r="H1621" s="32" t="str">
        <f t="shared" si="51"/>
        <v>||1900|</v>
      </c>
      <c r="I1621" s="32">
        <f>IF(G1621="",0,IF(COUNTIF($G$2:G1621,G1621)=1,1,0))</f>
        <v>0</v>
      </c>
      <c r="J1621" s="32">
        <f>IF(H1621="",0,IF(COUNTIF($H$2:H1621,H1621)=1,1,0))</f>
        <v>0</v>
      </c>
    </row>
    <row r="1622" spans="1:10" ht="14.25" hidden="1" customHeight="1" x14ac:dyDescent="0.35">
      <c r="A1622" s="30"/>
      <c r="E1622" s="31"/>
      <c r="G1622" s="32" t="str">
        <f t="shared" si="50"/>
        <v>|||1900|</v>
      </c>
      <c r="H1622" s="32" t="str">
        <f t="shared" si="51"/>
        <v>||1900|</v>
      </c>
      <c r="I1622" s="32">
        <f>IF(G1622="",0,IF(COUNTIF($G$2:G1622,G1622)=1,1,0))</f>
        <v>0</v>
      </c>
      <c r="J1622" s="32">
        <f>IF(H1622="",0,IF(COUNTIF($H$2:H1622,H1622)=1,1,0))</f>
        <v>0</v>
      </c>
    </row>
    <row r="1623" spans="1:10" ht="14.25" hidden="1" customHeight="1" x14ac:dyDescent="0.35">
      <c r="A1623" s="30"/>
      <c r="E1623" s="31"/>
      <c r="G1623" s="32" t="str">
        <f t="shared" si="50"/>
        <v>|||1900|</v>
      </c>
      <c r="H1623" s="32" t="str">
        <f t="shared" si="51"/>
        <v>||1900|</v>
      </c>
      <c r="I1623" s="32">
        <f>IF(G1623="",0,IF(COUNTIF($G$2:G1623,G1623)=1,1,0))</f>
        <v>0</v>
      </c>
      <c r="J1623" s="32">
        <f>IF(H1623="",0,IF(COUNTIF($H$2:H1623,H1623)=1,1,0))</f>
        <v>0</v>
      </c>
    </row>
    <row r="1624" spans="1:10" ht="14.25" hidden="1" customHeight="1" x14ac:dyDescent="0.35">
      <c r="A1624" s="30"/>
      <c r="E1624" s="31"/>
      <c r="G1624" s="32" t="str">
        <f t="shared" si="50"/>
        <v>|||1900|</v>
      </c>
      <c r="H1624" s="32" t="str">
        <f t="shared" si="51"/>
        <v>||1900|</v>
      </c>
      <c r="I1624" s="32">
        <f>IF(G1624="",0,IF(COUNTIF($G$2:G1624,G1624)=1,1,0))</f>
        <v>0</v>
      </c>
      <c r="J1624" s="32">
        <f>IF(H1624="",0,IF(COUNTIF($H$2:H1624,H1624)=1,1,0))</f>
        <v>0</v>
      </c>
    </row>
    <row r="1625" spans="1:10" ht="14.25" hidden="1" customHeight="1" x14ac:dyDescent="0.35">
      <c r="A1625" s="30"/>
      <c r="E1625" s="31"/>
      <c r="G1625" s="32" t="str">
        <f t="shared" si="50"/>
        <v>|||1900|</v>
      </c>
      <c r="H1625" s="32" t="str">
        <f t="shared" si="51"/>
        <v>||1900|</v>
      </c>
      <c r="I1625" s="32">
        <f>IF(G1625="",0,IF(COUNTIF($G$2:G1625,G1625)=1,1,0))</f>
        <v>0</v>
      </c>
      <c r="J1625" s="32">
        <f>IF(H1625="",0,IF(COUNTIF($H$2:H1625,H1625)=1,1,0))</f>
        <v>0</v>
      </c>
    </row>
    <row r="1626" spans="1:10" ht="14.25" hidden="1" customHeight="1" x14ac:dyDescent="0.35">
      <c r="A1626" s="30"/>
      <c r="E1626" s="31"/>
      <c r="G1626" s="32" t="str">
        <f t="shared" si="50"/>
        <v>|||1900|</v>
      </c>
      <c r="H1626" s="32" t="str">
        <f t="shared" si="51"/>
        <v>||1900|</v>
      </c>
      <c r="I1626" s="32">
        <f>IF(G1626="",0,IF(COUNTIF($G$2:G1626,G1626)=1,1,0))</f>
        <v>0</v>
      </c>
      <c r="J1626" s="32">
        <f>IF(H1626="",0,IF(COUNTIF($H$2:H1626,H1626)=1,1,0))</f>
        <v>0</v>
      </c>
    </row>
    <row r="1627" spans="1:10" ht="14.25" hidden="1" customHeight="1" x14ac:dyDescent="0.35">
      <c r="A1627" s="30"/>
      <c r="E1627" s="31"/>
      <c r="G1627" s="32" t="str">
        <f t="shared" si="50"/>
        <v>|||1900|</v>
      </c>
      <c r="H1627" s="32" t="str">
        <f t="shared" si="51"/>
        <v>||1900|</v>
      </c>
      <c r="I1627" s="32">
        <f>IF(G1627="",0,IF(COUNTIF($G$2:G1627,G1627)=1,1,0))</f>
        <v>0</v>
      </c>
      <c r="J1627" s="32">
        <f>IF(H1627="",0,IF(COUNTIF($H$2:H1627,H1627)=1,1,0))</f>
        <v>0</v>
      </c>
    </row>
    <row r="1628" spans="1:10" ht="14.25" hidden="1" customHeight="1" x14ac:dyDescent="0.35">
      <c r="A1628" s="30"/>
      <c r="E1628" s="31"/>
      <c r="G1628" s="32" t="str">
        <f t="shared" si="50"/>
        <v>|||1900|</v>
      </c>
      <c r="H1628" s="32" t="str">
        <f t="shared" si="51"/>
        <v>||1900|</v>
      </c>
      <c r="I1628" s="32">
        <f>IF(G1628="",0,IF(COUNTIF($G$2:G1628,G1628)=1,1,0))</f>
        <v>0</v>
      </c>
      <c r="J1628" s="32">
        <f>IF(H1628="",0,IF(COUNTIF($H$2:H1628,H1628)=1,1,0))</f>
        <v>0</v>
      </c>
    </row>
    <row r="1629" spans="1:10" ht="14.25" hidden="1" customHeight="1" x14ac:dyDescent="0.35">
      <c r="A1629" s="30"/>
      <c r="E1629" s="31"/>
      <c r="G1629" s="32" t="str">
        <f t="shared" si="50"/>
        <v>|||1900|</v>
      </c>
      <c r="H1629" s="32" t="str">
        <f t="shared" si="51"/>
        <v>||1900|</v>
      </c>
      <c r="I1629" s="32">
        <f>IF(G1629="",0,IF(COUNTIF($G$2:G1629,G1629)=1,1,0))</f>
        <v>0</v>
      </c>
      <c r="J1629" s="32">
        <f>IF(H1629="",0,IF(COUNTIF($H$2:H1629,H1629)=1,1,0))</f>
        <v>0</v>
      </c>
    </row>
    <row r="1630" spans="1:10" ht="14.25" hidden="1" customHeight="1" x14ac:dyDescent="0.35">
      <c r="A1630" s="30"/>
      <c r="E1630" s="31"/>
      <c r="G1630" s="32" t="str">
        <f t="shared" si="50"/>
        <v>|||1900|</v>
      </c>
      <c r="H1630" s="32" t="str">
        <f t="shared" si="51"/>
        <v>||1900|</v>
      </c>
      <c r="I1630" s="32">
        <f>IF(G1630="",0,IF(COUNTIF($G$2:G1630,G1630)=1,1,0))</f>
        <v>0</v>
      </c>
      <c r="J1630" s="32">
        <f>IF(H1630="",0,IF(COUNTIF($H$2:H1630,H1630)=1,1,0))</f>
        <v>0</v>
      </c>
    </row>
    <row r="1631" spans="1:10" ht="14.25" hidden="1" customHeight="1" x14ac:dyDescent="0.35">
      <c r="A1631" s="30"/>
      <c r="E1631" s="31"/>
      <c r="G1631" s="32" t="str">
        <f t="shared" si="50"/>
        <v>|||1900|</v>
      </c>
      <c r="H1631" s="32" t="str">
        <f t="shared" si="51"/>
        <v>||1900|</v>
      </c>
      <c r="I1631" s="32">
        <f>IF(G1631="",0,IF(COUNTIF($G$2:G1631,G1631)=1,1,0))</f>
        <v>0</v>
      </c>
      <c r="J1631" s="32">
        <f>IF(H1631="",0,IF(COUNTIF($H$2:H1631,H1631)=1,1,0))</f>
        <v>0</v>
      </c>
    </row>
    <row r="1632" spans="1:10" ht="14.25" hidden="1" customHeight="1" x14ac:dyDescent="0.35">
      <c r="A1632" s="30"/>
      <c r="E1632" s="31"/>
      <c r="G1632" s="32" t="str">
        <f t="shared" si="50"/>
        <v>|||1900|</v>
      </c>
      <c r="H1632" s="32" t="str">
        <f t="shared" si="51"/>
        <v>||1900|</v>
      </c>
      <c r="I1632" s="32">
        <f>IF(G1632="",0,IF(COUNTIF($G$2:G1632,G1632)=1,1,0))</f>
        <v>0</v>
      </c>
      <c r="J1632" s="32">
        <f>IF(H1632="",0,IF(COUNTIF($H$2:H1632,H1632)=1,1,0))</f>
        <v>0</v>
      </c>
    </row>
    <row r="1633" spans="1:10" ht="14.25" hidden="1" customHeight="1" x14ac:dyDescent="0.35">
      <c r="A1633" s="30"/>
      <c r="E1633" s="31"/>
      <c r="G1633" s="32" t="str">
        <f t="shared" si="50"/>
        <v>|||1900|</v>
      </c>
      <c r="H1633" s="32" t="str">
        <f t="shared" si="51"/>
        <v>||1900|</v>
      </c>
      <c r="I1633" s="32">
        <f>IF(G1633="",0,IF(COUNTIF($G$2:G1633,G1633)=1,1,0))</f>
        <v>0</v>
      </c>
      <c r="J1633" s="32">
        <f>IF(H1633="",0,IF(COUNTIF($H$2:H1633,H1633)=1,1,0))</f>
        <v>0</v>
      </c>
    </row>
    <row r="1634" spans="1:10" ht="14.25" hidden="1" customHeight="1" x14ac:dyDescent="0.35">
      <c r="A1634" s="30"/>
      <c r="E1634" s="31"/>
      <c r="G1634" s="32" t="str">
        <f t="shared" si="50"/>
        <v>|||1900|</v>
      </c>
      <c r="H1634" s="32" t="str">
        <f t="shared" si="51"/>
        <v>||1900|</v>
      </c>
      <c r="I1634" s="32">
        <f>IF(G1634="",0,IF(COUNTIF($G$2:G1634,G1634)=1,1,0))</f>
        <v>0</v>
      </c>
      <c r="J1634" s="32">
        <f>IF(H1634="",0,IF(COUNTIF($H$2:H1634,H1634)=1,1,0))</f>
        <v>0</v>
      </c>
    </row>
    <row r="1635" spans="1:10" ht="14.25" hidden="1" customHeight="1" x14ac:dyDescent="0.35">
      <c r="A1635" s="30"/>
      <c r="E1635" s="31"/>
      <c r="G1635" s="32" t="str">
        <f t="shared" si="50"/>
        <v>|||1900|</v>
      </c>
      <c r="H1635" s="32" t="str">
        <f t="shared" si="51"/>
        <v>||1900|</v>
      </c>
      <c r="I1635" s="32">
        <f>IF(G1635="",0,IF(COUNTIF($G$2:G1635,G1635)=1,1,0))</f>
        <v>0</v>
      </c>
      <c r="J1635" s="32">
        <f>IF(H1635="",0,IF(COUNTIF($H$2:H1635,H1635)=1,1,0))</f>
        <v>0</v>
      </c>
    </row>
    <row r="1636" spans="1:10" ht="14.25" hidden="1" customHeight="1" x14ac:dyDescent="0.35">
      <c r="A1636" s="30"/>
      <c r="E1636" s="31"/>
      <c r="G1636" s="32" t="str">
        <f t="shared" si="50"/>
        <v>|||1900|</v>
      </c>
      <c r="H1636" s="32" t="str">
        <f t="shared" si="51"/>
        <v>||1900|</v>
      </c>
      <c r="I1636" s="32">
        <f>IF(G1636="",0,IF(COUNTIF($G$2:G1636,G1636)=1,1,0))</f>
        <v>0</v>
      </c>
      <c r="J1636" s="32">
        <f>IF(H1636="",0,IF(COUNTIF($H$2:H1636,H1636)=1,1,0))</f>
        <v>0</v>
      </c>
    </row>
    <row r="1637" spans="1:10" ht="14.25" hidden="1" customHeight="1" x14ac:dyDescent="0.35">
      <c r="A1637" s="30"/>
      <c r="E1637" s="31"/>
      <c r="G1637" s="32" t="str">
        <f t="shared" si="50"/>
        <v>|||1900|</v>
      </c>
      <c r="H1637" s="32" t="str">
        <f t="shared" si="51"/>
        <v>||1900|</v>
      </c>
      <c r="I1637" s="32">
        <f>IF(G1637="",0,IF(COUNTIF($G$2:G1637,G1637)=1,1,0))</f>
        <v>0</v>
      </c>
      <c r="J1637" s="32">
        <f>IF(H1637="",0,IF(COUNTIF($H$2:H1637,H1637)=1,1,0))</f>
        <v>0</v>
      </c>
    </row>
    <row r="1638" spans="1:10" ht="14.25" hidden="1" customHeight="1" x14ac:dyDescent="0.35">
      <c r="A1638" s="30"/>
      <c r="E1638" s="31"/>
      <c r="G1638" s="32" t="str">
        <f t="shared" si="50"/>
        <v>|||1900|</v>
      </c>
      <c r="H1638" s="32" t="str">
        <f t="shared" si="51"/>
        <v>||1900|</v>
      </c>
      <c r="I1638" s="32">
        <f>IF(G1638="",0,IF(COUNTIF($G$2:G1638,G1638)=1,1,0))</f>
        <v>0</v>
      </c>
      <c r="J1638" s="32">
        <f>IF(H1638="",0,IF(COUNTIF($H$2:H1638,H1638)=1,1,0))</f>
        <v>0</v>
      </c>
    </row>
    <row r="1639" spans="1:10" ht="14.25" hidden="1" customHeight="1" x14ac:dyDescent="0.35">
      <c r="A1639" s="30"/>
      <c r="E1639" s="31"/>
      <c r="G1639" s="32" t="str">
        <f t="shared" si="50"/>
        <v>|||1900|</v>
      </c>
      <c r="H1639" s="32" t="str">
        <f t="shared" si="51"/>
        <v>||1900|</v>
      </c>
      <c r="I1639" s="32">
        <f>IF(G1639="",0,IF(COUNTIF($G$2:G1639,G1639)=1,1,0))</f>
        <v>0</v>
      </c>
      <c r="J1639" s="32">
        <f>IF(H1639="",0,IF(COUNTIF($H$2:H1639,H1639)=1,1,0))</f>
        <v>0</v>
      </c>
    </row>
    <row r="1640" spans="1:10" ht="14.25" hidden="1" customHeight="1" x14ac:dyDescent="0.35">
      <c r="A1640" s="30"/>
      <c r="E1640" s="31"/>
      <c r="G1640" s="32" t="str">
        <f t="shared" si="50"/>
        <v>|||1900|</v>
      </c>
      <c r="H1640" s="32" t="str">
        <f t="shared" si="51"/>
        <v>||1900|</v>
      </c>
      <c r="I1640" s="32">
        <f>IF(G1640="",0,IF(COUNTIF($G$2:G1640,G1640)=1,1,0))</f>
        <v>0</v>
      </c>
      <c r="J1640" s="32">
        <f>IF(H1640="",0,IF(COUNTIF($H$2:H1640,H1640)=1,1,0))</f>
        <v>0</v>
      </c>
    </row>
    <row r="1641" spans="1:10" ht="14.25" hidden="1" customHeight="1" x14ac:dyDescent="0.35">
      <c r="A1641" s="30"/>
      <c r="E1641" s="31"/>
      <c r="G1641" s="32" t="str">
        <f t="shared" si="50"/>
        <v>|||1900|</v>
      </c>
      <c r="H1641" s="32" t="str">
        <f t="shared" si="51"/>
        <v>||1900|</v>
      </c>
      <c r="I1641" s="32">
        <f>IF(G1641="",0,IF(COUNTIF($G$2:G1641,G1641)=1,1,0))</f>
        <v>0</v>
      </c>
      <c r="J1641" s="32">
        <f>IF(H1641="",0,IF(COUNTIF($H$2:H1641,H1641)=1,1,0))</f>
        <v>0</v>
      </c>
    </row>
    <row r="1642" spans="1:10" ht="14.25" hidden="1" customHeight="1" x14ac:dyDescent="0.35">
      <c r="A1642" s="30"/>
      <c r="E1642" s="31"/>
      <c r="G1642" s="32" t="str">
        <f t="shared" si="50"/>
        <v>|||1900|</v>
      </c>
      <c r="H1642" s="32" t="str">
        <f t="shared" si="51"/>
        <v>||1900|</v>
      </c>
      <c r="I1642" s="32">
        <f>IF(G1642="",0,IF(COUNTIF($G$2:G1642,G1642)=1,1,0))</f>
        <v>0</v>
      </c>
      <c r="J1642" s="32">
        <f>IF(H1642="",0,IF(COUNTIF($H$2:H1642,H1642)=1,1,0))</f>
        <v>0</v>
      </c>
    </row>
    <row r="1643" spans="1:10" ht="14.25" hidden="1" customHeight="1" x14ac:dyDescent="0.35">
      <c r="A1643" s="30"/>
      <c r="E1643" s="31"/>
      <c r="G1643" s="32" t="str">
        <f t="shared" si="50"/>
        <v>|||1900|</v>
      </c>
      <c r="H1643" s="32" t="str">
        <f t="shared" si="51"/>
        <v>||1900|</v>
      </c>
      <c r="I1643" s="32">
        <f>IF(G1643="",0,IF(COUNTIF($G$2:G1643,G1643)=1,1,0))</f>
        <v>0</v>
      </c>
      <c r="J1643" s="32">
        <f>IF(H1643="",0,IF(COUNTIF($H$2:H1643,H1643)=1,1,0))</f>
        <v>0</v>
      </c>
    </row>
    <row r="1644" spans="1:10" ht="14.25" hidden="1" customHeight="1" x14ac:dyDescent="0.35">
      <c r="A1644" s="30"/>
      <c r="E1644" s="31"/>
      <c r="G1644" s="32" t="str">
        <f t="shared" si="50"/>
        <v>|||1900|</v>
      </c>
      <c r="H1644" s="32" t="str">
        <f t="shared" si="51"/>
        <v>||1900|</v>
      </c>
      <c r="I1644" s="32">
        <f>IF(G1644="",0,IF(COUNTIF($G$2:G1644,G1644)=1,1,0))</f>
        <v>0</v>
      </c>
      <c r="J1644" s="32">
        <f>IF(H1644="",0,IF(COUNTIF($H$2:H1644,H1644)=1,1,0))</f>
        <v>0</v>
      </c>
    </row>
    <row r="1645" spans="1:10" ht="14.25" hidden="1" customHeight="1" x14ac:dyDescent="0.35">
      <c r="A1645" s="30"/>
      <c r="E1645" s="31"/>
      <c r="G1645" s="32" t="str">
        <f t="shared" si="50"/>
        <v>|||1900|</v>
      </c>
      <c r="H1645" s="32" t="str">
        <f t="shared" si="51"/>
        <v>||1900|</v>
      </c>
      <c r="I1645" s="32">
        <f>IF(G1645="",0,IF(COUNTIF($G$2:G1645,G1645)=1,1,0))</f>
        <v>0</v>
      </c>
      <c r="J1645" s="32">
        <f>IF(H1645="",0,IF(COUNTIF($H$2:H1645,H1645)=1,1,0))</f>
        <v>0</v>
      </c>
    </row>
    <row r="1646" spans="1:10" ht="14.25" hidden="1" customHeight="1" x14ac:dyDescent="0.35">
      <c r="A1646" s="30"/>
      <c r="E1646" s="31"/>
      <c r="G1646" s="32" t="str">
        <f t="shared" si="50"/>
        <v>|||1900|</v>
      </c>
      <c r="H1646" s="32" t="str">
        <f t="shared" si="51"/>
        <v>||1900|</v>
      </c>
      <c r="I1646" s="32">
        <f>IF(G1646="",0,IF(COUNTIF($G$2:G1646,G1646)=1,1,0))</f>
        <v>0</v>
      </c>
      <c r="J1646" s="32">
        <f>IF(H1646="",0,IF(COUNTIF($H$2:H1646,H1646)=1,1,0))</f>
        <v>0</v>
      </c>
    </row>
    <row r="1647" spans="1:10" ht="14.25" hidden="1" customHeight="1" x14ac:dyDescent="0.35">
      <c r="A1647" s="30"/>
      <c r="E1647" s="31"/>
      <c r="G1647" s="32" t="str">
        <f t="shared" si="50"/>
        <v>|||1900|</v>
      </c>
      <c r="H1647" s="32" t="str">
        <f t="shared" si="51"/>
        <v>||1900|</v>
      </c>
      <c r="I1647" s="32">
        <f>IF(G1647="",0,IF(COUNTIF($G$2:G1647,G1647)=1,1,0))</f>
        <v>0</v>
      </c>
      <c r="J1647" s="32">
        <f>IF(H1647="",0,IF(COUNTIF($H$2:H1647,H1647)=1,1,0))</f>
        <v>0</v>
      </c>
    </row>
    <row r="1648" spans="1:10" ht="14.25" hidden="1" customHeight="1" x14ac:dyDescent="0.35">
      <c r="A1648" s="30"/>
      <c r="E1648" s="31"/>
      <c r="G1648" s="32" t="str">
        <f t="shared" si="50"/>
        <v>|||1900|</v>
      </c>
      <c r="H1648" s="32" t="str">
        <f t="shared" si="51"/>
        <v>||1900|</v>
      </c>
      <c r="I1648" s="32">
        <f>IF(G1648="",0,IF(COUNTIF($G$2:G1648,G1648)=1,1,0))</f>
        <v>0</v>
      </c>
      <c r="J1648" s="32">
        <f>IF(H1648="",0,IF(COUNTIF($H$2:H1648,H1648)=1,1,0))</f>
        <v>0</v>
      </c>
    </row>
    <row r="1649" spans="1:10" ht="14.25" hidden="1" customHeight="1" x14ac:dyDescent="0.35">
      <c r="A1649" s="30"/>
      <c r="E1649" s="31"/>
      <c r="G1649" s="32" t="str">
        <f t="shared" si="50"/>
        <v>|||1900|</v>
      </c>
      <c r="H1649" s="32" t="str">
        <f t="shared" si="51"/>
        <v>||1900|</v>
      </c>
      <c r="I1649" s="32">
        <f>IF(G1649="",0,IF(COUNTIF($G$2:G1649,G1649)=1,1,0))</f>
        <v>0</v>
      </c>
      <c r="J1649" s="32">
        <f>IF(H1649="",0,IF(COUNTIF($H$2:H1649,H1649)=1,1,0))</f>
        <v>0</v>
      </c>
    </row>
    <row r="1650" spans="1:10" ht="14.25" hidden="1" customHeight="1" x14ac:dyDescent="0.35">
      <c r="A1650" s="30"/>
      <c r="E1650" s="31"/>
      <c r="G1650" s="32" t="str">
        <f t="shared" si="50"/>
        <v>|||1900|</v>
      </c>
      <c r="H1650" s="32" t="str">
        <f t="shared" si="51"/>
        <v>||1900|</v>
      </c>
      <c r="I1650" s="32">
        <f>IF(G1650="",0,IF(COUNTIF($G$2:G1650,G1650)=1,1,0))</f>
        <v>0</v>
      </c>
      <c r="J1650" s="32">
        <f>IF(H1650="",0,IF(COUNTIF($H$2:H1650,H1650)=1,1,0))</f>
        <v>0</v>
      </c>
    </row>
    <row r="1651" spans="1:10" ht="14.25" hidden="1" customHeight="1" x14ac:dyDescent="0.35">
      <c r="A1651" s="30"/>
      <c r="E1651" s="31"/>
      <c r="G1651" s="32" t="str">
        <f t="shared" si="50"/>
        <v>|||1900|</v>
      </c>
      <c r="H1651" s="32" t="str">
        <f t="shared" si="51"/>
        <v>||1900|</v>
      </c>
      <c r="I1651" s="32">
        <f>IF(G1651="",0,IF(COUNTIF($G$2:G1651,G1651)=1,1,0))</f>
        <v>0</v>
      </c>
      <c r="J1651" s="32">
        <f>IF(H1651="",0,IF(COUNTIF($H$2:H1651,H1651)=1,1,0))</f>
        <v>0</v>
      </c>
    </row>
    <row r="1652" spans="1:10" ht="14.25" hidden="1" customHeight="1" x14ac:dyDescent="0.35">
      <c r="A1652" s="30"/>
      <c r="E1652" s="31"/>
      <c r="G1652" s="32" t="str">
        <f t="shared" si="50"/>
        <v>|||1900|</v>
      </c>
      <c r="H1652" s="32" t="str">
        <f t="shared" si="51"/>
        <v>||1900|</v>
      </c>
      <c r="I1652" s="32">
        <f>IF(G1652="",0,IF(COUNTIF($G$2:G1652,G1652)=1,1,0))</f>
        <v>0</v>
      </c>
      <c r="J1652" s="32">
        <f>IF(H1652="",0,IF(COUNTIF($H$2:H1652,H1652)=1,1,0))</f>
        <v>0</v>
      </c>
    </row>
    <row r="1653" spans="1:10" ht="14.25" hidden="1" customHeight="1" x14ac:dyDescent="0.35">
      <c r="A1653" s="30"/>
      <c r="E1653" s="31"/>
      <c r="G1653" s="32" t="str">
        <f t="shared" si="50"/>
        <v>|||1900|</v>
      </c>
      <c r="H1653" s="32" t="str">
        <f t="shared" si="51"/>
        <v>||1900|</v>
      </c>
      <c r="I1653" s="32">
        <f>IF(G1653="",0,IF(COUNTIF($G$2:G1653,G1653)=1,1,0))</f>
        <v>0</v>
      </c>
      <c r="J1653" s="32">
        <f>IF(H1653="",0,IF(COUNTIF($H$2:H1653,H1653)=1,1,0))</f>
        <v>0</v>
      </c>
    </row>
    <row r="1654" spans="1:10" ht="14.25" hidden="1" customHeight="1" x14ac:dyDescent="0.35">
      <c r="A1654" s="30"/>
      <c r="E1654" s="31"/>
      <c r="G1654" s="32" t="str">
        <f t="shared" si="50"/>
        <v>|||1900|</v>
      </c>
      <c r="H1654" s="32" t="str">
        <f t="shared" si="51"/>
        <v>||1900|</v>
      </c>
      <c r="I1654" s="32">
        <f>IF(G1654="",0,IF(COUNTIF($G$2:G1654,G1654)=1,1,0))</f>
        <v>0</v>
      </c>
      <c r="J1654" s="32">
        <f>IF(H1654="",0,IF(COUNTIF($H$2:H1654,H1654)=1,1,0))</f>
        <v>0</v>
      </c>
    </row>
    <row r="1655" spans="1:10" ht="14.25" hidden="1" customHeight="1" x14ac:dyDescent="0.35">
      <c r="A1655" s="30"/>
      <c r="E1655" s="31"/>
      <c r="G1655" s="32" t="str">
        <f t="shared" si="50"/>
        <v>|||1900|</v>
      </c>
      <c r="H1655" s="32" t="str">
        <f t="shared" si="51"/>
        <v>||1900|</v>
      </c>
      <c r="I1655" s="32">
        <f>IF(G1655="",0,IF(COUNTIF($G$2:G1655,G1655)=1,1,0))</f>
        <v>0</v>
      </c>
      <c r="J1655" s="32">
        <f>IF(H1655="",0,IF(COUNTIF($H$2:H1655,H1655)=1,1,0))</f>
        <v>0</v>
      </c>
    </row>
    <row r="1656" spans="1:10" ht="14.25" hidden="1" customHeight="1" x14ac:dyDescent="0.35">
      <c r="A1656" s="30"/>
      <c r="E1656" s="31"/>
      <c r="G1656" s="32" t="str">
        <f t="shared" si="50"/>
        <v>|||1900|</v>
      </c>
      <c r="H1656" s="32" t="str">
        <f t="shared" si="51"/>
        <v>||1900|</v>
      </c>
      <c r="I1656" s="32">
        <f>IF(G1656="",0,IF(COUNTIF($G$2:G1656,G1656)=1,1,0))</f>
        <v>0</v>
      </c>
      <c r="J1656" s="32">
        <f>IF(H1656="",0,IF(COUNTIF($H$2:H1656,H1656)=1,1,0))</f>
        <v>0</v>
      </c>
    </row>
    <row r="1657" spans="1:10" ht="14.25" hidden="1" customHeight="1" x14ac:dyDescent="0.35">
      <c r="A1657" s="30"/>
      <c r="E1657" s="31"/>
      <c r="G1657" s="32" t="str">
        <f t="shared" si="50"/>
        <v>|||1900|</v>
      </c>
      <c r="H1657" s="32" t="str">
        <f t="shared" si="51"/>
        <v>||1900|</v>
      </c>
      <c r="I1657" s="32">
        <f>IF(G1657="",0,IF(COUNTIF($G$2:G1657,G1657)=1,1,0))</f>
        <v>0</v>
      </c>
      <c r="J1657" s="32">
        <f>IF(H1657="",0,IF(COUNTIF($H$2:H1657,H1657)=1,1,0))</f>
        <v>0</v>
      </c>
    </row>
    <row r="1658" spans="1:10" ht="14.25" hidden="1" customHeight="1" x14ac:dyDescent="0.35">
      <c r="A1658" s="30"/>
      <c r="E1658" s="31"/>
      <c r="G1658" s="32" t="str">
        <f t="shared" si="50"/>
        <v>|||1900|</v>
      </c>
      <c r="H1658" s="32" t="str">
        <f t="shared" si="51"/>
        <v>||1900|</v>
      </c>
      <c r="I1658" s="32">
        <f>IF(G1658="",0,IF(COUNTIF($G$2:G1658,G1658)=1,1,0))</f>
        <v>0</v>
      </c>
      <c r="J1658" s="32">
        <f>IF(H1658="",0,IF(COUNTIF($H$2:H1658,H1658)=1,1,0))</f>
        <v>0</v>
      </c>
    </row>
    <row r="1659" spans="1:10" ht="14.25" hidden="1" customHeight="1" x14ac:dyDescent="0.35">
      <c r="A1659" s="30"/>
      <c r="E1659" s="31"/>
      <c r="G1659" s="32" t="str">
        <f t="shared" si="50"/>
        <v>|||1900|</v>
      </c>
      <c r="H1659" s="32" t="str">
        <f t="shared" si="51"/>
        <v>||1900|</v>
      </c>
      <c r="I1659" s="32">
        <f>IF(G1659="",0,IF(COUNTIF($G$2:G1659,G1659)=1,1,0))</f>
        <v>0</v>
      </c>
      <c r="J1659" s="32">
        <f>IF(H1659="",0,IF(COUNTIF($H$2:H1659,H1659)=1,1,0))</f>
        <v>0</v>
      </c>
    </row>
    <row r="1660" spans="1:10" ht="14.25" hidden="1" customHeight="1" x14ac:dyDescent="0.35">
      <c r="A1660" s="30"/>
      <c r="E1660" s="31"/>
      <c r="G1660" s="32" t="str">
        <f t="shared" si="50"/>
        <v>|||1900|</v>
      </c>
      <c r="H1660" s="32" t="str">
        <f t="shared" si="51"/>
        <v>||1900|</v>
      </c>
      <c r="I1660" s="32">
        <f>IF(G1660="",0,IF(COUNTIF($G$2:G1660,G1660)=1,1,0))</f>
        <v>0</v>
      </c>
      <c r="J1660" s="32">
        <f>IF(H1660="",0,IF(COUNTIF($H$2:H1660,H1660)=1,1,0))</f>
        <v>0</v>
      </c>
    </row>
    <row r="1661" spans="1:10" ht="14.25" hidden="1" customHeight="1" x14ac:dyDescent="0.35">
      <c r="A1661" s="30"/>
      <c r="E1661" s="31"/>
      <c r="G1661" s="32" t="str">
        <f t="shared" si="50"/>
        <v>|||1900|</v>
      </c>
      <c r="H1661" s="32" t="str">
        <f t="shared" si="51"/>
        <v>||1900|</v>
      </c>
      <c r="I1661" s="32">
        <f>IF(G1661="",0,IF(COUNTIF($G$2:G1661,G1661)=1,1,0))</f>
        <v>0</v>
      </c>
      <c r="J1661" s="32">
        <f>IF(H1661="",0,IF(COUNTIF($H$2:H1661,H1661)=1,1,0))</f>
        <v>0</v>
      </c>
    </row>
    <row r="1662" spans="1:10" ht="14.25" hidden="1" customHeight="1" x14ac:dyDescent="0.35">
      <c r="A1662" s="30"/>
      <c r="E1662" s="31"/>
      <c r="G1662" s="32" t="str">
        <f t="shared" si="50"/>
        <v>|||1900|</v>
      </c>
      <c r="H1662" s="32" t="str">
        <f t="shared" si="51"/>
        <v>||1900|</v>
      </c>
      <c r="I1662" s="32">
        <f>IF(G1662="",0,IF(COUNTIF($G$2:G1662,G1662)=1,1,0))</f>
        <v>0</v>
      </c>
      <c r="J1662" s="32">
        <f>IF(H1662="",0,IF(COUNTIF($H$2:H1662,H1662)=1,1,0))</f>
        <v>0</v>
      </c>
    </row>
    <row r="1663" spans="1:10" ht="14.25" hidden="1" customHeight="1" x14ac:dyDescent="0.35">
      <c r="A1663" s="30"/>
      <c r="E1663" s="31"/>
      <c r="G1663" s="32" t="str">
        <f t="shared" si="50"/>
        <v>|||1900|</v>
      </c>
      <c r="H1663" s="32" t="str">
        <f t="shared" si="51"/>
        <v>||1900|</v>
      </c>
      <c r="I1663" s="32">
        <f>IF(G1663="",0,IF(COUNTIF($G$2:G1663,G1663)=1,1,0))</f>
        <v>0</v>
      </c>
      <c r="J1663" s="32">
        <f>IF(H1663="",0,IF(COUNTIF($H$2:H1663,H1663)=1,1,0))</f>
        <v>0</v>
      </c>
    </row>
    <row r="1664" spans="1:10" ht="14.25" hidden="1" customHeight="1" x14ac:dyDescent="0.35">
      <c r="A1664" s="30"/>
      <c r="E1664" s="31"/>
      <c r="G1664" s="32" t="str">
        <f t="shared" si="50"/>
        <v>|||1900|</v>
      </c>
      <c r="H1664" s="32" t="str">
        <f t="shared" si="51"/>
        <v>||1900|</v>
      </c>
      <c r="I1664" s="32">
        <f>IF(G1664="",0,IF(COUNTIF($G$2:G1664,G1664)=1,1,0))</f>
        <v>0</v>
      </c>
      <c r="J1664" s="32">
        <f>IF(H1664="",0,IF(COUNTIF($H$2:H1664,H1664)=1,1,0))</f>
        <v>0</v>
      </c>
    </row>
    <row r="1665" spans="1:10" ht="14.25" hidden="1" customHeight="1" x14ac:dyDescent="0.35">
      <c r="A1665" s="30"/>
      <c r="E1665" s="31"/>
      <c r="G1665" s="32" t="str">
        <f t="shared" si="50"/>
        <v>|||1900|</v>
      </c>
      <c r="H1665" s="32" t="str">
        <f t="shared" si="51"/>
        <v>||1900|</v>
      </c>
      <c r="I1665" s="32">
        <f>IF(G1665="",0,IF(COUNTIF($G$2:G1665,G1665)=1,1,0))</f>
        <v>0</v>
      </c>
      <c r="J1665" s="32">
        <f>IF(H1665="",0,IF(COUNTIF($H$2:H1665,H1665)=1,1,0))</f>
        <v>0</v>
      </c>
    </row>
    <row r="1666" spans="1:10" ht="14.25" hidden="1" customHeight="1" x14ac:dyDescent="0.35">
      <c r="A1666" s="30"/>
      <c r="E1666" s="31"/>
      <c r="G1666" s="32" t="str">
        <f t="shared" ref="G1666:G1729" si="52">IF(D1666="T",
E1666&amp;"|"&amp;F1666,
A1666&amp;"|"&amp;B1666&amp;"|"&amp;C1666&amp;"|"&amp;YEAR(E1666)&amp;"|"&amp;F1666)</f>
        <v>|||1900|</v>
      </c>
      <c r="H1666" s="32" t="str">
        <f t="shared" ref="H1666:H1729" si="53">A1666&amp;"|"&amp;C1666&amp;"|"&amp;YEAR(E1666)&amp;"|"&amp;F1666</f>
        <v>||1900|</v>
      </c>
      <c r="I1666" s="32">
        <f>IF(G1666="",0,IF(COUNTIF($G$2:G1666,G1666)=1,1,0))</f>
        <v>0</v>
      </c>
      <c r="J1666" s="32">
        <f>IF(H1666="",0,IF(COUNTIF($H$2:H1666,H1666)=1,1,0))</f>
        <v>0</v>
      </c>
    </row>
    <row r="1667" spans="1:10" ht="14.25" hidden="1" customHeight="1" x14ac:dyDescent="0.35">
      <c r="A1667" s="30"/>
      <c r="E1667" s="31"/>
      <c r="G1667" s="32" t="str">
        <f t="shared" si="52"/>
        <v>|||1900|</v>
      </c>
      <c r="H1667" s="32" t="str">
        <f t="shared" si="53"/>
        <v>||1900|</v>
      </c>
      <c r="I1667" s="32">
        <f>IF(G1667="",0,IF(COUNTIF($G$2:G1667,G1667)=1,1,0))</f>
        <v>0</v>
      </c>
      <c r="J1667" s="32">
        <f>IF(H1667="",0,IF(COUNTIF($H$2:H1667,H1667)=1,1,0))</f>
        <v>0</v>
      </c>
    </row>
    <row r="1668" spans="1:10" ht="14.25" hidden="1" customHeight="1" x14ac:dyDescent="0.35">
      <c r="A1668" s="30"/>
      <c r="E1668" s="31"/>
      <c r="G1668" s="32" t="str">
        <f t="shared" si="52"/>
        <v>|||1900|</v>
      </c>
      <c r="H1668" s="32" t="str">
        <f t="shared" si="53"/>
        <v>||1900|</v>
      </c>
      <c r="I1668" s="32">
        <f>IF(G1668="",0,IF(COUNTIF($G$2:G1668,G1668)=1,1,0))</f>
        <v>0</v>
      </c>
      <c r="J1668" s="32">
        <f>IF(H1668="",0,IF(COUNTIF($H$2:H1668,H1668)=1,1,0))</f>
        <v>0</v>
      </c>
    </row>
    <row r="1669" spans="1:10" ht="14.25" hidden="1" customHeight="1" x14ac:dyDescent="0.35">
      <c r="A1669" s="30"/>
      <c r="E1669" s="31"/>
      <c r="G1669" s="32" t="str">
        <f t="shared" si="52"/>
        <v>|||1900|</v>
      </c>
      <c r="H1669" s="32" t="str">
        <f t="shared" si="53"/>
        <v>||1900|</v>
      </c>
      <c r="I1669" s="32">
        <f>IF(G1669="",0,IF(COUNTIF($G$2:G1669,G1669)=1,1,0))</f>
        <v>0</v>
      </c>
      <c r="J1669" s="32">
        <f>IF(H1669="",0,IF(COUNTIF($H$2:H1669,H1669)=1,1,0))</f>
        <v>0</v>
      </c>
    </row>
    <row r="1670" spans="1:10" ht="14.25" hidden="1" customHeight="1" x14ac:dyDescent="0.35">
      <c r="A1670" s="30"/>
      <c r="E1670" s="31"/>
      <c r="G1670" s="32" t="str">
        <f t="shared" si="52"/>
        <v>|||1900|</v>
      </c>
      <c r="H1670" s="32" t="str">
        <f t="shared" si="53"/>
        <v>||1900|</v>
      </c>
      <c r="I1670" s="32">
        <f>IF(G1670="",0,IF(COUNTIF($G$2:G1670,G1670)=1,1,0))</f>
        <v>0</v>
      </c>
      <c r="J1670" s="32">
        <f>IF(H1670="",0,IF(COUNTIF($H$2:H1670,H1670)=1,1,0))</f>
        <v>0</v>
      </c>
    </row>
    <row r="1671" spans="1:10" ht="14.25" hidden="1" customHeight="1" x14ac:dyDescent="0.35">
      <c r="A1671" s="30"/>
      <c r="E1671" s="31"/>
      <c r="G1671" s="32" t="str">
        <f t="shared" si="52"/>
        <v>|||1900|</v>
      </c>
      <c r="H1671" s="32" t="str">
        <f t="shared" si="53"/>
        <v>||1900|</v>
      </c>
      <c r="I1671" s="32">
        <f>IF(G1671="",0,IF(COUNTIF($G$2:G1671,G1671)=1,1,0))</f>
        <v>0</v>
      </c>
      <c r="J1671" s="32">
        <f>IF(H1671="",0,IF(COUNTIF($H$2:H1671,H1671)=1,1,0))</f>
        <v>0</v>
      </c>
    </row>
    <row r="1672" spans="1:10" ht="14.25" hidden="1" customHeight="1" x14ac:dyDescent="0.35">
      <c r="A1672" s="30"/>
      <c r="E1672" s="31"/>
      <c r="G1672" s="32" t="str">
        <f t="shared" si="52"/>
        <v>|||1900|</v>
      </c>
      <c r="H1672" s="32" t="str">
        <f t="shared" si="53"/>
        <v>||1900|</v>
      </c>
      <c r="I1672" s="32">
        <f>IF(G1672="",0,IF(COUNTIF($G$2:G1672,G1672)=1,1,0))</f>
        <v>0</v>
      </c>
      <c r="J1672" s="32">
        <f>IF(H1672="",0,IF(COUNTIF($H$2:H1672,H1672)=1,1,0))</f>
        <v>0</v>
      </c>
    </row>
    <row r="1673" spans="1:10" ht="14.25" hidden="1" customHeight="1" x14ac:dyDescent="0.35">
      <c r="A1673" s="30"/>
      <c r="E1673" s="31"/>
      <c r="G1673" s="32" t="str">
        <f t="shared" si="52"/>
        <v>|||1900|</v>
      </c>
      <c r="H1673" s="32" t="str">
        <f t="shared" si="53"/>
        <v>||1900|</v>
      </c>
      <c r="I1673" s="32">
        <f>IF(G1673="",0,IF(COUNTIF($G$2:G1673,G1673)=1,1,0))</f>
        <v>0</v>
      </c>
      <c r="J1673" s="32">
        <f>IF(H1673="",0,IF(COUNTIF($H$2:H1673,H1673)=1,1,0))</f>
        <v>0</v>
      </c>
    </row>
    <row r="1674" spans="1:10" ht="14.25" hidden="1" customHeight="1" x14ac:dyDescent="0.35">
      <c r="A1674" s="30"/>
      <c r="E1674" s="31"/>
      <c r="G1674" s="32" t="str">
        <f t="shared" si="52"/>
        <v>|||1900|</v>
      </c>
      <c r="H1674" s="32" t="str">
        <f t="shared" si="53"/>
        <v>||1900|</v>
      </c>
      <c r="I1674" s="32">
        <f>IF(G1674="",0,IF(COUNTIF($G$2:G1674,G1674)=1,1,0))</f>
        <v>0</v>
      </c>
      <c r="J1674" s="32">
        <f>IF(H1674="",0,IF(COUNTIF($H$2:H1674,H1674)=1,1,0))</f>
        <v>0</v>
      </c>
    </row>
    <row r="1675" spans="1:10" ht="14.25" hidden="1" customHeight="1" x14ac:dyDescent="0.35">
      <c r="A1675" s="30"/>
      <c r="E1675" s="31"/>
      <c r="G1675" s="32" t="str">
        <f t="shared" si="52"/>
        <v>|||1900|</v>
      </c>
      <c r="H1675" s="32" t="str">
        <f t="shared" si="53"/>
        <v>||1900|</v>
      </c>
      <c r="I1675" s="32">
        <f>IF(G1675="",0,IF(COUNTIF($G$2:G1675,G1675)=1,1,0))</f>
        <v>0</v>
      </c>
      <c r="J1675" s="32">
        <f>IF(H1675="",0,IF(COUNTIF($H$2:H1675,H1675)=1,1,0))</f>
        <v>0</v>
      </c>
    </row>
    <row r="1676" spans="1:10" ht="14.25" hidden="1" customHeight="1" x14ac:dyDescent="0.35">
      <c r="A1676" s="30"/>
      <c r="E1676" s="31"/>
      <c r="G1676" s="32" t="str">
        <f t="shared" si="52"/>
        <v>|||1900|</v>
      </c>
      <c r="H1676" s="32" t="str">
        <f t="shared" si="53"/>
        <v>||1900|</v>
      </c>
      <c r="I1676" s="32">
        <f>IF(G1676="",0,IF(COUNTIF($G$2:G1676,G1676)=1,1,0))</f>
        <v>0</v>
      </c>
      <c r="J1676" s="32">
        <f>IF(H1676="",0,IF(COUNTIF($H$2:H1676,H1676)=1,1,0))</f>
        <v>0</v>
      </c>
    </row>
    <row r="1677" spans="1:10" ht="14.25" hidden="1" customHeight="1" x14ac:dyDescent="0.35">
      <c r="A1677" s="30"/>
      <c r="E1677" s="31"/>
      <c r="G1677" s="32" t="str">
        <f t="shared" si="52"/>
        <v>|||1900|</v>
      </c>
      <c r="H1677" s="32" t="str">
        <f t="shared" si="53"/>
        <v>||1900|</v>
      </c>
      <c r="I1677" s="32">
        <f>IF(G1677="",0,IF(COUNTIF($G$2:G1677,G1677)=1,1,0))</f>
        <v>0</v>
      </c>
      <c r="J1677" s="32">
        <f>IF(H1677="",0,IF(COUNTIF($H$2:H1677,H1677)=1,1,0))</f>
        <v>0</v>
      </c>
    </row>
    <row r="1678" spans="1:10" ht="14.25" hidden="1" customHeight="1" x14ac:dyDescent="0.35">
      <c r="A1678" s="30"/>
      <c r="E1678" s="31"/>
      <c r="G1678" s="32" t="str">
        <f t="shared" si="52"/>
        <v>|||1900|</v>
      </c>
      <c r="H1678" s="32" t="str">
        <f t="shared" si="53"/>
        <v>||1900|</v>
      </c>
      <c r="I1678" s="32">
        <f>IF(G1678="",0,IF(COUNTIF($G$2:G1678,G1678)=1,1,0))</f>
        <v>0</v>
      </c>
      <c r="J1678" s="32">
        <f>IF(H1678="",0,IF(COUNTIF($H$2:H1678,H1678)=1,1,0))</f>
        <v>0</v>
      </c>
    </row>
    <row r="1679" spans="1:10" ht="14.25" hidden="1" customHeight="1" x14ac:dyDescent="0.35">
      <c r="A1679" s="30"/>
      <c r="E1679" s="31"/>
      <c r="G1679" s="32" t="str">
        <f t="shared" si="52"/>
        <v>|||1900|</v>
      </c>
      <c r="H1679" s="32" t="str">
        <f t="shared" si="53"/>
        <v>||1900|</v>
      </c>
      <c r="I1679" s="32">
        <f>IF(G1679="",0,IF(COUNTIF($G$2:G1679,G1679)=1,1,0))</f>
        <v>0</v>
      </c>
      <c r="J1679" s="32">
        <f>IF(H1679="",0,IF(COUNTIF($H$2:H1679,H1679)=1,1,0))</f>
        <v>0</v>
      </c>
    </row>
    <row r="1680" spans="1:10" ht="14.25" hidden="1" customHeight="1" x14ac:dyDescent="0.35">
      <c r="A1680" s="30"/>
      <c r="E1680" s="31"/>
      <c r="G1680" s="32" t="str">
        <f t="shared" si="52"/>
        <v>|||1900|</v>
      </c>
      <c r="H1680" s="32" t="str">
        <f t="shared" si="53"/>
        <v>||1900|</v>
      </c>
      <c r="I1680" s="32">
        <f>IF(G1680="",0,IF(COUNTIF($G$2:G1680,G1680)=1,1,0))</f>
        <v>0</v>
      </c>
      <c r="J1680" s="32">
        <f>IF(H1680="",0,IF(COUNTIF($H$2:H1680,H1680)=1,1,0))</f>
        <v>0</v>
      </c>
    </row>
    <row r="1681" spans="1:10" ht="14.25" hidden="1" customHeight="1" x14ac:dyDescent="0.35">
      <c r="A1681" s="30"/>
      <c r="E1681" s="31"/>
      <c r="G1681" s="32" t="str">
        <f t="shared" si="52"/>
        <v>|||1900|</v>
      </c>
      <c r="H1681" s="32" t="str">
        <f t="shared" si="53"/>
        <v>||1900|</v>
      </c>
      <c r="I1681" s="32">
        <f>IF(G1681="",0,IF(COUNTIF($G$2:G1681,G1681)=1,1,0))</f>
        <v>0</v>
      </c>
      <c r="J1681" s="32">
        <f>IF(H1681="",0,IF(COUNTIF($H$2:H1681,H1681)=1,1,0))</f>
        <v>0</v>
      </c>
    </row>
    <row r="1682" spans="1:10" ht="14.25" hidden="1" customHeight="1" x14ac:dyDescent="0.35">
      <c r="A1682" s="30"/>
      <c r="E1682" s="31"/>
      <c r="G1682" s="32" t="str">
        <f t="shared" si="52"/>
        <v>|||1900|</v>
      </c>
      <c r="H1682" s="32" t="str">
        <f t="shared" si="53"/>
        <v>||1900|</v>
      </c>
      <c r="I1682" s="32">
        <f>IF(G1682="",0,IF(COUNTIF($G$2:G1682,G1682)=1,1,0))</f>
        <v>0</v>
      </c>
      <c r="J1682" s="32">
        <f>IF(H1682="",0,IF(COUNTIF($H$2:H1682,H1682)=1,1,0))</f>
        <v>0</v>
      </c>
    </row>
    <row r="1683" spans="1:10" ht="14.25" hidden="1" customHeight="1" x14ac:dyDescent="0.35">
      <c r="A1683" s="30"/>
      <c r="E1683" s="31"/>
      <c r="G1683" s="32" t="str">
        <f t="shared" si="52"/>
        <v>|||1900|</v>
      </c>
      <c r="H1683" s="32" t="str">
        <f t="shared" si="53"/>
        <v>||1900|</v>
      </c>
      <c r="I1683" s="32">
        <f>IF(G1683="",0,IF(COUNTIF($G$2:G1683,G1683)=1,1,0))</f>
        <v>0</v>
      </c>
      <c r="J1683" s="32">
        <f>IF(H1683="",0,IF(COUNTIF($H$2:H1683,H1683)=1,1,0))</f>
        <v>0</v>
      </c>
    </row>
    <row r="1684" spans="1:10" ht="14.25" hidden="1" customHeight="1" x14ac:dyDescent="0.35">
      <c r="A1684" s="30"/>
      <c r="E1684" s="31"/>
      <c r="G1684" s="32" t="str">
        <f t="shared" si="52"/>
        <v>|||1900|</v>
      </c>
      <c r="H1684" s="32" t="str">
        <f t="shared" si="53"/>
        <v>||1900|</v>
      </c>
      <c r="I1684" s="32">
        <f>IF(G1684="",0,IF(COUNTIF($G$2:G1684,G1684)=1,1,0))</f>
        <v>0</v>
      </c>
      <c r="J1684" s="32">
        <f>IF(H1684="",0,IF(COUNTIF($H$2:H1684,H1684)=1,1,0))</f>
        <v>0</v>
      </c>
    </row>
    <row r="1685" spans="1:10" ht="14.25" hidden="1" customHeight="1" x14ac:dyDescent="0.35">
      <c r="A1685" s="30"/>
      <c r="E1685" s="31"/>
      <c r="G1685" s="32" t="str">
        <f t="shared" si="52"/>
        <v>|||1900|</v>
      </c>
      <c r="H1685" s="32" t="str">
        <f t="shared" si="53"/>
        <v>||1900|</v>
      </c>
      <c r="I1685" s="32">
        <f>IF(G1685="",0,IF(COUNTIF($G$2:G1685,G1685)=1,1,0))</f>
        <v>0</v>
      </c>
      <c r="J1685" s="32">
        <f>IF(H1685="",0,IF(COUNTIF($H$2:H1685,H1685)=1,1,0))</f>
        <v>0</v>
      </c>
    </row>
    <row r="1686" spans="1:10" ht="14.25" hidden="1" customHeight="1" x14ac:dyDescent="0.35">
      <c r="A1686" s="30"/>
      <c r="E1686" s="31"/>
      <c r="G1686" s="32" t="str">
        <f t="shared" si="52"/>
        <v>|||1900|</v>
      </c>
      <c r="H1686" s="32" t="str">
        <f t="shared" si="53"/>
        <v>||1900|</v>
      </c>
      <c r="I1686" s="32">
        <f>IF(G1686="",0,IF(COUNTIF($G$2:G1686,G1686)=1,1,0))</f>
        <v>0</v>
      </c>
      <c r="J1686" s="32">
        <f>IF(H1686="",0,IF(COUNTIF($H$2:H1686,H1686)=1,1,0))</f>
        <v>0</v>
      </c>
    </row>
    <row r="1687" spans="1:10" ht="14.25" hidden="1" customHeight="1" x14ac:dyDescent="0.35">
      <c r="A1687" s="30"/>
      <c r="E1687" s="31"/>
      <c r="G1687" s="32" t="str">
        <f t="shared" si="52"/>
        <v>|||1900|</v>
      </c>
      <c r="H1687" s="32" t="str">
        <f t="shared" si="53"/>
        <v>||1900|</v>
      </c>
      <c r="I1687" s="32">
        <f>IF(G1687="",0,IF(COUNTIF($G$2:G1687,G1687)=1,1,0))</f>
        <v>0</v>
      </c>
      <c r="J1687" s="32">
        <f>IF(H1687="",0,IF(COUNTIF($H$2:H1687,H1687)=1,1,0))</f>
        <v>0</v>
      </c>
    </row>
    <row r="1688" spans="1:10" ht="14.25" hidden="1" customHeight="1" x14ac:dyDescent="0.35">
      <c r="A1688" s="30"/>
      <c r="E1688" s="31"/>
      <c r="G1688" s="32" t="str">
        <f t="shared" si="52"/>
        <v>|||1900|</v>
      </c>
      <c r="H1688" s="32" t="str">
        <f t="shared" si="53"/>
        <v>||1900|</v>
      </c>
      <c r="I1688" s="32">
        <f>IF(G1688="",0,IF(COUNTIF($G$2:G1688,G1688)=1,1,0))</f>
        <v>0</v>
      </c>
      <c r="J1688" s="32">
        <f>IF(H1688="",0,IF(COUNTIF($H$2:H1688,H1688)=1,1,0))</f>
        <v>0</v>
      </c>
    </row>
    <row r="1689" spans="1:10" ht="14.25" hidden="1" customHeight="1" x14ac:dyDescent="0.35">
      <c r="A1689" s="30"/>
      <c r="E1689" s="31"/>
      <c r="G1689" s="32" t="str">
        <f t="shared" si="52"/>
        <v>|||1900|</v>
      </c>
      <c r="H1689" s="32" t="str">
        <f t="shared" si="53"/>
        <v>||1900|</v>
      </c>
      <c r="I1689" s="32">
        <f>IF(G1689="",0,IF(COUNTIF($G$2:G1689,G1689)=1,1,0))</f>
        <v>0</v>
      </c>
      <c r="J1689" s="32">
        <f>IF(H1689="",0,IF(COUNTIF($H$2:H1689,H1689)=1,1,0))</f>
        <v>0</v>
      </c>
    </row>
    <row r="1690" spans="1:10" ht="14.25" hidden="1" customHeight="1" x14ac:dyDescent="0.35">
      <c r="A1690" s="30"/>
      <c r="E1690" s="31"/>
      <c r="G1690" s="32" t="str">
        <f t="shared" si="52"/>
        <v>|||1900|</v>
      </c>
      <c r="H1690" s="32" t="str">
        <f t="shared" si="53"/>
        <v>||1900|</v>
      </c>
      <c r="I1690" s="32">
        <f>IF(G1690="",0,IF(COUNTIF($G$2:G1690,G1690)=1,1,0))</f>
        <v>0</v>
      </c>
      <c r="J1690" s="32">
        <f>IF(H1690="",0,IF(COUNTIF($H$2:H1690,H1690)=1,1,0))</f>
        <v>0</v>
      </c>
    </row>
    <row r="1691" spans="1:10" ht="14.25" hidden="1" customHeight="1" x14ac:dyDescent="0.35">
      <c r="A1691" s="30"/>
      <c r="E1691" s="31"/>
      <c r="G1691" s="32" t="str">
        <f t="shared" si="52"/>
        <v>|||1900|</v>
      </c>
      <c r="H1691" s="32" t="str">
        <f t="shared" si="53"/>
        <v>||1900|</v>
      </c>
      <c r="I1691" s="32">
        <f>IF(G1691="",0,IF(COUNTIF($G$2:G1691,G1691)=1,1,0))</f>
        <v>0</v>
      </c>
      <c r="J1691" s="32">
        <f>IF(H1691="",0,IF(COUNTIF($H$2:H1691,H1691)=1,1,0))</f>
        <v>0</v>
      </c>
    </row>
    <row r="1692" spans="1:10" ht="14.25" hidden="1" customHeight="1" x14ac:dyDescent="0.35">
      <c r="A1692" s="30"/>
      <c r="E1692" s="31"/>
      <c r="G1692" s="32" t="str">
        <f t="shared" si="52"/>
        <v>|||1900|</v>
      </c>
      <c r="H1692" s="32" t="str">
        <f t="shared" si="53"/>
        <v>||1900|</v>
      </c>
      <c r="I1692" s="32">
        <f>IF(G1692="",0,IF(COUNTIF($G$2:G1692,G1692)=1,1,0))</f>
        <v>0</v>
      </c>
      <c r="J1692" s="32">
        <f>IF(H1692="",0,IF(COUNTIF($H$2:H1692,H1692)=1,1,0))</f>
        <v>0</v>
      </c>
    </row>
    <row r="1693" spans="1:10" ht="14.25" hidden="1" customHeight="1" x14ac:dyDescent="0.35">
      <c r="A1693" s="30"/>
      <c r="E1693" s="31"/>
      <c r="G1693" s="32" t="str">
        <f t="shared" si="52"/>
        <v>|||1900|</v>
      </c>
      <c r="H1693" s="32" t="str">
        <f t="shared" si="53"/>
        <v>||1900|</v>
      </c>
      <c r="I1693" s="32">
        <f>IF(G1693="",0,IF(COUNTIF($G$2:G1693,G1693)=1,1,0))</f>
        <v>0</v>
      </c>
      <c r="J1693" s="32">
        <f>IF(H1693="",0,IF(COUNTIF($H$2:H1693,H1693)=1,1,0))</f>
        <v>0</v>
      </c>
    </row>
    <row r="1694" spans="1:10" ht="14.25" hidden="1" customHeight="1" x14ac:dyDescent="0.35">
      <c r="A1694" s="30"/>
      <c r="E1694" s="31"/>
      <c r="G1694" s="32" t="str">
        <f t="shared" si="52"/>
        <v>|||1900|</v>
      </c>
      <c r="H1694" s="32" t="str">
        <f t="shared" si="53"/>
        <v>||1900|</v>
      </c>
      <c r="I1694" s="32">
        <f>IF(G1694="",0,IF(COUNTIF($G$2:G1694,G1694)=1,1,0))</f>
        <v>0</v>
      </c>
      <c r="J1694" s="32">
        <f>IF(H1694="",0,IF(COUNTIF($H$2:H1694,H1694)=1,1,0))</f>
        <v>0</v>
      </c>
    </row>
    <row r="1695" spans="1:10" ht="14.25" hidden="1" customHeight="1" x14ac:dyDescent="0.35">
      <c r="A1695" s="30"/>
      <c r="E1695" s="31"/>
      <c r="G1695" s="32" t="str">
        <f t="shared" si="52"/>
        <v>|||1900|</v>
      </c>
      <c r="H1695" s="32" t="str">
        <f t="shared" si="53"/>
        <v>||1900|</v>
      </c>
      <c r="I1695" s="32">
        <f>IF(G1695="",0,IF(COUNTIF($G$2:G1695,G1695)=1,1,0))</f>
        <v>0</v>
      </c>
      <c r="J1695" s="32">
        <f>IF(H1695="",0,IF(COUNTIF($H$2:H1695,H1695)=1,1,0))</f>
        <v>0</v>
      </c>
    </row>
    <row r="1696" spans="1:10" ht="14.25" hidden="1" customHeight="1" x14ac:dyDescent="0.35">
      <c r="A1696" s="30"/>
      <c r="E1696" s="31"/>
      <c r="G1696" s="32" t="str">
        <f t="shared" si="52"/>
        <v>|||1900|</v>
      </c>
      <c r="H1696" s="32" t="str">
        <f t="shared" si="53"/>
        <v>||1900|</v>
      </c>
      <c r="I1696" s="32">
        <f>IF(G1696="",0,IF(COUNTIF($G$2:G1696,G1696)=1,1,0))</f>
        <v>0</v>
      </c>
      <c r="J1696" s="32">
        <f>IF(H1696="",0,IF(COUNTIF($H$2:H1696,H1696)=1,1,0))</f>
        <v>0</v>
      </c>
    </row>
    <row r="1697" spans="1:10" ht="14.25" hidden="1" customHeight="1" x14ac:dyDescent="0.35">
      <c r="A1697" s="30"/>
      <c r="E1697" s="31"/>
      <c r="G1697" s="32" t="str">
        <f t="shared" si="52"/>
        <v>|||1900|</v>
      </c>
      <c r="H1697" s="32" t="str">
        <f t="shared" si="53"/>
        <v>||1900|</v>
      </c>
      <c r="I1697" s="32">
        <f>IF(G1697="",0,IF(COUNTIF($G$2:G1697,G1697)=1,1,0))</f>
        <v>0</v>
      </c>
      <c r="J1697" s="32">
        <f>IF(H1697="",0,IF(COUNTIF($H$2:H1697,H1697)=1,1,0))</f>
        <v>0</v>
      </c>
    </row>
    <row r="1698" spans="1:10" ht="14.25" hidden="1" customHeight="1" x14ac:dyDescent="0.35">
      <c r="A1698" s="30"/>
      <c r="E1698" s="31"/>
      <c r="G1698" s="32" t="str">
        <f t="shared" si="52"/>
        <v>|||1900|</v>
      </c>
      <c r="H1698" s="32" t="str">
        <f t="shared" si="53"/>
        <v>||1900|</v>
      </c>
      <c r="I1698" s="32">
        <f>IF(G1698="",0,IF(COUNTIF($G$2:G1698,G1698)=1,1,0))</f>
        <v>0</v>
      </c>
      <c r="J1698" s="32">
        <f>IF(H1698="",0,IF(COUNTIF($H$2:H1698,H1698)=1,1,0))</f>
        <v>0</v>
      </c>
    </row>
    <row r="1699" spans="1:10" ht="14.25" hidden="1" customHeight="1" x14ac:dyDescent="0.35">
      <c r="A1699" s="30"/>
      <c r="E1699" s="31"/>
      <c r="G1699" s="32" t="str">
        <f t="shared" si="52"/>
        <v>|||1900|</v>
      </c>
      <c r="H1699" s="32" t="str">
        <f t="shared" si="53"/>
        <v>||1900|</v>
      </c>
      <c r="I1699" s="32">
        <f>IF(G1699="",0,IF(COUNTIF($G$2:G1699,G1699)=1,1,0))</f>
        <v>0</v>
      </c>
      <c r="J1699" s="32">
        <f>IF(H1699="",0,IF(COUNTIF($H$2:H1699,H1699)=1,1,0))</f>
        <v>0</v>
      </c>
    </row>
    <row r="1700" spans="1:10" ht="14.25" hidden="1" customHeight="1" x14ac:dyDescent="0.35">
      <c r="A1700" s="30"/>
      <c r="E1700" s="31"/>
      <c r="G1700" s="32" t="str">
        <f t="shared" si="52"/>
        <v>|||1900|</v>
      </c>
      <c r="H1700" s="32" t="str">
        <f t="shared" si="53"/>
        <v>||1900|</v>
      </c>
      <c r="I1700" s="32">
        <f>IF(G1700="",0,IF(COUNTIF($G$2:G1700,G1700)=1,1,0))</f>
        <v>0</v>
      </c>
      <c r="J1700" s="32">
        <f>IF(H1700="",0,IF(COUNTIF($H$2:H1700,H1700)=1,1,0))</f>
        <v>0</v>
      </c>
    </row>
    <row r="1701" spans="1:10" ht="14.25" hidden="1" customHeight="1" x14ac:dyDescent="0.35">
      <c r="A1701" s="30"/>
      <c r="E1701" s="31"/>
      <c r="G1701" s="32" t="str">
        <f t="shared" si="52"/>
        <v>|||1900|</v>
      </c>
      <c r="H1701" s="32" t="str">
        <f t="shared" si="53"/>
        <v>||1900|</v>
      </c>
      <c r="I1701" s="32">
        <f>IF(G1701="",0,IF(COUNTIF($G$2:G1701,G1701)=1,1,0))</f>
        <v>0</v>
      </c>
      <c r="J1701" s="32">
        <f>IF(H1701="",0,IF(COUNTIF($H$2:H1701,H1701)=1,1,0))</f>
        <v>0</v>
      </c>
    </row>
    <row r="1702" spans="1:10" ht="14.25" hidden="1" customHeight="1" x14ac:dyDescent="0.35">
      <c r="A1702" s="30"/>
      <c r="E1702" s="31"/>
      <c r="G1702" s="32" t="str">
        <f t="shared" si="52"/>
        <v>|||1900|</v>
      </c>
      <c r="H1702" s="32" t="str">
        <f t="shared" si="53"/>
        <v>||1900|</v>
      </c>
      <c r="I1702" s="32">
        <f>IF(G1702="",0,IF(COUNTIF($G$2:G1702,G1702)=1,1,0))</f>
        <v>0</v>
      </c>
      <c r="J1702" s="32">
        <f>IF(H1702="",0,IF(COUNTIF($H$2:H1702,H1702)=1,1,0))</f>
        <v>0</v>
      </c>
    </row>
    <row r="1703" spans="1:10" ht="14.25" hidden="1" customHeight="1" x14ac:dyDescent="0.35">
      <c r="A1703" s="30"/>
      <c r="E1703" s="31"/>
      <c r="G1703" s="32" t="str">
        <f t="shared" si="52"/>
        <v>|||1900|</v>
      </c>
      <c r="H1703" s="32" t="str">
        <f t="shared" si="53"/>
        <v>||1900|</v>
      </c>
      <c r="I1703" s="32">
        <f>IF(G1703="",0,IF(COUNTIF($G$2:G1703,G1703)=1,1,0))</f>
        <v>0</v>
      </c>
      <c r="J1703" s="32">
        <f>IF(H1703="",0,IF(COUNTIF($H$2:H1703,H1703)=1,1,0))</f>
        <v>0</v>
      </c>
    </row>
    <row r="1704" spans="1:10" ht="14.25" hidden="1" customHeight="1" x14ac:dyDescent="0.35">
      <c r="A1704" s="30"/>
      <c r="E1704" s="31"/>
      <c r="G1704" s="32" t="str">
        <f t="shared" si="52"/>
        <v>|||1900|</v>
      </c>
      <c r="H1704" s="32" t="str">
        <f t="shared" si="53"/>
        <v>||1900|</v>
      </c>
      <c r="I1704" s="32">
        <f>IF(G1704="",0,IF(COUNTIF($G$2:G1704,G1704)=1,1,0))</f>
        <v>0</v>
      </c>
      <c r="J1704" s="32">
        <f>IF(H1704="",0,IF(COUNTIF($H$2:H1704,H1704)=1,1,0))</f>
        <v>0</v>
      </c>
    </row>
    <row r="1705" spans="1:10" ht="14.25" hidden="1" customHeight="1" x14ac:dyDescent="0.35">
      <c r="A1705" s="30"/>
      <c r="E1705" s="31"/>
      <c r="G1705" s="32" t="str">
        <f t="shared" si="52"/>
        <v>|||1900|</v>
      </c>
      <c r="H1705" s="32" t="str">
        <f t="shared" si="53"/>
        <v>||1900|</v>
      </c>
      <c r="I1705" s="32">
        <f>IF(G1705="",0,IF(COUNTIF($G$2:G1705,G1705)=1,1,0))</f>
        <v>0</v>
      </c>
      <c r="J1705" s="32">
        <f>IF(H1705="",0,IF(COUNTIF($H$2:H1705,H1705)=1,1,0))</f>
        <v>0</v>
      </c>
    </row>
    <row r="1706" spans="1:10" ht="14.25" hidden="1" customHeight="1" x14ac:dyDescent="0.35">
      <c r="A1706" s="30"/>
      <c r="E1706" s="31"/>
      <c r="G1706" s="32" t="str">
        <f t="shared" si="52"/>
        <v>|||1900|</v>
      </c>
      <c r="H1706" s="32" t="str">
        <f t="shared" si="53"/>
        <v>||1900|</v>
      </c>
      <c r="I1706" s="32">
        <f>IF(G1706="",0,IF(COUNTIF($G$2:G1706,G1706)=1,1,0))</f>
        <v>0</v>
      </c>
      <c r="J1706" s="32">
        <f>IF(H1706="",0,IF(COUNTIF($H$2:H1706,H1706)=1,1,0))</f>
        <v>0</v>
      </c>
    </row>
    <row r="1707" spans="1:10" ht="14.25" hidden="1" customHeight="1" x14ac:dyDescent="0.35">
      <c r="A1707" s="30"/>
      <c r="E1707" s="31"/>
      <c r="G1707" s="32" t="str">
        <f t="shared" si="52"/>
        <v>|||1900|</v>
      </c>
      <c r="H1707" s="32" t="str">
        <f t="shared" si="53"/>
        <v>||1900|</v>
      </c>
      <c r="I1707" s="32">
        <f>IF(G1707="",0,IF(COUNTIF($G$2:G1707,G1707)=1,1,0))</f>
        <v>0</v>
      </c>
      <c r="J1707" s="32">
        <f>IF(H1707="",0,IF(COUNTIF($H$2:H1707,H1707)=1,1,0))</f>
        <v>0</v>
      </c>
    </row>
    <row r="1708" spans="1:10" ht="14.25" hidden="1" customHeight="1" x14ac:dyDescent="0.35">
      <c r="A1708" s="30"/>
      <c r="E1708" s="31"/>
      <c r="G1708" s="32" t="str">
        <f t="shared" si="52"/>
        <v>|||1900|</v>
      </c>
      <c r="H1708" s="32" t="str">
        <f t="shared" si="53"/>
        <v>||1900|</v>
      </c>
      <c r="I1708" s="32">
        <f>IF(G1708="",0,IF(COUNTIF($G$2:G1708,G1708)=1,1,0))</f>
        <v>0</v>
      </c>
      <c r="J1708" s="32">
        <f>IF(H1708="",0,IF(COUNTIF($H$2:H1708,H1708)=1,1,0))</f>
        <v>0</v>
      </c>
    </row>
    <row r="1709" spans="1:10" ht="14.25" hidden="1" customHeight="1" x14ac:dyDescent="0.35">
      <c r="A1709" s="30"/>
      <c r="E1709" s="31"/>
      <c r="G1709" s="32" t="str">
        <f t="shared" si="52"/>
        <v>|||1900|</v>
      </c>
      <c r="H1709" s="32" t="str">
        <f t="shared" si="53"/>
        <v>||1900|</v>
      </c>
      <c r="I1709" s="32">
        <f>IF(G1709="",0,IF(COUNTIF($G$2:G1709,G1709)=1,1,0))</f>
        <v>0</v>
      </c>
      <c r="J1709" s="32">
        <f>IF(H1709="",0,IF(COUNTIF($H$2:H1709,H1709)=1,1,0))</f>
        <v>0</v>
      </c>
    </row>
    <row r="1710" spans="1:10" ht="14.25" hidden="1" customHeight="1" x14ac:dyDescent="0.35">
      <c r="A1710" s="30"/>
      <c r="E1710" s="31"/>
      <c r="G1710" s="32" t="str">
        <f t="shared" si="52"/>
        <v>|||1900|</v>
      </c>
      <c r="H1710" s="32" t="str">
        <f t="shared" si="53"/>
        <v>||1900|</v>
      </c>
      <c r="I1710" s="32">
        <f>IF(G1710="",0,IF(COUNTIF($G$2:G1710,G1710)=1,1,0))</f>
        <v>0</v>
      </c>
      <c r="J1710" s="32">
        <f>IF(H1710="",0,IF(COUNTIF($H$2:H1710,H1710)=1,1,0))</f>
        <v>0</v>
      </c>
    </row>
    <row r="1711" spans="1:10" ht="14.25" hidden="1" customHeight="1" x14ac:dyDescent="0.35">
      <c r="A1711" s="30"/>
      <c r="E1711" s="31"/>
      <c r="G1711" s="32" t="str">
        <f t="shared" si="52"/>
        <v>|||1900|</v>
      </c>
      <c r="H1711" s="32" t="str">
        <f t="shared" si="53"/>
        <v>||1900|</v>
      </c>
      <c r="I1711" s="32">
        <f>IF(G1711="",0,IF(COUNTIF($G$2:G1711,G1711)=1,1,0))</f>
        <v>0</v>
      </c>
      <c r="J1711" s="32">
        <f>IF(H1711="",0,IF(COUNTIF($H$2:H1711,H1711)=1,1,0))</f>
        <v>0</v>
      </c>
    </row>
    <row r="1712" spans="1:10" ht="14.25" hidden="1" customHeight="1" x14ac:dyDescent="0.35">
      <c r="A1712" s="30"/>
      <c r="E1712" s="31"/>
      <c r="G1712" s="32" t="str">
        <f t="shared" si="52"/>
        <v>|||1900|</v>
      </c>
      <c r="H1712" s="32" t="str">
        <f t="shared" si="53"/>
        <v>||1900|</v>
      </c>
      <c r="I1712" s="32">
        <f>IF(G1712="",0,IF(COUNTIF($G$2:G1712,G1712)=1,1,0))</f>
        <v>0</v>
      </c>
      <c r="J1712" s="32">
        <f>IF(H1712="",0,IF(COUNTIF($H$2:H1712,H1712)=1,1,0))</f>
        <v>0</v>
      </c>
    </row>
    <row r="1713" spans="1:10" ht="14.25" hidden="1" customHeight="1" x14ac:dyDescent="0.35">
      <c r="A1713" s="30"/>
      <c r="E1713" s="31"/>
      <c r="G1713" s="32" t="str">
        <f t="shared" si="52"/>
        <v>|||1900|</v>
      </c>
      <c r="H1713" s="32" t="str">
        <f t="shared" si="53"/>
        <v>||1900|</v>
      </c>
      <c r="I1713" s="32">
        <f>IF(G1713="",0,IF(COUNTIF($G$2:G1713,G1713)=1,1,0))</f>
        <v>0</v>
      </c>
      <c r="J1713" s="32">
        <f>IF(H1713="",0,IF(COUNTIF($H$2:H1713,H1713)=1,1,0))</f>
        <v>0</v>
      </c>
    </row>
    <row r="1714" spans="1:10" ht="14.25" hidden="1" customHeight="1" x14ac:dyDescent="0.35">
      <c r="A1714" s="30"/>
      <c r="E1714" s="31"/>
      <c r="G1714" s="32" t="str">
        <f t="shared" si="52"/>
        <v>|||1900|</v>
      </c>
      <c r="H1714" s="32" t="str">
        <f t="shared" si="53"/>
        <v>||1900|</v>
      </c>
      <c r="I1714" s="32">
        <f>IF(G1714="",0,IF(COUNTIF($G$2:G1714,G1714)=1,1,0))</f>
        <v>0</v>
      </c>
      <c r="J1714" s="32">
        <f>IF(H1714="",0,IF(COUNTIF($H$2:H1714,H1714)=1,1,0))</f>
        <v>0</v>
      </c>
    </row>
    <row r="1715" spans="1:10" ht="14.25" hidden="1" customHeight="1" x14ac:dyDescent="0.35">
      <c r="A1715" s="30"/>
      <c r="E1715" s="31"/>
      <c r="G1715" s="32" t="str">
        <f t="shared" si="52"/>
        <v>|||1900|</v>
      </c>
      <c r="H1715" s="32" t="str">
        <f t="shared" si="53"/>
        <v>||1900|</v>
      </c>
      <c r="I1715" s="32">
        <f>IF(G1715="",0,IF(COUNTIF($G$2:G1715,G1715)=1,1,0))</f>
        <v>0</v>
      </c>
      <c r="J1715" s="32">
        <f>IF(H1715="",0,IF(COUNTIF($H$2:H1715,H1715)=1,1,0))</f>
        <v>0</v>
      </c>
    </row>
    <row r="1716" spans="1:10" ht="14.25" hidden="1" customHeight="1" x14ac:dyDescent="0.35">
      <c r="A1716" s="30"/>
      <c r="E1716" s="31"/>
      <c r="G1716" s="32" t="str">
        <f t="shared" si="52"/>
        <v>|||1900|</v>
      </c>
      <c r="H1716" s="32" t="str">
        <f t="shared" si="53"/>
        <v>||1900|</v>
      </c>
      <c r="I1716" s="32">
        <f>IF(G1716="",0,IF(COUNTIF($G$2:G1716,G1716)=1,1,0))</f>
        <v>0</v>
      </c>
      <c r="J1716" s="32">
        <f>IF(H1716="",0,IF(COUNTIF($H$2:H1716,H1716)=1,1,0))</f>
        <v>0</v>
      </c>
    </row>
    <row r="1717" spans="1:10" ht="14.25" hidden="1" customHeight="1" x14ac:dyDescent="0.35">
      <c r="A1717" s="30"/>
      <c r="E1717" s="31"/>
      <c r="G1717" s="32" t="str">
        <f t="shared" si="52"/>
        <v>|||1900|</v>
      </c>
      <c r="H1717" s="32" t="str">
        <f t="shared" si="53"/>
        <v>||1900|</v>
      </c>
      <c r="I1717" s="32">
        <f>IF(G1717="",0,IF(COUNTIF($G$2:G1717,G1717)=1,1,0))</f>
        <v>0</v>
      </c>
      <c r="J1717" s="32">
        <f>IF(H1717="",0,IF(COUNTIF($H$2:H1717,H1717)=1,1,0))</f>
        <v>0</v>
      </c>
    </row>
    <row r="1718" spans="1:10" ht="14.25" hidden="1" customHeight="1" x14ac:dyDescent="0.35">
      <c r="A1718" s="30"/>
      <c r="E1718" s="31"/>
      <c r="G1718" s="32" t="str">
        <f t="shared" si="52"/>
        <v>|||1900|</v>
      </c>
      <c r="H1718" s="32" t="str">
        <f t="shared" si="53"/>
        <v>||1900|</v>
      </c>
      <c r="I1718" s="32">
        <f>IF(G1718="",0,IF(COUNTIF($G$2:G1718,G1718)=1,1,0))</f>
        <v>0</v>
      </c>
      <c r="J1718" s="32">
        <f>IF(H1718="",0,IF(COUNTIF($H$2:H1718,H1718)=1,1,0))</f>
        <v>0</v>
      </c>
    </row>
    <row r="1719" spans="1:10" ht="14.25" hidden="1" customHeight="1" x14ac:dyDescent="0.35">
      <c r="A1719" s="30"/>
      <c r="E1719" s="31"/>
      <c r="G1719" s="32" t="str">
        <f t="shared" si="52"/>
        <v>|||1900|</v>
      </c>
      <c r="H1719" s="32" t="str">
        <f t="shared" si="53"/>
        <v>||1900|</v>
      </c>
      <c r="I1719" s="32">
        <f>IF(G1719="",0,IF(COUNTIF($G$2:G1719,G1719)=1,1,0))</f>
        <v>0</v>
      </c>
      <c r="J1719" s="32">
        <f>IF(H1719="",0,IF(COUNTIF($H$2:H1719,H1719)=1,1,0))</f>
        <v>0</v>
      </c>
    </row>
    <row r="1720" spans="1:10" ht="14.25" hidden="1" customHeight="1" x14ac:dyDescent="0.35">
      <c r="A1720" s="30"/>
      <c r="E1720" s="31"/>
      <c r="G1720" s="32" t="str">
        <f t="shared" si="52"/>
        <v>|||1900|</v>
      </c>
      <c r="H1720" s="32" t="str">
        <f t="shared" si="53"/>
        <v>||1900|</v>
      </c>
      <c r="I1720" s="32">
        <f>IF(G1720="",0,IF(COUNTIF($G$2:G1720,G1720)=1,1,0))</f>
        <v>0</v>
      </c>
      <c r="J1720" s="32">
        <f>IF(H1720="",0,IF(COUNTIF($H$2:H1720,H1720)=1,1,0))</f>
        <v>0</v>
      </c>
    </row>
    <row r="1721" spans="1:10" ht="14.25" hidden="1" customHeight="1" x14ac:dyDescent="0.35">
      <c r="A1721" s="30"/>
      <c r="E1721" s="31"/>
      <c r="G1721" s="32" t="str">
        <f t="shared" si="52"/>
        <v>|||1900|</v>
      </c>
      <c r="H1721" s="32" t="str">
        <f t="shared" si="53"/>
        <v>||1900|</v>
      </c>
      <c r="I1721" s="32">
        <f>IF(G1721="",0,IF(COUNTIF($G$2:G1721,G1721)=1,1,0))</f>
        <v>0</v>
      </c>
      <c r="J1721" s="32">
        <f>IF(H1721="",0,IF(COUNTIF($H$2:H1721,H1721)=1,1,0))</f>
        <v>0</v>
      </c>
    </row>
    <row r="1722" spans="1:10" ht="14.25" hidden="1" customHeight="1" x14ac:dyDescent="0.35">
      <c r="A1722" s="30"/>
      <c r="E1722" s="31"/>
      <c r="G1722" s="32" t="str">
        <f t="shared" si="52"/>
        <v>|||1900|</v>
      </c>
      <c r="H1722" s="32" t="str">
        <f t="shared" si="53"/>
        <v>||1900|</v>
      </c>
      <c r="I1722" s="32">
        <f>IF(G1722="",0,IF(COUNTIF($G$2:G1722,G1722)=1,1,0))</f>
        <v>0</v>
      </c>
      <c r="J1722" s="32">
        <f>IF(H1722="",0,IF(COUNTIF($H$2:H1722,H1722)=1,1,0))</f>
        <v>0</v>
      </c>
    </row>
    <row r="1723" spans="1:10" ht="14.25" hidden="1" customHeight="1" x14ac:dyDescent="0.35">
      <c r="A1723" s="30"/>
      <c r="E1723" s="31"/>
      <c r="G1723" s="32" t="str">
        <f t="shared" si="52"/>
        <v>|||1900|</v>
      </c>
      <c r="H1723" s="32" t="str">
        <f t="shared" si="53"/>
        <v>||1900|</v>
      </c>
      <c r="I1723" s="32">
        <f>IF(G1723="",0,IF(COUNTIF($G$2:G1723,G1723)=1,1,0))</f>
        <v>0</v>
      </c>
      <c r="J1723" s="32">
        <f>IF(H1723="",0,IF(COUNTIF($H$2:H1723,H1723)=1,1,0))</f>
        <v>0</v>
      </c>
    </row>
    <row r="1724" spans="1:10" ht="14.25" hidden="1" customHeight="1" x14ac:dyDescent="0.35">
      <c r="A1724" s="30"/>
      <c r="E1724" s="31"/>
      <c r="G1724" s="32" t="str">
        <f t="shared" si="52"/>
        <v>|||1900|</v>
      </c>
      <c r="H1724" s="32" t="str">
        <f t="shared" si="53"/>
        <v>||1900|</v>
      </c>
      <c r="I1724" s="32">
        <f>IF(G1724="",0,IF(COUNTIF($G$2:G1724,G1724)=1,1,0))</f>
        <v>0</v>
      </c>
      <c r="J1724" s="32">
        <f>IF(H1724="",0,IF(COUNTIF($H$2:H1724,H1724)=1,1,0))</f>
        <v>0</v>
      </c>
    </row>
    <row r="1725" spans="1:10" ht="14.25" hidden="1" customHeight="1" x14ac:dyDescent="0.35">
      <c r="A1725" s="30"/>
      <c r="E1725" s="31"/>
      <c r="G1725" s="32" t="str">
        <f t="shared" si="52"/>
        <v>|||1900|</v>
      </c>
      <c r="H1725" s="32" t="str">
        <f t="shared" si="53"/>
        <v>||1900|</v>
      </c>
      <c r="I1725" s="32">
        <f>IF(G1725="",0,IF(COUNTIF($G$2:G1725,G1725)=1,1,0))</f>
        <v>0</v>
      </c>
      <c r="J1725" s="32">
        <f>IF(H1725="",0,IF(COUNTIF($H$2:H1725,H1725)=1,1,0))</f>
        <v>0</v>
      </c>
    </row>
    <row r="1726" spans="1:10" ht="14.25" hidden="1" customHeight="1" x14ac:dyDescent="0.35">
      <c r="A1726" s="30"/>
      <c r="E1726" s="31"/>
      <c r="G1726" s="32" t="str">
        <f t="shared" si="52"/>
        <v>|||1900|</v>
      </c>
      <c r="H1726" s="32" t="str">
        <f t="shared" si="53"/>
        <v>||1900|</v>
      </c>
      <c r="I1726" s="32">
        <f>IF(G1726="",0,IF(COUNTIF($G$2:G1726,G1726)=1,1,0))</f>
        <v>0</v>
      </c>
      <c r="J1726" s="32">
        <f>IF(H1726="",0,IF(COUNTIF($H$2:H1726,H1726)=1,1,0))</f>
        <v>0</v>
      </c>
    </row>
    <row r="1727" spans="1:10" ht="14.25" hidden="1" customHeight="1" x14ac:dyDescent="0.35">
      <c r="A1727" s="30"/>
      <c r="E1727" s="31"/>
      <c r="G1727" s="32" t="str">
        <f t="shared" si="52"/>
        <v>|||1900|</v>
      </c>
      <c r="H1727" s="32" t="str">
        <f t="shared" si="53"/>
        <v>||1900|</v>
      </c>
      <c r="I1727" s="32">
        <f>IF(G1727="",0,IF(COUNTIF($G$2:G1727,G1727)=1,1,0))</f>
        <v>0</v>
      </c>
      <c r="J1727" s="32">
        <f>IF(H1727="",0,IF(COUNTIF($H$2:H1727,H1727)=1,1,0))</f>
        <v>0</v>
      </c>
    </row>
    <row r="1728" spans="1:10" ht="14.25" hidden="1" customHeight="1" x14ac:dyDescent="0.35">
      <c r="A1728" s="30"/>
      <c r="E1728" s="31"/>
      <c r="G1728" s="32" t="str">
        <f t="shared" si="52"/>
        <v>|||1900|</v>
      </c>
      <c r="H1728" s="32" t="str">
        <f t="shared" si="53"/>
        <v>||1900|</v>
      </c>
      <c r="I1728" s="32">
        <f>IF(G1728="",0,IF(COUNTIF($G$2:G1728,G1728)=1,1,0))</f>
        <v>0</v>
      </c>
      <c r="J1728" s="32">
        <f>IF(H1728="",0,IF(COUNTIF($H$2:H1728,H1728)=1,1,0))</f>
        <v>0</v>
      </c>
    </row>
    <row r="1729" spans="1:10" ht="14.25" hidden="1" customHeight="1" x14ac:dyDescent="0.35">
      <c r="A1729" s="30"/>
      <c r="E1729" s="31"/>
      <c r="G1729" s="32" t="str">
        <f t="shared" si="52"/>
        <v>|||1900|</v>
      </c>
      <c r="H1729" s="32" t="str">
        <f t="shared" si="53"/>
        <v>||1900|</v>
      </c>
      <c r="I1729" s="32">
        <f>IF(G1729="",0,IF(COUNTIF($G$2:G1729,G1729)=1,1,0))</f>
        <v>0</v>
      </c>
      <c r="J1729" s="32">
        <f>IF(H1729="",0,IF(COUNTIF($H$2:H1729,H1729)=1,1,0))</f>
        <v>0</v>
      </c>
    </row>
    <row r="1730" spans="1:10" ht="14.25" hidden="1" customHeight="1" x14ac:dyDescent="0.35">
      <c r="A1730" s="30"/>
      <c r="E1730" s="31"/>
      <c r="G1730" s="32" t="str">
        <f t="shared" ref="G1730:G1793" si="54">IF(D1730="T",
E1730&amp;"|"&amp;F1730,
A1730&amp;"|"&amp;B1730&amp;"|"&amp;C1730&amp;"|"&amp;YEAR(E1730)&amp;"|"&amp;F1730)</f>
        <v>|||1900|</v>
      </c>
      <c r="H1730" s="32" t="str">
        <f t="shared" ref="H1730:H1793" si="55">A1730&amp;"|"&amp;C1730&amp;"|"&amp;YEAR(E1730)&amp;"|"&amp;F1730</f>
        <v>||1900|</v>
      </c>
      <c r="I1730" s="32">
        <f>IF(G1730="",0,IF(COUNTIF($G$2:G1730,G1730)=1,1,0))</f>
        <v>0</v>
      </c>
      <c r="J1730" s="32">
        <f>IF(H1730="",0,IF(COUNTIF($H$2:H1730,H1730)=1,1,0))</f>
        <v>0</v>
      </c>
    </row>
    <row r="1731" spans="1:10" ht="14.25" hidden="1" customHeight="1" x14ac:dyDescent="0.35">
      <c r="A1731" s="30"/>
      <c r="E1731" s="31"/>
      <c r="G1731" s="32" t="str">
        <f t="shared" si="54"/>
        <v>|||1900|</v>
      </c>
      <c r="H1731" s="32" t="str">
        <f t="shared" si="55"/>
        <v>||1900|</v>
      </c>
      <c r="I1731" s="32">
        <f>IF(G1731="",0,IF(COUNTIF($G$2:G1731,G1731)=1,1,0))</f>
        <v>0</v>
      </c>
      <c r="J1731" s="32">
        <f>IF(H1731="",0,IF(COUNTIF($H$2:H1731,H1731)=1,1,0))</f>
        <v>0</v>
      </c>
    </row>
    <row r="1732" spans="1:10" ht="14.25" hidden="1" customHeight="1" x14ac:dyDescent="0.35">
      <c r="A1732" s="30"/>
      <c r="E1732" s="31"/>
      <c r="G1732" s="32" t="str">
        <f t="shared" si="54"/>
        <v>|||1900|</v>
      </c>
      <c r="H1732" s="32" t="str">
        <f t="shared" si="55"/>
        <v>||1900|</v>
      </c>
      <c r="I1732" s="32">
        <f>IF(G1732="",0,IF(COUNTIF($G$2:G1732,G1732)=1,1,0))</f>
        <v>0</v>
      </c>
      <c r="J1732" s="32">
        <f>IF(H1732="",0,IF(COUNTIF($H$2:H1732,H1732)=1,1,0))</f>
        <v>0</v>
      </c>
    </row>
    <row r="1733" spans="1:10" ht="14.25" hidden="1" customHeight="1" x14ac:dyDescent="0.35">
      <c r="A1733" s="30"/>
      <c r="E1733" s="31"/>
      <c r="G1733" s="32" t="str">
        <f t="shared" si="54"/>
        <v>|||1900|</v>
      </c>
      <c r="H1733" s="32" t="str">
        <f t="shared" si="55"/>
        <v>||1900|</v>
      </c>
      <c r="I1733" s="32">
        <f>IF(G1733="",0,IF(COUNTIF($G$2:G1733,G1733)=1,1,0))</f>
        <v>0</v>
      </c>
      <c r="J1733" s="32">
        <f>IF(H1733="",0,IF(COUNTIF($H$2:H1733,H1733)=1,1,0))</f>
        <v>0</v>
      </c>
    </row>
    <row r="1734" spans="1:10" ht="14.25" hidden="1" customHeight="1" x14ac:dyDescent="0.35">
      <c r="A1734" s="30"/>
      <c r="E1734" s="31"/>
      <c r="G1734" s="32" t="str">
        <f t="shared" si="54"/>
        <v>|||1900|</v>
      </c>
      <c r="H1734" s="32" t="str">
        <f t="shared" si="55"/>
        <v>||1900|</v>
      </c>
      <c r="I1734" s="32">
        <f>IF(G1734="",0,IF(COUNTIF($G$2:G1734,G1734)=1,1,0))</f>
        <v>0</v>
      </c>
      <c r="J1734" s="32">
        <f>IF(H1734="",0,IF(COUNTIF($H$2:H1734,H1734)=1,1,0))</f>
        <v>0</v>
      </c>
    </row>
    <row r="1735" spans="1:10" ht="14.25" hidden="1" customHeight="1" x14ac:dyDescent="0.35">
      <c r="A1735" s="30"/>
      <c r="E1735" s="31"/>
      <c r="G1735" s="32" t="str">
        <f t="shared" si="54"/>
        <v>|||1900|</v>
      </c>
      <c r="H1735" s="32" t="str">
        <f t="shared" si="55"/>
        <v>||1900|</v>
      </c>
      <c r="I1735" s="32">
        <f>IF(G1735="",0,IF(COUNTIF($G$2:G1735,G1735)=1,1,0))</f>
        <v>0</v>
      </c>
      <c r="J1735" s="32">
        <f>IF(H1735="",0,IF(COUNTIF($H$2:H1735,H1735)=1,1,0))</f>
        <v>0</v>
      </c>
    </row>
    <row r="1736" spans="1:10" ht="14.25" hidden="1" customHeight="1" x14ac:dyDescent="0.35">
      <c r="A1736" s="30"/>
      <c r="E1736" s="31"/>
      <c r="G1736" s="32" t="str">
        <f t="shared" si="54"/>
        <v>|||1900|</v>
      </c>
      <c r="H1736" s="32" t="str">
        <f t="shared" si="55"/>
        <v>||1900|</v>
      </c>
      <c r="I1736" s="32">
        <f>IF(G1736="",0,IF(COUNTIF($G$2:G1736,G1736)=1,1,0))</f>
        <v>0</v>
      </c>
      <c r="J1736" s="32">
        <f>IF(H1736="",0,IF(COUNTIF($H$2:H1736,H1736)=1,1,0))</f>
        <v>0</v>
      </c>
    </row>
    <row r="1737" spans="1:10" ht="14.25" hidden="1" customHeight="1" x14ac:dyDescent="0.35">
      <c r="A1737" s="30"/>
      <c r="E1737" s="31"/>
      <c r="G1737" s="32" t="str">
        <f t="shared" si="54"/>
        <v>|||1900|</v>
      </c>
      <c r="H1737" s="32" t="str">
        <f t="shared" si="55"/>
        <v>||1900|</v>
      </c>
      <c r="I1737" s="32">
        <f>IF(G1737="",0,IF(COUNTIF($G$2:G1737,G1737)=1,1,0))</f>
        <v>0</v>
      </c>
      <c r="J1737" s="32">
        <f>IF(H1737="",0,IF(COUNTIF($H$2:H1737,H1737)=1,1,0))</f>
        <v>0</v>
      </c>
    </row>
    <row r="1738" spans="1:10" ht="14.25" hidden="1" customHeight="1" x14ac:dyDescent="0.35">
      <c r="A1738" s="30"/>
      <c r="E1738" s="31"/>
      <c r="G1738" s="32" t="str">
        <f t="shared" si="54"/>
        <v>|||1900|</v>
      </c>
      <c r="H1738" s="32" t="str">
        <f t="shared" si="55"/>
        <v>||1900|</v>
      </c>
      <c r="I1738" s="32">
        <f>IF(G1738="",0,IF(COUNTIF($G$2:G1738,G1738)=1,1,0))</f>
        <v>0</v>
      </c>
      <c r="J1738" s="32">
        <f>IF(H1738="",0,IF(COUNTIF($H$2:H1738,H1738)=1,1,0))</f>
        <v>0</v>
      </c>
    </row>
    <row r="1739" spans="1:10" ht="14.25" hidden="1" customHeight="1" x14ac:dyDescent="0.35">
      <c r="A1739" s="30"/>
      <c r="E1739" s="31"/>
      <c r="G1739" s="32" t="str">
        <f t="shared" si="54"/>
        <v>|||1900|</v>
      </c>
      <c r="H1739" s="32" t="str">
        <f t="shared" si="55"/>
        <v>||1900|</v>
      </c>
      <c r="I1739" s="32">
        <f>IF(G1739="",0,IF(COUNTIF($G$2:G1739,G1739)=1,1,0))</f>
        <v>0</v>
      </c>
      <c r="J1739" s="32">
        <f>IF(H1739="",0,IF(COUNTIF($H$2:H1739,H1739)=1,1,0))</f>
        <v>0</v>
      </c>
    </row>
    <row r="1740" spans="1:10" ht="14.25" hidden="1" customHeight="1" x14ac:dyDescent="0.35">
      <c r="A1740" s="30"/>
      <c r="E1740" s="31"/>
      <c r="G1740" s="32" t="str">
        <f t="shared" si="54"/>
        <v>|||1900|</v>
      </c>
      <c r="H1740" s="32" t="str">
        <f t="shared" si="55"/>
        <v>||1900|</v>
      </c>
      <c r="I1740" s="32">
        <f>IF(G1740="",0,IF(COUNTIF($G$2:G1740,G1740)=1,1,0))</f>
        <v>0</v>
      </c>
      <c r="J1740" s="32">
        <f>IF(H1740="",0,IF(COUNTIF($H$2:H1740,H1740)=1,1,0))</f>
        <v>0</v>
      </c>
    </row>
    <row r="1741" spans="1:10" ht="14.25" hidden="1" customHeight="1" x14ac:dyDescent="0.35">
      <c r="A1741" s="30"/>
      <c r="E1741" s="31"/>
      <c r="G1741" s="32" t="str">
        <f t="shared" si="54"/>
        <v>|||1900|</v>
      </c>
      <c r="H1741" s="32" t="str">
        <f t="shared" si="55"/>
        <v>||1900|</v>
      </c>
      <c r="I1741" s="32">
        <f>IF(G1741="",0,IF(COUNTIF($G$2:G1741,G1741)=1,1,0))</f>
        <v>0</v>
      </c>
      <c r="J1741" s="32">
        <f>IF(H1741="",0,IF(COUNTIF($H$2:H1741,H1741)=1,1,0))</f>
        <v>0</v>
      </c>
    </row>
    <row r="1742" spans="1:10" ht="14.25" hidden="1" customHeight="1" x14ac:dyDescent="0.35">
      <c r="A1742" s="30"/>
      <c r="E1742" s="31"/>
      <c r="G1742" s="32" t="str">
        <f t="shared" si="54"/>
        <v>|||1900|</v>
      </c>
      <c r="H1742" s="32" t="str">
        <f t="shared" si="55"/>
        <v>||1900|</v>
      </c>
      <c r="I1742" s="32">
        <f>IF(G1742="",0,IF(COUNTIF($G$2:G1742,G1742)=1,1,0))</f>
        <v>0</v>
      </c>
      <c r="J1742" s="32">
        <f>IF(H1742="",0,IF(COUNTIF($H$2:H1742,H1742)=1,1,0))</f>
        <v>0</v>
      </c>
    </row>
    <row r="1743" spans="1:10" ht="14.25" hidden="1" customHeight="1" x14ac:dyDescent="0.35">
      <c r="A1743" s="30"/>
      <c r="E1743" s="31"/>
      <c r="G1743" s="32" t="str">
        <f t="shared" si="54"/>
        <v>|||1900|</v>
      </c>
      <c r="H1743" s="32" t="str">
        <f t="shared" si="55"/>
        <v>||1900|</v>
      </c>
      <c r="I1743" s="32">
        <f>IF(G1743="",0,IF(COUNTIF($G$2:G1743,G1743)=1,1,0))</f>
        <v>0</v>
      </c>
      <c r="J1743" s="32">
        <f>IF(H1743="",0,IF(COUNTIF($H$2:H1743,H1743)=1,1,0))</f>
        <v>0</v>
      </c>
    </row>
    <row r="1744" spans="1:10" ht="14.25" hidden="1" customHeight="1" x14ac:dyDescent="0.35">
      <c r="A1744" s="30"/>
      <c r="E1744" s="31"/>
      <c r="G1744" s="32" t="str">
        <f t="shared" si="54"/>
        <v>|||1900|</v>
      </c>
      <c r="H1744" s="32" t="str">
        <f t="shared" si="55"/>
        <v>||1900|</v>
      </c>
      <c r="I1744" s="32">
        <f>IF(G1744="",0,IF(COUNTIF($G$2:G1744,G1744)=1,1,0))</f>
        <v>0</v>
      </c>
      <c r="J1744" s="32">
        <f>IF(H1744="",0,IF(COUNTIF($H$2:H1744,H1744)=1,1,0))</f>
        <v>0</v>
      </c>
    </row>
    <row r="1745" spans="1:10" ht="14.25" hidden="1" customHeight="1" x14ac:dyDescent="0.35">
      <c r="A1745" s="30"/>
      <c r="E1745" s="31"/>
      <c r="G1745" s="32" t="str">
        <f t="shared" si="54"/>
        <v>|||1900|</v>
      </c>
      <c r="H1745" s="32" t="str">
        <f t="shared" si="55"/>
        <v>||1900|</v>
      </c>
      <c r="I1745" s="32">
        <f>IF(G1745="",0,IF(COUNTIF($G$2:G1745,G1745)=1,1,0))</f>
        <v>0</v>
      </c>
      <c r="J1745" s="32">
        <f>IF(H1745="",0,IF(COUNTIF($H$2:H1745,H1745)=1,1,0))</f>
        <v>0</v>
      </c>
    </row>
    <row r="1746" spans="1:10" ht="14.25" hidden="1" customHeight="1" x14ac:dyDescent="0.35">
      <c r="A1746" s="30"/>
      <c r="E1746" s="31"/>
      <c r="G1746" s="32" t="str">
        <f t="shared" si="54"/>
        <v>|||1900|</v>
      </c>
      <c r="H1746" s="32" t="str">
        <f t="shared" si="55"/>
        <v>||1900|</v>
      </c>
      <c r="I1746" s="32">
        <f>IF(G1746="",0,IF(COUNTIF($G$2:G1746,G1746)=1,1,0))</f>
        <v>0</v>
      </c>
      <c r="J1746" s="32">
        <f>IF(H1746="",0,IF(COUNTIF($H$2:H1746,H1746)=1,1,0))</f>
        <v>0</v>
      </c>
    </row>
    <row r="1747" spans="1:10" ht="14.25" hidden="1" customHeight="1" x14ac:dyDescent="0.35">
      <c r="A1747" s="30"/>
      <c r="E1747" s="31"/>
      <c r="G1747" s="32" t="str">
        <f t="shared" si="54"/>
        <v>|||1900|</v>
      </c>
      <c r="H1747" s="32" t="str">
        <f t="shared" si="55"/>
        <v>||1900|</v>
      </c>
      <c r="I1747" s="32">
        <f>IF(G1747="",0,IF(COUNTIF($G$2:G1747,G1747)=1,1,0))</f>
        <v>0</v>
      </c>
      <c r="J1747" s="32">
        <f>IF(H1747="",0,IF(COUNTIF($H$2:H1747,H1747)=1,1,0))</f>
        <v>0</v>
      </c>
    </row>
    <row r="1748" spans="1:10" ht="14.25" hidden="1" customHeight="1" x14ac:dyDescent="0.35">
      <c r="A1748" s="30"/>
      <c r="E1748" s="31"/>
      <c r="G1748" s="32" t="str">
        <f t="shared" si="54"/>
        <v>|||1900|</v>
      </c>
      <c r="H1748" s="32" t="str">
        <f t="shared" si="55"/>
        <v>||1900|</v>
      </c>
      <c r="I1748" s="32">
        <f>IF(G1748="",0,IF(COUNTIF($G$2:G1748,G1748)=1,1,0))</f>
        <v>0</v>
      </c>
      <c r="J1748" s="32">
        <f>IF(H1748="",0,IF(COUNTIF($H$2:H1748,H1748)=1,1,0))</f>
        <v>0</v>
      </c>
    </row>
    <row r="1749" spans="1:10" ht="14.25" hidden="1" customHeight="1" x14ac:dyDescent="0.35">
      <c r="A1749" s="30"/>
      <c r="E1749" s="31"/>
      <c r="G1749" s="32" t="str">
        <f t="shared" si="54"/>
        <v>|||1900|</v>
      </c>
      <c r="H1749" s="32" t="str">
        <f t="shared" si="55"/>
        <v>||1900|</v>
      </c>
      <c r="I1749" s="32">
        <f>IF(G1749="",0,IF(COUNTIF($G$2:G1749,G1749)=1,1,0))</f>
        <v>0</v>
      </c>
      <c r="J1749" s="32">
        <f>IF(H1749="",0,IF(COUNTIF($H$2:H1749,H1749)=1,1,0))</f>
        <v>0</v>
      </c>
    </row>
    <row r="1750" spans="1:10" ht="14.25" hidden="1" customHeight="1" x14ac:dyDescent="0.35">
      <c r="A1750" s="30"/>
      <c r="E1750" s="31"/>
      <c r="G1750" s="32" t="str">
        <f t="shared" si="54"/>
        <v>|||1900|</v>
      </c>
      <c r="H1750" s="32" t="str">
        <f t="shared" si="55"/>
        <v>||1900|</v>
      </c>
      <c r="I1750" s="32">
        <f>IF(G1750="",0,IF(COUNTIF($G$2:G1750,G1750)=1,1,0))</f>
        <v>0</v>
      </c>
      <c r="J1750" s="32">
        <f>IF(H1750="",0,IF(COUNTIF($H$2:H1750,H1750)=1,1,0))</f>
        <v>0</v>
      </c>
    </row>
    <row r="1751" spans="1:10" ht="14.25" hidden="1" customHeight="1" x14ac:dyDescent="0.35">
      <c r="A1751" s="30"/>
      <c r="E1751" s="31"/>
      <c r="G1751" s="32" t="str">
        <f t="shared" si="54"/>
        <v>|||1900|</v>
      </c>
      <c r="H1751" s="32" t="str">
        <f t="shared" si="55"/>
        <v>||1900|</v>
      </c>
      <c r="I1751" s="32">
        <f>IF(G1751="",0,IF(COUNTIF($G$2:G1751,G1751)=1,1,0))</f>
        <v>0</v>
      </c>
      <c r="J1751" s="32">
        <f>IF(H1751="",0,IF(COUNTIF($H$2:H1751,H1751)=1,1,0))</f>
        <v>0</v>
      </c>
    </row>
    <row r="1752" spans="1:10" ht="14.25" hidden="1" customHeight="1" x14ac:dyDescent="0.35">
      <c r="A1752" s="30"/>
      <c r="E1752" s="31"/>
      <c r="G1752" s="32" t="str">
        <f t="shared" si="54"/>
        <v>|||1900|</v>
      </c>
      <c r="H1752" s="32" t="str">
        <f t="shared" si="55"/>
        <v>||1900|</v>
      </c>
      <c r="I1752" s="32">
        <f>IF(G1752="",0,IF(COUNTIF($G$2:G1752,G1752)=1,1,0))</f>
        <v>0</v>
      </c>
      <c r="J1752" s="32">
        <f>IF(H1752="",0,IF(COUNTIF($H$2:H1752,H1752)=1,1,0))</f>
        <v>0</v>
      </c>
    </row>
    <row r="1753" spans="1:10" ht="14.25" hidden="1" customHeight="1" x14ac:dyDescent="0.35">
      <c r="A1753" s="30"/>
      <c r="E1753" s="31"/>
      <c r="G1753" s="32" t="str">
        <f t="shared" si="54"/>
        <v>|||1900|</v>
      </c>
      <c r="H1753" s="32" t="str">
        <f t="shared" si="55"/>
        <v>||1900|</v>
      </c>
      <c r="I1753" s="32">
        <f>IF(G1753="",0,IF(COUNTIF($G$2:G1753,G1753)=1,1,0))</f>
        <v>0</v>
      </c>
      <c r="J1753" s="32">
        <f>IF(H1753="",0,IF(COUNTIF($H$2:H1753,H1753)=1,1,0))</f>
        <v>0</v>
      </c>
    </row>
    <row r="1754" spans="1:10" ht="14.25" hidden="1" customHeight="1" x14ac:dyDescent="0.35">
      <c r="A1754" s="30"/>
      <c r="E1754" s="31"/>
      <c r="G1754" s="32" t="str">
        <f t="shared" si="54"/>
        <v>|||1900|</v>
      </c>
      <c r="H1754" s="32" t="str">
        <f t="shared" si="55"/>
        <v>||1900|</v>
      </c>
      <c r="I1754" s="32">
        <f>IF(G1754="",0,IF(COUNTIF($G$2:G1754,G1754)=1,1,0))</f>
        <v>0</v>
      </c>
      <c r="J1754" s="32">
        <f>IF(H1754="",0,IF(COUNTIF($H$2:H1754,H1754)=1,1,0))</f>
        <v>0</v>
      </c>
    </row>
    <row r="1755" spans="1:10" ht="14.25" hidden="1" customHeight="1" x14ac:dyDescent="0.35">
      <c r="A1755" s="30"/>
      <c r="E1755" s="31"/>
      <c r="G1755" s="32" t="str">
        <f t="shared" si="54"/>
        <v>|||1900|</v>
      </c>
      <c r="H1755" s="32" t="str">
        <f t="shared" si="55"/>
        <v>||1900|</v>
      </c>
      <c r="I1755" s="32">
        <f>IF(G1755="",0,IF(COUNTIF($G$2:G1755,G1755)=1,1,0))</f>
        <v>0</v>
      </c>
      <c r="J1755" s="32">
        <f>IF(H1755="",0,IF(COUNTIF($H$2:H1755,H1755)=1,1,0))</f>
        <v>0</v>
      </c>
    </row>
    <row r="1756" spans="1:10" ht="14.25" hidden="1" customHeight="1" x14ac:dyDescent="0.35">
      <c r="A1756" s="30"/>
      <c r="E1756" s="31"/>
      <c r="G1756" s="32" t="str">
        <f t="shared" si="54"/>
        <v>|||1900|</v>
      </c>
      <c r="H1756" s="32" t="str">
        <f t="shared" si="55"/>
        <v>||1900|</v>
      </c>
      <c r="I1756" s="32">
        <f>IF(G1756="",0,IF(COUNTIF($G$2:G1756,G1756)=1,1,0))</f>
        <v>0</v>
      </c>
      <c r="J1756" s="32">
        <f>IF(H1756="",0,IF(COUNTIF($H$2:H1756,H1756)=1,1,0))</f>
        <v>0</v>
      </c>
    </row>
    <row r="1757" spans="1:10" ht="14.25" hidden="1" customHeight="1" x14ac:dyDescent="0.35">
      <c r="A1757" s="30"/>
      <c r="E1757" s="31"/>
      <c r="G1757" s="32" t="str">
        <f t="shared" si="54"/>
        <v>|||1900|</v>
      </c>
      <c r="H1757" s="32" t="str">
        <f t="shared" si="55"/>
        <v>||1900|</v>
      </c>
      <c r="I1757" s="32">
        <f>IF(G1757="",0,IF(COUNTIF($G$2:G1757,G1757)=1,1,0))</f>
        <v>0</v>
      </c>
      <c r="J1757" s="32">
        <f>IF(H1757="",0,IF(COUNTIF($H$2:H1757,H1757)=1,1,0))</f>
        <v>0</v>
      </c>
    </row>
    <row r="1758" spans="1:10" ht="14.25" hidden="1" customHeight="1" x14ac:dyDescent="0.35">
      <c r="A1758" s="30"/>
      <c r="E1758" s="31"/>
      <c r="G1758" s="32" t="str">
        <f t="shared" si="54"/>
        <v>|||1900|</v>
      </c>
      <c r="H1758" s="32" t="str">
        <f t="shared" si="55"/>
        <v>||1900|</v>
      </c>
      <c r="I1758" s="32">
        <f>IF(G1758="",0,IF(COUNTIF($G$2:G1758,G1758)=1,1,0))</f>
        <v>0</v>
      </c>
      <c r="J1758" s="32">
        <f>IF(H1758="",0,IF(COUNTIF($H$2:H1758,H1758)=1,1,0))</f>
        <v>0</v>
      </c>
    </row>
    <row r="1759" spans="1:10" ht="14.25" hidden="1" customHeight="1" x14ac:dyDescent="0.35">
      <c r="A1759" s="30"/>
      <c r="E1759" s="31"/>
      <c r="G1759" s="32" t="str">
        <f t="shared" si="54"/>
        <v>|||1900|</v>
      </c>
      <c r="H1759" s="32" t="str">
        <f t="shared" si="55"/>
        <v>||1900|</v>
      </c>
      <c r="I1759" s="32">
        <f>IF(G1759="",0,IF(COUNTIF($G$2:G1759,G1759)=1,1,0))</f>
        <v>0</v>
      </c>
      <c r="J1759" s="32">
        <f>IF(H1759="",0,IF(COUNTIF($H$2:H1759,H1759)=1,1,0))</f>
        <v>0</v>
      </c>
    </row>
    <row r="1760" spans="1:10" ht="14.25" hidden="1" customHeight="1" x14ac:dyDescent="0.35">
      <c r="A1760" s="30"/>
      <c r="E1760" s="31"/>
      <c r="G1760" s="32" t="str">
        <f t="shared" si="54"/>
        <v>|||1900|</v>
      </c>
      <c r="H1760" s="32" t="str">
        <f t="shared" si="55"/>
        <v>||1900|</v>
      </c>
      <c r="I1760" s="32">
        <f>IF(G1760="",0,IF(COUNTIF($G$2:G1760,G1760)=1,1,0))</f>
        <v>0</v>
      </c>
      <c r="J1760" s="32">
        <f>IF(H1760="",0,IF(COUNTIF($H$2:H1760,H1760)=1,1,0))</f>
        <v>0</v>
      </c>
    </row>
    <row r="1761" spans="1:10" ht="14.25" hidden="1" customHeight="1" x14ac:dyDescent="0.35">
      <c r="A1761" s="30"/>
      <c r="E1761" s="31"/>
      <c r="G1761" s="32" t="str">
        <f t="shared" si="54"/>
        <v>|||1900|</v>
      </c>
      <c r="H1761" s="32" t="str">
        <f t="shared" si="55"/>
        <v>||1900|</v>
      </c>
      <c r="I1761" s="32">
        <f>IF(G1761="",0,IF(COUNTIF($G$2:G1761,G1761)=1,1,0))</f>
        <v>0</v>
      </c>
      <c r="J1761" s="32">
        <f>IF(H1761="",0,IF(COUNTIF($H$2:H1761,H1761)=1,1,0))</f>
        <v>0</v>
      </c>
    </row>
    <row r="1762" spans="1:10" ht="14.25" hidden="1" customHeight="1" x14ac:dyDescent="0.35">
      <c r="A1762" s="30"/>
      <c r="E1762" s="31"/>
      <c r="G1762" s="32" t="str">
        <f t="shared" si="54"/>
        <v>|||1900|</v>
      </c>
      <c r="H1762" s="32" t="str">
        <f t="shared" si="55"/>
        <v>||1900|</v>
      </c>
      <c r="I1762" s="32">
        <f>IF(G1762="",0,IF(COUNTIF($G$2:G1762,G1762)=1,1,0))</f>
        <v>0</v>
      </c>
      <c r="J1762" s="32">
        <f>IF(H1762="",0,IF(COUNTIF($H$2:H1762,H1762)=1,1,0))</f>
        <v>0</v>
      </c>
    </row>
    <row r="1763" spans="1:10" ht="14.25" hidden="1" customHeight="1" x14ac:dyDescent="0.35">
      <c r="A1763" s="30"/>
      <c r="E1763" s="31"/>
      <c r="G1763" s="32" t="str">
        <f t="shared" si="54"/>
        <v>|||1900|</v>
      </c>
      <c r="H1763" s="32" t="str">
        <f t="shared" si="55"/>
        <v>||1900|</v>
      </c>
      <c r="I1763" s="32">
        <f>IF(G1763="",0,IF(COUNTIF($G$2:G1763,G1763)=1,1,0))</f>
        <v>0</v>
      </c>
      <c r="J1763" s="32">
        <f>IF(H1763="",0,IF(COUNTIF($H$2:H1763,H1763)=1,1,0))</f>
        <v>0</v>
      </c>
    </row>
    <row r="1764" spans="1:10" ht="14.25" hidden="1" customHeight="1" x14ac:dyDescent="0.35">
      <c r="A1764" s="30"/>
      <c r="E1764" s="31"/>
      <c r="G1764" s="32" t="str">
        <f t="shared" si="54"/>
        <v>|||1900|</v>
      </c>
      <c r="H1764" s="32" t="str">
        <f t="shared" si="55"/>
        <v>||1900|</v>
      </c>
      <c r="I1764" s="32">
        <f>IF(G1764="",0,IF(COUNTIF($G$2:G1764,G1764)=1,1,0))</f>
        <v>0</v>
      </c>
      <c r="J1764" s="32">
        <f>IF(H1764="",0,IF(COUNTIF($H$2:H1764,H1764)=1,1,0))</f>
        <v>0</v>
      </c>
    </row>
    <row r="1765" spans="1:10" ht="14.25" hidden="1" customHeight="1" x14ac:dyDescent="0.35">
      <c r="A1765" s="30"/>
      <c r="E1765" s="31"/>
      <c r="G1765" s="32" t="str">
        <f t="shared" si="54"/>
        <v>|||1900|</v>
      </c>
      <c r="H1765" s="32" t="str">
        <f t="shared" si="55"/>
        <v>||1900|</v>
      </c>
      <c r="I1765" s="32">
        <f>IF(G1765="",0,IF(COUNTIF($G$2:G1765,G1765)=1,1,0))</f>
        <v>0</v>
      </c>
      <c r="J1765" s="32">
        <f>IF(H1765="",0,IF(COUNTIF($H$2:H1765,H1765)=1,1,0))</f>
        <v>0</v>
      </c>
    </row>
    <row r="1766" spans="1:10" ht="14.25" hidden="1" customHeight="1" x14ac:dyDescent="0.35">
      <c r="A1766" s="30"/>
      <c r="E1766" s="31"/>
      <c r="G1766" s="32" t="str">
        <f t="shared" si="54"/>
        <v>|||1900|</v>
      </c>
      <c r="H1766" s="32" t="str">
        <f t="shared" si="55"/>
        <v>||1900|</v>
      </c>
      <c r="I1766" s="32">
        <f>IF(G1766="",0,IF(COUNTIF($G$2:G1766,G1766)=1,1,0))</f>
        <v>0</v>
      </c>
      <c r="J1766" s="32">
        <f>IF(H1766="",0,IF(COUNTIF($H$2:H1766,H1766)=1,1,0))</f>
        <v>0</v>
      </c>
    </row>
    <row r="1767" spans="1:10" ht="14.25" hidden="1" customHeight="1" x14ac:dyDescent="0.35">
      <c r="A1767" s="30"/>
      <c r="E1767" s="31"/>
      <c r="G1767" s="32" t="str">
        <f t="shared" si="54"/>
        <v>|||1900|</v>
      </c>
      <c r="H1767" s="32" t="str">
        <f t="shared" si="55"/>
        <v>||1900|</v>
      </c>
      <c r="I1767" s="32">
        <f>IF(G1767="",0,IF(COUNTIF($G$2:G1767,G1767)=1,1,0))</f>
        <v>0</v>
      </c>
      <c r="J1767" s="32">
        <f>IF(H1767="",0,IF(COUNTIF($H$2:H1767,H1767)=1,1,0))</f>
        <v>0</v>
      </c>
    </row>
    <row r="1768" spans="1:10" ht="14.25" hidden="1" customHeight="1" x14ac:dyDescent="0.35">
      <c r="A1768" s="30"/>
      <c r="E1768" s="31"/>
      <c r="G1768" s="32" t="str">
        <f t="shared" si="54"/>
        <v>|||1900|</v>
      </c>
      <c r="H1768" s="32" t="str">
        <f t="shared" si="55"/>
        <v>||1900|</v>
      </c>
      <c r="I1768" s="32">
        <f>IF(G1768="",0,IF(COUNTIF($G$2:G1768,G1768)=1,1,0))</f>
        <v>0</v>
      </c>
      <c r="J1768" s="32">
        <f>IF(H1768="",0,IF(COUNTIF($H$2:H1768,H1768)=1,1,0))</f>
        <v>0</v>
      </c>
    </row>
    <row r="1769" spans="1:10" ht="14.25" hidden="1" customHeight="1" x14ac:dyDescent="0.35">
      <c r="A1769" s="30"/>
      <c r="E1769" s="31"/>
      <c r="G1769" s="32" t="str">
        <f t="shared" si="54"/>
        <v>|||1900|</v>
      </c>
      <c r="H1769" s="32" t="str">
        <f t="shared" si="55"/>
        <v>||1900|</v>
      </c>
      <c r="I1769" s="32">
        <f>IF(G1769="",0,IF(COUNTIF($G$2:G1769,G1769)=1,1,0))</f>
        <v>0</v>
      </c>
      <c r="J1769" s="32">
        <f>IF(H1769="",0,IF(COUNTIF($H$2:H1769,H1769)=1,1,0))</f>
        <v>0</v>
      </c>
    </row>
    <row r="1770" spans="1:10" ht="14.25" hidden="1" customHeight="1" x14ac:dyDescent="0.35">
      <c r="A1770" s="30"/>
      <c r="E1770" s="31"/>
      <c r="G1770" s="32" t="str">
        <f t="shared" si="54"/>
        <v>|||1900|</v>
      </c>
      <c r="H1770" s="32" t="str">
        <f t="shared" si="55"/>
        <v>||1900|</v>
      </c>
      <c r="I1770" s="32">
        <f>IF(G1770="",0,IF(COUNTIF($G$2:G1770,G1770)=1,1,0))</f>
        <v>0</v>
      </c>
      <c r="J1770" s="32">
        <f>IF(H1770="",0,IF(COUNTIF($H$2:H1770,H1770)=1,1,0))</f>
        <v>0</v>
      </c>
    </row>
    <row r="1771" spans="1:10" ht="14.25" hidden="1" customHeight="1" x14ac:dyDescent="0.35">
      <c r="A1771" s="30"/>
      <c r="E1771" s="31"/>
      <c r="G1771" s="32" t="str">
        <f t="shared" si="54"/>
        <v>|||1900|</v>
      </c>
      <c r="H1771" s="32" t="str">
        <f t="shared" si="55"/>
        <v>||1900|</v>
      </c>
      <c r="I1771" s="32">
        <f>IF(G1771="",0,IF(COUNTIF($G$2:G1771,G1771)=1,1,0))</f>
        <v>0</v>
      </c>
      <c r="J1771" s="32">
        <f>IF(H1771="",0,IF(COUNTIF($H$2:H1771,H1771)=1,1,0))</f>
        <v>0</v>
      </c>
    </row>
    <row r="1772" spans="1:10" ht="14.25" hidden="1" customHeight="1" x14ac:dyDescent="0.35">
      <c r="A1772" s="30"/>
      <c r="E1772" s="31"/>
      <c r="G1772" s="32" t="str">
        <f t="shared" si="54"/>
        <v>|||1900|</v>
      </c>
      <c r="H1772" s="32" t="str">
        <f t="shared" si="55"/>
        <v>||1900|</v>
      </c>
      <c r="I1772" s="32">
        <f>IF(G1772="",0,IF(COUNTIF($G$2:G1772,G1772)=1,1,0))</f>
        <v>0</v>
      </c>
      <c r="J1772" s="32">
        <f>IF(H1772="",0,IF(COUNTIF($H$2:H1772,H1772)=1,1,0))</f>
        <v>0</v>
      </c>
    </row>
    <row r="1773" spans="1:10" ht="14.25" hidden="1" customHeight="1" x14ac:dyDescent="0.35">
      <c r="A1773" s="30"/>
      <c r="E1773" s="31"/>
      <c r="G1773" s="32" t="str">
        <f t="shared" si="54"/>
        <v>|||1900|</v>
      </c>
      <c r="H1773" s="32" t="str">
        <f t="shared" si="55"/>
        <v>||1900|</v>
      </c>
      <c r="I1773" s="32">
        <f>IF(G1773="",0,IF(COUNTIF($G$2:G1773,G1773)=1,1,0))</f>
        <v>0</v>
      </c>
      <c r="J1773" s="32">
        <f>IF(H1773="",0,IF(COUNTIF($H$2:H1773,H1773)=1,1,0))</f>
        <v>0</v>
      </c>
    </row>
    <row r="1774" spans="1:10" ht="14.25" hidden="1" customHeight="1" x14ac:dyDescent="0.35">
      <c r="A1774" s="30"/>
      <c r="E1774" s="31"/>
      <c r="G1774" s="32" t="str">
        <f t="shared" si="54"/>
        <v>|||1900|</v>
      </c>
      <c r="H1774" s="32" t="str">
        <f t="shared" si="55"/>
        <v>||1900|</v>
      </c>
      <c r="I1774" s="32">
        <f>IF(G1774="",0,IF(COUNTIF($G$2:G1774,G1774)=1,1,0))</f>
        <v>0</v>
      </c>
      <c r="J1774" s="32">
        <f>IF(H1774="",0,IF(COUNTIF($H$2:H1774,H1774)=1,1,0))</f>
        <v>0</v>
      </c>
    </row>
    <row r="1775" spans="1:10" ht="14.25" hidden="1" customHeight="1" x14ac:dyDescent="0.35">
      <c r="A1775" s="30"/>
      <c r="E1775" s="31"/>
      <c r="G1775" s="32" t="str">
        <f t="shared" si="54"/>
        <v>|||1900|</v>
      </c>
      <c r="H1775" s="32" t="str">
        <f t="shared" si="55"/>
        <v>||1900|</v>
      </c>
      <c r="I1775" s="32">
        <f>IF(G1775="",0,IF(COUNTIF($G$2:G1775,G1775)=1,1,0))</f>
        <v>0</v>
      </c>
      <c r="J1775" s="32">
        <f>IF(H1775="",0,IF(COUNTIF($H$2:H1775,H1775)=1,1,0))</f>
        <v>0</v>
      </c>
    </row>
    <row r="1776" spans="1:10" ht="14.25" hidden="1" customHeight="1" x14ac:dyDescent="0.35">
      <c r="A1776" s="30"/>
      <c r="E1776" s="31"/>
      <c r="G1776" s="32" t="str">
        <f t="shared" si="54"/>
        <v>|||1900|</v>
      </c>
      <c r="H1776" s="32" t="str">
        <f t="shared" si="55"/>
        <v>||1900|</v>
      </c>
      <c r="I1776" s="32">
        <f>IF(G1776="",0,IF(COUNTIF($G$2:G1776,G1776)=1,1,0))</f>
        <v>0</v>
      </c>
      <c r="J1776" s="32">
        <f>IF(H1776="",0,IF(COUNTIF($H$2:H1776,H1776)=1,1,0))</f>
        <v>0</v>
      </c>
    </row>
    <row r="1777" spans="1:10" ht="14.25" hidden="1" customHeight="1" x14ac:dyDescent="0.35">
      <c r="A1777" s="30"/>
      <c r="E1777" s="31"/>
      <c r="G1777" s="32" t="str">
        <f t="shared" si="54"/>
        <v>|||1900|</v>
      </c>
      <c r="H1777" s="32" t="str">
        <f t="shared" si="55"/>
        <v>||1900|</v>
      </c>
      <c r="I1777" s="32">
        <f>IF(G1777="",0,IF(COUNTIF($G$2:G1777,G1777)=1,1,0))</f>
        <v>0</v>
      </c>
      <c r="J1777" s="32">
        <f>IF(H1777="",0,IF(COUNTIF($H$2:H1777,H1777)=1,1,0))</f>
        <v>0</v>
      </c>
    </row>
    <row r="1778" spans="1:10" ht="14.25" hidden="1" customHeight="1" x14ac:dyDescent="0.35">
      <c r="A1778" s="30"/>
      <c r="E1778" s="31"/>
      <c r="G1778" s="32" t="str">
        <f t="shared" si="54"/>
        <v>|||1900|</v>
      </c>
      <c r="H1778" s="32" t="str">
        <f t="shared" si="55"/>
        <v>||1900|</v>
      </c>
      <c r="I1778" s="32">
        <f>IF(G1778="",0,IF(COUNTIF($G$2:G1778,G1778)=1,1,0))</f>
        <v>0</v>
      </c>
      <c r="J1778" s="32">
        <f>IF(H1778="",0,IF(COUNTIF($H$2:H1778,H1778)=1,1,0))</f>
        <v>0</v>
      </c>
    </row>
    <row r="1779" spans="1:10" ht="14.25" hidden="1" customHeight="1" x14ac:dyDescent="0.35">
      <c r="A1779" s="30"/>
      <c r="E1779" s="31"/>
      <c r="G1779" s="32" t="str">
        <f t="shared" si="54"/>
        <v>|||1900|</v>
      </c>
      <c r="H1779" s="32" t="str">
        <f t="shared" si="55"/>
        <v>||1900|</v>
      </c>
      <c r="I1779" s="32">
        <f>IF(G1779="",0,IF(COUNTIF($G$2:G1779,G1779)=1,1,0))</f>
        <v>0</v>
      </c>
      <c r="J1779" s="32">
        <f>IF(H1779="",0,IF(COUNTIF($H$2:H1779,H1779)=1,1,0))</f>
        <v>0</v>
      </c>
    </row>
    <row r="1780" spans="1:10" ht="14.25" hidden="1" customHeight="1" x14ac:dyDescent="0.35">
      <c r="A1780" s="30"/>
      <c r="E1780" s="31"/>
      <c r="G1780" s="32" t="str">
        <f t="shared" si="54"/>
        <v>|||1900|</v>
      </c>
      <c r="H1780" s="32" t="str">
        <f t="shared" si="55"/>
        <v>||1900|</v>
      </c>
      <c r="I1780" s="32">
        <f>IF(G1780="",0,IF(COUNTIF($G$2:G1780,G1780)=1,1,0))</f>
        <v>0</v>
      </c>
      <c r="J1780" s="32">
        <f>IF(H1780="",0,IF(COUNTIF($H$2:H1780,H1780)=1,1,0))</f>
        <v>0</v>
      </c>
    </row>
    <row r="1781" spans="1:10" ht="14.25" hidden="1" customHeight="1" x14ac:dyDescent="0.35">
      <c r="A1781" s="30"/>
      <c r="E1781" s="31"/>
      <c r="G1781" s="32" t="str">
        <f t="shared" si="54"/>
        <v>|||1900|</v>
      </c>
      <c r="H1781" s="32" t="str">
        <f t="shared" si="55"/>
        <v>||1900|</v>
      </c>
      <c r="I1781" s="32">
        <f>IF(G1781="",0,IF(COUNTIF($G$2:G1781,G1781)=1,1,0))</f>
        <v>0</v>
      </c>
      <c r="J1781" s="32">
        <f>IF(H1781="",0,IF(COUNTIF($H$2:H1781,H1781)=1,1,0))</f>
        <v>0</v>
      </c>
    </row>
    <row r="1782" spans="1:10" ht="14.25" hidden="1" customHeight="1" x14ac:dyDescent="0.35">
      <c r="A1782" s="30"/>
      <c r="E1782" s="31"/>
      <c r="G1782" s="32" t="str">
        <f t="shared" si="54"/>
        <v>|||1900|</v>
      </c>
      <c r="H1782" s="32" t="str">
        <f t="shared" si="55"/>
        <v>||1900|</v>
      </c>
      <c r="I1782" s="32">
        <f>IF(G1782="",0,IF(COUNTIF($G$2:G1782,G1782)=1,1,0))</f>
        <v>0</v>
      </c>
      <c r="J1782" s="32">
        <f>IF(H1782="",0,IF(COUNTIF($H$2:H1782,H1782)=1,1,0))</f>
        <v>0</v>
      </c>
    </row>
    <row r="1783" spans="1:10" ht="14.25" hidden="1" customHeight="1" x14ac:dyDescent="0.35">
      <c r="A1783" s="30"/>
      <c r="E1783" s="31"/>
      <c r="G1783" s="32" t="str">
        <f t="shared" si="54"/>
        <v>|||1900|</v>
      </c>
      <c r="H1783" s="32" t="str">
        <f t="shared" si="55"/>
        <v>||1900|</v>
      </c>
      <c r="I1783" s="32">
        <f>IF(G1783="",0,IF(COUNTIF($G$2:G1783,G1783)=1,1,0))</f>
        <v>0</v>
      </c>
      <c r="J1783" s="32">
        <f>IF(H1783="",0,IF(COUNTIF($H$2:H1783,H1783)=1,1,0))</f>
        <v>0</v>
      </c>
    </row>
    <row r="1784" spans="1:10" ht="14.25" hidden="1" customHeight="1" x14ac:dyDescent="0.35">
      <c r="A1784" s="30"/>
      <c r="E1784" s="31"/>
      <c r="G1784" s="32" t="str">
        <f t="shared" si="54"/>
        <v>|||1900|</v>
      </c>
      <c r="H1784" s="32" t="str">
        <f t="shared" si="55"/>
        <v>||1900|</v>
      </c>
      <c r="I1784" s="32">
        <f>IF(G1784="",0,IF(COUNTIF($G$2:G1784,G1784)=1,1,0))</f>
        <v>0</v>
      </c>
      <c r="J1784" s="32">
        <f>IF(H1784="",0,IF(COUNTIF($H$2:H1784,H1784)=1,1,0))</f>
        <v>0</v>
      </c>
    </row>
    <row r="1785" spans="1:10" ht="14.25" hidden="1" customHeight="1" x14ac:dyDescent="0.35">
      <c r="A1785" s="30"/>
      <c r="E1785" s="31"/>
      <c r="G1785" s="32" t="str">
        <f t="shared" si="54"/>
        <v>|||1900|</v>
      </c>
      <c r="H1785" s="32" t="str">
        <f t="shared" si="55"/>
        <v>||1900|</v>
      </c>
      <c r="I1785" s="32">
        <f>IF(G1785="",0,IF(COUNTIF($G$2:G1785,G1785)=1,1,0))</f>
        <v>0</v>
      </c>
      <c r="J1785" s="32">
        <f>IF(H1785="",0,IF(COUNTIF($H$2:H1785,H1785)=1,1,0))</f>
        <v>0</v>
      </c>
    </row>
    <row r="1786" spans="1:10" ht="14.25" hidden="1" customHeight="1" x14ac:dyDescent="0.35">
      <c r="A1786" s="30"/>
      <c r="E1786" s="31"/>
      <c r="G1786" s="32" t="str">
        <f t="shared" si="54"/>
        <v>|||1900|</v>
      </c>
      <c r="H1786" s="32" t="str">
        <f t="shared" si="55"/>
        <v>||1900|</v>
      </c>
      <c r="I1786" s="32">
        <f>IF(G1786="",0,IF(COUNTIF($G$2:G1786,G1786)=1,1,0))</f>
        <v>0</v>
      </c>
      <c r="J1786" s="32">
        <f>IF(H1786="",0,IF(COUNTIF($H$2:H1786,H1786)=1,1,0))</f>
        <v>0</v>
      </c>
    </row>
    <row r="1787" spans="1:10" ht="14.25" hidden="1" customHeight="1" x14ac:dyDescent="0.35">
      <c r="A1787" s="30"/>
      <c r="E1787" s="31"/>
      <c r="G1787" s="32" t="str">
        <f t="shared" si="54"/>
        <v>|||1900|</v>
      </c>
      <c r="H1787" s="32" t="str">
        <f t="shared" si="55"/>
        <v>||1900|</v>
      </c>
      <c r="I1787" s="32">
        <f>IF(G1787="",0,IF(COUNTIF($G$2:G1787,G1787)=1,1,0))</f>
        <v>0</v>
      </c>
      <c r="J1787" s="32">
        <f>IF(H1787="",0,IF(COUNTIF($H$2:H1787,H1787)=1,1,0))</f>
        <v>0</v>
      </c>
    </row>
    <row r="1788" spans="1:10" ht="14.25" hidden="1" customHeight="1" x14ac:dyDescent="0.35">
      <c r="A1788" s="30"/>
      <c r="E1788" s="31"/>
      <c r="G1788" s="32" t="str">
        <f t="shared" si="54"/>
        <v>|||1900|</v>
      </c>
      <c r="H1788" s="32" t="str">
        <f t="shared" si="55"/>
        <v>||1900|</v>
      </c>
      <c r="I1788" s="32">
        <f>IF(G1788="",0,IF(COUNTIF($G$2:G1788,G1788)=1,1,0))</f>
        <v>0</v>
      </c>
      <c r="J1788" s="32">
        <f>IF(H1788="",0,IF(COUNTIF($H$2:H1788,H1788)=1,1,0))</f>
        <v>0</v>
      </c>
    </row>
    <row r="1789" spans="1:10" ht="14.25" hidden="1" customHeight="1" x14ac:dyDescent="0.35">
      <c r="A1789" s="30"/>
      <c r="E1789" s="31"/>
      <c r="G1789" s="32" t="str">
        <f t="shared" si="54"/>
        <v>|||1900|</v>
      </c>
      <c r="H1789" s="32" t="str">
        <f t="shared" si="55"/>
        <v>||1900|</v>
      </c>
      <c r="I1789" s="32">
        <f>IF(G1789="",0,IF(COUNTIF($G$2:G1789,G1789)=1,1,0))</f>
        <v>0</v>
      </c>
      <c r="J1789" s="32">
        <f>IF(H1789="",0,IF(COUNTIF($H$2:H1789,H1789)=1,1,0))</f>
        <v>0</v>
      </c>
    </row>
    <row r="1790" spans="1:10" ht="14.25" hidden="1" customHeight="1" x14ac:dyDescent="0.35">
      <c r="A1790" s="30"/>
      <c r="E1790" s="31"/>
      <c r="G1790" s="32" t="str">
        <f t="shared" si="54"/>
        <v>|||1900|</v>
      </c>
      <c r="H1790" s="32" t="str">
        <f t="shared" si="55"/>
        <v>||1900|</v>
      </c>
      <c r="I1790" s="32">
        <f>IF(G1790="",0,IF(COUNTIF($G$2:G1790,G1790)=1,1,0))</f>
        <v>0</v>
      </c>
      <c r="J1790" s="32">
        <f>IF(H1790="",0,IF(COUNTIF($H$2:H1790,H1790)=1,1,0))</f>
        <v>0</v>
      </c>
    </row>
    <row r="1791" spans="1:10" ht="14.25" hidden="1" customHeight="1" x14ac:dyDescent="0.35">
      <c r="A1791" s="30"/>
      <c r="E1791" s="31"/>
      <c r="G1791" s="32" t="str">
        <f t="shared" si="54"/>
        <v>|||1900|</v>
      </c>
      <c r="H1791" s="32" t="str">
        <f t="shared" si="55"/>
        <v>||1900|</v>
      </c>
      <c r="I1791" s="32">
        <f>IF(G1791="",0,IF(COUNTIF($G$2:G1791,G1791)=1,1,0))</f>
        <v>0</v>
      </c>
      <c r="J1791" s="32">
        <f>IF(H1791="",0,IF(COUNTIF($H$2:H1791,H1791)=1,1,0))</f>
        <v>0</v>
      </c>
    </row>
    <row r="1792" spans="1:10" ht="14.25" hidden="1" customHeight="1" x14ac:dyDescent="0.35">
      <c r="A1792" s="30"/>
      <c r="E1792" s="31"/>
      <c r="G1792" s="32" t="str">
        <f t="shared" si="54"/>
        <v>|||1900|</v>
      </c>
      <c r="H1792" s="32" t="str">
        <f t="shared" si="55"/>
        <v>||1900|</v>
      </c>
      <c r="I1792" s="32">
        <f>IF(G1792="",0,IF(COUNTIF($G$2:G1792,G1792)=1,1,0))</f>
        <v>0</v>
      </c>
      <c r="J1792" s="32">
        <f>IF(H1792="",0,IF(COUNTIF($H$2:H1792,H1792)=1,1,0))</f>
        <v>0</v>
      </c>
    </row>
    <row r="1793" spans="1:10" ht="14.25" hidden="1" customHeight="1" x14ac:dyDescent="0.35">
      <c r="A1793" s="30"/>
      <c r="E1793" s="31"/>
      <c r="G1793" s="32" t="str">
        <f t="shared" si="54"/>
        <v>|||1900|</v>
      </c>
      <c r="H1793" s="32" t="str">
        <f t="shared" si="55"/>
        <v>||1900|</v>
      </c>
      <c r="I1793" s="32">
        <f>IF(G1793="",0,IF(COUNTIF($G$2:G1793,G1793)=1,1,0))</f>
        <v>0</v>
      </c>
      <c r="J1793" s="32">
        <f>IF(H1793="",0,IF(COUNTIF($H$2:H1793,H1793)=1,1,0))</f>
        <v>0</v>
      </c>
    </row>
    <row r="1794" spans="1:10" ht="14.25" hidden="1" customHeight="1" x14ac:dyDescent="0.35">
      <c r="A1794" s="30"/>
      <c r="E1794" s="31"/>
      <c r="G1794" s="32" t="str">
        <f t="shared" ref="G1794:G1857" si="56">IF(D1794="T",
E1794&amp;"|"&amp;F1794,
A1794&amp;"|"&amp;B1794&amp;"|"&amp;C1794&amp;"|"&amp;YEAR(E1794)&amp;"|"&amp;F1794)</f>
        <v>|||1900|</v>
      </c>
      <c r="H1794" s="32" t="str">
        <f t="shared" ref="H1794:H1857" si="57">A1794&amp;"|"&amp;C1794&amp;"|"&amp;YEAR(E1794)&amp;"|"&amp;F1794</f>
        <v>||1900|</v>
      </c>
      <c r="I1794" s="32">
        <f>IF(G1794="",0,IF(COUNTIF($G$2:G1794,G1794)=1,1,0))</f>
        <v>0</v>
      </c>
      <c r="J1794" s="32">
        <f>IF(H1794="",0,IF(COUNTIF($H$2:H1794,H1794)=1,1,0))</f>
        <v>0</v>
      </c>
    </row>
    <row r="1795" spans="1:10" ht="14.25" hidden="1" customHeight="1" x14ac:dyDescent="0.35">
      <c r="A1795" s="30"/>
      <c r="E1795" s="31"/>
      <c r="G1795" s="32" t="str">
        <f t="shared" si="56"/>
        <v>|||1900|</v>
      </c>
      <c r="H1795" s="32" t="str">
        <f t="shared" si="57"/>
        <v>||1900|</v>
      </c>
      <c r="I1795" s="32">
        <f>IF(G1795="",0,IF(COUNTIF($G$2:G1795,G1795)=1,1,0))</f>
        <v>0</v>
      </c>
      <c r="J1795" s="32">
        <f>IF(H1795="",0,IF(COUNTIF($H$2:H1795,H1795)=1,1,0))</f>
        <v>0</v>
      </c>
    </row>
    <row r="1796" spans="1:10" ht="14.25" hidden="1" customHeight="1" x14ac:dyDescent="0.35">
      <c r="A1796" s="30"/>
      <c r="E1796" s="31"/>
      <c r="G1796" s="32" t="str">
        <f t="shared" si="56"/>
        <v>|||1900|</v>
      </c>
      <c r="H1796" s="32" t="str">
        <f t="shared" si="57"/>
        <v>||1900|</v>
      </c>
      <c r="I1796" s="32">
        <f>IF(G1796="",0,IF(COUNTIF($G$2:G1796,G1796)=1,1,0))</f>
        <v>0</v>
      </c>
      <c r="J1796" s="32">
        <f>IF(H1796="",0,IF(COUNTIF($H$2:H1796,H1796)=1,1,0))</f>
        <v>0</v>
      </c>
    </row>
    <row r="1797" spans="1:10" ht="14.25" hidden="1" customHeight="1" x14ac:dyDescent="0.35">
      <c r="A1797" s="30"/>
      <c r="E1797" s="31"/>
      <c r="G1797" s="32" t="str">
        <f t="shared" si="56"/>
        <v>|||1900|</v>
      </c>
      <c r="H1797" s="32" t="str">
        <f t="shared" si="57"/>
        <v>||1900|</v>
      </c>
      <c r="I1797" s="32">
        <f>IF(G1797="",0,IF(COUNTIF($G$2:G1797,G1797)=1,1,0))</f>
        <v>0</v>
      </c>
      <c r="J1797" s="32">
        <f>IF(H1797="",0,IF(COUNTIF($H$2:H1797,H1797)=1,1,0))</f>
        <v>0</v>
      </c>
    </row>
    <row r="1798" spans="1:10" ht="14.25" hidden="1" customHeight="1" x14ac:dyDescent="0.35">
      <c r="A1798" s="30"/>
      <c r="E1798" s="31"/>
      <c r="G1798" s="32" t="str">
        <f t="shared" si="56"/>
        <v>|||1900|</v>
      </c>
      <c r="H1798" s="32" t="str">
        <f t="shared" si="57"/>
        <v>||1900|</v>
      </c>
      <c r="I1798" s="32">
        <f>IF(G1798="",0,IF(COUNTIF($G$2:G1798,G1798)=1,1,0))</f>
        <v>0</v>
      </c>
      <c r="J1798" s="32">
        <f>IF(H1798="",0,IF(COUNTIF($H$2:H1798,H1798)=1,1,0))</f>
        <v>0</v>
      </c>
    </row>
    <row r="1799" spans="1:10" ht="14.25" hidden="1" customHeight="1" x14ac:dyDescent="0.35">
      <c r="A1799" s="30"/>
      <c r="E1799" s="31"/>
      <c r="G1799" s="32" t="str">
        <f t="shared" si="56"/>
        <v>|||1900|</v>
      </c>
      <c r="H1799" s="32" t="str">
        <f t="shared" si="57"/>
        <v>||1900|</v>
      </c>
      <c r="I1799" s="32">
        <f>IF(G1799="",0,IF(COUNTIF($G$2:G1799,G1799)=1,1,0))</f>
        <v>0</v>
      </c>
      <c r="J1799" s="32">
        <f>IF(H1799="",0,IF(COUNTIF($H$2:H1799,H1799)=1,1,0))</f>
        <v>0</v>
      </c>
    </row>
    <row r="1800" spans="1:10" ht="14.25" hidden="1" customHeight="1" x14ac:dyDescent="0.35">
      <c r="A1800" s="30"/>
      <c r="E1800" s="31"/>
      <c r="G1800" s="32" t="str">
        <f t="shared" si="56"/>
        <v>|||1900|</v>
      </c>
      <c r="H1800" s="32" t="str">
        <f t="shared" si="57"/>
        <v>||1900|</v>
      </c>
      <c r="I1800" s="32">
        <f>IF(G1800="",0,IF(COUNTIF($G$2:G1800,G1800)=1,1,0))</f>
        <v>0</v>
      </c>
      <c r="J1800" s="32">
        <f>IF(H1800="",0,IF(COUNTIF($H$2:H1800,H1800)=1,1,0))</f>
        <v>0</v>
      </c>
    </row>
    <row r="1801" spans="1:10" ht="14.25" hidden="1" customHeight="1" x14ac:dyDescent="0.35">
      <c r="A1801" s="30"/>
      <c r="E1801" s="31"/>
      <c r="G1801" s="32" t="str">
        <f t="shared" si="56"/>
        <v>|||1900|</v>
      </c>
      <c r="H1801" s="32" t="str">
        <f t="shared" si="57"/>
        <v>||1900|</v>
      </c>
      <c r="I1801" s="32">
        <f>IF(G1801="",0,IF(COUNTIF($G$2:G1801,G1801)=1,1,0))</f>
        <v>0</v>
      </c>
      <c r="J1801" s="32">
        <f>IF(H1801="",0,IF(COUNTIF($H$2:H1801,H1801)=1,1,0))</f>
        <v>0</v>
      </c>
    </row>
    <row r="1802" spans="1:10" ht="14.25" hidden="1" customHeight="1" x14ac:dyDescent="0.35">
      <c r="A1802" s="30"/>
      <c r="E1802" s="31"/>
      <c r="G1802" s="32" t="str">
        <f t="shared" si="56"/>
        <v>|||1900|</v>
      </c>
      <c r="H1802" s="32" t="str">
        <f t="shared" si="57"/>
        <v>||1900|</v>
      </c>
      <c r="I1802" s="32">
        <f>IF(G1802="",0,IF(COUNTIF($G$2:G1802,G1802)=1,1,0))</f>
        <v>0</v>
      </c>
      <c r="J1802" s="32">
        <f>IF(H1802="",0,IF(COUNTIF($H$2:H1802,H1802)=1,1,0))</f>
        <v>0</v>
      </c>
    </row>
    <row r="1803" spans="1:10" ht="14.25" hidden="1" customHeight="1" x14ac:dyDescent="0.35">
      <c r="A1803" s="30"/>
      <c r="E1803" s="31"/>
      <c r="G1803" s="32" t="str">
        <f t="shared" si="56"/>
        <v>|||1900|</v>
      </c>
      <c r="H1803" s="32" t="str">
        <f t="shared" si="57"/>
        <v>||1900|</v>
      </c>
      <c r="I1803" s="32">
        <f>IF(G1803="",0,IF(COUNTIF($G$2:G1803,G1803)=1,1,0))</f>
        <v>0</v>
      </c>
      <c r="J1803" s="32">
        <f>IF(H1803="",0,IF(COUNTIF($H$2:H1803,H1803)=1,1,0))</f>
        <v>0</v>
      </c>
    </row>
    <row r="1804" spans="1:10" ht="14.25" hidden="1" customHeight="1" x14ac:dyDescent="0.35">
      <c r="A1804" s="30"/>
      <c r="E1804" s="31"/>
      <c r="G1804" s="32" t="str">
        <f t="shared" si="56"/>
        <v>|||1900|</v>
      </c>
      <c r="H1804" s="32" t="str">
        <f t="shared" si="57"/>
        <v>||1900|</v>
      </c>
      <c r="I1804" s="32">
        <f>IF(G1804="",0,IF(COUNTIF($G$2:G1804,G1804)=1,1,0))</f>
        <v>0</v>
      </c>
      <c r="J1804" s="32">
        <f>IF(H1804="",0,IF(COUNTIF($H$2:H1804,H1804)=1,1,0))</f>
        <v>0</v>
      </c>
    </row>
    <row r="1805" spans="1:10" ht="14.25" hidden="1" customHeight="1" x14ac:dyDescent="0.35">
      <c r="A1805" s="30"/>
      <c r="E1805" s="31"/>
      <c r="G1805" s="32" t="str">
        <f t="shared" si="56"/>
        <v>|||1900|</v>
      </c>
      <c r="H1805" s="32" t="str">
        <f t="shared" si="57"/>
        <v>||1900|</v>
      </c>
      <c r="I1805" s="32">
        <f>IF(G1805="",0,IF(COUNTIF($G$2:G1805,G1805)=1,1,0))</f>
        <v>0</v>
      </c>
      <c r="J1805" s="32">
        <f>IF(H1805="",0,IF(COUNTIF($H$2:H1805,H1805)=1,1,0))</f>
        <v>0</v>
      </c>
    </row>
    <row r="1806" spans="1:10" ht="14.25" hidden="1" customHeight="1" x14ac:dyDescent="0.35">
      <c r="A1806" s="30"/>
      <c r="E1806" s="31"/>
      <c r="G1806" s="32" t="str">
        <f t="shared" si="56"/>
        <v>|||1900|</v>
      </c>
      <c r="H1806" s="32" t="str">
        <f t="shared" si="57"/>
        <v>||1900|</v>
      </c>
      <c r="I1806" s="32">
        <f>IF(G1806="",0,IF(COUNTIF($G$2:G1806,G1806)=1,1,0))</f>
        <v>0</v>
      </c>
      <c r="J1806" s="32">
        <f>IF(H1806="",0,IF(COUNTIF($H$2:H1806,H1806)=1,1,0))</f>
        <v>0</v>
      </c>
    </row>
    <row r="1807" spans="1:10" ht="14.25" hidden="1" customHeight="1" x14ac:dyDescent="0.35">
      <c r="A1807" s="30"/>
      <c r="E1807" s="31"/>
      <c r="G1807" s="32" t="str">
        <f t="shared" si="56"/>
        <v>|||1900|</v>
      </c>
      <c r="H1807" s="32" t="str">
        <f t="shared" si="57"/>
        <v>||1900|</v>
      </c>
      <c r="I1807" s="32">
        <f>IF(G1807="",0,IF(COUNTIF($G$2:G1807,G1807)=1,1,0))</f>
        <v>0</v>
      </c>
      <c r="J1807" s="32">
        <f>IF(H1807="",0,IF(COUNTIF($H$2:H1807,H1807)=1,1,0))</f>
        <v>0</v>
      </c>
    </row>
    <row r="1808" spans="1:10" ht="14.25" hidden="1" customHeight="1" x14ac:dyDescent="0.35">
      <c r="A1808" s="30"/>
      <c r="E1808" s="31"/>
      <c r="G1808" s="32" t="str">
        <f t="shared" si="56"/>
        <v>|||1900|</v>
      </c>
      <c r="H1808" s="32" t="str">
        <f t="shared" si="57"/>
        <v>||1900|</v>
      </c>
      <c r="I1808" s="32">
        <f>IF(G1808="",0,IF(COUNTIF($G$2:G1808,G1808)=1,1,0))</f>
        <v>0</v>
      </c>
      <c r="J1808" s="32">
        <f>IF(H1808="",0,IF(COUNTIF($H$2:H1808,H1808)=1,1,0))</f>
        <v>0</v>
      </c>
    </row>
    <row r="1809" spans="1:10" ht="14.25" hidden="1" customHeight="1" x14ac:dyDescent="0.35">
      <c r="A1809" s="30"/>
      <c r="E1809" s="31"/>
      <c r="G1809" s="32" t="str">
        <f t="shared" si="56"/>
        <v>|||1900|</v>
      </c>
      <c r="H1809" s="32" t="str">
        <f t="shared" si="57"/>
        <v>||1900|</v>
      </c>
      <c r="I1809" s="32">
        <f>IF(G1809="",0,IF(COUNTIF($G$2:G1809,G1809)=1,1,0))</f>
        <v>0</v>
      </c>
      <c r="J1809" s="32">
        <f>IF(H1809="",0,IF(COUNTIF($H$2:H1809,H1809)=1,1,0))</f>
        <v>0</v>
      </c>
    </row>
    <row r="1810" spans="1:10" ht="14.25" hidden="1" customHeight="1" x14ac:dyDescent="0.35">
      <c r="A1810" s="30"/>
      <c r="E1810" s="31"/>
      <c r="G1810" s="32" t="str">
        <f t="shared" si="56"/>
        <v>|||1900|</v>
      </c>
      <c r="H1810" s="32" t="str">
        <f t="shared" si="57"/>
        <v>||1900|</v>
      </c>
      <c r="I1810" s="32">
        <f>IF(G1810="",0,IF(COUNTIF($G$2:G1810,G1810)=1,1,0))</f>
        <v>0</v>
      </c>
      <c r="J1810" s="32">
        <f>IF(H1810="",0,IF(COUNTIF($H$2:H1810,H1810)=1,1,0))</f>
        <v>0</v>
      </c>
    </row>
    <row r="1811" spans="1:10" ht="14.25" hidden="1" customHeight="1" x14ac:dyDescent="0.35">
      <c r="A1811" s="30"/>
      <c r="E1811" s="31"/>
      <c r="G1811" s="32" t="str">
        <f t="shared" si="56"/>
        <v>|||1900|</v>
      </c>
      <c r="H1811" s="32" t="str">
        <f t="shared" si="57"/>
        <v>||1900|</v>
      </c>
      <c r="I1811" s="32">
        <f>IF(G1811="",0,IF(COUNTIF($G$2:G1811,G1811)=1,1,0))</f>
        <v>0</v>
      </c>
      <c r="J1811" s="32">
        <f>IF(H1811="",0,IF(COUNTIF($H$2:H1811,H1811)=1,1,0))</f>
        <v>0</v>
      </c>
    </row>
    <row r="1812" spans="1:10" ht="14.25" hidden="1" customHeight="1" x14ac:dyDescent="0.35">
      <c r="A1812" s="30"/>
      <c r="E1812" s="31"/>
      <c r="G1812" s="32" t="str">
        <f t="shared" si="56"/>
        <v>|||1900|</v>
      </c>
      <c r="H1812" s="32" t="str">
        <f t="shared" si="57"/>
        <v>||1900|</v>
      </c>
      <c r="I1812" s="32">
        <f>IF(G1812="",0,IF(COUNTIF($G$2:G1812,G1812)=1,1,0))</f>
        <v>0</v>
      </c>
      <c r="J1812" s="32">
        <f>IF(H1812="",0,IF(COUNTIF($H$2:H1812,H1812)=1,1,0))</f>
        <v>0</v>
      </c>
    </row>
    <row r="1813" spans="1:10" ht="14.25" hidden="1" customHeight="1" x14ac:dyDescent="0.35">
      <c r="A1813" s="30"/>
      <c r="E1813" s="31"/>
      <c r="G1813" s="32" t="str">
        <f t="shared" si="56"/>
        <v>|||1900|</v>
      </c>
      <c r="H1813" s="32" t="str">
        <f t="shared" si="57"/>
        <v>||1900|</v>
      </c>
      <c r="I1813" s="32">
        <f>IF(G1813="",0,IF(COUNTIF($G$2:G1813,G1813)=1,1,0))</f>
        <v>0</v>
      </c>
      <c r="J1813" s="32">
        <f>IF(H1813="",0,IF(COUNTIF($H$2:H1813,H1813)=1,1,0))</f>
        <v>0</v>
      </c>
    </row>
    <row r="1814" spans="1:10" ht="14.25" hidden="1" customHeight="1" x14ac:dyDescent="0.35">
      <c r="A1814" s="30"/>
      <c r="E1814" s="31"/>
      <c r="G1814" s="32" t="str">
        <f t="shared" si="56"/>
        <v>|||1900|</v>
      </c>
      <c r="H1814" s="32" t="str">
        <f t="shared" si="57"/>
        <v>||1900|</v>
      </c>
      <c r="I1814" s="32">
        <f>IF(G1814="",0,IF(COUNTIF($G$2:G1814,G1814)=1,1,0))</f>
        <v>0</v>
      </c>
      <c r="J1814" s="32">
        <f>IF(H1814="",0,IF(COUNTIF($H$2:H1814,H1814)=1,1,0))</f>
        <v>0</v>
      </c>
    </row>
    <row r="1815" spans="1:10" ht="14.25" hidden="1" customHeight="1" x14ac:dyDescent="0.35">
      <c r="A1815" s="30"/>
      <c r="E1815" s="31"/>
      <c r="G1815" s="32" t="str">
        <f t="shared" si="56"/>
        <v>|||1900|</v>
      </c>
      <c r="H1815" s="32" t="str">
        <f t="shared" si="57"/>
        <v>||1900|</v>
      </c>
      <c r="I1815" s="32">
        <f>IF(G1815="",0,IF(COUNTIF($G$2:G1815,G1815)=1,1,0))</f>
        <v>0</v>
      </c>
      <c r="J1815" s="32">
        <f>IF(H1815="",0,IF(COUNTIF($H$2:H1815,H1815)=1,1,0))</f>
        <v>0</v>
      </c>
    </row>
    <row r="1816" spans="1:10" ht="14.25" hidden="1" customHeight="1" x14ac:dyDescent="0.35">
      <c r="A1816" s="30"/>
      <c r="E1816" s="31"/>
      <c r="G1816" s="32" t="str">
        <f t="shared" si="56"/>
        <v>|||1900|</v>
      </c>
      <c r="H1816" s="32" t="str">
        <f t="shared" si="57"/>
        <v>||1900|</v>
      </c>
      <c r="I1816" s="32">
        <f>IF(G1816="",0,IF(COUNTIF($G$2:G1816,G1816)=1,1,0))</f>
        <v>0</v>
      </c>
      <c r="J1816" s="32">
        <f>IF(H1816="",0,IF(COUNTIF($H$2:H1816,H1816)=1,1,0))</f>
        <v>0</v>
      </c>
    </row>
    <row r="1817" spans="1:10" ht="14.25" hidden="1" customHeight="1" x14ac:dyDescent="0.35">
      <c r="A1817" s="30"/>
      <c r="E1817" s="31"/>
      <c r="G1817" s="32" t="str">
        <f t="shared" si="56"/>
        <v>|||1900|</v>
      </c>
      <c r="H1817" s="32" t="str">
        <f t="shared" si="57"/>
        <v>||1900|</v>
      </c>
      <c r="I1817" s="32">
        <f>IF(G1817="",0,IF(COUNTIF($G$2:G1817,G1817)=1,1,0))</f>
        <v>0</v>
      </c>
      <c r="J1817" s="32">
        <f>IF(H1817="",0,IF(COUNTIF($H$2:H1817,H1817)=1,1,0))</f>
        <v>0</v>
      </c>
    </row>
    <row r="1818" spans="1:10" ht="14.25" hidden="1" customHeight="1" x14ac:dyDescent="0.35">
      <c r="A1818" s="30"/>
      <c r="E1818" s="31"/>
      <c r="G1818" s="32" t="str">
        <f t="shared" si="56"/>
        <v>|||1900|</v>
      </c>
      <c r="H1818" s="32" t="str">
        <f t="shared" si="57"/>
        <v>||1900|</v>
      </c>
      <c r="I1818" s="32">
        <f>IF(G1818="",0,IF(COUNTIF($G$2:G1818,G1818)=1,1,0))</f>
        <v>0</v>
      </c>
      <c r="J1818" s="32">
        <f>IF(H1818="",0,IF(COUNTIF($H$2:H1818,H1818)=1,1,0))</f>
        <v>0</v>
      </c>
    </row>
    <row r="1819" spans="1:10" ht="14.25" hidden="1" customHeight="1" x14ac:dyDescent="0.35">
      <c r="A1819" s="30"/>
      <c r="E1819" s="31"/>
      <c r="G1819" s="32" t="str">
        <f t="shared" si="56"/>
        <v>|||1900|</v>
      </c>
      <c r="H1819" s="32" t="str">
        <f t="shared" si="57"/>
        <v>||1900|</v>
      </c>
      <c r="I1819" s="32">
        <f>IF(G1819="",0,IF(COUNTIF($G$2:G1819,G1819)=1,1,0))</f>
        <v>0</v>
      </c>
      <c r="J1819" s="32">
        <f>IF(H1819="",0,IF(COUNTIF($H$2:H1819,H1819)=1,1,0))</f>
        <v>0</v>
      </c>
    </row>
    <row r="1820" spans="1:10" ht="14.25" hidden="1" customHeight="1" x14ac:dyDescent="0.35">
      <c r="A1820" s="30"/>
      <c r="E1820" s="31"/>
      <c r="G1820" s="32" t="str">
        <f t="shared" si="56"/>
        <v>|||1900|</v>
      </c>
      <c r="H1820" s="32" t="str">
        <f t="shared" si="57"/>
        <v>||1900|</v>
      </c>
      <c r="I1820" s="32">
        <f>IF(G1820="",0,IF(COUNTIF($G$2:G1820,G1820)=1,1,0))</f>
        <v>0</v>
      </c>
      <c r="J1820" s="32">
        <f>IF(H1820="",0,IF(COUNTIF($H$2:H1820,H1820)=1,1,0))</f>
        <v>0</v>
      </c>
    </row>
    <row r="1821" spans="1:10" ht="14.25" hidden="1" customHeight="1" x14ac:dyDescent="0.35">
      <c r="A1821" s="30"/>
      <c r="E1821" s="31"/>
      <c r="G1821" s="32" t="str">
        <f t="shared" si="56"/>
        <v>|||1900|</v>
      </c>
      <c r="H1821" s="32" t="str">
        <f t="shared" si="57"/>
        <v>||1900|</v>
      </c>
      <c r="I1821" s="32">
        <f>IF(G1821="",0,IF(COUNTIF($G$2:G1821,G1821)=1,1,0))</f>
        <v>0</v>
      </c>
      <c r="J1821" s="32">
        <f>IF(H1821="",0,IF(COUNTIF($H$2:H1821,H1821)=1,1,0))</f>
        <v>0</v>
      </c>
    </row>
    <row r="1822" spans="1:10" ht="14.25" hidden="1" customHeight="1" x14ac:dyDescent="0.35">
      <c r="A1822" s="30"/>
      <c r="E1822" s="31"/>
      <c r="G1822" s="32" t="str">
        <f t="shared" si="56"/>
        <v>|||1900|</v>
      </c>
      <c r="H1822" s="32" t="str">
        <f t="shared" si="57"/>
        <v>||1900|</v>
      </c>
      <c r="I1822" s="32">
        <f>IF(G1822="",0,IF(COUNTIF($G$2:G1822,G1822)=1,1,0))</f>
        <v>0</v>
      </c>
      <c r="J1822" s="32">
        <f>IF(H1822="",0,IF(COUNTIF($H$2:H1822,H1822)=1,1,0))</f>
        <v>0</v>
      </c>
    </row>
    <row r="1823" spans="1:10" ht="14.25" hidden="1" customHeight="1" x14ac:dyDescent="0.35">
      <c r="A1823" s="30"/>
      <c r="E1823" s="31"/>
      <c r="G1823" s="32" t="str">
        <f t="shared" si="56"/>
        <v>|||1900|</v>
      </c>
      <c r="H1823" s="32" t="str">
        <f t="shared" si="57"/>
        <v>||1900|</v>
      </c>
      <c r="I1823" s="32">
        <f>IF(G1823="",0,IF(COUNTIF($G$2:G1823,G1823)=1,1,0))</f>
        <v>0</v>
      </c>
      <c r="J1823" s="32">
        <f>IF(H1823="",0,IF(COUNTIF($H$2:H1823,H1823)=1,1,0))</f>
        <v>0</v>
      </c>
    </row>
    <row r="1824" spans="1:10" ht="14.25" hidden="1" customHeight="1" x14ac:dyDescent="0.35">
      <c r="A1824" s="30"/>
      <c r="E1824" s="31"/>
      <c r="G1824" s="32" t="str">
        <f t="shared" si="56"/>
        <v>|||1900|</v>
      </c>
      <c r="H1824" s="32" t="str">
        <f t="shared" si="57"/>
        <v>||1900|</v>
      </c>
      <c r="I1824" s="32">
        <f>IF(G1824="",0,IF(COUNTIF($G$2:G1824,G1824)=1,1,0))</f>
        <v>0</v>
      </c>
      <c r="J1824" s="32">
        <f>IF(H1824="",0,IF(COUNTIF($H$2:H1824,H1824)=1,1,0))</f>
        <v>0</v>
      </c>
    </row>
    <row r="1825" spans="1:10" ht="14.25" hidden="1" customHeight="1" x14ac:dyDescent="0.35">
      <c r="A1825" s="30"/>
      <c r="E1825" s="31"/>
      <c r="G1825" s="32" t="str">
        <f t="shared" si="56"/>
        <v>|||1900|</v>
      </c>
      <c r="H1825" s="32" t="str">
        <f t="shared" si="57"/>
        <v>||1900|</v>
      </c>
      <c r="I1825" s="32">
        <f>IF(G1825="",0,IF(COUNTIF($G$2:G1825,G1825)=1,1,0))</f>
        <v>0</v>
      </c>
      <c r="J1825" s="32">
        <f>IF(H1825="",0,IF(COUNTIF($H$2:H1825,H1825)=1,1,0))</f>
        <v>0</v>
      </c>
    </row>
    <row r="1826" spans="1:10" ht="14.25" hidden="1" customHeight="1" x14ac:dyDescent="0.35">
      <c r="A1826" s="30"/>
      <c r="E1826" s="31"/>
      <c r="G1826" s="32" t="str">
        <f t="shared" si="56"/>
        <v>|||1900|</v>
      </c>
      <c r="H1826" s="32" t="str">
        <f t="shared" si="57"/>
        <v>||1900|</v>
      </c>
      <c r="I1826" s="32">
        <f>IF(G1826="",0,IF(COUNTIF($G$2:G1826,G1826)=1,1,0))</f>
        <v>0</v>
      </c>
      <c r="J1826" s="32">
        <f>IF(H1826="",0,IF(COUNTIF($H$2:H1826,H1826)=1,1,0))</f>
        <v>0</v>
      </c>
    </row>
    <row r="1827" spans="1:10" ht="14.25" hidden="1" customHeight="1" x14ac:dyDescent="0.35">
      <c r="A1827" s="30"/>
      <c r="E1827" s="31"/>
      <c r="G1827" s="32" t="str">
        <f t="shared" si="56"/>
        <v>|||1900|</v>
      </c>
      <c r="H1827" s="32" t="str">
        <f t="shared" si="57"/>
        <v>||1900|</v>
      </c>
      <c r="I1827" s="32">
        <f>IF(G1827="",0,IF(COUNTIF($G$2:G1827,G1827)=1,1,0))</f>
        <v>0</v>
      </c>
      <c r="J1827" s="32">
        <f>IF(H1827="",0,IF(COUNTIF($H$2:H1827,H1827)=1,1,0))</f>
        <v>0</v>
      </c>
    </row>
    <row r="1828" spans="1:10" ht="14.25" hidden="1" customHeight="1" x14ac:dyDescent="0.35">
      <c r="A1828" s="30"/>
      <c r="E1828" s="31"/>
      <c r="G1828" s="32" t="str">
        <f t="shared" si="56"/>
        <v>|||1900|</v>
      </c>
      <c r="H1828" s="32" t="str">
        <f t="shared" si="57"/>
        <v>||1900|</v>
      </c>
      <c r="I1828" s="32">
        <f>IF(G1828="",0,IF(COUNTIF($G$2:G1828,G1828)=1,1,0))</f>
        <v>0</v>
      </c>
      <c r="J1828" s="32">
        <f>IF(H1828="",0,IF(COUNTIF($H$2:H1828,H1828)=1,1,0))</f>
        <v>0</v>
      </c>
    </row>
    <row r="1829" spans="1:10" ht="14.25" hidden="1" customHeight="1" x14ac:dyDescent="0.35">
      <c r="A1829" s="30"/>
      <c r="E1829" s="31"/>
      <c r="G1829" s="32" t="str">
        <f t="shared" si="56"/>
        <v>|||1900|</v>
      </c>
      <c r="H1829" s="32" t="str">
        <f t="shared" si="57"/>
        <v>||1900|</v>
      </c>
      <c r="I1829" s="32">
        <f>IF(G1829="",0,IF(COUNTIF($G$2:G1829,G1829)=1,1,0))</f>
        <v>0</v>
      </c>
      <c r="J1829" s="32">
        <f>IF(H1829="",0,IF(COUNTIF($H$2:H1829,H1829)=1,1,0))</f>
        <v>0</v>
      </c>
    </row>
    <row r="1830" spans="1:10" ht="14.25" hidden="1" customHeight="1" x14ac:dyDescent="0.35">
      <c r="A1830" s="30"/>
      <c r="E1830" s="31"/>
      <c r="G1830" s="32" t="str">
        <f t="shared" si="56"/>
        <v>|||1900|</v>
      </c>
      <c r="H1830" s="32" t="str">
        <f t="shared" si="57"/>
        <v>||1900|</v>
      </c>
      <c r="I1830" s="32">
        <f>IF(G1830="",0,IF(COUNTIF($G$2:G1830,G1830)=1,1,0))</f>
        <v>0</v>
      </c>
      <c r="J1830" s="32">
        <f>IF(H1830="",0,IF(COUNTIF($H$2:H1830,H1830)=1,1,0))</f>
        <v>0</v>
      </c>
    </row>
    <row r="1831" spans="1:10" ht="14.25" hidden="1" customHeight="1" x14ac:dyDescent="0.35">
      <c r="A1831" s="30"/>
      <c r="E1831" s="31"/>
      <c r="G1831" s="32" t="str">
        <f t="shared" si="56"/>
        <v>|||1900|</v>
      </c>
      <c r="H1831" s="32" t="str">
        <f t="shared" si="57"/>
        <v>||1900|</v>
      </c>
      <c r="I1831" s="32">
        <f>IF(G1831="",0,IF(COUNTIF($G$2:G1831,G1831)=1,1,0))</f>
        <v>0</v>
      </c>
      <c r="J1831" s="32">
        <f>IF(H1831="",0,IF(COUNTIF($H$2:H1831,H1831)=1,1,0))</f>
        <v>0</v>
      </c>
    </row>
    <row r="1832" spans="1:10" ht="14.25" hidden="1" customHeight="1" x14ac:dyDescent="0.35">
      <c r="A1832" s="30"/>
      <c r="E1832" s="31"/>
      <c r="G1832" s="32" t="str">
        <f t="shared" si="56"/>
        <v>|||1900|</v>
      </c>
      <c r="H1832" s="32" t="str">
        <f t="shared" si="57"/>
        <v>||1900|</v>
      </c>
      <c r="I1832" s="32">
        <f>IF(G1832="",0,IF(COUNTIF($G$2:G1832,G1832)=1,1,0))</f>
        <v>0</v>
      </c>
      <c r="J1832" s="32">
        <f>IF(H1832="",0,IF(COUNTIF($H$2:H1832,H1832)=1,1,0))</f>
        <v>0</v>
      </c>
    </row>
    <row r="1833" spans="1:10" ht="14.25" hidden="1" customHeight="1" x14ac:dyDescent="0.35">
      <c r="A1833" s="30"/>
      <c r="E1833" s="31"/>
      <c r="G1833" s="32" t="str">
        <f t="shared" si="56"/>
        <v>|||1900|</v>
      </c>
      <c r="H1833" s="32" t="str">
        <f t="shared" si="57"/>
        <v>||1900|</v>
      </c>
      <c r="I1833" s="32">
        <f>IF(G1833="",0,IF(COUNTIF($G$2:G1833,G1833)=1,1,0))</f>
        <v>0</v>
      </c>
      <c r="J1833" s="32">
        <f>IF(H1833="",0,IF(COUNTIF($H$2:H1833,H1833)=1,1,0))</f>
        <v>0</v>
      </c>
    </row>
    <row r="1834" spans="1:10" ht="14.25" hidden="1" customHeight="1" x14ac:dyDescent="0.35">
      <c r="A1834" s="30"/>
      <c r="E1834" s="31"/>
      <c r="G1834" s="32" t="str">
        <f t="shared" si="56"/>
        <v>|||1900|</v>
      </c>
      <c r="H1834" s="32" t="str">
        <f t="shared" si="57"/>
        <v>||1900|</v>
      </c>
      <c r="I1834" s="32">
        <f>IF(G1834="",0,IF(COUNTIF($G$2:G1834,G1834)=1,1,0))</f>
        <v>0</v>
      </c>
      <c r="J1834" s="32">
        <f>IF(H1834="",0,IF(COUNTIF($H$2:H1834,H1834)=1,1,0))</f>
        <v>0</v>
      </c>
    </row>
    <row r="1835" spans="1:10" ht="14.25" hidden="1" customHeight="1" x14ac:dyDescent="0.35">
      <c r="A1835" s="30"/>
      <c r="E1835" s="31"/>
      <c r="G1835" s="32" t="str">
        <f t="shared" si="56"/>
        <v>|||1900|</v>
      </c>
      <c r="H1835" s="32" t="str">
        <f t="shared" si="57"/>
        <v>||1900|</v>
      </c>
      <c r="I1835" s="32">
        <f>IF(G1835="",0,IF(COUNTIF($G$2:G1835,G1835)=1,1,0))</f>
        <v>0</v>
      </c>
      <c r="J1835" s="32">
        <f>IF(H1835="",0,IF(COUNTIF($H$2:H1835,H1835)=1,1,0))</f>
        <v>0</v>
      </c>
    </row>
    <row r="1836" spans="1:10" ht="14.25" hidden="1" customHeight="1" x14ac:dyDescent="0.35">
      <c r="A1836" s="30"/>
      <c r="E1836" s="31"/>
      <c r="G1836" s="32" t="str">
        <f t="shared" si="56"/>
        <v>|||1900|</v>
      </c>
      <c r="H1836" s="32" t="str">
        <f t="shared" si="57"/>
        <v>||1900|</v>
      </c>
      <c r="I1836" s="32">
        <f>IF(G1836="",0,IF(COUNTIF($G$2:G1836,G1836)=1,1,0))</f>
        <v>0</v>
      </c>
      <c r="J1836" s="32">
        <f>IF(H1836="",0,IF(COUNTIF($H$2:H1836,H1836)=1,1,0))</f>
        <v>0</v>
      </c>
    </row>
    <row r="1837" spans="1:10" ht="14.25" hidden="1" customHeight="1" x14ac:dyDescent="0.35">
      <c r="A1837" s="30"/>
      <c r="E1837" s="31"/>
      <c r="G1837" s="32" t="str">
        <f t="shared" si="56"/>
        <v>|||1900|</v>
      </c>
      <c r="H1837" s="32" t="str">
        <f t="shared" si="57"/>
        <v>||1900|</v>
      </c>
      <c r="I1837" s="32">
        <f>IF(G1837="",0,IF(COUNTIF($G$2:G1837,G1837)=1,1,0))</f>
        <v>0</v>
      </c>
      <c r="J1837" s="32">
        <f>IF(H1837="",0,IF(COUNTIF($H$2:H1837,H1837)=1,1,0))</f>
        <v>0</v>
      </c>
    </row>
    <row r="1838" spans="1:10" ht="14.25" hidden="1" customHeight="1" x14ac:dyDescent="0.35">
      <c r="A1838" s="30"/>
      <c r="E1838" s="31"/>
      <c r="G1838" s="32" t="str">
        <f t="shared" si="56"/>
        <v>|||1900|</v>
      </c>
      <c r="H1838" s="32" t="str">
        <f t="shared" si="57"/>
        <v>||1900|</v>
      </c>
      <c r="I1838" s="32">
        <f>IF(G1838="",0,IF(COUNTIF($G$2:G1838,G1838)=1,1,0))</f>
        <v>0</v>
      </c>
      <c r="J1838" s="32">
        <f>IF(H1838="",0,IF(COUNTIF($H$2:H1838,H1838)=1,1,0))</f>
        <v>0</v>
      </c>
    </row>
    <row r="1839" spans="1:10" ht="14.25" hidden="1" customHeight="1" x14ac:dyDescent="0.35">
      <c r="A1839" s="30"/>
      <c r="E1839" s="31"/>
      <c r="G1839" s="32" t="str">
        <f t="shared" si="56"/>
        <v>|||1900|</v>
      </c>
      <c r="H1839" s="32" t="str">
        <f t="shared" si="57"/>
        <v>||1900|</v>
      </c>
      <c r="I1839" s="32">
        <f>IF(G1839="",0,IF(COUNTIF($G$2:G1839,G1839)=1,1,0))</f>
        <v>0</v>
      </c>
      <c r="J1839" s="32">
        <f>IF(H1839="",0,IF(COUNTIF($H$2:H1839,H1839)=1,1,0))</f>
        <v>0</v>
      </c>
    </row>
    <row r="1840" spans="1:10" ht="14.25" hidden="1" customHeight="1" x14ac:dyDescent="0.35">
      <c r="A1840" s="30"/>
      <c r="E1840" s="31"/>
      <c r="G1840" s="32" t="str">
        <f t="shared" si="56"/>
        <v>|||1900|</v>
      </c>
      <c r="H1840" s="32" t="str">
        <f t="shared" si="57"/>
        <v>||1900|</v>
      </c>
      <c r="I1840" s="32">
        <f>IF(G1840="",0,IF(COUNTIF($G$2:G1840,G1840)=1,1,0))</f>
        <v>0</v>
      </c>
      <c r="J1840" s="32">
        <f>IF(H1840="",0,IF(COUNTIF($H$2:H1840,H1840)=1,1,0))</f>
        <v>0</v>
      </c>
    </row>
    <row r="1841" spans="1:10" ht="14.25" hidden="1" customHeight="1" x14ac:dyDescent="0.35">
      <c r="A1841" s="30"/>
      <c r="E1841" s="31"/>
      <c r="G1841" s="32" t="str">
        <f t="shared" si="56"/>
        <v>|||1900|</v>
      </c>
      <c r="H1841" s="32" t="str">
        <f t="shared" si="57"/>
        <v>||1900|</v>
      </c>
      <c r="I1841" s="32">
        <f>IF(G1841="",0,IF(COUNTIF($G$2:G1841,G1841)=1,1,0))</f>
        <v>0</v>
      </c>
      <c r="J1841" s="32">
        <f>IF(H1841="",0,IF(COUNTIF($H$2:H1841,H1841)=1,1,0))</f>
        <v>0</v>
      </c>
    </row>
    <row r="1842" spans="1:10" ht="14.25" hidden="1" customHeight="1" x14ac:dyDescent="0.35">
      <c r="A1842" s="30"/>
      <c r="E1842" s="31"/>
      <c r="G1842" s="32" t="str">
        <f t="shared" si="56"/>
        <v>|||1900|</v>
      </c>
      <c r="H1842" s="32" t="str">
        <f t="shared" si="57"/>
        <v>||1900|</v>
      </c>
      <c r="I1842" s="32">
        <f>IF(G1842="",0,IF(COUNTIF($G$2:G1842,G1842)=1,1,0))</f>
        <v>0</v>
      </c>
      <c r="J1842" s="32">
        <f>IF(H1842="",0,IF(COUNTIF($H$2:H1842,H1842)=1,1,0))</f>
        <v>0</v>
      </c>
    </row>
    <row r="1843" spans="1:10" ht="14.25" hidden="1" customHeight="1" x14ac:dyDescent="0.35">
      <c r="A1843" s="30"/>
      <c r="E1843" s="31"/>
      <c r="G1843" s="32" t="str">
        <f t="shared" si="56"/>
        <v>|||1900|</v>
      </c>
      <c r="H1843" s="32" t="str">
        <f t="shared" si="57"/>
        <v>||1900|</v>
      </c>
      <c r="I1843" s="32">
        <f>IF(G1843="",0,IF(COUNTIF($G$2:G1843,G1843)=1,1,0))</f>
        <v>0</v>
      </c>
      <c r="J1843" s="32">
        <f>IF(H1843="",0,IF(COUNTIF($H$2:H1843,H1843)=1,1,0))</f>
        <v>0</v>
      </c>
    </row>
    <row r="1844" spans="1:10" ht="14.25" hidden="1" customHeight="1" x14ac:dyDescent="0.35">
      <c r="A1844" s="30"/>
      <c r="E1844" s="31"/>
      <c r="G1844" s="32" t="str">
        <f t="shared" si="56"/>
        <v>|||1900|</v>
      </c>
      <c r="H1844" s="32" t="str">
        <f t="shared" si="57"/>
        <v>||1900|</v>
      </c>
      <c r="I1844" s="32">
        <f>IF(G1844="",0,IF(COUNTIF($G$2:G1844,G1844)=1,1,0))</f>
        <v>0</v>
      </c>
      <c r="J1844" s="32">
        <f>IF(H1844="",0,IF(COUNTIF($H$2:H1844,H1844)=1,1,0))</f>
        <v>0</v>
      </c>
    </row>
    <row r="1845" spans="1:10" ht="14.25" hidden="1" customHeight="1" x14ac:dyDescent="0.35">
      <c r="A1845" s="30"/>
      <c r="E1845" s="31"/>
      <c r="G1845" s="32" t="str">
        <f t="shared" si="56"/>
        <v>|||1900|</v>
      </c>
      <c r="H1845" s="32" t="str">
        <f t="shared" si="57"/>
        <v>||1900|</v>
      </c>
      <c r="I1845" s="32">
        <f>IF(G1845="",0,IF(COUNTIF($G$2:G1845,G1845)=1,1,0))</f>
        <v>0</v>
      </c>
      <c r="J1845" s="32">
        <f>IF(H1845="",0,IF(COUNTIF($H$2:H1845,H1845)=1,1,0))</f>
        <v>0</v>
      </c>
    </row>
    <row r="1846" spans="1:10" ht="14.25" hidden="1" customHeight="1" x14ac:dyDescent="0.35">
      <c r="A1846" s="30"/>
      <c r="E1846" s="31"/>
      <c r="G1846" s="32" t="str">
        <f t="shared" si="56"/>
        <v>|||1900|</v>
      </c>
      <c r="H1846" s="32" t="str">
        <f t="shared" si="57"/>
        <v>||1900|</v>
      </c>
      <c r="I1846" s="32">
        <f>IF(G1846="",0,IF(COUNTIF($G$2:G1846,G1846)=1,1,0))</f>
        <v>0</v>
      </c>
      <c r="J1846" s="32">
        <f>IF(H1846="",0,IF(COUNTIF($H$2:H1846,H1846)=1,1,0))</f>
        <v>0</v>
      </c>
    </row>
    <row r="1847" spans="1:10" ht="14.25" hidden="1" customHeight="1" x14ac:dyDescent="0.35">
      <c r="A1847" s="30"/>
      <c r="E1847" s="31"/>
      <c r="G1847" s="32" t="str">
        <f t="shared" si="56"/>
        <v>|||1900|</v>
      </c>
      <c r="H1847" s="32" t="str">
        <f t="shared" si="57"/>
        <v>||1900|</v>
      </c>
      <c r="I1847" s="32">
        <f>IF(G1847="",0,IF(COUNTIF($G$2:G1847,G1847)=1,1,0))</f>
        <v>0</v>
      </c>
      <c r="J1847" s="32">
        <f>IF(H1847="",0,IF(COUNTIF($H$2:H1847,H1847)=1,1,0))</f>
        <v>0</v>
      </c>
    </row>
    <row r="1848" spans="1:10" ht="14.25" hidden="1" customHeight="1" x14ac:dyDescent="0.35">
      <c r="A1848" s="30"/>
      <c r="E1848" s="31"/>
      <c r="G1848" s="32" t="str">
        <f t="shared" si="56"/>
        <v>|||1900|</v>
      </c>
      <c r="H1848" s="32" t="str">
        <f t="shared" si="57"/>
        <v>||1900|</v>
      </c>
      <c r="I1848" s="32">
        <f>IF(G1848="",0,IF(COUNTIF($G$2:G1848,G1848)=1,1,0))</f>
        <v>0</v>
      </c>
      <c r="J1848" s="32">
        <f>IF(H1848="",0,IF(COUNTIF($H$2:H1848,H1848)=1,1,0))</f>
        <v>0</v>
      </c>
    </row>
    <row r="1849" spans="1:10" ht="14.25" hidden="1" customHeight="1" x14ac:dyDescent="0.35">
      <c r="A1849" s="30"/>
      <c r="E1849" s="31"/>
      <c r="G1849" s="32" t="str">
        <f t="shared" si="56"/>
        <v>|||1900|</v>
      </c>
      <c r="H1849" s="32" t="str">
        <f t="shared" si="57"/>
        <v>||1900|</v>
      </c>
      <c r="I1849" s="32">
        <f>IF(G1849="",0,IF(COUNTIF($G$2:G1849,G1849)=1,1,0))</f>
        <v>0</v>
      </c>
      <c r="J1849" s="32">
        <f>IF(H1849="",0,IF(COUNTIF($H$2:H1849,H1849)=1,1,0))</f>
        <v>0</v>
      </c>
    </row>
    <row r="1850" spans="1:10" ht="14.25" hidden="1" customHeight="1" x14ac:dyDescent="0.35">
      <c r="A1850" s="30"/>
      <c r="E1850" s="31"/>
      <c r="G1850" s="32" t="str">
        <f t="shared" si="56"/>
        <v>|||1900|</v>
      </c>
      <c r="H1850" s="32" t="str">
        <f t="shared" si="57"/>
        <v>||1900|</v>
      </c>
      <c r="I1850" s="32">
        <f>IF(G1850="",0,IF(COUNTIF($G$2:G1850,G1850)=1,1,0))</f>
        <v>0</v>
      </c>
      <c r="J1850" s="32">
        <f>IF(H1850="",0,IF(COUNTIF($H$2:H1850,H1850)=1,1,0))</f>
        <v>0</v>
      </c>
    </row>
    <row r="1851" spans="1:10" ht="14.25" hidden="1" customHeight="1" x14ac:dyDescent="0.35">
      <c r="A1851" s="30"/>
      <c r="E1851" s="31"/>
      <c r="G1851" s="32" t="str">
        <f t="shared" si="56"/>
        <v>|||1900|</v>
      </c>
      <c r="H1851" s="32" t="str">
        <f t="shared" si="57"/>
        <v>||1900|</v>
      </c>
      <c r="I1851" s="32">
        <f>IF(G1851="",0,IF(COUNTIF($G$2:G1851,G1851)=1,1,0))</f>
        <v>0</v>
      </c>
      <c r="J1851" s="32">
        <f>IF(H1851="",0,IF(COUNTIF($H$2:H1851,H1851)=1,1,0))</f>
        <v>0</v>
      </c>
    </row>
    <row r="1852" spans="1:10" ht="14.25" hidden="1" customHeight="1" x14ac:dyDescent="0.35">
      <c r="A1852" s="30"/>
      <c r="E1852" s="31"/>
      <c r="G1852" s="32" t="str">
        <f t="shared" si="56"/>
        <v>|||1900|</v>
      </c>
      <c r="H1852" s="32" t="str">
        <f t="shared" si="57"/>
        <v>||1900|</v>
      </c>
      <c r="I1852" s="32">
        <f>IF(G1852="",0,IF(COUNTIF($G$2:G1852,G1852)=1,1,0))</f>
        <v>0</v>
      </c>
      <c r="J1852" s="32">
        <f>IF(H1852="",0,IF(COUNTIF($H$2:H1852,H1852)=1,1,0))</f>
        <v>0</v>
      </c>
    </row>
    <row r="1853" spans="1:10" ht="14.25" hidden="1" customHeight="1" x14ac:dyDescent="0.35">
      <c r="A1853" s="30"/>
      <c r="E1853" s="31"/>
      <c r="G1853" s="32" t="str">
        <f t="shared" si="56"/>
        <v>|||1900|</v>
      </c>
      <c r="H1853" s="32" t="str">
        <f t="shared" si="57"/>
        <v>||1900|</v>
      </c>
      <c r="I1853" s="32">
        <f>IF(G1853="",0,IF(COUNTIF($G$2:G1853,G1853)=1,1,0))</f>
        <v>0</v>
      </c>
      <c r="J1853" s="32">
        <f>IF(H1853="",0,IF(COUNTIF($H$2:H1853,H1853)=1,1,0))</f>
        <v>0</v>
      </c>
    </row>
    <row r="1854" spans="1:10" ht="14.25" hidden="1" customHeight="1" x14ac:dyDescent="0.35">
      <c r="A1854" s="30"/>
      <c r="E1854" s="31"/>
      <c r="G1854" s="32" t="str">
        <f t="shared" si="56"/>
        <v>|||1900|</v>
      </c>
      <c r="H1854" s="32" t="str">
        <f t="shared" si="57"/>
        <v>||1900|</v>
      </c>
      <c r="I1854" s="32">
        <f>IF(G1854="",0,IF(COUNTIF($G$2:G1854,G1854)=1,1,0))</f>
        <v>0</v>
      </c>
      <c r="J1854" s="32">
        <f>IF(H1854="",0,IF(COUNTIF($H$2:H1854,H1854)=1,1,0))</f>
        <v>0</v>
      </c>
    </row>
    <row r="1855" spans="1:10" ht="14.25" hidden="1" customHeight="1" x14ac:dyDescent="0.35">
      <c r="A1855" s="30"/>
      <c r="E1855" s="31"/>
      <c r="G1855" s="32" t="str">
        <f t="shared" si="56"/>
        <v>|||1900|</v>
      </c>
      <c r="H1855" s="32" t="str">
        <f t="shared" si="57"/>
        <v>||1900|</v>
      </c>
      <c r="I1855" s="32">
        <f>IF(G1855="",0,IF(COUNTIF($G$2:G1855,G1855)=1,1,0))</f>
        <v>0</v>
      </c>
      <c r="J1855" s="32">
        <f>IF(H1855="",0,IF(COUNTIF($H$2:H1855,H1855)=1,1,0))</f>
        <v>0</v>
      </c>
    </row>
    <row r="1856" spans="1:10" ht="14.25" hidden="1" customHeight="1" x14ac:dyDescent="0.35">
      <c r="A1856" s="30"/>
      <c r="E1856" s="31"/>
      <c r="G1856" s="32" t="str">
        <f t="shared" si="56"/>
        <v>|||1900|</v>
      </c>
      <c r="H1856" s="32" t="str">
        <f t="shared" si="57"/>
        <v>||1900|</v>
      </c>
      <c r="I1856" s="32">
        <f>IF(G1856="",0,IF(COUNTIF($G$2:G1856,G1856)=1,1,0))</f>
        <v>0</v>
      </c>
      <c r="J1856" s="32">
        <f>IF(H1856="",0,IF(COUNTIF($H$2:H1856,H1856)=1,1,0))</f>
        <v>0</v>
      </c>
    </row>
    <row r="1857" spans="1:10" ht="14.25" hidden="1" customHeight="1" x14ac:dyDescent="0.35">
      <c r="A1857" s="30"/>
      <c r="E1857" s="31"/>
      <c r="G1857" s="32" t="str">
        <f t="shared" si="56"/>
        <v>|||1900|</v>
      </c>
      <c r="H1857" s="32" t="str">
        <f t="shared" si="57"/>
        <v>||1900|</v>
      </c>
      <c r="I1857" s="32">
        <f>IF(G1857="",0,IF(COUNTIF($G$2:G1857,G1857)=1,1,0))</f>
        <v>0</v>
      </c>
      <c r="J1857" s="32">
        <f>IF(H1857="",0,IF(COUNTIF($H$2:H1857,H1857)=1,1,0))</f>
        <v>0</v>
      </c>
    </row>
    <row r="1858" spans="1:10" ht="14.25" hidden="1" customHeight="1" x14ac:dyDescent="0.35">
      <c r="A1858" s="30"/>
      <c r="E1858" s="31"/>
      <c r="G1858" s="32" t="str">
        <f t="shared" ref="G1858:G1921" si="58">IF(D1858="T",
E1858&amp;"|"&amp;F1858,
A1858&amp;"|"&amp;B1858&amp;"|"&amp;C1858&amp;"|"&amp;YEAR(E1858)&amp;"|"&amp;F1858)</f>
        <v>|||1900|</v>
      </c>
      <c r="H1858" s="32" t="str">
        <f t="shared" ref="H1858:H1921" si="59">A1858&amp;"|"&amp;C1858&amp;"|"&amp;YEAR(E1858)&amp;"|"&amp;F1858</f>
        <v>||1900|</v>
      </c>
      <c r="I1858" s="32">
        <f>IF(G1858="",0,IF(COUNTIF($G$2:G1858,G1858)=1,1,0))</f>
        <v>0</v>
      </c>
      <c r="J1858" s="32">
        <f>IF(H1858="",0,IF(COUNTIF($H$2:H1858,H1858)=1,1,0))</f>
        <v>0</v>
      </c>
    </row>
    <row r="1859" spans="1:10" ht="14.25" hidden="1" customHeight="1" x14ac:dyDescent="0.35">
      <c r="A1859" s="30"/>
      <c r="E1859" s="31"/>
      <c r="G1859" s="32" t="str">
        <f t="shared" si="58"/>
        <v>|||1900|</v>
      </c>
      <c r="H1859" s="32" t="str">
        <f t="shared" si="59"/>
        <v>||1900|</v>
      </c>
      <c r="I1859" s="32">
        <f>IF(G1859="",0,IF(COUNTIF($G$2:G1859,G1859)=1,1,0))</f>
        <v>0</v>
      </c>
      <c r="J1859" s="32">
        <f>IF(H1859="",0,IF(COUNTIF($H$2:H1859,H1859)=1,1,0))</f>
        <v>0</v>
      </c>
    </row>
    <row r="1860" spans="1:10" ht="14.25" hidden="1" customHeight="1" x14ac:dyDescent="0.35">
      <c r="A1860" s="30"/>
      <c r="E1860" s="31"/>
      <c r="G1860" s="32" t="str">
        <f t="shared" si="58"/>
        <v>|||1900|</v>
      </c>
      <c r="H1860" s="32" t="str">
        <f t="shared" si="59"/>
        <v>||1900|</v>
      </c>
      <c r="I1860" s="32">
        <f>IF(G1860="",0,IF(COUNTIF($G$2:G1860,G1860)=1,1,0))</f>
        <v>0</v>
      </c>
      <c r="J1860" s="32">
        <f>IF(H1860="",0,IF(COUNTIF($H$2:H1860,H1860)=1,1,0))</f>
        <v>0</v>
      </c>
    </row>
    <row r="1861" spans="1:10" ht="14.25" hidden="1" customHeight="1" x14ac:dyDescent="0.35">
      <c r="A1861" s="30"/>
      <c r="E1861" s="31"/>
      <c r="G1861" s="32" t="str">
        <f t="shared" si="58"/>
        <v>|||1900|</v>
      </c>
      <c r="H1861" s="32" t="str">
        <f t="shared" si="59"/>
        <v>||1900|</v>
      </c>
      <c r="I1861" s="32">
        <f>IF(G1861="",0,IF(COUNTIF($G$2:G1861,G1861)=1,1,0))</f>
        <v>0</v>
      </c>
      <c r="J1861" s="32">
        <f>IF(H1861="",0,IF(COUNTIF($H$2:H1861,H1861)=1,1,0))</f>
        <v>0</v>
      </c>
    </row>
    <row r="1862" spans="1:10" ht="14.25" hidden="1" customHeight="1" x14ac:dyDescent="0.35">
      <c r="A1862" s="30"/>
      <c r="E1862" s="31"/>
      <c r="G1862" s="32" t="str">
        <f t="shared" si="58"/>
        <v>|||1900|</v>
      </c>
      <c r="H1862" s="32" t="str">
        <f t="shared" si="59"/>
        <v>||1900|</v>
      </c>
      <c r="I1862" s="32">
        <f>IF(G1862="",0,IF(COUNTIF($G$2:G1862,G1862)=1,1,0))</f>
        <v>0</v>
      </c>
      <c r="J1862" s="32">
        <f>IF(H1862="",0,IF(COUNTIF($H$2:H1862,H1862)=1,1,0))</f>
        <v>0</v>
      </c>
    </row>
    <row r="1863" spans="1:10" ht="14.25" hidden="1" customHeight="1" x14ac:dyDescent="0.35">
      <c r="A1863" s="30"/>
      <c r="E1863" s="31"/>
      <c r="G1863" s="32" t="str">
        <f t="shared" si="58"/>
        <v>|||1900|</v>
      </c>
      <c r="H1863" s="32" t="str">
        <f t="shared" si="59"/>
        <v>||1900|</v>
      </c>
      <c r="I1863" s="32">
        <f>IF(G1863="",0,IF(COUNTIF($G$2:G1863,G1863)=1,1,0))</f>
        <v>0</v>
      </c>
      <c r="J1863" s="32">
        <f>IF(H1863="",0,IF(COUNTIF($H$2:H1863,H1863)=1,1,0))</f>
        <v>0</v>
      </c>
    </row>
    <row r="1864" spans="1:10" ht="14.25" hidden="1" customHeight="1" x14ac:dyDescent="0.35">
      <c r="A1864" s="30"/>
      <c r="E1864" s="31"/>
      <c r="G1864" s="32" t="str">
        <f t="shared" si="58"/>
        <v>|||1900|</v>
      </c>
      <c r="H1864" s="32" t="str">
        <f t="shared" si="59"/>
        <v>||1900|</v>
      </c>
      <c r="I1864" s="32">
        <f>IF(G1864="",0,IF(COUNTIF($G$2:G1864,G1864)=1,1,0))</f>
        <v>0</v>
      </c>
      <c r="J1864" s="32">
        <f>IF(H1864="",0,IF(COUNTIF($H$2:H1864,H1864)=1,1,0))</f>
        <v>0</v>
      </c>
    </row>
    <row r="1865" spans="1:10" ht="14.25" hidden="1" customHeight="1" x14ac:dyDescent="0.35">
      <c r="A1865" s="30"/>
      <c r="E1865" s="31"/>
      <c r="G1865" s="32" t="str">
        <f t="shared" si="58"/>
        <v>|||1900|</v>
      </c>
      <c r="H1865" s="32" t="str">
        <f t="shared" si="59"/>
        <v>||1900|</v>
      </c>
      <c r="I1865" s="32">
        <f>IF(G1865="",0,IF(COUNTIF($G$2:G1865,G1865)=1,1,0))</f>
        <v>0</v>
      </c>
      <c r="J1865" s="32">
        <f>IF(H1865="",0,IF(COUNTIF($H$2:H1865,H1865)=1,1,0))</f>
        <v>0</v>
      </c>
    </row>
    <row r="1866" spans="1:10" ht="14.25" hidden="1" customHeight="1" x14ac:dyDescent="0.35">
      <c r="A1866" s="30"/>
      <c r="E1866" s="31"/>
      <c r="G1866" s="32" t="str">
        <f t="shared" si="58"/>
        <v>|||1900|</v>
      </c>
      <c r="H1866" s="32" t="str">
        <f t="shared" si="59"/>
        <v>||1900|</v>
      </c>
      <c r="I1866" s="32">
        <f>IF(G1866="",0,IF(COUNTIF($G$2:G1866,G1866)=1,1,0))</f>
        <v>0</v>
      </c>
      <c r="J1866" s="32">
        <f>IF(H1866="",0,IF(COUNTIF($H$2:H1866,H1866)=1,1,0))</f>
        <v>0</v>
      </c>
    </row>
    <row r="1867" spans="1:10" ht="14.25" hidden="1" customHeight="1" x14ac:dyDescent="0.35">
      <c r="A1867" s="30"/>
      <c r="E1867" s="31"/>
      <c r="G1867" s="32" t="str">
        <f t="shared" si="58"/>
        <v>|||1900|</v>
      </c>
      <c r="H1867" s="32" t="str">
        <f t="shared" si="59"/>
        <v>||1900|</v>
      </c>
      <c r="I1867" s="32">
        <f>IF(G1867="",0,IF(COUNTIF($G$2:G1867,G1867)=1,1,0))</f>
        <v>0</v>
      </c>
      <c r="J1867" s="32">
        <f>IF(H1867="",0,IF(COUNTIF($H$2:H1867,H1867)=1,1,0))</f>
        <v>0</v>
      </c>
    </row>
    <row r="1868" spans="1:10" ht="14.25" hidden="1" customHeight="1" x14ac:dyDescent="0.35">
      <c r="A1868" s="30"/>
      <c r="E1868" s="31"/>
      <c r="G1868" s="32" t="str">
        <f t="shared" si="58"/>
        <v>|||1900|</v>
      </c>
      <c r="H1868" s="32" t="str">
        <f t="shared" si="59"/>
        <v>||1900|</v>
      </c>
      <c r="I1868" s="32">
        <f>IF(G1868="",0,IF(COUNTIF($G$2:G1868,G1868)=1,1,0))</f>
        <v>0</v>
      </c>
      <c r="J1868" s="32">
        <f>IF(H1868="",0,IF(COUNTIF($H$2:H1868,H1868)=1,1,0))</f>
        <v>0</v>
      </c>
    </row>
    <row r="1869" spans="1:10" ht="14.25" hidden="1" customHeight="1" x14ac:dyDescent="0.35">
      <c r="A1869" s="30"/>
      <c r="E1869" s="31"/>
      <c r="G1869" s="32" t="str">
        <f t="shared" si="58"/>
        <v>|||1900|</v>
      </c>
      <c r="H1869" s="32" t="str">
        <f t="shared" si="59"/>
        <v>||1900|</v>
      </c>
      <c r="I1869" s="32">
        <f>IF(G1869="",0,IF(COUNTIF($G$2:G1869,G1869)=1,1,0))</f>
        <v>0</v>
      </c>
      <c r="J1869" s="32">
        <f>IF(H1869="",0,IF(COUNTIF($H$2:H1869,H1869)=1,1,0))</f>
        <v>0</v>
      </c>
    </row>
    <row r="1870" spans="1:10" ht="14.25" hidden="1" customHeight="1" x14ac:dyDescent="0.35">
      <c r="A1870" s="30"/>
      <c r="E1870" s="31"/>
      <c r="G1870" s="32" t="str">
        <f t="shared" si="58"/>
        <v>|||1900|</v>
      </c>
      <c r="H1870" s="32" t="str">
        <f t="shared" si="59"/>
        <v>||1900|</v>
      </c>
      <c r="I1870" s="32">
        <f>IF(G1870="",0,IF(COUNTIF($G$2:G1870,G1870)=1,1,0))</f>
        <v>0</v>
      </c>
      <c r="J1870" s="32">
        <f>IF(H1870="",0,IF(COUNTIF($H$2:H1870,H1870)=1,1,0))</f>
        <v>0</v>
      </c>
    </row>
    <row r="1871" spans="1:10" ht="14.25" hidden="1" customHeight="1" x14ac:dyDescent="0.35">
      <c r="A1871" s="30"/>
      <c r="E1871" s="31"/>
      <c r="G1871" s="32" t="str">
        <f t="shared" si="58"/>
        <v>|||1900|</v>
      </c>
      <c r="H1871" s="32" t="str">
        <f t="shared" si="59"/>
        <v>||1900|</v>
      </c>
      <c r="I1871" s="32">
        <f>IF(G1871="",0,IF(COUNTIF($G$2:G1871,G1871)=1,1,0))</f>
        <v>0</v>
      </c>
      <c r="J1871" s="32">
        <f>IF(H1871="",0,IF(COUNTIF($H$2:H1871,H1871)=1,1,0))</f>
        <v>0</v>
      </c>
    </row>
    <row r="1872" spans="1:10" ht="14.25" hidden="1" customHeight="1" x14ac:dyDescent="0.35">
      <c r="A1872" s="30"/>
      <c r="E1872" s="31"/>
      <c r="G1872" s="32" t="str">
        <f t="shared" si="58"/>
        <v>|||1900|</v>
      </c>
      <c r="H1872" s="32" t="str">
        <f t="shared" si="59"/>
        <v>||1900|</v>
      </c>
      <c r="I1872" s="32">
        <f>IF(G1872="",0,IF(COUNTIF($G$2:G1872,G1872)=1,1,0))</f>
        <v>0</v>
      </c>
      <c r="J1872" s="32">
        <f>IF(H1872="",0,IF(COUNTIF($H$2:H1872,H1872)=1,1,0))</f>
        <v>0</v>
      </c>
    </row>
    <row r="1873" spans="1:10" ht="14.25" hidden="1" customHeight="1" x14ac:dyDescent="0.35">
      <c r="A1873" s="30"/>
      <c r="E1873" s="31"/>
      <c r="G1873" s="32" t="str">
        <f t="shared" si="58"/>
        <v>|||1900|</v>
      </c>
      <c r="H1873" s="32" t="str">
        <f t="shared" si="59"/>
        <v>||1900|</v>
      </c>
      <c r="I1873" s="32">
        <f>IF(G1873="",0,IF(COUNTIF($G$2:G1873,G1873)=1,1,0))</f>
        <v>0</v>
      </c>
      <c r="J1873" s="32">
        <f>IF(H1873="",0,IF(COUNTIF($H$2:H1873,H1873)=1,1,0))</f>
        <v>0</v>
      </c>
    </row>
    <row r="1874" spans="1:10" ht="14.25" hidden="1" customHeight="1" x14ac:dyDescent="0.35">
      <c r="A1874" s="30"/>
      <c r="E1874" s="31"/>
      <c r="G1874" s="32" t="str">
        <f t="shared" si="58"/>
        <v>|||1900|</v>
      </c>
      <c r="H1874" s="32" t="str">
        <f t="shared" si="59"/>
        <v>||1900|</v>
      </c>
      <c r="I1874" s="32">
        <f>IF(G1874="",0,IF(COUNTIF($G$2:G1874,G1874)=1,1,0))</f>
        <v>0</v>
      </c>
      <c r="J1874" s="32">
        <f>IF(H1874="",0,IF(COUNTIF($H$2:H1874,H1874)=1,1,0))</f>
        <v>0</v>
      </c>
    </row>
    <row r="1875" spans="1:10" ht="14.25" hidden="1" customHeight="1" x14ac:dyDescent="0.35">
      <c r="A1875" s="30"/>
      <c r="E1875" s="31"/>
      <c r="G1875" s="32" t="str">
        <f t="shared" si="58"/>
        <v>|||1900|</v>
      </c>
      <c r="H1875" s="32" t="str">
        <f t="shared" si="59"/>
        <v>||1900|</v>
      </c>
      <c r="I1875" s="32">
        <f>IF(G1875="",0,IF(COUNTIF($G$2:G1875,G1875)=1,1,0))</f>
        <v>0</v>
      </c>
      <c r="J1875" s="32">
        <f>IF(H1875="",0,IF(COUNTIF($H$2:H1875,H1875)=1,1,0))</f>
        <v>0</v>
      </c>
    </row>
    <row r="1876" spans="1:10" ht="14.25" hidden="1" customHeight="1" x14ac:dyDescent="0.35">
      <c r="A1876" s="30"/>
      <c r="E1876" s="31"/>
      <c r="G1876" s="32" t="str">
        <f t="shared" si="58"/>
        <v>|||1900|</v>
      </c>
      <c r="H1876" s="32" t="str">
        <f t="shared" si="59"/>
        <v>||1900|</v>
      </c>
      <c r="I1876" s="32">
        <f>IF(G1876="",0,IF(COUNTIF($G$2:G1876,G1876)=1,1,0))</f>
        <v>0</v>
      </c>
      <c r="J1876" s="32">
        <f>IF(H1876="",0,IF(COUNTIF($H$2:H1876,H1876)=1,1,0))</f>
        <v>0</v>
      </c>
    </row>
    <row r="1877" spans="1:10" ht="14.25" hidden="1" customHeight="1" x14ac:dyDescent="0.35">
      <c r="A1877" s="30"/>
      <c r="E1877" s="31"/>
      <c r="G1877" s="32" t="str">
        <f t="shared" si="58"/>
        <v>|||1900|</v>
      </c>
      <c r="H1877" s="32" t="str">
        <f t="shared" si="59"/>
        <v>||1900|</v>
      </c>
      <c r="I1877" s="32">
        <f>IF(G1877="",0,IF(COUNTIF($G$2:G1877,G1877)=1,1,0))</f>
        <v>0</v>
      </c>
      <c r="J1877" s="32">
        <f>IF(H1877="",0,IF(COUNTIF($H$2:H1877,H1877)=1,1,0))</f>
        <v>0</v>
      </c>
    </row>
    <row r="1878" spans="1:10" ht="14.25" hidden="1" customHeight="1" x14ac:dyDescent="0.35">
      <c r="A1878" s="30"/>
      <c r="E1878" s="31"/>
      <c r="G1878" s="32" t="str">
        <f t="shared" si="58"/>
        <v>|||1900|</v>
      </c>
      <c r="H1878" s="32" t="str">
        <f t="shared" si="59"/>
        <v>||1900|</v>
      </c>
      <c r="I1878" s="32">
        <f>IF(G1878="",0,IF(COUNTIF($G$2:G1878,G1878)=1,1,0))</f>
        <v>0</v>
      </c>
      <c r="J1878" s="32">
        <f>IF(H1878="",0,IF(COUNTIF($H$2:H1878,H1878)=1,1,0))</f>
        <v>0</v>
      </c>
    </row>
    <row r="1879" spans="1:10" ht="14.25" hidden="1" customHeight="1" x14ac:dyDescent="0.35">
      <c r="A1879" s="30"/>
      <c r="E1879" s="31"/>
      <c r="G1879" s="32" t="str">
        <f t="shared" si="58"/>
        <v>|||1900|</v>
      </c>
      <c r="H1879" s="32" t="str">
        <f t="shared" si="59"/>
        <v>||1900|</v>
      </c>
      <c r="I1879" s="32">
        <f>IF(G1879="",0,IF(COUNTIF($G$2:G1879,G1879)=1,1,0))</f>
        <v>0</v>
      </c>
      <c r="J1879" s="32">
        <f>IF(H1879="",0,IF(COUNTIF($H$2:H1879,H1879)=1,1,0))</f>
        <v>0</v>
      </c>
    </row>
    <row r="1880" spans="1:10" ht="14.25" hidden="1" customHeight="1" x14ac:dyDescent="0.35">
      <c r="A1880" s="30"/>
      <c r="E1880" s="31"/>
      <c r="G1880" s="32" t="str">
        <f t="shared" si="58"/>
        <v>|||1900|</v>
      </c>
      <c r="H1880" s="32" t="str">
        <f t="shared" si="59"/>
        <v>||1900|</v>
      </c>
      <c r="I1880" s="32">
        <f>IF(G1880="",0,IF(COUNTIF($G$2:G1880,G1880)=1,1,0))</f>
        <v>0</v>
      </c>
      <c r="J1880" s="32">
        <f>IF(H1880="",0,IF(COUNTIF($H$2:H1880,H1880)=1,1,0))</f>
        <v>0</v>
      </c>
    </row>
    <row r="1881" spans="1:10" ht="14.25" hidden="1" customHeight="1" x14ac:dyDescent="0.35">
      <c r="A1881" s="30"/>
      <c r="E1881" s="31"/>
      <c r="G1881" s="32" t="str">
        <f t="shared" si="58"/>
        <v>|||1900|</v>
      </c>
      <c r="H1881" s="32" t="str">
        <f t="shared" si="59"/>
        <v>||1900|</v>
      </c>
      <c r="I1881" s="32">
        <f>IF(G1881="",0,IF(COUNTIF($G$2:G1881,G1881)=1,1,0))</f>
        <v>0</v>
      </c>
      <c r="J1881" s="32">
        <f>IF(H1881="",0,IF(COUNTIF($H$2:H1881,H1881)=1,1,0))</f>
        <v>0</v>
      </c>
    </row>
    <row r="1882" spans="1:10" ht="14.25" hidden="1" customHeight="1" x14ac:dyDescent="0.35">
      <c r="A1882" s="30"/>
      <c r="E1882" s="31"/>
      <c r="G1882" s="32" t="str">
        <f t="shared" si="58"/>
        <v>|||1900|</v>
      </c>
      <c r="H1882" s="32" t="str">
        <f t="shared" si="59"/>
        <v>||1900|</v>
      </c>
      <c r="I1882" s="32">
        <f>IF(G1882="",0,IF(COUNTIF($G$2:G1882,G1882)=1,1,0))</f>
        <v>0</v>
      </c>
      <c r="J1882" s="32">
        <f>IF(H1882="",0,IF(COUNTIF($H$2:H1882,H1882)=1,1,0))</f>
        <v>0</v>
      </c>
    </row>
    <row r="1883" spans="1:10" ht="14.25" hidden="1" customHeight="1" x14ac:dyDescent="0.35">
      <c r="A1883" s="30"/>
      <c r="E1883" s="31"/>
      <c r="G1883" s="32" t="str">
        <f t="shared" si="58"/>
        <v>|||1900|</v>
      </c>
      <c r="H1883" s="32" t="str">
        <f t="shared" si="59"/>
        <v>||1900|</v>
      </c>
      <c r="I1883" s="32">
        <f>IF(G1883="",0,IF(COUNTIF($G$2:G1883,G1883)=1,1,0))</f>
        <v>0</v>
      </c>
      <c r="J1883" s="32">
        <f>IF(H1883="",0,IF(COUNTIF($H$2:H1883,H1883)=1,1,0))</f>
        <v>0</v>
      </c>
    </row>
    <row r="1884" spans="1:10" ht="14.25" hidden="1" customHeight="1" x14ac:dyDescent="0.35">
      <c r="A1884" s="30"/>
      <c r="E1884" s="31"/>
      <c r="G1884" s="32" t="str">
        <f t="shared" si="58"/>
        <v>|||1900|</v>
      </c>
      <c r="H1884" s="32" t="str">
        <f t="shared" si="59"/>
        <v>||1900|</v>
      </c>
      <c r="I1884" s="32">
        <f>IF(G1884="",0,IF(COUNTIF($G$2:G1884,G1884)=1,1,0))</f>
        <v>0</v>
      </c>
      <c r="J1884" s="32">
        <f>IF(H1884="",0,IF(COUNTIF($H$2:H1884,H1884)=1,1,0))</f>
        <v>0</v>
      </c>
    </row>
    <row r="1885" spans="1:10" ht="14.25" hidden="1" customHeight="1" x14ac:dyDescent="0.35">
      <c r="A1885" s="30"/>
      <c r="E1885" s="31"/>
      <c r="G1885" s="32" t="str">
        <f t="shared" si="58"/>
        <v>|||1900|</v>
      </c>
      <c r="H1885" s="32" t="str">
        <f t="shared" si="59"/>
        <v>||1900|</v>
      </c>
      <c r="I1885" s="32">
        <f>IF(G1885="",0,IF(COUNTIF($G$2:G1885,G1885)=1,1,0))</f>
        <v>0</v>
      </c>
      <c r="J1885" s="32">
        <f>IF(H1885="",0,IF(COUNTIF($H$2:H1885,H1885)=1,1,0))</f>
        <v>0</v>
      </c>
    </row>
    <row r="1886" spans="1:10" ht="14.25" hidden="1" customHeight="1" x14ac:dyDescent="0.35">
      <c r="A1886" s="30"/>
      <c r="E1886" s="31"/>
      <c r="G1886" s="32" t="str">
        <f t="shared" si="58"/>
        <v>|||1900|</v>
      </c>
      <c r="H1886" s="32" t="str">
        <f t="shared" si="59"/>
        <v>||1900|</v>
      </c>
      <c r="I1886" s="32">
        <f>IF(G1886="",0,IF(COUNTIF($G$2:G1886,G1886)=1,1,0))</f>
        <v>0</v>
      </c>
      <c r="J1886" s="32">
        <f>IF(H1886="",0,IF(COUNTIF($H$2:H1886,H1886)=1,1,0))</f>
        <v>0</v>
      </c>
    </row>
    <row r="1887" spans="1:10" ht="14.25" hidden="1" customHeight="1" x14ac:dyDescent="0.35">
      <c r="A1887" s="30"/>
      <c r="E1887" s="31"/>
      <c r="G1887" s="32" t="str">
        <f t="shared" si="58"/>
        <v>|||1900|</v>
      </c>
      <c r="H1887" s="32" t="str">
        <f t="shared" si="59"/>
        <v>||1900|</v>
      </c>
      <c r="I1887" s="32">
        <f>IF(G1887="",0,IF(COUNTIF($G$2:G1887,G1887)=1,1,0))</f>
        <v>0</v>
      </c>
      <c r="J1887" s="32">
        <f>IF(H1887="",0,IF(COUNTIF($H$2:H1887,H1887)=1,1,0))</f>
        <v>0</v>
      </c>
    </row>
    <row r="1888" spans="1:10" ht="14.25" hidden="1" customHeight="1" x14ac:dyDescent="0.35">
      <c r="A1888" s="30"/>
      <c r="E1888" s="31"/>
      <c r="G1888" s="32" t="str">
        <f t="shared" si="58"/>
        <v>|||1900|</v>
      </c>
      <c r="H1888" s="32" t="str">
        <f t="shared" si="59"/>
        <v>||1900|</v>
      </c>
      <c r="I1888" s="32">
        <f>IF(G1888="",0,IF(COUNTIF($G$2:G1888,G1888)=1,1,0))</f>
        <v>0</v>
      </c>
      <c r="J1888" s="32">
        <f>IF(H1888="",0,IF(COUNTIF($H$2:H1888,H1888)=1,1,0))</f>
        <v>0</v>
      </c>
    </row>
    <row r="1889" spans="1:10" ht="14.25" hidden="1" customHeight="1" x14ac:dyDescent="0.35">
      <c r="A1889" s="30"/>
      <c r="E1889" s="31"/>
      <c r="G1889" s="32" t="str">
        <f t="shared" si="58"/>
        <v>|||1900|</v>
      </c>
      <c r="H1889" s="32" t="str">
        <f t="shared" si="59"/>
        <v>||1900|</v>
      </c>
      <c r="I1889" s="32">
        <f>IF(G1889="",0,IF(COUNTIF($G$2:G1889,G1889)=1,1,0))</f>
        <v>0</v>
      </c>
      <c r="J1889" s="32">
        <f>IF(H1889="",0,IF(COUNTIF($H$2:H1889,H1889)=1,1,0))</f>
        <v>0</v>
      </c>
    </row>
    <row r="1890" spans="1:10" ht="14.25" hidden="1" customHeight="1" x14ac:dyDescent="0.35">
      <c r="A1890" s="30"/>
      <c r="E1890" s="31"/>
      <c r="G1890" s="32" t="str">
        <f t="shared" si="58"/>
        <v>|||1900|</v>
      </c>
      <c r="H1890" s="32" t="str">
        <f t="shared" si="59"/>
        <v>||1900|</v>
      </c>
      <c r="I1890" s="32">
        <f>IF(G1890="",0,IF(COUNTIF($G$2:G1890,G1890)=1,1,0))</f>
        <v>0</v>
      </c>
      <c r="J1890" s="32">
        <f>IF(H1890="",0,IF(COUNTIF($H$2:H1890,H1890)=1,1,0))</f>
        <v>0</v>
      </c>
    </row>
    <row r="1891" spans="1:10" ht="14.25" hidden="1" customHeight="1" x14ac:dyDescent="0.35">
      <c r="A1891" s="30"/>
      <c r="E1891" s="31"/>
      <c r="G1891" s="32" t="str">
        <f t="shared" si="58"/>
        <v>|||1900|</v>
      </c>
      <c r="H1891" s="32" t="str">
        <f t="shared" si="59"/>
        <v>||1900|</v>
      </c>
      <c r="I1891" s="32">
        <f>IF(G1891="",0,IF(COUNTIF($G$2:G1891,G1891)=1,1,0))</f>
        <v>0</v>
      </c>
      <c r="J1891" s="32">
        <f>IF(H1891="",0,IF(COUNTIF($H$2:H1891,H1891)=1,1,0))</f>
        <v>0</v>
      </c>
    </row>
    <row r="1892" spans="1:10" ht="14.25" hidden="1" customHeight="1" x14ac:dyDescent="0.35">
      <c r="A1892" s="30"/>
      <c r="E1892" s="31"/>
      <c r="G1892" s="32" t="str">
        <f t="shared" si="58"/>
        <v>|||1900|</v>
      </c>
      <c r="H1892" s="32" t="str">
        <f t="shared" si="59"/>
        <v>||1900|</v>
      </c>
      <c r="I1892" s="32">
        <f>IF(G1892="",0,IF(COUNTIF($G$2:G1892,G1892)=1,1,0))</f>
        <v>0</v>
      </c>
      <c r="J1892" s="32">
        <f>IF(H1892="",0,IF(COUNTIF($H$2:H1892,H1892)=1,1,0))</f>
        <v>0</v>
      </c>
    </row>
    <row r="1893" spans="1:10" ht="14.25" hidden="1" customHeight="1" x14ac:dyDescent="0.35">
      <c r="A1893" s="30"/>
      <c r="E1893" s="31"/>
      <c r="G1893" s="32" t="str">
        <f t="shared" si="58"/>
        <v>|||1900|</v>
      </c>
      <c r="H1893" s="32" t="str">
        <f t="shared" si="59"/>
        <v>||1900|</v>
      </c>
      <c r="I1893" s="32">
        <f>IF(G1893="",0,IF(COUNTIF($G$2:G1893,G1893)=1,1,0))</f>
        <v>0</v>
      </c>
      <c r="J1893" s="32">
        <f>IF(H1893="",0,IF(COUNTIF($H$2:H1893,H1893)=1,1,0))</f>
        <v>0</v>
      </c>
    </row>
    <row r="1894" spans="1:10" ht="14.25" hidden="1" customHeight="1" x14ac:dyDescent="0.35">
      <c r="A1894" s="30"/>
      <c r="E1894" s="31"/>
      <c r="G1894" s="32" t="str">
        <f t="shared" si="58"/>
        <v>|||1900|</v>
      </c>
      <c r="H1894" s="32" t="str">
        <f t="shared" si="59"/>
        <v>||1900|</v>
      </c>
      <c r="I1894" s="32">
        <f>IF(G1894="",0,IF(COUNTIF($G$2:G1894,G1894)=1,1,0))</f>
        <v>0</v>
      </c>
      <c r="J1894" s="32">
        <f>IF(H1894="",0,IF(COUNTIF($H$2:H1894,H1894)=1,1,0))</f>
        <v>0</v>
      </c>
    </row>
    <row r="1895" spans="1:10" ht="14.25" hidden="1" customHeight="1" x14ac:dyDescent="0.35">
      <c r="A1895" s="30"/>
      <c r="E1895" s="31"/>
      <c r="G1895" s="32" t="str">
        <f t="shared" si="58"/>
        <v>|||1900|</v>
      </c>
      <c r="H1895" s="32" t="str">
        <f t="shared" si="59"/>
        <v>||1900|</v>
      </c>
      <c r="I1895" s="32">
        <f>IF(G1895="",0,IF(COUNTIF($G$2:G1895,G1895)=1,1,0))</f>
        <v>0</v>
      </c>
      <c r="J1895" s="32">
        <f>IF(H1895="",0,IF(COUNTIF($H$2:H1895,H1895)=1,1,0))</f>
        <v>0</v>
      </c>
    </row>
    <row r="1896" spans="1:10" ht="14.25" hidden="1" customHeight="1" x14ac:dyDescent="0.35">
      <c r="A1896" s="30"/>
      <c r="E1896" s="31"/>
      <c r="G1896" s="32" t="str">
        <f t="shared" si="58"/>
        <v>|||1900|</v>
      </c>
      <c r="H1896" s="32" t="str">
        <f t="shared" si="59"/>
        <v>||1900|</v>
      </c>
      <c r="I1896" s="32">
        <f>IF(G1896="",0,IF(COUNTIF($G$2:G1896,G1896)=1,1,0))</f>
        <v>0</v>
      </c>
      <c r="J1896" s="32">
        <f>IF(H1896="",0,IF(COUNTIF($H$2:H1896,H1896)=1,1,0))</f>
        <v>0</v>
      </c>
    </row>
    <row r="1897" spans="1:10" ht="14.25" hidden="1" customHeight="1" x14ac:dyDescent="0.35">
      <c r="A1897" s="30"/>
      <c r="E1897" s="31"/>
      <c r="G1897" s="32" t="str">
        <f t="shared" si="58"/>
        <v>|||1900|</v>
      </c>
      <c r="H1897" s="32" t="str">
        <f t="shared" si="59"/>
        <v>||1900|</v>
      </c>
      <c r="I1897" s="32">
        <f>IF(G1897="",0,IF(COUNTIF($G$2:G1897,G1897)=1,1,0))</f>
        <v>0</v>
      </c>
      <c r="J1897" s="32">
        <f>IF(H1897="",0,IF(COUNTIF($H$2:H1897,H1897)=1,1,0))</f>
        <v>0</v>
      </c>
    </row>
    <row r="1898" spans="1:10" ht="14.25" hidden="1" customHeight="1" x14ac:dyDescent="0.35">
      <c r="A1898" s="30"/>
      <c r="E1898" s="31"/>
      <c r="G1898" s="32" t="str">
        <f t="shared" si="58"/>
        <v>|||1900|</v>
      </c>
      <c r="H1898" s="32" t="str">
        <f t="shared" si="59"/>
        <v>||1900|</v>
      </c>
      <c r="I1898" s="32">
        <f>IF(G1898="",0,IF(COUNTIF($G$2:G1898,G1898)=1,1,0))</f>
        <v>0</v>
      </c>
      <c r="J1898" s="32">
        <f>IF(H1898="",0,IF(COUNTIF($H$2:H1898,H1898)=1,1,0))</f>
        <v>0</v>
      </c>
    </row>
    <row r="1899" spans="1:10" ht="14.25" hidden="1" customHeight="1" x14ac:dyDescent="0.35">
      <c r="A1899" s="30"/>
      <c r="E1899" s="31"/>
      <c r="G1899" s="32" t="str">
        <f t="shared" si="58"/>
        <v>|||1900|</v>
      </c>
      <c r="H1899" s="32" t="str">
        <f t="shared" si="59"/>
        <v>||1900|</v>
      </c>
      <c r="I1899" s="32">
        <f>IF(G1899="",0,IF(COUNTIF($G$2:G1899,G1899)=1,1,0))</f>
        <v>0</v>
      </c>
      <c r="J1899" s="32">
        <f>IF(H1899="",0,IF(COUNTIF($H$2:H1899,H1899)=1,1,0))</f>
        <v>0</v>
      </c>
    </row>
    <row r="1900" spans="1:10" ht="14.25" hidden="1" customHeight="1" x14ac:dyDescent="0.35">
      <c r="A1900" s="30"/>
      <c r="E1900" s="31"/>
      <c r="G1900" s="32" t="str">
        <f t="shared" si="58"/>
        <v>|||1900|</v>
      </c>
      <c r="H1900" s="32" t="str">
        <f t="shared" si="59"/>
        <v>||1900|</v>
      </c>
      <c r="I1900" s="32">
        <f>IF(G1900="",0,IF(COUNTIF($G$2:G1900,G1900)=1,1,0))</f>
        <v>0</v>
      </c>
      <c r="J1900" s="32">
        <f>IF(H1900="",0,IF(COUNTIF($H$2:H1900,H1900)=1,1,0))</f>
        <v>0</v>
      </c>
    </row>
    <row r="1901" spans="1:10" ht="14.25" hidden="1" customHeight="1" x14ac:dyDescent="0.35">
      <c r="A1901" s="30"/>
      <c r="E1901" s="31"/>
      <c r="G1901" s="32" t="str">
        <f t="shared" si="58"/>
        <v>|||1900|</v>
      </c>
      <c r="H1901" s="32" t="str">
        <f t="shared" si="59"/>
        <v>||1900|</v>
      </c>
      <c r="I1901" s="32">
        <f>IF(G1901="",0,IF(COUNTIF($G$2:G1901,G1901)=1,1,0))</f>
        <v>0</v>
      </c>
      <c r="J1901" s="32">
        <f>IF(H1901="",0,IF(COUNTIF($H$2:H1901,H1901)=1,1,0))</f>
        <v>0</v>
      </c>
    </row>
    <row r="1902" spans="1:10" ht="14.25" hidden="1" customHeight="1" x14ac:dyDescent="0.35">
      <c r="A1902" s="30"/>
      <c r="E1902" s="31"/>
      <c r="G1902" s="32" t="str">
        <f t="shared" si="58"/>
        <v>|||1900|</v>
      </c>
      <c r="H1902" s="32" t="str">
        <f t="shared" si="59"/>
        <v>||1900|</v>
      </c>
      <c r="I1902" s="32">
        <f>IF(G1902="",0,IF(COUNTIF($G$2:G1902,G1902)=1,1,0))</f>
        <v>0</v>
      </c>
      <c r="J1902" s="32">
        <f>IF(H1902="",0,IF(COUNTIF($H$2:H1902,H1902)=1,1,0))</f>
        <v>0</v>
      </c>
    </row>
    <row r="1903" spans="1:10" ht="14.25" hidden="1" customHeight="1" x14ac:dyDescent="0.35">
      <c r="A1903" s="30"/>
      <c r="E1903" s="31"/>
      <c r="G1903" s="32" t="str">
        <f t="shared" si="58"/>
        <v>|||1900|</v>
      </c>
      <c r="H1903" s="32" t="str">
        <f t="shared" si="59"/>
        <v>||1900|</v>
      </c>
      <c r="I1903" s="32">
        <f>IF(G1903="",0,IF(COUNTIF($G$2:G1903,G1903)=1,1,0))</f>
        <v>0</v>
      </c>
      <c r="J1903" s="32">
        <f>IF(H1903="",0,IF(COUNTIF($H$2:H1903,H1903)=1,1,0))</f>
        <v>0</v>
      </c>
    </row>
    <row r="1904" spans="1:10" ht="14.25" hidden="1" customHeight="1" x14ac:dyDescent="0.35">
      <c r="A1904" s="30"/>
      <c r="E1904" s="31"/>
      <c r="G1904" s="32" t="str">
        <f t="shared" si="58"/>
        <v>|||1900|</v>
      </c>
      <c r="H1904" s="32" t="str">
        <f t="shared" si="59"/>
        <v>||1900|</v>
      </c>
      <c r="I1904" s="32">
        <f>IF(G1904="",0,IF(COUNTIF($G$2:G1904,G1904)=1,1,0))</f>
        <v>0</v>
      </c>
      <c r="J1904" s="32">
        <f>IF(H1904="",0,IF(COUNTIF($H$2:H1904,H1904)=1,1,0))</f>
        <v>0</v>
      </c>
    </row>
    <row r="1905" spans="1:10" ht="14.25" hidden="1" customHeight="1" x14ac:dyDescent="0.35">
      <c r="A1905" s="30"/>
      <c r="E1905" s="31"/>
      <c r="G1905" s="32" t="str">
        <f t="shared" si="58"/>
        <v>|||1900|</v>
      </c>
      <c r="H1905" s="32" t="str">
        <f t="shared" si="59"/>
        <v>||1900|</v>
      </c>
      <c r="I1905" s="32">
        <f>IF(G1905="",0,IF(COUNTIF($G$2:G1905,G1905)=1,1,0))</f>
        <v>0</v>
      </c>
      <c r="J1905" s="32">
        <f>IF(H1905="",0,IF(COUNTIF($H$2:H1905,H1905)=1,1,0))</f>
        <v>0</v>
      </c>
    </row>
    <row r="1906" spans="1:10" ht="14.25" hidden="1" customHeight="1" x14ac:dyDescent="0.35">
      <c r="A1906" s="30"/>
      <c r="E1906" s="31"/>
      <c r="G1906" s="32" t="str">
        <f t="shared" si="58"/>
        <v>|||1900|</v>
      </c>
      <c r="H1906" s="32" t="str">
        <f t="shared" si="59"/>
        <v>||1900|</v>
      </c>
      <c r="I1906" s="32">
        <f>IF(G1906="",0,IF(COUNTIF($G$2:G1906,G1906)=1,1,0))</f>
        <v>0</v>
      </c>
      <c r="J1906" s="32">
        <f>IF(H1906="",0,IF(COUNTIF($H$2:H1906,H1906)=1,1,0))</f>
        <v>0</v>
      </c>
    </row>
    <row r="1907" spans="1:10" ht="14.25" hidden="1" customHeight="1" x14ac:dyDescent="0.35">
      <c r="A1907" s="30"/>
      <c r="E1907" s="31"/>
      <c r="G1907" s="32" t="str">
        <f t="shared" si="58"/>
        <v>|||1900|</v>
      </c>
      <c r="H1907" s="32" t="str">
        <f t="shared" si="59"/>
        <v>||1900|</v>
      </c>
      <c r="I1907" s="32">
        <f>IF(G1907="",0,IF(COUNTIF($G$2:G1907,G1907)=1,1,0))</f>
        <v>0</v>
      </c>
      <c r="J1907" s="32">
        <f>IF(H1907="",0,IF(COUNTIF($H$2:H1907,H1907)=1,1,0))</f>
        <v>0</v>
      </c>
    </row>
    <row r="1908" spans="1:10" ht="14.25" hidden="1" customHeight="1" x14ac:dyDescent="0.35">
      <c r="A1908" s="30"/>
      <c r="E1908" s="31"/>
      <c r="G1908" s="32" t="str">
        <f t="shared" si="58"/>
        <v>|||1900|</v>
      </c>
      <c r="H1908" s="32" t="str">
        <f t="shared" si="59"/>
        <v>||1900|</v>
      </c>
      <c r="I1908" s="32">
        <f>IF(G1908="",0,IF(COUNTIF($G$2:G1908,G1908)=1,1,0))</f>
        <v>0</v>
      </c>
      <c r="J1908" s="32">
        <f>IF(H1908="",0,IF(COUNTIF($H$2:H1908,H1908)=1,1,0))</f>
        <v>0</v>
      </c>
    </row>
    <row r="1909" spans="1:10" ht="14.25" hidden="1" customHeight="1" x14ac:dyDescent="0.35">
      <c r="A1909" s="30"/>
      <c r="E1909" s="31"/>
      <c r="G1909" s="32" t="str">
        <f t="shared" si="58"/>
        <v>|||1900|</v>
      </c>
      <c r="H1909" s="32" t="str">
        <f t="shared" si="59"/>
        <v>||1900|</v>
      </c>
      <c r="I1909" s="32">
        <f>IF(G1909="",0,IF(COUNTIF($G$2:G1909,G1909)=1,1,0))</f>
        <v>0</v>
      </c>
      <c r="J1909" s="32">
        <f>IF(H1909="",0,IF(COUNTIF($H$2:H1909,H1909)=1,1,0))</f>
        <v>0</v>
      </c>
    </row>
    <row r="1910" spans="1:10" ht="14.25" hidden="1" customHeight="1" x14ac:dyDescent="0.35">
      <c r="A1910" s="30"/>
      <c r="E1910" s="31"/>
      <c r="G1910" s="32" t="str">
        <f t="shared" si="58"/>
        <v>|||1900|</v>
      </c>
      <c r="H1910" s="32" t="str">
        <f t="shared" si="59"/>
        <v>||1900|</v>
      </c>
      <c r="I1910" s="32">
        <f>IF(G1910="",0,IF(COUNTIF($G$2:G1910,G1910)=1,1,0))</f>
        <v>0</v>
      </c>
      <c r="J1910" s="32">
        <f>IF(H1910="",0,IF(COUNTIF($H$2:H1910,H1910)=1,1,0))</f>
        <v>0</v>
      </c>
    </row>
    <row r="1911" spans="1:10" ht="14.25" hidden="1" customHeight="1" x14ac:dyDescent="0.35">
      <c r="A1911" s="30"/>
      <c r="E1911" s="31"/>
      <c r="G1911" s="32" t="str">
        <f t="shared" si="58"/>
        <v>|||1900|</v>
      </c>
      <c r="H1911" s="32" t="str">
        <f t="shared" si="59"/>
        <v>||1900|</v>
      </c>
      <c r="I1911" s="32">
        <f>IF(G1911="",0,IF(COUNTIF($G$2:G1911,G1911)=1,1,0))</f>
        <v>0</v>
      </c>
      <c r="J1911" s="32">
        <f>IF(H1911="",0,IF(COUNTIF($H$2:H1911,H1911)=1,1,0))</f>
        <v>0</v>
      </c>
    </row>
    <row r="1912" spans="1:10" ht="14.25" hidden="1" customHeight="1" x14ac:dyDescent="0.35">
      <c r="A1912" s="30"/>
      <c r="E1912" s="31"/>
      <c r="G1912" s="32" t="str">
        <f t="shared" si="58"/>
        <v>|||1900|</v>
      </c>
      <c r="H1912" s="32" t="str">
        <f t="shared" si="59"/>
        <v>||1900|</v>
      </c>
      <c r="I1912" s="32">
        <f>IF(G1912="",0,IF(COUNTIF($G$2:G1912,G1912)=1,1,0))</f>
        <v>0</v>
      </c>
      <c r="J1912" s="32">
        <f>IF(H1912="",0,IF(COUNTIF($H$2:H1912,H1912)=1,1,0))</f>
        <v>0</v>
      </c>
    </row>
    <row r="1913" spans="1:10" ht="14.25" hidden="1" customHeight="1" x14ac:dyDescent="0.35">
      <c r="A1913" s="30"/>
      <c r="E1913" s="31"/>
      <c r="G1913" s="32" t="str">
        <f t="shared" si="58"/>
        <v>|||1900|</v>
      </c>
      <c r="H1913" s="32" t="str">
        <f t="shared" si="59"/>
        <v>||1900|</v>
      </c>
      <c r="I1913" s="32">
        <f>IF(G1913="",0,IF(COUNTIF($G$2:G1913,G1913)=1,1,0))</f>
        <v>0</v>
      </c>
      <c r="J1913" s="32">
        <f>IF(H1913="",0,IF(COUNTIF($H$2:H1913,H1913)=1,1,0))</f>
        <v>0</v>
      </c>
    </row>
    <row r="1914" spans="1:10" ht="14.25" hidden="1" customHeight="1" x14ac:dyDescent="0.35">
      <c r="A1914" s="30"/>
      <c r="E1914" s="31"/>
      <c r="G1914" s="32" t="str">
        <f t="shared" si="58"/>
        <v>|||1900|</v>
      </c>
      <c r="H1914" s="32" t="str">
        <f t="shared" si="59"/>
        <v>||1900|</v>
      </c>
      <c r="I1914" s="32">
        <f>IF(G1914="",0,IF(COUNTIF($G$2:G1914,G1914)=1,1,0))</f>
        <v>0</v>
      </c>
      <c r="J1914" s="32">
        <f>IF(H1914="",0,IF(COUNTIF($H$2:H1914,H1914)=1,1,0))</f>
        <v>0</v>
      </c>
    </row>
    <row r="1915" spans="1:10" ht="14.25" hidden="1" customHeight="1" x14ac:dyDescent="0.35">
      <c r="A1915" s="30"/>
      <c r="E1915" s="31"/>
      <c r="G1915" s="32" t="str">
        <f t="shared" si="58"/>
        <v>|||1900|</v>
      </c>
      <c r="H1915" s="32" t="str">
        <f t="shared" si="59"/>
        <v>||1900|</v>
      </c>
      <c r="I1915" s="32">
        <f>IF(G1915="",0,IF(COUNTIF($G$2:G1915,G1915)=1,1,0))</f>
        <v>0</v>
      </c>
      <c r="J1915" s="32">
        <f>IF(H1915="",0,IF(COUNTIF($H$2:H1915,H1915)=1,1,0))</f>
        <v>0</v>
      </c>
    </row>
    <row r="1916" spans="1:10" ht="14.25" hidden="1" customHeight="1" x14ac:dyDescent="0.35">
      <c r="A1916" s="30"/>
      <c r="E1916" s="31"/>
      <c r="G1916" s="32" t="str">
        <f t="shared" si="58"/>
        <v>|||1900|</v>
      </c>
      <c r="H1916" s="32" t="str">
        <f t="shared" si="59"/>
        <v>||1900|</v>
      </c>
      <c r="I1916" s="32">
        <f>IF(G1916="",0,IF(COUNTIF($G$2:G1916,G1916)=1,1,0))</f>
        <v>0</v>
      </c>
      <c r="J1916" s="32">
        <f>IF(H1916="",0,IF(COUNTIF($H$2:H1916,H1916)=1,1,0))</f>
        <v>0</v>
      </c>
    </row>
    <row r="1917" spans="1:10" ht="14.25" hidden="1" customHeight="1" x14ac:dyDescent="0.35">
      <c r="A1917" s="30"/>
      <c r="E1917" s="31"/>
      <c r="G1917" s="32" t="str">
        <f t="shared" si="58"/>
        <v>|||1900|</v>
      </c>
      <c r="H1917" s="32" t="str">
        <f t="shared" si="59"/>
        <v>||1900|</v>
      </c>
      <c r="I1917" s="32">
        <f>IF(G1917="",0,IF(COUNTIF($G$2:G1917,G1917)=1,1,0))</f>
        <v>0</v>
      </c>
      <c r="J1917" s="32">
        <f>IF(H1917="",0,IF(COUNTIF($H$2:H1917,H1917)=1,1,0))</f>
        <v>0</v>
      </c>
    </row>
    <row r="1918" spans="1:10" ht="14.25" hidden="1" customHeight="1" x14ac:dyDescent="0.35">
      <c r="A1918" s="30"/>
      <c r="E1918" s="31"/>
      <c r="G1918" s="32" t="str">
        <f t="shared" si="58"/>
        <v>|||1900|</v>
      </c>
      <c r="H1918" s="32" t="str">
        <f t="shared" si="59"/>
        <v>||1900|</v>
      </c>
      <c r="I1918" s="32">
        <f>IF(G1918="",0,IF(COUNTIF($G$2:G1918,G1918)=1,1,0))</f>
        <v>0</v>
      </c>
      <c r="J1918" s="32">
        <f>IF(H1918="",0,IF(COUNTIF($H$2:H1918,H1918)=1,1,0))</f>
        <v>0</v>
      </c>
    </row>
    <row r="1919" spans="1:10" ht="14.25" hidden="1" customHeight="1" x14ac:dyDescent="0.35">
      <c r="A1919" s="30"/>
      <c r="E1919" s="31"/>
      <c r="G1919" s="32" t="str">
        <f t="shared" si="58"/>
        <v>|||1900|</v>
      </c>
      <c r="H1919" s="32" t="str">
        <f t="shared" si="59"/>
        <v>||1900|</v>
      </c>
      <c r="I1919" s="32">
        <f>IF(G1919="",0,IF(COUNTIF($G$2:G1919,G1919)=1,1,0))</f>
        <v>0</v>
      </c>
      <c r="J1919" s="32">
        <f>IF(H1919="",0,IF(COUNTIF($H$2:H1919,H1919)=1,1,0))</f>
        <v>0</v>
      </c>
    </row>
    <row r="1920" spans="1:10" ht="14.25" hidden="1" customHeight="1" x14ac:dyDescent="0.35">
      <c r="A1920" s="30"/>
      <c r="E1920" s="31"/>
      <c r="G1920" s="32" t="str">
        <f t="shared" si="58"/>
        <v>|||1900|</v>
      </c>
      <c r="H1920" s="32" t="str">
        <f t="shared" si="59"/>
        <v>||1900|</v>
      </c>
      <c r="I1920" s="32">
        <f>IF(G1920="",0,IF(COUNTIF($G$2:G1920,G1920)=1,1,0))</f>
        <v>0</v>
      </c>
      <c r="J1920" s="32">
        <f>IF(H1920="",0,IF(COUNTIF($H$2:H1920,H1920)=1,1,0))</f>
        <v>0</v>
      </c>
    </row>
    <row r="1921" spans="1:10" ht="14.25" hidden="1" customHeight="1" x14ac:dyDescent="0.35">
      <c r="A1921" s="30"/>
      <c r="E1921" s="31"/>
      <c r="G1921" s="32" t="str">
        <f t="shared" si="58"/>
        <v>|||1900|</v>
      </c>
      <c r="H1921" s="32" t="str">
        <f t="shared" si="59"/>
        <v>||1900|</v>
      </c>
      <c r="I1921" s="32">
        <f>IF(G1921="",0,IF(COUNTIF($G$2:G1921,G1921)=1,1,0))</f>
        <v>0</v>
      </c>
      <c r="J1921" s="32">
        <f>IF(H1921="",0,IF(COUNTIF($H$2:H1921,H1921)=1,1,0))</f>
        <v>0</v>
      </c>
    </row>
    <row r="1922" spans="1:10" ht="14.25" hidden="1" customHeight="1" x14ac:dyDescent="0.35">
      <c r="A1922" s="30"/>
      <c r="E1922" s="31"/>
      <c r="G1922" s="32" t="str">
        <f t="shared" ref="G1922:G1985" si="60">IF(D1922="T",
E1922&amp;"|"&amp;F1922,
A1922&amp;"|"&amp;B1922&amp;"|"&amp;C1922&amp;"|"&amp;YEAR(E1922)&amp;"|"&amp;F1922)</f>
        <v>|||1900|</v>
      </c>
      <c r="H1922" s="32" t="str">
        <f t="shared" ref="H1922:H1985" si="61">A1922&amp;"|"&amp;C1922&amp;"|"&amp;YEAR(E1922)&amp;"|"&amp;F1922</f>
        <v>||1900|</v>
      </c>
      <c r="I1922" s="32">
        <f>IF(G1922="",0,IF(COUNTIF($G$2:G1922,G1922)=1,1,0))</f>
        <v>0</v>
      </c>
      <c r="J1922" s="32">
        <f>IF(H1922="",0,IF(COUNTIF($H$2:H1922,H1922)=1,1,0))</f>
        <v>0</v>
      </c>
    </row>
    <row r="1923" spans="1:10" ht="14.25" hidden="1" customHeight="1" x14ac:dyDescent="0.35">
      <c r="A1923" s="30"/>
      <c r="E1923" s="31"/>
      <c r="G1923" s="32" t="str">
        <f t="shared" si="60"/>
        <v>|||1900|</v>
      </c>
      <c r="H1923" s="32" t="str">
        <f t="shared" si="61"/>
        <v>||1900|</v>
      </c>
      <c r="I1923" s="32">
        <f>IF(G1923="",0,IF(COUNTIF($G$2:G1923,G1923)=1,1,0))</f>
        <v>0</v>
      </c>
      <c r="J1923" s="32">
        <f>IF(H1923="",0,IF(COUNTIF($H$2:H1923,H1923)=1,1,0))</f>
        <v>0</v>
      </c>
    </row>
    <row r="1924" spans="1:10" ht="14.25" hidden="1" customHeight="1" x14ac:dyDescent="0.35">
      <c r="A1924" s="30"/>
      <c r="E1924" s="31"/>
      <c r="G1924" s="32" t="str">
        <f t="shared" si="60"/>
        <v>|||1900|</v>
      </c>
      <c r="H1924" s="32" t="str">
        <f t="shared" si="61"/>
        <v>||1900|</v>
      </c>
      <c r="I1924" s="32">
        <f>IF(G1924="",0,IF(COUNTIF($G$2:G1924,G1924)=1,1,0))</f>
        <v>0</v>
      </c>
      <c r="J1924" s="32">
        <f>IF(H1924="",0,IF(COUNTIF($H$2:H1924,H1924)=1,1,0))</f>
        <v>0</v>
      </c>
    </row>
    <row r="1925" spans="1:10" ht="14.25" hidden="1" customHeight="1" x14ac:dyDescent="0.35">
      <c r="A1925" s="30"/>
      <c r="E1925" s="31"/>
      <c r="G1925" s="32" t="str">
        <f t="shared" si="60"/>
        <v>|||1900|</v>
      </c>
      <c r="H1925" s="32" t="str">
        <f t="shared" si="61"/>
        <v>||1900|</v>
      </c>
      <c r="I1925" s="32">
        <f>IF(G1925="",0,IF(COUNTIF($G$2:G1925,G1925)=1,1,0))</f>
        <v>0</v>
      </c>
      <c r="J1925" s="32">
        <f>IF(H1925="",0,IF(COUNTIF($H$2:H1925,H1925)=1,1,0))</f>
        <v>0</v>
      </c>
    </row>
    <row r="1926" spans="1:10" ht="14.25" hidden="1" customHeight="1" x14ac:dyDescent="0.35">
      <c r="A1926" s="30"/>
      <c r="E1926" s="31"/>
      <c r="G1926" s="32" t="str">
        <f t="shared" si="60"/>
        <v>|||1900|</v>
      </c>
      <c r="H1926" s="32" t="str">
        <f t="shared" si="61"/>
        <v>||1900|</v>
      </c>
      <c r="I1926" s="32">
        <f>IF(G1926="",0,IF(COUNTIF($G$2:G1926,G1926)=1,1,0))</f>
        <v>0</v>
      </c>
      <c r="J1926" s="32">
        <f>IF(H1926="",0,IF(COUNTIF($H$2:H1926,H1926)=1,1,0))</f>
        <v>0</v>
      </c>
    </row>
    <row r="1927" spans="1:10" ht="14.25" hidden="1" customHeight="1" x14ac:dyDescent="0.35">
      <c r="A1927" s="30"/>
      <c r="E1927" s="31"/>
      <c r="G1927" s="32" t="str">
        <f t="shared" si="60"/>
        <v>|||1900|</v>
      </c>
      <c r="H1927" s="32" t="str">
        <f t="shared" si="61"/>
        <v>||1900|</v>
      </c>
      <c r="I1927" s="32">
        <f>IF(G1927="",0,IF(COUNTIF($G$2:G1927,G1927)=1,1,0))</f>
        <v>0</v>
      </c>
      <c r="J1927" s="32">
        <f>IF(H1927="",0,IF(COUNTIF($H$2:H1927,H1927)=1,1,0))</f>
        <v>0</v>
      </c>
    </row>
    <row r="1928" spans="1:10" ht="14.25" hidden="1" customHeight="1" x14ac:dyDescent="0.35">
      <c r="A1928" s="30"/>
      <c r="E1928" s="31"/>
      <c r="G1928" s="32" t="str">
        <f t="shared" si="60"/>
        <v>|||1900|</v>
      </c>
      <c r="H1928" s="32" t="str">
        <f t="shared" si="61"/>
        <v>||1900|</v>
      </c>
      <c r="I1928" s="32">
        <f>IF(G1928="",0,IF(COUNTIF($G$2:G1928,G1928)=1,1,0))</f>
        <v>0</v>
      </c>
      <c r="J1928" s="32">
        <f>IF(H1928="",0,IF(COUNTIF($H$2:H1928,H1928)=1,1,0))</f>
        <v>0</v>
      </c>
    </row>
    <row r="1929" spans="1:10" ht="14.25" hidden="1" customHeight="1" x14ac:dyDescent="0.35">
      <c r="A1929" s="30"/>
      <c r="E1929" s="31"/>
      <c r="G1929" s="32" t="str">
        <f t="shared" si="60"/>
        <v>|||1900|</v>
      </c>
      <c r="H1929" s="32" t="str">
        <f t="shared" si="61"/>
        <v>||1900|</v>
      </c>
      <c r="I1929" s="32">
        <f>IF(G1929="",0,IF(COUNTIF($G$2:G1929,G1929)=1,1,0))</f>
        <v>0</v>
      </c>
      <c r="J1929" s="32">
        <f>IF(H1929="",0,IF(COUNTIF($H$2:H1929,H1929)=1,1,0))</f>
        <v>0</v>
      </c>
    </row>
    <row r="1930" spans="1:10" ht="14.25" hidden="1" customHeight="1" x14ac:dyDescent="0.35">
      <c r="A1930" s="30"/>
      <c r="E1930" s="31"/>
      <c r="G1930" s="32" t="str">
        <f t="shared" si="60"/>
        <v>|||1900|</v>
      </c>
      <c r="H1930" s="32" t="str">
        <f t="shared" si="61"/>
        <v>||1900|</v>
      </c>
      <c r="I1930" s="32">
        <f>IF(G1930="",0,IF(COUNTIF($G$2:G1930,G1930)=1,1,0))</f>
        <v>0</v>
      </c>
      <c r="J1930" s="32">
        <f>IF(H1930="",0,IF(COUNTIF($H$2:H1930,H1930)=1,1,0))</f>
        <v>0</v>
      </c>
    </row>
    <row r="1931" spans="1:10" ht="14.25" hidden="1" customHeight="1" x14ac:dyDescent="0.35">
      <c r="A1931" s="30"/>
      <c r="E1931" s="31"/>
      <c r="G1931" s="32" t="str">
        <f t="shared" si="60"/>
        <v>|||1900|</v>
      </c>
      <c r="H1931" s="32" t="str">
        <f t="shared" si="61"/>
        <v>||1900|</v>
      </c>
      <c r="I1931" s="32">
        <f>IF(G1931="",0,IF(COUNTIF($G$2:G1931,G1931)=1,1,0))</f>
        <v>0</v>
      </c>
      <c r="J1931" s="32">
        <f>IF(H1931="",0,IF(COUNTIF($H$2:H1931,H1931)=1,1,0))</f>
        <v>0</v>
      </c>
    </row>
    <row r="1932" spans="1:10" ht="14.25" hidden="1" customHeight="1" x14ac:dyDescent="0.35">
      <c r="A1932" s="30"/>
      <c r="E1932" s="31"/>
      <c r="G1932" s="32" t="str">
        <f t="shared" si="60"/>
        <v>|||1900|</v>
      </c>
      <c r="H1932" s="32" t="str">
        <f t="shared" si="61"/>
        <v>||1900|</v>
      </c>
      <c r="I1932" s="32">
        <f>IF(G1932="",0,IF(COUNTIF($G$2:G1932,G1932)=1,1,0))</f>
        <v>0</v>
      </c>
      <c r="J1932" s="32">
        <f>IF(H1932="",0,IF(COUNTIF($H$2:H1932,H1932)=1,1,0))</f>
        <v>0</v>
      </c>
    </row>
    <row r="1933" spans="1:10" ht="14.25" hidden="1" customHeight="1" x14ac:dyDescent="0.35">
      <c r="A1933" s="30"/>
      <c r="E1933" s="31"/>
      <c r="G1933" s="32" t="str">
        <f t="shared" si="60"/>
        <v>|||1900|</v>
      </c>
      <c r="H1933" s="32" t="str">
        <f t="shared" si="61"/>
        <v>||1900|</v>
      </c>
      <c r="I1933" s="32">
        <f>IF(G1933="",0,IF(COUNTIF($G$2:G1933,G1933)=1,1,0))</f>
        <v>0</v>
      </c>
      <c r="J1933" s="32">
        <f>IF(H1933="",0,IF(COUNTIF($H$2:H1933,H1933)=1,1,0))</f>
        <v>0</v>
      </c>
    </row>
    <row r="1934" spans="1:10" ht="14.25" hidden="1" customHeight="1" x14ac:dyDescent="0.35">
      <c r="A1934" s="30"/>
      <c r="E1934" s="31"/>
      <c r="G1934" s="32" t="str">
        <f t="shared" si="60"/>
        <v>|||1900|</v>
      </c>
      <c r="H1934" s="32" t="str">
        <f t="shared" si="61"/>
        <v>||1900|</v>
      </c>
      <c r="I1934" s="32">
        <f>IF(G1934="",0,IF(COUNTIF($G$2:G1934,G1934)=1,1,0))</f>
        <v>0</v>
      </c>
      <c r="J1934" s="32">
        <f>IF(H1934="",0,IF(COUNTIF($H$2:H1934,H1934)=1,1,0))</f>
        <v>0</v>
      </c>
    </row>
    <row r="1935" spans="1:10" ht="14.25" hidden="1" customHeight="1" x14ac:dyDescent="0.35">
      <c r="A1935" s="30"/>
      <c r="E1935" s="31"/>
      <c r="G1935" s="32" t="str">
        <f t="shared" si="60"/>
        <v>|||1900|</v>
      </c>
      <c r="H1935" s="32" t="str">
        <f t="shared" si="61"/>
        <v>||1900|</v>
      </c>
      <c r="I1935" s="32">
        <f>IF(G1935="",0,IF(COUNTIF($G$2:G1935,G1935)=1,1,0))</f>
        <v>0</v>
      </c>
      <c r="J1935" s="32">
        <f>IF(H1935="",0,IF(COUNTIF($H$2:H1935,H1935)=1,1,0))</f>
        <v>0</v>
      </c>
    </row>
    <row r="1936" spans="1:10" ht="14.25" hidden="1" customHeight="1" x14ac:dyDescent="0.35">
      <c r="A1936" s="30"/>
      <c r="E1936" s="31"/>
      <c r="G1936" s="32" t="str">
        <f t="shared" si="60"/>
        <v>|||1900|</v>
      </c>
      <c r="H1936" s="32" t="str">
        <f t="shared" si="61"/>
        <v>||1900|</v>
      </c>
      <c r="I1936" s="32">
        <f>IF(G1936="",0,IF(COUNTIF($G$2:G1936,G1936)=1,1,0))</f>
        <v>0</v>
      </c>
      <c r="J1936" s="32">
        <f>IF(H1936="",0,IF(COUNTIF($H$2:H1936,H1936)=1,1,0))</f>
        <v>0</v>
      </c>
    </row>
    <row r="1937" spans="1:10" ht="14.25" hidden="1" customHeight="1" x14ac:dyDescent="0.35">
      <c r="A1937" s="30"/>
      <c r="E1937" s="31"/>
      <c r="G1937" s="32" t="str">
        <f t="shared" si="60"/>
        <v>|||1900|</v>
      </c>
      <c r="H1937" s="32" t="str">
        <f t="shared" si="61"/>
        <v>||1900|</v>
      </c>
      <c r="I1937" s="32">
        <f>IF(G1937="",0,IF(COUNTIF($G$2:G1937,G1937)=1,1,0))</f>
        <v>0</v>
      </c>
      <c r="J1937" s="32">
        <f>IF(H1937="",0,IF(COUNTIF($H$2:H1937,H1937)=1,1,0))</f>
        <v>0</v>
      </c>
    </row>
    <row r="1938" spans="1:10" ht="14.25" hidden="1" customHeight="1" x14ac:dyDescent="0.35">
      <c r="A1938" s="30"/>
      <c r="E1938" s="31"/>
      <c r="G1938" s="32" t="str">
        <f t="shared" si="60"/>
        <v>|||1900|</v>
      </c>
      <c r="H1938" s="32" t="str">
        <f t="shared" si="61"/>
        <v>||1900|</v>
      </c>
      <c r="I1938" s="32">
        <f>IF(G1938="",0,IF(COUNTIF($G$2:G1938,G1938)=1,1,0))</f>
        <v>0</v>
      </c>
      <c r="J1938" s="32">
        <f>IF(H1938="",0,IF(COUNTIF($H$2:H1938,H1938)=1,1,0))</f>
        <v>0</v>
      </c>
    </row>
    <row r="1939" spans="1:10" ht="14.25" hidden="1" customHeight="1" x14ac:dyDescent="0.35">
      <c r="A1939" s="30"/>
      <c r="E1939" s="31"/>
      <c r="G1939" s="32" t="str">
        <f t="shared" si="60"/>
        <v>|||1900|</v>
      </c>
      <c r="H1939" s="32" t="str">
        <f t="shared" si="61"/>
        <v>||1900|</v>
      </c>
      <c r="I1939" s="32">
        <f>IF(G1939="",0,IF(COUNTIF($G$2:G1939,G1939)=1,1,0))</f>
        <v>0</v>
      </c>
      <c r="J1939" s="32">
        <f>IF(H1939="",0,IF(COUNTIF($H$2:H1939,H1939)=1,1,0))</f>
        <v>0</v>
      </c>
    </row>
    <row r="1940" spans="1:10" ht="14.25" hidden="1" customHeight="1" x14ac:dyDescent="0.35">
      <c r="A1940" s="30"/>
      <c r="E1940" s="31"/>
      <c r="G1940" s="32" t="str">
        <f t="shared" si="60"/>
        <v>|||1900|</v>
      </c>
      <c r="H1940" s="32" t="str">
        <f t="shared" si="61"/>
        <v>||1900|</v>
      </c>
      <c r="I1940" s="32">
        <f>IF(G1940="",0,IF(COUNTIF($G$2:G1940,G1940)=1,1,0))</f>
        <v>0</v>
      </c>
      <c r="J1940" s="32">
        <f>IF(H1940="",0,IF(COUNTIF($H$2:H1940,H1940)=1,1,0))</f>
        <v>0</v>
      </c>
    </row>
    <row r="1941" spans="1:10" ht="14.25" hidden="1" customHeight="1" x14ac:dyDescent="0.35">
      <c r="A1941" s="30"/>
      <c r="E1941" s="31"/>
      <c r="G1941" s="32" t="str">
        <f t="shared" si="60"/>
        <v>|||1900|</v>
      </c>
      <c r="H1941" s="32" t="str">
        <f t="shared" si="61"/>
        <v>||1900|</v>
      </c>
      <c r="I1941" s="32">
        <f>IF(G1941="",0,IF(COUNTIF($G$2:G1941,G1941)=1,1,0))</f>
        <v>0</v>
      </c>
      <c r="J1941" s="32">
        <f>IF(H1941="",0,IF(COUNTIF($H$2:H1941,H1941)=1,1,0))</f>
        <v>0</v>
      </c>
    </row>
    <row r="1942" spans="1:10" ht="14.25" hidden="1" customHeight="1" x14ac:dyDescent="0.35">
      <c r="A1942" s="30"/>
      <c r="E1942" s="31"/>
      <c r="G1942" s="32" t="str">
        <f t="shared" si="60"/>
        <v>|||1900|</v>
      </c>
      <c r="H1942" s="32" t="str">
        <f t="shared" si="61"/>
        <v>||1900|</v>
      </c>
      <c r="I1942" s="32">
        <f>IF(G1942="",0,IF(COUNTIF($G$2:G1942,G1942)=1,1,0))</f>
        <v>0</v>
      </c>
      <c r="J1942" s="32">
        <f>IF(H1942="",0,IF(COUNTIF($H$2:H1942,H1942)=1,1,0))</f>
        <v>0</v>
      </c>
    </row>
    <row r="1943" spans="1:10" ht="14.25" hidden="1" customHeight="1" x14ac:dyDescent="0.35">
      <c r="A1943" s="30"/>
      <c r="E1943" s="31"/>
      <c r="G1943" s="32" t="str">
        <f t="shared" si="60"/>
        <v>|||1900|</v>
      </c>
      <c r="H1943" s="32" t="str">
        <f t="shared" si="61"/>
        <v>||1900|</v>
      </c>
      <c r="I1943" s="32">
        <f>IF(G1943="",0,IF(COUNTIF($G$2:G1943,G1943)=1,1,0))</f>
        <v>0</v>
      </c>
      <c r="J1943" s="32">
        <f>IF(H1943="",0,IF(COUNTIF($H$2:H1943,H1943)=1,1,0))</f>
        <v>0</v>
      </c>
    </row>
    <row r="1944" spans="1:10" ht="14.25" hidden="1" customHeight="1" x14ac:dyDescent="0.35">
      <c r="A1944" s="30"/>
      <c r="E1944" s="31"/>
      <c r="G1944" s="32" t="str">
        <f t="shared" si="60"/>
        <v>|||1900|</v>
      </c>
      <c r="H1944" s="32" t="str">
        <f t="shared" si="61"/>
        <v>||1900|</v>
      </c>
      <c r="I1944" s="32">
        <f>IF(G1944="",0,IF(COUNTIF($G$2:G1944,G1944)=1,1,0))</f>
        <v>0</v>
      </c>
      <c r="J1944" s="32">
        <f>IF(H1944="",0,IF(COUNTIF($H$2:H1944,H1944)=1,1,0))</f>
        <v>0</v>
      </c>
    </row>
    <row r="1945" spans="1:10" ht="14.25" hidden="1" customHeight="1" x14ac:dyDescent="0.35">
      <c r="A1945" s="30"/>
      <c r="E1945" s="31"/>
      <c r="G1945" s="32" t="str">
        <f t="shared" si="60"/>
        <v>|||1900|</v>
      </c>
      <c r="H1945" s="32" t="str">
        <f t="shared" si="61"/>
        <v>||1900|</v>
      </c>
      <c r="I1945" s="32">
        <f>IF(G1945="",0,IF(COUNTIF($G$2:G1945,G1945)=1,1,0))</f>
        <v>0</v>
      </c>
      <c r="J1945" s="32">
        <f>IF(H1945="",0,IF(COUNTIF($H$2:H1945,H1945)=1,1,0))</f>
        <v>0</v>
      </c>
    </row>
    <row r="1946" spans="1:10" ht="14.25" hidden="1" customHeight="1" x14ac:dyDescent="0.35">
      <c r="A1946" s="30"/>
      <c r="E1946" s="31"/>
      <c r="G1946" s="32" t="str">
        <f t="shared" si="60"/>
        <v>|||1900|</v>
      </c>
      <c r="H1946" s="32" t="str">
        <f t="shared" si="61"/>
        <v>||1900|</v>
      </c>
      <c r="I1946" s="32">
        <f>IF(G1946="",0,IF(COUNTIF($G$2:G1946,G1946)=1,1,0))</f>
        <v>0</v>
      </c>
      <c r="J1946" s="32">
        <f>IF(H1946="",0,IF(COUNTIF($H$2:H1946,H1946)=1,1,0))</f>
        <v>0</v>
      </c>
    </row>
    <row r="1947" spans="1:10" ht="14.25" hidden="1" customHeight="1" x14ac:dyDescent="0.35">
      <c r="A1947" s="30"/>
      <c r="E1947" s="31"/>
      <c r="G1947" s="32" t="str">
        <f t="shared" si="60"/>
        <v>|||1900|</v>
      </c>
      <c r="H1947" s="32" t="str">
        <f t="shared" si="61"/>
        <v>||1900|</v>
      </c>
      <c r="I1947" s="32">
        <f>IF(G1947="",0,IF(COUNTIF($G$2:G1947,G1947)=1,1,0))</f>
        <v>0</v>
      </c>
      <c r="J1947" s="32">
        <f>IF(H1947="",0,IF(COUNTIF($H$2:H1947,H1947)=1,1,0))</f>
        <v>0</v>
      </c>
    </row>
    <row r="1948" spans="1:10" ht="14.25" hidden="1" customHeight="1" x14ac:dyDescent="0.35">
      <c r="A1948" s="30"/>
      <c r="E1948" s="31"/>
      <c r="G1948" s="32" t="str">
        <f t="shared" si="60"/>
        <v>|||1900|</v>
      </c>
      <c r="H1948" s="32" t="str">
        <f t="shared" si="61"/>
        <v>||1900|</v>
      </c>
      <c r="I1948" s="32">
        <f>IF(G1948="",0,IF(COUNTIF($G$2:G1948,G1948)=1,1,0))</f>
        <v>0</v>
      </c>
      <c r="J1948" s="32">
        <f>IF(H1948="",0,IF(COUNTIF($H$2:H1948,H1948)=1,1,0))</f>
        <v>0</v>
      </c>
    </row>
    <row r="1949" spans="1:10" ht="14.25" hidden="1" customHeight="1" x14ac:dyDescent="0.35">
      <c r="A1949" s="30"/>
      <c r="E1949" s="31"/>
      <c r="G1949" s="32" t="str">
        <f t="shared" si="60"/>
        <v>|||1900|</v>
      </c>
      <c r="H1949" s="32" t="str">
        <f t="shared" si="61"/>
        <v>||1900|</v>
      </c>
      <c r="I1949" s="32">
        <f>IF(G1949="",0,IF(COUNTIF($G$2:G1949,G1949)=1,1,0))</f>
        <v>0</v>
      </c>
      <c r="J1949" s="32">
        <f>IF(H1949="",0,IF(COUNTIF($H$2:H1949,H1949)=1,1,0))</f>
        <v>0</v>
      </c>
    </row>
    <row r="1950" spans="1:10" ht="14.25" hidden="1" customHeight="1" x14ac:dyDescent="0.35">
      <c r="A1950" s="30"/>
      <c r="E1950" s="31"/>
      <c r="G1950" s="32" t="str">
        <f t="shared" si="60"/>
        <v>|||1900|</v>
      </c>
      <c r="H1950" s="32" t="str">
        <f t="shared" si="61"/>
        <v>||1900|</v>
      </c>
      <c r="I1950" s="32">
        <f>IF(G1950="",0,IF(COUNTIF($G$2:G1950,G1950)=1,1,0))</f>
        <v>0</v>
      </c>
      <c r="J1950" s="32">
        <f>IF(H1950="",0,IF(COUNTIF($H$2:H1950,H1950)=1,1,0))</f>
        <v>0</v>
      </c>
    </row>
    <row r="1951" spans="1:10" ht="14.25" hidden="1" customHeight="1" x14ac:dyDescent="0.35">
      <c r="A1951" s="30"/>
      <c r="E1951" s="31"/>
      <c r="G1951" s="32" t="str">
        <f t="shared" si="60"/>
        <v>|||1900|</v>
      </c>
      <c r="H1951" s="32" t="str">
        <f t="shared" si="61"/>
        <v>||1900|</v>
      </c>
      <c r="I1951" s="32">
        <f>IF(G1951="",0,IF(COUNTIF($G$2:G1951,G1951)=1,1,0))</f>
        <v>0</v>
      </c>
      <c r="J1951" s="32">
        <f>IF(H1951="",0,IF(COUNTIF($H$2:H1951,H1951)=1,1,0))</f>
        <v>0</v>
      </c>
    </row>
    <row r="1952" spans="1:10" ht="14.25" hidden="1" customHeight="1" x14ac:dyDescent="0.35">
      <c r="A1952" s="30"/>
      <c r="E1952" s="31"/>
      <c r="G1952" s="32" t="str">
        <f t="shared" si="60"/>
        <v>|||1900|</v>
      </c>
      <c r="H1952" s="32" t="str">
        <f t="shared" si="61"/>
        <v>||1900|</v>
      </c>
      <c r="I1952" s="32">
        <f>IF(G1952="",0,IF(COUNTIF($G$2:G1952,G1952)=1,1,0))</f>
        <v>0</v>
      </c>
      <c r="J1952" s="32">
        <f>IF(H1952="",0,IF(COUNTIF($H$2:H1952,H1952)=1,1,0))</f>
        <v>0</v>
      </c>
    </row>
    <row r="1953" spans="1:10" ht="14.25" hidden="1" customHeight="1" x14ac:dyDescent="0.35">
      <c r="A1953" s="30"/>
      <c r="E1953" s="31"/>
      <c r="G1953" s="32" t="str">
        <f t="shared" si="60"/>
        <v>|||1900|</v>
      </c>
      <c r="H1953" s="32" t="str">
        <f t="shared" si="61"/>
        <v>||1900|</v>
      </c>
      <c r="I1953" s="32">
        <f>IF(G1953="",0,IF(COUNTIF($G$2:G1953,G1953)=1,1,0))</f>
        <v>0</v>
      </c>
      <c r="J1953" s="32">
        <f>IF(H1953="",0,IF(COUNTIF($H$2:H1953,H1953)=1,1,0))</f>
        <v>0</v>
      </c>
    </row>
    <row r="1954" spans="1:10" ht="14.25" hidden="1" customHeight="1" x14ac:dyDescent="0.35">
      <c r="A1954" s="30"/>
      <c r="E1954" s="31"/>
      <c r="G1954" s="32" t="str">
        <f t="shared" si="60"/>
        <v>|||1900|</v>
      </c>
      <c r="H1954" s="32" t="str">
        <f t="shared" si="61"/>
        <v>||1900|</v>
      </c>
      <c r="I1954" s="32">
        <f>IF(G1954="",0,IF(COUNTIF($G$2:G1954,G1954)=1,1,0))</f>
        <v>0</v>
      </c>
      <c r="J1954" s="32">
        <f>IF(H1954="",0,IF(COUNTIF($H$2:H1954,H1954)=1,1,0))</f>
        <v>0</v>
      </c>
    </row>
    <row r="1955" spans="1:10" ht="14.25" hidden="1" customHeight="1" x14ac:dyDescent="0.35">
      <c r="A1955" s="30"/>
      <c r="E1955" s="31"/>
      <c r="G1955" s="32" t="str">
        <f t="shared" si="60"/>
        <v>|||1900|</v>
      </c>
      <c r="H1955" s="32" t="str">
        <f t="shared" si="61"/>
        <v>||1900|</v>
      </c>
      <c r="I1955" s="32">
        <f>IF(G1955="",0,IF(COUNTIF($G$2:G1955,G1955)=1,1,0))</f>
        <v>0</v>
      </c>
      <c r="J1955" s="32">
        <f>IF(H1955="",0,IF(COUNTIF($H$2:H1955,H1955)=1,1,0))</f>
        <v>0</v>
      </c>
    </row>
    <row r="1956" spans="1:10" ht="14.25" hidden="1" customHeight="1" x14ac:dyDescent="0.35">
      <c r="A1956" s="30"/>
      <c r="E1956" s="31"/>
      <c r="G1956" s="32" t="str">
        <f t="shared" si="60"/>
        <v>|||1900|</v>
      </c>
      <c r="H1956" s="32" t="str">
        <f t="shared" si="61"/>
        <v>||1900|</v>
      </c>
      <c r="I1956" s="32">
        <f>IF(G1956="",0,IF(COUNTIF($G$2:G1956,G1956)=1,1,0))</f>
        <v>0</v>
      </c>
      <c r="J1956" s="32">
        <f>IF(H1956="",0,IF(COUNTIF($H$2:H1956,H1956)=1,1,0))</f>
        <v>0</v>
      </c>
    </row>
    <row r="1957" spans="1:10" ht="14.25" hidden="1" customHeight="1" x14ac:dyDescent="0.35">
      <c r="A1957" s="30"/>
      <c r="E1957" s="31"/>
      <c r="G1957" s="32" t="str">
        <f t="shared" si="60"/>
        <v>|||1900|</v>
      </c>
      <c r="H1957" s="32" t="str">
        <f t="shared" si="61"/>
        <v>||1900|</v>
      </c>
      <c r="I1957" s="32">
        <f>IF(G1957="",0,IF(COUNTIF($G$2:G1957,G1957)=1,1,0))</f>
        <v>0</v>
      </c>
      <c r="J1957" s="32">
        <f>IF(H1957="",0,IF(COUNTIF($H$2:H1957,H1957)=1,1,0))</f>
        <v>0</v>
      </c>
    </row>
    <row r="1958" spans="1:10" ht="14.25" hidden="1" customHeight="1" x14ac:dyDescent="0.35">
      <c r="A1958" s="30"/>
      <c r="E1958" s="31"/>
      <c r="G1958" s="32" t="str">
        <f t="shared" si="60"/>
        <v>|||1900|</v>
      </c>
      <c r="H1958" s="32" t="str">
        <f t="shared" si="61"/>
        <v>||1900|</v>
      </c>
      <c r="I1958" s="32">
        <f>IF(G1958="",0,IF(COUNTIF($G$2:G1958,G1958)=1,1,0))</f>
        <v>0</v>
      </c>
      <c r="J1958" s="32">
        <f>IF(H1958="",0,IF(COUNTIF($H$2:H1958,H1958)=1,1,0))</f>
        <v>0</v>
      </c>
    </row>
    <row r="1959" spans="1:10" ht="14.25" hidden="1" customHeight="1" x14ac:dyDescent="0.35">
      <c r="A1959" s="30"/>
      <c r="E1959" s="31"/>
      <c r="G1959" s="32" t="str">
        <f t="shared" si="60"/>
        <v>|||1900|</v>
      </c>
      <c r="H1959" s="32" t="str">
        <f t="shared" si="61"/>
        <v>||1900|</v>
      </c>
      <c r="I1959" s="32">
        <f>IF(G1959="",0,IF(COUNTIF($G$2:G1959,G1959)=1,1,0))</f>
        <v>0</v>
      </c>
      <c r="J1959" s="32">
        <f>IF(H1959="",0,IF(COUNTIF($H$2:H1959,H1959)=1,1,0))</f>
        <v>0</v>
      </c>
    </row>
    <row r="1960" spans="1:10" ht="14.25" hidden="1" customHeight="1" x14ac:dyDescent="0.35">
      <c r="A1960" s="30"/>
      <c r="E1960" s="31"/>
      <c r="G1960" s="32" t="str">
        <f t="shared" si="60"/>
        <v>|||1900|</v>
      </c>
      <c r="H1960" s="32" t="str">
        <f t="shared" si="61"/>
        <v>||1900|</v>
      </c>
      <c r="I1960" s="32">
        <f>IF(G1960="",0,IF(COUNTIF($G$2:G1960,G1960)=1,1,0))</f>
        <v>0</v>
      </c>
      <c r="J1960" s="32">
        <f>IF(H1960="",0,IF(COUNTIF($H$2:H1960,H1960)=1,1,0))</f>
        <v>0</v>
      </c>
    </row>
    <row r="1961" spans="1:10" ht="14.25" hidden="1" customHeight="1" x14ac:dyDescent="0.35">
      <c r="A1961" s="30"/>
      <c r="E1961" s="31"/>
      <c r="G1961" s="32" t="str">
        <f t="shared" si="60"/>
        <v>|||1900|</v>
      </c>
      <c r="H1961" s="32" t="str">
        <f t="shared" si="61"/>
        <v>||1900|</v>
      </c>
      <c r="I1961" s="32">
        <f>IF(G1961="",0,IF(COUNTIF($G$2:G1961,G1961)=1,1,0))</f>
        <v>0</v>
      </c>
      <c r="J1961" s="32">
        <f>IF(H1961="",0,IF(COUNTIF($H$2:H1961,H1961)=1,1,0))</f>
        <v>0</v>
      </c>
    </row>
    <row r="1962" spans="1:10" ht="14.25" hidden="1" customHeight="1" x14ac:dyDescent="0.35">
      <c r="A1962" s="30"/>
      <c r="E1962" s="31"/>
      <c r="G1962" s="32" t="str">
        <f t="shared" si="60"/>
        <v>|||1900|</v>
      </c>
      <c r="H1962" s="32" t="str">
        <f t="shared" si="61"/>
        <v>||1900|</v>
      </c>
      <c r="I1962" s="32">
        <f>IF(G1962="",0,IF(COUNTIF($G$2:G1962,G1962)=1,1,0))</f>
        <v>0</v>
      </c>
      <c r="J1962" s="32">
        <f>IF(H1962="",0,IF(COUNTIF($H$2:H1962,H1962)=1,1,0))</f>
        <v>0</v>
      </c>
    </row>
    <row r="1963" spans="1:10" ht="14.25" hidden="1" customHeight="1" x14ac:dyDescent="0.35">
      <c r="A1963" s="30"/>
      <c r="E1963" s="31"/>
      <c r="G1963" s="32" t="str">
        <f t="shared" si="60"/>
        <v>|||1900|</v>
      </c>
      <c r="H1963" s="32" t="str">
        <f t="shared" si="61"/>
        <v>||1900|</v>
      </c>
      <c r="I1963" s="32">
        <f>IF(G1963="",0,IF(COUNTIF($G$2:G1963,G1963)=1,1,0))</f>
        <v>0</v>
      </c>
      <c r="J1963" s="32">
        <f>IF(H1963="",0,IF(COUNTIF($H$2:H1963,H1963)=1,1,0))</f>
        <v>0</v>
      </c>
    </row>
    <row r="1964" spans="1:10" ht="14.25" hidden="1" customHeight="1" x14ac:dyDescent="0.35">
      <c r="A1964" s="30"/>
      <c r="E1964" s="31"/>
      <c r="G1964" s="32" t="str">
        <f t="shared" si="60"/>
        <v>|||1900|</v>
      </c>
      <c r="H1964" s="32" t="str">
        <f t="shared" si="61"/>
        <v>||1900|</v>
      </c>
      <c r="I1964" s="32">
        <f>IF(G1964="",0,IF(COUNTIF($G$2:G1964,G1964)=1,1,0))</f>
        <v>0</v>
      </c>
      <c r="J1964" s="32">
        <f>IF(H1964="",0,IF(COUNTIF($H$2:H1964,H1964)=1,1,0))</f>
        <v>0</v>
      </c>
    </row>
    <row r="1965" spans="1:10" ht="14.25" hidden="1" customHeight="1" x14ac:dyDescent="0.35">
      <c r="A1965" s="30"/>
      <c r="E1965" s="31"/>
      <c r="G1965" s="32" t="str">
        <f t="shared" si="60"/>
        <v>|||1900|</v>
      </c>
      <c r="H1965" s="32" t="str">
        <f t="shared" si="61"/>
        <v>||1900|</v>
      </c>
      <c r="I1965" s="32">
        <f>IF(G1965="",0,IF(COUNTIF($G$2:G1965,G1965)=1,1,0))</f>
        <v>0</v>
      </c>
      <c r="J1965" s="32">
        <f>IF(H1965="",0,IF(COUNTIF($H$2:H1965,H1965)=1,1,0))</f>
        <v>0</v>
      </c>
    </row>
    <row r="1966" spans="1:10" ht="14.25" hidden="1" customHeight="1" x14ac:dyDescent="0.35">
      <c r="A1966" s="30"/>
      <c r="E1966" s="31"/>
      <c r="G1966" s="32" t="str">
        <f t="shared" si="60"/>
        <v>|||1900|</v>
      </c>
      <c r="H1966" s="32" t="str">
        <f t="shared" si="61"/>
        <v>||1900|</v>
      </c>
      <c r="I1966" s="32">
        <f>IF(G1966="",0,IF(COUNTIF($G$2:G1966,G1966)=1,1,0))</f>
        <v>0</v>
      </c>
      <c r="J1966" s="32">
        <f>IF(H1966="",0,IF(COUNTIF($H$2:H1966,H1966)=1,1,0))</f>
        <v>0</v>
      </c>
    </row>
    <row r="1967" spans="1:10" ht="14.25" hidden="1" customHeight="1" x14ac:dyDescent="0.35">
      <c r="A1967" s="30"/>
      <c r="E1967" s="31"/>
      <c r="G1967" s="32" t="str">
        <f t="shared" si="60"/>
        <v>|||1900|</v>
      </c>
      <c r="H1967" s="32" t="str">
        <f t="shared" si="61"/>
        <v>||1900|</v>
      </c>
      <c r="I1967" s="32">
        <f>IF(G1967="",0,IF(COUNTIF($G$2:G1967,G1967)=1,1,0))</f>
        <v>0</v>
      </c>
      <c r="J1967" s="32">
        <f>IF(H1967="",0,IF(COUNTIF($H$2:H1967,H1967)=1,1,0))</f>
        <v>0</v>
      </c>
    </row>
    <row r="1968" spans="1:10" ht="14.25" hidden="1" customHeight="1" x14ac:dyDescent="0.35">
      <c r="A1968" s="30"/>
      <c r="E1968" s="31"/>
      <c r="G1968" s="32" t="str">
        <f t="shared" si="60"/>
        <v>|||1900|</v>
      </c>
      <c r="H1968" s="32" t="str">
        <f t="shared" si="61"/>
        <v>||1900|</v>
      </c>
      <c r="I1968" s="32">
        <f>IF(G1968="",0,IF(COUNTIF($G$2:G1968,G1968)=1,1,0))</f>
        <v>0</v>
      </c>
      <c r="J1968" s="32">
        <f>IF(H1968="",0,IF(COUNTIF($H$2:H1968,H1968)=1,1,0))</f>
        <v>0</v>
      </c>
    </row>
    <row r="1969" spans="1:10" ht="14.25" hidden="1" customHeight="1" x14ac:dyDescent="0.35">
      <c r="A1969" s="30"/>
      <c r="E1969" s="31"/>
      <c r="G1969" s="32" t="str">
        <f t="shared" si="60"/>
        <v>|||1900|</v>
      </c>
      <c r="H1969" s="32" t="str">
        <f t="shared" si="61"/>
        <v>||1900|</v>
      </c>
      <c r="I1969" s="32">
        <f>IF(G1969="",0,IF(COUNTIF($G$2:G1969,G1969)=1,1,0))</f>
        <v>0</v>
      </c>
      <c r="J1969" s="32">
        <f>IF(H1969="",0,IF(COUNTIF($H$2:H1969,H1969)=1,1,0))</f>
        <v>0</v>
      </c>
    </row>
    <row r="1970" spans="1:10" ht="14.25" hidden="1" customHeight="1" x14ac:dyDescent="0.35">
      <c r="A1970" s="30"/>
      <c r="E1970" s="31"/>
      <c r="G1970" s="32" t="str">
        <f t="shared" si="60"/>
        <v>|||1900|</v>
      </c>
      <c r="H1970" s="32" t="str">
        <f t="shared" si="61"/>
        <v>||1900|</v>
      </c>
      <c r="I1970" s="32">
        <f>IF(G1970="",0,IF(COUNTIF($G$2:G1970,G1970)=1,1,0))</f>
        <v>0</v>
      </c>
      <c r="J1970" s="32">
        <f>IF(H1970="",0,IF(COUNTIF($H$2:H1970,H1970)=1,1,0))</f>
        <v>0</v>
      </c>
    </row>
    <row r="1971" spans="1:10" ht="14.25" hidden="1" customHeight="1" x14ac:dyDescent="0.35">
      <c r="A1971" s="30"/>
      <c r="E1971" s="31"/>
      <c r="G1971" s="32" t="str">
        <f t="shared" si="60"/>
        <v>|||1900|</v>
      </c>
      <c r="H1971" s="32" t="str">
        <f t="shared" si="61"/>
        <v>||1900|</v>
      </c>
      <c r="I1971" s="32">
        <f>IF(G1971="",0,IF(COUNTIF($G$2:G1971,G1971)=1,1,0))</f>
        <v>0</v>
      </c>
      <c r="J1971" s="32">
        <f>IF(H1971="",0,IF(COUNTIF($H$2:H1971,H1971)=1,1,0))</f>
        <v>0</v>
      </c>
    </row>
    <row r="1972" spans="1:10" ht="14.25" hidden="1" customHeight="1" x14ac:dyDescent="0.35">
      <c r="A1972" s="30"/>
      <c r="E1972" s="31"/>
      <c r="G1972" s="32" t="str">
        <f t="shared" si="60"/>
        <v>|||1900|</v>
      </c>
      <c r="H1972" s="32" t="str">
        <f t="shared" si="61"/>
        <v>||1900|</v>
      </c>
      <c r="I1972" s="32">
        <f>IF(G1972="",0,IF(COUNTIF($G$2:G1972,G1972)=1,1,0))</f>
        <v>0</v>
      </c>
      <c r="J1972" s="32">
        <f>IF(H1972="",0,IF(COUNTIF($H$2:H1972,H1972)=1,1,0))</f>
        <v>0</v>
      </c>
    </row>
    <row r="1973" spans="1:10" ht="14.25" hidden="1" customHeight="1" x14ac:dyDescent="0.35">
      <c r="A1973" s="30"/>
      <c r="E1973" s="31"/>
      <c r="G1973" s="32" t="str">
        <f t="shared" si="60"/>
        <v>|||1900|</v>
      </c>
      <c r="H1973" s="32" t="str">
        <f t="shared" si="61"/>
        <v>||1900|</v>
      </c>
      <c r="I1973" s="32">
        <f>IF(G1973="",0,IF(COUNTIF($G$2:G1973,G1973)=1,1,0))</f>
        <v>0</v>
      </c>
      <c r="J1973" s="32">
        <f>IF(H1973="",0,IF(COUNTIF($H$2:H1973,H1973)=1,1,0))</f>
        <v>0</v>
      </c>
    </row>
    <row r="1974" spans="1:10" ht="14.25" hidden="1" customHeight="1" x14ac:dyDescent="0.35">
      <c r="A1974" s="30"/>
      <c r="E1974" s="31"/>
      <c r="G1974" s="32" t="str">
        <f t="shared" si="60"/>
        <v>|||1900|</v>
      </c>
      <c r="H1974" s="32" t="str">
        <f t="shared" si="61"/>
        <v>||1900|</v>
      </c>
      <c r="I1974" s="32">
        <f>IF(G1974="",0,IF(COUNTIF($G$2:G1974,G1974)=1,1,0))</f>
        <v>0</v>
      </c>
      <c r="J1974" s="32">
        <f>IF(H1974="",0,IF(COUNTIF($H$2:H1974,H1974)=1,1,0))</f>
        <v>0</v>
      </c>
    </row>
    <row r="1975" spans="1:10" ht="14.25" hidden="1" customHeight="1" x14ac:dyDescent="0.35">
      <c r="A1975" s="30"/>
      <c r="E1975" s="31"/>
      <c r="G1975" s="32" t="str">
        <f t="shared" si="60"/>
        <v>|||1900|</v>
      </c>
      <c r="H1975" s="32" t="str">
        <f t="shared" si="61"/>
        <v>||1900|</v>
      </c>
      <c r="I1975" s="32">
        <f>IF(G1975="",0,IF(COUNTIF($G$2:G1975,G1975)=1,1,0))</f>
        <v>0</v>
      </c>
      <c r="J1975" s="32">
        <f>IF(H1975="",0,IF(COUNTIF($H$2:H1975,H1975)=1,1,0))</f>
        <v>0</v>
      </c>
    </row>
    <row r="1976" spans="1:10" ht="14.25" hidden="1" customHeight="1" x14ac:dyDescent="0.35">
      <c r="A1976" s="30"/>
      <c r="E1976" s="31"/>
      <c r="G1976" s="32" t="str">
        <f t="shared" si="60"/>
        <v>|||1900|</v>
      </c>
      <c r="H1976" s="32" t="str">
        <f t="shared" si="61"/>
        <v>||1900|</v>
      </c>
      <c r="I1976" s="32">
        <f>IF(G1976="",0,IF(COUNTIF($G$2:G1976,G1976)=1,1,0))</f>
        <v>0</v>
      </c>
      <c r="J1976" s="32">
        <f>IF(H1976="",0,IF(COUNTIF($H$2:H1976,H1976)=1,1,0))</f>
        <v>0</v>
      </c>
    </row>
    <row r="1977" spans="1:10" ht="14.25" hidden="1" customHeight="1" x14ac:dyDescent="0.35">
      <c r="A1977" s="30"/>
      <c r="E1977" s="31"/>
      <c r="G1977" s="32" t="str">
        <f t="shared" si="60"/>
        <v>|||1900|</v>
      </c>
      <c r="H1977" s="32" t="str">
        <f t="shared" si="61"/>
        <v>||1900|</v>
      </c>
      <c r="I1977" s="32">
        <f>IF(G1977="",0,IF(COUNTIF($G$2:G1977,G1977)=1,1,0))</f>
        <v>0</v>
      </c>
      <c r="J1977" s="32">
        <f>IF(H1977="",0,IF(COUNTIF($H$2:H1977,H1977)=1,1,0))</f>
        <v>0</v>
      </c>
    </row>
    <row r="1978" spans="1:10" ht="14.25" hidden="1" customHeight="1" x14ac:dyDescent="0.35">
      <c r="A1978" s="30"/>
      <c r="E1978" s="31"/>
      <c r="G1978" s="32" t="str">
        <f t="shared" si="60"/>
        <v>|||1900|</v>
      </c>
      <c r="H1978" s="32" t="str">
        <f t="shared" si="61"/>
        <v>||1900|</v>
      </c>
      <c r="I1978" s="32">
        <f>IF(G1978="",0,IF(COUNTIF($G$2:G1978,G1978)=1,1,0))</f>
        <v>0</v>
      </c>
      <c r="J1978" s="32">
        <f>IF(H1978="",0,IF(COUNTIF($H$2:H1978,H1978)=1,1,0))</f>
        <v>0</v>
      </c>
    </row>
    <row r="1979" spans="1:10" ht="14.25" hidden="1" customHeight="1" x14ac:dyDescent="0.35">
      <c r="A1979" s="30"/>
      <c r="E1979" s="31"/>
      <c r="G1979" s="32" t="str">
        <f t="shared" si="60"/>
        <v>|||1900|</v>
      </c>
      <c r="H1979" s="32" t="str">
        <f t="shared" si="61"/>
        <v>||1900|</v>
      </c>
      <c r="I1979" s="32">
        <f>IF(G1979="",0,IF(COUNTIF($G$2:G1979,G1979)=1,1,0))</f>
        <v>0</v>
      </c>
      <c r="J1979" s="32">
        <f>IF(H1979="",0,IF(COUNTIF($H$2:H1979,H1979)=1,1,0))</f>
        <v>0</v>
      </c>
    </row>
    <row r="1980" spans="1:10" ht="14.25" hidden="1" customHeight="1" x14ac:dyDescent="0.35">
      <c r="A1980" s="30"/>
      <c r="E1980" s="31"/>
      <c r="G1980" s="32" t="str">
        <f t="shared" si="60"/>
        <v>|||1900|</v>
      </c>
      <c r="H1980" s="32" t="str">
        <f t="shared" si="61"/>
        <v>||1900|</v>
      </c>
      <c r="I1980" s="32">
        <f>IF(G1980="",0,IF(COUNTIF($G$2:G1980,G1980)=1,1,0))</f>
        <v>0</v>
      </c>
      <c r="J1980" s="32">
        <f>IF(H1980="",0,IF(COUNTIF($H$2:H1980,H1980)=1,1,0))</f>
        <v>0</v>
      </c>
    </row>
    <row r="1981" spans="1:10" ht="14.25" hidden="1" customHeight="1" x14ac:dyDescent="0.35">
      <c r="A1981" s="30"/>
      <c r="E1981" s="31"/>
      <c r="G1981" s="32" t="str">
        <f t="shared" si="60"/>
        <v>|||1900|</v>
      </c>
      <c r="H1981" s="32" t="str">
        <f t="shared" si="61"/>
        <v>||1900|</v>
      </c>
      <c r="I1981" s="32">
        <f>IF(G1981="",0,IF(COUNTIF($G$2:G1981,G1981)=1,1,0))</f>
        <v>0</v>
      </c>
      <c r="J1981" s="32">
        <f>IF(H1981="",0,IF(COUNTIF($H$2:H1981,H1981)=1,1,0))</f>
        <v>0</v>
      </c>
    </row>
    <row r="1982" spans="1:10" ht="14.25" hidden="1" customHeight="1" x14ac:dyDescent="0.35">
      <c r="A1982" s="30"/>
      <c r="E1982" s="31"/>
      <c r="G1982" s="32" t="str">
        <f t="shared" si="60"/>
        <v>|||1900|</v>
      </c>
      <c r="H1982" s="32" t="str">
        <f t="shared" si="61"/>
        <v>||1900|</v>
      </c>
      <c r="I1982" s="32">
        <f>IF(G1982="",0,IF(COUNTIF($G$2:G1982,G1982)=1,1,0))</f>
        <v>0</v>
      </c>
      <c r="J1982" s="32">
        <f>IF(H1982="",0,IF(COUNTIF($H$2:H1982,H1982)=1,1,0))</f>
        <v>0</v>
      </c>
    </row>
    <row r="1983" spans="1:10" ht="14.25" hidden="1" customHeight="1" x14ac:dyDescent="0.35">
      <c r="A1983" s="30"/>
      <c r="E1983" s="31"/>
      <c r="G1983" s="32" t="str">
        <f t="shared" si="60"/>
        <v>|||1900|</v>
      </c>
      <c r="H1983" s="32" t="str">
        <f t="shared" si="61"/>
        <v>||1900|</v>
      </c>
      <c r="I1983" s="32">
        <f>IF(G1983="",0,IF(COUNTIF($G$2:G1983,G1983)=1,1,0))</f>
        <v>0</v>
      </c>
      <c r="J1983" s="32">
        <f>IF(H1983="",0,IF(COUNTIF($H$2:H1983,H1983)=1,1,0))</f>
        <v>0</v>
      </c>
    </row>
    <row r="1984" spans="1:10" ht="14.25" hidden="1" customHeight="1" x14ac:dyDescent="0.35">
      <c r="A1984" s="30"/>
      <c r="E1984" s="31"/>
      <c r="G1984" s="32" t="str">
        <f t="shared" si="60"/>
        <v>|||1900|</v>
      </c>
      <c r="H1984" s="32" t="str">
        <f t="shared" si="61"/>
        <v>||1900|</v>
      </c>
      <c r="I1984" s="32">
        <f>IF(G1984="",0,IF(COUNTIF($G$2:G1984,G1984)=1,1,0))</f>
        <v>0</v>
      </c>
      <c r="J1984" s="32">
        <f>IF(H1984="",0,IF(COUNTIF($H$2:H1984,H1984)=1,1,0))</f>
        <v>0</v>
      </c>
    </row>
    <row r="1985" spans="1:10" ht="14.25" hidden="1" customHeight="1" x14ac:dyDescent="0.35">
      <c r="A1985" s="30"/>
      <c r="E1985" s="31"/>
      <c r="G1985" s="32" t="str">
        <f t="shared" si="60"/>
        <v>|||1900|</v>
      </c>
      <c r="H1985" s="32" t="str">
        <f t="shared" si="61"/>
        <v>||1900|</v>
      </c>
      <c r="I1985" s="32">
        <f>IF(G1985="",0,IF(COUNTIF($G$2:G1985,G1985)=1,1,0))</f>
        <v>0</v>
      </c>
      <c r="J1985" s="32">
        <f>IF(H1985="",0,IF(COUNTIF($H$2:H1985,H1985)=1,1,0))</f>
        <v>0</v>
      </c>
    </row>
    <row r="1986" spans="1:10" ht="14.25" hidden="1" customHeight="1" x14ac:dyDescent="0.35">
      <c r="A1986" s="30"/>
      <c r="E1986" s="31"/>
      <c r="G1986" s="32" t="str">
        <f t="shared" ref="G1986:G2049" si="62">IF(D1986="T",
E1986&amp;"|"&amp;F1986,
A1986&amp;"|"&amp;B1986&amp;"|"&amp;C1986&amp;"|"&amp;YEAR(E1986)&amp;"|"&amp;F1986)</f>
        <v>|||1900|</v>
      </c>
      <c r="H1986" s="32" t="str">
        <f t="shared" ref="H1986:H2049" si="63">A1986&amp;"|"&amp;C1986&amp;"|"&amp;YEAR(E1986)&amp;"|"&amp;F1986</f>
        <v>||1900|</v>
      </c>
      <c r="I1986" s="32">
        <f>IF(G1986="",0,IF(COUNTIF($G$2:G1986,G1986)=1,1,0))</f>
        <v>0</v>
      </c>
      <c r="J1986" s="32">
        <f>IF(H1986="",0,IF(COUNTIF($H$2:H1986,H1986)=1,1,0))</f>
        <v>0</v>
      </c>
    </row>
    <row r="1987" spans="1:10" ht="14.25" hidden="1" customHeight="1" x14ac:dyDescent="0.35">
      <c r="A1987" s="30"/>
      <c r="E1987" s="31"/>
      <c r="G1987" s="32" t="str">
        <f t="shared" si="62"/>
        <v>|||1900|</v>
      </c>
      <c r="H1987" s="32" t="str">
        <f t="shared" si="63"/>
        <v>||1900|</v>
      </c>
      <c r="I1987" s="32">
        <f>IF(G1987="",0,IF(COUNTIF($G$2:G1987,G1987)=1,1,0))</f>
        <v>0</v>
      </c>
      <c r="J1987" s="32">
        <f>IF(H1987="",0,IF(COUNTIF($H$2:H1987,H1987)=1,1,0))</f>
        <v>0</v>
      </c>
    </row>
    <row r="1988" spans="1:10" ht="14.25" hidden="1" customHeight="1" x14ac:dyDescent="0.35">
      <c r="A1988" s="30"/>
      <c r="E1988" s="31"/>
      <c r="G1988" s="32" t="str">
        <f t="shared" si="62"/>
        <v>|||1900|</v>
      </c>
      <c r="H1988" s="32" t="str">
        <f t="shared" si="63"/>
        <v>||1900|</v>
      </c>
      <c r="I1988" s="32">
        <f>IF(G1988="",0,IF(COUNTIF($G$2:G1988,G1988)=1,1,0))</f>
        <v>0</v>
      </c>
      <c r="J1988" s="32">
        <f>IF(H1988="",0,IF(COUNTIF($H$2:H1988,H1988)=1,1,0))</f>
        <v>0</v>
      </c>
    </row>
    <row r="1989" spans="1:10" ht="14.25" hidden="1" customHeight="1" x14ac:dyDescent="0.35">
      <c r="A1989" s="30"/>
      <c r="E1989" s="31"/>
      <c r="G1989" s="32" t="str">
        <f t="shared" si="62"/>
        <v>|||1900|</v>
      </c>
      <c r="H1989" s="32" t="str">
        <f t="shared" si="63"/>
        <v>||1900|</v>
      </c>
      <c r="I1989" s="32">
        <f>IF(G1989="",0,IF(COUNTIF($G$2:G1989,G1989)=1,1,0))</f>
        <v>0</v>
      </c>
      <c r="J1989" s="32">
        <f>IF(H1989="",0,IF(COUNTIF($H$2:H1989,H1989)=1,1,0))</f>
        <v>0</v>
      </c>
    </row>
    <row r="1990" spans="1:10" ht="14.25" hidden="1" customHeight="1" x14ac:dyDescent="0.35">
      <c r="A1990" s="30"/>
      <c r="E1990" s="31"/>
      <c r="G1990" s="32" t="str">
        <f t="shared" si="62"/>
        <v>|||1900|</v>
      </c>
      <c r="H1990" s="32" t="str">
        <f t="shared" si="63"/>
        <v>||1900|</v>
      </c>
      <c r="I1990" s="32">
        <f>IF(G1990="",0,IF(COUNTIF($G$2:G1990,G1990)=1,1,0))</f>
        <v>0</v>
      </c>
      <c r="J1990" s="32">
        <f>IF(H1990="",0,IF(COUNTIF($H$2:H1990,H1990)=1,1,0))</f>
        <v>0</v>
      </c>
    </row>
    <row r="1991" spans="1:10" ht="14.25" hidden="1" customHeight="1" x14ac:dyDescent="0.35">
      <c r="A1991" s="30"/>
      <c r="E1991" s="31"/>
      <c r="G1991" s="32" t="str">
        <f t="shared" si="62"/>
        <v>|||1900|</v>
      </c>
      <c r="H1991" s="32" t="str">
        <f t="shared" si="63"/>
        <v>||1900|</v>
      </c>
      <c r="I1991" s="32">
        <f>IF(G1991="",0,IF(COUNTIF($G$2:G1991,G1991)=1,1,0))</f>
        <v>0</v>
      </c>
      <c r="J1991" s="32">
        <f>IF(H1991="",0,IF(COUNTIF($H$2:H1991,H1991)=1,1,0))</f>
        <v>0</v>
      </c>
    </row>
    <row r="1992" spans="1:10" ht="14.25" hidden="1" customHeight="1" x14ac:dyDescent="0.35">
      <c r="A1992" s="30"/>
      <c r="E1992" s="31"/>
      <c r="G1992" s="32" t="str">
        <f t="shared" si="62"/>
        <v>|||1900|</v>
      </c>
      <c r="H1992" s="32" t="str">
        <f t="shared" si="63"/>
        <v>||1900|</v>
      </c>
      <c r="I1992" s="32">
        <f>IF(G1992="",0,IF(COUNTIF($G$2:G1992,G1992)=1,1,0))</f>
        <v>0</v>
      </c>
      <c r="J1992" s="32">
        <f>IF(H1992="",0,IF(COUNTIF($H$2:H1992,H1992)=1,1,0))</f>
        <v>0</v>
      </c>
    </row>
    <row r="1993" spans="1:10" ht="14.25" hidden="1" customHeight="1" x14ac:dyDescent="0.35">
      <c r="A1993" s="30"/>
      <c r="E1993" s="31"/>
      <c r="G1993" s="32" t="str">
        <f t="shared" si="62"/>
        <v>|||1900|</v>
      </c>
      <c r="H1993" s="32" t="str">
        <f t="shared" si="63"/>
        <v>||1900|</v>
      </c>
      <c r="I1993" s="32">
        <f>IF(G1993="",0,IF(COUNTIF($G$2:G1993,G1993)=1,1,0))</f>
        <v>0</v>
      </c>
      <c r="J1993" s="32">
        <f>IF(H1993="",0,IF(COUNTIF($H$2:H1993,H1993)=1,1,0))</f>
        <v>0</v>
      </c>
    </row>
    <row r="1994" spans="1:10" ht="14.25" hidden="1" customHeight="1" x14ac:dyDescent="0.35">
      <c r="A1994" s="30"/>
      <c r="E1994" s="31"/>
      <c r="G1994" s="32" t="str">
        <f t="shared" si="62"/>
        <v>|||1900|</v>
      </c>
      <c r="H1994" s="32" t="str">
        <f t="shared" si="63"/>
        <v>||1900|</v>
      </c>
      <c r="I1994" s="32">
        <f>IF(G1994="",0,IF(COUNTIF($G$2:G1994,G1994)=1,1,0))</f>
        <v>0</v>
      </c>
      <c r="J1994" s="32">
        <f>IF(H1994="",0,IF(COUNTIF($H$2:H1994,H1994)=1,1,0))</f>
        <v>0</v>
      </c>
    </row>
    <row r="1995" spans="1:10" ht="14.25" hidden="1" customHeight="1" x14ac:dyDescent="0.35">
      <c r="A1995" s="30"/>
      <c r="E1995" s="31"/>
      <c r="G1995" s="32" t="str">
        <f t="shared" si="62"/>
        <v>|||1900|</v>
      </c>
      <c r="H1995" s="32" t="str">
        <f t="shared" si="63"/>
        <v>||1900|</v>
      </c>
      <c r="I1995" s="32">
        <f>IF(G1995="",0,IF(COUNTIF($G$2:G1995,G1995)=1,1,0))</f>
        <v>0</v>
      </c>
      <c r="J1995" s="32">
        <f>IF(H1995="",0,IF(COUNTIF($H$2:H1995,H1995)=1,1,0))</f>
        <v>0</v>
      </c>
    </row>
    <row r="1996" spans="1:10" ht="14.25" hidden="1" customHeight="1" x14ac:dyDescent="0.35">
      <c r="A1996" s="30"/>
      <c r="E1996" s="31"/>
      <c r="G1996" s="32" t="str">
        <f t="shared" si="62"/>
        <v>|||1900|</v>
      </c>
      <c r="H1996" s="32" t="str">
        <f t="shared" si="63"/>
        <v>||1900|</v>
      </c>
      <c r="I1996" s="32">
        <f>IF(G1996="",0,IF(COUNTIF($G$2:G1996,G1996)=1,1,0))</f>
        <v>0</v>
      </c>
      <c r="J1996" s="32">
        <f>IF(H1996="",0,IF(COUNTIF($H$2:H1996,H1996)=1,1,0))</f>
        <v>0</v>
      </c>
    </row>
    <row r="1997" spans="1:10" ht="14.25" hidden="1" customHeight="1" x14ac:dyDescent="0.35">
      <c r="A1997" s="30"/>
      <c r="E1997" s="31"/>
      <c r="G1997" s="32" t="str">
        <f t="shared" si="62"/>
        <v>|||1900|</v>
      </c>
      <c r="H1997" s="32" t="str">
        <f t="shared" si="63"/>
        <v>||1900|</v>
      </c>
      <c r="I1997" s="32">
        <f>IF(G1997="",0,IF(COUNTIF($G$2:G1997,G1997)=1,1,0))</f>
        <v>0</v>
      </c>
      <c r="J1997" s="32">
        <f>IF(H1997="",0,IF(COUNTIF($H$2:H1997,H1997)=1,1,0))</f>
        <v>0</v>
      </c>
    </row>
    <row r="1998" spans="1:10" ht="14.25" hidden="1" customHeight="1" x14ac:dyDescent="0.35">
      <c r="A1998" s="30"/>
      <c r="E1998" s="31"/>
      <c r="G1998" s="32" t="str">
        <f t="shared" si="62"/>
        <v>|||1900|</v>
      </c>
      <c r="H1998" s="32" t="str">
        <f t="shared" si="63"/>
        <v>||1900|</v>
      </c>
      <c r="I1998" s="32">
        <f>IF(G1998="",0,IF(COUNTIF($G$2:G1998,G1998)=1,1,0))</f>
        <v>0</v>
      </c>
      <c r="J1998" s="32">
        <f>IF(H1998="",0,IF(COUNTIF($H$2:H1998,H1998)=1,1,0))</f>
        <v>0</v>
      </c>
    </row>
    <row r="1999" spans="1:10" ht="14.25" hidden="1" customHeight="1" x14ac:dyDescent="0.35">
      <c r="A1999" s="30"/>
      <c r="E1999" s="31"/>
      <c r="G1999" s="32" t="str">
        <f t="shared" si="62"/>
        <v>|||1900|</v>
      </c>
      <c r="H1999" s="32" t="str">
        <f t="shared" si="63"/>
        <v>||1900|</v>
      </c>
      <c r="I1999" s="32">
        <f>IF(G1999="",0,IF(COUNTIF($G$2:G1999,G1999)=1,1,0))</f>
        <v>0</v>
      </c>
      <c r="J1999" s="32">
        <f>IF(H1999="",0,IF(COUNTIF($H$2:H1999,H1999)=1,1,0))</f>
        <v>0</v>
      </c>
    </row>
    <row r="2000" spans="1:10" ht="14.25" hidden="1" customHeight="1" x14ac:dyDescent="0.35">
      <c r="A2000" s="30"/>
      <c r="E2000" s="31"/>
      <c r="G2000" s="32" t="str">
        <f t="shared" si="62"/>
        <v>|||1900|</v>
      </c>
      <c r="H2000" s="32" t="str">
        <f t="shared" si="63"/>
        <v>||1900|</v>
      </c>
      <c r="I2000" s="32">
        <f>IF(G2000="",0,IF(COUNTIF($G$2:G2000,G2000)=1,1,0))</f>
        <v>0</v>
      </c>
      <c r="J2000" s="32">
        <f>IF(H2000="",0,IF(COUNTIF($H$2:H2000,H2000)=1,1,0))</f>
        <v>0</v>
      </c>
    </row>
    <row r="2001" spans="1:10" ht="14.25" hidden="1" customHeight="1" x14ac:dyDescent="0.35">
      <c r="A2001" s="30"/>
      <c r="E2001" s="31"/>
      <c r="G2001" s="32" t="str">
        <f t="shared" si="62"/>
        <v>|||1900|</v>
      </c>
      <c r="H2001" s="32" t="str">
        <f t="shared" si="63"/>
        <v>||1900|</v>
      </c>
      <c r="I2001" s="32">
        <f>IF(G2001="",0,IF(COUNTIF($G$2:G2001,G2001)=1,1,0))</f>
        <v>0</v>
      </c>
      <c r="J2001" s="32">
        <f>IF(H2001="",0,IF(COUNTIF($H$2:H2001,H2001)=1,1,0))</f>
        <v>0</v>
      </c>
    </row>
    <row r="2002" spans="1:10" ht="14.25" hidden="1" customHeight="1" x14ac:dyDescent="0.35">
      <c r="A2002" s="30"/>
      <c r="E2002" s="31"/>
      <c r="G2002" s="32" t="str">
        <f t="shared" si="62"/>
        <v>|||1900|</v>
      </c>
      <c r="H2002" s="32" t="str">
        <f t="shared" si="63"/>
        <v>||1900|</v>
      </c>
      <c r="I2002" s="32">
        <f>IF(G2002="",0,IF(COUNTIF($G$2:G2002,G2002)=1,1,0))</f>
        <v>0</v>
      </c>
      <c r="J2002" s="32">
        <f>IF(H2002="",0,IF(COUNTIF($H$2:H2002,H2002)=1,1,0))</f>
        <v>0</v>
      </c>
    </row>
    <row r="2003" spans="1:10" ht="14.25" hidden="1" customHeight="1" x14ac:dyDescent="0.35">
      <c r="A2003" s="30"/>
      <c r="E2003" s="31"/>
      <c r="G2003" s="32" t="str">
        <f t="shared" si="62"/>
        <v>|||1900|</v>
      </c>
      <c r="H2003" s="32" t="str">
        <f t="shared" si="63"/>
        <v>||1900|</v>
      </c>
      <c r="I2003" s="32">
        <f>IF(G2003="",0,IF(COUNTIF($G$2:G2003,G2003)=1,1,0))</f>
        <v>0</v>
      </c>
      <c r="J2003" s="32">
        <f>IF(H2003="",0,IF(COUNTIF($H$2:H2003,H2003)=1,1,0))</f>
        <v>0</v>
      </c>
    </row>
    <row r="2004" spans="1:10" ht="14.25" hidden="1" customHeight="1" x14ac:dyDescent="0.35">
      <c r="A2004" s="30"/>
      <c r="E2004" s="31"/>
      <c r="G2004" s="32" t="str">
        <f t="shared" si="62"/>
        <v>|||1900|</v>
      </c>
      <c r="H2004" s="32" t="str">
        <f t="shared" si="63"/>
        <v>||1900|</v>
      </c>
      <c r="I2004" s="32">
        <f>IF(G2004="",0,IF(COUNTIF($G$2:G2004,G2004)=1,1,0))</f>
        <v>0</v>
      </c>
      <c r="J2004" s="32">
        <f>IF(H2004="",0,IF(COUNTIF($H$2:H2004,H2004)=1,1,0))</f>
        <v>0</v>
      </c>
    </row>
    <row r="2005" spans="1:10" ht="14.25" hidden="1" customHeight="1" x14ac:dyDescent="0.35">
      <c r="A2005" s="30"/>
      <c r="E2005" s="31"/>
      <c r="G2005" s="32" t="str">
        <f t="shared" si="62"/>
        <v>|||1900|</v>
      </c>
      <c r="H2005" s="32" t="str">
        <f t="shared" si="63"/>
        <v>||1900|</v>
      </c>
      <c r="I2005" s="32">
        <f>IF(G2005="",0,IF(COUNTIF($G$2:G2005,G2005)=1,1,0))</f>
        <v>0</v>
      </c>
      <c r="J2005" s="32">
        <f>IF(H2005="",0,IF(COUNTIF($H$2:H2005,H2005)=1,1,0))</f>
        <v>0</v>
      </c>
    </row>
    <row r="2006" spans="1:10" ht="14.25" hidden="1" customHeight="1" x14ac:dyDescent="0.35">
      <c r="A2006" s="30"/>
      <c r="E2006" s="31"/>
      <c r="G2006" s="32" t="str">
        <f t="shared" si="62"/>
        <v>|||1900|</v>
      </c>
      <c r="H2006" s="32" t="str">
        <f t="shared" si="63"/>
        <v>||1900|</v>
      </c>
      <c r="I2006" s="32">
        <f>IF(G2006="",0,IF(COUNTIF($G$2:G2006,G2006)=1,1,0))</f>
        <v>0</v>
      </c>
      <c r="J2006" s="32">
        <f>IF(H2006="",0,IF(COUNTIF($H$2:H2006,H2006)=1,1,0))</f>
        <v>0</v>
      </c>
    </row>
    <row r="2007" spans="1:10" ht="14.25" hidden="1" customHeight="1" x14ac:dyDescent="0.35">
      <c r="A2007" s="30"/>
      <c r="E2007" s="31"/>
      <c r="G2007" s="32" t="str">
        <f t="shared" si="62"/>
        <v>|||1900|</v>
      </c>
      <c r="H2007" s="32" t="str">
        <f t="shared" si="63"/>
        <v>||1900|</v>
      </c>
      <c r="I2007" s="32">
        <f>IF(G2007="",0,IF(COUNTIF($G$2:G2007,G2007)=1,1,0))</f>
        <v>0</v>
      </c>
      <c r="J2007" s="32">
        <f>IF(H2007="",0,IF(COUNTIF($H$2:H2007,H2007)=1,1,0))</f>
        <v>0</v>
      </c>
    </row>
    <row r="2008" spans="1:10" ht="14.25" hidden="1" customHeight="1" x14ac:dyDescent="0.35">
      <c r="A2008" s="30"/>
      <c r="E2008" s="31"/>
      <c r="G2008" s="32" t="str">
        <f t="shared" si="62"/>
        <v>|||1900|</v>
      </c>
      <c r="H2008" s="32" t="str">
        <f t="shared" si="63"/>
        <v>||1900|</v>
      </c>
      <c r="I2008" s="32">
        <f>IF(G2008="",0,IF(COUNTIF($G$2:G2008,G2008)=1,1,0))</f>
        <v>0</v>
      </c>
      <c r="J2008" s="32">
        <f>IF(H2008="",0,IF(COUNTIF($H$2:H2008,H2008)=1,1,0))</f>
        <v>0</v>
      </c>
    </row>
    <row r="2009" spans="1:10" ht="14.25" hidden="1" customHeight="1" x14ac:dyDescent="0.35">
      <c r="A2009" s="30"/>
      <c r="E2009" s="31"/>
      <c r="G2009" s="32" t="str">
        <f t="shared" si="62"/>
        <v>|||1900|</v>
      </c>
      <c r="H2009" s="32" t="str">
        <f t="shared" si="63"/>
        <v>||1900|</v>
      </c>
      <c r="I2009" s="32">
        <f>IF(G2009="",0,IF(COUNTIF($G$2:G2009,G2009)=1,1,0))</f>
        <v>0</v>
      </c>
      <c r="J2009" s="32">
        <f>IF(H2009="",0,IF(COUNTIF($H$2:H2009,H2009)=1,1,0))</f>
        <v>0</v>
      </c>
    </row>
    <row r="2010" spans="1:10" ht="14.25" hidden="1" customHeight="1" x14ac:dyDescent="0.35">
      <c r="A2010" s="30"/>
      <c r="E2010" s="31"/>
      <c r="G2010" s="32" t="str">
        <f t="shared" si="62"/>
        <v>|||1900|</v>
      </c>
      <c r="H2010" s="32" t="str">
        <f t="shared" si="63"/>
        <v>||1900|</v>
      </c>
      <c r="I2010" s="32">
        <f>IF(G2010="",0,IF(COUNTIF($G$2:G2010,G2010)=1,1,0))</f>
        <v>0</v>
      </c>
      <c r="J2010" s="32">
        <f>IF(H2010="",0,IF(COUNTIF($H$2:H2010,H2010)=1,1,0))</f>
        <v>0</v>
      </c>
    </row>
    <row r="2011" spans="1:10" ht="14.25" hidden="1" customHeight="1" x14ac:dyDescent="0.35">
      <c r="A2011" s="30"/>
      <c r="E2011" s="31"/>
      <c r="G2011" s="32" t="str">
        <f t="shared" si="62"/>
        <v>|||1900|</v>
      </c>
      <c r="H2011" s="32" t="str">
        <f t="shared" si="63"/>
        <v>||1900|</v>
      </c>
      <c r="I2011" s="32">
        <f>IF(G2011="",0,IF(COUNTIF($G$2:G2011,G2011)=1,1,0))</f>
        <v>0</v>
      </c>
      <c r="J2011" s="32">
        <f>IF(H2011="",0,IF(COUNTIF($H$2:H2011,H2011)=1,1,0))</f>
        <v>0</v>
      </c>
    </row>
    <row r="2012" spans="1:10" ht="14.25" hidden="1" customHeight="1" x14ac:dyDescent="0.35">
      <c r="A2012" s="30"/>
      <c r="E2012" s="31"/>
      <c r="G2012" s="32" t="str">
        <f t="shared" si="62"/>
        <v>|||1900|</v>
      </c>
      <c r="H2012" s="32" t="str">
        <f t="shared" si="63"/>
        <v>||1900|</v>
      </c>
      <c r="I2012" s="32">
        <f>IF(G2012="",0,IF(COUNTIF($G$2:G2012,G2012)=1,1,0))</f>
        <v>0</v>
      </c>
      <c r="J2012" s="32">
        <f>IF(H2012="",0,IF(COUNTIF($H$2:H2012,H2012)=1,1,0))</f>
        <v>0</v>
      </c>
    </row>
    <row r="2013" spans="1:10" ht="14.25" hidden="1" customHeight="1" x14ac:dyDescent="0.35">
      <c r="A2013" s="30"/>
      <c r="E2013" s="31"/>
      <c r="G2013" s="32" t="str">
        <f t="shared" si="62"/>
        <v>|||1900|</v>
      </c>
      <c r="H2013" s="32" t="str">
        <f t="shared" si="63"/>
        <v>||1900|</v>
      </c>
      <c r="I2013" s="32">
        <f>IF(G2013="",0,IF(COUNTIF($G$2:G2013,G2013)=1,1,0))</f>
        <v>0</v>
      </c>
      <c r="J2013" s="32">
        <f>IF(H2013="",0,IF(COUNTIF($H$2:H2013,H2013)=1,1,0))</f>
        <v>0</v>
      </c>
    </row>
    <row r="2014" spans="1:10" ht="14.25" hidden="1" customHeight="1" x14ac:dyDescent="0.35">
      <c r="A2014" s="30"/>
      <c r="E2014" s="31"/>
      <c r="G2014" s="32" t="str">
        <f t="shared" si="62"/>
        <v>|||1900|</v>
      </c>
      <c r="H2014" s="32" t="str">
        <f t="shared" si="63"/>
        <v>||1900|</v>
      </c>
      <c r="I2014" s="32">
        <f>IF(G2014="",0,IF(COUNTIF($G$2:G2014,G2014)=1,1,0))</f>
        <v>0</v>
      </c>
      <c r="J2014" s="32">
        <f>IF(H2014="",0,IF(COUNTIF($H$2:H2014,H2014)=1,1,0))</f>
        <v>0</v>
      </c>
    </row>
    <row r="2015" spans="1:10" ht="14.25" hidden="1" customHeight="1" x14ac:dyDescent="0.35">
      <c r="A2015" s="30"/>
      <c r="E2015" s="31"/>
      <c r="G2015" s="32" t="str">
        <f t="shared" si="62"/>
        <v>|||1900|</v>
      </c>
      <c r="H2015" s="32" t="str">
        <f t="shared" si="63"/>
        <v>||1900|</v>
      </c>
      <c r="I2015" s="32">
        <f>IF(G2015="",0,IF(COUNTIF($G$2:G2015,G2015)=1,1,0))</f>
        <v>0</v>
      </c>
      <c r="J2015" s="32">
        <f>IF(H2015="",0,IF(COUNTIF($H$2:H2015,H2015)=1,1,0))</f>
        <v>0</v>
      </c>
    </row>
    <row r="2016" spans="1:10" ht="14.25" hidden="1" customHeight="1" x14ac:dyDescent="0.35">
      <c r="A2016" s="30"/>
      <c r="E2016" s="31"/>
      <c r="G2016" s="32" t="str">
        <f t="shared" si="62"/>
        <v>|||1900|</v>
      </c>
      <c r="H2016" s="32" t="str">
        <f t="shared" si="63"/>
        <v>||1900|</v>
      </c>
      <c r="I2016" s="32">
        <f>IF(G2016="",0,IF(COUNTIF($G$2:G2016,G2016)=1,1,0))</f>
        <v>0</v>
      </c>
      <c r="J2016" s="32">
        <f>IF(H2016="",0,IF(COUNTIF($H$2:H2016,H2016)=1,1,0))</f>
        <v>0</v>
      </c>
    </row>
    <row r="2017" spans="1:10" ht="14.25" hidden="1" customHeight="1" x14ac:dyDescent="0.35">
      <c r="A2017" s="30"/>
      <c r="E2017" s="31"/>
      <c r="G2017" s="32" t="str">
        <f t="shared" si="62"/>
        <v>|||1900|</v>
      </c>
      <c r="H2017" s="32" t="str">
        <f t="shared" si="63"/>
        <v>||1900|</v>
      </c>
      <c r="I2017" s="32">
        <f>IF(G2017="",0,IF(COUNTIF($G$2:G2017,G2017)=1,1,0))</f>
        <v>0</v>
      </c>
      <c r="J2017" s="32">
        <f>IF(H2017="",0,IF(COUNTIF($H$2:H2017,H2017)=1,1,0))</f>
        <v>0</v>
      </c>
    </row>
    <row r="2018" spans="1:10" ht="14.25" hidden="1" customHeight="1" x14ac:dyDescent="0.35">
      <c r="A2018" s="30"/>
      <c r="E2018" s="31"/>
      <c r="G2018" s="32" t="str">
        <f t="shared" si="62"/>
        <v>|||1900|</v>
      </c>
      <c r="H2018" s="32" t="str">
        <f t="shared" si="63"/>
        <v>||1900|</v>
      </c>
      <c r="I2018" s="32">
        <f>IF(G2018="",0,IF(COUNTIF($G$2:G2018,G2018)=1,1,0))</f>
        <v>0</v>
      </c>
      <c r="J2018" s="32">
        <f>IF(H2018="",0,IF(COUNTIF($H$2:H2018,H2018)=1,1,0))</f>
        <v>0</v>
      </c>
    </row>
    <row r="2019" spans="1:10" ht="14.25" hidden="1" customHeight="1" x14ac:dyDescent="0.35">
      <c r="A2019" s="30"/>
      <c r="E2019" s="31"/>
      <c r="G2019" s="32" t="str">
        <f t="shared" si="62"/>
        <v>|||1900|</v>
      </c>
      <c r="H2019" s="32" t="str">
        <f t="shared" si="63"/>
        <v>||1900|</v>
      </c>
      <c r="I2019" s="32">
        <f>IF(G2019="",0,IF(COUNTIF($G$2:G2019,G2019)=1,1,0))</f>
        <v>0</v>
      </c>
      <c r="J2019" s="32">
        <f>IF(H2019="",0,IF(COUNTIF($H$2:H2019,H2019)=1,1,0))</f>
        <v>0</v>
      </c>
    </row>
    <row r="2020" spans="1:10" ht="14.25" hidden="1" customHeight="1" x14ac:dyDescent="0.35">
      <c r="A2020" s="30"/>
      <c r="E2020" s="31"/>
      <c r="G2020" s="32" t="str">
        <f t="shared" si="62"/>
        <v>|||1900|</v>
      </c>
      <c r="H2020" s="32" t="str">
        <f t="shared" si="63"/>
        <v>||1900|</v>
      </c>
      <c r="I2020" s="32">
        <f>IF(G2020="",0,IF(COUNTIF($G$2:G2020,G2020)=1,1,0))</f>
        <v>0</v>
      </c>
      <c r="J2020" s="32">
        <f>IF(H2020="",0,IF(COUNTIF($H$2:H2020,H2020)=1,1,0))</f>
        <v>0</v>
      </c>
    </row>
    <row r="2021" spans="1:10" ht="14.25" hidden="1" customHeight="1" x14ac:dyDescent="0.35">
      <c r="A2021" s="30"/>
      <c r="E2021" s="31"/>
      <c r="G2021" s="32" t="str">
        <f t="shared" si="62"/>
        <v>|||1900|</v>
      </c>
      <c r="H2021" s="32" t="str">
        <f t="shared" si="63"/>
        <v>||1900|</v>
      </c>
      <c r="I2021" s="32">
        <f>IF(G2021="",0,IF(COUNTIF($G$2:G2021,G2021)=1,1,0))</f>
        <v>0</v>
      </c>
      <c r="J2021" s="32">
        <f>IF(H2021="",0,IF(COUNTIF($H$2:H2021,H2021)=1,1,0))</f>
        <v>0</v>
      </c>
    </row>
    <row r="2022" spans="1:10" ht="14.25" hidden="1" customHeight="1" x14ac:dyDescent="0.35">
      <c r="A2022" s="30"/>
      <c r="E2022" s="31"/>
      <c r="G2022" s="32" t="str">
        <f t="shared" si="62"/>
        <v>|||1900|</v>
      </c>
      <c r="H2022" s="32" t="str">
        <f t="shared" si="63"/>
        <v>||1900|</v>
      </c>
      <c r="I2022" s="32">
        <f>IF(G2022="",0,IF(COUNTIF($G$2:G2022,G2022)=1,1,0))</f>
        <v>0</v>
      </c>
      <c r="J2022" s="32">
        <f>IF(H2022="",0,IF(COUNTIF($H$2:H2022,H2022)=1,1,0))</f>
        <v>0</v>
      </c>
    </row>
    <row r="2023" spans="1:10" ht="14.25" hidden="1" customHeight="1" x14ac:dyDescent="0.35">
      <c r="A2023" s="30"/>
      <c r="E2023" s="31"/>
      <c r="G2023" s="32" t="str">
        <f t="shared" si="62"/>
        <v>|||1900|</v>
      </c>
      <c r="H2023" s="32" t="str">
        <f t="shared" si="63"/>
        <v>||1900|</v>
      </c>
      <c r="I2023" s="32">
        <f>IF(G2023="",0,IF(COUNTIF($G$2:G2023,G2023)=1,1,0))</f>
        <v>0</v>
      </c>
      <c r="J2023" s="32">
        <f>IF(H2023="",0,IF(COUNTIF($H$2:H2023,H2023)=1,1,0))</f>
        <v>0</v>
      </c>
    </row>
    <row r="2024" spans="1:10" ht="14.25" hidden="1" customHeight="1" x14ac:dyDescent="0.35">
      <c r="A2024" s="30"/>
      <c r="E2024" s="31"/>
      <c r="G2024" s="32" t="str">
        <f t="shared" si="62"/>
        <v>|||1900|</v>
      </c>
      <c r="H2024" s="32" t="str">
        <f t="shared" si="63"/>
        <v>||1900|</v>
      </c>
      <c r="I2024" s="32">
        <f>IF(G2024="",0,IF(COUNTIF($G$2:G2024,G2024)=1,1,0))</f>
        <v>0</v>
      </c>
      <c r="J2024" s="32">
        <f>IF(H2024="",0,IF(COUNTIF($H$2:H2024,H2024)=1,1,0))</f>
        <v>0</v>
      </c>
    </row>
    <row r="2025" spans="1:10" ht="14.25" hidden="1" customHeight="1" x14ac:dyDescent="0.35">
      <c r="A2025" s="30"/>
      <c r="E2025" s="31"/>
      <c r="G2025" s="32" t="str">
        <f t="shared" si="62"/>
        <v>|||1900|</v>
      </c>
      <c r="H2025" s="32" t="str">
        <f t="shared" si="63"/>
        <v>||1900|</v>
      </c>
      <c r="I2025" s="32">
        <f>IF(G2025="",0,IF(COUNTIF($G$2:G2025,G2025)=1,1,0))</f>
        <v>0</v>
      </c>
      <c r="J2025" s="32">
        <f>IF(H2025="",0,IF(COUNTIF($H$2:H2025,H2025)=1,1,0))</f>
        <v>0</v>
      </c>
    </row>
    <row r="2026" spans="1:10" ht="14.25" hidden="1" customHeight="1" x14ac:dyDescent="0.35">
      <c r="A2026" s="30"/>
      <c r="E2026" s="31"/>
      <c r="G2026" s="32" t="str">
        <f t="shared" si="62"/>
        <v>|||1900|</v>
      </c>
      <c r="H2026" s="32" t="str">
        <f t="shared" si="63"/>
        <v>||1900|</v>
      </c>
      <c r="I2026" s="32">
        <f>IF(G2026="",0,IF(COUNTIF($G$2:G2026,G2026)=1,1,0))</f>
        <v>0</v>
      </c>
      <c r="J2026" s="32">
        <f>IF(H2026="",0,IF(COUNTIF($H$2:H2026,H2026)=1,1,0))</f>
        <v>0</v>
      </c>
    </row>
    <row r="2027" spans="1:10" ht="14.25" hidden="1" customHeight="1" x14ac:dyDescent="0.35">
      <c r="A2027" s="30"/>
      <c r="E2027" s="31"/>
      <c r="G2027" s="32" t="str">
        <f t="shared" si="62"/>
        <v>|||1900|</v>
      </c>
      <c r="H2027" s="32" t="str">
        <f t="shared" si="63"/>
        <v>||1900|</v>
      </c>
      <c r="I2027" s="32">
        <f>IF(G2027="",0,IF(COUNTIF($G$2:G2027,G2027)=1,1,0))</f>
        <v>0</v>
      </c>
      <c r="J2027" s="32">
        <f>IF(H2027="",0,IF(COUNTIF($H$2:H2027,H2027)=1,1,0))</f>
        <v>0</v>
      </c>
    </row>
    <row r="2028" spans="1:10" ht="14.25" hidden="1" customHeight="1" x14ac:dyDescent="0.35">
      <c r="A2028" s="30"/>
      <c r="E2028" s="31"/>
      <c r="G2028" s="32" t="str">
        <f t="shared" si="62"/>
        <v>|||1900|</v>
      </c>
      <c r="H2028" s="32" t="str">
        <f t="shared" si="63"/>
        <v>||1900|</v>
      </c>
      <c r="I2028" s="32">
        <f>IF(G2028="",0,IF(COUNTIF($G$2:G2028,G2028)=1,1,0))</f>
        <v>0</v>
      </c>
      <c r="J2028" s="32">
        <f>IF(H2028="",0,IF(COUNTIF($H$2:H2028,H2028)=1,1,0))</f>
        <v>0</v>
      </c>
    </row>
    <row r="2029" spans="1:10" ht="14.25" hidden="1" customHeight="1" x14ac:dyDescent="0.35">
      <c r="A2029" s="30"/>
      <c r="E2029" s="31"/>
      <c r="G2029" s="32" t="str">
        <f t="shared" si="62"/>
        <v>|||1900|</v>
      </c>
      <c r="H2029" s="32" t="str">
        <f t="shared" si="63"/>
        <v>||1900|</v>
      </c>
      <c r="I2029" s="32">
        <f>IF(G2029="",0,IF(COUNTIF($G$2:G2029,G2029)=1,1,0))</f>
        <v>0</v>
      </c>
      <c r="J2029" s="32">
        <f>IF(H2029="",0,IF(COUNTIF($H$2:H2029,H2029)=1,1,0))</f>
        <v>0</v>
      </c>
    </row>
    <row r="2030" spans="1:10" ht="14.25" hidden="1" customHeight="1" x14ac:dyDescent="0.35">
      <c r="A2030" s="30"/>
      <c r="E2030" s="31"/>
      <c r="G2030" s="32" t="str">
        <f t="shared" si="62"/>
        <v>|||1900|</v>
      </c>
      <c r="H2030" s="32" t="str">
        <f t="shared" si="63"/>
        <v>||1900|</v>
      </c>
      <c r="I2030" s="32">
        <f>IF(G2030="",0,IF(COUNTIF($G$2:G2030,G2030)=1,1,0))</f>
        <v>0</v>
      </c>
      <c r="J2030" s="32">
        <f>IF(H2030="",0,IF(COUNTIF($H$2:H2030,H2030)=1,1,0))</f>
        <v>0</v>
      </c>
    </row>
    <row r="2031" spans="1:10" ht="14.25" hidden="1" customHeight="1" x14ac:dyDescent="0.35">
      <c r="A2031" s="30"/>
      <c r="E2031" s="31"/>
      <c r="G2031" s="32" t="str">
        <f t="shared" si="62"/>
        <v>|||1900|</v>
      </c>
      <c r="H2031" s="32" t="str">
        <f t="shared" si="63"/>
        <v>||1900|</v>
      </c>
      <c r="I2031" s="32">
        <f>IF(G2031="",0,IF(COUNTIF($G$2:G2031,G2031)=1,1,0))</f>
        <v>0</v>
      </c>
      <c r="J2031" s="32">
        <f>IF(H2031="",0,IF(COUNTIF($H$2:H2031,H2031)=1,1,0))</f>
        <v>0</v>
      </c>
    </row>
    <row r="2032" spans="1:10" ht="14.25" hidden="1" customHeight="1" x14ac:dyDescent="0.35">
      <c r="A2032" s="30"/>
      <c r="E2032" s="31"/>
      <c r="G2032" s="32" t="str">
        <f t="shared" si="62"/>
        <v>|||1900|</v>
      </c>
      <c r="H2032" s="32" t="str">
        <f t="shared" si="63"/>
        <v>||1900|</v>
      </c>
      <c r="I2032" s="32">
        <f>IF(G2032="",0,IF(COUNTIF($G$2:G2032,G2032)=1,1,0))</f>
        <v>0</v>
      </c>
      <c r="J2032" s="32">
        <f>IF(H2032="",0,IF(COUNTIF($H$2:H2032,H2032)=1,1,0))</f>
        <v>0</v>
      </c>
    </row>
    <row r="2033" spans="1:10" ht="14.25" hidden="1" customHeight="1" x14ac:dyDescent="0.35">
      <c r="A2033" s="30"/>
      <c r="E2033" s="31"/>
      <c r="G2033" s="32" t="str">
        <f t="shared" si="62"/>
        <v>|||1900|</v>
      </c>
      <c r="H2033" s="32" t="str">
        <f t="shared" si="63"/>
        <v>||1900|</v>
      </c>
      <c r="I2033" s="32">
        <f>IF(G2033="",0,IF(COUNTIF($G$2:G2033,G2033)=1,1,0))</f>
        <v>0</v>
      </c>
      <c r="J2033" s="32">
        <f>IF(H2033="",0,IF(COUNTIF($H$2:H2033,H2033)=1,1,0))</f>
        <v>0</v>
      </c>
    </row>
    <row r="2034" spans="1:10" ht="14.25" hidden="1" customHeight="1" x14ac:dyDescent="0.35">
      <c r="A2034" s="30"/>
      <c r="E2034" s="31"/>
      <c r="G2034" s="32" t="str">
        <f t="shared" si="62"/>
        <v>|||1900|</v>
      </c>
      <c r="H2034" s="32" t="str">
        <f t="shared" si="63"/>
        <v>||1900|</v>
      </c>
      <c r="I2034" s="32">
        <f>IF(G2034="",0,IF(COUNTIF($G$2:G2034,G2034)=1,1,0))</f>
        <v>0</v>
      </c>
      <c r="J2034" s="32">
        <f>IF(H2034="",0,IF(COUNTIF($H$2:H2034,H2034)=1,1,0))</f>
        <v>0</v>
      </c>
    </row>
    <row r="2035" spans="1:10" ht="14.25" hidden="1" customHeight="1" x14ac:dyDescent="0.35">
      <c r="A2035" s="30"/>
      <c r="E2035" s="31"/>
      <c r="G2035" s="32" t="str">
        <f t="shared" si="62"/>
        <v>|||1900|</v>
      </c>
      <c r="H2035" s="32" t="str">
        <f t="shared" si="63"/>
        <v>||1900|</v>
      </c>
      <c r="I2035" s="32">
        <f>IF(G2035="",0,IF(COUNTIF($G$2:G2035,G2035)=1,1,0))</f>
        <v>0</v>
      </c>
      <c r="J2035" s="32">
        <f>IF(H2035="",0,IF(COUNTIF($H$2:H2035,H2035)=1,1,0))</f>
        <v>0</v>
      </c>
    </row>
    <row r="2036" spans="1:10" ht="14.25" hidden="1" customHeight="1" x14ac:dyDescent="0.35">
      <c r="A2036" s="30"/>
      <c r="E2036" s="31"/>
      <c r="G2036" s="32" t="str">
        <f t="shared" si="62"/>
        <v>|||1900|</v>
      </c>
      <c r="H2036" s="32" t="str">
        <f t="shared" si="63"/>
        <v>||1900|</v>
      </c>
      <c r="I2036" s="32">
        <f>IF(G2036="",0,IF(COUNTIF($G$2:G2036,G2036)=1,1,0))</f>
        <v>0</v>
      </c>
      <c r="J2036" s="32">
        <f>IF(H2036="",0,IF(COUNTIF($H$2:H2036,H2036)=1,1,0))</f>
        <v>0</v>
      </c>
    </row>
    <row r="2037" spans="1:10" ht="14.25" hidden="1" customHeight="1" x14ac:dyDescent="0.35">
      <c r="A2037" s="30"/>
      <c r="E2037" s="31"/>
      <c r="G2037" s="32" t="str">
        <f t="shared" si="62"/>
        <v>|||1900|</v>
      </c>
      <c r="H2037" s="32" t="str">
        <f t="shared" si="63"/>
        <v>||1900|</v>
      </c>
      <c r="I2037" s="32">
        <f>IF(G2037="",0,IF(COUNTIF($G$2:G2037,G2037)=1,1,0))</f>
        <v>0</v>
      </c>
      <c r="J2037" s="32">
        <f>IF(H2037="",0,IF(COUNTIF($H$2:H2037,H2037)=1,1,0))</f>
        <v>0</v>
      </c>
    </row>
    <row r="2038" spans="1:10" ht="14.25" hidden="1" customHeight="1" x14ac:dyDescent="0.35">
      <c r="A2038" s="30"/>
      <c r="E2038" s="31"/>
      <c r="G2038" s="32" t="str">
        <f t="shared" si="62"/>
        <v>|||1900|</v>
      </c>
      <c r="H2038" s="32" t="str">
        <f t="shared" si="63"/>
        <v>||1900|</v>
      </c>
      <c r="I2038" s="32">
        <f>IF(G2038="",0,IF(COUNTIF($G$2:G2038,G2038)=1,1,0))</f>
        <v>0</v>
      </c>
      <c r="J2038" s="32">
        <f>IF(H2038="",0,IF(COUNTIF($H$2:H2038,H2038)=1,1,0))</f>
        <v>0</v>
      </c>
    </row>
    <row r="2039" spans="1:10" ht="14.25" hidden="1" customHeight="1" x14ac:dyDescent="0.35">
      <c r="A2039" s="30"/>
      <c r="E2039" s="31"/>
      <c r="G2039" s="32" t="str">
        <f t="shared" si="62"/>
        <v>|||1900|</v>
      </c>
      <c r="H2039" s="32" t="str">
        <f t="shared" si="63"/>
        <v>||1900|</v>
      </c>
      <c r="I2039" s="32">
        <f>IF(G2039="",0,IF(COUNTIF($G$2:G2039,G2039)=1,1,0))</f>
        <v>0</v>
      </c>
      <c r="J2039" s="32">
        <f>IF(H2039="",0,IF(COUNTIF($H$2:H2039,H2039)=1,1,0))</f>
        <v>0</v>
      </c>
    </row>
    <row r="2040" spans="1:10" ht="14.25" hidden="1" customHeight="1" x14ac:dyDescent="0.35">
      <c r="A2040" s="30"/>
      <c r="E2040" s="31"/>
      <c r="G2040" s="32" t="str">
        <f t="shared" si="62"/>
        <v>|||1900|</v>
      </c>
      <c r="H2040" s="32" t="str">
        <f t="shared" si="63"/>
        <v>||1900|</v>
      </c>
      <c r="I2040" s="32">
        <f>IF(G2040="",0,IF(COUNTIF($G$2:G2040,G2040)=1,1,0))</f>
        <v>0</v>
      </c>
      <c r="J2040" s="32">
        <f>IF(H2040="",0,IF(COUNTIF($H$2:H2040,H2040)=1,1,0))</f>
        <v>0</v>
      </c>
    </row>
    <row r="2041" spans="1:10" ht="14.25" hidden="1" customHeight="1" x14ac:dyDescent="0.35">
      <c r="A2041" s="30"/>
      <c r="E2041" s="31"/>
      <c r="G2041" s="32" t="str">
        <f t="shared" si="62"/>
        <v>|||1900|</v>
      </c>
      <c r="H2041" s="32" t="str">
        <f t="shared" si="63"/>
        <v>||1900|</v>
      </c>
      <c r="I2041" s="32">
        <f>IF(G2041="",0,IF(COUNTIF($G$2:G2041,G2041)=1,1,0))</f>
        <v>0</v>
      </c>
      <c r="J2041" s="32">
        <f>IF(H2041="",0,IF(COUNTIF($H$2:H2041,H2041)=1,1,0))</f>
        <v>0</v>
      </c>
    </row>
    <row r="2042" spans="1:10" ht="14.25" hidden="1" customHeight="1" x14ac:dyDescent="0.35">
      <c r="A2042" s="30"/>
      <c r="E2042" s="31"/>
      <c r="G2042" s="32" t="str">
        <f t="shared" si="62"/>
        <v>|||1900|</v>
      </c>
      <c r="H2042" s="32" t="str">
        <f t="shared" si="63"/>
        <v>||1900|</v>
      </c>
      <c r="I2042" s="32">
        <f>IF(G2042="",0,IF(COUNTIF($G$2:G2042,G2042)=1,1,0))</f>
        <v>0</v>
      </c>
      <c r="J2042" s="32">
        <f>IF(H2042="",0,IF(COUNTIF($H$2:H2042,H2042)=1,1,0))</f>
        <v>0</v>
      </c>
    </row>
    <row r="2043" spans="1:10" ht="14.25" hidden="1" customHeight="1" x14ac:dyDescent="0.35">
      <c r="A2043" s="30"/>
      <c r="E2043" s="31"/>
      <c r="G2043" s="32" t="str">
        <f t="shared" si="62"/>
        <v>|||1900|</v>
      </c>
      <c r="H2043" s="32" t="str">
        <f t="shared" si="63"/>
        <v>||1900|</v>
      </c>
      <c r="I2043" s="32">
        <f>IF(G2043="",0,IF(COUNTIF($G$2:G2043,G2043)=1,1,0))</f>
        <v>0</v>
      </c>
      <c r="J2043" s="32">
        <f>IF(H2043="",0,IF(COUNTIF($H$2:H2043,H2043)=1,1,0))</f>
        <v>0</v>
      </c>
    </row>
    <row r="2044" spans="1:10" ht="14.25" hidden="1" customHeight="1" x14ac:dyDescent="0.35">
      <c r="A2044" s="30"/>
      <c r="E2044" s="31"/>
      <c r="G2044" s="32" t="str">
        <f t="shared" si="62"/>
        <v>|||1900|</v>
      </c>
      <c r="H2044" s="32" t="str">
        <f t="shared" si="63"/>
        <v>||1900|</v>
      </c>
      <c r="I2044" s="32">
        <f>IF(G2044="",0,IF(COUNTIF($G$2:G2044,G2044)=1,1,0))</f>
        <v>0</v>
      </c>
      <c r="J2044" s="32">
        <f>IF(H2044="",0,IF(COUNTIF($H$2:H2044,H2044)=1,1,0))</f>
        <v>0</v>
      </c>
    </row>
    <row r="2045" spans="1:10" ht="14.25" hidden="1" customHeight="1" x14ac:dyDescent="0.35">
      <c r="A2045" s="30"/>
      <c r="E2045" s="31"/>
      <c r="G2045" s="32" t="str">
        <f t="shared" si="62"/>
        <v>|||1900|</v>
      </c>
      <c r="H2045" s="32" t="str">
        <f t="shared" si="63"/>
        <v>||1900|</v>
      </c>
      <c r="I2045" s="32">
        <f>IF(G2045="",0,IF(COUNTIF($G$2:G2045,G2045)=1,1,0))</f>
        <v>0</v>
      </c>
      <c r="J2045" s="32">
        <f>IF(H2045="",0,IF(COUNTIF($H$2:H2045,H2045)=1,1,0))</f>
        <v>0</v>
      </c>
    </row>
    <row r="2046" spans="1:10" ht="14.25" hidden="1" customHeight="1" x14ac:dyDescent="0.35">
      <c r="A2046" s="30"/>
      <c r="E2046" s="31"/>
      <c r="G2046" s="32" t="str">
        <f t="shared" si="62"/>
        <v>|||1900|</v>
      </c>
      <c r="H2046" s="32" t="str">
        <f t="shared" si="63"/>
        <v>||1900|</v>
      </c>
      <c r="I2046" s="32">
        <f>IF(G2046="",0,IF(COUNTIF($G$2:G2046,G2046)=1,1,0))</f>
        <v>0</v>
      </c>
      <c r="J2046" s="32">
        <f>IF(H2046="",0,IF(COUNTIF($H$2:H2046,H2046)=1,1,0))</f>
        <v>0</v>
      </c>
    </row>
    <row r="2047" spans="1:10" ht="14.25" hidden="1" customHeight="1" x14ac:dyDescent="0.35">
      <c r="A2047" s="30"/>
      <c r="E2047" s="31"/>
      <c r="G2047" s="32" t="str">
        <f t="shared" si="62"/>
        <v>|||1900|</v>
      </c>
      <c r="H2047" s="32" t="str">
        <f t="shared" si="63"/>
        <v>||1900|</v>
      </c>
      <c r="I2047" s="32">
        <f>IF(G2047="",0,IF(COUNTIF($G$2:G2047,G2047)=1,1,0))</f>
        <v>0</v>
      </c>
      <c r="J2047" s="32">
        <f>IF(H2047="",0,IF(COUNTIF($H$2:H2047,H2047)=1,1,0))</f>
        <v>0</v>
      </c>
    </row>
    <row r="2048" spans="1:10" ht="14.25" hidden="1" customHeight="1" x14ac:dyDescent="0.35">
      <c r="A2048" s="30"/>
      <c r="E2048" s="31"/>
      <c r="G2048" s="32" t="str">
        <f t="shared" si="62"/>
        <v>|||1900|</v>
      </c>
      <c r="H2048" s="32" t="str">
        <f t="shared" si="63"/>
        <v>||1900|</v>
      </c>
      <c r="I2048" s="32">
        <f>IF(G2048="",0,IF(COUNTIF($G$2:G2048,G2048)=1,1,0))</f>
        <v>0</v>
      </c>
      <c r="J2048" s="32">
        <f>IF(H2048="",0,IF(COUNTIF($H$2:H2048,H2048)=1,1,0))</f>
        <v>0</v>
      </c>
    </row>
    <row r="2049" spans="1:10" ht="14.25" hidden="1" customHeight="1" x14ac:dyDescent="0.35">
      <c r="A2049" s="30"/>
      <c r="E2049" s="31"/>
      <c r="G2049" s="32" t="str">
        <f t="shared" si="62"/>
        <v>|||1900|</v>
      </c>
      <c r="H2049" s="32" t="str">
        <f t="shared" si="63"/>
        <v>||1900|</v>
      </c>
      <c r="I2049" s="32">
        <f>IF(G2049="",0,IF(COUNTIF($G$2:G2049,G2049)=1,1,0))</f>
        <v>0</v>
      </c>
      <c r="J2049" s="32">
        <f>IF(H2049="",0,IF(COUNTIF($H$2:H2049,H2049)=1,1,0))</f>
        <v>0</v>
      </c>
    </row>
    <row r="2050" spans="1:10" ht="14.25" hidden="1" customHeight="1" x14ac:dyDescent="0.35">
      <c r="A2050" s="30"/>
      <c r="E2050" s="31"/>
      <c r="G2050" s="32" t="str">
        <f t="shared" ref="G2050:G2113" si="64">IF(D2050="T",
E2050&amp;"|"&amp;F2050,
A2050&amp;"|"&amp;B2050&amp;"|"&amp;C2050&amp;"|"&amp;YEAR(E2050)&amp;"|"&amp;F2050)</f>
        <v>|||1900|</v>
      </c>
      <c r="H2050" s="32" t="str">
        <f t="shared" ref="H2050:H2113" si="65">A2050&amp;"|"&amp;C2050&amp;"|"&amp;YEAR(E2050)&amp;"|"&amp;F2050</f>
        <v>||1900|</v>
      </c>
      <c r="I2050" s="32">
        <f>IF(G2050="",0,IF(COUNTIF($G$2:G2050,G2050)=1,1,0))</f>
        <v>0</v>
      </c>
      <c r="J2050" s="32">
        <f>IF(H2050="",0,IF(COUNTIF($H$2:H2050,H2050)=1,1,0))</f>
        <v>0</v>
      </c>
    </row>
    <row r="2051" spans="1:10" ht="14.25" hidden="1" customHeight="1" x14ac:dyDescent="0.35">
      <c r="A2051" s="30"/>
      <c r="E2051" s="31"/>
      <c r="G2051" s="32" t="str">
        <f t="shared" si="64"/>
        <v>|||1900|</v>
      </c>
      <c r="H2051" s="32" t="str">
        <f t="shared" si="65"/>
        <v>||1900|</v>
      </c>
      <c r="I2051" s="32">
        <f>IF(G2051="",0,IF(COUNTIF($G$2:G2051,G2051)=1,1,0))</f>
        <v>0</v>
      </c>
      <c r="J2051" s="32">
        <f>IF(H2051="",0,IF(COUNTIF($H$2:H2051,H2051)=1,1,0))</f>
        <v>0</v>
      </c>
    </row>
    <row r="2052" spans="1:10" ht="14.25" hidden="1" customHeight="1" x14ac:dyDescent="0.35">
      <c r="A2052" s="30"/>
      <c r="E2052" s="31"/>
      <c r="G2052" s="32" t="str">
        <f t="shared" si="64"/>
        <v>|||1900|</v>
      </c>
      <c r="H2052" s="32" t="str">
        <f t="shared" si="65"/>
        <v>||1900|</v>
      </c>
      <c r="I2052" s="32">
        <f>IF(G2052="",0,IF(COUNTIF($G$2:G2052,G2052)=1,1,0))</f>
        <v>0</v>
      </c>
      <c r="J2052" s="32">
        <f>IF(H2052="",0,IF(COUNTIF($H$2:H2052,H2052)=1,1,0))</f>
        <v>0</v>
      </c>
    </row>
    <row r="2053" spans="1:10" ht="14.25" hidden="1" customHeight="1" x14ac:dyDescent="0.35">
      <c r="A2053" s="30"/>
      <c r="E2053" s="31"/>
      <c r="G2053" s="32" t="str">
        <f t="shared" si="64"/>
        <v>|||1900|</v>
      </c>
      <c r="H2053" s="32" t="str">
        <f t="shared" si="65"/>
        <v>||1900|</v>
      </c>
      <c r="I2053" s="32">
        <f>IF(G2053="",0,IF(COUNTIF($G$2:G2053,G2053)=1,1,0))</f>
        <v>0</v>
      </c>
      <c r="J2053" s="32">
        <f>IF(H2053="",0,IF(COUNTIF($H$2:H2053,H2053)=1,1,0))</f>
        <v>0</v>
      </c>
    </row>
    <row r="2054" spans="1:10" ht="14.25" hidden="1" customHeight="1" x14ac:dyDescent="0.35">
      <c r="A2054" s="30"/>
      <c r="E2054" s="31"/>
      <c r="G2054" s="32" t="str">
        <f t="shared" si="64"/>
        <v>|||1900|</v>
      </c>
      <c r="H2054" s="32" t="str">
        <f t="shared" si="65"/>
        <v>||1900|</v>
      </c>
      <c r="I2054" s="32">
        <f>IF(G2054="",0,IF(COUNTIF($G$2:G2054,G2054)=1,1,0))</f>
        <v>0</v>
      </c>
      <c r="J2054" s="32">
        <f>IF(H2054="",0,IF(COUNTIF($H$2:H2054,H2054)=1,1,0))</f>
        <v>0</v>
      </c>
    </row>
    <row r="2055" spans="1:10" ht="14.25" hidden="1" customHeight="1" x14ac:dyDescent="0.35">
      <c r="A2055" s="30"/>
      <c r="E2055" s="31"/>
      <c r="G2055" s="32" t="str">
        <f t="shared" si="64"/>
        <v>|||1900|</v>
      </c>
      <c r="H2055" s="32" t="str">
        <f t="shared" si="65"/>
        <v>||1900|</v>
      </c>
      <c r="I2055" s="32">
        <f>IF(G2055="",0,IF(COUNTIF($G$2:G2055,G2055)=1,1,0))</f>
        <v>0</v>
      </c>
      <c r="J2055" s="32">
        <f>IF(H2055="",0,IF(COUNTIF($H$2:H2055,H2055)=1,1,0))</f>
        <v>0</v>
      </c>
    </row>
    <row r="2056" spans="1:10" ht="14.25" hidden="1" customHeight="1" x14ac:dyDescent="0.35">
      <c r="A2056" s="30"/>
      <c r="E2056" s="31"/>
      <c r="G2056" s="32" t="str">
        <f t="shared" si="64"/>
        <v>|||1900|</v>
      </c>
      <c r="H2056" s="32" t="str">
        <f t="shared" si="65"/>
        <v>||1900|</v>
      </c>
      <c r="I2056" s="32">
        <f>IF(G2056="",0,IF(COUNTIF($G$2:G2056,G2056)=1,1,0))</f>
        <v>0</v>
      </c>
      <c r="J2056" s="32">
        <f>IF(H2056="",0,IF(COUNTIF($H$2:H2056,H2056)=1,1,0))</f>
        <v>0</v>
      </c>
    </row>
    <row r="2057" spans="1:10" ht="14.25" hidden="1" customHeight="1" x14ac:dyDescent="0.35">
      <c r="A2057" s="30"/>
      <c r="E2057" s="31"/>
      <c r="G2057" s="32" t="str">
        <f t="shared" si="64"/>
        <v>|||1900|</v>
      </c>
      <c r="H2057" s="32" t="str">
        <f t="shared" si="65"/>
        <v>||1900|</v>
      </c>
      <c r="I2057" s="32">
        <f>IF(G2057="",0,IF(COUNTIF($G$2:G2057,G2057)=1,1,0))</f>
        <v>0</v>
      </c>
      <c r="J2057" s="32">
        <f>IF(H2057="",0,IF(COUNTIF($H$2:H2057,H2057)=1,1,0))</f>
        <v>0</v>
      </c>
    </row>
    <row r="2058" spans="1:10" ht="14.25" hidden="1" customHeight="1" x14ac:dyDescent="0.35">
      <c r="A2058" s="30"/>
      <c r="E2058" s="31"/>
      <c r="G2058" s="32" t="str">
        <f t="shared" si="64"/>
        <v>|||1900|</v>
      </c>
      <c r="H2058" s="32" t="str">
        <f t="shared" si="65"/>
        <v>||1900|</v>
      </c>
      <c r="I2058" s="32">
        <f>IF(G2058="",0,IF(COUNTIF($G$2:G2058,G2058)=1,1,0))</f>
        <v>0</v>
      </c>
      <c r="J2058" s="32">
        <f>IF(H2058="",0,IF(COUNTIF($H$2:H2058,H2058)=1,1,0))</f>
        <v>0</v>
      </c>
    </row>
    <row r="2059" spans="1:10" ht="14.25" hidden="1" customHeight="1" x14ac:dyDescent="0.35">
      <c r="A2059" s="30"/>
      <c r="E2059" s="31"/>
      <c r="G2059" s="32" t="str">
        <f t="shared" si="64"/>
        <v>|||1900|</v>
      </c>
      <c r="H2059" s="32" t="str">
        <f t="shared" si="65"/>
        <v>||1900|</v>
      </c>
      <c r="I2059" s="32">
        <f>IF(G2059="",0,IF(COUNTIF($G$2:G2059,G2059)=1,1,0))</f>
        <v>0</v>
      </c>
      <c r="J2059" s="32">
        <f>IF(H2059="",0,IF(COUNTIF($H$2:H2059,H2059)=1,1,0))</f>
        <v>0</v>
      </c>
    </row>
    <row r="2060" spans="1:10" ht="14.25" hidden="1" customHeight="1" x14ac:dyDescent="0.35">
      <c r="A2060" s="30"/>
      <c r="E2060" s="31"/>
      <c r="G2060" s="32" t="str">
        <f t="shared" si="64"/>
        <v>|||1900|</v>
      </c>
      <c r="H2060" s="32" t="str">
        <f t="shared" si="65"/>
        <v>||1900|</v>
      </c>
      <c r="I2060" s="32">
        <f>IF(G2060="",0,IF(COUNTIF($G$2:G2060,G2060)=1,1,0))</f>
        <v>0</v>
      </c>
      <c r="J2060" s="32">
        <f>IF(H2060="",0,IF(COUNTIF($H$2:H2060,H2060)=1,1,0))</f>
        <v>0</v>
      </c>
    </row>
    <row r="2061" spans="1:10" ht="14.25" hidden="1" customHeight="1" x14ac:dyDescent="0.35">
      <c r="A2061" s="30"/>
      <c r="E2061" s="31"/>
      <c r="G2061" s="32" t="str">
        <f t="shared" si="64"/>
        <v>|||1900|</v>
      </c>
      <c r="H2061" s="32" t="str">
        <f t="shared" si="65"/>
        <v>||1900|</v>
      </c>
      <c r="I2061" s="32">
        <f>IF(G2061="",0,IF(COUNTIF($G$2:G2061,G2061)=1,1,0))</f>
        <v>0</v>
      </c>
      <c r="J2061" s="32">
        <f>IF(H2061="",0,IF(COUNTIF($H$2:H2061,H2061)=1,1,0))</f>
        <v>0</v>
      </c>
    </row>
    <row r="2062" spans="1:10" ht="14.25" hidden="1" customHeight="1" x14ac:dyDescent="0.35">
      <c r="A2062" s="30"/>
      <c r="E2062" s="31"/>
      <c r="G2062" s="32" t="str">
        <f t="shared" si="64"/>
        <v>|||1900|</v>
      </c>
      <c r="H2062" s="32" t="str">
        <f t="shared" si="65"/>
        <v>||1900|</v>
      </c>
      <c r="I2062" s="32">
        <f>IF(G2062="",0,IF(COUNTIF($G$2:G2062,G2062)=1,1,0))</f>
        <v>0</v>
      </c>
      <c r="J2062" s="32">
        <f>IF(H2062="",0,IF(COUNTIF($H$2:H2062,H2062)=1,1,0))</f>
        <v>0</v>
      </c>
    </row>
    <row r="2063" spans="1:10" ht="14.25" hidden="1" customHeight="1" x14ac:dyDescent="0.35">
      <c r="A2063" s="30"/>
      <c r="E2063" s="31"/>
      <c r="G2063" s="32" t="str">
        <f t="shared" si="64"/>
        <v>|||1900|</v>
      </c>
      <c r="H2063" s="32" t="str">
        <f t="shared" si="65"/>
        <v>||1900|</v>
      </c>
      <c r="I2063" s="32">
        <f>IF(G2063="",0,IF(COUNTIF($G$2:G2063,G2063)=1,1,0))</f>
        <v>0</v>
      </c>
      <c r="J2063" s="32">
        <f>IF(H2063="",0,IF(COUNTIF($H$2:H2063,H2063)=1,1,0))</f>
        <v>0</v>
      </c>
    </row>
    <row r="2064" spans="1:10" ht="14.25" hidden="1" customHeight="1" x14ac:dyDescent="0.35">
      <c r="A2064" s="30"/>
      <c r="E2064" s="31"/>
      <c r="G2064" s="32" t="str">
        <f t="shared" si="64"/>
        <v>|||1900|</v>
      </c>
      <c r="H2064" s="32" t="str">
        <f t="shared" si="65"/>
        <v>||1900|</v>
      </c>
      <c r="I2064" s="32">
        <f>IF(G2064="",0,IF(COUNTIF($G$2:G2064,G2064)=1,1,0))</f>
        <v>0</v>
      </c>
      <c r="J2064" s="32">
        <f>IF(H2064="",0,IF(COUNTIF($H$2:H2064,H2064)=1,1,0))</f>
        <v>0</v>
      </c>
    </row>
    <row r="2065" spans="1:10" ht="14.25" hidden="1" customHeight="1" x14ac:dyDescent="0.35">
      <c r="A2065" s="30"/>
      <c r="E2065" s="31"/>
      <c r="G2065" s="32" t="str">
        <f t="shared" si="64"/>
        <v>|||1900|</v>
      </c>
      <c r="H2065" s="32" t="str">
        <f t="shared" si="65"/>
        <v>||1900|</v>
      </c>
      <c r="I2065" s="32">
        <f>IF(G2065="",0,IF(COUNTIF($G$2:G2065,G2065)=1,1,0))</f>
        <v>0</v>
      </c>
      <c r="J2065" s="32">
        <f>IF(H2065="",0,IF(COUNTIF($H$2:H2065,H2065)=1,1,0))</f>
        <v>0</v>
      </c>
    </row>
    <row r="2066" spans="1:10" ht="14.25" hidden="1" customHeight="1" x14ac:dyDescent="0.35">
      <c r="A2066" s="30"/>
      <c r="E2066" s="31"/>
      <c r="G2066" s="32" t="str">
        <f t="shared" si="64"/>
        <v>|||1900|</v>
      </c>
      <c r="H2066" s="32" t="str">
        <f t="shared" si="65"/>
        <v>||1900|</v>
      </c>
      <c r="I2066" s="32">
        <f>IF(G2066="",0,IF(COUNTIF($G$2:G2066,G2066)=1,1,0))</f>
        <v>0</v>
      </c>
      <c r="J2066" s="32">
        <f>IF(H2066="",0,IF(COUNTIF($H$2:H2066,H2066)=1,1,0))</f>
        <v>0</v>
      </c>
    </row>
    <row r="2067" spans="1:10" ht="14.25" hidden="1" customHeight="1" x14ac:dyDescent="0.35">
      <c r="A2067" s="30"/>
      <c r="E2067" s="31"/>
      <c r="G2067" s="32" t="str">
        <f t="shared" si="64"/>
        <v>|||1900|</v>
      </c>
      <c r="H2067" s="32" t="str">
        <f t="shared" si="65"/>
        <v>||1900|</v>
      </c>
      <c r="I2067" s="32">
        <f>IF(G2067="",0,IF(COUNTIF($G$2:G2067,G2067)=1,1,0))</f>
        <v>0</v>
      </c>
      <c r="J2067" s="32">
        <f>IF(H2067="",0,IF(COUNTIF($H$2:H2067,H2067)=1,1,0))</f>
        <v>0</v>
      </c>
    </row>
    <row r="2068" spans="1:10" ht="14.25" hidden="1" customHeight="1" x14ac:dyDescent="0.35">
      <c r="A2068" s="30"/>
      <c r="E2068" s="31"/>
      <c r="G2068" s="32" t="str">
        <f t="shared" si="64"/>
        <v>|||1900|</v>
      </c>
      <c r="H2068" s="32" t="str">
        <f t="shared" si="65"/>
        <v>||1900|</v>
      </c>
      <c r="I2068" s="32">
        <f>IF(G2068="",0,IF(COUNTIF($G$2:G2068,G2068)=1,1,0))</f>
        <v>0</v>
      </c>
      <c r="J2068" s="32">
        <f>IF(H2068="",0,IF(COUNTIF($H$2:H2068,H2068)=1,1,0))</f>
        <v>0</v>
      </c>
    </row>
    <row r="2069" spans="1:10" ht="14.25" hidden="1" customHeight="1" x14ac:dyDescent="0.35">
      <c r="A2069" s="30"/>
      <c r="E2069" s="31"/>
      <c r="G2069" s="32" t="str">
        <f t="shared" si="64"/>
        <v>|||1900|</v>
      </c>
      <c r="H2069" s="32" t="str">
        <f t="shared" si="65"/>
        <v>||1900|</v>
      </c>
      <c r="I2069" s="32">
        <f>IF(G2069="",0,IF(COUNTIF($G$2:G2069,G2069)=1,1,0))</f>
        <v>0</v>
      </c>
      <c r="J2069" s="32">
        <f>IF(H2069="",0,IF(COUNTIF($H$2:H2069,H2069)=1,1,0))</f>
        <v>0</v>
      </c>
    </row>
    <row r="2070" spans="1:10" ht="14.25" hidden="1" customHeight="1" x14ac:dyDescent="0.35">
      <c r="A2070" s="30"/>
      <c r="E2070" s="31"/>
      <c r="G2070" s="32" t="str">
        <f t="shared" si="64"/>
        <v>|||1900|</v>
      </c>
      <c r="H2070" s="32" t="str">
        <f t="shared" si="65"/>
        <v>||1900|</v>
      </c>
      <c r="I2070" s="32">
        <f>IF(G2070="",0,IF(COUNTIF($G$2:G2070,G2070)=1,1,0))</f>
        <v>0</v>
      </c>
      <c r="J2070" s="32">
        <f>IF(H2070="",0,IF(COUNTIF($H$2:H2070,H2070)=1,1,0))</f>
        <v>0</v>
      </c>
    </row>
    <row r="2071" spans="1:10" ht="14.25" hidden="1" customHeight="1" x14ac:dyDescent="0.35">
      <c r="A2071" s="30"/>
      <c r="E2071" s="31"/>
      <c r="G2071" s="32" t="str">
        <f t="shared" si="64"/>
        <v>|||1900|</v>
      </c>
      <c r="H2071" s="32" t="str">
        <f t="shared" si="65"/>
        <v>||1900|</v>
      </c>
      <c r="I2071" s="32">
        <f>IF(G2071="",0,IF(COUNTIF($G$2:G2071,G2071)=1,1,0))</f>
        <v>0</v>
      </c>
      <c r="J2071" s="32">
        <f>IF(H2071="",0,IF(COUNTIF($H$2:H2071,H2071)=1,1,0))</f>
        <v>0</v>
      </c>
    </row>
    <row r="2072" spans="1:10" ht="14.25" hidden="1" customHeight="1" x14ac:dyDescent="0.35">
      <c r="A2072" s="30"/>
      <c r="E2072" s="31"/>
      <c r="G2072" s="32" t="str">
        <f t="shared" si="64"/>
        <v>|||1900|</v>
      </c>
      <c r="H2072" s="32" t="str">
        <f t="shared" si="65"/>
        <v>||1900|</v>
      </c>
      <c r="I2072" s="32">
        <f>IF(G2072="",0,IF(COUNTIF($G$2:G2072,G2072)=1,1,0))</f>
        <v>0</v>
      </c>
      <c r="J2072" s="32">
        <f>IF(H2072="",0,IF(COUNTIF($H$2:H2072,H2072)=1,1,0))</f>
        <v>0</v>
      </c>
    </row>
    <row r="2073" spans="1:10" ht="14.25" hidden="1" customHeight="1" x14ac:dyDescent="0.35">
      <c r="A2073" s="30"/>
      <c r="E2073" s="31"/>
      <c r="G2073" s="32" t="str">
        <f t="shared" si="64"/>
        <v>|||1900|</v>
      </c>
      <c r="H2073" s="32" t="str">
        <f t="shared" si="65"/>
        <v>||1900|</v>
      </c>
      <c r="I2073" s="32">
        <f>IF(G2073="",0,IF(COUNTIF($G$2:G2073,G2073)=1,1,0))</f>
        <v>0</v>
      </c>
      <c r="J2073" s="32">
        <f>IF(H2073="",0,IF(COUNTIF($H$2:H2073,H2073)=1,1,0))</f>
        <v>0</v>
      </c>
    </row>
    <row r="2074" spans="1:10" ht="14.25" hidden="1" customHeight="1" x14ac:dyDescent="0.35">
      <c r="A2074" s="30"/>
      <c r="E2074" s="31"/>
      <c r="G2074" s="32" t="str">
        <f t="shared" si="64"/>
        <v>|||1900|</v>
      </c>
      <c r="H2074" s="32" t="str">
        <f t="shared" si="65"/>
        <v>||1900|</v>
      </c>
      <c r="I2074" s="32">
        <f>IF(G2074="",0,IF(COUNTIF($G$2:G2074,G2074)=1,1,0))</f>
        <v>0</v>
      </c>
      <c r="J2074" s="32">
        <f>IF(H2074="",0,IF(COUNTIF($H$2:H2074,H2074)=1,1,0))</f>
        <v>0</v>
      </c>
    </row>
    <row r="2075" spans="1:10" ht="14.25" hidden="1" customHeight="1" x14ac:dyDescent="0.35">
      <c r="A2075" s="30"/>
      <c r="E2075" s="31"/>
      <c r="G2075" s="32" t="str">
        <f t="shared" si="64"/>
        <v>|||1900|</v>
      </c>
      <c r="H2075" s="32" t="str">
        <f t="shared" si="65"/>
        <v>||1900|</v>
      </c>
      <c r="I2075" s="32">
        <f>IF(G2075="",0,IF(COUNTIF($G$2:G2075,G2075)=1,1,0))</f>
        <v>0</v>
      </c>
      <c r="J2075" s="32">
        <f>IF(H2075="",0,IF(COUNTIF($H$2:H2075,H2075)=1,1,0))</f>
        <v>0</v>
      </c>
    </row>
    <row r="2076" spans="1:10" ht="14.25" hidden="1" customHeight="1" x14ac:dyDescent="0.35">
      <c r="A2076" s="30"/>
      <c r="E2076" s="31"/>
      <c r="G2076" s="32" t="str">
        <f t="shared" si="64"/>
        <v>|||1900|</v>
      </c>
      <c r="H2076" s="32" t="str">
        <f t="shared" si="65"/>
        <v>||1900|</v>
      </c>
      <c r="I2076" s="32">
        <f>IF(G2076="",0,IF(COUNTIF($G$2:G2076,G2076)=1,1,0))</f>
        <v>0</v>
      </c>
      <c r="J2076" s="32">
        <f>IF(H2076="",0,IF(COUNTIF($H$2:H2076,H2076)=1,1,0))</f>
        <v>0</v>
      </c>
    </row>
    <row r="2077" spans="1:10" ht="14.25" hidden="1" customHeight="1" x14ac:dyDescent="0.35">
      <c r="A2077" s="30"/>
      <c r="E2077" s="31"/>
      <c r="G2077" s="32" t="str">
        <f t="shared" si="64"/>
        <v>|||1900|</v>
      </c>
      <c r="H2077" s="32" t="str">
        <f t="shared" si="65"/>
        <v>||1900|</v>
      </c>
      <c r="I2077" s="32">
        <f>IF(G2077="",0,IF(COUNTIF($G$2:G2077,G2077)=1,1,0))</f>
        <v>0</v>
      </c>
      <c r="J2077" s="32">
        <f>IF(H2077="",0,IF(COUNTIF($H$2:H2077,H2077)=1,1,0))</f>
        <v>0</v>
      </c>
    </row>
    <row r="2078" spans="1:10" ht="14.25" hidden="1" customHeight="1" x14ac:dyDescent="0.35">
      <c r="A2078" s="30"/>
      <c r="E2078" s="31"/>
      <c r="G2078" s="32" t="str">
        <f t="shared" si="64"/>
        <v>|||1900|</v>
      </c>
      <c r="H2078" s="32" t="str">
        <f t="shared" si="65"/>
        <v>||1900|</v>
      </c>
      <c r="I2078" s="32">
        <f>IF(G2078="",0,IF(COUNTIF($G$2:G2078,G2078)=1,1,0))</f>
        <v>0</v>
      </c>
      <c r="J2078" s="32">
        <f>IF(H2078="",0,IF(COUNTIF($H$2:H2078,H2078)=1,1,0))</f>
        <v>0</v>
      </c>
    </row>
    <row r="2079" spans="1:10" ht="14.25" hidden="1" customHeight="1" x14ac:dyDescent="0.35">
      <c r="A2079" s="30"/>
      <c r="E2079" s="31"/>
      <c r="G2079" s="32" t="str">
        <f t="shared" si="64"/>
        <v>|||1900|</v>
      </c>
      <c r="H2079" s="32" t="str">
        <f t="shared" si="65"/>
        <v>||1900|</v>
      </c>
      <c r="I2079" s="32">
        <f>IF(G2079="",0,IF(COUNTIF($G$2:G2079,G2079)=1,1,0))</f>
        <v>0</v>
      </c>
      <c r="J2079" s="32">
        <f>IF(H2079="",0,IF(COUNTIF($H$2:H2079,H2079)=1,1,0))</f>
        <v>0</v>
      </c>
    </row>
    <row r="2080" spans="1:10" ht="14.25" hidden="1" customHeight="1" x14ac:dyDescent="0.35">
      <c r="A2080" s="30"/>
      <c r="E2080" s="31"/>
      <c r="G2080" s="32" t="str">
        <f t="shared" si="64"/>
        <v>|||1900|</v>
      </c>
      <c r="H2080" s="32" t="str">
        <f t="shared" si="65"/>
        <v>||1900|</v>
      </c>
      <c r="I2080" s="32">
        <f>IF(G2080="",0,IF(COUNTIF($G$2:G2080,G2080)=1,1,0))</f>
        <v>0</v>
      </c>
      <c r="J2080" s="32">
        <f>IF(H2080="",0,IF(COUNTIF($H$2:H2080,H2080)=1,1,0))</f>
        <v>0</v>
      </c>
    </row>
    <row r="2081" spans="1:10" ht="14.25" hidden="1" customHeight="1" x14ac:dyDescent="0.35">
      <c r="A2081" s="30"/>
      <c r="E2081" s="31"/>
      <c r="G2081" s="32" t="str">
        <f t="shared" si="64"/>
        <v>|||1900|</v>
      </c>
      <c r="H2081" s="32" t="str">
        <f t="shared" si="65"/>
        <v>||1900|</v>
      </c>
      <c r="I2081" s="32">
        <f>IF(G2081="",0,IF(COUNTIF($G$2:G2081,G2081)=1,1,0))</f>
        <v>0</v>
      </c>
      <c r="J2081" s="32">
        <f>IF(H2081="",0,IF(COUNTIF($H$2:H2081,H2081)=1,1,0))</f>
        <v>0</v>
      </c>
    </row>
    <row r="2082" spans="1:10" ht="14.25" hidden="1" customHeight="1" x14ac:dyDescent="0.35">
      <c r="A2082" s="30"/>
      <c r="E2082" s="31"/>
      <c r="G2082" s="32" t="str">
        <f t="shared" si="64"/>
        <v>|||1900|</v>
      </c>
      <c r="H2082" s="32" t="str">
        <f t="shared" si="65"/>
        <v>||1900|</v>
      </c>
      <c r="I2082" s="32">
        <f>IF(G2082="",0,IF(COUNTIF($G$2:G2082,G2082)=1,1,0))</f>
        <v>0</v>
      </c>
      <c r="J2082" s="32">
        <f>IF(H2082="",0,IF(COUNTIF($H$2:H2082,H2082)=1,1,0))</f>
        <v>0</v>
      </c>
    </row>
    <row r="2083" spans="1:10" ht="14.25" hidden="1" customHeight="1" x14ac:dyDescent="0.35">
      <c r="A2083" s="30"/>
      <c r="E2083" s="31"/>
      <c r="G2083" s="32" t="str">
        <f t="shared" si="64"/>
        <v>|||1900|</v>
      </c>
      <c r="H2083" s="32" t="str">
        <f t="shared" si="65"/>
        <v>||1900|</v>
      </c>
      <c r="I2083" s="32">
        <f>IF(G2083="",0,IF(COUNTIF($G$2:G2083,G2083)=1,1,0))</f>
        <v>0</v>
      </c>
      <c r="J2083" s="32">
        <f>IF(H2083="",0,IF(COUNTIF($H$2:H2083,H2083)=1,1,0))</f>
        <v>0</v>
      </c>
    </row>
    <row r="2084" spans="1:10" ht="14.25" hidden="1" customHeight="1" x14ac:dyDescent="0.35">
      <c r="A2084" s="30"/>
      <c r="E2084" s="31"/>
      <c r="G2084" s="32" t="str">
        <f t="shared" si="64"/>
        <v>|||1900|</v>
      </c>
      <c r="H2084" s="32" t="str">
        <f t="shared" si="65"/>
        <v>||1900|</v>
      </c>
      <c r="I2084" s="32">
        <f>IF(G2084="",0,IF(COUNTIF($G$2:G2084,G2084)=1,1,0))</f>
        <v>0</v>
      </c>
      <c r="J2084" s="32">
        <f>IF(H2084="",0,IF(COUNTIF($H$2:H2084,H2084)=1,1,0))</f>
        <v>0</v>
      </c>
    </row>
    <row r="2085" spans="1:10" ht="14.25" hidden="1" customHeight="1" x14ac:dyDescent="0.35">
      <c r="A2085" s="30"/>
      <c r="E2085" s="31"/>
      <c r="G2085" s="32" t="str">
        <f t="shared" si="64"/>
        <v>|||1900|</v>
      </c>
      <c r="H2085" s="32" t="str">
        <f t="shared" si="65"/>
        <v>||1900|</v>
      </c>
      <c r="I2085" s="32">
        <f>IF(G2085="",0,IF(COUNTIF($G$2:G2085,G2085)=1,1,0))</f>
        <v>0</v>
      </c>
      <c r="J2085" s="32">
        <f>IF(H2085="",0,IF(COUNTIF($H$2:H2085,H2085)=1,1,0))</f>
        <v>0</v>
      </c>
    </row>
    <row r="2086" spans="1:10" ht="14.25" hidden="1" customHeight="1" x14ac:dyDescent="0.35">
      <c r="A2086" s="30"/>
      <c r="E2086" s="31"/>
      <c r="G2086" s="32" t="str">
        <f t="shared" si="64"/>
        <v>|||1900|</v>
      </c>
      <c r="H2086" s="32" t="str">
        <f t="shared" si="65"/>
        <v>||1900|</v>
      </c>
      <c r="I2086" s="32">
        <f>IF(G2086="",0,IF(COUNTIF($G$2:G2086,G2086)=1,1,0))</f>
        <v>0</v>
      </c>
      <c r="J2086" s="32">
        <f>IF(H2086="",0,IF(COUNTIF($H$2:H2086,H2086)=1,1,0))</f>
        <v>0</v>
      </c>
    </row>
    <row r="2087" spans="1:10" ht="14.25" hidden="1" customHeight="1" x14ac:dyDescent="0.35">
      <c r="A2087" s="30"/>
      <c r="E2087" s="31"/>
      <c r="G2087" s="32" t="str">
        <f t="shared" si="64"/>
        <v>|||1900|</v>
      </c>
      <c r="H2087" s="32" t="str">
        <f t="shared" si="65"/>
        <v>||1900|</v>
      </c>
      <c r="I2087" s="32">
        <f>IF(G2087="",0,IF(COUNTIF($G$2:G2087,G2087)=1,1,0))</f>
        <v>0</v>
      </c>
      <c r="J2087" s="32">
        <f>IF(H2087="",0,IF(COUNTIF($H$2:H2087,H2087)=1,1,0))</f>
        <v>0</v>
      </c>
    </row>
    <row r="2088" spans="1:10" ht="14.25" hidden="1" customHeight="1" x14ac:dyDescent="0.35">
      <c r="A2088" s="30"/>
      <c r="E2088" s="31"/>
      <c r="G2088" s="32" t="str">
        <f t="shared" si="64"/>
        <v>|||1900|</v>
      </c>
      <c r="H2088" s="32" t="str">
        <f t="shared" si="65"/>
        <v>||1900|</v>
      </c>
      <c r="I2088" s="32">
        <f>IF(G2088="",0,IF(COUNTIF($G$2:G2088,G2088)=1,1,0))</f>
        <v>0</v>
      </c>
      <c r="J2088" s="32">
        <f>IF(H2088="",0,IF(COUNTIF($H$2:H2088,H2088)=1,1,0))</f>
        <v>0</v>
      </c>
    </row>
    <row r="2089" spans="1:10" ht="14.25" hidden="1" customHeight="1" x14ac:dyDescent="0.35">
      <c r="A2089" s="30"/>
      <c r="E2089" s="31"/>
      <c r="G2089" s="32" t="str">
        <f t="shared" si="64"/>
        <v>|||1900|</v>
      </c>
      <c r="H2089" s="32" t="str">
        <f t="shared" si="65"/>
        <v>||1900|</v>
      </c>
      <c r="I2089" s="32">
        <f>IF(G2089="",0,IF(COUNTIF($G$2:G2089,G2089)=1,1,0))</f>
        <v>0</v>
      </c>
      <c r="J2089" s="32">
        <f>IF(H2089="",0,IF(COUNTIF($H$2:H2089,H2089)=1,1,0))</f>
        <v>0</v>
      </c>
    </row>
    <row r="2090" spans="1:10" ht="14.25" hidden="1" customHeight="1" x14ac:dyDescent="0.35">
      <c r="A2090" s="30"/>
      <c r="E2090" s="31"/>
      <c r="G2090" s="32" t="str">
        <f t="shared" si="64"/>
        <v>|||1900|</v>
      </c>
      <c r="H2090" s="32" t="str">
        <f t="shared" si="65"/>
        <v>||1900|</v>
      </c>
      <c r="I2090" s="32">
        <f>IF(G2090="",0,IF(COUNTIF($G$2:G2090,G2090)=1,1,0))</f>
        <v>0</v>
      </c>
      <c r="J2090" s="32">
        <f>IF(H2090="",0,IF(COUNTIF($H$2:H2090,H2090)=1,1,0))</f>
        <v>0</v>
      </c>
    </row>
    <row r="2091" spans="1:10" ht="14.25" hidden="1" customHeight="1" x14ac:dyDescent="0.35">
      <c r="A2091" s="30"/>
      <c r="E2091" s="31"/>
      <c r="G2091" s="32" t="str">
        <f t="shared" si="64"/>
        <v>|||1900|</v>
      </c>
      <c r="H2091" s="32" t="str">
        <f t="shared" si="65"/>
        <v>||1900|</v>
      </c>
      <c r="I2091" s="32">
        <f>IF(G2091="",0,IF(COUNTIF($G$2:G2091,G2091)=1,1,0))</f>
        <v>0</v>
      </c>
      <c r="J2091" s="32">
        <f>IF(H2091="",0,IF(COUNTIF($H$2:H2091,H2091)=1,1,0))</f>
        <v>0</v>
      </c>
    </row>
    <row r="2092" spans="1:10" ht="14.25" hidden="1" customHeight="1" x14ac:dyDescent="0.35">
      <c r="A2092" s="30"/>
      <c r="E2092" s="31"/>
      <c r="G2092" s="32" t="str">
        <f t="shared" si="64"/>
        <v>|||1900|</v>
      </c>
      <c r="H2092" s="32" t="str">
        <f t="shared" si="65"/>
        <v>||1900|</v>
      </c>
      <c r="I2092" s="32">
        <f>IF(G2092="",0,IF(COUNTIF($G$2:G2092,G2092)=1,1,0))</f>
        <v>0</v>
      </c>
      <c r="J2092" s="32">
        <f>IF(H2092="",0,IF(COUNTIF($H$2:H2092,H2092)=1,1,0))</f>
        <v>0</v>
      </c>
    </row>
    <row r="2093" spans="1:10" ht="14.25" hidden="1" customHeight="1" x14ac:dyDescent="0.35">
      <c r="A2093" s="30"/>
      <c r="E2093" s="31"/>
      <c r="G2093" s="32" t="str">
        <f t="shared" si="64"/>
        <v>|||1900|</v>
      </c>
      <c r="H2093" s="32" t="str">
        <f t="shared" si="65"/>
        <v>||1900|</v>
      </c>
      <c r="I2093" s="32">
        <f>IF(G2093="",0,IF(COUNTIF($G$2:G2093,G2093)=1,1,0))</f>
        <v>0</v>
      </c>
      <c r="J2093" s="32">
        <f>IF(H2093="",0,IF(COUNTIF($H$2:H2093,H2093)=1,1,0))</f>
        <v>0</v>
      </c>
    </row>
    <row r="2094" spans="1:10" ht="14.25" hidden="1" customHeight="1" x14ac:dyDescent="0.35">
      <c r="A2094" s="30"/>
      <c r="E2094" s="31"/>
      <c r="G2094" s="32" t="str">
        <f t="shared" si="64"/>
        <v>|||1900|</v>
      </c>
      <c r="H2094" s="32" t="str">
        <f t="shared" si="65"/>
        <v>||1900|</v>
      </c>
      <c r="I2094" s="32">
        <f>IF(G2094="",0,IF(COUNTIF($G$2:G2094,G2094)=1,1,0))</f>
        <v>0</v>
      </c>
      <c r="J2094" s="32">
        <f>IF(H2094="",0,IF(COUNTIF($H$2:H2094,H2094)=1,1,0))</f>
        <v>0</v>
      </c>
    </row>
    <row r="2095" spans="1:10" ht="14.25" hidden="1" customHeight="1" x14ac:dyDescent="0.35">
      <c r="A2095" s="30"/>
      <c r="E2095" s="31"/>
      <c r="G2095" s="32" t="str">
        <f t="shared" si="64"/>
        <v>|||1900|</v>
      </c>
      <c r="H2095" s="32" t="str">
        <f t="shared" si="65"/>
        <v>||1900|</v>
      </c>
      <c r="I2095" s="32">
        <f>IF(G2095="",0,IF(COUNTIF($G$2:G2095,G2095)=1,1,0))</f>
        <v>0</v>
      </c>
      <c r="J2095" s="32">
        <f>IF(H2095="",0,IF(COUNTIF($H$2:H2095,H2095)=1,1,0))</f>
        <v>0</v>
      </c>
    </row>
    <row r="2096" spans="1:10" ht="14.25" hidden="1" customHeight="1" x14ac:dyDescent="0.35">
      <c r="A2096" s="30"/>
      <c r="E2096" s="31"/>
      <c r="G2096" s="32" t="str">
        <f t="shared" si="64"/>
        <v>|||1900|</v>
      </c>
      <c r="H2096" s="32" t="str">
        <f t="shared" si="65"/>
        <v>||1900|</v>
      </c>
      <c r="I2096" s="32">
        <f>IF(G2096="",0,IF(COUNTIF($G$2:G2096,G2096)=1,1,0))</f>
        <v>0</v>
      </c>
      <c r="J2096" s="32">
        <f>IF(H2096="",0,IF(COUNTIF($H$2:H2096,H2096)=1,1,0))</f>
        <v>0</v>
      </c>
    </row>
    <row r="2097" spans="1:10" ht="14.25" hidden="1" customHeight="1" x14ac:dyDescent="0.35">
      <c r="A2097" s="30"/>
      <c r="E2097" s="31"/>
      <c r="G2097" s="32" t="str">
        <f t="shared" si="64"/>
        <v>|||1900|</v>
      </c>
      <c r="H2097" s="32" t="str">
        <f t="shared" si="65"/>
        <v>||1900|</v>
      </c>
      <c r="I2097" s="32">
        <f>IF(G2097="",0,IF(COUNTIF($G$2:G2097,G2097)=1,1,0))</f>
        <v>0</v>
      </c>
      <c r="J2097" s="32">
        <f>IF(H2097="",0,IF(COUNTIF($H$2:H2097,H2097)=1,1,0))</f>
        <v>0</v>
      </c>
    </row>
    <row r="2098" spans="1:10" ht="14.25" hidden="1" customHeight="1" x14ac:dyDescent="0.35">
      <c r="A2098" s="30"/>
      <c r="E2098" s="31"/>
      <c r="G2098" s="32" t="str">
        <f t="shared" si="64"/>
        <v>|||1900|</v>
      </c>
      <c r="H2098" s="32" t="str">
        <f t="shared" si="65"/>
        <v>||1900|</v>
      </c>
      <c r="I2098" s="32">
        <f>IF(G2098="",0,IF(COUNTIF($G$2:G2098,G2098)=1,1,0))</f>
        <v>0</v>
      </c>
      <c r="J2098" s="32">
        <f>IF(H2098="",0,IF(COUNTIF($H$2:H2098,H2098)=1,1,0))</f>
        <v>0</v>
      </c>
    </row>
    <row r="2099" spans="1:10" ht="14.25" hidden="1" customHeight="1" x14ac:dyDescent="0.35">
      <c r="A2099" s="30"/>
      <c r="E2099" s="31"/>
      <c r="G2099" s="32" t="str">
        <f t="shared" si="64"/>
        <v>|||1900|</v>
      </c>
      <c r="H2099" s="32" t="str">
        <f t="shared" si="65"/>
        <v>||1900|</v>
      </c>
      <c r="I2099" s="32">
        <f>IF(G2099="",0,IF(COUNTIF($G$2:G2099,G2099)=1,1,0))</f>
        <v>0</v>
      </c>
      <c r="J2099" s="32">
        <f>IF(H2099="",0,IF(COUNTIF($H$2:H2099,H2099)=1,1,0))</f>
        <v>0</v>
      </c>
    </row>
    <row r="2100" spans="1:10" ht="14.25" hidden="1" customHeight="1" x14ac:dyDescent="0.35">
      <c r="A2100" s="30"/>
      <c r="E2100" s="31"/>
      <c r="G2100" s="32" t="str">
        <f t="shared" si="64"/>
        <v>|||1900|</v>
      </c>
      <c r="H2100" s="32" t="str">
        <f t="shared" si="65"/>
        <v>||1900|</v>
      </c>
      <c r="I2100" s="32">
        <f>IF(G2100="",0,IF(COUNTIF($G$2:G2100,G2100)=1,1,0))</f>
        <v>0</v>
      </c>
      <c r="J2100" s="32">
        <f>IF(H2100="",0,IF(COUNTIF($H$2:H2100,H2100)=1,1,0))</f>
        <v>0</v>
      </c>
    </row>
    <row r="2101" spans="1:10" ht="14.25" hidden="1" customHeight="1" x14ac:dyDescent="0.35">
      <c r="A2101" s="30"/>
      <c r="E2101" s="31"/>
      <c r="G2101" s="32" t="str">
        <f t="shared" si="64"/>
        <v>|||1900|</v>
      </c>
      <c r="H2101" s="32" t="str">
        <f t="shared" si="65"/>
        <v>||1900|</v>
      </c>
      <c r="I2101" s="32">
        <f>IF(G2101="",0,IF(COUNTIF($G$2:G2101,G2101)=1,1,0))</f>
        <v>0</v>
      </c>
      <c r="J2101" s="32">
        <f>IF(H2101="",0,IF(COUNTIF($H$2:H2101,H2101)=1,1,0))</f>
        <v>0</v>
      </c>
    </row>
    <row r="2102" spans="1:10" ht="14.25" hidden="1" customHeight="1" x14ac:dyDescent="0.35">
      <c r="A2102" s="30"/>
      <c r="E2102" s="31"/>
      <c r="G2102" s="32" t="str">
        <f t="shared" si="64"/>
        <v>|||1900|</v>
      </c>
      <c r="H2102" s="32" t="str">
        <f t="shared" si="65"/>
        <v>||1900|</v>
      </c>
      <c r="I2102" s="32">
        <f>IF(G2102="",0,IF(COUNTIF($G$2:G2102,G2102)=1,1,0))</f>
        <v>0</v>
      </c>
      <c r="J2102" s="32">
        <f>IF(H2102="",0,IF(COUNTIF($H$2:H2102,H2102)=1,1,0))</f>
        <v>0</v>
      </c>
    </row>
    <row r="2103" spans="1:10" ht="14.25" hidden="1" customHeight="1" x14ac:dyDescent="0.35">
      <c r="A2103" s="30"/>
      <c r="E2103" s="31"/>
      <c r="G2103" s="32" t="str">
        <f t="shared" si="64"/>
        <v>|||1900|</v>
      </c>
      <c r="H2103" s="32" t="str">
        <f t="shared" si="65"/>
        <v>||1900|</v>
      </c>
      <c r="I2103" s="32">
        <f>IF(G2103="",0,IF(COUNTIF($G$2:G2103,G2103)=1,1,0))</f>
        <v>0</v>
      </c>
      <c r="J2103" s="32">
        <f>IF(H2103="",0,IF(COUNTIF($H$2:H2103,H2103)=1,1,0))</f>
        <v>0</v>
      </c>
    </row>
    <row r="2104" spans="1:10" ht="14.25" hidden="1" customHeight="1" x14ac:dyDescent="0.35">
      <c r="A2104" s="30"/>
      <c r="E2104" s="31"/>
      <c r="G2104" s="32" t="str">
        <f t="shared" si="64"/>
        <v>|||1900|</v>
      </c>
      <c r="H2104" s="32" t="str">
        <f t="shared" si="65"/>
        <v>||1900|</v>
      </c>
      <c r="I2104" s="32">
        <f>IF(G2104="",0,IF(COUNTIF($G$2:G2104,G2104)=1,1,0))</f>
        <v>0</v>
      </c>
      <c r="J2104" s="32">
        <f>IF(H2104="",0,IF(COUNTIF($H$2:H2104,H2104)=1,1,0))</f>
        <v>0</v>
      </c>
    </row>
    <row r="2105" spans="1:10" ht="14.25" hidden="1" customHeight="1" x14ac:dyDescent="0.35">
      <c r="A2105" s="30"/>
      <c r="E2105" s="31"/>
      <c r="G2105" s="32" t="str">
        <f t="shared" si="64"/>
        <v>|||1900|</v>
      </c>
      <c r="H2105" s="32" t="str">
        <f t="shared" si="65"/>
        <v>||1900|</v>
      </c>
      <c r="I2105" s="32">
        <f>IF(G2105="",0,IF(COUNTIF($G$2:G2105,G2105)=1,1,0))</f>
        <v>0</v>
      </c>
      <c r="J2105" s="32">
        <f>IF(H2105="",0,IF(COUNTIF($H$2:H2105,H2105)=1,1,0))</f>
        <v>0</v>
      </c>
    </row>
    <row r="2106" spans="1:10" ht="14.25" hidden="1" customHeight="1" x14ac:dyDescent="0.35">
      <c r="A2106" s="30"/>
      <c r="E2106" s="31"/>
      <c r="G2106" s="32" t="str">
        <f t="shared" si="64"/>
        <v>|||1900|</v>
      </c>
      <c r="H2106" s="32" t="str">
        <f t="shared" si="65"/>
        <v>||1900|</v>
      </c>
      <c r="I2106" s="32">
        <f>IF(G2106="",0,IF(COUNTIF($G$2:G2106,G2106)=1,1,0))</f>
        <v>0</v>
      </c>
      <c r="J2106" s="32">
        <f>IF(H2106="",0,IF(COUNTIF($H$2:H2106,H2106)=1,1,0))</f>
        <v>0</v>
      </c>
    </row>
    <row r="2107" spans="1:10" ht="14.25" hidden="1" customHeight="1" x14ac:dyDescent="0.35">
      <c r="A2107" s="30"/>
      <c r="E2107" s="31"/>
      <c r="G2107" s="32" t="str">
        <f t="shared" si="64"/>
        <v>|||1900|</v>
      </c>
      <c r="H2107" s="32" t="str">
        <f t="shared" si="65"/>
        <v>||1900|</v>
      </c>
      <c r="I2107" s="32">
        <f>IF(G2107="",0,IF(COUNTIF($G$2:G2107,G2107)=1,1,0))</f>
        <v>0</v>
      </c>
      <c r="J2107" s="32">
        <f>IF(H2107="",0,IF(COUNTIF($H$2:H2107,H2107)=1,1,0))</f>
        <v>0</v>
      </c>
    </row>
    <row r="2108" spans="1:10" ht="14.25" hidden="1" customHeight="1" x14ac:dyDescent="0.35">
      <c r="A2108" s="30"/>
      <c r="E2108" s="31"/>
      <c r="G2108" s="32" t="str">
        <f t="shared" si="64"/>
        <v>|||1900|</v>
      </c>
      <c r="H2108" s="32" t="str">
        <f t="shared" si="65"/>
        <v>||1900|</v>
      </c>
      <c r="I2108" s="32">
        <f>IF(G2108="",0,IF(COUNTIF($G$2:G2108,G2108)=1,1,0))</f>
        <v>0</v>
      </c>
      <c r="J2108" s="32">
        <f>IF(H2108="",0,IF(COUNTIF($H$2:H2108,H2108)=1,1,0))</f>
        <v>0</v>
      </c>
    </row>
    <row r="2109" spans="1:10" ht="14.25" hidden="1" customHeight="1" x14ac:dyDescent="0.35">
      <c r="A2109" s="30"/>
      <c r="E2109" s="31"/>
      <c r="G2109" s="32" t="str">
        <f t="shared" si="64"/>
        <v>|||1900|</v>
      </c>
      <c r="H2109" s="32" t="str">
        <f t="shared" si="65"/>
        <v>||1900|</v>
      </c>
      <c r="I2109" s="32">
        <f>IF(G2109="",0,IF(COUNTIF($G$2:G2109,G2109)=1,1,0))</f>
        <v>0</v>
      </c>
      <c r="J2109" s="32">
        <f>IF(H2109="",0,IF(COUNTIF($H$2:H2109,H2109)=1,1,0))</f>
        <v>0</v>
      </c>
    </row>
    <row r="2110" spans="1:10" ht="14.25" hidden="1" customHeight="1" x14ac:dyDescent="0.35">
      <c r="A2110" s="30"/>
      <c r="E2110" s="31"/>
      <c r="G2110" s="32" t="str">
        <f t="shared" si="64"/>
        <v>|||1900|</v>
      </c>
      <c r="H2110" s="32" t="str">
        <f t="shared" si="65"/>
        <v>||1900|</v>
      </c>
      <c r="I2110" s="32">
        <f>IF(G2110="",0,IF(COUNTIF($G$2:G2110,G2110)=1,1,0))</f>
        <v>0</v>
      </c>
      <c r="J2110" s="32">
        <f>IF(H2110="",0,IF(COUNTIF($H$2:H2110,H2110)=1,1,0))</f>
        <v>0</v>
      </c>
    </row>
    <row r="2111" spans="1:10" ht="14.25" hidden="1" customHeight="1" x14ac:dyDescent="0.35">
      <c r="A2111" s="30"/>
      <c r="E2111" s="31"/>
      <c r="G2111" s="32" t="str">
        <f t="shared" si="64"/>
        <v>|||1900|</v>
      </c>
      <c r="H2111" s="32" t="str">
        <f t="shared" si="65"/>
        <v>||1900|</v>
      </c>
      <c r="I2111" s="32">
        <f>IF(G2111="",0,IF(COUNTIF($G$2:G2111,G2111)=1,1,0))</f>
        <v>0</v>
      </c>
      <c r="J2111" s="32">
        <f>IF(H2111="",0,IF(COUNTIF($H$2:H2111,H2111)=1,1,0))</f>
        <v>0</v>
      </c>
    </row>
    <row r="2112" spans="1:10" ht="14.25" hidden="1" customHeight="1" x14ac:dyDescent="0.35">
      <c r="A2112" s="30"/>
      <c r="E2112" s="31"/>
      <c r="G2112" s="32" t="str">
        <f t="shared" si="64"/>
        <v>|||1900|</v>
      </c>
      <c r="H2112" s="32" t="str">
        <f t="shared" si="65"/>
        <v>||1900|</v>
      </c>
      <c r="I2112" s="32">
        <f>IF(G2112="",0,IF(COUNTIF($G$2:G2112,G2112)=1,1,0))</f>
        <v>0</v>
      </c>
      <c r="J2112" s="32">
        <f>IF(H2112="",0,IF(COUNTIF($H$2:H2112,H2112)=1,1,0))</f>
        <v>0</v>
      </c>
    </row>
    <row r="2113" spans="1:10" ht="14.25" hidden="1" customHeight="1" x14ac:dyDescent="0.35">
      <c r="A2113" s="30"/>
      <c r="E2113" s="31"/>
      <c r="G2113" s="32" t="str">
        <f t="shared" si="64"/>
        <v>|||1900|</v>
      </c>
      <c r="H2113" s="32" t="str">
        <f t="shared" si="65"/>
        <v>||1900|</v>
      </c>
      <c r="I2113" s="32">
        <f>IF(G2113="",0,IF(COUNTIF($G$2:G2113,G2113)=1,1,0))</f>
        <v>0</v>
      </c>
      <c r="J2113" s="32">
        <f>IF(H2113="",0,IF(COUNTIF($H$2:H2113,H2113)=1,1,0))</f>
        <v>0</v>
      </c>
    </row>
    <row r="2114" spans="1:10" ht="14.25" hidden="1" customHeight="1" x14ac:dyDescent="0.35">
      <c r="A2114" s="30"/>
      <c r="E2114" s="31"/>
      <c r="G2114" s="32" t="str">
        <f t="shared" ref="G2114:G2177" si="66">IF(D2114="T",
E2114&amp;"|"&amp;F2114,
A2114&amp;"|"&amp;B2114&amp;"|"&amp;C2114&amp;"|"&amp;YEAR(E2114)&amp;"|"&amp;F2114)</f>
        <v>|||1900|</v>
      </c>
      <c r="H2114" s="32" t="str">
        <f t="shared" ref="H2114:H2177" si="67">A2114&amp;"|"&amp;C2114&amp;"|"&amp;YEAR(E2114)&amp;"|"&amp;F2114</f>
        <v>||1900|</v>
      </c>
      <c r="I2114" s="32">
        <f>IF(G2114="",0,IF(COUNTIF($G$2:G2114,G2114)=1,1,0))</f>
        <v>0</v>
      </c>
      <c r="J2114" s="32">
        <f>IF(H2114="",0,IF(COUNTIF($H$2:H2114,H2114)=1,1,0))</f>
        <v>0</v>
      </c>
    </row>
    <row r="2115" spans="1:10" ht="14.25" hidden="1" customHeight="1" x14ac:dyDescent="0.35">
      <c r="A2115" s="30"/>
      <c r="E2115" s="31"/>
      <c r="G2115" s="32" t="str">
        <f t="shared" si="66"/>
        <v>|||1900|</v>
      </c>
      <c r="H2115" s="32" t="str">
        <f t="shared" si="67"/>
        <v>||1900|</v>
      </c>
      <c r="I2115" s="32">
        <f>IF(G2115="",0,IF(COUNTIF($G$2:G2115,G2115)=1,1,0))</f>
        <v>0</v>
      </c>
      <c r="J2115" s="32">
        <f>IF(H2115="",0,IF(COUNTIF($H$2:H2115,H2115)=1,1,0))</f>
        <v>0</v>
      </c>
    </row>
    <row r="2116" spans="1:10" ht="14.25" hidden="1" customHeight="1" x14ac:dyDescent="0.35">
      <c r="A2116" s="30"/>
      <c r="E2116" s="31"/>
      <c r="G2116" s="32" t="str">
        <f t="shared" si="66"/>
        <v>|||1900|</v>
      </c>
      <c r="H2116" s="32" t="str">
        <f t="shared" si="67"/>
        <v>||1900|</v>
      </c>
      <c r="I2116" s="32">
        <f>IF(G2116="",0,IF(COUNTIF($G$2:G2116,G2116)=1,1,0))</f>
        <v>0</v>
      </c>
      <c r="J2116" s="32">
        <f>IF(H2116="",0,IF(COUNTIF($H$2:H2116,H2116)=1,1,0))</f>
        <v>0</v>
      </c>
    </row>
    <row r="2117" spans="1:10" ht="14.25" hidden="1" customHeight="1" x14ac:dyDescent="0.35">
      <c r="A2117" s="30"/>
      <c r="E2117" s="31"/>
      <c r="G2117" s="32" t="str">
        <f t="shared" si="66"/>
        <v>|||1900|</v>
      </c>
      <c r="H2117" s="32" t="str">
        <f t="shared" si="67"/>
        <v>||1900|</v>
      </c>
      <c r="I2117" s="32">
        <f>IF(G2117="",0,IF(COUNTIF($G$2:G2117,G2117)=1,1,0))</f>
        <v>0</v>
      </c>
      <c r="J2117" s="32">
        <f>IF(H2117="",0,IF(COUNTIF($H$2:H2117,H2117)=1,1,0))</f>
        <v>0</v>
      </c>
    </row>
    <row r="2118" spans="1:10" ht="14.25" hidden="1" customHeight="1" x14ac:dyDescent="0.35">
      <c r="A2118" s="30"/>
      <c r="E2118" s="31"/>
      <c r="G2118" s="32" t="str">
        <f t="shared" si="66"/>
        <v>|||1900|</v>
      </c>
      <c r="H2118" s="32" t="str">
        <f t="shared" si="67"/>
        <v>||1900|</v>
      </c>
      <c r="I2118" s="32">
        <f>IF(G2118="",0,IF(COUNTIF($G$2:G2118,G2118)=1,1,0))</f>
        <v>0</v>
      </c>
      <c r="J2118" s="32">
        <f>IF(H2118="",0,IF(COUNTIF($H$2:H2118,H2118)=1,1,0))</f>
        <v>0</v>
      </c>
    </row>
    <row r="2119" spans="1:10" ht="14.25" hidden="1" customHeight="1" x14ac:dyDescent="0.35">
      <c r="A2119" s="30"/>
      <c r="E2119" s="31"/>
      <c r="G2119" s="32" t="str">
        <f t="shared" si="66"/>
        <v>|||1900|</v>
      </c>
      <c r="H2119" s="32" t="str">
        <f t="shared" si="67"/>
        <v>||1900|</v>
      </c>
      <c r="I2119" s="32">
        <f>IF(G2119="",0,IF(COUNTIF($G$2:G2119,G2119)=1,1,0))</f>
        <v>0</v>
      </c>
      <c r="J2119" s="32">
        <f>IF(H2119="",0,IF(COUNTIF($H$2:H2119,H2119)=1,1,0))</f>
        <v>0</v>
      </c>
    </row>
    <row r="2120" spans="1:10" ht="14.25" hidden="1" customHeight="1" x14ac:dyDescent="0.35">
      <c r="A2120" s="30"/>
      <c r="E2120" s="31"/>
      <c r="G2120" s="32" t="str">
        <f t="shared" si="66"/>
        <v>|||1900|</v>
      </c>
      <c r="H2120" s="32" t="str">
        <f t="shared" si="67"/>
        <v>||1900|</v>
      </c>
      <c r="I2120" s="32">
        <f>IF(G2120="",0,IF(COUNTIF($G$2:G2120,G2120)=1,1,0))</f>
        <v>0</v>
      </c>
      <c r="J2120" s="32">
        <f>IF(H2120="",0,IF(COUNTIF($H$2:H2120,H2120)=1,1,0))</f>
        <v>0</v>
      </c>
    </row>
    <row r="2121" spans="1:10" ht="14.25" hidden="1" customHeight="1" x14ac:dyDescent="0.35">
      <c r="A2121" s="30"/>
      <c r="E2121" s="31"/>
      <c r="G2121" s="32" t="str">
        <f t="shared" si="66"/>
        <v>|||1900|</v>
      </c>
      <c r="H2121" s="32" t="str">
        <f t="shared" si="67"/>
        <v>||1900|</v>
      </c>
      <c r="I2121" s="32">
        <f>IF(G2121="",0,IF(COUNTIF($G$2:G2121,G2121)=1,1,0))</f>
        <v>0</v>
      </c>
      <c r="J2121" s="32">
        <f>IF(H2121="",0,IF(COUNTIF($H$2:H2121,H2121)=1,1,0))</f>
        <v>0</v>
      </c>
    </row>
    <row r="2122" spans="1:10" ht="14.25" hidden="1" customHeight="1" x14ac:dyDescent="0.35">
      <c r="A2122" s="30"/>
      <c r="E2122" s="31"/>
      <c r="G2122" s="32" t="str">
        <f t="shared" si="66"/>
        <v>|||1900|</v>
      </c>
      <c r="H2122" s="32" t="str">
        <f t="shared" si="67"/>
        <v>||1900|</v>
      </c>
      <c r="I2122" s="32">
        <f>IF(G2122="",0,IF(COUNTIF($G$2:G2122,G2122)=1,1,0))</f>
        <v>0</v>
      </c>
      <c r="J2122" s="32">
        <f>IF(H2122="",0,IF(COUNTIF($H$2:H2122,H2122)=1,1,0))</f>
        <v>0</v>
      </c>
    </row>
    <row r="2123" spans="1:10" ht="14.25" hidden="1" customHeight="1" x14ac:dyDescent="0.35">
      <c r="A2123" s="30"/>
      <c r="E2123" s="31"/>
      <c r="G2123" s="32" t="str">
        <f t="shared" si="66"/>
        <v>|||1900|</v>
      </c>
      <c r="H2123" s="32" t="str">
        <f t="shared" si="67"/>
        <v>||1900|</v>
      </c>
      <c r="I2123" s="32">
        <f>IF(G2123="",0,IF(COUNTIF($G$2:G2123,G2123)=1,1,0))</f>
        <v>0</v>
      </c>
      <c r="J2123" s="32">
        <f>IF(H2123="",0,IF(COUNTIF($H$2:H2123,H2123)=1,1,0))</f>
        <v>0</v>
      </c>
    </row>
    <row r="2124" spans="1:10" ht="14.25" hidden="1" customHeight="1" x14ac:dyDescent="0.35">
      <c r="A2124" s="30"/>
      <c r="E2124" s="31"/>
      <c r="G2124" s="32" t="str">
        <f t="shared" si="66"/>
        <v>|||1900|</v>
      </c>
      <c r="H2124" s="32" t="str">
        <f t="shared" si="67"/>
        <v>||1900|</v>
      </c>
      <c r="I2124" s="32">
        <f>IF(G2124="",0,IF(COUNTIF($G$2:G2124,G2124)=1,1,0))</f>
        <v>0</v>
      </c>
      <c r="J2124" s="32">
        <f>IF(H2124="",0,IF(COUNTIF($H$2:H2124,H2124)=1,1,0))</f>
        <v>0</v>
      </c>
    </row>
    <row r="2125" spans="1:10" ht="14.25" hidden="1" customHeight="1" x14ac:dyDescent="0.35">
      <c r="A2125" s="30"/>
      <c r="E2125" s="31"/>
      <c r="G2125" s="32" t="str">
        <f t="shared" si="66"/>
        <v>|||1900|</v>
      </c>
      <c r="H2125" s="32" t="str">
        <f t="shared" si="67"/>
        <v>||1900|</v>
      </c>
      <c r="I2125" s="32">
        <f>IF(G2125="",0,IF(COUNTIF($G$2:G2125,G2125)=1,1,0))</f>
        <v>0</v>
      </c>
      <c r="J2125" s="32">
        <f>IF(H2125="",0,IF(COUNTIF($H$2:H2125,H2125)=1,1,0))</f>
        <v>0</v>
      </c>
    </row>
    <row r="2126" spans="1:10" ht="14.25" hidden="1" customHeight="1" x14ac:dyDescent="0.35">
      <c r="A2126" s="30"/>
      <c r="E2126" s="31"/>
      <c r="G2126" s="32" t="str">
        <f t="shared" si="66"/>
        <v>|||1900|</v>
      </c>
      <c r="H2126" s="32" t="str">
        <f t="shared" si="67"/>
        <v>||1900|</v>
      </c>
      <c r="I2126" s="32">
        <f>IF(G2126="",0,IF(COUNTIF($G$2:G2126,G2126)=1,1,0))</f>
        <v>0</v>
      </c>
      <c r="J2126" s="32">
        <f>IF(H2126="",0,IF(COUNTIF($H$2:H2126,H2126)=1,1,0))</f>
        <v>0</v>
      </c>
    </row>
    <row r="2127" spans="1:10" ht="14.25" hidden="1" customHeight="1" x14ac:dyDescent="0.35">
      <c r="A2127" s="30"/>
      <c r="E2127" s="31"/>
      <c r="G2127" s="32" t="str">
        <f t="shared" si="66"/>
        <v>|||1900|</v>
      </c>
      <c r="H2127" s="32" t="str">
        <f t="shared" si="67"/>
        <v>||1900|</v>
      </c>
      <c r="I2127" s="32">
        <f>IF(G2127="",0,IF(COUNTIF($G$2:G2127,G2127)=1,1,0))</f>
        <v>0</v>
      </c>
      <c r="J2127" s="32">
        <f>IF(H2127="",0,IF(COUNTIF($H$2:H2127,H2127)=1,1,0))</f>
        <v>0</v>
      </c>
    </row>
    <row r="2128" spans="1:10" ht="14.25" hidden="1" customHeight="1" x14ac:dyDescent="0.35">
      <c r="A2128" s="30"/>
      <c r="E2128" s="31"/>
      <c r="G2128" s="32" t="str">
        <f t="shared" si="66"/>
        <v>|||1900|</v>
      </c>
      <c r="H2128" s="32" t="str">
        <f t="shared" si="67"/>
        <v>||1900|</v>
      </c>
      <c r="I2128" s="32">
        <f>IF(G2128="",0,IF(COUNTIF($G$2:G2128,G2128)=1,1,0))</f>
        <v>0</v>
      </c>
      <c r="J2128" s="32">
        <f>IF(H2128="",0,IF(COUNTIF($H$2:H2128,H2128)=1,1,0))</f>
        <v>0</v>
      </c>
    </row>
    <row r="2129" spans="1:10" ht="14.25" hidden="1" customHeight="1" x14ac:dyDescent="0.35">
      <c r="A2129" s="30"/>
      <c r="E2129" s="31"/>
      <c r="G2129" s="32" t="str">
        <f t="shared" si="66"/>
        <v>|||1900|</v>
      </c>
      <c r="H2129" s="32" t="str">
        <f t="shared" si="67"/>
        <v>||1900|</v>
      </c>
      <c r="I2129" s="32">
        <f>IF(G2129="",0,IF(COUNTIF($G$2:G2129,G2129)=1,1,0))</f>
        <v>0</v>
      </c>
      <c r="J2129" s="32">
        <f>IF(H2129="",0,IF(COUNTIF($H$2:H2129,H2129)=1,1,0))</f>
        <v>0</v>
      </c>
    </row>
    <row r="2130" spans="1:10" ht="14.25" hidden="1" customHeight="1" x14ac:dyDescent="0.35">
      <c r="A2130" s="30"/>
      <c r="E2130" s="31"/>
      <c r="G2130" s="32" t="str">
        <f t="shared" si="66"/>
        <v>|||1900|</v>
      </c>
      <c r="H2130" s="32" t="str">
        <f t="shared" si="67"/>
        <v>||1900|</v>
      </c>
      <c r="I2130" s="32">
        <f>IF(G2130="",0,IF(COUNTIF($G$2:G2130,G2130)=1,1,0))</f>
        <v>0</v>
      </c>
      <c r="J2130" s="32">
        <f>IF(H2130="",0,IF(COUNTIF($H$2:H2130,H2130)=1,1,0))</f>
        <v>0</v>
      </c>
    </row>
    <row r="2131" spans="1:10" ht="14.25" hidden="1" customHeight="1" x14ac:dyDescent="0.35">
      <c r="A2131" s="30"/>
      <c r="E2131" s="31"/>
      <c r="G2131" s="32" t="str">
        <f t="shared" si="66"/>
        <v>|||1900|</v>
      </c>
      <c r="H2131" s="32" t="str">
        <f t="shared" si="67"/>
        <v>||1900|</v>
      </c>
      <c r="I2131" s="32">
        <f>IF(G2131="",0,IF(COUNTIF($G$2:G2131,G2131)=1,1,0))</f>
        <v>0</v>
      </c>
      <c r="J2131" s="32">
        <f>IF(H2131="",0,IF(COUNTIF($H$2:H2131,H2131)=1,1,0))</f>
        <v>0</v>
      </c>
    </row>
    <row r="2132" spans="1:10" ht="14.25" hidden="1" customHeight="1" x14ac:dyDescent="0.35">
      <c r="A2132" s="30"/>
      <c r="E2132" s="31"/>
      <c r="G2132" s="32" t="str">
        <f t="shared" si="66"/>
        <v>|||1900|</v>
      </c>
      <c r="H2132" s="32" t="str">
        <f t="shared" si="67"/>
        <v>||1900|</v>
      </c>
      <c r="I2132" s="32">
        <f>IF(G2132="",0,IF(COUNTIF($G$2:G2132,G2132)=1,1,0))</f>
        <v>0</v>
      </c>
      <c r="J2132" s="32">
        <f>IF(H2132="",0,IF(COUNTIF($H$2:H2132,H2132)=1,1,0))</f>
        <v>0</v>
      </c>
    </row>
    <row r="2133" spans="1:10" ht="14.25" hidden="1" customHeight="1" x14ac:dyDescent="0.35">
      <c r="A2133" s="30"/>
      <c r="E2133" s="31"/>
      <c r="G2133" s="32" t="str">
        <f t="shared" si="66"/>
        <v>|||1900|</v>
      </c>
      <c r="H2133" s="32" t="str">
        <f t="shared" si="67"/>
        <v>||1900|</v>
      </c>
      <c r="I2133" s="32">
        <f>IF(G2133="",0,IF(COUNTIF($G$2:G2133,G2133)=1,1,0))</f>
        <v>0</v>
      </c>
      <c r="J2133" s="32">
        <f>IF(H2133="",0,IF(COUNTIF($H$2:H2133,H2133)=1,1,0))</f>
        <v>0</v>
      </c>
    </row>
    <row r="2134" spans="1:10" ht="14.25" hidden="1" customHeight="1" x14ac:dyDescent="0.35">
      <c r="A2134" s="30"/>
      <c r="E2134" s="31"/>
      <c r="G2134" s="32" t="str">
        <f t="shared" si="66"/>
        <v>|||1900|</v>
      </c>
      <c r="H2134" s="32" t="str">
        <f t="shared" si="67"/>
        <v>||1900|</v>
      </c>
      <c r="I2134" s="32">
        <f>IF(G2134="",0,IF(COUNTIF($G$2:G2134,G2134)=1,1,0))</f>
        <v>0</v>
      </c>
      <c r="J2134" s="32">
        <f>IF(H2134="",0,IF(COUNTIF($H$2:H2134,H2134)=1,1,0))</f>
        <v>0</v>
      </c>
    </row>
    <row r="2135" spans="1:10" ht="14.25" hidden="1" customHeight="1" x14ac:dyDescent="0.35">
      <c r="A2135" s="30"/>
      <c r="E2135" s="31"/>
      <c r="G2135" s="32" t="str">
        <f t="shared" si="66"/>
        <v>|||1900|</v>
      </c>
      <c r="H2135" s="32" t="str">
        <f t="shared" si="67"/>
        <v>||1900|</v>
      </c>
      <c r="I2135" s="32">
        <f>IF(G2135="",0,IF(COUNTIF($G$2:G2135,G2135)=1,1,0))</f>
        <v>0</v>
      </c>
      <c r="J2135" s="32">
        <f>IF(H2135="",0,IF(COUNTIF($H$2:H2135,H2135)=1,1,0))</f>
        <v>0</v>
      </c>
    </row>
    <row r="2136" spans="1:10" ht="14.25" hidden="1" customHeight="1" x14ac:dyDescent="0.35">
      <c r="A2136" s="30"/>
      <c r="E2136" s="31"/>
      <c r="G2136" s="32" t="str">
        <f t="shared" si="66"/>
        <v>|||1900|</v>
      </c>
      <c r="H2136" s="32" t="str">
        <f t="shared" si="67"/>
        <v>||1900|</v>
      </c>
      <c r="I2136" s="32">
        <f>IF(G2136="",0,IF(COUNTIF($G$2:G2136,G2136)=1,1,0))</f>
        <v>0</v>
      </c>
      <c r="J2136" s="32">
        <f>IF(H2136="",0,IF(COUNTIF($H$2:H2136,H2136)=1,1,0))</f>
        <v>0</v>
      </c>
    </row>
    <row r="2137" spans="1:10" ht="14.25" hidden="1" customHeight="1" x14ac:dyDescent="0.35">
      <c r="A2137" s="30"/>
      <c r="E2137" s="31"/>
      <c r="G2137" s="32" t="str">
        <f t="shared" si="66"/>
        <v>|||1900|</v>
      </c>
      <c r="H2137" s="32" t="str">
        <f t="shared" si="67"/>
        <v>||1900|</v>
      </c>
      <c r="I2137" s="32">
        <f>IF(G2137="",0,IF(COUNTIF($G$2:G2137,G2137)=1,1,0))</f>
        <v>0</v>
      </c>
      <c r="J2137" s="32">
        <f>IF(H2137="",0,IF(COUNTIF($H$2:H2137,H2137)=1,1,0))</f>
        <v>0</v>
      </c>
    </row>
    <row r="2138" spans="1:10" ht="14.25" hidden="1" customHeight="1" x14ac:dyDescent="0.35">
      <c r="A2138" s="30"/>
      <c r="E2138" s="31"/>
      <c r="G2138" s="32" t="str">
        <f t="shared" si="66"/>
        <v>|||1900|</v>
      </c>
      <c r="H2138" s="32" t="str">
        <f t="shared" si="67"/>
        <v>||1900|</v>
      </c>
      <c r="I2138" s="32">
        <f>IF(G2138="",0,IF(COUNTIF($G$2:G2138,G2138)=1,1,0))</f>
        <v>0</v>
      </c>
      <c r="J2138" s="32">
        <f>IF(H2138="",0,IF(COUNTIF($H$2:H2138,H2138)=1,1,0))</f>
        <v>0</v>
      </c>
    </row>
    <row r="2139" spans="1:10" ht="14.25" hidden="1" customHeight="1" x14ac:dyDescent="0.35">
      <c r="A2139" s="30"/>
      <c r="E2139" s="31"/>
      <c r="G2139" s="32" t="str">
        <f t="shared" si="66"/>
        <v>|||1900|</v>
      </c>
      <c r="H2139" s="32" t="str">
        <f t="shared" si="67"/>
        <v>||1900|</v>
      </c>
      <c r="I2139" s="32">
        <f>IF(G2139="",0,IF(COUNTIF($G$2:G2139,G2139)=1,1,0))</f>
        <v>0</v>
      </c>
      <c r="J2139" s="32">
        <f>IF(H2139="",0,IF(COUNTIF($H$2:H2139,H2139)=1,1,0))</f>
        <v>0</v>
      </c>
    </row>
    <row r="2140" spans="1:10" ht="14.25" hidden="1" customHeight="1" x14ac:dyDescent="0.35">
      <c r="A2140" s="30"/>
      <c r="E2140" s="31"/>
      <c r="G2140" s="32" t="str">
        <f t="shared" si="66"/>
        <v>|||1900|</v>
      </c>
      <c r="H2140" s="32" t="str">
        <f t="shared" si="67"/>
        <v>||1900|</v>
      </c>
      <c r="I2140" s="32">
        <f>IF(G2140="",0,IF(COUNTIF($G$2:G2140,G2140)=1,1,0))</f>
        <v>0</v>
      </c>
      <c r="J2140" s="32">
        <f>IF(H2140="",0,IF(COUNTIF($H$2:H2140,H2140)=1,1,0))</f>
        <v>0</v>
      </c>
    </row>
    <row r="2141" spans="1:10" ht="14.25" hidden="1" customHeight="1" x14ac:dyDescent="0.35">
      <c r="A2141" s="30"/>
      <c r="E2141" s="31"/>
      <c r="G2141" s="32" t="str">
        <f t="shared" si="66"/>
        <v>|||1900|</v>
      </c>
      <c r="H2141" s="32" t="str">
        <f t="shared" si="67"/>
        <v>||1900|</v>
      </c>
      <c r="I2141" s="32">
        <f>IF(G2141="",0,IF(COUNTIF($G$2:G2141,G2141)=1,1,0))</f>
        <v>0</v>
      </c>
      <c r="J2141" s="32">
        <f>IF(H2141="",0,IF(COUNTIF($H$2:H2141,H2141)=1,1,0))</f>
        <v>0</v>
      </c>
    </row>
    <row r="2142" spans="1:10" ht="14.25" hidden="1" customHeight="1" x14ac:dyDescent="0.35">
      <c r="A2142" s="30"/>
      <c r="E2142" s="31"/>
      <c r="G2142" s="32" t="str">
        <f t="shared" si="66"/>
        <v>|||1900|</v>
      </c>
      <c r="H2142" s="32" t="str">
        <f t="shared" si="67"/>
        <v>||1900|</v>
      </c>
      <c r="I2142" s="32">
        <f>IF(G2142="",0,IF(COUNTIF($G$2:G2142,G2142)=1,1,0))</f>
        <v>0</v>
      </c>
      <c r="J2142" s="32">
        <f>IF(H2142="",0,IF(COUNTIF($H$2:H2142,H2142)=1,1,0))</f>
        <v>0</v>
      </c>
    </row>
    <row r="2143" spans="1:10" ht="14.25" hidden="1" customHeight="1" x14ac:dyDescent="0.35">
      <c r="A2143" s="30"/>
      <c r="E2143" s="31"/>
      <c r="G2143" s="32" t="str">
        <f t="shared" si="66"/>
        <v>|||1900|</v>
      </c>
      <c r="H2143" s="32" t="str">
        <f t="shared" si="67"/>
        <v>||1900|</v>
      </c>
      <c r="I2143" s="32">
        <f>IF(G2143="",0,IF(COUNTIF($G$2:G2143,G2143)=1,1,0))</f>
        <v>0</v>
      </c>
      <c r="J2143" s="32">
        <f>IF(H2143="",0,IF(COUNTIF($H$2:H2143,H2143)=1,1,0))</f>
        <v>0</v>
      </c>
    </row>
    <row r="2144" spans="1:10" ht="14.25" hidden="1" customHeight="1" x14ac:dyDescent="0.35">
      <c r="A2144" s="30"/>
      <c r="E2144" s="31"/>
      <c r="G2144" s="32" t="str">
        <f t="shared" si="66"/>
        <v>|||1900|</v>
      </c>
      <c r="H2144" s="32" t="str">
        <f t="shared" si="67"/>
        <v>||1900|</v>
      </c>
      <c r="I2144" s="32">
        <f>IF(G2144="",0,IF(COUNTIF($G$2:G2144,G2144)=1,1,0))</f>
        <v>0</v>
      </c>
      <c r="J2144" s="32">
        <f>IF(H2144="",0,IF(COUNTIF($H$2:H2144,H2144)=1,1,0))</f>
        <v>0</v>
      </c>
    </row>
    <row r="2145" spans="1:10" ht="14.25" hidden="1" customHeight="1" x14ac:dyDescent="0.35">
      <c r="A2145" s="30"/>
      <c r="E2145" s="31"/>
      <c r="G2145" s="32" t="str">
        <f t="shared" si="66"/>
        <v>|||1900|</v>
      </c>
      <c r="H2145" s="32" t="str">
        <f t="shared" si="67"/>
        <v>||1900|</v>
      </c>
      <c r="I2145" s="32">
        <f>IF(G2145="",0,IF(COUNTIF($G$2:G2145,G2145)=1,1,0))</f>
        <v>0</v>
      </c>
      <c r="J2145" s="32">
        <f>IF(H2145="",0,IF(COUNTIF($H$2:H2145,H2145)=1,1,0))</f>
        <v>0</v>
      </c>
    </row>
    <row r="2146" spans="1:10" ht="14.25" hidden="1" customHeight="1" x14ac:dyDescent="0.35">
      <c r="A2146" s="30"/>
      <c r="E2146" s="31"/>
      <c r="G2146" s="32" t="str">
        <f t="shared" si="66"/>
        <v>|||1900|</v>
      </c>
      <c r="H2146" s="32" t="str">
        <f t="shared" si="67"/>
        <v>||1900|</v>
      </c>
      <c r="I2146" s="32">
        <f>IF(G2146="",0,IF(COUNTIF($G$2:G2146,G2146)=1,1,0))</f>
        <v>0</v>
      </c>
      <c r="J2146" s="32">
        <f>IF(H2146="",0,IF(COUNTIF($H$2:H2146,H2146)=1,1,0))</f>
        <v>0</v>
      </c>
    </row>
    <row r="2147" spans="1:10" ht="14.25" hidden="1" customHeight="1" x14ac:dyDescent="0.35">
      <c r="A2147" s="30"/>
      <c r="E2147" s="31"/>
      <c r="G2147" s="32" t="str">
        <f t="shared" si="66"/>
        <v>|||1900|</v>
      </c>
      <c r="H2147" s="32" t="str">
        <f t="shared" si="67"/>
        <v>||1900|</v>
      </c>
      <c r="I2147" s="32">
        <f>IF(G2147="",0,IF(COUNTIF($G$2:G2147,G2147)=1,1,0))</f>
        <v>0</v>
      </c>
      <c r="J2147" s="32">
        <f>IF(H2147="",0,IF(COUNTIF($H$2:H2147,H2147)=1,1,0))</f>
        <v>0</v>
      </c>
    </row>
    <row r="2148" spans="1:10" ht="14.25" hidden="1" customHeight="1" x14ac:dyDescent="0.35">
      <c r="A2148" s="30"/>
      <c r="E2148" s="31"/>
      <c r="G2148" s="32" t="str">
        <f t="shared" si="66"/>
        <v>|||1900|</v>
      </c>
      <c r="H2148" s="32" t="str">
        <f t="shared" si="67"/>
        <v>||1900|</v>
      </c>
      <c r="I2148" s="32">
        <f>IF(G2148="",0,IF(COUNTIF($G$2:G2148,G2148)=1,1,0))</f>
        <v>0</v>
      </c>
      <c r="J2148" s="32">
        <f>IF(H2148="",0,IF(COUNTIF($H$2:H2148,H2148)=1,1,0))</f>
        <v>0</v>
      </c>
    </row>
    <row r="2149" spans="1:10" ht="14.25" hidden="1" customHeight="1" x14ac:dyDescent="0.35">
      <c r="A2149" s="30"/>
      <c r="E2149" s="31"/>
      <c r="G2149" s="32" t="str">
        <f t="shared" si="66"/>
        <v>|||1900|</v>
      </c>
      <c r="H2149" s="32" t="str">
        <f t="shared" si="67"/>
        <v>||1900|</v>
      </c>
      <c r="I2149" s="32">
        <f>IF(G2149="",0,IF(COUNTIF($G$2:G2149,G2149)=1,1,0))</f>
        <v>0</v>
      </c>
      <c r="J2149" s="32">
        <f>IF(H2149="",0,IF(COUNTIF($H$2:H2149,H2149)=1,1,0))</f>
        <v>0</v>
      </c>
    </row>
    <row r="2150" spans="1:10" ht="14.25" hidden="1" customHeight="1" x14ac:dyDescent="0.35">
      <c r="A2150" s="30"/>
      <c r="E2150" s="31"/>
      <c r="G2150" s="32" t="str">
        <f t="shared" si="66"/>
        <v>|||1900|</v>
      </c>
      <c r="H2150" s="32" t="str">
        <f t="shared" si="67"/>
        <v>||1900|</v>
      </c>
      <c r="I2150" s="32">
        <f>IF(G2150="",0,IF(COUNTIF($G$2:G2150,G2150)=1,1,0))</f>
        <v>0</v>
      </c>
      <c r="J2150" s="32">
        <f>IF(H2150="",0,IF(COUNTIF($H$2:H2150,H2150)=1,1,0))</f>
        <v>0</v>
      </c>
    </row>
    <row r="2151" spans="1:10" ht="14.25" hidden="1" customHeight="1" x14ac:dyDescent="0.35">
      <c r="A2151" s="30"/>
      <c r="E2151" s="31"/>
      <c r="G2151" s="32" t="str">
        <f t="shared" si="66"/>
        <v>|||1900|</v>
      </c>
      <c r="H2151" s="32" t="str">
        <f t="shared" si="67"/>
        <v>||1900|</v>
      </c>
      <c r="I2151" s="32">
        <f>IF(G2151="",0,IF(COUNTIF($G$2:G2151,G2151)=1,1,0))</f>
        <v>0</v>
      </c>
      <c r="J2151" s="32">
        <f>IF(H2151="",0,IF(COUNTIF($H$2:H2151,H2151)=1,1,0))</f>
        <v>0</v>
      </c>
    </row>
    <row r="2152" spans="1:10" ht="14.25" hidden="1" customHeight="1" x14ac:dyDescent="0.35">
      <c r="A2152" s="30"/>
      <c r="E2152" s="31"/>
      <c r="G2152" s="32" t="str">
        <f t="shared" si="66"/>
        <v>|||1900|</v>
      </c>
      <c r="H2152" s="32" t="str">
        <f t="shared" si="67"/>
        <v>||1900|</v>
      </c>
      <c r="I2152" s="32">
        <f>IF(G2152="",0,IF(COUNTIF($G$2:G2152,G2152)=1,1,0))</f>
        <v>0</v>
      </c>
      <c r="J2152" s="32">
        <f>IF(H2152="",0,IF(COUNTIF($H$2:H2152,H2152)=1,1,0))</f>
        <v>0</v>
      </c>
    </row>
    <row r="2153" spans="1:10" ht="14.25" hidden="1" customHeight="1" x14ac:dyDescent="0.35">
      <c r="A2153" s="30"/>
      <c r="E2153" s="31"/>
      <c r="G2153" s="32" t="str">
        <f t="shared" si="66"/>
        <v>|||1900|</v>
      </c>
      <c r="H2153" s="32" t="str">
        <f t="shared" si="67"/>
        <v>||1900|</v>
      </c>
      <c r="I2153" s="32">
        <f>IF(G2153="",0,IF(COUNTIF($G$2:G2153,G2153)=1,1,0))</f>
        <v>0</v>
      </c>
      <c r="J2153" s="32">
        <f>IF(H2153="",0,IF(COUNTIF($H$2:H2153,H2153)=1,1,0))</f>
        <v>0</v>
      </c>
    </row>
    <row r="2154" spans="1:10" ht="14.25" hidden="1" customHeight="1" x14ac:dyDescent="0.35">
      <c r="A2154" s="30"/>
      <c r="E2154" s="31"/>
      <c r="G2154" s="32" t="str">
        <f t="shared" si="66"/>
        <v>|||1900|</v>
      </c>
      <c r="H2154" s="32" t="str">
        <f t="shared" si="67"/>
        <v>||1900|</v>
      </c>
      <c r="I2154" s="32">
        <f>IF(G2154="",0,IF(COUNTIF($G$2:G2154,G2154)=1,1,0))</f>
        <v>0</v>
      </c>
      <c r="J2154" s="32">
        <f>IF(H2154="",0,IF(COUNTIF($H$2:H2154,H2154)=1,1,0))</f>
        <v>0</v>
      </c>
    </row>
    <row r="2155" spans="1:10" ht="14.25" hidden="1" customHeight="1" x14ac:dyDescent="0.35">
      <c r="A2155" s="30"/>
      <c r="E2155" s="31"/>
      <c r="G2155" s="32" t="str">
        <f t="shared" si="66"/>
        <v>|||1900|</v>
      </c>
      <c r="H2155" s="32" t="str">
        <f t="shared" si="67"/>
        <v>||1900|</v>
      </c>
      <c r="I2155" s="32">
        <f>IF(G2155="",0,IF(COUNTIF($G$2:G2155,G2155)=1,1,0))</f>
        <v>0</v>
      </c>
      <c r="J2155" s="32">
        <f>IF(H2155="",0,IF(COUNTIF($H$2:H2155,H2155)=1,1,0))</f>
        <v>0</v>
      </c>
    </row>
    <row r="2156" spans="1:10" ht="14.25" hidden="1" customHeight="1" x14ac:dyDescent="0.35">
      <c r="A2156" s="30"/>
      <c r="E2156" s="31"/>
      <c r="G2156" s="32" t="str">
        <f t="shared" si="66"/>
        <v>|||1900|</v>
      </c>
      <c r="H2156" s="32" t="str">
        <f t="shared" si="67"/>
        <v>||1900|</v>
      </c>
      <c r="I2156" s="32">
        <f>IF(G2156="",0,IF(COUNTIF($G$2:G2156,G2156)=1,1,0))</f>
        <v>0</v>
      </c>
      <c r="J2156" s="32">
        <f>IF(H2156="",0,IF(COUNTIF($H$2:H2156,H2156)=1,1,0))</f>
        <v>0</v>
      </c>
    </row>
    <row r="2157" spans="1:10" ht="14.25" hidden="1" customHeight="1" x14ac:dyDescent="0.35">
      <c r="A2157" s="30"/>
      <c r="E2157" s="31"/>
      <c r="G2157" s="32" t="str">
        <f t="shared" si="66"/>
        <v>|||1900|</v>
      </c>
      <c r="H2157" s="32" t="str">
        <f t="shared" si="67"/>
        <v>||1900|</v>
      </c>
      <c r="I2157" s="32">
        <f>IF(G2157="",0,IF(COUNTIF($G$2:G2157,G2157)=1,1,0))</f>
        <v>0</v>
      </c>
      <c r="J2157" s="32">
        <f>IF(H2157="",0,IF(COUNTIF($H$2:H2157,H2157)=1,1,0))</f>
        <v>0</v>
      </c>
    </row>
    <row r="2158" spans="1:10" ht="14.25" hidden="1" customHeight="1" x14ac:dyDescent="0.35">
      <c r="A2158" s="30"/>
      <c r="E2158" s="31"/>
      <c r="G2158" s="32" t="str">
        <f t="shared" si="66"/>
        <v>|||1900|</v>
      </c>
      <c r="H2158" s="32" t="str">
        <f t="shared" si="67"/>
        <v>||1900|</v>
      </c>
      <c r="I2158" s="32">
        <f>IF(G2158="",0,IF(COUNTIF($G$2:G2158,G2158)=1,1,0))</f>
        <v>0</v>
      </c>
      <c r="J2158" s="32">
        <f>IF(H2158="",0,IF(COUNTIF($H$2:H2158,H2158)=1,1,0))</f>
        <v>0</v>
      </c>
    </row>
    <row r="2159" spans="1:10" ht="14.25" hidden="1" customHeight="1" x14ac:dyDescent="0.35">
      <c r="A2159" s="30"/>
      <c r="E2159" s="31"/>
      <c r="G2159" s="32" t="str">
        <f t="shared" si="66"/>
        <v>|||1900|</v>
      </c>
      <c r="H2159" s="32" t="str">
        <f t="shared" si="67"/>
        <v>||1900|</v>
      </c>
      <c r="I2159" s="32">
        <f>IF(G2159="",0,IF(COUNTIF($G$2:G2159,G2159)=1,1,0))</f>
        <v>0</v>
      </c>
      <c r="J2159" s="32">
        <f>IF(H2159="",0,IF(COUNTIF($H$2:H2159,H2159)=1,1,0))</f>
        <v>0</v>
      </c>
    </row>
    <row r="2160" spans="1:10" ht="14.25" hidden="1" customHeight="1" x14ac:dyDescent="0.35">
      <c r="A2160" s="30"/>
      <c r="E2160" s="31"/>
      <c r="G2160" s="32" t="str">
        <f t="shared" si="66"/>
        <v>|||1900|</v>
      </c>
      <c r="H2160" s="32" t="str">
        <f t="shared" si="67"/>
        <v>||1900|</v>
      </c>
      <c r="I2160" s="32">
        <f>IF(G2160="",0,IF(COUNTIF($G$2:G2160,G2160)=1,1,0))</f>
        <v>0</v>
      </c>
      <c r="J2160" s="32">
        <f>IF(H2160="",0,IF(COUNTIF($H$2:H2160,H2160)=1,1,0))</f>
        <v>0</v>
      </c>
    </row>
    <row r="2161" spans="1:10" ht="14.25" hidden="1" customHeight="1" x14ac:dyDescent="0.35">
      <c r="A2161" s="30"/>
      <c r="E2161" s="31"/>
      <c r="G2161" s="32" t="str">
        <f t="shared" si="66"/>
        <v>|||1900|</v>
      </c>
      <c r="H2161" s="32" t="str">
        <f t="shared" si="67"/>
        <v>||1900|</v>
      </c>
      <c r="I2161" s="32">
        <f>IF(G2161="",0,IF(COUNTIF($G$2:G2161,G2161)=1,1,0))</f>
        <v>0</v>
      </c>
      <c r="J2161" s="32">
        <f>IF(H2161="",0,IF(COUNTIF($H$2:H2161,H2161)=1,1,0))</f>
        <v>0</v>
      </c>
    </row>
    <row r="2162" spans="1:10" ht="14.25" hidden="1" customHeight="1" x14ac:dyDescent="0.35">
      <c r="A2162" s="30"/>
      <c r="E2162" s="31"/>
      <c r="G2162" s="32" t="str">
        <f t="shared" si="66"/>
        <v>|||1900|</v>
      </c>
      <c r="H2162" s="32" t="str">
        <f t="shared" si="67"/>
        <v>||1900|</v>
      </c>
      <c r="I2162" s="32">
        <f>IF(G2162="",0,IF(COUNTIF($G$2:G2162,G2162)=1,1,0))</f>
        <v>0</v>
      </c>
      <c r="J2162" s="32">
        <f>IF(H2162="",0,IF(COUNTIF($H$2:H2162,H2162)=1,1,0))</f>
        <v>0</v>
      </c>
    </row>
    <row r="2163" spans="1:10" ht="14.25" hidden="1" customHeight="1" x14ac:dyDescent="0.35">
      <c r="A2163" s="30"/>
      <c r="E2163" s="31"/>
      <c r="G2163" s="32" t="str">
        <f t="shared" si="66"/>
        <v>|||1900|</v>
      </c>
      <c r="H2163" s="32" t="str">
        <f t="shared" si="67"/>
        <v>||1900|</v>
      </c>
      <c r="I2163" s="32">
        <f>IF(G2163="",0,IF(COUNTIF($G$2:G2163,G2163)=1,1,0))</f>
        <v>0</v>
      </c>
      <c r="J2163" s="32">
        <f>IF(H2163="",0,IF(COUNTIF($H$2:H2163,H2163)=1,1,0))</f>
        <v>0</v>
      </c>
    </row>
    <row r="2164" spans="1:10" ht="14.25" hidden="1" customHeight="1" x14ac:dyDescent="0.35">
      <c r="A2164" s="30"/>
      <c r="E2164" s="31"/>
      <c r="G2164" s="32" t="str">
        <f t="shared" si="66"/>
        <v>|||1900|</v>
      </c>
      <c r="H2164" s="32" t="str">
        <f t="shared" si="67"/>
        <v>||1900|</v>
      </c>
      <c r="I2164" s="32">
        <f>IF(G2164="",0,IF(COUNTIF($G$2:G2164,G2164)=1,1,0))</f>
        <v>0</v>
      </c>
      <c r="J2164" s="32">
        <f>IF(H2164="",0,IF(COUNTIF($H$2:H2164,H2164)=1,1,0))</f>
        <v>0</v>
      </c>
    </row>
    <row r="2165" spans="1:10" ht="14.25" hidden="1" customHeight="1" x14ac:dyDescent="0.35">
      <c r="A2165" s="30"/>
      <c r="E2165" s="31"/>
      <c r="G2165" s="32" t="str">
        <f t="shared" si="66"/>
        <v>|||1900|</v>
      </c>
      <c r="H2165" s="32" t="str">
        <f t="shared" si="67"/>
        <v>||1900|</v>
      </c>
      <c r="I2165" s="32">
        <f>IF(G2165="",0,IF(COUNTIF($G$2:G2165,G2165)=1,1,0))</f>
        <v>0</v>
      </c>
      <c r="J2165" s="32">
        <f>IF(H2165="",0,IF(COUNTIF($H$2:H2165,H2165)=1,1,0))</f>
        <v>0</v>
      </c>
    </row>
    <row r="2166" spans="1:10" ht="14.25" hidden="1" customHeight="1" x14ac:dyDescent="0.35">
      <c r="A2166" s="30"/>
      <c r="E2166" s="31"/>
      <c r="G2166" s="32" t="str">
        <f t="shared" si="66"/>
        <v>|||1900|</v>
      </c>
      <c r="H2166" s="32" t="str">
        <f t="shared" si="67"/>
        <v>||1900|</v>
      </c>
      <c r="I2166" s="32">
        <f>IF(G2166="",0,IF(COUNTIF($G$2:G2166,G2166)=1,1,0))</f>
        <v>0</v>
      </c>
      <c r="J2166" s="32">
        <f>IF(H2166="",0,IF(COUNTIF($H$2:H2166,H2166)=1,1,0))</f>
        <v>0</v>
      </c>
    </row>
    <row r="2167" spans="1:10" ht="14.25" hidden="1" customHeight="1" x14ac:dyDescent="0.35">
      <c r="A2167" s="30"/>
      <c r="E2167" s="31"/>
      <c r="G2167" s="32" t="str">
        <f t="shared" si="66"/>
        <v>|||1900|</v>
      </c>
      <c r="H2167" s="32" t="str">
        <f t="shared" si="67"/>
        <v>||1900|</v>
      </c>
      <c r="I2167" s="32">
        <f>IF(G2167="",0,IF(COUNTIF($G$2:G2167,G2167)=1,1,0))</f>
        <v>0</v>
      </c>
      <c r="J2167" s="32">
        <f>IF(H2167="",0,IF(COUNTIF($H$2:H2167,H2167)=1,1,0))</f>
        <v>0</v>
      </c>
    </row>
    <row r="2168" spans="1:10" ht="14.25" hidden="1" customHeight="1" x14ac:dyDescent="0.35">
      <c r="A2168" s="30"/>
      <c r="E2168" s="31"/>
      <c r="G2168" s="32" t="str">
        <f t="shared" si="66"/>
        <v>|||1900|</v>
      </c>
      <c r="H2168" s="32" t="str">
        <f t="shared" si="67"/>
        <v>||1900|</v>
      </c>
      <c r="I2168" s="32">
        <f>IF(G2168="",0,IF(COUNTIF($G$2:G2168,G2168)=1,1,0))</f>
        <v>0</v>
      </c>
      <c r="J2168" s="32">
        <f>IF(H2168="",0,IF(COUNTIF($H$2:H2168,H2168)=1,1,0))</f>
        <v>0</v>
      </c>
    </row>
    <row r="2169" spans="1:10" ht="14.25" hidden="1" customHeight="1" x14ac:dyDescent="0.35">
      <c r="A2169" s="30"/>
      <c r="E2169" s="31"/>
      <c r="G2169" s="32" t="str">
        <f t="shared" si="66"/>
        <v>|||1900|</v>
      </c>
      <c r="H2169" s="32" t="str">
        <f t="shared" si="67"/>
        <v>||1900|</v>
      </c>
      <c r="I2169" s="32">
        <f>IF(G2169="",0,IF(COUNTIF($G$2:G2169,G2169)=1,1,0))</f>
        <v>0</v>
      </c>
      <c r="J2169" s="32">
        <f>IF(H2169="",0,IF(COUNTIF($H$2:H2169,H2169)=1,1,0))</f>
        <v>0</v>
      </c>
    </row>
    <row r="2170" spans="1:10" ht="14.25" hidden="1" customHeight="1" x14ac:dyDescent="0.35">
      <c r="A2170" s="30"/>
      <c r="E2170" s="31"/>
      <c r="G2170" s="32" t="str">
        <f t="shared" si="66"/>
        <v>|||1900|</v>
      </c>
      <c r="H2170" s="32" t="str">
        <f t="shared" si="67"/>
        <v>||1900|</v>
      </c>
      <c r="I2170" s="32">
        <f>IF(G2170="",0,IF(COUNTIF($G$2:G2170,G2170)=1,1,0))</f>
        <v>0</v>
      </c>
      <c r="J2170" s="32">
        <f>IF(H2170="",0,IF(COUNTIF($H$2:H2170,H2170)=1,1,0))</f>
        <v>0</v>
      </c>
    </row>
    <row r="2171" spans="1:10" ht="14.25" hidden="1" customHeight="1" x14ac:dyDescent="0.35">
      <c r="A2171" s="30"/>
      <c r="E2171" s="31"/>
      <c r="G2171" s="32" t="str">
        <f t="shared" si="66"/>
        <v>|||1900|</v>
      </c>
      <c r="H2171" s="32" t="str">
        <f t="shared" si="67"/>
        <v>||1900|</v>
      </c>
      <c r="I2171" s="32">
        <f>IF(G2171="",0,IF(COUNTIF($G$2:G2171,G2171)=1,1,0))</f>
        <v>0</v>
      </c>
      <c r="J2171" s="32">
        <f>IF(H2171="",0,IF(COUNTIF($H$2:H2171,H2171)=1,1,0))</f>
        <v>0</v>
      </c>
    </row>
    <row r="2172" spans="1:10" ht="14.25" hidden="1" customHeight="1" x14ac:dyDescent="0.35">
      <c r="A2172" s="30"/>
      <c r="E2172" s="31"/>
      <c r="G2172" s="32" t="str">
        <f t="shared" si="66"/>
        <v>|||1900|</v>
      </c>
      <c r="H2172" s="32" t="str">
        <f t="shared" si="67"/>
        <v>||1900|</v>
      </c>
      <c r="I2172" s="32">
        <f>IF(G2172="",0,IF(COUNTIF($G$2:G2172,G2172)=1,1,0))</f>
        <v>0</v>
      </c>
      <c r="J2172" s="32">
        <f>IF(H2172="",0,IF(COUNTIF($H$2:H2172,H2172)=1,1,0))</f>
        <v>0</v>
      </c>
    </row>
    <row r="2173" spans="1:10" ht="14.25" hidden="1" customHeight="1" x14ac:dyDescent="0.35">
      <c r="A2173" s="30"/>
      <c r="E2173" s="31"/>
      <c r="G2173" s="32" t="str">
        <f t="shared" si="66"/>
        <v>|||1900|</v>
      </c>
      <c r="H2173" s="32" t="str">
        <f t="shared" si="67"/>
        <v>||1900|</v>
      </c>
      <c r="I2173" s="32">
        <f>IF(G2173="",0,IF(COUNTIF($G$2:G2173,G2173)=1,1,0))</f>
        <v>0</v>
      </c>
      <c r="J2173" s="32">
        <f>IF(H2173="",0,IF(COUNTIF($H$2:H2173,H2173)=1,1,0))</f>
        <v>0</v>
      </c>
    </row>
    <row r="2174" spans="1:10" ht="14.25" hidden="1" customHeight="1" x14ac:dyDescent="0.35">
      <c r="A2174" s="30"/>
      <c r="E2174" s="31"/>
      <c r="G2174" s="32" t="str">
        <f t="shared" si="66"/>
        <v>|||1900|</v>
      </c>
      <c r="H2174" s="32" t="str">
        <f t="shared" si="67"/>
        <v>||1900|</v>
      </c>
      <c r="I2174" s="32">
        <f>IF(G2174="",0,IF(COUNTIF($G$2:G2174,G2174)=1,1,0))</f>
        <v>0</v>
      </c>
      <c r="J2174" s="32">
        <f>IF(H2174="",0,IF(COUNTIF($H$2:H2174,H2174)=1,1,0))</f>
        <v>0</v>
      </c>
    </row>
    <row r="2175" spans="1:10" ht="14.25" hidden="1" customHeight="1" x14ac:dyDescent="0.35">
      <c r="A2175" s="30"/>
      <c r="E2175" s="31"/>
      <c r="G2175" s="32" t="str">
        <f t="shared" si="66"/>
        <v>|||1900|</v>
      </c>
      <c r="H2175" s="32" t="str">
        <f t="shared" si="67"/>
        <v>||1900|</v>
      </c>
      <c r="I2175" s="32">
        <f>IF(G2175="",0,IF(COUNTIF($G$2:G2175,G2175)=1,1,0))</f>
        <v>0</v>
      </c>
      <c r="J2175" s="32">
        <f>IF(H2175="",0,IF(COUNTIF($H$2:H2175,H2175)=1,1,0))</f>
        <v>0</v>
      </c>
    </row>
    <row r="2176" spans="1:10" ht="14.25" hidden="1" customHeight="1" x14ac:dyDescent="0.35">
      <c r="A2176" s="30"/>
      <c r="E2176" s="31"/>
      <c r="G2176" s="32" t="str">
        <f t="shared" si="66"/>
        <v>|||1900|</v>
      </c>
      <c r="H2176" s="32" t="str">
        <f t="shared" si="67"/>
        <v>||1900|</v>
      </c>
      <c r="I2176" s="32">
        <f>IF(G2176="",0,IF(COUNTIF($G$2:G2176,G2176)=1,1,0))</f>
        <v>0</v>
      </c>
      <c r="J2176" s="32">
        <f>IF(H2176="",0,IF(COUNTIF($H$2:H2176,H2176)=1,1,0))</f>
        <v>0</v>
      </c>
    </row>
    <row r="2177" spans="1:10" ht="14.25" hidden="1" customHeight="1" x14ac:dyDescent="0.35">
      <c r="A2177" s="30"/>
      <c r="E2177" s="31"/>
      <c r="G2177" s="32" t="str">
        <f t="shared" si="66"/>
        <v>|||1900|</v>
      </c>
      <c r="H2177" s="32" t="str">
        <f t="shared" si="67"/>
        <v>||1900|</v>
      </c>
      <c r="I2177" s="32">
        <f>IF(G2177="",0,IF(COUNTIF($G$2:G2177,G2177)=1,1,0))</f>
        <v>0</v>
      </c>
      <c r="J2177" s="32">
        <f>IF(H2177="",0,IF(COUNTIF($H$2:H2177,H2177)=1,1,0))</f>
        <v>0</v>
      </c>
    </row>
    <row r="2178" spans="1:10" ht="14.25" hidden="1" customHeight="1" x14ac:dyDescent="0.35">
      <c r="A2178" s="30"/>
      <c r="E2178" s="31"/>
      <c r="G2178" s="32" t="str">
        <f t="shared" ref="G2178:G2241" si="68">IF(D2178="T",
E2178&amp;"|"&amp;F2178,
A2178&amp;"|"&amp;B2178&amp;"|"&amp;C2178&amp;"|"&amp;YEAR(E2178)&amp;"|"&amp;F2178)</f>
        <v>|||1900|</v>
      </c>
      <c r="H2178" s="32" t="str">
        <f t="shared" ref="H2178:H2241" si="69">A2178&amp;"|"&amp;C2178&amp;"|"&amp;YEAR(E2178)&amp;"|"&amp;F2178</f>
        <v>||1900|</v>
      </c>
      <c r="I2178" s="32">
        <f>IF(G2178="",0,IF(COUNTIF($G$2:G2178,G2178)=1,1,0))</f>
        <v>0</v>
      </c>
      <c r="J2178" s="32">
        <f>IF(H2178="",0,IF(COUNTIF($H$2:H2178,H2178)=1,1,0))</f>
        <v>0</v>
      </c>
    </row>
    <row r="2179" spans="1:10" ht="14.25" hidden="1" customHeight="1" x14ac:dyDescent="0.35">
      <c r="A2179" s="30"/>
      <c r="E2179" s="31"/>
      <c r="G2179" s="32" t="str">
        <f t="shared" si="68"/>
        <v>|||1900|</v>
      </c>
      <c r="H2179" s="32" t="str">
        <f t="shared" si="69"/>
        <v>||1900|</v>
      </c>
      <c r="I2179" s="32">
        <f>IF(G2179="",0,IF(COUNTIF($G$2:G2179,G2179)=1,1,0))</f>
        <v>0</v>
      </c>
      <c r="J2179" s="32">
        <f>IF(H2179="",0,IF(COUNTIF($H$2:H2179,H2179)=1,1,0))</f>
        <v>0</v>
      </c>
    </row>
    <row r="2180" spans="1:10" ht="14.25" hidden="1" customHeight="1" x14ac:dyDescent="0.35">
      <c r="A2180" s="30"/>
      <c r="E2180" s="31"/>
      <c r="G2180" s="32" t="str">
        <f t="shared" si="68"/>
        <v>|||1900|</v>
      </c>
      <c r="H2180" s="32" t="str">
        <f t="shared" si="69"/>
        <v>||1900|</v>
      </c>
      <c r="I2180" s="32">
        <f>IF(G2180="",0,IF(COUNTIF($G$2:G2180,G2180)=1,1,0))</f>
        <v>0</v>
      </c>
      <c r="J2180" s="32">
        <f>IF(H2180="",0,IF(COUNTIF($H$2:H2180,H2180)=1,1,0))</f>
        <v>0</v>
      </c>
    </row>
    <row r="2181" spans="1:10" ht="14.25" hidden="1" customHeight="1" x14ac:dyDescent="0.35">
      <c r="A2181" s="30"/>
      <c r="E2181" s="31"/>
      <c r="G2181" s="32" t="str">
        <f t="shared" si="68"/>
        <v>|||1900|</v>
      </c>
      <c r="H2181" s="32" t="str">
        <f t="shared" si="69"/>
        <v>||1900|</v>
      </c>
      <c r="I2181" s="32">
        <f>IF(G2181="",0,IF(COUNTIF($G$2:G2181,G2181)=1,1,0))</f>
        <v>0</v>
      </c>
      <c r="J2181" s="32">
        <f>IF(H2181="",0,IF(COUNTIF($H$2:H2181,H2181)=1,1,0))</f>
        <v>0</v>
      </c>
    </row>
    <row r="2182" spans="1:10" ht="14.25" hidden="1" customHeight="1" x14ac:dyDescent="0.35">
      <c r="A2182" s="30"/>
      <c r="E2182" s="31"/>
      <c r="G2182" s="32" t="str">
        <f t="shared" si="68"/>
        <v>|||1900|</v>
      </c>
      <c r="H2182" s="32" t="str">
        <f t="shared" si="69"/>
        <v>||1900|</v>
      </c>
      <c r="I2182" s="32">
        <f>IF(G2182="",0,IF(COUNTIF($G$2:G2182,G2182)=1,1,0))</f>
        <v>0</v>
      </c>
      <c r="J2182" s="32">
        <f>IF(H2182="",0,IF(COUNTIF($H$2:H2182,H2182)=1,1,0))</f>
        <v>0</v>
      </c>
    </row>
    <row r="2183" spans="1:10" ht="14.25" hidden="1" customHeight="1" x14ac:dyDescent="0.35">
      <c r="A2183" s="30"/>
      <c r="E2183" s="31"/>
      <c r="G2183" s="32" t="str">
        <f t="shared" si="68"/>
        <v>|||1900|</v>
      </c>
      <c r="H2183" s="32" t="str">
        <f t="shared" si="69"/>
        <v>||1900|</v>
      </c>
      <c r="I2183" s="32">
        <f>IF(G2183="",0,IF(COUNTIF($G$2:G2183,G2183)=1,1,0))</f>
        <v>0</v>
      </c>
      <c r="J2183" s="32">
        <f>IF(H2183="",0,IF(COUNTIF($H$2:H2183,H2183)=1,1,0))</f>
        <v>0</v>
      </c>
    </row>
    <row r="2184" spans="1:10" ht="14.25" hidden="1" customHeight="1" x14ac:dyDescent="0.35">
      <c r="A2184" s="30"/>
      <c r="E2184" s="31"/>
      <c r="G2184" s="32" t="str">
        <f t="shared" si="68"/>
        <v>|||1900|</v>
      </c>
      <c r="H2184" s="32" t="str">
        <f t="shared" si="69"/>
        <v>||1900|</v>
      </c>
      <c r="I2184" s="32">
        <f>IF(G2184="",0,IF(COUNTIF($G$2:G2184,G2184)=1,1,0))</f>
        <v>0</v>
      </c>
      <c r="J2184" s="32">
        <f>IF(H2184="",0,IF(COUNTIF($H$2:H2184,H2184)=1,1,0))</f>
        <v>0</v>
      </c>
    </row>
    <row r="2185" spans="1:10" ht="14.25" hidden="1" customHeight="1" x14ac:dyDescent="0.35">
      <c r="A2185" s="30"/>
      <c r="E2185" s="31"/>
      <c r="G2185" s="32" t="str">
        <f t="shared" si="68"/>
        <v>|||1900|</v>
      </c>
      <c r="H2185" s="32" t="str">
        <f t="shared" si="69"/>
        <v>||1900|</v>
      </c>
      <c r="I2185" s="32">
        <f>IF(G2185="",0,IF(COUNTIF($G$2:G2185,G2185)=1,1,0))</f>
        <v>0</v>
      </c>
      <c r="J2185" s="32">
        <f>IF(H2185="",0,IF(COUNTIF($H$2:H2185,H2185)=1,1,0))</f>
        <v>0</v>
      </c>
    </row>
    <row r="2186" spans="1:10" ht="14.25" hidden="1" customHeight="1" x14ac:dyDescent="0.35">
      <c r="A2186" s="30"/>
      <c r="E2186" s="31"/>
      <c r="G2186" s="32" t="str">
        <f t="shared" si="68"/>
        <v>|||1900|</v>
      </c>
      <c r="H2186" s="32" t="str">
        <f t="shared" si="69"/>
        <v>||1900|</v>
      </c>
      <c r="I2186" s="32">
        <f>IF(G2186="",0,IF(COUNTIF($G$2:G2186,G2186)=1,1,0))</f>
        <v>0</v>
      </c>
      <c r="J2186" s="32">
        <f>IF(H2186="",0,IF(COUNTIF($H$2:H2186,H2186)=1,1,0))</f>
        <v>0</v>
      </c>
    </row>
    <row r="2187" spans="1:10" ht="14.25" hidden="1" customHeight="1" x14ac:dyDescent="0.35">
      <c r="A2187" s="30"/>
      <c r="E2187" s="31"/>
      <c r="G2187" s="32" t="str">
        <f t="shared" si="68"/>
        <v>|||1900|</v>
      </c>
      <c r="H2187" s="32" t="str">
        <f t="shared" si="69"/>
        <v>||1900|</v>
      </c>
      <c r="I2187" s="32">
        <f>IF(G2187="",0,IF(COUNTIF($G$2:G2187,G2187)=1,1,0))</f>
        <v>0</v>
      </c>
      <c r="J2187" s="32">
        <f>IF(H2187="",0,IF(COUNTIF($H$2:H2187,H2187)=1,1,0))</f>
        <v>0</v>
      </c>
    </row>
    <row r="2188" spans="1:10" ht="14.25" hidden="1" customHeight="1" x14ac:dyDescent="0.35">
      <c r="A2188" s="30"/>
      <c r="E2188" s="31"/>
      <c r="G2188" s="32" t="str">
        <f t="shared" si="68"/>
        <v>|||1900|</v>
      </c>
      <c r="H2188" s="32" t="str">
        <f t="shared" si="69"/>
        <v>||1900|</v>
      </c>
      <c r="I2188" s="32">
        <f>IF(G2188="",0,IF(COUNTIF($G$2:G2188,G2188)=1,1,0))</f>
        <v>0</v>
      </c>
      <c r="J2188" s="32">
        <f>IF(H2188="",0,IF(COUNTIF($H$2:H2188,H2188)=1,1,0))</f>
        <v>0</v>
      </c>
    </row>
    <row r="2189" spans="1:10" ht="14.25" hidden="1" customHeight="1" x14ac:dyDescent="0.35">
      <c r="A2189" s="30"/>
      <c r="E2189" s="31"/>
      <c r="G2189" s="32" t="str">
        <f t="shared" si="68"/>
        <v>|||1900|</v>
      </c>
      <c r="H2189" s="32" t="str">
        <f t="shared" si="69"/>
        <v>||1900|</v>
      </c>
      <c r="I2189" s="32">
        <f>IF(G2189="",0,IF(COUNTIF($G$2:G2189,G2189)=1,1,0))</f>
        <v>0</v>
      </c>
      <c r="J2189" s="32">
        <f>IF(H2189="",0,IF(COUNTIF($H$2:H2189,H2189)=1,1,0))</f>
        <v>0</v>
      </c>
    </row>
    <row r="2190" spans="1:10" ht="14.25" hidden="1" customHeight="1" x14ac:dyDescent="0.35">
      <c r="A2190" s="30"/>
      <c r="E2190" s="31"/>
      <c r="G2190" s="32" t="str">
        <f t="shared" si="68"/>
        <v>|||1900|</v>
      </c>
      <c r="H2190" s="32" t="str">
        <f t="shared" si="69"/>
        <v>||1900|</v>
      </c>
      <c r="I2190" s="32">
        <f>IF(G2190="",0,IF(COUNTIF($G$2:G2190,G2190)=1,1,0))</f>
        <v>0</v>
      </c>
      <c r="J2190" s="32">
        <f>IF(H2190="",0,IF(COUNTIF($H$2:H2190,H2190)=1,1,0))</f>
        <v>0</v>
      </c>
    </row>
    <row r="2191" spans="1:10" ht="14.25" hidden="1" customHeight="1" x14ac:dyDescent="0.35">
      <c r="A2191" s="30"/>
      <c r="E2191" s="31"/>
      <c r="G2191" s="32" t="str">
        <f t="shared" si="68"/>
        <v>|||1900|</v>
      </c>
      <c r="H2191" s="32" t="str">
        <f t="shared" si="69"/>
        <v>||1900|</v>
      </c>
      <c r="I2191" s="32">
        <f>IF(G2191="",0,IF(COUNTIF($G$2:G2191,G2191)=1,1,0))</f>
        <v>0</v>
      </c>
      <c r="J2191" s="32">
        <f>IF(H2191="",0,IF(COUNTIF($H$2:H2191,H2191)=1,1,0))</f>
        <v>0</v>
      </c>
    </row>
    <row r="2192" spans="1:10" ht="14.25" hidden="1" customHeight="1" x14ac:dyDescent="0.35">
      <c r="A2192" s="30"/>
      <c r="E2192" s="31"/>
      <c r="G2192" s="32" t="str">
        <f t="shared" si="68"/>
        <v>|||1900|</v>
      </c>
      <c r="H2192" s="32" t="str">
        <f t="shared" si="69"/>
        <v>||1900|</v>
      </c>
      <c r="I2192" s="32">
        <f>IF(G2192="",0,IF(COUNTIF($G$2:G2192,G2192)=1,1,0))</f>
        <v>0</v>
      </c>
      <c r="J2192" s="32">
        <f>IF(H2192="",0,IF(COUNTIF($H$2:H2192,H2192)=1,1,0))</f>
        <v>0</v>
      </c>
    </row>
    <row r="2193" spans="1:10" ht="14.25" hidden="1" customHeight="1" x14ac:dyDescent="0.35">
      <c r="A2193" s="30"/>
      <c r="E2193" s="31"/>
      <c r="G2193" s="32" t="str">
        <f t="shared" si="68"/>
        <v>|||1900|</v>
      </c>
      <c r="H2193" s="32" t="str">
        <f t="shared" si="69"/>
        <v>||1900|</v>
      </c>
      <c r="I2193" s="32">
        <f>IF(G2193="",0,IF(COUNTIF($G$2:G2193,G2193)=1,1,0))</f>
        <v>0</v>
      </c>
      <c r="J2193" s="32">
        <f>IF(H2193="",0,IF(COUNTIF($H$2:H2193,H2193)=1,1,0))</f>
        <v>0</v>
      </c>
    </row>
    <row r="2194" spans="1:10" ht="14.25" hidden="1" customHeight="1" x14ac:dyDescent="0.35">
      <c r="A2194" s="30"/>
      <c r="E2194" s="31"/>
      <c r="G2194" s="32" t="str">
        <f t="shared" si="68"/>
        <v>|||1900|</v>
      </c>
      <c r="H2194" s="32" t="str">
        <f t="shared" si="69"/>
        <v>||1900|</v>
      </c>
      <c r="I2194" s="32">
        <f>IF(G2194="",0,IF(COUNTIF($G$2:G2194,G2194)=1,1,0))</f>
        <v>0</v>
      </c>
      <c r="J2194" s="32">
        <f>IF(H2194="",0,IF(COUNTIF($H$2:H2194,H2194)=1,1,0))</f>
        <v>0</v>
      </c>
    </row>
    <row r="2195" spans="1:10" ht="14.25" hidden="1" customHeight="1" x14ac:dyDescent="0.35">
      <c r="A2195" s="30"/>
      <c r="E2195" s="31"/>
      <c r="G2195" s="32" t="str">
        <f t="shared" si="68"/>
        <v>|||1900|</v>
      </c>
      <c r="H2195" s="32" t="str">
        <f t="shared" si="69"/>
        <v>||1900|</v>
      </c>
      <c r="I2195" s="32">
        <f>IF(G2195="",0,IF(COUNTIF($G$2:G2195,G2195)=1,1,0))</f>
        <v>0</v>
      </c>
      <c r="J2195" s="32">
        <f>IF(H2195="",0,IF(COUNTIF($H$2:H2195,H2195)=1,1,0))</f>
        <v>0</v>
      </c>
    </row>
    <row r="2196" spans="1:10" ht="14.25" hidden="1" customHeight="1" x14ac:dyDescent="0.35">
      <c r="A2196" s="30"/>
      <c r="E2196" s="31"/>
      <c r="G2196" s="32" t="str">
        <f t="shared" si="68"/>
        <v>|||1900|</v>
      </c>
      <c r="H2196" s="32" t="str">
        <f t="shared" si="69"/>
        <v>||1900|</v>
      </c>
      <c r="I2196" s="32">
        <f>IF(G2196="",0,IF(COUNTIF($G$2:G2196,G2196)=1,1,0))</f>
        <v>0</v>
      </c>
      <c r="J2196" s="32">
        <f>IF(H2196="",0,IF(COUNTIF($H$2:H2196,H2196)=1,1,0))</f>
        <v>0</v>
      </c>
    </row>
    <row r="2197" spans="1:10" ht="14.25" hidden="1" customHeight="1" x14ac:dyDescent="0.35">
      <c r="A2197" s="30"/>
      <c r="E2197" s="31"/>
      <c r="G2197" s="32" t="str">
        <f t="shared" si="68"/>
        <v>|||1900|</v>
      </c>
      <c r="H2197" s="32" t="str">
        <f t="shared" si="69"/>
        <v>||1900|</v>
      </c>
      <c r="I2197" s="32">
        <f>IF(G2197="",0,IF(COUNTIF($G$2:G2197,G2197)=1,1,0))</f>
        <v>0</v>
      </c>
      <c r="J2197" s="32">
        <f>IF(H2197="",0,IF(COUNTIF($H$2:H2197,H2197)=1,1,0))</f>
        <v>0</v>
      </c>
    </row>
    <row r="2198" spans="1:10" ht="14.25" hidden="1" customHeight="1" x14ac:dyDescent="0.35">
      <c r="A2198" s="30"/>
      <c r="E2198" s="31"/>
      <c r="G2198" s="32" t="str">
        <f t="shared" si="68"/>
        <v>|||1900|</v>
      </c>
      <c r="H2198" s="32" t="str">
        <f t="shared" si="69"/>
        <v>||1900|</v>
      </c>
      <c r="I2198" s="32">
        <f>IF(G2198="",0,IF(COUNTIF($G$2:G2198,G2198)=1,1,0))</f>
        <v>0</v>
      </c>
      <c r="J2198" s="32">
        <f>IF(H2198="",0,IF(COUNTIF($H$2:H2198,H2198)=1,1,0))</f>
        <v>0</v>
      </c>
    </row>
    <row r="2199" spans="1:10" ht="14.25" hidden="1" customHeight="1" x14ac:dyDescent="0.35">
      <c r="A2199" s="30"/>
      <c r="E2199" s="31"/>
      <c r="G2199" s="32" t="str">
        <f t="shared" si="68"/>
        <v>|||1900|</v>
      </c>
      <c r="H2199" s="32" t="str">
        <f t="shared" si="69"/>
        <v>||1900|</v>
      </c>
      <c r="I2199" s="32">
        <f>IF(G2199="",0,IF(COUNTIF($G$2:G2199,G2199)=1,1,0))</f>
        <v>0</v>
      </c>
      <c r="J2199" s="32">
        <f>IF(H2199="",0,IF(COUNTIF($H$2:H2199,H2199)=1,1,0))</f>
        <v>0</v>
      </c>
    </row>
    <row r="2200" spans="1:10" ht="14.25" hidden="1" customHeight="1" x14ac:dyDescent="0.35">
      <c r="A2200" s="30"/>
      <c r="E2200" s="31"/>
      <c r="G2200" s="32" t="str">
        <f t="shared" si="68"/>
        <v>|||1900|</v>
      </c>
      <c r="H2200" s="32" t="str">
        <f t="shared" si="69"/>
        <v>||1900|</v>
      </c>
      <c r="I2200" s="32">
        <f>IF(G2200="",0,IF(COUNTIF($G$2:G2200,G2200)=1,1,0))</f>
        <v>0</v>
      </c>
      <c r="J2200" s="32">
        <f>IF(H2200="",0,IF(COUNTIF($H$2:H2200,H2200)=1,1,0))</f>
        <v>0</v>
      </c>
    </row>
    <row r="2201" spans="1:10" ht="14.25" hidden="1" customHeight="1" x14ac:dyDescent="0.35">
      <c r="A2201" s="30"/>
      <c r="E2201" s="31"/>
      <c r="G2201" s="32" t="str">
        <f t="shared" si="68"/>
        <v>|||1900|</v>
      </c>
      <c r="H2201" s="32" t="str">
        <f t="shared" si="69"/>
        <v>||1900|</v>
      </c>
      <c r="I2201" s="32">
        <f>IF(G2201="",0,IF(COUNTIF($G$2:G2201,G2201)=1,1,0))</f>
        <v>0</v>
      </c>
      <c r="J2201" s="32">
        <f>IF(H2201="",0,IF(COUNTIF($H$2:H2201,H2201)=1,1,0))</f>
        <v>0</v>
      </c>
    </row>
    <row r="2202" spans="1:10" ht="14.25" hidden="1" customHeight="1" x14ac:dyDescent="0.35">
      <c r="A2202" s="30"/>
      <c r="E2202" s="31"/>
      <c r="G2202" s="32" t="str">
        <f t="shared" si="68"/>
        <v>|||1900|</v>
      </c>
      <c r="H2202" s="32" t="str">
        <f t="shared" si="69"/>
        <v>||1900|</v>
      </c>
      <c r="I2202" s="32">
        <f>IF(G2202="",0,IF(COUNTIF($G$2:G2202,G2202)=1,1,0))</f>
        <v>0</v>
      </c>
      <c r="J2202" s="32">
        <f>IF(H2202="",0,IF(COUNTIF($H$2:H2202,H2202)=1,1,0))</f>
        <v>0</v>
      </c>
    </row>
    <row r="2203" spans="1:10" ht="14.25" hidden="1" customHeight="1" x14ac:dyDescent="0.35">
      <c r="A2203" s="30"/>
      <c r="E2203" s="31"/>
      <c r="G2203" s="32" t="str">
        <f t="shared" si="68"/>
        <v>|||1900|</v>
      </c>
      <c r="H2203" s="32" t="str">
        <f t="shared" si="69"/>
        <v>||1900|</v>
      </c>
      <c r="I2203" s="32">
        <f>IF(G2203="",0,IF(COUNTIF($G$2:G2203,G2203)=1,1,0))</f>
        <v>0</v>
      </c>
      <c r="J2203" s="32">
        <f>IF(H2203="",0,IF(COUNTIF($H$2:H2203,H2203)=1,1,0))</f>
        <v>0</v>
      </c>
    </row>
    <row r="2204" spans="1:10" ht="14.25" hidden="1" customHeight="1" x14ac:dyDescent="0.35">
      <c r="A2204" s="30"/>
      <c r="E2204" s="31"/>
      <c r="G2204" s="32" t="str">
        <f t="shared" si="68"/>
        <v>|||1900|</v>
      </c>
      <c r="H2204" s="32" t="str">
        <f t="shared" si="69"/>
        <v>||1900|</v>
      </c>
      <c r="I2204" s="32">
        <f>IF(G2204="",0,IF(COUNTIF($G$2:G2204,G2204)=1,1,0))</f>
        <v>0</v>
      </c>
      <c r="J2204" s="32">
        <f>IF(H2204="",0,IF(COUNTIF($H$2:H2204,H2204)=1,1,0))</f>
        <v>0</v>
      </c>
    </row>
    <row r="2205" spans="1:10" ht="14.25" hidden="1" customHeight="1" x14ac:dyDescent="0.35">
      <c r="A2205" s="30"/>
      <c r="E2205" s="31"/>
      <c r="G2205" s="32" t="str">
        <f t="shared" si="68"/>
        <v>|||1900|</v>
      </c>
      <c r="H2205" s="32" t="str">
        <f t="shared" si="69"/>
        <v>||1900|</v>
      </c>
      <c r="I2205" s="32">
        <f>IF(G2205="",0,IF(COUNTIF($G$2:G2205,G2205)=1,1,0))</f>
        <v>0</v>
      </c>
      <c r="J2205" s="32">
        <f>IF(H2205="",0,IF(COUNTIF($H$2:H2205,H2205)=1,1,0))</f>
        <v>0</v>
      </c>
    </row>
    <row r="2206" spans="1:10" ht="14.25" hidden="1" customHeight="1" x14ac:dyDescent="0.35">
      <c r="A2206" s="30"/>
      <c r="E2206" s="31"/>
      <c r="G2206" s="32" t="str">
        <f t="shared" si="68"/>
        <v>|||1900|</v>
      </c>
      <c r="H2206" s="32" t="str">
        <f t="shared" si="69"/>
        <v>||1900|</v>
      </c>
      <c r="I2206" s="32">
        <f>IF(G2206="",0,IF(COUNTIF($G$2:G2206,G2206)=1,1,0))</f>
        <v>0</v>
      </c>
      <c r="J2206" s="32">
        <f>IF(H2206="",0,IF(COUNTIF($H$2:H2206,H2206)=1,1,0))</f>
        <v>0</v>
      </c>
    </row>
    <row r="2207" spans="1:10" ht="14.25" hidden="1" customHeight="1" x14ac:dyDescent="0.35">
      <c r="A2207" s="30"/>
      <c r="E2207" s="31"/>
      <c r="G2207" s="32" t="str">
        <f t="shared" si="68"/>
        <v>|||1900|</v>
      </c>
      <c r="H2207" s="32" t="str">
        <f t="shared" si="69"/>
        <v>||1900|</v>
      </c>
      <c r="I2207" s="32">
        <f>IF(G2207="",0,IF(COUNTIF($G$2:G2207,G2207)=1,1,0))</f>
        <v>0</v>
      </c>
      <c r="J2207" s="32">
        <f>IF(H2207="",0,IF(COUNTIF($H$2:H2207,H2207)=1,1,0))</f>
        <v>0</v>
      </c>
    </row>
    <row r="2208" spans="1:10" ht="14.25" hidden="1" customHeight="1" x14ac:dyDescent="0.35">
      <c r="A2208" s="30"/>
      <c r="E2208" s="31"/>
      <c r="G2208" s="32" t="str">
        <f t="shared" si="68"/>
        <v>|||1900|</v>
      </c>
      <c r="H2208" s="32" t="str">
        <f t="shared" si="69"/>
        <v>||1900|</v>
      </c>
      <c r="I2208" s="32">
        <f>IF(G2208="",0,IF(COUNTIF($G$2:G2208,G2208)=1,1,0))</f>
        <v>0</v>
      </c>
      <c r="J2208" s="32">
        <f>IF(H2208="",0,IF(COUNTIF($H$2:H2208,H2208)=1,1,0))</f>
        <v>0</v>
      </c>
    </row>
    <row r="2209" spans="1:10" ht="14.25" hidden="1" customHeight="1" x14ac:dyDescent="0.35">
      <c r="A2209" s="30"/>
      <c r="E2209" s="31"/>
      <c r="G2209" s="32" t="str">
        <f t="shared" si="68"/>
        <v>|||1900|</v>
      </c>
      <c r="H2209" s="32" t="str">
        <f t="shared" si="69"/>
        <v>||1900|</v>
      </c>
      <c r="I2209" s="32">
        <f>IF(G2209="",0,IF(COUNTIF($G$2:G2209,G2209)=1,1,0))</f>
        <v>0</v>
      </c>
      <c r="J2209" s="32">
        <f>IF(H2209="",0,IF(COUNTIF($H$2:H2209,H2209)=1,1,0))</f>
        <v>0</v>
      </c>
    </row>
    <row r="2210" spans="1:10" ht="14.25" hidden="1" customHeight="1" x14ac:dyDescent="0.35">
      <c r="A2210" s="30"/>
      <c r="E2210" s="31"/>
      <c r="G2210" s="32" t="str">
        <f t="shared" si="68"/>
        <v>|||1900|</v>
      </c>
      <c r="H2210" s="32" t="str">
        <f t="shared" si="69"/>
        <v>||1900|</v>
      </c>
      <c r="I2210" s="32">
        <f>IF(G2210="",0,IF(COUNTIF($G$2:G2210,G2210)=1,1,0))</f>
        <v>0</v>
      </c>
      <c r="J2210" s="32">
        <f>IF(H2210="",0,IF(COUNTIF($H$2:H2210,H2210)=1,1,0))</f>
        <v>0</v>
      </c>
    </row>
    <row r="2211" spans="1:10" ht="14.25" hidden="1" customHeight="1" x14ac:dyDescent="0.35">
      <c r="A2211" s="30"/>
      <c r="E2211" s="31"/>
      <c r="G2211" s="32" t="str">
        <f t="shared" si="68"/>
        <v>|||1900|</v>
      </c>
      <c r="H2211" s="32" t="str">
        <f t="shared" si="69"/>
        <v>||1900|</v>
      </c>
      <c r="I2211" s="32">
        <f>IF(G2211="",0,IF(COUNTIF($G$2:G2211,G2211)=1,1,0))</f>
        <v>0</v>
      </c>
      <c r="J2211" s="32">
        <f>IF(H2211="",0,IF(COUNTIF($H$2:H2211,H2211)=1,1,0))</f>
        <v>0</v>
      </c>
    </row>
    <row r="2212" spans="1:10" ht="14.25" hidden="1" customHeight="1" x14ac:dyDescent="0.35">
      <c r="A2212" s="30"/>
      <c r="E2212" s="31"/>
      <c r="G2212" s="32" t="str">
        <f t="shared" si="68"/>
        <v>|||1900|</v>
      </c>
      <c r="H2212" s="32" t="str">
        <f t="shared" si="69"/>
        <v>||1900|</v>
      </c>
      <c r="I2212" s="32">
        <f>IF(G2212="",0,IF(COUNTIF($G$2:G2212,G2212)=1,1,0))</f>
        <v>0</v>
      </c>
      <c r="J2212" s="32">
        <f>IF(H2212="",0,IF(COUNTIF($H$2:H2212,H2212)=1,1,0))</f>
        <v>0</v>
      </c>
    </row>
    <row r="2213" spans="1:10" ht="14.25" hidden="1" customHeight="1" x14ac:dyDescent="0.35">
      <c r="A2213" s="30"/>
      <c r="E2213" s="31"/>
      <c r="G2213" s="32" t="str">
        <f t="shared" si="68"/>
        <v>|||1900|</v>
      </c>
      <c r="H2213" s="32" t="str">
        <f t="shared" si="69"/>
        <v>||1900|</v>
      </c>
      <c r="I2213" s="32">
        <f>IF(G2213="",0,IF(COUNTIF($G$2:G2213,G2213)=1,1,0))</f>
        <v>0</v>
      </c>
      <c r="J2213" s="32">
        <f>IF(H2213="",0,IF(COUNTIF($H$2:H2213,H2213)=1,1,0))</f>
        <v>0</v>
      </c>
    </row>
    <row r="2214" spans="1:10" ht="14.25" hidden="1" customHeight="1" x14ac:dyDescent="0.35">
      <c r="A2214" s="30"/>
      <c r="E2214" s="31"/>
      <c r="G2214" s="32" t="str">
        <f t="shared" si="68"/>
        <v>|||1900|</v>
      </c>
      <c r="H2214" s="32" t="str">
        <f t="shared" si="69"/>
        <v>||1900|</v>
      </c>
      <c r="I2214" s="32">
        <f>IF(G2214="",0,IF(COUNTIF($G$2:G2214,G2214)=1,1,0))</f>
        <v>0</v>
      </c>
      <c r="J2214" s="32">
        <f>IF(H2214="",0,IF(COUNTIF($H$2:H2214,H2214)=1,1,0))</f>
        <v>0</v>
      </c>
    </row>
    <row r="2215" spans="1:10" ht="14.25" hidden="1" customHeight="1" x14ac:dyDescent="0.35">
      <c r="A2215" s="30"/>
      <c r="E2215" s="31"/>
      <c r="G2215" s="32" t="str">
        <f t="shared" si="68"/>
        <v>|||1900|</v>
      </c>
      <c r="H2215" s="32" t="str">
        <f t="shared" si="69"/>
        <v>||1900|</v>
      </c>
      <c r="I2215" s="32">
        <f>IF(G2215="",0,IF(COUNTIF($G$2:G2215,G2215)=1,1,0))</f>
        <v>0</v>
      </c>
      <c r="J2215" s="32">
        <f>IF(H2215="",0,IF(COUNTIF($H$2:H2215,H2215)=1,1,0))</f>
        <v>0</v>
      </c>
    </row>
    <row r="2216" spans="1:10" ht="14.25" hidden="1" customHeight="1" x14ac:dyDescent="0.35">
      <c r="A2216" s="30"/>
      <c r="E2216" s="31"/>
      <c r="G2216" s="32" t="str">
        <f t="shared" si="68"/>
        <v>|||1900|</v>
      </c>
      <c r="H2216" s="32" t="str">
        <f t="shared" si="69"/>
        <v>||1900|</v>
      </c>
      <c r="I2216" s="32">
        <f>IF(G2216="",0,IF(COUNTIF($G$2:G2216,G2216)=1,1,0))</f>
        <v>0</v>
      </c>
      <c r="J2216" s="32">
        <f>IF(H2216="",0,IF(COUNTIF($H$2:H2216,H2216)=1,1,0))</f>
        <v>0</v>
      </c>
    </row>
    <row r="2217" spans="1:10" ht="14.25" hidden="1" customHeight="1" x14ac:dyDescent="0.35">
      <c r="A2217" s="30"/>
      <c r="E2217" s="31"/>
      <c r="G2217" s="32" t="str">
        <f t="shared" si="68"/>
        <v>|||1900|</v>
      </c>
      <c r="H2217" s="32" t="str">
        <f t="shared" si="69"/>
        <v>||1900|</v>
      </c>
      <c r="I2217" s="32">
        <f>IF(G2217="",0,IF(COUNTIF($G$2:G2217,G2217)=1,1,0))</f>
        <v>0</v>
      </c>
      <c r="J2217" s="32">
        <f>IF(H2217="",0,IF(COUNTIF($H$2:H2217,H2217)=1,1,0))</f>
        <v>0</v>
      </c>
    </row>
    <row r="2218" spans="1:10" ht="14.25" hidden="1" customHeight="1" x14ac:dyDescent="0.35">
      <c r="A2218" s="30"/>
      <c r="E2218" s="31"/>
      <c r="G2218" s="32" t="str">
        <f t="shared" si="68"/>
        <v>|||1900|</v>
      </c>
      <c r="H2218" s="32" t="str">
        <f t="shared" si="69"/>
        <v>||1900|</v>
      </c>
      <c r="I2218" s="32">
        <f>IF(G2218="",0,IF(COUNTIF($G$2:G2218,G2218)=1,1,0))</f>
        <v>0</v>
      </c>
      <c r="J2218" s="32">
        <f>IF(H2218="",0,IF(COUNTIF($H$2:H2218,H2218)=1,1,0))</f>
        <v>0</v>
      </c>
    </row>
    <row r="2219" spans="1:10" ht="14.25" hidden="1" customHeight="1" x14ac:dyDescent="0.35">
      <c r="A2219" s="30"/>
      <c r="E2219" s="31"/>
      <c r="G2219" s="32" t="str">
        <f t="shared" si="68"/>
        <v>|||1900|</v>
      </c>
      <c r="H2219" s="32" t="str">
        <f t="shared" si="69"/>
        <v>||1900|</v>
      </c>
      <c r="I2219" s="32">
        <f>IF(G2219="",0,IF(COUNTIF($G$2:G2219,G2219)=1,1,0))</f>
        <v>0</v>
      </c>
      <c r="J2219" s="32">
        <f>IF(H2219="",0,IF(COUNTIF($H$2:H2219,H2219)=1,1,0))</f>
        <v>0</v>
      </c>
    </row>
    <row r="2220" spans="1:10" ht="14.25" hidden="1" customHeight="1" x14ac:dyDescent="0.35">
      <c r="A2220" s="30"/>
      <c r="E2220" s="31"/>
      <c r="G2220" s="32" t="str">
        <f t="shared" si="68"/>
        <v>|||1900|</v>
      </c>
      <c r="H2220" s="32" t="str">
        <f t="shared" si="69"/>
        <v>||1900|</v>
      </c>
      <c r="I2220" s="32">
        <f>IF(G2220="",0,IF(COUNTIF($G$2:G2220,G2220)=1,1,0))</f>
        <v>0</v>
      </c>
      <c r="J2220" s="32">
        <f>IF(H2220="",0,IF(COUNTIF($H$2:H2220,H2220)=1,1,0))</f>
        <v>0</v>
      </c>
    </row>
    <row r="2221" spans="1:10" ht="14.25" hidden="1" customHeight="1" x14ac:dyDescent="0.35">
      <c r="A2221" s="30"/>
      <c r="E2221" s="31"/>
      <c r="G2221" s="32" t="str">
        <f t="shared" si="68"/>
        <v>|||1900|</v>
      </c>
      <c r="H2221" s="32" t="str">
        <f t="shared" si="69"/>
        <v>||1900|</v>
      </c>
      <c r="I2221" s="32">
        <f>IF(G2221="",0,IF(COUNTIF($G$2:G2221,G2221)=1,1,0))</f>
        <v>0</v>
      </c>
      <c r="J2221" s="32">
        <f>IF(H2221="",0,IF(COUNTIF($H$2:H2221,H2221)=1,1,0))</f>
        <v>0</v>
      </c>
    </row>
    <row r="2222" spans="1:10" ht="14.25" hidden="1" customHeight="1" x14ac:dyDescent="0.35">
      <c r="A2222" s="30"/>
      <c r="E2222" s="31"/>
      <c r="G2222" s="32" t="str">
        <f t="shared" si="68"/>
        <v>|||1900|</v>
      </c>
      <c r="H2222" s="32" t="str">
        <f t="shared" si="69"/>
        <v>||1900|</v>
      </c>
      <c r="I2222" s="32">
        <f>IF(G2222="",0,IF(COUNTIF($G$2:G2222,G2222)=1,1,0))</f>
        <v>0</v>
      </c>
      <c r="J2222" s="32">
        <f>IF(H2222="",0,IF(COUNTIF($H$2:H2222,H2222)=1,1,0))</f>
        <v>0</v>
      </c>
    </row>
    <row r="2223" spans="1:10" ht="14.25" hidden="1" customHeight="1" x14ac:dyDescent="0.35">
      <c r="A2223" s="30"/>
      <c r="E2223" s="31"/>
      <c r="G2223" s="32" t="str">
        <f t="shared" si="68"/>
        <v>|||1900|</v>
      </c>
      <c r="H2223" s="32" t="str">
        <f t="shared" si="69"/>
        <v>||1900|</v>
      </c>
      <c r="I2223" s="32">
        <f>IF(G2223="",0,IF(COUNTIF($G$2:G2223,G2223)=1,1,0))</f>
        <v>0</v>
      </c>
      <c r="J2223" s="32">
        <f>IF(H2223="",0,IF(COUNTIF($H$2:H2223,H2223)=1,1,0))</f>
        <v>0</v>
      </c>
    </row>
    <row r="2224" spans="1:10" ht="14.25" hidden="1" customHeight="1" x14ac:dyDescent="0.35">
      <c r="A2224" s="30"/>
      <c r="E2224" s="31"/>
      <c r="G2224" s="32" t="str">
        <f t="shared" si="68"/>
        <v>|||1900|</v>
      </c>
      <c r="H2224" s="32" t="str">
        <f t="shared" si="69"/>
        <v>||1900|</v>
      </c>
      <c r="I2224" s="32">
        <f>IF(G2224="",0,IF(COUNTIF($G$2:G2224,G2224)=1,1,0))</f>
        <v>0</v>
      </c>
      <c r="J2224" s="32">
        <f>IF(H2224="",0,IF(COUNTIF($H$2:H2224,H2224)=1,1,0))</f>
        <v>0</v>
      </c>
    </row>
    <row r="2225" spans="1:10" ht="14.25" hidden="1" customHeight="1" x14ac:dyDescent="0.35">
      <c r="A2225" s="30"/>
      <c r="E2225" s="31"/>
      <c r="G2225" s="32" t="str">
        <f t="shared" si="68"/>
        <v>|||1900|</v>
      </c>
      <c r="H2225" s="32" t="str">
        <f t="shared" si="69"/>
        <v>||1900|</v>
      </c>
      <c r="I2225" s="32">
        <f>IF(G2225="",0,IF(COUNTIF($G$2:G2225,G2225)=1,1,0))</f>
        <v>0</v>
      </c>
      <c r="J2225" s="32">
        <f>IF(H2225="",0,IF(COUNTIF($H$2:H2225,H2225)=1,1,0))</f>
        <v>0</v>
      </c>
    </row>
    <row r="2226" spans="1:10" ht="14.25" hidden="1" customHeight="1" x14ac:dyDescent="0.35">
      <c r="A2226" s="30"/>
      <c r="E2226" s="31"/>
      <c r="G2226" s="32" t="str">
        <f t="shared" si="68"/>
        <v>|||1900|</v>
      </c>
      <c r="H2226" s="32" t="str">
        <f t="shared" si="69"/>
        <v>||1900|</v>
      </c>
      <c r="I2226" s="32">
        <f>IF(G2226="",0,IF(COUNTIF($G$2:G2226,G2226)=1,1,0))</f>
        <v>0</v>
      </c>
      <c r="J2226" s="32">
        <f>IF(H2226="",0,IF(COUNTIF($H$2:H2226,H2226)=1,1,0))</f>
        <v>0</v>
      </c>
    </row>
    <row r="2227" spans="1:10" ht="14.25" hidden="1" customHeight="1" x14ac:dyDescent="0.35">
      <c r="A2227" s="30"/>
      <c r="E2227" s="31"/>
      <c r="G2227" s="32" t="str">
        <f t="shared" si="68"/>
        <v>|||1900|</v>
      </c>
      <c r="H2227" s="32" t="str">
        <f t="shared" si="69"/>
        <v>||1900|</v>
      </c>
      <c r="I2227" s="32">
        <f>IF(G2227="",0,IF(COUNTIF($G$2:G2227,G2227)=1,1,0))</f>
        <v>0</v>
      </c>
      <c r="J2227" s="32">
        <f>IF(H2227="",0,IF(COUNTIF($H$2:H2227,H2227)=1,1,0))</f>
        <v>0</v>
      </c>
    </row>
    <row r="2228" spans="1:10" ht="14.25" hidden="1" customHeight="1" x14ac:dyDescent="0.35">
      <c r="A2228" s="30"/>
      <c r="E2228" s="31"/>
      <c r="G2228" s="32" t="str">
        <f t="shared" si="68"/>
        <v>|||1900|</v>
      </c>
      <c r="H2228" s="32" t="str">
        <f t="shared" si="69"/>
        <v>||1900|</v>
      </c>
      <c r="I2228" s="32">
        <f>IF(G2228="",0,IF(COUNTIF($G$2:G2228,G2228)=1,1,0))</f>
        <v>0</v>
      </c>
      <c r="J2228" s="32">
        <f>IF(H2228="",0,IF(COUNTIF($H$2:H2228,H2228)=1,1,0))</f>
        <v>0</v>
      </c>
    </row>
    <row r="2229" spans="1:10" ht="14.25" hidden="1" customHeight="1" x14ac:dyDescent="0.35">
      <c r="A2229" s="30"/>
      <c r="E2229" s="31"/>
      <c r="G2229" s="32" t="str">
        <f t="shared" si="68"/>
        <v>|||1900|</v>
      </c>
      <c r="H2229" s="32" t="str">
        <f t="shared" si="69"/>
        <v>||1900|</v>
      </c>
      <c r="I2229" s="32">
        <f>IF(G2229="",0,IF(COUNTIF($G$2:G2229,G2229)=1,1,0))</f>
        <v>0</v>
      </c>
      <c r="J2229" s="32">
        <f>IF(H2229="",0,IF(COUNTIF($H$2:H2229,H2229)=1,1,0))</f>
        <v>0</v>
      </c>
    </row>
    <row r="2230" spans="1:10" ht="14.25" hidden="1" customHeight="1" x14ac:dyDescent="0.35">
      <c r="A2230" s="30"/>
      <c r="E2230" s="31"/>
      <c r="G2230" s="32" t="str">
        <f t="shared" si="68"/>
        <v>|||1900|</v>
      </c>
      <c r="H2230" s="32" t="str">
        <f t="shared" si="69"/>
        <v>||1900|</v>
      </c>
      <c r="I2230" s="32">
        <f>IF(G2230="",0,IF(COUNTIF($G$2:G2230,G2230)=1,1,0))</f>
        <v>0</v>
      </c>
      <c r="J2230" s="32">
        <f>IF(H2230="",0,IF(COUNTIF($H$2:H2230,H2230)=1,1,0))</f>
        <v>0</v>
      </c>
    </row>
    <row r="2231" spans="1:10" ht="14.25" hidden="1" customHeight="1" x14ac:dyDescent="0.35">
      <c r="A2231" s="30"/>
      <c r="E2231" s="31"/>
      <c r="G2231" s="32" t="str">
        <f t="shared" si="68"/>
        <v>|||1900|</v>
      </c>
      <c r="H2231" s="32" t="str">
        <f t="shared" si="69"/>
        <v>||1900|</v>
      </c>
      <c r="I2231" s="32">
        <f>IF(G2231="",0,IF(COUNTIF($G$2:G2231,G2231)=1,1,0))</f>
        <v>0</v>
      </c>
      <c r="J2231" s="32">
        <f>IF(H2231="",0,IF(COUNTIF($H$2:H2231,H2231)=1,1,0))</f>
        <v>0</v>
      </c>
    </row>
    <row r="2232" spans="1:10" ht="14.25" hidden="1" customHeight="1" x14ac:dyDescent="0.35">
      <c r="A2232" s="30"/>
      <c r="E2232" s="31"/>
      <c r="G2232" s="32" t="str">
        <f t="shared" si="68"/>
        <v>|||1900|</v>
      </c>
      <c r="H2232" s="32" t="str">
        <f t="shared" si="69"/>
        <v>||1900|</v>
      </c>
      <c r="I2232" s="32">
        <f>IF(G2232="",0,IF(COUNTIF($G$2:G2232,G2232)=1,1,0))</f>
        <v>0</v>
      </c>
      <c r="J2232" s="32">
        <f>IF(H2232="",0,IF(COUNTIF($H$2:H2232,H2232)=1,1,0))</f>
        <v>0</v>
      </c>
    </row>
    <row r="2233" spans="1:10" ht="14.25" hidden="1" customHeight="1" x14ac:dyDescent="0.35">
      <c r="A2233" s="30"/>
      <c r="E2233" s="31"/>
      <c r="G2233" s="32" t="str">
        <f t="shared" si="68"/>
        <v>|||1900|</v>
      </c>
      <c r="H2233" s="32" t="str">
        <f t="shared" si="69"/>
        <v>||1900|</v>
      </c>
      <c r="I2233" s="32">
        <f>IF(G2233="",0,IF(COUNTIF($G$2:G2233,G2233)=1,1,0))</f>
        <v>0</v>
      </c>
      <c r="J2233" s="32">
        <f>IF(H2233="",0,IF(COUNTIF($H$2:H2233,H2233)=1,1,0))</f>
        <v>0</v>
      </c>
    </row>
    <row r="2234" spans="1:10" ht="14.25" hidden="1" customHeight="1" x14ac:dyDescent="0.35">
      <c r="A2234" s="30"/>
      <c r="E2234" s="31"/>
      <c r="G2234" s="32" t="str">
        <f t="shared" si="68"/>
        <v>|||1900|</v>
      </c>
      <c r="H2234" s="32" t="str">
        <f t="shared" si="69"/>
        <v>||1900|</v>
      </c>
      <c r="I2234" s="32">
        <f>IF(G2234="",0,IF(COUNTIF($G$2:G2234,G2234)=1,1,0))</f>
        <v>0</v>
      </c>
      <c r="J2234" s="32">
        <f>IF(H2234="",0,IF(COUNTIF($H$2:H2234,H2234)=1,1,0))</f>
        <v>0</v>
      </c>
    </row>
    <row r="2235" spans="1:10" ht="14.25" hidden="1" customHeight="1" x14ac:dyDescent="0.35">
      <c r="A2235" s="30"/>
      <c r="E2235" s="31"/>
      <c r="G2235" s="32" t="str">
        <f t="shared" si="68"/>
        <v>|||1900|</v>
      </c>
      <c r="H2235" s="32" t="str">
        <f t="shared" si="69"/>
        <v>||1900|</v>
      </c>
      <c r="I2235" s="32">
        <f>IF(G2235="",0,IF(COUNTIF($G$2:G2235,G2235)=1,1,0))</f>
        <v>0</v>
      </c>
      <c r="J2235" s="32">
        <f>IF(H2235="",0,IF(COUNTIF($H$2:H2235,H2235)=1,1,0))</f>
        <v>0</v>
      </c>
    </row>
    <row r="2236" spans="1:10" ht="14.25" hidden="1" customHeight="1" x14ac:dyDescent="0.35">
      <c r="A2236" s="30"/>
      <c r="E2236" s="31"/>
      <c r="G2236" s="32" t="str">
        <f t="shared" si="68"/>
        <v>|||1900|</v>
      </c>
      <c r="H2236" s="32" t="str">
        <f t="shared" si="69"/>
        <v>||1900|</v>
      </c>
      <c r="I2236" s="32">
        <f>IF(G2236="",0,IF(COUNTIF($G$2:G2236,G2236)=1,1,0))</f>
        <v>0</v>
      </c>
      <c r="J2236" s="32">
        <f>IF(H2236="",0,IF(COUNTIF($H$2:H2236,H2236)=1,1,0))</f>
        <v>0</v>
      </c>
    </row>
    <row r="2237" spans="1:10" ht="14.25" hidden="1" customHeight="1" x14ac:dyDescent="0.35">
      <c r="A2237" s="30"/>
      <c r="E2237" s="31"/>
      <c r="G2237" s="32" t="str">
        <f t="shared" si="68"/>
        <v>|||1900|</v>
      </c>
      <c r="H2237" s="32" t="str">
        <f t="shared" si="69"/>
        <v>||1900|</v>
      </c>
      <c r="I2237" s="32">
        <f>IF(G2237="",0,IF(COUNTIF($G$2:G2237,G2237)=1,1,0))</f>
        <v>0</v>
      </c>
      <c r="J2237" s="32">
        <f>IF(H2237="",0,IF(COUNTIF($H$2:H2237,H2237)=1,1,0))</f>
        <v>0</v>
      </c>
    </row>
    <row r="2238" spans="1:10" ht="14.25" hidden="1" customHeight="1" x14ac:dyDescent="0.35">
      <c r="A2238" s="30"/>
      <c r="E2238" s="31"/>
      <c r="G2238" s="32" t="str">
        <f t="shared" si="68"/>
        <v>|||1900|</v>
      </c>
      <c r="H2238" s="32" t="str">
        <f t="shared" si="69"/>
        <v>||1900|</v>
      </c>
      <c r="I2238" s="32">
        <f>IF(G2238="",0,IF(COUNTIF($G$2:G2238,G2238)=1,1,0))</f>
        <v>0</v>
      </c>
      <c r="J2238" s="32">
        <f>IF(H2238="",0,IF(COUNTIF($H$2:H2238,H2238)=1,1,0))</f>
        <v>0</v>
      </c>
    </row>
    <row r="2239" spans="1:10" ht="14.25" hidden="1" customHeight="1" x14ac:dyDescent="0.35">
      <c r="A2239" s="30"/>
      <c r="E2239" s="31"/>
      <c r="G2239" s="32" t="str">
        <f t="shared" si="68"/>
        <v>|||1900|</v>
      </c>
      <c r="H2239" s="32" t="str">
        <f t="shared" si="69"/>
        <v>||1900|</v>
      </c>
      <c r="I2239" s="32">
        <f>IF(G2239="",0,IF(COUNTIF($G$2:G2239,G2239)=1,1,0))</f>
        <v>0</v>
      </c>
      <c r="J2239" s="32">
        <f>IF(H2239="",0,IF(COUNTIF($H$2:H2239,H2239)=1,1,0))</f>
        <v>0</v>
      </c>
    </row>
    <row r="2240" spans="1:10" ht="14.25" hidden="1" customHeight="1" x14ac:dyDescent="0.35">
      <c r="A2240" s="30"/>
      <c r="E2240" s="31"/>
      <c r="G2240" s="32" t="str">
        <f t="shared" si="68"/>
        <v>|||1900|</v>
      </c>
      <c r="H2240" s="32" t="str">
        <f t="shared" si="69"/>
        <v>||1900|</v>
      </c>
      <c r="I2240" s="32">
        <f>IF(G2240="",0,IF(COUNTIF($G$2:G2240,G2240)=1,1,0))</f>
        <v>0</v>
      </c>
      <c r="J2240" s="32">
        <f>IF(H2240="",0,IF(COUNTIF($H$2:H2240,H2240)=1,1,0))</f>
        <v>0</v>
      </c>
    </row>
    <row r="2241" spans="1:10" ht="14.25" hidden="1" customHeight="1" x14ac:dyDescent="0.35">
      <c r="A2241" s="30"/>
      <c r="E2241" s="31"/>
      <c r="G2241" s="32" t="str">
        <f t="shared" si="68"/>
        <v>|||1900|</v>
      </c>
      <c r="H2241" s="32" t="str">
        <f t="shared" si="69"/>
        <v>||1900|</v>
      </c>
      <c r="I2241" s="32">
        <f>IF(G2241="",0,IF(COUNTIF($G$2:G2241,G2241)=1,1,0))</f>
        <v>0</v>
      </c>
      <c r="J2241" s="32">
        <f>IF(H2241="",0,IF(COUNTIF($H$2:H2241,H2241)=1,1,0))</f>
        <v>0</v>
      </c>
    </row>
    <row r="2242" spans="1:10" ht="14.25" hidden="1" customHeight="1" x14ac:dyDescent="0.35">
      <c r="A2242" s="30"/>
      <c r="E2242" s="31"/>
      <c r="G2242" s="32" t="str">
        <f t="shared" ref="G2242:G2305" si="70">IF(D2242="T",
E2242&amp;"|"&amp;F2242,
A2242&amp;"|"&amp;B2242&amp;"|"&amp;C2242&amp;"|"&amp;YEAR(E2242)&amp;"|"&amp;F2242)</f>
        <v>|||1900|</v>
      </c>
      <c r="H2242" s="32" t="str">
        <f t="shared" ref="H2242:H2305" si="71">A2242&amp;"|"&amp;C2242&amp;"|"&amp;YEAR(E2242)&amp;"|"&amp;F2242</f>
        <v>||1900|</v>
      </c>
      <c r="I2242" s="32">
        <f>IF(G2242="",0,IF(COUNTIF($G$2:G2242,G2242)=1,1,0))</f>
        <v>0</v>
      </c>
      <c r="J2242" s="32">
        <f>IF(H2242="",0,IF(COUNTIF($H$2:H2242,H2242)=1,1,0))</f>
        <v>0</v>
      </c>
    </row>
    <row r="2243" spans="1:10" ht="14.25" hidden="1" customHeight="1" x14ac:dyDescent="0.35">
      <c r="A2243" s="30"/>
      <c r="E2243" s="31"/>
      <c r="G2243" s="32" t="str">
        <f t="shared" si="70"/>
        <v>|||1900|</v>
      </c>
      <c r="H2243" s="32" t="str">
        <f t="shared" si="71"/>
        <v>||1900|</v>
      </c>
      <c r="I2243" s="32">
        <f>IF(G2243="",0,IF(COUNTIF($G$2:G2243,G2243)=1,1,0))</f>
        <v>0</v>
      </c>
      <c r="J2243" s="32">
        <f>IF(H2243="",0,IF(COUNTIF($H$2:H2243,H2243)=1,1,0))</f>
        <v>0</v>
      </c>
    </row>
    <row r="2244" spans="1:10" ht="14.25" hidden="1" customHeight="1" x14ac:dyDescent="0.35">
      <c r="A2244" s="30"/>
      <c r="E2244" s="31"/>
      <c r="G2244" s="32" t="str">
        <f t="shared" si="70"/>
        <v>|||1900|</v>
      </c>
      <c r="H2244" s="32" t="str">
        <f t="shared" si="71"/>
        <v>||1900|</v>
      </c>
      <c r="I2244" s="32">
        <f>IF(G2244="",0,IF(COUNTIF($G$2:G2244,G2244)=1,1,0))</f>
        <v>0</v>
      </c>
      <c r="J2244" s="32">
        <f>IF(H2244="",0,IF(COUNTIF($H$2:H2244,H2244)=1,1,0))</f>
        <v>0</v>
      </c>
    </row>
    <row r="2245" spans="1:10" ht="14.25" hidden="1" customHeight="1" x14ac:dyDescent="0.35">
      <c r="A2245" s="30"/>
      <c r="E2245" s="31"/>
      <c r="G2245" s="32" t="str">
        <f t="shared" si="70"/>
        <v>|||1900|</v>
      </c>
      <c r="H2245" s="32" t="str">
        <f t="shared" si="71"/>
        <v>||1900|</v>
      </c>
      <c r="I2245" s="32">
        <f>IF(G2245="",0,IF(COUNTIF($G$2:G2245,G2245)=1,1,0))</f>
        <v>0</v>
      </c>
      <c r="J2245" s="32">
        <f>IF(H2245="",0,IF(COUNTIF($H$2:H2245,H2245)=1,1,0))</f>
        <v>0</v>
      </c>
    </row>
    <row r="2246" spans="1:10" ht="14.25" hidden="1" customHeight="1" x14ac:dyDescent="0.35">
      <c r="A2246" s="30"/>
      <c r="E2246" s="31"/>
      <c r="G2246" s="32" t="str">
        <f t="shared" si="70"/>
        <v>|||1900|</v>
      </c>
      <c r="H2246" s="32" t="str">
        <f t="shared" si="71"/>
        <v>||1900|</v>
      </c>
      <c r="I2246" s="32">
        <f>IF(G2246="",0,IF(COUNTIF($G$2:G2246,G2246)=1,1,0))</f>
        <v>0</v>
      </c>
      <c r="J2246" s="32">
        <f>IF(H2246="",0,IF(COUNTIF($H$2:H2246,H2246)=1,1,0))</f>
        <v>0</v>
      </c>
    </row>
    <row r="2247" spans="1:10" ht="14.25" hidden="1" customHeight="1" x14ac:dyDescent="0.35">
      <c r="A2247" s="30"/>
      <c r="E2247" s="31"/>
      <c r="G2247" s="32" t="str">
        <f t="shared" si="70"/>
        <v>|||1900|</v>
      </c>
      <c r="H2247" s="32" t="str">
        <f t="shared" si="71"/>
        <v>||1900|</v>
      </c>
      <c r="I2247" s="32">
        <f>IF(G2247="",0,IF(COUNTIF($G$2:G2247,G2247)=1,1,0))</f>
        <v>0</v>
      </c>
      <c r="J2247" s="32">
        <f>IF(H2247="",0,IF(COUNTIF($H$2:H2247,H2247)=1,1,0))</f>
        <v>0</v>
      </c>
    </row>
    <row r="2248" spans="1:10" ht="14.25" hidden="1" customHeight="1" x14ac:dyDescent="0.35">
      <c r="A2248" s="30"/>
      <c r="E2248" s="31"/>
      <c r="G2248" s="32" t="str">
        <f t="shared" si="70"/>
        <v>|||1900|</v>
      </c>
      <c r="H2248" s="32" t="str">
        <f t="shared" si="71"/>
        <v>||1900|</v>
      </c>
      <c r="I2248" s="32">
        <f>IF(G2248="",0,IF(COUNTIF($G$2:G2248,G2248)=1,1,0))</f>
        <v>0</v>
      </c>
      <c r="J2248" s="32">
        <f>IF(H2248="",0,IF(COUNTIF($H$2:H2248,H2248)=1,1,0))</f>
        <v>0</v>
      </c>
    </row>
    <row r="2249" spans="1:10" ht="14.25" hidden="1" customHeight="1" x14ac:dyDescent="0.35">
      <c r="A2249" s="30"/>
      <c r="E2249" s="31"/>
      <c r="G2249" s="32" t="str">
        <f t="shared" si="70"/>
        <v>|||1900|</v>
      </c>
      <c r="H2249" s="32" t="str">
        <f t="shared" si="71"/>
        <v>||1900|</v>
      </c>
      <c r="I2249" s="32">
        <f>IF(G2249="",0,IF(COUNTIF($G$2:G2249,G2249)=1,1,0))</f>
        <v>0</v>
      </c>
      <c r="J2249" s="32">
        <f>IF(H2249="",0,IF(COUNTIF($H$2:H2249,H2249)=1,1,0))</f>
        <v>0</v>
      </c>
    </row>
    <row r="2250" spans="1:10" ht="14.25" hidden="1" customHeight="1" x14ac:dyDescent="0.35">
      <c r="A2250" s="30"/>
      <c r="E2250" s="31"/>
      <c r="G2250" s="32" t="str">
        <f t="shared" si="70"/>
        <v>|||1900|</v>
      </c>
      <c r="H2250" s="32" t="str">
        <f t="shared" si="71"/>
        <v>||1900|</v>
      </c>
      <c r="I2250" s="32">
        <f>IF(G2250="",0,IF(COUNTIF($G$2:G2250,G2250)=1,1,0))</f>
        <v>0</v>
      </c>
      <c r="J2250" s="32">
        <f>IF(H2250="",0,IF(COUNTIF($H$2:H2250,H2250)=1,1,0))</f>
        <v>0</v>
      </c>
    </row>
    <row r="2251" spans="1:10" ht="14.25" hidden="1" customHeight="1" x14ac:dyDescent="0.35">
      <c r="A2251" s="30"/>
      <c r="E2251" s="31"/>
      <c r="G2251" s="32" t="str">
        <f t="shared" si="70"/>
        <v>|||1900|</v>
      </c>
      <c r="H2251" s="32" t="str">
        <f t="shared" si="71"/>
        <v>||1900|</v>
      </c>
      <c r="I2251" s="32">
        <f>IF(G2251="",0,IF(COUNTIF($G$2:G2251,G2251)=1,1,0))</f>
        <v>0</v>
      </c>
      <c r="J2251" s="32">
        <f>IF(H2251="",0,IF(COUNTIF($H$2:H2251,H2251)=1,1,0))</f>
        <v>0</v>
      </c>
    </row>
    <row r="2252" spans="1:10" ht="14.25" hidden="1" customHeight="1" x14ac:dyDescent="0.35">
      <c r="A2252" s="30"/>
      <c r="E2252" s="31"/>
      <c r="G2252" s="32" t="str">
        <f t="shared" si="70"/>
        <v>|||1900|</v>
      </c>
      <c r="H2252" s="32" t="str">
        <f t="shared" si="71"/>
        <v>||1900|</v>
      </c>
      <c r="I2252" s="32">
        <f>IF(G2252="",0,IF(COUNTIF($G$2:G2252,G2252)=1,1,0))</f>
        <v>0</v>
      </c>
      <c r="J2252" s="32">
        <f>IF(H2252="",0,IF(COUNTIF($H$2:H2252,H2252)=1,1,0))</f>
        <v>0</v>
      </c>
    </row>
    <row r="2253" spans="1:10" ht="14.25" hidden="1" customHeight="1" x14ac:dyDescent="0.35">
      <c r="A2253" s="30"/>
      <c r="E2253" s="31"/>
      <c r="G2253" s="32" t="str">
        <f t="shared" si="70"/>
        <v>|||1900|</v>
      </c>
      <c r="H2253" s="32" t="str">
        <f t="shared" si="71"/>
        <v>||1900|</v>
      </c>
      <c r="I2253" s="32">
        <f>IF(G2253="",0,IF(COUNTIF($G$2:G2253,G2253)=1,1,0))</f>
        <v>0</v>
      </c>
      <c r="J2253" s="32">
        <f>IF(H2253="",0,IF(COUNTIF($H$2:H2253,H2253)=1,1,0))</f>
        <v>0</v>
      </c>
    </row>
    <row r="2254" spans="1:10" ht="14.25" hidden="1" customHeight="1" x14ac:dyDescent="0.35">
      <c r="A2254" s="30"/>
      <c r="E2254" s="31"/>
      <c r="G2254" s="32" t="str">
        <f t="shared" si="70"/>
        <v>|||1900|</v>
      </c>
      <c r="H2254" s="32" t="str">
        <f t="shared" si="71"/>
        <v>||1900|</v>
      </c>
      <c r="I2254" s="32">
        <f>IF(G2254="",0,IF(COUNTIF($G$2:G2254,G2254)=1,1,0))</f>
        <v>0</v>
      </c>
      <c r="J2254" s="32">
        <f>IF(H2254="",0,IF(COUNTIF($H$2:H2254,H2254)=1,1,0))</f>
        <v>0</v>
      </c>
    </row>
    <row r="2255" spans="1:10" ht="14.25" hidden="1" customHeight="1" x14ac:dyDescent="0.35">
      <c r="A2255" s="30"/>
      <c r="E2255" s="31"/>
      <c r="G2255" s="32" t="str">
        <f t="shared" si="70"/>
        <v>|||1900|</v>
      </c>
      <c r="H2255" s="32" t="str">
        <f t="shared" si="71"/>
        <v>||1900|</v>
      </c>
      <c r="I2255" s="32">
        <f>IF(G2255="",0,IF(COUNTIF($G$2:G2255,G2255)=1,1,0))</f>
        <v>0</v>
      </c>
      <c r="J2255" s="32">
        <f>IF(H2255="",0,IF(COUNTIF($H$2:H2255,H2255)=1,1,0))</f>
        <v>0</v>
      </c>
    </row>
    <row r="2256" spans="1:10" ht="14.25" hidden="1" customHeight="1" x14ac:dyDescent="0.35">
      <c r="A2256" s="30"/>
      <c r="E2256" s="31"/>
      <c r="G2256" s="32" t="str">
        <f t="shared" si="70"/>
        <v>|||1900|</v>
      </c>
      <c r="H2256" s="32" t="str">
        <f t="shared" si="71"/>
        <v>||1900|</v>
      </c>
      <c r="I2256" s="32">
        <f>IF(G2256="",0,IF(COUNTIF($G$2:G2256,G2256)=1,1,0))</f>
        <v>0</v>
      </c>
      <c r="J2256" s="32">
        <f>IF(H2256="",0,IF(COUNTIF($H$2:H2256,H2256)=1,1,0))</f>
        <v>0</v>
      </c>
    </row>
    <row r="2257" spans="1:10" ht="14.25" hidden="1" customHeight="1" x14ac:dyDescent="0.35">
      <c r="A2257" s="30"/>
      <c r="E2257" s="31"/>
      <c r="G2257" s="32" t="str">
        <f t="shared" si="70"/>
        <v>|||1900|</v>
      </c>
      <c r="H2257" s="32" t="str">
        <f t="shared" si="71"/>
        <v>||1900|</v>
      </c>
      <c r="I2257" s="32">
        <f>IF(G2257="",0,IF(COUNTIF($G$2:G2257,G2257)=1,1,0))</f>
        <v>0</v>
      </c>
      <c r="J2257" s="32">
        <f>IF(H2257="",0,IF(COUNTIF($H$2:H2257,H2257)=1,1,0))</f>
        <v>0</v>
      </c>
    </row>
    <row r="2258" spans="1:10" ht="14.25" hidden="1" customHeight="1" x14ac:dyDescent="0.35">
      <c r="A2258" s="30"/>
      <c r="E2258" s="31"/>
      <c r="G2258" s="32" t="str">
        <f t="shared" si="70"/>
        <v>|||1900|</v>
      </c>
      <c r="H2258" s="32" t="str">
        <f t="shared" si="71"/>
        <v>||1900|</v>
      </c>
      <c r="I2258" s="32">
        <f>IF(G2258="",0,IF(COUNTIF($G$2:G2258,G2258)=1,1,0))</f>
        <v>0</v>
      </c>
      <c r="J2258" s="32">
        <f>IF(H2258="",0,IF(COUNTIF($H$2:H2258,H2258)=1,1,0))</f>
        <v>0</v>
      </c>
    </row>
    <row r="2259" spans="1:10" ht="14.25" hidden="1" customHeight="1" x14ac:dyDescent="0.35">
      <c r="A2259" s="30"/>
      <c r="E2259" s="31"/>
      <c r="G2259" s="32" t="str">
        <f t="shared" si="70"/>
        <v>|||1900|</v>
      </c>
      <c r="H2259" s="32" t="str">
        <f t="shared" si="71"/>
        <v>||1900|</v>
      </c>
      <c r="I2259" s="32">
        <f>IF(G2259="",0,IF(COUNTIF($G$2:G2259,G2259)=1,1,0))</f>
        <v>0</v>
      </c>
      <c r="J2259" s="32">
        <f>IF(H2259="",0,IF(COUNTIF($H$2:H2259,H2259)=1,1,0))</f>
        <v>0</v>
      </c>
    </row>
    <row r="2260" spans="1:10" ht="14.25" hidden="1" customHeight="1" x14ac:dyDescent="0.35">
      <c r="A2260" s="30"/>
      <c r="E2260" s="31"/>
      <c r="G2260" s="32" t="str">
        <f t="shared" si="70"/>
        <v>|||1900|</v>
      </c>
      <c r="H2260" s="32" t="str">
        <f t="shared" si="71"/>
        <v>||1900|</v>
      </c>
      <c r="I2260" s="32">
        <f>IF(G2260="",0,IF(COUNTIF($G$2:G2260,G2260)=1,1,0))</f>
        <v>0</v>
      </c>
      <c r="J2260" s="32">
        <f>IF(H2260="",0,IF(COUNTIF($H$2:H2260,H2260)=1,1,0))</f>
        <v>0</v>
      </c>
    </row>
    <row r="2261" spans="1:10" ht="14.25" hidden="1" customHeight="1" x14ac:dyDescent="0.35">
      <c r="A2261" s="30"/>
      <c r="E2261" s="31"/>
      <c r="G2261" s="32" t="str">
        <f t="shared" si="70"/>
        <v>|||1900|</v>
      </c>
      <c r="H2261" s="32" t="str">
        <f t="shared" si="71"/>
        <v>||1900|</v>
      </c>
      <c r="I2261" s="32">
        <f>IF(G2261="",0,IF(COUNTIF($G$2:G2261,G2261)=1,1,0))</f>
        <v>0</v>
      </c>
      <c r="J2261" s="32">
        <f>IF(H2261="",0,IF(COUNTIF($H$2:H2261,H2261)=1,1,0))</f>
        <v>0</v>
      </c>
    </row>
    <row r="2262" spans="1:10" ht="14.25" hidden="1" customHeight="1" x14ac:dyDescent="0.35">
      <c r="A2262" s="30"/>
      <c r="E2262" s="31"/>
      <c r="G2262" s="32" t="str">
        <f t="shared" si="70"/>
        <v>|||1900|</v>
      </c>
      <c r="H2262" s="32" t="str">
        <f t="shared" si="71"/>
        <v>||1900|</v>
      </c>
      <c r="I2262" s="32">
        <f>IF(G2262="",0,IF(COUNTIF($G$2:G2262,G2262)=1,1,0))</f>
        <v>0</v>
      </c>
      <c r="J2262" s="32">
        <f>IF(H2262="",0,IF(COUNTIF($H$2:H2262,H2262)=1,1,0))</f>
        <v>0</v>
      </c>
    </row>
    <row r="2263" spans="1:10" ht="14.25" hidden="1" customHeight="1" x14ac:dyDescent="0.35">
      <c r="A2263" s="30"/>
      <c r="E2263" s="31"/>
      <c r="G2263" s="32" t="str">
        <f t="shared" si="70"/>
        <v>|||1900|</v>
      </c>
      <c r="H2263" s="32" t="str">
        <f t="shared" si="71"/>
        <v>||1900|</v>
      </c>
      <c r="I2263" s="32">
        <f>IF(G2263="",0,IF(COUNTIF($G$2:G2263,G2263)=1,1,0))</f>
        <v>0</v>
      </c>
      <c r="J2263" s="32">
        <f>IF(H2263="",0,IF(COUNTIF($H$2:H2263,H2263)=1,1,0))</f>
        <v>0</v>
      </c>
    </row>
    <row r="2264" spans="1:10" ht="14.25" hidden="1" customHeight="1" x14ac:dyDescent="0.35">
      <c r="A2264" s="30"/>
      <c r="E2264" s="31"/>
      <c r="G2264" s="32" t="str">
        <f t="shared" si="70"/>
        <v>|||1900|</v>
      </c>
      <c r="H2264" s="32" t="str">
        <f t="shared" si="71"/>
        <v>||1900|</v>
      </c>
      <c r="I2264" s="32">
        <f>IF(G2264="",0,IF(COUNTIF($G$2:G2264,G2264)=1,1,0))</f>
        <v>0</v>
      </c>
      <c r="J2264" s="32">
        <f>IF(H2264="",0,IF(COUNTIF($H$2:H2264,H2264)=1,1,0))</f>
        <v>0</v>
      </c>
    </row>
    <row r="2265" spans="1:10" ht="14.25" hidden="1" customHeight="1" x14ac:dyDescent="0.35">
      <c r="A2265" s="30"/>
      <c r="E2265" s="31"/>
      <c r="G2265" s="32" t="str">
        <f t="shared" si="70"/>
        <v>|||1900|</v>
      </c>
      <c r="H2265" s="32" t="str">
        <f t="shared" si="71"/>
        <v>||1900|</v>
      </c>
      <c r="I2265" s="32">
        <f>IF(G2265="",0,IF(COUNTIF($G$2:G2265,G2265)=1,1,0))</f>
        <v>0</v>
      </c>
      <c r="J2265" s="32">
        <f>IF(H2265="",0,IF(COUNTIF($H$2:H2265,H2265)=1,1,0))</f>
        <v>0</v>
      </c>
    </row>
    <row r="2266" spans="1:10" ht="14.25" hidden="1" customHeight="1" x14ac:dyDescent="0.35">
      <c r="A2266" s="30"/>
      <c r="E2266" s="31"/>
      <c r="G2266" s="32" t="str">
        <f t="shared" si="70"/>
        <v>|||1900|</v>
      </c>
      <c r="H2266" s="32" t="str">
        <f t="shared" si="71"/>
        <v>||1900|</v>
      </c>
      <c r="I2266" s="32">
        <f>IF(G2266="",0,IF(COUNTIF($G$2:G2266,G2266)=1,1,0))</f>
        <v>0</v>
      </c>
      <c r="J2266" s="32">
        <f>IF(H2266="",0,IF(COUNTIF($H$2:H2266,H2266)=1,1,0))</f>
        <v>0</v>
      </c>
    </row>
    <row r="2267" spans="1:10" ht="14.25" hidden="1" customHeight="1" x14ac:dyDescent="0.35">
      <c r="A2267" s="30"/>
      <c r="E2267" s="31"/>
      <c r="G2267" s="32" t="str">
        <f t="shared" si="70"/>
        <v>|||1900|</v>
      </c>
      <c r="H2267" s="32" t="str">
        <f t="shared" si="71"/>
        <v>||1900|</v>
      </c>
      <c r="I2267" s="32">
        <f>IF(G2267="",0,IF(COUNTIF($G$2:G2267,G2267)=1,1,0))</f>
        <v>0</v>
      </c>
      <c r="J2267" s="32">
        <f>IF(H2267="",0,IF(COUNTIF($H$2:H2267,H2267)=1,1,0))</f>
        <v>0</v>
      </c>
    </row>
    <row r="2268" spans="1:10" ht="14.25" hidden="1" customHeight="1" x14ac:dyDescent="0.35">
      <c r="A2268" s="30"/>
      <c r="E2268" s="31"/>
      <c r="G2268" s="32" t="str">
        <f t="shared" si="70"/>
        <v>|||1900|</v>
      </c>
      <c r="H2268" s="32" t="str">
        <f t="shared" si="71"/>
        <v>||1900|</v>
      </c>
      <c r="I2268" s="32">
        <f>IF(G2268="",0,IF(COUNTIF($G$2:G2268,G2268)=1,1,0))</f>
        <v>0</v>
      </c>
      <c r="J2268" s="32">
        <f>IF(H2268="",0,IF(COUNTIF($H$2:H2268,H2268)=1,1,0))</f>
        <v>0</v>
      </c>
    </row>
    <row r="2269" spans="1:10" ht="14.25" hidden="1" customHeight="1" x14ac:dyDescent="0.35">
      <c r="A2269" s="30"/>
      <c r="E2269" s="31"/>
      <c r="G2269" s="32" t="str">
        <f t="shared" si="70"/>
        <v>|||1900|</v>
      </c>
      <c r="H2269" s="32" t="str">
        <f t="shared" si="71"/>
        <v>||1900|</v>
      </c>
      <c r="I2269" s="32">
        <f>IF(G2269="",0,IF(COUNTIF($G$2:G2269,G2269)=1,1,0))</f>
        <v>0</v>
      </c>
      <c r="J2269" s="32">
        <f>IF(H2269="",0,IF(COUNTIF($H$2:H2269,H2269)=1,1,0))</f>
        <v>0</v>
      </c>
    </row>
    <row r="2270" spans="1:10" ht="14.25" hidden="1" customHeight="1" x14ac:dyDescent="0.35">
      <c r="A2270" s="30"/>
      <c r="E2270" s="31"/>
      <c r="G2270" s="32" t="str">
        <f t="shared" si="70"/>
        <v>|||1900|</v>
      </c>
      <c r="H2270" s="32" t="str">
        <f t="shared" si="71"/>
        <v>||1900|</v>
      </c>
      <c r="I2270" s="32">
        <f>IF(G2270="",0,IF(COUNTIF($G$2:G2270,G2270)=1,1,0))</f>
        <v>0</v>
      </c>
      <c r="J2270" s="32">
        <f>IF(H2270="",0,IF(COUNTIF($H$2:H2270,H2270)=1,1,0))</f>
        <v>0</v>
      </c>
    </row>
    <row r="2271" spans="1:10" ht="14.25" hidden="1" customHeight="1" x14ac:dyDescent="0.35">
      <c r="A2271" s="30"/>
      <c r="E2271" s="31"/>
      <c r="G2271" s="32" t="str">
        <f t="shared" si="70"/>
        <v>|||1900|</v>
      </c>
      <c r="H2271" s="32" t="str">
        <f t="shared" si="71"/>
        <v>||1900|</v>
      </c>
      <c r="I2271" s="32">
        <f>IF(G2271="",0,IF(COUNTIF($G$2:G2271,G2271)=1,1,0))</f>
        <v>0</v>
      </c>
      <c r="J2271" s="32">
        <f>IF(H2271="",0,IF(COUNTIF($H$2:H2271,H2271)=1,1,0))</f>
        <v>0</v>
      </c>
    </row>
    <row r="2272" spans="1:10" ht="14.25" hidden="1" customHeight="1" x14ac:dyDescent="0.35">
      <c r="A2272" s="30"/>
      <c r="E2272" s="31"/>
      <c r="G2272" s="32" t="str">
        <f t="shared" si="70"/>
        <v>|||1900|</v>
      </c>
      <c r="H2272" s="32" t="str">
        <f t="shared" si="71"/>
        <v>||1900|</v>
      </c>
      <c r="I2272" s="32">
        <f>IF(G2272="",0,IF(COUNTIF($G$2:G2272,G2272)=1,1,0))</f>
        <v>0</v>
      </c>
      <c r="J2272" s="32">
        <f>IF(H2272="",0,IF(COUNTIF($H$2:H2272,H2272)=1,1,0))</f>
        <v>0</v>
      </c>
    </row>
    <row r="2273" spans="1:10" ht="14.25" hidden="1" customHeight="1" x14ac:dyDescent="0.35">
      <c r="A2273" s="30"/>
      <c r="E2273" s="31"/>
      <c r="G2273" s="32" t="str">
        <f t="shared" si="70"/>
        <v>|||1900|</v>
      </c>
      <c r="H2273" s="32" t="str">
        <f t="shared" si="71"/>
        <v>||1900|</v>
      </c>
      <c r="I2273" s="32">
        <f>IF(G2273="",0,IF(COUNTIF($G$2:G2273,G2273)=1,1,0))</f>
        <v>0</v>
      </c>
      <c r="J2273" s="32">
        <f>IF(H2273="",0,IF(COUNTIF($H$2:H2273,H2273)=1,1,0))</f>
        <v>0</v>
      </c>
    </row>
    <row r="2274" spans="1:10" ht="14.25" hidden="1" customHeight="1" x14ac:dyDescent="0.35">
      <c r="A2274" s="30"/>
      <c r="E2274" s="31"/>
      <c r="G2274" s="32" t="str">
        <f t="shared" si="70"/>
        <v>|||1900|</v>
      </c>
      <c r="H2274" s="32" t="str">
        <f t="shared" si="71"/>
        <v>||1900|</v>
      </c>
      <c r="I2274" s="32">
        <f>IF(G2274="",0,IF(COUNTIF($G$2:G2274,G2274)=1,1,0))</f>
        <v>0</v>
      </c>
      <c r="J2274" s="32">
        <f>IF(H2274="",0,IF(COUNTIF($H$2:H2274,H2274)=1,1,0))</f>
        <v>0</v>
      </c>
    </row>
    <row r="2275" spans="1:10" ht="14.25" hidden="1" customHeight="1" x14ac:dyDescent="0.35">
      <c r="A2275" s="30"/>
      <c r="E2275" s="31"/>
      <c r="G2275" s="32" t="str">
        <f t="shared" si="70"/>
        <v>|||1900|</v>
      </c>
      <c r="H2275" s="32" t="str">
        <f t="shared" si="71"/>
        <v>||1900|</v>
      </c>
      <c r="I2275" s="32">
        <f>IF(G2275="",0,IF(COUNTIF($G$2:G2275,G2275)=1,1,0))</f>
        <v>0</v>
      </c>
      <c r="J2275" s="32">
        <f>IF(H2275="",0,IF(COUNTIF($H$2:H2275,H2275)=1,1,0))</f>
        <v>0</v>
      </c>
    </row>
    <row r="2276" spans="1:10" ht="14.25" hidden="1" customHeight="1" x14ac:dyDescent="0.35">
      <c r="A2276" s="30"/>
      <c r="E2276" s="31"/>
      <c r="G2276" s="32" t="str">
        <f t="shared" si="70"/>
        <v>|||1900|</v>
      </c>
      <c r="H2276" s="32" t="str">
        <f t="shared" si="71"/>
        <v>||1900|</v>
      </c>
      <c r="I2276" s="32">
        <f>IF(G2276="",0,IF(COUNTIF($G$2:G2276,G2276)=1,1,0))</f>
        <v>0</v>
      </c>
      <c r="J2276" s="32">
        <f>IF(H2276="",0,IF(COUNTIF($H$2:H2276,H2276)=1,1,0))</f>
        <v>0</v>
      </c>
    </row>
    <row r="2277" spans="1:10" ht="14.25" hidden="1" customHeight="1" x14ac:dyDescent="0.35">
      <c r="A2277" s="30"/>
      <c r="E2277" s="31"/>
      <c r="G2277" s="32" t="str">
        <f t="shared" si="70"/>
        <v>|||1900|</v>
      </c>
      <c r="H2277" s="32" t="str">
        <f t="shared" si="71"/>
        <v>||1900|</v>
      </c>
      <c r="I2277" s="32">
        <f>IF(G2277="",0,IF(COUNTIF($G$2:G2277,G2277)=1,1,0))</f>
        <v>0</v>
      </c>
      <c r="J2277" s="32">
        <f>IF(H2277="",0,IF(COUNTIF($H$2:H2277,H2277)=1,1,0))</f>
        <v>0</v>
      </c>
    </row>
    <row r="2278" spans="1:10" ht="14.25" hidden="1" customHeight="1" x14ac:dyDescent="0.35">
      <c r="A2278" s="30"/>
      <c r="E2278" s="31"/>
      <c r="G2278" s="32" t="str">
        <f t="shared" si="70"/>
        <v>|||1900|</v>
      </c>
      <c r="H2278" s="32" t="str">
        <f t="shared" si="71"/>
        <v>||1900|</v>
      </c>
      <c r="I2278" s="32">
        <f>IF(G2278="",0,IF(COUNTIF($G$2:G2278,G2278)=1,1,0))</f>
        <v>0</v>
      </c>
      <c r="J2278" s="32">
        <f>IF(H2278="",0,IF(COUNTIF($H$2:H2278,H2278)=1,1,0))</f>
        <v>0</v>
      </c>
    </row>
    <row r="2279" spans="1:10" ht="14.25" hidden="1" customHeight="1" x14ac:dyDescent="0.35">
      <c r="A2279" s="30"/>
      <c r="E2279" s="31"/>
      <c r="G2279" s="32" t="str">
        <f t="shared" si="70"/>
        <v>|||1900|</v>
      </c>
      <c r="H2279" s="32" t="str">
        <f t="shared" si="71"/>
        <v>||1900|</v>
      </c>
      <c r="I2279" s="32">
        <f>IF(G2279="",0,IF(COUNTIF($G$2:G2279,G2279)=1,1,0))</f>
        <v>0</v>
      </c>
      <c r="J2279" s="32">
        <f>IF(H2279="",0,IF(COUNTIF($H$2:H2279,H2279)=1,1,0))</f>
        <v>0</v>
      </c>
    </row>
    <row r="2280" spans="1:10" ht="14.25" hidden="1" customHeight="1" x14ac:dyDescent="0.35">
      <c r="A2280" s="30"/>
      <c r="E2280" s="31"/>
      <c r="G2280" s="32" t="str">
        <f t="shared" si="70"/>
        <v>|||1900|</v>
      </c>
      <c r="H2280" s="32" t="str">
        <f t="shared" si="71"/>
        <v>||1900|</v>
      </c>
      <c r="I2280" s="32">
        <f>IF(G2280="",0,IF(COUNTIF($G$2:G2280,G2280)=1,1,0))</f>
        <v>0</v>
      </c>
      <c r="J2280" s="32">
        <f>IF(H2280="",0,IF(COUNTIF($H$2:H2280,H2280)=1,1,0))</f>
        <v>0</v>
      </c>
    </row>
    <row r="2281" spans="1:10" ht="14.25" hidden="1" customHeight="1" x14ac:dyDescent="0.35">
      <c r="A2281" s="30"/>
      <c r="E2281" s="31"/>
      <c r="G2281" s="32" t="str">
        <f t="shared" si="70"/>
        <v>|||1900|</v>
      </c>
      <c r="H2281" s="32" t="str">
        <f t="shared" si="71"/>
        <v>||1900|</v>
      </c>
      <c r="I2281" s="32">
        <f>IF(G2281="",0,IF(COUNTIF($G$2:G2281,G2281)=1,1,0))</f>
        <v>0</v>
      </c>
      <c r="J2281" s="32">
        <f>IF(H2281="",0,IF(COUNTIF($H$2:H2281,H2281)=1,1,0))</f>
        <v>0</v>
      </c>
    </row>
    <row r="2282" spans="1:10" ht="14.25" hidden="1" customHeight="1" x14ac:dyDescent="0.35">
      <c r="A2282" s="30"/>
      <c r="E2282" s="31"/>
      <c r="G2282" s="32" t="str">
        <f t="shared" si="70"/>
        <v>|||1900|</v>
      </c>
      <c r="H2282" s="32" t="str">
        <f t="shared" si="71"/>
        <v>||1900|</v>
      </c>
      <c r="I2282" s="32">
        <f>IF(G2282="",0,IF(COUNTIF($G$2:G2282,G2282)=1,1,0))</f>
        <v>0</v>
      </c>
      <c r="J2282" s="32">
        <f>IF(H2282="",0,IF(COUNTIF($H$2:H2282,H2282)=1,1,0))</f>
        <v>0</v>
      </c>
    </row>
    <row r="2283" spans="1:10" ht="14.25" hidden="1" customHeight="1" x14ac:dyDescent="0.35">
      <c r="A2283" s="30"/>
      <c r="E2283" s="31"/>
      <c r="G2283" s="32" t="str">
        <f t="shared" si="70"/>
        <v>|||1900|</v>
      </c>
      <c r="H2283" s="32" t="str">
        <f t="shared" si="71"/>
        <v>||1900|</v>
      </c>
      <c r="I2283" s="32">
        <f>IF(G2283="",0,IF(COUNTIF($G$2:G2283,G2283)=1,1,0))</f>
        <v>0</v>
      </c>
      <c r="J2283" s="32">
        <f>IF(H2283="",0,IF(COUNTIF($H$2:H2283,H2283)=1,1,0))</f>
        <v>0</v>
      </c>
    </row>
    <row r="2284" spans="1:10" ht="14.25" hidden="1" customHeight="1" x14ac:dyDescent="0.35">
      <c r="A2284" s="30"/>
      <c r="E2284" s="31"/>
      <c r="G2284" s="32" t="str">
        <f t="shared" si="70"/>
        <v>|||1900|</v>
      </c>
      <c r="H2284" s="32" t="str">
        <f t="shared" si="71"/>
        <v>||1900|</v>
      </c>
      <c r="I2284" s="32">
        <f>IF(G2284="",0,IF(COUNTIF($G$2:G2284,G2284)=1,1,0))</f>
        <v>0</v>
      </c>
      <c r="J2284" s="32">
        <f>IF(H2284="",0,IF(COUNTIF($H$2:H2284,H2284)=1,1,0))</f>
        <v>0</v>
      </c>
    </row>
    <row r="2285" spans="1:10" ht="14.25" hidden="1" customHeight="1" x14ac:dyDescent="0.35">
      <c r="A2285" s="30"/>
      <c r="E2285" s="31"/>
      <c r="G2285" s="32" t="str">
        <f t="shared" si="70"/>
        <v>|||1900|</v>
      </c>
      <c r="H2285" s="32" t="str">
        <f t="shared" si="71"/>
        <v>||1900|</v>
      </c>
      <c r="I2285" s="32">
        <f>IF(G2285="",0,IF(COUNTIF($G$2:G2285,G2285)=1,1,0))</f>
        <v>0</v>
      </c>
      <c r="J2285" s="32">
        <f>IF(H2285="",0,IF(COUNTIF($H$2:H2285,H2285)=1,1,0))</f>
        <v>0</v>
      </c>
    </row>
    <row r="2286" spans="1:10" ht="14.25" hidden="1" customHeight="1" x14ac:dyDescent="0.35">
      <c r="A2286" s="30"/>
      <c r="E2286" s="31"/>
      <c r="G2286" s="32" t="str">
        <f t="shared" si="70"/>
        <v>|||1900|</v>
      </c>
      <c r="H2286" s="32" t="str">
        <f t="shared" si="71"/>
        <v>||1900|</v>
      </c>
      <c r="I2286" s="32">
        <f>IF(G2286="",0,IF(COUNTIF($G$2:G2286,G2286)=1,1,0))</f>
        <v>0</v>
      </c>
      <c r="J2286" s="32">
        <f>IF(H2286="",0,IF(COUNTIF($H$2:H2286,H2286)=1,1,0))</f>
        <v>0</v>
      </c>
    </row>
    <row r="2287" spans="1:10" ht="14.25" hidden="1" customHeight="1" x14ac:dyDescent="0.35">
      <c r="A2287" s="30"/>
      <c r="E2287" s="31"/>
      <c r="G2287" s="32" t="str">
        <f t="shared" si="70"/>
        <v>|||1900|</v>
      </c>
      <c r="H2287" s="32" t="str">
        <f t="shared" si="71"/>
        <v>||1900|</v>
      </c>
      <c r="I2287" s="32">
        <f>IF(G2287="",0,IF(COUNTIF($G$2:G2287,G2287)=1,1,0))</f>
        <v>0</v>
      </c>
      <c r="J2287" s="32">
        <f>IF(H2287="",0,IF(COUNTIF($H$2:H2287,H2287)=1,1,0))</f>
        <v>0</v>
      </c>
    </row>
    <row r="2288" spans="1:10" ht="14.25" hidden="1" customHeight="1" x14ac:dyDescent="0.35">
      <c r="A2288" s="30"/>
      <c r="E2288" s="31"/>
      <c r="G2288" s="32" t="str">
        <f t="shared" si="70"/>
        <v>|||1900|</v>
      </c>
      <c r="H2288" s="32" t="str">
        <f t="shared" si="71"/>
        <v>||1900|</v>
      </c>
      <c r="I2288" s="32">
        <f>IF(G2288="",0,IF(COUNTIF($G$2:G2288,G2288)=1,1,0))</f>
        <v>0</v>
      </c>
      <c r="J2288" s="32">
        <f>IF(H2288="",0,IF(COUNTIF($H$2:H2288,H2288)=1,1,0))</f>
        <v>0</v>
      </c>
    </row>
    <row r="2289" spans="1:10" ht="14.25" hidden="1" customHeight="1" x14ac:dyDescent="0.35">
      <c r="A2289" s="30"/>
      <c r="E2289" s="31"/>
      <c r="G2289" s="32" t="str">
        <f t="shared" si="70"/>
        <v>|||1900|</v>
      </c>
      <c r="H2289" s="32" t="str">
        <f t="shared" si="71"/>
        <v>||1900|</v>
      </c>
      <c r="I2289" s="32">
        <f>IF(G2289="",0,IF(COUNTIF($G$2:G2289,G2289)=1,1,0))</f>
        <v>0</v>
      </c>
      <c r="J2289" s="32">
        <f>IF(H2289="",0,IF(COUNTIF($H$2:H2289,H2289)=1,1,0))</f>
        <v>0</v>
      </c>
    </row>
    <row r="2290" spans="1:10" ht="14.25" hidden="1" customHeight="1" x14ac:dyDescent="0.35">
      <c r="A2290" s="30"/>
      <c r="E2290" s="31"/>
      <c r="G2290" s="32" t="str">
        <f t="shared" si="70"/>
        <v>|||1900|</v>
      </c>
      <c r="H2290" s="32" t="str">
        <f t="shared" si="71"/>
        <v>||1900|</v>
      </c>
      <c r="I2290" s="32">
        <f>IF(G2290="",0,IF(COUNTIF($G$2:G2290,G2290)=1,1,0))</f>
        <v>0</v>
      </c>
      <c r="J2290" s="32">
        <f>IF(H2290="",0,IF(COUNTIF($H$2:H2290,H2290)=1,1,0))</f>
        <v>0</v>
      </c>
    </row>
    <row r="2291" spans="1:10" ht="14.25" hidden="1" customHeight="1" x14ac:dyDescent="0.35">
      <c r="A2291" s="30"/>
      <c r="E2291" s="31"/>
      <c r="G2291" s="32" t="str">
        <f t="shared" si="70"/>
        <v>|||1900|</v>
      </c>
      <c r="H2291" s="32" t="str">
        <f t="shared" si="71"/>
        <v>||1900|</v>
      </c>
      <c r="I2291" s="32">
        <f>IF(G2291="",0,IF(COUNTIF($G$2:G2291,G2291)=1,1,0))</f>
        <v>0</v>
      </c>
      <c r="J2291" s="32">
        <f>IF(H2291="",0,IF(COUNTIF($H$2:H2291,H2291)=1,1,0))</f>
        <v>0</v>
      </c>
    </row>
    <row r="2292" spans="1:10" ht="14.25" hidden="1" customHeight="1" x14ac:dyDescent="0.35">
      <c r="A2292" s="30"/>
      <c r="E2292" s="31"/>
      <c r="G2292" s="32" t="str">
        <f t="shared" si="70"/>
        <v>|||1900|</v>
      </c>
      <c r="H2292" s="32" t="str">
        <f t="shared" si="71"/>
        <v>||1900|</v>
      </c>
      <c r="I2292" s="32">
        <f>IF(G2292="",0,IF(COUNTIF($G$2:G2292,G2292)=1,1,0))</f>
        <v>0</v>
      </c>
      <c r="J2292" s="32">
        <f>IF(H2292="",0,IF(COUNTIF($H$2:H2292,H2292)=1,1,0))</f>
        <v>0</v>
      </c>
    </row>
    <row r="2293" spans="1:10" ht="14.25" hidden="1" customHeight="1" x14ac:dyDescent="0.35">
      <c r="A2293" s="30"/>
      <c r="E2293" s="31"/>
      <c r="G2293" s="32" t="str">
        <f t="shared" si="70"/>
        <v>|||1900|</v>
      </c>
      <c r="H2293" s="32" t="str">
        <f t="shared" si="71"/>
        <v>||1900|</v>
      </c>
      <c r="I2293" s="32">
        <f>IF(G2293="",0,IF(COUNTIF($G$2:G2293,G2293)=1,1,0))</f>
        <v>0</v>
      </c>
      <c r="J2293" s="32">
        <f>IF(H2293="",0,IF(COUNTIF($H$2:H2293,H2293)=1,1,0))</f>
        <v>0</v>
      </c>
    </row>
    <row r="2294" spans="1:10" ht="14.25" hidden="1" customHeight="1" x14ac:dyDescent="0.35">
      <c r="A2294" s="30"/>
      <c r="E2294" s="31"/>
      <c r="G2294" s="32" t="str">
        <f t="shared" si="70"/>
        <v>|||1900|</v>
      </c>
      <c r="H2294" s="32" t="str">
        <f t="shared" si="71"/>
        <v>||1900|</v>
      </c>
      <c r="I2294" s="32">
        <f>IF(G2294="",0,IF(COUNTIF($G$2:G2294,G2294)=1,1,0))</f>
        <v>0</v>
      </c>
      <c r="J2294" s="32">
        <f>IF(H2294="",0,IF(COUNTIF($H$2:H2294,H2294)=1,1,0))</f>
        <v>0</v>
      </c>
    </row>
    <row r="2295" spans="1:10" ht="14.25" hidden="1" customHeight="1" x14ac:dyDescent="0.35">
      <c r="A2295" s="30"/>
      <c r="E2295" s="31"/>
      <c r="G2295" s="32" t="str">
        <f t="shared" si="70"/>
        <v>|||1900|</v>
      </c>
      <c r="H2295" s="32" t="str">
        <f t="shared" si="71"/>
        <v>||1900|</v>
      </c>
      <c r="I2295" s="32">
        <f>IF(G2295="",0,IF(COUNTIF($G$2:G2295,G2295)=1,1,0))</f>
        <v>0</v>
      </c>
      <c r="J2295" s="32">
        <f>IF(H2295="",0,IF(COUNTIF($H$2:H2295,H2295)=1,1,0))</f>
        <v>0</v>
      </c>
    </row>
    <row r="2296" spans="1:10" ht="14.25" hidden="1" customHeight="1" x14ac:dyDescent="0.35">
      <c r="A2296" s="30"/>
      <c r="E2296" s="31"/>
      <c r="G2296" s="32" t="str">
        <f t="shared" si="70"/>
        <v>|||1900|</v>
      </c>
      <c r="H2296" s="32" t="str">
        <f t="shared" si="71"/>
        <v>||1900|</v>
      </c>
      <c r="I2296" s="32">
        <f>IF(G2296="",0,IF(COUNTIF($G$2:G2296,G2296)=1,1,0))</f>
        <v>0</v>
      </c>
      <c r="J2296" s="32">
        <f>IF(H2296="",0,IF(COUNTIF($H$2:H2296,H2296)=1,1,0))</f>
        <v>0</v>
      </c>
    </row>
    <row r="2297" spans="1:10" ht="14.25" hidden="1" customHeight="1" x14ac:dyDescent="0.35">
      <c r="A2297" s="30"/>
      <c r="E2297" s="31"/>
      <c r="G2297" s="32" t="str">
        <f t="shared" si="70"/>
        <v>|||1900|</v>
      </c>
      <c r="H2297" s="32" t="str">
        <f t="shared" si="71"/>
        <v>||1900|</v>
      </c>
      <c r="I2297" s="32">
        <f>IF(G2297="",0,IF(COUNTIF($G$2:G2297,G2297)=1,1,0))</f>
        <v>0</v>
      </c>
      <c r="J2297" s="32">
        <f>IF(H2297="",0,IF(COUNTIF($H$2:H2297,H2297)=1,1,0))</f>
        <v>0</v>
      </c>
    </row>
    <row r="2298" spans="1:10" ht="14.25" hidden="1" customHeight="1" x14ac:dyDescent="0.35">
      <c r="A2298" s="30"/>
      <c r="E2298" s="31"/>
      <c r="G2298" s="32" t="str">
        <f t="shared" si="70"/>
        <v>|||1900|</v>
      </c>
      <c r="H2298" s="32" t="str">
        <f t="shared" si="71"/>
        <v>||1900|</v>
      </c>
      <c r="I2298" s="32">
        <f>IF(G2298="",0,IF(COUNTIF($G$2:G2298,G2298)=1,1,0))</f>
        <v>0</v>
      </c>
      <c r="J2298" s="32">
        <f>IF(H2298="",0,IF(COUNTIF($H$2:H2298,H2298)=1,1,0))</f>
        <v>0</v>
      </c>
    </row>
    <row r="2299" spans="1:10" ht="14.25" hidden="1" customHeight="1" x14ac:dyDescent="0.35">
      <c r="A2299" s="30"/>
      <c r="E2299" s="31"/>
      <c r="G2299" s="32" t="str">
        <f t="shared" si="70"/>
        <v>|||1900|</v>
      </c>
      <c r="H2299" s="32" t="str">
        <f t="shared" si="71"/>
        <v>||1900|</v>
      </c>
      <c r="I2299" s="32">
        <f>IF(G2299="",0,IF(COUNTIF($G$2:G2299,G2299)=1,1,0))</f>
        <v>0</v>
      </c>
      <c r="J2299" s="32">
        <f>IF(H2299="",0,IF(COUNTIF($H$2:H2299,H2299)=1,1,0))</f>
        <v>0</v>
      </c>
    </row>
    <row r="2300" spans="1:10" ht="14.25" hidden="1" customHeight="1" x14ac:dyDescent="0.35">
      <c r="A2300" s="30"/>
      <c r="E2300" s="31"/>
      <c r="G2300" s="32" t="str">
        <f t="shared" si="70"/>
        <v>|||1900|</v>
      </c>
      <c r="H2300" s="32" t="str">
        <f t="shared" si="71"/>
        <v>||1900|</v>
      </c>
      <c r="I2300" s="32">
        <f>IF(G2300="",0,IF(COUNTIF($G$2:G2300,G2300)=1,1,0))</f>
        <v>0</v>
      </c>
      <c r="J2300" s="32">
        <f>IF(H2300="",0,IF(COUNTIF($H$2:H2300,H2300)=1,1,0))</f>
        <v>0</v>
      </c>
    </row>
    <row r="2301" spans="1:10" ht="14.25" hidden="1" customHeight="1" x14ac:dyDescent="0.35">
      <c r="A2301" s="30"/>
      <c r="E2301" s="31"/>
      <c r="G2301" s="32" t="str">
        <f t="shared" si="70"/>
        <v>|||1900|</v>
      </c>
      <c r="H2301" s="32" t="str">
        <f t="shared" si="71"/>
        <v>||1900|</v>
      </c>
      <c r="I2301" s="32">
        <f>IF(G2301="",0,IF(COUNTIF($G$2:G2301,G2301)=1,1,0))</f>
        <v>0</v>
      </c>
      <c r="J2301" s="32">
        <f>IF(H2301="",0,IF(COUNTIF($H$2:H2301,H2301)=1,1,0))</f>
        <v>0</v>
      </c>
    </row>
    <row r="2302" spans="1:10" ht="14.25" hidden="1" customHeight="1" x14ac:dyDescent="0.35">
      <c r="A2302" s="30"/>
      <c r="E2302" s="31"/>
      <c r="G2302" s="32" t="str">
        <f t="shared" si="70"/>
        <v>|||1900|</v>
      </c>
      <c r="H2302" s="32" t="str">
        <f t="shared" si="71"/>
        <v>||1900|</v>
      </c>
      <c r="I2302" s="32">
        <f>IF(G2302="",0,IF(COUNTIF($G$2:G2302,G2302)=1,1,0))</f>
        <v>0</v>
      </c>
      <c r="J2302" s="32">
        <f>IF(H2302="",0,IF(COUNTIF($H$2:H2302,H2302)=1,1,0))</f>
        <v>0</v>
      </c>
    </row>
    <row r="2303" spans="1:10" ht="14.25" hidden="1" customHeight="1" x14ac:dyDescent="0.35">
      <c r="A2303" s="30"/>
      <c r="E2303" s="31"/>
      <c r="G2303" s="32" t="str">
        <f t="shared" si="70"/>
        <v>|||1900|</v>
      </c>
      <c r="H2303" s="32" t="str">
        <f t="shared" si="71"/>
        <v>||1900|</v>
      </c>
      <c r="I2303" s="32">
        <f>IF(G2303="",0,IF(COUNTIF($G$2:G2303,G2303)=1,1,0))</f>
        <v>0</v>
      </c>
      <c r="J2303" s="32">
        <f>IF(H2303="",0,IF(COUNTIF($H$2:H2303,H2303)=1,1,0))</f>
        <v>0</v>
      </c>
    </row>
    <row r="2304" spans="1:10" ht="14.25" hidden="1" customHeight="1" x14ac:dyDescent="0.35">
      <c r="A2304" s="30"/>
      <c r="E2304" s="31"/>
      <c r="G2304" s="32" t="str">
        <f t="shared" si="70"/>
        <v>|||1900|</v>
      </c>
      <c r="H2304" s="32" t="str">
        <f t="shared" si="71"/>
        <v>||1900|</v>
      </c>
      <c r="I2304" s="32">
        <f>IF(G2304="",0,IF(COUNTIF($G$2:G2304,G2304)=1,1,0))</f>
        <v>0</v>
      </c>
      <c r="J2304" s="32">
        <f>IF(H2304="",0,IF(COUNTIF($H$2:H2304,H2304)=1,1,0))</f>
        <v>0</v>
      </c>
    </row>
    <row r="2305" spans="1:10" ht="14.25" hidden="1" customHeight="1" x14ac:dyDescent="0.35">
      <c r="A2305" s="30"/>
      <c r="E2305" s="31"/>
      <c r="G2305" s="32" t="str">
        <f t="shared" si="70"/>
        <v>|||1900|</v>
      </c>
      <c r="H2305" s="32" t="str">
        <f t="shared" si="71"/>
        <v>||1900|</v>
      </c>
      <c r="I2305" s="32">
        <f>IF(G2305="",0,IF(COUNTIF($G$2:G2305,G2305)=1,1,0))</f>
        <v>0</v>
      </c>
      <c r="J2305" s="32">
        <f>IF(H2305="",0,IF(COUNTIF($H$2:H2305,H2305)=1,1,0))</f>
        <v>0</v>
      </c>
    </row>
    <row r="2306" spans="1:10" ht="14.25" hidden="1" customHeight="1" x14ac:dyDescent="0.35">
      <c r="A2306" s="30"/>
      <c r="E2306" s="31"/>
      <c r="G2306" s="32" t="str">
        <f t="shared" ref="G2306:G2369" si="72">IF(D2306="T",
E2306&amp;"|"&amp;F2306,
A2306&amp;"|"&amp;B2306&amp;"|"&amp;C2306&amp;"|"&amp;YEAR(E2306)&amp;"|"&amp;F2306)</f>
        <v>|||1900|</v>
      </c>
      <c r="H2306" s="32" t="str">
        <f t="shared" ref="H2306:H2369" si="73">A2306&amp;"|"&amp;C2306&amp;"|"&amp;YEAR(E2306)&amp;"|"&amp;F2306</f>
        <v>||1900|</v>
      </c>
      <c r="I2306" s="32">
        <f>IF(G2306="",0,IF(COUNTIF($G$2:G2306,G2306)=1,1,0))</f>
        <v>0</v>
      </c>
      <c r="J2306" s="32">
        <f>IF(H2306="",0,IF(COUNTIF($H$2:H2306,H2306)=1,1,0))</f>
        <v>0</v>
      </c>
    </row>
    <row r="2307" spans="1:10" ht="14.25" hidden="1" customHeight="1" x14ac:dyDescent="0.35">
      <c r="A2307" s="30"/>
      <c r="E2307" s="31"/>
      <c r="G2307" s="32" t="str">
        <f t="shared" si="72"/>
        <v>|||1900|</v>
      </c>
      <c r="H2307" s="32" t="str">
        <f t="shared" si="73"/>
        <v>||1900|</v>
      </c>
      <c r="I2307" s="32">
        <f>IF(G2307="",0,IF(COUNTIF($G$2:G2307,G2307)=1,1,0))</f>
        <v>0</v>
      </c>
      <c r="J2307" s="32">
        <f>IF(H2307="",0,IF(COUNTIF($H$2:H2307,H2307)=1,1,0))</f>
        <v>0</v>
      </c>
    </row>
    <row r="2308" spans="1:10" ht="14.25" hidden="1" customHeight="1" x14ac:dyDescent="0.35">
      <c r="A2308" s="30"/>
      <c r="E2308" s="31"/>
      <c r="G2308" s="32" t="str">
        <f t="shared" si="72"/>
        <v>|||1900|</v>
      </c>
      <c r="H2308" s="32" t="str">
        <f t="shared" si="73"/>
        <v>||1900|</v>
      </c>
      <c r="I2308" s="32">
        <f>IF(G2308="",0,IF(COUNTIF($G$2:G2308,G2308)=1,1,0))</f>
        <v>0</v>
      </c>
      <c r="J2308" s="32">
        <f>IF(H2308="",0,IF(COUNTIF($H$2:H2308,H2308)=1,1,0))</f>
        <v>0</v>
      </c>
    </row>
    <row r="2309" spans="1:10" ht="14.25" hidden="1" customHeight="1" x14ac:dyDescent="0.35">
      <c r="A2309" s="30"/>
      <c r="E2309" s="31"/>
      <c r="G2309" s="32" t="str">
        <f t="shared" si="72"/>
        <v>|||1900|</v>
      </c>
      <c r="H2309" s="32" t="str">
        <f t="shared" si="73"/>
        <v>||1900|</v>
      </c>
      <c r="I2309" s="32">
        <f>IF(G2309="",0,IF(COUNTIF($G$2:G2309,G2309)=1,1,0))</f>
        <v>0</v>
      </c>
      <c r="J2309" s="32">
        <f>IF(H2309="",0,IF(COUNTIF($H$2:H2309,H2309)=1,1,0))</f>
        <v>0</v>
      </c>
    </row>
    <row r="2310" spans="1:10" ht="14.25" hidden="1" customHeight="1" x14ac:dyDescent="0.35">
      <c r="A2310" s="30"/>
      <c r="E2310" s="31"/>
      <c r="G2310" s="32" t="str">
        <f t="shared" si="72"/>
        <v>|||1900|</v>
      </c>
      <c r="H2310" s="32" t="str">
        <f t="shared" si="73"/>
        <v>||1900|</v>
      </c>
      <c r="I2310" s="32">
        <f>IF(G2310="",0,IF(COUNTIF($G$2:G2310,G2310)=1,1,0))</f>
        <v>0</v>
      </c>
      <c r="J2310" s="32">
        <f>IF(H2310="",0,IF(COUNTIF($H$2:H2310,H2310)=1,1,0))</f>
        <v>0</v>
      </c>
    </row>
    <row r="2311" spans="1:10" ht="14.25" hidden="1" customHeight="1" x14ac:dyDescent="0.35">
      <c r="A2311" s="30"/>
      <c r="E2311" s="31"/>
      <c r="G2311" s="32" t="str">
        <f t="shared" si="72"/>
        <v>|||1900|</v>
      </c>
      <c r="H2311" s="32" t="str">
        <f t="shared" si="73"/>
        <v>||1900|</v>
      </c>
      <c r="I2311" s="32">
        <f>IF(G2311="",0,IF(COUNTIF($G$2:G2311,G2311)=1,1,0))</f>
        <v>0</v>
      </c>
      <c r="J2311" s="32">
        <f>IF(H2311="",0,IF(COUNTIF($H$2:H2311,H2311)=1,1,0))</f>
        <v>0</v>
      </c>
    </row>
    <row r="2312" spans="1:10" ht="14.25" hidden="1" customHeight="1" x14ac:dyDescent="0.35">
      <c r="A2312" s="30"/>
      <c r="E2312" s="31"/>
      <c r="G2312" s="32" t="str">
        <f t="shared" si="72"/>
        <v>|||1900|</v>
      </c>
      <c r="H2312" s="32" t="str">
        <f t="shared" si="73"/>
        <v>||1900|</v>
      </c>
      <c r="I2312" s="32">
        <f>IF(G2312="",0,IF(COUNTIF($G$2:G2312,G2312)=1,1,0))</f>
        <v>0</v>
      </c>
      <c r="J2312" s="32">
        <f>IF(H2312="",0,IF(COUNTIF($H$2:H2312,H2312)=1,1,0))</f>
        <v>0</v>
      </c>
    </row>
    <row r="2313" spans="1:10" ht="14.25" hidden="1" customHeight="1" x14ac:dyDescent="0.35">
      <c r="A2313" s="30"/>
      <c r="E2313" s="31"/>
      <c r="G2313" s="32" t="str">
        <f t="shared" si="72"/>
        <v>|||1900|</v>
      </c>
      <c r="H2313" s="32" t="str">
        <f t="shared" si="73"/>
        <v>||1900|</v>
      </c>
      <c r="I2313" s="32">
        <f>IF(G2313="",0,IF(COUNTIF($G$2:G2313,G2313)=1,1,0))</f>
        <v>0</v>
      </c>
      <c r="J2313" s="32">
        <f>IF(H2313="",0,IF(COUNTIF($H$2:H2313,H2313)=1,1,0))</f>
        <v>0</v>
      </c>
    </row>
    <row r="2314" spans="1:10" ht="14.25" hidden="1" customHeight="1" x14ac:dyDescent="0.35">
      <c r="A2314" s="30"/>
      <c r="E2314" s="31"/>
      <c r="G2314" s="32" t="str">
        <f t="shared" si="72"/>
        <v>|||1900|</v>
      </c>
      <c r="H2314" s="32" t="str">
        <f t="shared" si="73"/>
        <v>||1900|</v>
      </c>
      <c r="I2314" s="32">
        <f>IF(G2314="",0,IF(COUNTIF($G$2:G2314,G2314)=1,1,0))</f>
        <v>0</v>
      </c>
      <c r="J2314" s="32">
        <f>IF(H2314="",0,IF(COUNTIF($H$2:H2314,H2314)=1,1,0))</f>
        <v>0</v>
      </c>
    </row>
    <row r="2315" spans="1:10" ht="14.25" hidden="1" customHeight="1" x14ac:dyDescent="0.35">
      <c r="A2315" s="30"/>
      <c r="E2315" s="31"/>
      <c r="G2315" s="32" t="str">
        <f t="shared" si="72"/>
        <v>|||1900|</v>
      </c>
      <c r="H2315" s="32" t="str">
        <f t="shared" si="73"/>
        <v>||1900|</v>
      </c>
      <c r="I2315" s="32">
        <f>IF(G2315="",0,IF(COUNTIF($G$2:G2315,G2315)=1,1,0))</f>
        <v>0</v>
      </c>
      <c r="J2315" s="32">
        <f>IF(H2315="",0,IF(COUNTIF($H$2:H2315,H2315)=1,1,0))</f>
        <v>0</v>
      </c>
    </row>
    <row r="2316" spans="1:10" ht="14.25" hidden="1" customHeight="1" x14ac:dyDescent="0.35">
      <c r="A2316" s="30"/>
      <c r="E2316" s="31"/>
      <c r="G2316" s="32" t="str">
        <f t="shared" si="72"/>
        <v>|||1900|</v>
      </c>
      <c r="H2316" s="32" t="str">
        <f t="shared" si="73"/>
        <v>||1900|</v>
      </c>
      <c r="I2316" s="32">
        <f>IF(G2316="",0,IF(COUNTIF($G$2:G2316,G2316)=1,1,0))</f>
        <v>0</v>
      </c>
      <c r="J2316" s="32">
        <f>IF(H2316="",0,IF(COUNTIF($H$2:H2316,H2316)=1,1,0))</f>
        <v>0</v>
      </c>
    </row>
    <row r="2317" spans="1:10" ht="14.25" hidden="1" customHeight="1" x14ac:dyDescent="0.35">
      <c r="A2317" s="30"/>
      <c r="E2317" s="31"/>
      <c r="G2317" s="32" t="str">
        <f t="shared" si="72"/>
        <v>|||1900|</v>
      </c>
      <c r="H2317" s="32" t="str">
        <f t="shared" si="73"/>
        <v>||1900|</v>
      </c>
      <c r="I2317" s="32">
        <f>IF(G2317="",0,IF(COUNTIF($G$2:G2317,G2317)=1,1,0))</f>
        <v>0</v>
      </c>
      <c r="J2317" s="32">
        <f>IF(H2317="",0,IF(COUNTIF($H$2:H2317,H2317)=1,1,0))</f>
        <v>0</v>
      </c>
    </row>
    <row r="2318" spans="1:10" ht="14.25" hidden="1" customHeight="1" x14ac:dyDescent="0.35">
      <c r="A2318" s="30"/>
      <c r="E2318" s="31"/>
      <c r="G2318" s="32" t="str">
        <f t="shared" si="72"/>
        <v>|||1900|</v>
      </c>
      <c r="H2318" s="32" t="str">
        <f t="shared" si="73"/>
        <v>||1900|</v>
      </c>
      <c r="I2318" s="32">
        <f>IF(G2318="",0,IF(COUNTIF($G$2:G2318,G2318)=1,1,0))</f>
        <v>0</v>
      </c>
      <c r="J2318" s="32">
        <f>IF(H2318="",0,IF(COUNTIF($H$2:H2318,H2318)=1,1,0))</f>
        <v>0</v>
      </c>
    </row>
    <row r="2319" spans="1:10" ht="14.25" hidden="1" customHeight="1" x14ac:dyDescent="0.35">
      <c r="A2319" s="30"/>
      <c r="E2319" s="31"/>
      <c r="G2319" s="32" t="str">
        <f t="shared" si="72"/>
        <v>|||1900|</v>
      </c>
      <c r="H2319" s="32" t="str">
        <f t="shared" si="73"/>
        <v>||1900|</v>
      </c>
      <c r="I2319" s="32">
        <f>IF(G2319="",0,IF(COUNTIF($G$2:G2319,G2319)=1,1,0))</f>
        <v>0</v>
      </c>
      <c r="J2319" s="32">
        <f>IF(H2319="",0,IF(COUNTIF($H$2:H2319,H2319)=1,1,0))</f>
        <v>0</v>
      </c>
    </row>
    <row r="2320" spans="1:10" ht="14.25" hidden="1" customHeight="1" x14ac:dyDescent="0.35">
      <c r="A2320" s="30"/>
      <c r="E2320" s="31"/>
      <c r="G2320" s="32" t="str">
        <f t="shared" si="72"/>
        <v>|||1900|</v>
      </c>
      <c r="H2320" s="32" t="str">
        <f t="shared" si="73"/>
        <v>||1900|</v>
      </c>
      <c r="I2320" s="32">
        <f>IF(G2320="",0,IF(COUNTIF($G$2:G2320,G2320)=1,1,0))</f>
        <v>0</v>
      </c>
      <c r="J2320" s="32">
        <f>IF(H2320="",0,IF(COUNTIF($H$2:H2320,H2320)=1,1,0))</f>
        <v>0</v>
      </c>
    </row>
    <row r="2321" spans="1:10" ht="14.25" hidden="1" customHeight="1" x14ac:dyDescent="0.35">
      <c r="A2321" s="30"/>
      <c r="E2321" s="31"/>
      <c r="G2321" s="32" t="str">
        <f t="shared" si="72"/>
        <v>|||1900|</v>
      </c>
      <c r="H2321" s="32" t="str">
        <f t="shared" si="73"/>
        <v>||1900|</v>
      </c>
      <c r="I2321" s="32">
        <f>IF(G2321="",0,IF(COUNTIF($G$2:G2321,G2321)=1,1,0))</f>
        <v>0</v>
      </c>
      <c r="J2321" s="32">
        <f>IF(H2321="",0,IF(COUNTIF($H$2:H2321,H2321)=1,1,0))</f>
        <v>0</v>
      </c>
    </row>
    <row r="2322" spans="1:10" ht="14.25" hidden="1" customHeight="1" x14ac:dyDescent="0.35">
      <c r="A2322" s="30"/>
      <c r="E2322" s="31"/>
      <c r="G2322" s="32" t="str">
        <f t="shared" si="72"/>
        <v>|||1900|</v>
      </c>
      <c r="H2322" s="32" t="str">
        <f t="shared" si="73"/>
        <v>||1900|</v>
      </c>
      <c r="I2322" s="32">
        <f>IF(G2322="",0,IF(COUNTIF($G$2:G2322,G2322)=1,1,0))</f>
        <v>0</v>
      </c>
      <c r="J2322" s="32">
        <f>IF(H2322="",0,IF(COUNTIF($H$2:H2322,H2322)=1,1,0))</f>
        <v>0</v>
      </c>
    </row>
    <row r="2323" spans="1:10" ht="14.25" hidden="1" customHeight="1" x14ac:dyDescent="0.35">
      <c r="A2323" s="30"/>
      <c r="E2323" s="31"/>
      <c r="G2323" s="32" t="str">
        <f t="shared" si="72"/>
        <v>|||1900|</v>
      </c>
      <c r="H2323" s="32" t="str">
        <f t="shared" si="73"/>
        <v>||1900|</v>
      </c>
      <c r="I2323" s="32">
        <f>IF(G2323="",0,IF(COUNTIF($G$2:G2323,G2323)=1,1,0))</f>
        <v>0</v>
      </c>
      <c r="J2323" s="32">
        <f>IF(H2323="",0,IF(COUNTIF($H$2:H2323,H2323)=1,1,0))</f>
        <v>0</v>
      </c>
    </row>
    <row r="2324" spans="1:10" ht="14.25" hidden="1" customHeight="1" x14ac:dyDescent="0.35">
      <c r="A2324" s="30"/>
      <c r="E2324" s="31"/>
      <c r="G2324" s="32" t="str">
        <f t="shared" si="72"/>
        <v>|||1900|</v>
      </c>
      <c r="H2324" s="32" t="str">
        <f t="shared" si="73"/>
        <v>||1900|</v>
      </c>
      <c r="I2324" s="32">
        <f>IF(G2324="",0,IF(COUNTIF($G$2:G2324,G2324)=1,1,0))</f>
        <v>0</v>
      </c>
      <c r="J2324" s="32">
        <f>IF(H2324="",0,IF(COUNTIF($H$2:H2324,H2324)=1,1,0))</f>
        <v>0</v>
      </c>
    </row>
    <row r="2325" spans="1:10" ht="14.25" hidden="1" customHeight="1" x14ac:dyDescent="0.35">
      <c r="A2325" s="30"/>
      <c r="E2325" s="31"/>
      <c r="G2325" s="32" t="str">
        <f t="shared" si="72"/>
        <v>|||1900|</v>
      </c>
      <c r="H2325" s="32" t="str">
        <f t="shared" si="73"/>
        <v>||1900|</v>
      </c>
      <c r="I2325" s="32">
        <f>IF(G2325="",0,IF(COUNTIF($G$2:G2325,G2325)=1,1,0))</f>
        <v>0</v>
      </c>
      <c r="J2325" s="32">
        <f>IF(H2325="",0,IF(COUNTIF($H$2:H2325,H2325)=1,1,0))</f>
        <v>0</v>
      </c>
    </row>
    <row r="2326" spans="1:10" ht="14.25" hidden="1" customHeight="1" x14ac:dyDescent="0.35">
      <c r="A2326" s="30"/>
      <c r="E2326" s="31"/>
      <c r="G2326" s="32" t="str">
        <f t="shared" si="72"/>
        <v>|||1900|</v>
      </c>
      <c r="H2326" s="32" t="str">
        <f t="shared" si="73"/>
        <v>||1900|</v>
      </c>
      <c r="I2326" s="32">
        <f>IF(G2326="",0,IF(COUNTIF($G$2:G2326,G2326)=1,1,0))</f>
        <v>0</v>
      </c>
      <c r="J2326" s="32">
        <f>IF(H2326="",0,IF(COUNTIF($H$2:H2326,H2326)=1,1,0))</f>
        <v>0</v>
      </c>
    </row>
    <row r="2327" spans="1:10" ht="14.25" hidden="1" customHeight="1" x14ac:dyDescent="0.35">
      <c r="A2327" s="30"/>
      <c r="E2327" s="31"/>
      <c r="G2327" s="32" t="str">
        <f t="shared" si="72"/>
        <v>|||1900|</v>
      </c>
      <c r="H2327" s="32" t="str">
        <f t="shared" si="73"/>
        <v>||1900|</v>
      </c>
      <c r="I2327" s="32">
        <f>IF(G2327="",0,IF(COUNTIF($G$2:G2327,G2327)=1,1,0))</f>
        <v>0</v>
      </c>
      <c r="J2327" s="32">
        <f>IF(H2327="",0,IF(COUNTIF($H$2:H2327,H2327)=1,1,0))</f>
        <v>0</v>
      </c>
    </row>
    <row r="2328" spans="1:10" ht="14.25" hidden="1" customHeight="1" x14ac:dyDescent="0.35">
      <c r="A2328" s="30"/>
      <c r="E2328" s="31"/>
      <c r="G2328" s="32" t="str">
        <f t="shared" si="72"/>
        <v>|||1900|</v>
      </c>
      <c r="H2328" s="32" t="str">
        <f t="shared" si="73"/>
        <v>||1900|</v>
      </c>
      <c r="I2328" s="32">
        <f>IF(G2328="",0,IF(COUNTIF($G$2:G2328,G2328)=1,1,0))</f>
        <v>0</v>
      </c>
      <c r="J2328" s="32">
        <f>IF(H2328="",0,IF(COUNTIF($H$2:H2328,H2328)=1,1,0))</f>
        <v>0</v>
      </c>
    </row>
    <row r="2329" spans="1:10" ht="14.25" hidden="1" customHeight="1" x14ac:dyDescent="0.35">
      <c r="A2329" s="30"/>
      <c r="E2329" s="31"/>
      <c r="G2329" s="32" t="str">
        <f t="shared" si="72"/>
        <v>|||1900|</v>
      </c>
      <c r="H2329" s="32" t="str">
        <f t="shared" si="73"/>
        <v>||1900|</v>
      </c>
      <c r="I2329" s="32">
        <f>IF(G2329="",0,IF(COUNTIF($G$2:G2329,G2329)=1,1,0))</f>
        <v>0</v>
      </c>
      <c r="J2329" s="32">
        <f>IF(H2329="",0,IF(COUNTIF($H$2:H2329,H2329)=1,1,0))</f>
        <v>0</v>
      </c>
    </row>
    <row r="2330" spans="1:10" ht="14.25" hidden="1" customHeight="1" x14ac:dyDescent="0.35">
      <c r="A2330" s="30"/>
      <c r="E2330" s="31"/>
      <c r="G2330" s="32" t="str">
        <f t="shared" si="72"/>
        <v>|||1900|</v>
      </c>
      <c r="H2330" s="32" t="str">
        <f t="shared" si="73"/>
        <v>||1900|</v>
      </c>
      <c r="I2330" s="32">
        <f>IF(G2330="",0,IF(COUNTIF($G$2:G2330,G2330)=1,1,0))</f>
        <v>0</v>
      </c>
      <c r="J2330" s="32">
        <f>IF(H2330="",0,IF(COUNTIF($H$2:H2330,H2330)=1,1,0))</f>
        <v>0</v>
      </c>
    </row>
    <row r="2331" spans="1:10" ht="14.25" hidden="1" customHeight="1" x14ac:dyDescent="0.35">
      <c r="A2331" s="30"/>
      <c r="E2331" s="31"/>
      <c r="G2331" s="32" t="str">
        <f t="shared" si="72"/>
        <v>|||1900|</v>
      </c>
      <c r="H2331" s="32" t="str">
        <f t="shared" si="73"/>
        <v>||1900|</v>
      </c>
      <c r="I2331" s="32">
        <f>IF(G2331="",0,IF(COUNTIF($G$2:G2331,G2331)=1,1,0))</f>
        <v>0</v>
      </c>
      <c r="J2331" s="32">
        <f>IF(H2331="",0,IF(COUNTIF($H$2:H2331,H2331)=1,1,0))</f>
        <v>0</v>
      </c>
    </row>
    <row r="2332" spans="1:10" ht="14.25" hidden="1" customHeight="1" x14ac:dyDescent="0.35">
      <c r="A2332" s="30"/>
      <c r="E2332" s="31"/>
      <c r="G2332" s="32" t="str">
        <f t="shared" si="72"/>
        <v>|||1900|</v>
      </c>
      <c r="H2332" s="32" t="str">
        <f t="shared" si="73"/>
        <v>||1900|</v>
      </c>
      <c r="I2332" s="32">
        <f>IF(G2332="",0,IF(COUNTIF($G$2:G2332,G2332)=1,1,0))</f>
        <v>0</v>
      </c>
      <c r="J2332" s="32">
        <f>IF(H2332="",0,IF(COUNTIF($H$2:H2332,H2332)=1,1,0))</f>
        <v>0</v>
      </c>
    </row>
    <row r="2333" spans="1:10" ht="14.25" hidden="1" customHeight="1" x14ac:dyDescent="0.35">
      <c r="A2333" s="30"/>
      <c r="E2333" s="31"/>
      <c r="G2333" s="32" t="str">
        <f t="shared" si="72"/>
        <v>|||1900|</v>
      </c>
      <c r="H2333" s="32" t="str">
        <f t="shared" si="73"/>
        <v>||1900|</v>
      </c>
      <c r="I2333" s="32">
        <f>IF(G2333="",0,IF(COUNTIF($G$2:G2333,G2333)=1,1,0))</f>
        <v>0</v>
      </c>
      <c r="J2333" s="32">
        <f>IF(H2333="",0,IF(COUNTIF($H$2:H2333,H2333)=1,1,0))</f>
        <v>0</v>
      </c>
    </row>
    <row r="2334" spans="1:10" ht="14.25" hidden="1" customHeight="1" x14ac:dyDescent="0.35">
      <c r="A2334" s="30"/>
      <c r="E2334" s="31"/>
      <c r="G2334" s="32" t="str">
        <f t="shared" si="72"/>
        <v>|||1900|</v>
      </c>
      <c r="H2334" s="32" t="str">
        <f t="shared" si="73"/>
        <v>||1900|</v>
      </c>
      <c r="I2334" s="32">
        <f>IF(G2334="",0,IF(COUNTIF($G$2:G2334,G2334)=1,1,0))</f>
        <v>0</v>
      </c>
      <c r="J2334" s="32">
        <f>IF(H2334="",0,IF(COUNTIF($H$2:H2334,H2334)=1,1,0))</f>
        <v>0</v>
      </c>
    </row>
    <row r="2335" spans="1:10" ht="14.25" hidden="1" customHeight="1" x14ac:dyDescent="0.35">
      <c r="A2335" s="30"/>
      <c r="E2335" s="31"/>
      <c r="G2335" s="32" t="str">
        <f t="shared" si="72"/>
        <v>|||1900|</v>
      </c>
      <c r="H2335" s="32" t="str">
        <f t="shared" si="73"/>
        <v>||1900|</v>
      </c>
      <c r="I2335" s="32">
        <f>IF(G2335="",0,IF(COUNTIF($G$2:G2335,G2335)=1,1,0))</f>
        <v>0</v>
      </c>
      <c r="J2335" s="32">
        <f>IF(H2335="",0,IF(COUNTIF($H$2:H2335,H2335)=1,1,0))</f>
        <v>0</v>
      </c>
    </row>
    <row r="2336" spans="1:10" ht="14.25" hidden="1" customHeight="1" x14ac:dyDescent="0.35">
      <c r="A2336" s="30"/>
      <c r="E2336" s="31"/>
      <c r="G2336" s="32" t="str">
        <f t="shared" si="72"/>
        <v>|||1900|</v>
      </c>
      <c r="H2336" s="32" t="str">
        <f t="shared" si="73"/>
        <v>||1900|</v>
      </c>
      <c r="I2336" s="32">
        <f>IF(G2336="",0,IF(COUNTIF($G$2:G2336,G2336)=1,1,0))</f>
        <v>0</v>
      </c>
      <c r="J2336" s="32">
        <f>IF(H2336="",0,IF(COUNTIF($H$2:H2336,H2336)=1,1,0))</f>
        <v>0</v>
      </c>
    </row>
    <row r="2337" spans="1:10" ht="14.25" hidden="1" customHeight="1" x14ac:dyDescent="0.35">
      <c r="A2337" s="30"/>
      <c r="E2337" s="31"/>
      <c r="G2337" s="32" t="str">
        <f t="shared" si="72"/>
        <v>|||1900|</v>
      </c>
      <c r="H2337" s="32" t="str">
        <f t="shared" si="73"/>
        <v>||1900|</v>
      </c>
      <c r="I2337" s="32">
        <f>IF(G2337="",0,IF(COUNTIF($G$2:G2337,G2337)=1,1,0))</f>
        <v>0</v>
      </c>
      <c r="J2337" s="32">
        <f>IF(H2337="",0,IF(COUNTIF($H$2:H2337,H2337)=1,1,0))</f>
        <v>0</v>
      </c>
    </row>
    <row r="2338" spans="1:10" ht="14.25" hidden="1" customHeight="1" x14ac:dyDescent="0.35">
      <c r="A2338" s="30"/>
      <c r="E2338" s="31"/>
      <c r="G2338" s="32" t="str">
        <f t="shared" si="72"/>
        <v>|||1900|</v>
      </c>
      <c r="H2338" s="32" t="str">
        <f t="shared" si="73"/>
        <v>||1900|</v>
      </c>
      <c r="I2338" s="32">
        <f>IF(G2338="",0,IF(COUNTIF($G$2:G2338,G2338)=1,1,0))</f>
        <v>0</v>
      </c>
      <c r="J2338" s="32">
        <f>IF(H2338="",0,IF(COUNTIF($H$2:H2338,H2338)=1,1,0))</f>
        <v>0</v>
      </c>
    </row>
    <row r="2339" spans="1:10" ht="14.25" hidden="1" customHeight="1" x14ac:dyDescent="0.35">
      <c r="A2339" s="30"/>
      <c r="E2339" s="31"/>
      <c r="G2339" s="32" t="str">
        <f t="shared" si="72"/>
        <v>|||1900|</v>
      </c>
      <c r="H2339" s="32" t="str">
        <f t="shared" si="73"/>
        <v>||1900|</v>
      </c>
      <c r="I2339" s="32">
        <f>IF(G2339="",0,IF(COUNTIF($G$2:G2339,G2339)=1,1,0))</f>
        <v>0</v>
      </c>
      <c r="J2339" s="32">
        <f>IF(H2339="",0,IF(COUNTIF($H$2:H2339,H2339)=1,1,0))</f>
        <v>0</v>
      </c>
    </row>
    <row r="2340" spans="1:10" ht="14.25" hidden="1" customHeight="1" x14ac:dyDescent="0.35">
      <c r="A2340" s="30"/>
      <c r="E2340" s="31"/>
      <c r="G2340" s="32" t="str">
        <f t="shared" si="72"/>
        <v>|||1900|</v>
      </c>
      <c r="H2340" s="32" t="str">
        <f t="shared" si="73"/>
        <v>||1900|</v>
      </c>
      <c r="I2340" s="32">
        <f>IF(G2340="",0,IF(COUNTIF($G$2:G2340,G2340)=1,1,0))</f>
        <v>0</v>
      </c>
      <c r="J2340" s="32">
        <f>IF(H2340="",0,IF(COUNTIF($H$2:H2340,H2340)=1,1,0))</f>
        <v>0</v>
      </c>
    </row>
    <row r="2341" spans="1:10" ht="14.25" hidden="1" customHeight="1" x14ac:dyDescent="0.35">
      <c r="A2341" s="30"/>
      <c r="E2341" s="31"/>
      <c r="G2341" s="32" t="str">
        <f t="shared" si="72"/>
        <v>|||1900|</v>
      </c>
      <c r="H2341" s="32" t="str">
        <f t="shared" si="73"/>
        <v>||1900|</v>
      </c>
      <c r="I2341" s="32">
        <f>IF(G2341="",0,IF(COUNTIF($G$2:G2341,G2341)=1,1,0))</f>
        <v>0</v>
      </c>
      <c r="J2341" s="32">
        <f>IF(H2341="",0,IF(COUNTIF($H$2:H2341,H2341)=1,1,0))</f>
        <v>0</v>
      </c>
    </row>
    <row r="2342" spans="1:10" ht="14.25" hidden="1" customHeight="1" x14ac:dyDescent="0.35">
      <c r="A2342" s="30"/>
      <c r="E2342" s="31"/>
      <c r="G2342" s="32" t="str">
        <f t="shared" si="72"/>
        <v>|||1900|</v>
      </c>
      <c r="H2342" s="32" t="str">
        <f t="shared" si="73"/>
        <v>||1900|</v>
      </c>
      <c r="I2342" s="32">
        <f>IF(G2342="",0,IF(COUNTIF($G$2:G2342,G2342)=1,1,0))</f>
        <v>0</v>
      </c>
      <c r="J2342" s="32">
        <f>IF(H2342="",0,IF(COUNTIF($H$2:H2342,H2342)=1,1,0))</f>
        <v>0</v>
      </c>
    </row>
    <row r="2343" spans="1:10" ht="14.25" hidden="1" customHeight="1" x14ac:dyDescent="0.35">
      <c r="A2343" s="30"/>
      <c r="E2343" s="31"/>
      <c r="G2343" s="32" t="str">
        <f t="shared" si="72"/>
        <v>|||1900|</v>
      </c>
      <c r="H2343" s="32" t="str">
        <f t="shared" si="73"/>
        <v>||1900|</v>
      </c>
      <c r="I2343" s="32">
        <f>IF(G2343="",0,IF(COUNTIF($G$2:G2343,G2343)=1,1,0))</f>
        <v>0</v>
      </c>
      <c r="J2343" s="32">
        <f>IF(H2343="",0,IF(COUNTIF($H$2:H2343,H2343)=1,1,0))</f>
        <v>0</v>
      </c>
    </row>
    <row r="2344" spans="1:10" ht="14.25" hidden="1" customHeight="1" x14ac:dyDescent="0.35">
      <c r="A2344" s="30"/>
      <c r="E2344" s="31"/>
      <c r="G2344" s="32" t="str">
        <f t="shared" si="72"/>
        <v>|||1900|</v>
      </c>
      <c r="H2344" s="32" t="str">
        <f t="shared" si="73"/>
        <v>||1900|</v>
      </c>
      <c r="I2344" s="32">
        <f>IF(G2344="",0,IF(COUNTIF($G$2:G2344,G2344)=1,1,0))</f>
        <v>0</v>
      </c>
      <c r="J2344" s="32">
        <f>IF(H2344="",0,IF(COUNTIF($H$2:H2344,H2344)=1,1,0))</f>
        <v>0</v>
      </c>
    </row>
    <row r="2345" spans="1:10" ht="14.25" hidden="1" customHeight="1" x14ac:dyDescent="0.35">
      <c r="A2345" s="30"/>
      <c r="E2345" s="31"/>
      <c r="G2345" s="32" t="str">
        <f t="shared" si="72"/>
        <v>|||1900|</v>
      </c>
      <c r="H2345" s="32" t="str">
        <f t="shared" si="73"/>
        <v>||1900|</v>
      </c>
      <c r="I2345" s="32">
        <f>IF(G2345="",0,IF(COUNTIF($G$2:G2345,G2345)=1,1,0))</f>
        <v>0</v>
      </c>
      <c r="J2345" s="32">
        <f>IF(H2345="",0,IF(COUNTIF($H$2:H2345,H2345)=1,1,0))</f>
        <v>0</v>
      </c>
    </row>
    <row r="2346" spans="1:10" ht="14.25" hidden="1" customHeight="1" x14ac:dyDescent="0.35">
      <c r="A2346" s="30"/>
      <c r="E2346" s="31"/>
      <c r="G2346" s="32" t="str">
        <f t="shared" si="72"/>
        <v>|||1900|</v>
      </c>
      <c r="H2346" s="32" t="str">
        <f t="shared" si="73"/>
        <v>||1900|</v>
      </c>
      <c r="I2346" s="32">
        <f>IF(G2346="",0,IF(COUNTIF($G$2:G2346,G2346)=1,1,0))</f>
        <v>0</v>
      </c>
      <c r="J2346" s="32">
        <f>IF(H2346="",0,IF(COUNTIF($H$2:H2346,H2346)=1,1,0))</f>
        <v>0</v>
      </c>
    </row>
    <row r="2347" spans="1:10" ht="14.25" hidden="1" customHeight="1" x14ac:dyDescent="0.35">
      <c r="A2347" s="30"/>
      <c r="E2347" s="31"/>
      <c r="G2347" s="32" t="str">
        <f t="shared" si="72"/>
        <v>|||1900|</v>
      </c>
      <c r="H2347" s="32" t="str">
        <f t="shared" si="73"/>
        <v>||1900|</v>
      </c>
      <c r="I2347" s="32">
        <f>IF(G2347="",0,IF(COUNTIF($G$2:G2347,G2347)=1,1,0))</f>
        <v>0</v>
      </c>
      <c r="J2347" s="32">
        <f>IF(H2347="",0,IF(COUNTIF($H$2:H2347,H2347)=1,1,0))</f>
        <v>0</v>
      </c>
    </row>
    <row r="2348" spans="1:10" ht="14.25" hidden="1" customHeight="1" x14ac:dyDescent="0.35">
      <c r="A2348" s="30"/>
      <c r="E2348" s="31"/>
      <c r="G2348" s="32" t="str">
        <f t="shared" si="72"/>
        <v>|||1900|</v>
      </c>
      <c r="H2348" s="32" t="str">
        <f t="shared" si="73"/>
        <v>||1900|</v>
      </c>
      <c r="I2348" s="32">
        <f>IF(G2348="",0,IF(COUNTIF($G$2:G2348,G2348)=1,1,0))</f>
        <v>0</v>
      </c>
      <c r="J2348" s="32">
        <f>IF(H2348="",0,IF(COUNTIF($H$2:H2348,H2348)=1,1,0))</f>
        <v>0</v>
      </c>
    </row>
    <row r="2349" spans="1:10" ht="14.25" hidden="1" customHeight="1" x14ac:dyDescent="0.35">
      <c r="A2349" s="30"/>
      <c r="E2349" s="31"/>
      <c r="G2349" s="32" t="str">
        <f t="shared" si="72"/>
        <v>|||1900|</v>
      </c>
      <c r="H2349" s="32" t="str">
        <f t="shared" si="73"/>
        <v>||1900|</v>
      </c>
      <c r="I2349" s="32">
        <f>IF(G2349="",0,IF(COUNTIF($G$2:G2349,G2349)=1,1,0))</f>
        <v>0</v>
      </c>
      <c r="J2349" s="32">
        <f>IF(H2349="",0,IF(COUNTIF($H$2:H2349,H2349)=1,1,0))</f>
        <v>0</v>
      </c>
    </row>
    <row r="2350" spans="1:10" ht="14.25" hidden="1" customHeight="1" x14ac:dyDescent="0.35">
      <c r="A2350" s="30"/>
      <c r="E2350" s="31"/>
      <c r="G2350" s="32" t="str">
        <f t="shared" si="72"/>
        <v>|||1900|</v>
      </c>
      <c r="H2350" s="32" t="str">
        <f t="shared" si="73"/>
        <v>||1900|</v>
      </c>
      <c r="I2350" s="32">
        <f>IF(G2350="",0,IF(COUNTIF($G$2:G2350,G2350)=1,1,0))</f>
        <v>0</v>
      </c>
      <c r="J2350" s="32">
        <f>IF(H2350="",0,IF(COUNTIF($H$2:H2350,H2350)=1,1,0))</f>
        <v>0</v>
      </c>
    </row>
    <row r="2351" spans="1:10" ht="14.25" hidden="1" customHeight="1" x14ac:dyDescent="0.35">
      <c r="A2351" s="30"/>
      <c r="E2351" s="31"/>
      <c r="G2351" s="32" t="str">
        <f t="shared" si="72"/>
        <v>|||1900|</v>
      </c>
      <c r="H2351" s="32" t="str">
        <f t="shared" si="73"/>
        <v>||1900|</v>
      </c>
      <c r="I2351" s="32">
        <f>IF(G2351="",0,IF(COUNTIF($G$2:G2351,G2351)=1,1,0))</f>
        <v>0</v>
      </c>
      <c r="J2351" s="32">
        <f>IF(H2351="",0,IF(COUNTIF($H$2:H2351,H2351)=1,1,0))</f>
        <v>0</v>
      </c>
    </row>
    <row r="2352" spans="1:10" ht="14.25" hidden="1" customHeight="1" x14ac:dyDescent="0.35">
      <c r="A2352" s="30"/>
      <c r="E2352" s="31"/>
      <c r="G2352" s="32" t="str">
        <f t="shared" si="72"/>
        <v>|||1900|</v>
      </c>
      <c r="H2352" s="32" t="str">
        <f t="shared" si="73"/>
        <v>||1900|</v>
      </c>
      <c r="I2352" s="32">
        <f>IF(G2352="",0,IF(COUNTIF($G$2:G2352,G2352)=1,1,0))</f>
        <v>0</v>
      </c>
      <c r="J2352" s="32">
        <f>IF(H2352="",0,IF(COUNTIF($H$2:H2352,H2352)=1,1,0))</f>
        <v>0</v>
      </c>
    </row>
    <row r="2353" spans="1:10" ht="14.25" hidden="1" customHeight="1" x14ac:dyDescent="0.35">
      <c r="A2353" s="30"/>
      <c r="E2353" s="31"/>
      <c r="G2353" s="32" t="str">
        <f t="shared" si="72"/>
        <v>|||1900|</v>
      </c>
      <c r="H2353" s="32" t="str">
        <f t="shared" si="73"/>
        <v>||1900|</v>
      </c>
      <c r="I2353" s="32">
        <f>IF(G2353="",0,IF(COUNTIF($G$2:G2353,G2353)=1,1,0))</f>
        <v>0</v>
      </c>
      <c r="J2353" s="32">
        <f>IF(H2353="",0,IF(COUNTIF($H$2:H2353,H2353)=1,1,0))</f>
        <v>0</v>
      </c>
    </row>
    <row r="2354" spans="1:10" ht="14.25" hidden="1" customHeight="1" x14ac:dyDescent="0.35">
      <c r="A2354" s="30"/>
      <c r="E2354" s="31"/>
      <c r="G2354" s="32" t="str">
        <f t="shared" si="72"/>
        <v>|||1900|</v>
      </c>
      <c r="H2354" s="32" t="str">
        <f t="shared" si="73"/>
        <v>||1900|</v>
      </c>
      <c r="I2354" s="32">
        <f>IF(G2354="",0,IF(COUNTIF($G$2:G2354,G2354)=1,1,0))</f>
        <v>0</v>
      </c>
      <c r="J2354" s="32">
        <f>IF(H2354="",0,IF(COUNTIF($H$2:H2354,H2354)=1,1,0))</f>
        <v>0</v>
      </c>
    </row>
    <row r="2355" spans="1:10" ht="14.25" hidden="1" customHeight="1" x14ac:dyDescent="0.35">
      <c r="A2355" s="30"/>
      <c r="E2355" s="31"/>
      <c r="G2355" s="32" t="str">
        <f t="shared" si="72"/>
        <v>|||1900|</v>
      </c>
      <c r="H2355" s="32" t="str">
        <f t="shared" si="73"/>
        <v>||1900|</v>
      </c>
      <c r="I2355" s="32">
        <f>IF(G2355="",0,IF(COUNTIF($G$2:G2355,G2355)=1,1,0))</f>
        <v>0</v>
      </c>
      <c r="J2355" s="32">
        <f>IF(H2355="",0,IF(COUNTIF($H$2:H2355,H2355)=1,1,0))</f>
        <v>0</v>
      </c>
    </row>
    <row r="2356" spans="1:10" ht="14.25" hidden="1" customHeight="1" x14ac:dyDescent="0.35">
      <c r="A2356" s="30"/>
      <c r="E2356" s="31"/>
      <c r="G2356" s="32" t="str">
        <f t="shared" si="72"/>
        <v>|||1900|</v>
      </c>
      <c r="H2356" s="32" t="str">
        <f t="shared" si="73"/>
        <v>||1900|</v>
      </c>
      <c r="I2356" s="32">
        <f>IF(G2356="",0,IF(COUNTIF($G$2:G2356,G2356)=1,1,0))</f>
        <v>0</v>
      </c>
      <c r="J2356" s="32">
        <f>IF(H2356="",0,IF(COUNTIF($H$2:H2356,H2356)=1,1,0))</f>
        <v>0</v>
      </c>
    </row>
    <row r="2357" spans="1:10" ht="14.25" hidden="1" customHeight="1" x14ac:dyDescent="0.35">
      <c r="A2357" s="30"/>
      <c r="E2357" s="31"/>
      <c r="G2357" s="32" t="str">
        <f t="shared" si="72"/>
        <v>|||1900|</v>
      </c>
      <c r="H2357" s="32" t="str">
        <f t="shared" si="73"/>
        <v>||1900|</v>
      </c>
      <c r="I2357" s="32">
        <f>IF(G2357="",0,IF(COUNTIF($G$2:G2357,G2357)=1,1,0))</f>
        <v>0</v>
      </c>
      <c r="J2357" s="32">
        <f>IF(H2357="",0,IF(COUNTIF($H$2:H2357,H2357)=1,1,0))</f>
        <v>0</v>
      </c>
    </row>
    <row r="2358" spans="1:10" ht="14.25" hidden="1" customHeight="1" x14ac:dyDescent="0.35">
      <c r="A2358" s="30"/>
      <c r="E2358" s="31"/>
      <c r="G2358" s="32" t="str">
        <f t="shared" si="72"/>
        <v>|||1900|</v>
      </c>
      <c r="H2358" s="32" t="str">
        <f t="shared" si="73"/>
        <v>||1900|</v>
      </c>
      <c r="I2358" s="32">
        <f>IF(G2358="",0,IF(COUNTIF($G$2:G2358,G2358)=1,1,0))</f>
        <v>0</v>
      </c>
      <c r="J2358" s="32">
        <f>IF(H2358="",0,IF(COUNTIF($H$2:H2358,H2358)=1,1,0))</f>
        <v>0</v>
      </c>
    </row>
    <row r="2359" spans="1:10" ht="14.25" hidden="1" customHeight="1" x14ac:dyDescent="0.35">
      <c r="A2359" s="30"/>
      <c r="E2359" s="31"/>
      <c r="G2359" s="32" t="str">
        <f t="shared" si="72"/>
        <v>|||1900|</v>
      </c>
      <c r="H2359" s="32" t="str">
        <f t="shared" si="73"/>
        <v>||1900|</v>
      </c>
      <c r="I2359" s="32">
        <f>IF(G2359="",0,IF(COUNTIF($G$2:G2359,G2359)=1,1,0))</f>
        <v>0</v>
      </c>
      <c r="J2359" s="32">
        <f>IF(H2359="",0,IF(COUNTIF($H$2:H2359,H2359)=1,1,0))</f>
        <v>0</v>
      </c>
    </row>
    <row r="2360" spans="1:10" ht="14.25" hidden="1" customHeight="1" x14ac:dyDescent="0.35">
      <c r="A2360" s="30"/>
      <c r="E2360" s="31"/>
      <c r="G2360" s="32" t="str">
        <f t="shared" si="72"/>
        <v>|||1900|</v>
      </c>
      <c r="H2360" s="32" t="str">
        <f t="shared" si="73"/>
        <v>||1900|</v>
      </c>
      <c r="I2360" s="32">
        <f>IF(G2360="",0,IF(COUNTIF($G$2:G2360,G2360)=1,1,0))</f>
        <v>0</v>
      </c>
      <c r="J2360" s="32">
        <f>IF(H2360="",0,IF(COUNTIF($H$2:H2360,H2360)=1,1,0))</f>
        <v>0</v>
      </c>
    </row>
    <row r="2361" spans="1:10" ht="14.25" hidden="1" customHeight="1" x14ac:dyDescent="0.35">
      <c r="A2361" s="30"/>
      <c r="E2361" s="31"/>
      <c r="G2361" s="32" t="str">
        <f t="shared" si="72"/>
        <v>|||1900|</v>
      </c>
      <c r="H2361" s="32" t="str">
        <f t="shared" si="73"/>
        <v>||1900|</v>
      </c>
      <c r="I2361" s="32">
        <f>IF(G2361="",0,IF(COUNTIF($G$2:G2361,G2361)=1,1,0))</f>
        <v>0</v>
      </c>
      <c r="J2361" s="32">
        <f>IF(H2361="",0,IF(COUNTIF($H$2:H2361,H2361)=1,1,0))</f>
        <v>0</v>
      </c>
    </row>
    <row r="2362" spans="1:10" ht="14.25" hidden="1" customHeight="1" x14ac:dyDescent="0.35">
      <c r="A2362" s="30"/>
      <c r="E2362" s="31"/>
      <c r="G2362" s="32" t="str">
        <f t="shared" si="72"/>
        <v>|||1900|</v>
      </c>
      <c r="H2362" s="32" t="str">
        <f t="shared" si="73"/>
        <v>||1900|</v>
      </c>
      <c r="I2362" s="32">
        <f>IF(G2362="",0,IF(COUNTIF($G$2:G2362,G2362)=1,1,0))</f>
        <v>0</v>
      </c>
      <c r="J2362" s="32">
        <f>IF(H2362="",0,IF(COUNTIF($H$2:H2362,H2362)=1,1,0))</f>
        <v>0</v>
      </c>
    </row>
    <row r="2363" spans="1:10" ht="14.25" hidden="1" customHeight="1" x14ac:dyDescent="0.35">
      <c r="A2363" s="30"/>
      <c r="E2363" s="31"/>
      <c r="G2363" s="32" t="str">
        <f t="shared" si="72"/>
        <v>|||1900|</v>
      </c>
      <c r="H2363" s="32" t="str">
        <f t="shared" si="73"/>
        <v>||1900|</v>
      </c>
      <c r="I2363" s="32">
        <f>IF(G2363="",0,IF(COUNTIF($G$2:G2363,G2363)=1,1,0))</f>
        <v>0</v>
      </c>
      <c r="J2363" s="32">
        <f>IF(H2363="",0,IF(COUNTIF($H$2:H2363,H2363)=1,1,0))</f>
        <v>0</v>
      </c>
    </row>
    <row r="2364" spans="1:10" ht="14.25" hidden="1" customHeight="1" x14ac:dyDescent="0.35">
      <c r="A2364" s="30"/>
      <c r="E2364" s="31"/>
      <c r="G2364" s="32" t="str">
        <f t="shared" si="72"/>
        <v>|||1900|</v>
      </c>
      <c r="H2364" s="32" t="str">
        <f t="shared" si="73"/>
        <v>||1900|</v>
      </c>
      <c r="I2364" s="32">
        <f>IF(G2364="",0,IF(COUNTIF($G$2:G2364,G2364)=1,1,0))</f>
        <v>0</v>
      </c>
      <c r="J2364" s="32">
        <f>IF(H2364="",0,IF(COUNTIF($H$2:H2364,H2364)=1,1,0))</f>
        <v>0</v>
      </c>
    </row>
    <row r="2365" spans="1:10" ht="14.25" hidden="1" customHeight="1" x14ac:dyDescent="0.35">
      <c r="A2365" s="30"/>
      <c r="E2365" s="31"/>
      <c r="G2365" s="32" t="str">
        <f t="shared" si="72"/>
        <v>|||1900|</v>
      </c>
      <c r="H2365" s="32" t="str">
        <f t="shared" si="73"/>
        <v>||1900|</v>
      </c>
      <c r="I2365" s="32">
        <f>IF(G2365="",0,IF(COUNTIF($G$2:G2365,G2365)=1,1,0))</f>
        <v>0</v>
      </c>
      <c r="J2365" s="32">
        <f>IF(H2365="",0,IF(COUNTIF($H$2:H2365,H2365)=1,1,0))</f>
        <v>0</v>
      </c>
    </row>
    <row r="2366" spans="1:10" ht="14.25" hidden="1" customHeight="1" x14ac:dyDescent="0.35">
      <c r="A2366" s="30"/>
      <c r="E2366" s="31"/>
      <c r="G2366" s="32" t="str">
        <f t="shared" si="72"/>
        <v>|||1900|</v>
      </c>
      <c r="H2366" s="32" t="str">
        <f t="shared" si="73"/>
        <v>||1900|</v>
      </c>
      <c r="I2366" s="32">
        <f>IF(G2366="",0,IF(COUNTIF($G$2:G2366,G2366)=1,1,0))</f>
        <v>0</v>
      </c>
      <c r="J2366" s="32">
        <f>IF(H2366="",0,IF(COUNTIF($H$2:H2366,H2366)=1,1,0))</f>
        <v>0</v>
      </c>
    </row>
    <row r="2367" spans="1:10" ht="14.25" hidden="1" customHeight="1" x14ac:dyDescent="0.35">
      <c r="A2367" s="30"/>
      <c r="E2367" s="31"/>
      <c r="G2367" s="32" t="str">
        <f t="shared" si="72"/>
        <v>|||1900|</v>
      </c>
      <c r="H2367" s="32" t="str">
        <f t="shared" si="73"/>
        <v>||1900|</v>
      </c>
      <c r="I2367" s="32">
        <f>IF(G2367="",0,IF(COUNTIF($G$2:G2367,G2367)=1,1,0))</f>
        <v>0</v>
      </c>
      <c r="J2367" s="32">
        <f>IF(H2367="",0,IF(COUNTIF($H$2:H2367,H2367)=1,1,0))</f>
        <v>0</v>
      </c>
    </row>
    <row r="2368" spans="1:10" ht="14.25" hidden="1" customHeight="1" x14ac:dyDescent="0.35">
      <c r="A2368" s="30"/>
      <c r="E2368" s="31"/>
      <c r="G2368" s="32" t="str">
        <f t="shared" si="72"/>
        <v>|||1900|</v>
      </c>
      <c r="H2368" s="32" t="str">
        <f t="shared" si="73"/>
        <v>||1900|</v>
      </c>
      <c r="I2368" s="32">
        <f>IF(G2368="",0,IF(COUNTIF($G$2:G2368,G2368)=1,1,0))</f>
        <v>0</v>
      </c>
      <c r="J2368" s="32">
        <f>IF(H2368="",0,IF(COUNTIF($H$2:H2368,H2368)=1,1,0))</f>
        <v>0</v>
      </c>
    </row>
    <row r="2369" spans="1:10" ht="14.25" hidden="1" customHeight="1" x14ac:dyDescent="0.35">
      <c r="A2369" s="30"/>
      <c r="E2369" s="31"/>
      <c r="G2369" s="32" t="str">
        <f t="shared" si="72"/>
        <v>|||1900|</v>
      </c>
      <c r="H2369" s="32" t="str">
        <f t="shared" si="73"/>
        <v>||1900|</v>
      </c>
      <c r="I2369" s="32">
        <f>IF(G2369="",0,IF(COUNTIF($G$2:G2369,G2369)=1,1,0))</f>
        <v>0</v>
      </c>
      <c r="J2369" s="32">
        <f>IF(H2369="",0,IF(COUNTIF($H$2:H2369,H2369)=1,1,0))</f>
        <v>0</v>
      </c>
    </row>
    <row r="2370" spans="1:10" ht="14.25" hidden="1" customHeight="1" x14ac:dyDescent="0.35">
      <c r="A2370" s="30"/>
      <c r="E2370" s="31"/>
      <c r="G2370" s="32" t="str">
        <f t="shared" ref="G2370:G2433" si="74">IF(D2370="T",
E2370&amp;"|"&amp;F2370,
A2370&amp;"|"&amp;B2370&amp;"|"&amp;C2370&amp;"|"&amp;YEAR(E2370)&amp;"|"&amp;F2370)</f>
        <v>|||1900|</v>
      </c>
      <c r="H2370" s="32" t="str">
        <f t="shared" ref="H2370:H2433" si="75">A2370&amp;"|"&amp;C2370&amp;"|"&amp;YEAR(E2370)&amp;"|"&amp;F2370</f>
        <v>||1900|</v>
      </c>
      <c r="I2370" s="32">
        <f>IF(G2370="",0,IF(COUNTIF($G$2:G2370,G2370)=1,1,0))</f>
        <v>0</v>
      </c>
      <c r="J2370" s="32">
        <f>IF(H2370="",0,IF(COUNTIF($H$2:H2370,H2370)=1,1,0))</f>
        <v>0</v>
      </c>
    </row>
    <row r="2371" spans="1:10" ht="14.25" hidden="1" customHeight="1" x14ac:dyDescent="0.35">
      <c r="A2371" s="30"/>
      <c r="E2371" s="31"/>
      <c r="G2371" s="32" t="str">
        <f t="shared" si="74"/>
        <v>|||1900|</v>
      </c>
      <c r="H2371" s="32" t="str">
        <f t="shared" si="75"/>
        <v>||1900|</v>
      </c>
      <c r="I2371" s="32">
        <f>IF(G2371="",0,IF(COUNTIF($G$2:G2371,G2371)=1,1,0))</f>
        <v>0</v>
      </c>
      <c r="J2371" s="32">
        <f>IF(H2371="",0,IF(COUNTIF($H$2:H2371,H2371)=1,1,0))</f>
        <v>0</v>
      </c>
    </row>
    <row r="2372" spans="1:10" ht="14.25" hidden="1" customHeight="1" x14ac:dyDescent="0.35">
      <c r="A2372" s="30"/>
      <c r="E2372" s="31"/>
      <c r="G2372" s="32" t="str">
        <f t="shared" si="74"/>
        <v>|||1900|</v>
      </c>
      <c r="H2372" s="32" t="str">
        <f t="shared" si="75"/>
        <v>||1900|</v>
      </c>
      <c r="I2372" s="32">
        <f>IF(G2372="",0,IF(COUNTIF($G$2:G2372,G2372)=1,1,0))</f>
        <v>0</v>
      </c>
      <c r="J2372" s="32">
        <f>IF(H2372="",0,IF(COUNTIF($H$2:H2372,H2372)=1,1,0))</f>
        <v>0</v>
      </c>
    </row>
    <row r="2373" spans="1:10" ht="14.25" hidden="1" customHeight="1" x14ac:dyDescent="0.35">
      <c r="A2373" s="30"/>
      <c r="E2373" s="31"/>
      <c r="G2373" s="32" t="str">
        <f t="shared" si="74"/>
        <v>|||1900|</v>
      </c>
      <c r="H2373" s="32" t="str">
        <f t="shared" si="75"/>
        <v>||1900|</v>
      </c>
      <c r="I2373" s="32">
        <f>IF(G2373="",0,IF(COUNTIF($G$2:G2373,G2373)=1,1,0))</f>
        <v>0</v>
      </c>
      <c r="J2373" s="32">
        <f>IF(H2373="",0,IF(COUNTIF($H$2:H2373,H2373)=1,1,0))</f>
        <v>0</v>
      </c>
    </row>
    <row r="2374" spans="1:10" ht="14.25" hidden="1" customHeight="1" x14ac:dyDescent="0.35">
      <c r="A2374" s="30"/>
      <c r="E2374" s="31"/>
      <c r="G2374" s="32" t="str">
        <f t="shared" si="74"/>
        <v>|||1900|</v>
      </c>
      <c r="H2374" s="32" t="str">
        <f t="shared" si="75"/>
        <v>||1900|</v>
      </c>
      <c r="I2374" s="32">
        <f>IF(G2374="",0,IF(COUNTIF($G$2:G2374,G2374)=1,1,0))</f>
        <v>0</v>
      </c>
      <c r="J2374" s="32">
        <f>IF(H2374="",0,IF(COUNTIF($H$2:H2374,H2374)=1,1,0))</f>
        <v>0</v>
      </c>
    </row>
    <row r="2375" spans="1:10" ht="14.25" hidden="1" customHeight="1" x14ac:dyDescent="0.35">
      <c r="A2375" s="30"/>
      <c r="E2375" s="31"/>
      <c r="G2375" s="32" t="str">
        <f t="shared" si="74"/>
        <v>|||1900|</v>
      </c>
      <c r="H2375" s="32" t="str">
        <f t="shared" si="75"/>
        <v>||1900|</v>
      </c>
      <c r="I2375" s="32">
        <f>IF(G2375="",0,IF(COUNTIF($G$2:G2375,G2375)=1,1,0))</f>
        <v>0</v>
      </c>
      <c r="J2375" s="32">
        <f>IF(H2375="",0,IF(COUNTIF($H$2:H2375,H2375)=1,1,0))</f>
        <v>0</v>
      </c>
    </row>
    <row r="2376" spans="1:10" ht="14.25" hidden="1" customHeight="1" x14ac:dyDescent="0.35">
      <c r="A2376" s="30"/>
      <c r="E2376" s="31"/>
      <c r="G2376" s="32" t="str">
        <f t="shared" si="74"/>
        <v>|||1900|</v>
      </c>
      <c r="H2376" s="32" t="str">
        <f t="shared" si="75"/>
        <v>||1900|</v>
      </c>
      <c r="I2376" s="32">
        <f>IF(G2376="",0,IF(COUNTIF($G$2:G2376,G2376)=1,1,0))</f>
        <v>0</v>
      </c>
      <c r="J2376" s="32">
        <f>IF(H2376="",0,IF(COUNTIF($H$2:H2376,H2376)=1,1,0))</f>
        <v>0</v>
      </c>
    </row>
    <row r="2377" spans="1:10" ht="14.25" hidden="1" customHeight="1" x14ac:dyDescent="0.35">
      <c r="A2377" s="30"/>
      <c r="E2377" s="31"/>
      <c r="G2377" s="32" t="str">
        <f t="shared" si="74"/>
        <v>|||1900|</v>
      </c>
      <c r="H2377" s="32" t="str">
        <f t="shared" si="75"/>
        <v>||1900|</v>
      </c>
      <c r="I2377" s="32">
        <f>IF(G2377="",0,IF(COUNTIF($G$2:G2377,G2377)=1,1,0))</f>
        <v>0</v>
      </c>
      <c r="J2377" s="32">
        <f>IF(H2377="",0,IF(COUNTIF($H$2:H2377,H2377)=1,1,0))</f>
        <v>0</v>
      </c>
    </row>
    <row r="2378" spans="1:10" ht="14.25" hidden="1" customHeight="1" x14ac:dyDescent="0.35">
      <c r="A2378" s="30"/>
      <c r="E2378" s="31"/>
      <c r="G2378" s="32" t="str">
        <f t="shared" si="74"/>
        <v>|||1900|</v>
      </c>
      <c r="H2378" s="32" t="str">
        <f t="shared" si="75"/>
        <v>||1900|</v>
      </c>
      <c r="I2378" s="32">
        <f>IF(G2378="",0,IF(COUNTIF($G$2:G2378,G2378)=1,1,0))</f>
        <v>0</v>
      </c>
      <c r="J2378" s="32">
        <f>IF(H2378="",0,IF(COUNTIF($H$2:H2378,H2378)=1,1,0))</f>
        <v>0</v>
      </c>
    </row>
    <row r="2379" spans="1:10" ht="14.25" hidden="1" customHeight="1" x14ac:dyDescent="0.35">
      <c r="A2379" s="30"/>
      <c r="E2379" s="31"/>
      <c r="G2379" s="32" t="str">
        <f t="shared" si="74"/>
        <v>|||1900|</v>
      </c>
      <c r="H2379" s="32" t="str">
        <f t="shared" si="75"/>
        <v>||1900|</v>
      </c>
      <c r="I2379" s="32">
        <f>IF(G2379="",0,IF(COUNTIF($G$2:G2379,G2379)=1,1,0))</f>
        <v>0</v>
      </c>
      <c r="J2379" s="32">
        <f>IF(H2379="",0,IF(COUNTIF($H$2:H2379,H2379)=1,1,0))</f>
        <v>0</v>
      </c>
    </row>
    <row r="2380" spans="1:10" ht="14.25" hidden="1" customHeight="1" x14ac:dyDescent="0.35">
      <c r="A2380" s="30"/>
      <c r="E2380" s="31"/>
      <c r="G2380" s="32" t="str">
        <f t="shared" si="74"/>
        <v>|||1900|</v>
      </c>
      <c r="H2380" s="32" t="str">
        <f t="shared" si="75"/>
        <v>||1900|</v>
      </c>
      <c r="I2380" s="32">
        <f>IF(G2380="",0,IF(COUNTIF($G$2:G2380,G2380)=1,1,0))</f>
        <v>0</v>
      </c>
      <c r="J2380" s="32">
        <f>IF(H2380="",0,IF(COUNTIF($H$2:H2380,H2380)=1,1,0))</f>
        <v>0</v>
      </c>
    </row>
    <row r="2381" spans="1:10" ht="14.25" hidden="1" customHeight="1" x14ac:dyDescent="0.35">
      <c r="A2381" s="30"/>
      <c r="E2381" s="31"/>
      <c r="G2381" s="32" t="str">
        <f t="shared" si="74"/>
        <v>|||1900|</v>
      </c>
      <c r="H2381" s="32" t="str">
        <f t="shared" si="75"/>
        <v>||1900|</v>
      </c>
      <c r="I2381" s="32">
        <f>IF(G2381="",0,IF(COUNTIF($G$2:G2381,G2381)=1,1,0))</f>
        <v>0</v>
      </c>
      <c r="J2381" s="32">
        <f>IF(H2381="",0,IF(COUNTIF($H$2:H2381,H2381)=1,1,0))</f>
        <v>0</v>
      </c>
    </row>
    <row r="2382" spans="1:10" ht="14.25" hidden="1" customHeight="1" x14ac:dyDescent="0.35">
      <c r="A2382" s="30"/>
      <c r="E2382" s="31"/>
      <c r="G2382" s="32" t="str">
        <f t="shared" si="74"/>
        <v>|||1900|</v>
      </c>
      <c r="H2382" s="32" t="str">
        <f t="shared" si="75"/>
        <v>||1900|</v>
      </c>
      <c r="I2382" s="32">
        <f>IF(G2382="",0,IF(COUNTIF($G$2:G2382,G2382)=1,1,0))</f>
        <v>0</v>
      </c>
      <c r="J2382" s="32">
        <f>IF(H2382="",0,IF(COUNTIF($H$2:H2382,H2382)=1,1,0))</f>
        <v>0</v>
      </c>
    </row>
    <row r="2383" spans="1:10" ht="14.25" hidden="1" customHeight="1" x14ac:dyDescent="0.35">
      <c r="A2383" s="30"/>
      <c r="E2383" s="31"/>
      <c r="G2383" s="32" t="str">
        <f t="shared" si="74"/>
        <v>|||1900|</v>
      </c>
      <c r="H2383" s="32" t="str">
        <f t="shared" si="75"/>
        <v>||1900|</v>
      </c>
      <c r="I2383" s="32">
        <f>IF(G2383="",0,IF(COUNTIF($G$2:G2383,G2383)=1,1,0))</f>
        <v>0</v>
      </c>
      <c r="J2383" s="32">
        <f>IF(H2383="",0,IF(COUNTIF($H$2:H2383,H2383)=1,1,0))</f>
        <v>0</v>
      </c>
    </row>
    <row r="2384" spans="1:10" ht="14.25" hidden="1" customHeight="1" x14ac:dyDescent="0.35">
      <c r="A2384" s="30"/>
      <c r="E2384" s="31"/>
      <c r="G2384" s="32" t="str">
        <f t="shared" si="74"/>
        <v>|||1900|</v>
      </c>
      <c r="H2384" s="32" t="str">
        <f t="shared" si="75"/>
        <v>||1900|</v>
      </c>
      <c r="I2384" s="32">
        <f>IF(G2384="",0,IF(COUNTIF($G$2:G2384,G2384)=1,1,0))</f>
        <v>0</v>
      </c>
      <c r="J2384" s="32">
        <f>IF(H2384="",0,IF(COUNTIF($H$2:H2384,H2384)=1,1,0))</f>
        <v>0</v>
      </c>
    </row>
    <row r="2385" spans="1:10" ht="14.25" hidden="1" customHeight="1" x14ac:dyDescent="0.35">
      <c r="A2385" s="30"/>
      <c r="E2385" s="31"/>
      <c r="G2385" s="32" t="str">
        <f t="shared" si="74"/>
        <v>|||1900|</v>
      </c>
      <c r="H2385" s="32" t="str">
        <f t="shared" si="75"/>
        <v>||1900|</v>
      </c>
      <c r="I2385" s="32">
        <f>IF(G2385="",0,IF(COUNTIF($G$2:G2385,G2385)=1,1,0))</f>
        <v>0</v>
      </c>
      <c r="J2385" s="32">
        <f>IF(H2385="",0,IF(COUNTIF($H$2:H2385,H2385)=1,1,0))</f>
        <v>0</v>
      </c>
    </row>
    <row r="2386" spans="1:10" ht="14.25" hidden="1" customHeight="1" x14ac:dyDescent="0.35">
      <c r="A2386" s="30"/>
      <c r="E2386" s="31"/>
      <c r="G2386" s="32" t="str">
        <f t="shared" si="74"/>
        <v>|||1900|</v>
      </c>
      <c r="H2386" s="32" t="str">
        <f t="shared" si="75"/>
        <v>||1900|</v>
      </c>
      <c r="I2386" s="32">
        <f>IF(G2386="",0,IF(COUNTIF($G$2:G2386,G2386)=1,1,0))</f>
        <v>0</v>
      </c>
      <c r="J2386" s="32">
        <f>IF(H2386="",0,IF(COUNTIF($H$2:H2386,H2386)=1,1,0))</f>
        <v>0</v>
      </c>
    </row>
    <row r="2387" spans="1:10" ht="14.25" hidden="1" customHeight="1" x14ac:dyDescent="0.35">
      <c r="A2387" s="30"/>
      <c r="E2387" s="31"/>
      <c r="G2387" s="32" t="str">
        <f t="shared" si="74"/>
        <v>|||1900|</v>
      </c>
      <c r="H2387" s="32" t="str">
        <f t="shared" si="75"/>
        <v>||1900|</v>
      </c>
      <c r="I2387" s="32">
        <f>IF(G2387="",0,IF(COUNTIF($G$2:G2387,G2387)=1,1,0))</f>
        <v>0</v>
      </c>
      <c r="J2387" s="32">
        <f>IF(H2387="",0,IF(COUNTIF($H$2:H2387,H2387)=1,1,0))</f>
        <v>0</v>
      </c>
    </row>
    <row r="2388" spans="1:10" ht="14.25" hidden="1" customHeight="1" x14ac:dyDescent="0.35">
      <c r="A2388" s="30"/>
      <c r="E2388" s="31"/>
      <c r="G2388" s="32" t="str">
        <f t="shared" si="74"/>
        <v>|||1900|</v>
      </c>
      <c r="H2388" s="32" t="str">
        <f t="shared" si="75"/>
        <v>||1900|</v>
      </c>
      <c r="I2388" s="32">
        <f>IF(G2388="",0,IF(COUNTIF($G$2:G2388,G2388)=1,1,0))</f>
        <v>0</v>
      </c>
      <c r="J2388" s="32">
        <f>IF(H2388="",0,IF(COUNTIF($H$2:H2388,H2388)=1,1,0))</f>
        <v>0</v>
      </c>
    </row>
    <row r="2389" spans="1:10" ht="14.25" hidden="1" customHeight="1" x14ac:dyDescent="0.35">
      <c r="A2389" s="30"/>
      <c r="E2389" s="31"/>
      <c r="G2389" s="32" t="str">
        <f t="shared" si="74"/>
        <v>|||1900|</v>
      </c>
      <c r="H2389" s="32" t="str">
        <f t="shared" si="75"/>
        <v>||1900|</v>
      </c>
      <c r="I2389" s="32">
        <f>IF(G2389="",0,IF(COUNTIF($G$2:G2389,G2389)=1,1,0))</f>
        <v>0</v>
      </c>
      <c r="J2389" s="32">
        <f>IF(H2389="",0,IF(COUNTIF($H$2:H2389,H2389)=1,1,0))</f>
        <v>0</v>
      </c>
    </row>
    <row r="2390" spans="1:10" ht="14.25" hidden="1" customHeight="1" x14ac:dyDescent="0.35">
      <c r="A2390" s="30"/>
      <c r="E2390" s="31"/>
      <c r="G2390" s="32" t="str">
        <f t="shared" si="74"/>
        <v>|||1900|</v>
      </c>
      <c r="H2390" s="32" t="str">
        <f t="shared" si="75"/>
        <v>||1900|</v>
      </c>
      <c r="I2390" s="32">
        <f>IF(G2390="",0,IF(COUNTIF($G$2:G2390,G2390)=1,1,0))</f>
        <v>0</v>
      </c>
      <c r="J2390" s="32">
        <f>IF(H2390="",0,IF(COUNTIF($H$2:H2390,H2390)=1,1,0))</f>
        <v>0</v>
      </c>
    </row>
    <row r="2391" spans="1:10" ht="14.25" hidden="1" customHeight="1" x14ac:dyDescent="0.35">
      <c r="A2391" s="30"/>
      <c r="E2391" s="31"/>
      <c r="G2391" s="32" t="str">
        <f t="shared" si="74"/>
        <v>|||1900|</v>
      </c>
      <c r="H2391" s="32" t="str">
        <f t="shared" si="75"/>
        <v>||1900|</v>
      </c>
      <c r="I2391" s="32">
        <f>IF(G2391="",0,IF(COUNTIF($G$2:G2391,G2391)=1,1,0))</f>
        <v>0</v>
      </c>
      <c r="J2391" s="32">
        <f>IF(H2391="",0,IF(COUNTIF($H$2:H2391,H2391)=1,1,0))</f>
        <v>0</v>
      </c>
    </row>
    <row r="2392" spans="1:10" ht="14.25" hidden="1" customHeight="1" x14ac:dyDescent="0.35">
      <c r="A2392" s="30"/>
      <c r="E2392" s="31"/>
      <c r="G2392" s="32" t="str">
        <f t="shared" si="74"/>
        <v>|||1900|</v>
      </c>
      <c r="H2392" s="32" t="str">
        <f t="shared" si="75"/>
        <v>||1900|</v>
      </c>
      <c r="I2392" s="32">
        <f>IF(G2392="",0,IF(COUNTIF($G$2:G2392,G2392)=1,1,0))</f>
        <v>0</v>
      </c>
      <c r="J2392" s="32">
        <f>IF(H2392="",0,IF(COUNTIF($H$2:H2392,H2392)=1,1,0))</f>
        <v>0</v>
      </c>
    </row>
    <row r="2393" spans="1:10" ht="14.25" hidden="1" customHeight="1" x14ac:dyDescent="0.35">
      <c r="A2393" s="30"/>
      <c r="E2393" s="31"/>
      <c r="G2393" s="32" t="str">
        <f t="shared" si="74"/>
        <v>|||1900|</v>
      </c>
      <c r="H2393" s="32" t="str">
        <f t="shared" si="75"/>
        <v>||1900|</v>
      </c>
      <c r="I2393" s="32">
        <f>IF(G2393="",0,IF(COUNTIF($G$2:G2393,G2393)=1,1,0))</f>
        <v>0</v>
      </c>
      <c r="J2393" s="32">
        <f>IF(H2393="",0,IF(COUNTIF($H$2:H2393,H2393)=1,1,0))</f>
        <v>0</v>
      </c>
    </row>
    <row r="2394" spans="1:10" ht="14.25" hidden="1" customHeight="1" x14ac:dyDescent="0.35">
      <c r="A2394" s="30"/>
      <c r="E2394" s="31"/>
      <c r="G2394" s="32" t="str">
        <f t="shared" si="74"/>
        <v>|||1900|</v>
      </c>
      <c r="H2394" s="32" t="str">
        <f t="shared" si="75"/>
        <v>||1900|</v>
      </c>
      <c r="I2394" s="32">
        <f>IF(G2394="",0,IF(COUNTIF($G$2:G2394,G2394)=1,1,0))</f>
        <v>0</v>
      </c>
      <c r="J2394" s="32">
        <f>IF(H2394="",0,IF(COUNTIF($H$2:H2394,H2394)=1,1,0))</f>
        <v>0</v>
      </c>
    </row>
    <row r="2395" spans="1:10" ht="14.25" hidden="1" customHeight="1" x14ac:dyDescent="0.35">
      <c r="A2395" s="30"/>
      <c r="E2395" s="31"/>
      <c r="G2395" s="32" t="str">
        <f t="shared" si="74"/>
        <v>|||1900|</v>
      </c>
      <c r="H2395" s="32" t="str">
        <f t="shared" si="75"/>
        <v>||1900|</v>
      </c>
      <c r="I2395" s="32">
        <f>IF(G2395="",0,IF(COUNTIF($G$2:G2395,G2395)=1,1,0))</f>
        <v>0</v>
      </c>
      <c r="J2395" s="32">
        <f>IF(H2395="",0,IF(COUNTIF($H$2:H2395,H2395)=1,1,0))</f>
        <v>0</v>
      </c>
    </row>
    <row r="2396" spans="1:10" ht="14.25" hidden="1" customHeight="1" x14ac:dyDescent="0.35">
      <c r="A2396" s="30"/>
      <c r="E2396" s="31"/>
      <c r="G2396" s="32" t="str">
        <f t="shared" si="74"/>
        <v>|||1900|</v>
      </c>
      <c r="H2396" s="32" t="str">
        <f t="shared" si="75"/>
        <v>||1900|</v>
      </c>
      <c r="I2396" s="32">
        <f>IF(G2396="",0,IF(COUNTIF($G$2:G2396,G2396)=1,1,0))</f>
        <v>0</v>
      </c>
      <c r="J2396" s="32">
        <f>IF(H2396="",0,IF(COUNTIF($H$2:H2396,H2396)=1,1,0))</f>
        <v>0</v>
      </c>
    </row>
    <row r="2397" spans="1:10" ht="14.25" hidden="1" customHeight="1" x14ac:dyDescent="0.35">
      <c r="A2397" s="30"/>
      <c r="E2397" s="31"/>
      <c r="G2397" s="32" t="str">
        <f t="shared" si="74"/>
        <v>|||1900|</v>
      </c>
      <c r="H2397" s="32" t="str">
        <f t="shared" si="75"/>
        <v>||1900|</v>
      </c>
      <c r="I2397" s="32">
        <f>IF(G2397="",0,IF(COUNTIF($G$2:G2397,G2397)=1,1,0))</f>
        <v>0</v>
      </c>
      <c r="J2397" s="32">
        <f>IF(H2397="",0,IF(COUNTIF($H$2:H2397,H2397)=1,1,0))</f>
        <v>0</v>
      </c>
    </row>
    <row r="2398" spans="1:10" ht="14.25" hidden="1" customHeight="1" x14ac:dyDescent="0.35">
      <c r="A2398" s="30"/>
      <c r="E2398" s="31"/>
      <c r="G2398" s="32" t="str">
        <f t="shared" si="74"/>
        <v>|||1900|</v>
      </c>
      <c r="H2398" s="32" t="str">
        <f t="shared" si="75"/>
        <v>||1900|</v>
      </c>
      <c r="I2398" s="32">
        <f>IF(G2398="",0,IF(COUNTIF($G$2:G2398,G2398)=1,1,0))</f>
        <v>0</v>
      </c>
      <c r="J2398" s="32">
        <f>IF(H2398="",0,IF(COUNTIF($H$2:H2398,H2398)=1,1,0))</f>
        <v>0</v>
      </c>
    </row>
    <row r="2399" spans="1:10" ht="14.25" hidden="1" customHeight="1" x14ac:dyDescent="0.35">
      <c r="A2399" s="30"/>
      <c r="E2399" s="31"/>
      <c r="G2399" s="32" t="str">
        <f t="shared" si="74"/>
        <v>|||1900|</v>
      </c>
      <c r="H2399" s="32" t="str">
        <f t="shared" si="75"/>
        <v>||1900|</v>
      </c>
      <c r="I2399" s="32">
        <f>IF(G2399="",0,IF(COUNTIF($G$2:G2399,G2399)=1,1,0))</f>
        <v>0</v>
      </c>
      <c r="J2399" s="32">
        <f>IF(H2399="",0,IF(COUNTIF($H$2:H2399,H2399)=1,1,0))</f>
        <v>0</v>
      </c>
    </row>
    <row r="2400" spans="1:10" ht="14.25" hidden="1" customHeight="1" x14ac:dyDescent="0.35">
      <c r="A2400" s="30"/>
      <c r="E2400" s="31"/>
      <c r="G2400" s="32" t="str">
        <f t="shared" si="74"/>
        <v>|||1900|</v>
      </c>
      <c r="H2400" s="32" t="str">
        <f t="shared" si="75"/>
        <v>||1900|</v>
      </c>
      <c r="I2400" s="32">
        <f>IF(G2400="",0,IF(COUNTIF($G$2:G2400,G2400)=1,1,0))</f>
        <v>0</v>
      </c>
      <c r="J2400" s="32">
        <f>IF(H2400="",0,IF(COUNTIF($H$2:H2400,H2400)=1,1,0))</f>
        <v>0</v>
      </c>
    </row>
    <row r="2401" spans="1:10" ht="14.25" hidden="1" customHeight="1" x14ac:dyDescent="0.35">
      <c r="A2401" s="30"/>
      <c r="E2401" s="31"/>
      <c r="G2401" s="32" t="str">
        <f t="shared" si="74"/>
        <v>|||1900|</v>
      </c>
      <c r="H2401" s="32" t="str">
        <f t="shared" si="75"/>
        <v>||1900|</v>
      </c>
      <c r="I2401" s="32">
        <f>IF(G2401="",0,IF(COUNTIF($G$2:G2401,G2401)=1,1,0))</f>
        <v>0</v>
      </c>
      <c r="J2401" s="32">
        <f>IF(H2401="",0,IF(COUNTIF($H$2:H2401,H2401)=1,1,0))</f>
        <v>0</v>
      </c>
    </row>
    <row r="2402" spans="1:10" ht="14.25" hidden="1" customHeight="1" x14ac:dyDescent="0.35">
      <c r="A2402" s="30"/>
      <c r="E2402" s="31"/>
      <c r="G2402" s="32" t="str">
        <f t="shared" si="74"/>
        <v>|||1900|</v>
      </c>
      <c r="H2402" s="32" t="str">
        <f t="shared" si="75"/>
        <v>||1900|</v>
      </c>
      <c r="I2402" s="32">
        <f>IF(G2402="",0,IF(COUNTIF($G$2:G2402,G2402)=1,1,0))</f>
        <v>0</v>
      </c>
      <c r="J2402" s="32">
        <f>IF(H2402="",0,IF(COUNTIF($H$2:H2402,H2402)=1,1,0))</f>
        <v>0</v>
      </c>
    </row>
    <row r="2403" spans="1:10" ht="14.25" hidden="1" customHeight="1" x14ac:dyDescent="0.35">
      <c r="A2403" s="30"/>
      <c r="E2403" s="31"/>
      <c r="G2403" s="32" t="str">
        <f t="shared" si="74"/>
        <v>|||1900|</v>
      </c>
      <c r="H2403" s="32" t="str">
        <f t="shared" si="75"/>
        <v>||1900|</v>
      </c>
      <c r="I2403" s="32">
        <f>IF(G2403="",0,IF(COUNTIF($G$2:G2403,G2403)=1,1,0))</f>
        <v>0</v>
      </c>
      <c r="J2403" s="32">
        <f>IF(H2403="",0,IF(COUNTIF($H$2:H2403,H2403)=1,1,0))</f>
        <v>0</v>
      </c>
    </row>
    <row r="2404" spans="1:10" ht="14.25" hidden="1" customHeight="1" x14ac:dyDescent="0.35">
      <c r="A2404" s="30"/>
      <c r="E2404" s="31"/>
      <c r="G2404" s="32" t="str">
        <f t="shared" si="74"/>
        <v>|||1900|</v>
      </c>
      <c r="H2404" s="32" t="str">
        <f t="shared" si="75"/>
        <v>||1900|</v>
      </c>
      <c r="I2404" s="32">
        <f>IF(G2404="",0,IF(COUNTIF($G$2:G2404,G2404)=1,1,0))</f>
        <v>0</v>
      </c>
      <c r="J2404" s="32">
        <f>IF(H2404="",0,IF(COUNTIF($H$2:H2404,H2404)=1,1,0))</f>
        <v>0</v>
      </c>
    </row>
    <row r="2405" spans="1:10" ht="14.25" hidden="1" customHeight="1" x14ac:dyDescent="0.35">
      <c r="A2405" s="30"/>
      <c r="E2405" s="31"/>
      <c r="G2405" s="32" t="str">
        <f t="shared" si="74"/>
        <v>|||1900|</v>
      </c>
      <c r="H2405" s="32" t="str">
        <f t="shared" si="75"/>
        <v>||1900|</v>
      </c>
      <c r="I2405" s="32">
        <f>IF(G2405="",0,IF(COUNTIF($G$2:G2405,G2405)=1,1,0))</f>
        <v>0</v>
      </c>
      <c r="J2405" s="32">
        <f>IF(H2405="",0,IF(COUNTIF($H$2:H2405,H2405)=1,1,0))</f>
        <v>0</v>
      </c>
    </row>
    <row r="2406" spans="1:10" ht="14.25" hidden="1" customHeight="1" x14ac:dyDescent="0.35">
      <c r="A2406" s="30"/>
      <c r="E2406" s="31"/>
      <c r="G2406" s="32" t="str">
        <f t="shared" si="74"/>
        <v>|||1900|</v>
      </c>
      <c r="H2406" s="32" t="str">
        <f t="shared" si="75"/>
        <v>||1900|</v>
      </c>
      <c r="I2406" s="32">
        <f>IF(G2406="",0,IF(COUNTIF($G$2:G2406,G2406)=1,1,0))</f>
        <v>0</v>
      </c>
      <c r="J2406" s="32">
        <f>IF(H2406="",0,IF(COUNTIF($H$2:H2406,H2406)=1,1,0))</f>
        <v>0</v>
      </c>
    </row>
    <row r="2407" spans="1:10" ht="14.25" hidden="1" customHeight="1" x14ac:dyDescent="0.35">
      <c r="A2407" s="30"/>
      <c r="E2407" s="31"/>
      <c r="G2407" s="32" t="str">
        <f t="shared" si="74"/>
        <v>|||1900|</v>
      </c>
      <c r="H2407" s="32" t="str">
        <f t="shared" si="75"/>
        <v>||1900|</v>
      </c>
      <c r="I2407" s="32">
        <f>IF(G2407="",0,IF(COUNTIF($G$2:G2407,G2407)=1,1,0))</f>
        <v>0</v>
      </c>
      <c r="J2407" s="32">
        <f>IF(H2407="",0,IF(COUNTIF($H$2:H2407,H2407)=1,1,0))</f>
        <v>0</v>
      </c>
    </row>
    <row r="2408" spans="1:10" ht="14.25" hidden="1" customHeight="1" x14ac:dyDescent="0.35">
      <c r="A2408" s="30"/>
      <c r="E2408" s="31"/>
      <c r="G2408" s="32" t="str">
        <f t="shared" si="74"/>
        <v>|||1900|</v>
      </c>
      <c r="H2408" s="32" t="str">
        <f t="shared" si="75"/>
        <v>||1900|</v>
      </c>
      <c r="I2408" s="32">
        <f>IF(G2408="",0,IF(COUNTIF($G$2:G2408,G2408)=1,1,0))</f>
        <v>0</v>
      </c>
      <c r="J2408" s="32">
        <f>IF(H2408="",0,IF(COUNTIF($H$2:H2408,H2408)=1,1,0))</f>
        <v>0</v>
      </c>
    </row>
    <row r="2409" spans="1:10" ht="14.25" hidden="1" customHeight="1" x14ac:dyDescent="0.35">
      <c r="A2409" s="30"/>
      <c r="E2409" s="31"/>
      <c r="G2409" s="32" t="str">
        <f t="shared" si="74"/>
        <v>|||1900|</v>
      </c>
      <c r="H2409" s="32" t="str">
        <f t="shared" si="75"/>
        <v>||1900|</v>
      </c>
      <c r="I2409" s="32">
        <f>IF(G2409="",0,IF(COUNTIF($G$2:G2409,G2409)=1,1,0))</f>
        <v>0</v>
      </c>
      <c r="J2409" s="32">
        <f>IF(H2409="",0,IF(COUNTIF($H$2:H2409,H2409)=1,1,0))</f>
        <v>0</v>
      </c>
    </row>
    <row r="2410" spans="1:10" ht="14.25" hidden="1" customHeight="1" x14ac:dyDescent="0.35">
      <c r="A2410" s="30"/>
      <c r="E2410" s="31"/>
      <c r="G2410" s="32" t="str">
        <f t="shared" si="74"/>
        <v>|||1900|</v>
      </c>
      <c r="H2410" s="32" t="str">
        <f t="shared" si="75"/>
        <v>||1900|</v>
      </c>
      <c r="I2410" s="32">
        <f>IF(G2410="",0,IF(COUNTIF($G$2:G2410,G2410)=1,1,0))</f>
        <v>0</v>
      </c>
      <c r="J2410" s="32">
        <f>IF(H2410="",0,IF(COUNTIF($H$2:H2410,H2410)=1,1,0))</f>
        <v>0</v>
      </c>
    </row>
    <row r="2411" spans="1:10" ht="14.25" hidden="1" customHeight="1" x14ac:dyDescent="0.35">
      <c r="A2411" s="30"/>
      <c r="E2411" s="31"/>
      <c r="G2411" s="32" t="str">
        <f t="shared" si="74"/>
        <v>|||1900|</v>
      </c>
      <c r="H2411" s="32" t="str">
        <f t="shared" si="75"/>
        <v>||1900|</v>
      </c>
      <c r="I2411" s="32">
        <f>IF(G2411="",0,IF(COUNTIF($G$2:G2411,G2411)=1,1,0))</f>
        <v>0</v>
      </c>
      <c r="J2411" s="32">
        <f>IF(H2411="",0,IF(COUNTIF($H$2:H2411,H2411)=1,1,0))</f>
        <v>0</v>
      </c>
    </row>
    <row r="2412" spans="1:10" ht="14.25" hidden="1" customHeight="1" x14ac:dyDescent="0.35">
      <c r="A2412" s="30"/>
      <c r="E2412" s="31"/>
      <c r="G2412" s="32" t="str">
        <f t="shared" si="74"/>
        <v>|||1900|</v>
      </c>
      <c r="H2412" s="32" t="str">
        <f t="shared" si="75"/>
        <v>||1900|</v>
      </c>
      <c r="I2412" s="32">
        <f>IF(G2412="",0,IF(COUNTIF($G$2:G2412,G2412)=1,1,0))</f>
        <v>0</v>
      </c>
      <c r="J2412" s="32">
        <f>IF(H2412="",0,IF(COUNTIF($H$2:H2412,H2412)=1,1,0))</f>
        <v>0</v>
      </c>
    </row>
    <row r="2413" spans="1:10" ht="14.25" hidden="1" customHeight="1" x14ac:dyDescent="0.35">
      <c r="A2413" s="30"/>
      <c r="E2413" s="31"/>
      <c r="G2413" s="32" t="str">
        <f t="shared" si="74"/>
        <v>|||1900|</v>
      </c>
      <c r="H2413" s="32" t="str">
        <f t="shared" si="75"/>
        <v>||1900|</v>
      </c>
      <c r="I2413" s="32">
        <f>IF(G2413="",0,IF(COUNTIF($G$2:G2413,G2413)=1,1,0))</f>
        <v>0</v>
      </c>
      <c r="J2413" s="32">
        <f>IF(H2413="",0,IF(COUNTIF($H$2:H2413,H2413)=1,1,0))</f>
        <v>0</v>
      </c>
    </row>
    <row r="2414" spans="1:10" ht="14.25" hidden="1" customHeight="1" x14ac:dyDescent="0.35">
      <c r="A2414" s="30"/>
      <c r="E2414" s="31"/>
      <c r="G2414" s="32" t="str">
        <f t="shared" si="74"/>
        <v>|||1900|</v>
      </c>
      <c r="H2414" s="32" t="str">
        <f t="shared" si="75"/>
        <v>||1900|</v>
      </c>
      <c r="I2414" s="32">
        <f>IF(G2414="",0,IF(COUNTIF($G$2:G2414,G2414)=1,1,0))</f>
        <v>0</v>
      </c>
      <c r="J2414" s="32">
        <f>IF(H2414="",0,IF(COUNTIF($H$2:H2414,H2414)=1,1,0))</f>
        <v>0</v>
      </c>
    </row>
    <row r="2415" spans="1:10" ht="14.25" hidden="1" customHeight="1" x14ac:dyDescent="0.35">
      <c r="A2415" s="30"/>
      <c r="E2415" s="31"/>
      <c r="G2415" s="32" t="str">
        <f t="shared" si="74"/>
        <v>|||1900|</v>
      </c>
      <c r="H2415" s="32" t="str">
        <f t="shared" si="75"/>
        <v>||1900|</v>
      </c>
      <c r="I2415" s="32">
        <f>IF(G2415="",0,IF(COUNTIF($G$2:G2415,G2415)=1,1,0))</f>
        <v>0</v>
      </c>
      <c r="J2415" s="32">
        <f>IF(H2415="",0,IF(COUNTIF($H$2:H2415,H2415)=1,1,0))</f>
        <v>0</v>
      </c>
    </row>
    <row r="2416" spans="1:10" ht="14.25" hidden="1" customHeight="1" x14ac:dyDescent="0.35">
      <c r="A2416" s="30"/>
      <c r="E2416" s="31"/>
      <c r="G2416" s="32" t="str">
        <f t="shared" si="74"/>
        <v>|||1900|</v>
      </c>
      <c r="H2416" s="32" t="str">
        <f t="shared" si="75"/>
        <v>||1900|</v>
      </c>
      <c r="I2416" s="32">
        <f>IF(G2416="",0,IF(COUNTIF($G$2:G2416,G2416)=1,1,0))</f>
        <v>0</v>
      </c>
      <c r="J2416" s="32">
        <f>IF(H2416="",0,IF(COUNTIF($H$2:H2416,H2416)=1,1,0))</f>
        <v>0</v>
      </c>
    </row>
    <row r="2417" spans="1:10" ht="14.25" hidden="1" customHeight="1" x14ac:dyDescent="0.35">
      <c r="A2417" s="30"/>
      <c r="E2417" s="31"/>
      <c r="G2417" s="32" t="str">
        <f t="shared" si="74"/>
        <v>|||1900|</v>
      </c>
      <c r="H2417" s="32" t="str">
        <f t="shared" si="75"/>
        <v>||1900|</v>
      </c>
      <c r="I2417" s="32">
        <f>IF(G2417="",0,IF(COUNTIF($G$2:G2417,G2417)=1,1,0))</f>
        <v>0</v>
      </c>
      <c r="J2417" s="32">
        <f>IF(H2417="",0,IF(COUNTIF($H$2:H2417,H2417)=1,1,0))</f>
        <v>0</v>
      </c>
    </row>
    <row r="2418" spans="1:10" ht="14.25" hidden="1" customHeight="1" x14ac:dyDescent="0.35">
      <c r="A2418" s="30"/>
      <c r="E2418" s="31"/>
      <c r="G2418" s="32" t="str">
        <f t="shared" si="74"/>
        <v>|||1900|</v>
      </c>
      <c r="H2418" s="32" t="str">
        <f t="shared" si="75"/>
        <v>||1900|</v>
      </c>
      <c r="I2418" s="32">
        <f>IF(G2418="",0,IF(COUNTIF($G$2:G2418,G2418)=1,1,0))</f>
        <v>0</v>
      </c>
      <c r="J2418" s="32">
        <f>IF(H2418="",0,IF(COUNTIF($H$2:H2418,H2418)=1,1,0))</f>
        <v>0</v>
      </c>
    </row>
    <row r="2419" spans="1:10" ht="14.25" hidden="1" customHeight="1" x14ac:dyDescent="0.35">
      <c r="A2419" s="30"/>
      <c r="E2419" s="31"/>
      <c r="G2419" s="32" t="str">
        <f t="shared" si="74"/>
        <v>|||1900|</v>
      </c>
      <c r="H2419" s="32" t="str">
        <f t="shared" si="75"/>
        <v>||1900|</v>
      </c>
      <c r="I2419" s="32">
        <f>IF(G2419="",0,IF(COUNTIF($G$2:G2419,G2419)=1,1,0))</f>
        <v>0</v>
      </c>
      <c r="J2419" s="32">
        <f>IF(H2419="",0,IF(COUNTIF($H$2:H2419,H2419)=1,1,0))</f>
        <v>0</v>
      </c>
    </row>
    <row r="2420" spans="1:10" ht="14.25" hidden="1" customHeight="1" x14ac:dyDescent="0.35">
      <c r="A2420" s="30"/>
      <c r="E2420" s="31"/>
      <c r="G2420" s="32" t="str">
        <f t="shared" si="74"/>
        <v>|||1900|</v>
      </c>
      <c r="H2420" s="32" t="str">
        <f t="shared" si="75"/>
        <v>||1900|</v>
      </c>
      <c r="I2420" s="32">
        <f>IF(G2420="",0,IF(COUNTIF($G$2:G2420,G2420)=1,1,0))</f>
        <v>0</v>
      </c>
      <c r="J2420" s="32">
        <f>IF(H2420="",0,IF(COUNTIF($H$2:H2420,H2420)=1,1,0))</f>
        <v>0</v>
      </c>
    </row>
    <row r="2421" spans="1:10" ht="14.25" hidden="1" customHeight="1" x14ac:dyDescent="0.35">
      <c r="A2421" s="30"/>
      <c r="E2421" s="31"/>
      <c r="G2421" s="32" t="str">
        <f t="shared" si="74"/>
        <v>|||1900|</v>
      </c>
      <c r="H2421" s="32" t="str">
        <f t="shared" si="75"/>
        <v>||1900|</v>
      </c>
      <c r="I2421" s="32">
        <f>IF(G2421="",0,IF(COUNTIF($G$2:G2421,G2421)=1,1,0))</f>
        <v>0</v>
      </c>
      <c r="J2421" s="32">
        <f>IF(H2421="",0,IF(COUNTIF($H$2:H2421,H2421)=1,1,0))</f>
        <v>0</v>
      </c>
    </row>
    <row r="2422" spans="1:10" ht="14.25" hidden="1" customHeight="1" x14ac:dyDescent="0.35">
      <c r="A2422" s="30"/>
      <c r="E2422" s="31"/>
      <c r="G2422" s="32" t="str">
        <f t="shared" si="74"/>
        <v>|||1900|</v>
      </c>
      <c r="H2422" s="32" t="str">
        <f t="shared" si="75"/>
        <v>||1900|</v>
      </c>
      <c r="I2422" s="32">
        <f>IF(G2422="",0,IF(COUNTIF($G$2:G2422,G2422)=1,1,0))</f>
        <v>0</v>
      </c>
      <c r="J2422" s="32">
        <f>IF(H2422="",0,IF(COUNTIF($H$2:H2422,H2422)=1,1,0))</f>
        <v>0</v>
      </c>
    </row>
    <row r="2423" spans="1:10" ht="14.25" hidden="1" customHeight="1" x14ac:dyDescent="0.35">
      <c r="A2423" s="30"/>
      <c r="E2423" s="31"/>
      <c r="G2423" s="32" t="str">
        <f t="shared" si="74"/>
        <v>|||1900|</v>
      </c>
      <c r="H2423" s="32" t="str">
        <f t="shared" si="75"/>
        <v>||1900|</v>
      </c>
      <c r="I2423" s="32">
        <f>IF(G2423="",0,IF(COUNTIF($G$2:G2423,G2423)=1,1,0))</f>
        <v>0</v>
      </c>
      <c r="J2423" s="32">
        <f>IF(H2423="",0,IF(COUNTIF($H$2:H2423,H2423)=1,1,0))</f>
        <v>0</v>
      </c>
    </row>
    <row r="2424" spans="1:10" ht="14.25" hidden="1" customHeight="1" x14ac:dyDescent="0.35">
      <c r="A2424" s="30"/>
      <c r="E2424" s="31"/>
      <c r="G2424" s="32" t="str">
        <f t="shared" si="74"/>
        <v>|||1900|</v>
      </c>
      <c r="H2424" s="32" t="str">
        <f t="shared" si="75"/>
        <v>||1900|</v>
      </c>
      <c r="I2424" s="32">
        <f>IF(G2424="",0,IF(COUNTIF($G$2:G2424,G2424)=1,1,0))</f>
        <v>0</v>
      </c>
      <c r="J2424" s="32">
        <f>IF(H2424="",0,IF(COUNTIF($H$2:H2424,H2424)=1,1,0))</f>
        <v>0</v>
      </c>
    </row>
    <row r="2425" spans="1:10" ht="14.25" hidden="1" customHeight="1" x14ac:dyDescent="0.35">
      <c r="A2425" s="30"/>
      <c r="E2425" s="31"/>
      <c r="G2425" s="32" t="str">
        <f t="shared" si="74"/>
        <v>|||1900|</v>
      </c>
      <c r="H2425" s="32" t="str">
        <f t="shared" si="75"/>
        <v>||1900|</v>
      </c>
      <c r="I2425" s="32">
        <f>IF(G2425="",0,IF(COUNTIF($G$2:G2425,G2425)=1,1,0))</f>
        <v>0</v>
      </c>
      <c r="J2425" s="32">
        <f>IF(H2425="",0,IF(COUNTIF($H$2:H2425,H2425)=1,1,0))</f>
        <v>0</v>
      </c>
    </row>
    <row r="2426" spans="1:10" ht="14.25" hidden="1" customHeight="1" x14ac:dyDescent="0.35">
      <c r="A2426" s="30"/>
      <c r="E2426" s="31"/>
      <c r="G2426" s="32" t="str">
        <f t="shared" si="74"/>
        <v>|||1900|</v>
      </c>
      <c r="H2426" s="32" t="str">
        <f t="shared" si="75"/>
        <v>||1900|</v>
      </c>
      <c r="I2426" s="32">
        <f>IF(G2426="",0,IF(COUNTIF($G$2:G2426,G2426)=1,1,0))</f>
        <v>0</v>
      </c>
      <c r="J2426" s="32">
        <f>IF(H2426="",0,IF(COUNTIF($H$2:H2426,H2426)=1,1,0))</f>
        <v>0</v>
      </c>
    </row>
    <row r="2427" spans="1:10" ht="14.25" hidden="1" customHeight="1" x14ac:dyDescent="0.35">
      <c r="A2427" s="30"/>
      <c r="E2427" s="31"/>
      <c r="G2427" s="32" t="str">
        <f t="shared" si="74"/>
        <v>|||1900|</v>
      </c>
      <c r="H2427" s="32" t="str">
        <f t="shared" si="75"/>
        <v>||1900|</v>
      </c>
      <c r="I2427" s="32">
        <f>IF(G2427="",0,IF(COUNTIF($G$2:G2427,G2427)=1,1,0))</f>
        <v>0</v>
      </c>
      <c r="J2427" s="32">
        <f>IF(H2427="",0,IF(COUNTIF($H$2:H2427,H2427)=1,1,0))</f>
        <v>0</v>
      </c>
    </row>
    <row r="2428" spans="1:10" ht="14.25" hidden="1" customHeight="1" x14ac:dyDescent="0.35">
      <c r="A2428" s="30"/>
      <c r="E2428" s="31"/>
      <c r="G2428" s="32" t="str">
        <f t="shared" si="74"/>
        <v>|||1900|</v>
      </c>
      <c r="H2428" s="32" t="str">
        <f t="shared" si="75"/>
        <v>||1900|</v>
      </c>
      <c r="I2428" s="32">
        <f>IF(G2428="",0,IF(COUNTIF($G$2:G2428,G2428)=1,1,0))</f>
        <v>0</v>
      </c>
      <c r="J2428" s="32">
        <f>IF(H2428="",0,IF(COUNTIF($H$2:H2428,H2428)=1,1,0))</f>
        <v>0</v>
      </c>
    </row>
    <row r="2429" spans="1:10" ht="14.25" hidden="1" customHeight="1" x14ac:dyDescent="0.35">
      <c r="A2429" s="30"/>
      <c r="E2429" s="31"/>
      <c r="G2429" s="32" t="str">
        <f t="shared" si="74"/>
        <v>|||1900|</v>
      </c>
      <c r="H2429" s="32" t="str">
        <f t="shared" si="75"/>
        <v>||1900|</v>
      </c>
      <c r="I2429" s="32">
        <f>IF(G2429="",0,IF(COUNTIF($G$2:G2429,G2429)=1,1,0))</f>
        <v>0</v>
      </c>
      <c r="J2429" s="32">
        <f>IF(H2429="",0,IF(COUNTIF($H$2:H2429,H2429)=1,1,0))</f>
        <v>0</v>
      </c>
    </row>
    <row r="2430" spans="1:10" ht="14.25" hidden="1" customHeight="1" x14ac:dyDescent="0.35">
      <c r="A2430" s="30"/>
      <c r="E2430" s="31"/>
      <c r="G2430" s="32" t="str">
        <f t="shared" si="74"/>
        <v>|||1900|</v>
      </c>
      <c r="H2430" s="32" t="str">
        <f t="shared" si="75"/>
        <v>||1900|</v>
      </c>
      <c r="I2430" s="32">
        <f>IF(G2430="",0,IF(COUNTIF($G$2:G2430,G2430)=1,1,0))</f>
        <v>0</v>
      </c>
      <c r="J2430" s="32">
        <f>IF(H2430="",0,IF(COUNTIF($H$2:H2430,H2430)=1,1,0))</f>
        <v>0</v>
      </c>
    </row>
    <row r="2431" spans="1:10" ht="14.25" hidden="1" customHeight="1" x14ac:dyDescent="0.35">
      <c r="A2431" s="30"/>
      <c r="E2431" s="31"/>
      <c r="G2431" s="32" t="str">
        <f t="shared" si="74"/>
        <v>|||1900|</v>
      </c>
      <c r="H2431" s="32" t="str">
        <f t="shared" si="75"/>
        <v>||1900|</v>
      </c>
      <c r="I2431" s="32">
        <f>IF(G2431="",0,IF(COUNTIF($G$2:G2431,G2431)=1,1,0))</f>
        <v>0</v>
      </c>
      <c r="J2431" s="32">
        <f>IF(H2431="",0,IF(COUNTIF($H$2:H2431,H2431)=1,1,0))</f>
        <v>0</v>
      </c>
    </row>
    <row r="2432" spans="1:10" ht="14.25" hidden="1" customHeight="1" x14ac:dyDescent="0.35">
      <c r="A2432" s="30"/>
      <c r="E2432" s="31"/>
      <c r="G2432" s="32" t="str">
        <f t="shared" si="74"/>
        <v>|||1900|</v>
      </c>
      <c r="H2432" s="32" t="str">
        <f t="shared" si="75"/>
        <v>||1900|</v>
      </c>
      <c r="I2432" s="32">
        <f>IF(G2432="",0,IF(COUNTIF($G$2:G2432,G2432)=1,1,0))</f>
        <v>0</v>
      </c>
      <c r="J2432" s="32">
        <f>IF(H2432="",0,IF(COUNTIF($H$2:H2432,H2432)=1,1,0))</f>
        <v>0</v>
      </c>
    </row>
    <row r="2433" spans="1:10" ht="14.25" hidden="1" customHeight="1" x14ac:dyDescent="0.35">
      <c r="A2433" s="30"/>
      <c r="E2433" s="31"/>
      <c r="G2433" s="32" t="str">
        <f t="shared" si="74"/>
        <v>|||1900|</v>
      </c>
      <c r="H2433" s="32" t="str">
        <f t="shared" si="75"/>
        <v>||1900|</v>
      </c>
      <c r="I2433" s="32">
        <f>IF(G2433="",0,IF(COUNTIF($G$2:G2433,G2433)=1,1,0))</f>
        <v>0</v>
      </c>
      <c r="J2433" s="32">
        <f>IF(H2433="",0,IF(COUNTIF($H$2:H2433,H2433)=1,1,0))</f>
        <v>0</v>
      </c>
    </row>
    <row r="2434" spans="1:10" ht="14.25" hidden="1" customHeight="1" x14ac:dyDescent="0.35">
      <c r="A2434" s="30"/>
      <c r="E2434" s="31"/>
      <c r="G2434" s="32" t="str">
        <f t="shared" ref="G2434:G2497" si="76">IF(D2434="T",
E2434&amp;"|"&amp;F2434,
A2434&amp;"|"&amp;B2434&amp;"|"&amp;C2434&amp;"|"&amp;YEAR(E2434)&amp;"|"&amp;F2434)</f>
        <v>|||1900|</v>
      </c>
      <c r="H2434" s="32" t="str">
        <f t="shared" ref="H2434:H2497" si="77">A2434&amp;"|"&amp;C2434&amp;"|"&amp;YEAR(E2434)&amp;"|"&amp;F2434</f>
        <v>||1900|</v>
      </c>
      <c r="I2434" s="32">
        <f>IF(G2434="",0,IF(COUNTIF($G$2:G2434,G2434)=1,1,0))</f>
        <v>0</v>
      </c>
      <c r="J2434" s="32">
        <f>IF(H2434="",0,IF(COUNTIF($H$2:H2434,H2434)=1,1,0))</f>
        <v>0</v>
      </c>
    </row>
    <row r="2435" spans="1:10" ht="14.25" hidden="1" customHeight="1" x14ac:dyDescent="0.35">
      <c r="A2435" s="30"/>
      <c r="E2435" s="31"/>
      <c r="G2435" s="32" t="str">
        <f t="shared" si="76"/>
        <v>|||1900|</v>
      </c>
      <c r="H2435" s="32" t="str">
        <f t="shared" si="77"/>
        <v>||1900|</v>
      </c>
      <c r="I2435" s="32">
        <f>IF(G2435="",0,IF(COUNTIF($G$2:G2435,G2435)=1,1,0))</f>
        <v>0</v>
      </c>
      <c r="J2435" s="32">
        <f>IF(H2435="",0,IF(COUNTIF($H$2:H2435,H2435)=1,1,0))</f>
        <v>0</v>
      </c>
    </row>
    <row r="2436" spans="1:10" ht="14.25" hidden="1" customHeight="1" x14ac:dyDescent="0.35">
      <c r="A2436" s="30"/>
      <c r="E2436" s="31"/>
      <c r="G2436" s="32" t="str">
        <f t="shared" si="76"/>
        <v>|||1900|</v>
      </c>
      <c r="H2436" s="32" t="str">
        <f t="shared" si="77"/>
        <v>||1900|</v>
      </c>
      <c r="I2436" s="32">
        <f>IF(G2436="",0,IF(COUNTIF($G$2:G2436,G2436)=1,1,0))</f>
        <v>0</v>
      </c>
      <c r="J2436" s="32">
        <f>IF(H2436="",0,IF(COUNTIF($H$2:H2436,H2436)=1,1,0))</f>
        <v>0</v>
      </c>
    </row>
    <row r="2437" spans="1:10" ht="14.25" hidden="1" customHeight="1" x14ac:dyDescent="0.35">
      <c r="A2437" s="30"/>
      <c r="E2437" s="31"/>
      <c r="G2437" s="32" t="str">
        <f t="shared" si="76"/>
        <v>|||1900|</v>
      </c>
      <c r="H2437" s="32" t="str">
        <f t="shared" si="77"/>
        <v>||1900|</v>
      </c>
      <c r="I2437" s="32">
        <f>IF(G2437="",0,IF(COUNTIF($G$2:G2437,G2437)=1,1,0))</f>
        <v>0</v>
      </c>
      <c r="J2437" s="32">
        <f>IF(H2437="",0,IF(COUNTIF($H$2:H2437,H2437)=1,1,0))</f>
        <v>0</v>
      </c>
    </row>
    <row r="2438" spans="1:10" ht="14.25" hidden="1" customHeight="1" x14ac:dyDescent="0.35">
      <c r="A2438" s="30"/>
      <c r="E2438" s="31"/>
      <c r="G2438" s="32" t="str">
        <f t="shared" si="76"/>
        <v>|||1900|</v>
      </c>
      <c r="H2438" s="32" t="str">
        <f t="shared" si="77"/>
        <v>||1900|</v>
      </c>
      <c r="I2438" s="32">
        <f>IF(G2438="",0,IF(COUNTIF($G$2:G2438,G2438)=1,1,0))</f>
        <v>0</v>
      </c>
      <c r="J2438" s="32">
        <f>IF(H2438="",0,IF(COUNTIF($H$2:H2438,H2438)=1,1,0))</f>
        <v>0</v>
      </c>
    </row>
    <row r="2439" spans="1:10" ht="14.25" hidden="1" customHeight="1" x14ac:dyDescent="0.35">
      <c r="A2439" s="30"/>
      <c r="E2439" s="31"/>
      <c r="G2439" s="32" t="str">
        <f t="shared" si="76"/>
        <v>|||1900|</v>
      </c>
      <c r="H2439" s="32" t="str">
        <f t="shared" si="77"/>
        <v>||1900|</v>
      </c>
      <c r="I2439" s="32">
        <f>IF(G2439="",0,IF(COUNTIF($G$2:G2439,G2439)=1,1,0))</f>
        <v>0</v>
      </c>
      <c r="J2439" s="32">
        <f>IF(H2439="",0,IF(COUNTIF($H$2:H2439,H2439)=1,1,0))</f>
        <v>0</v>
      </c>
    </row>
    <row r="2440" spans="1:10" ht="14.25" hidden="1" customHeight="1" x14ac:dyDescent="0.35">
      <c r="A2440" s="30"/>
      <c r="E2440" s="31"/>
      <c r="G2440" s="32" t="str">
        <f t="shared" si="76"/>
        <v>|||1900|</v>
      </c>
      <c r="H2440" s="32" t="str">
        <f t="shared" si="77"/>
        <v>||1900|</v>
      </c>
      <c r="I2440" s="32">
        <f>IF(G2440="",0,IF(COUNTIF($G$2:G2440,G2440)=1,1,0))</f>
        <v>0</v>
      </c>
      <c r="J2440" s="32">
        <f>IF(H2440="",0,IF(COUNTIF($H$2:H2440,H2440)=1,1,0))</f>
        <v>0</v>
      </c>
    </row>
    <row r="2441" spans="1:10" ht="14.25" hidden="1" customHeight="1" x14ac:dyDescent="0.35">
      <c r="A2441" s="30"/>
      <c r="E2441" s="31"/>
      <c r="G2441" s="32" t="str">
        <f t="shared" si="76"/>
        <v>|||1900|</v>
      </c>
      <c r="H2441" s="32" t="str">
        <f t="shared" si="77"/>
        <v>||1900|</v>
      </c>
      <c r="I2441" s="32">
        <f>IF(G2441="",0,IF(COUNTIF($G$2:G2441,G2441)=1,1,0))</f>
        <v>0</v>
      </c>
      <c r="J2441" s="32">
        <f>IF(H2441="",0,IF(COUNTIF($H$2:H2441,H2441)=1,1,0))</f>
        <v>0</v>
      </c>
    </row>
    <row r="2442" spans="1:10" ht="14.25" hidden="1" customHeight="1" x14ac:dyDescent="0.35">
      <c r="A2442" s="30"/>
      <c r="E2442" s="31"/>
      <c r="G2442" s="32" t="str">
        <f t="shared" si="76"/>
        <v>|||1900|</v>
      </c>
      <c r="H2442" s="32" t="str">
        <f t="shared" si="77"/>
        <v>||1900|</v>
      </c>
      <c r="I2442" s="32">
        <f>IF(G2442="",0,IF(COUNTIF($G$2:G2442,G2442)=1,1,0))</f>
        <v>0</v>
      </c>
      <c r="J2442" s="32">
        <f>IF(H2442="",0,IF(COUNTIF($H$2:H2442,H2442)=1,1,0))</f>
        <v>0</v>
      </c>
    </row>
    <row r="2443" spans="1:10" ht="14.25" hidden="1" customHeight="1" x14ac:dyDescent="0.35">
      <c r="A2443" s="30"/>
      <c r="E2443" s="31"/>
      <c r="G2443" s="32" t="str">
        <f t="shared" si="76"/>
        <v>|||1900|</v>
      </c>
      <c r="H2443" s="32" t="str">
        <f t="shared" si="77"/>
        <v>||1900|</v>
      </c>
      <c r="I2443" s="32">
        <f>IF(G2443="",0,IF(COUNTIF($G$2:G2443,G2443)=1,1,0))</f>
        <v>0</v>
      </c>
      <c r="J2443" s="32">
        <f>IF(H2443="",0,IF(COUNTIF($H$2:H2443,H2443)=1,1,0))</f>
        <v>0</v>
      </c>
    </row>
    <row r="2444" spans="1:10" ht="14.25" hidden="1" customHeight="1" x14ac:dyDescent="0.35">
      <c r="A2444" s="30"/>
      <c r="E2444" s="31"/>
      <c r="G2444" s="32" t="str">
        <f t="shared" si="76"/>
        <v>|||1900|</v>
      </c>
      <c r="H2444" s="32" t="str">
        <f t="shared" si="77"/>
        <v>||1900|</v>
      </c>
      <c r="I2444" s="32">
        <f>IF(G2444="",0,IF(COUNTIF($G$2:G2444,G2444)=1,1,0))</f>
        <v>0</v>
      </c>
      <c r="J2444" s="32">
        <f>IF(H2444="",0,IF(COUNTIF($H$2:H2444,H2444)=1,1,0))</f>
        <v>0</v>
      </c>
    </row>
    <row r="2445" spans="1:10" ht="14.25" hidden="1" customHeight="1" x14ac:dyDescent="0.35">
      <c r="A2445" s="30"/>
      <c r="E2445" s="31"/>
      <c r="G2445" s="32" t="str">
        <f t="shared" si="76"/>
        <v>|||1900|</v>
      </c>
      <c r="H2445" s="32" t="str">
        <f t="shared" si="77"/>
        <v>||1900|</v>
      </c>
      <c r="I2445" s="32">
        <f>IF(G2445="",0,IF(COUNTIF($G$2:G2445,G2445)=1,1,0))</f>
        <v>0</v>
      </c>
      <c r="J2445" s="32">
        <f>IF(H2445="",0,IF(COUNTIF($H$2:H2445,H2445)=1,1,0))</f>
        <v>0</v>
      </c>
    </row>
    <row r="2446" spans="1:10" ht="14.25" hidden="1" customHeight="1" x14ac:dyDescent="0.35">
      <c r="A2446" s="30"/>
      <c r="E2446" s="31"/>
      <c r="G2446" s="32" t="str">
        <f t="shared" si="76"/>
        <v>|||1900|</v>
      </c>
      <c r="H2446" s="32" t="str">
        <f t="shared" si="77"/>
        <v>||1900|</v>
      </c>
      <c r="I2446" s="32">
        <f>IF(G2446="",0,IF(COUNTIF($G$2:G2446,G2446)=1,1,0))</f>
        <v>0</v>
      </c>
      <c r="J2446" s="32">
        <f>IF(H2446="",0,IF(COUNTIF($H$2:H2446,H2446)=1,1,0))</f>
        <v>0</v>
      </c>
    </row>
    <row r="2447" spans="1:10" ht="14.25" hidden="1" customHeight="1" x14ac:dyDescent="0.35">
      <c r="A2447" s="30"/>
      <c r="E2447" s="31"/>
      <c r="G2447" s="32" t="str">
        <f t="shared" si="76"/>
        <v>|||1900|</v>
      </c>
      <c r="H2447" s="32" t="str">
        <f t="shared" si="77"/>
        <v>||1900|</v>
      </c>
      <c r="I2447" s="32">
        <f>IF(G2447="",0,IF(COUNTIF($G$2:G2447,G2447)=1,1,0))</f>
        <v>0</v>
      </c>
      <c r="J2447" s="32">
        <f>IF(H2447="",0,IF(COUNTIF($H$2:H2447,H2447)=1,1,0))</f>
        <v>0</v>
      </c>
    </row>
    <row r="2448" spans="1:10" ht="14.25" hidden="1" customHeight="1" x14ac:dyDescent="0.35">
      <c r="A2448" s="30"/>
      <c r="E2448" s="31"/>
      <c r="G2448" s="32" t="str">
        <f t="shared" si="76"/>
        <v>|||1900|</v>
      </c>
      <c r="H2448" s="32" t="str">
        <f t="shared" si="77"/>
        <v>||1900|</v>
      </c>
      <c r="I2448" s="32">
        <f>IF(G2448="",0,IF(COUNTIF($G$2:G2448,G2448)=1,1,0))</f>
        <v>0</v>
      </c>
      <c r="J2448" s="32">
        <f>IF(H2448="",0,IF(COUNTIF($H$2:H2448,H2448)=1,1,0))</f>
        <v>0</v>
      </c>
    </row>
    <row r="2449" spans="1:10" ht="14.25" hidden="1" customHeight="1" x14ac:dyDescent="0.35">
      <c r="A2449" s="30"/>
      <c r="E2449" s="31"/>
      <c r="G2449" s="32" t="str">
        <f t="shared" si="76"/>
        <v>|||1900|</v>
      </c>
      <c r="H2449" s="32" t="str">
        <f t="shared" si="77"/>
        <v>||1900|</v>
      </c>
      <c r="I2449" s="32">
        <f>IF(G2449="",0,IF(COUNTIF($G$2:G2449,G2449)=1,1,0))</f>
        <v>0</v>
      </c>
      <c r="J2449" s="32">
        <f>IF(H2449="",0,IF(COUNTIF($H$2:H2449,H2449)=1,1,0))</f>
        <v>0</v>
      </c>
    </row>
    <row r="2450" spans="1:10" ht="14.25" hidden="1" customHeight="1" x14ac:dyDescent="0.35">
      <c r="A2450" s="30"/>
      <c r="E2450" s="31"/>
      <c r="G2450" s="32" t="str">
        <f t="shared" si="76"/>
        <v>|||1900|</v>
      </c>
      <c r="H2450" s="32" t="str">
        <f t="shared" si="77"/>
        <v>||1900|</v>
      </c>
      <c r="I2450" s="32">
        <f>IF(G2450="",0,IF(COUNTIF($G$2:G2450,G2450)=1,1,0))</f>
        <v>0</v>
      </c>
      <c r="J2450" s="32">
        <f>IF(H2450="",0,IF(COUNTIF($H$2:H2450,H2450)=1,1,0))</f>
        <v>0</v>
      </c>
    </row>
    <row r="2451" spans="1:10" ht="14.25" hidden="1" customHeight="1" x14ac:dyDescent="0.35">
      <c r="A2451" s="30"/>
      <c r="E2451" s="31"/>
      <c r="G2451" s="32" t="str">
        <f t="shared" si="76"/>
        <v>|||1900|</v>
      </c>
      <c r="H2451" s="32" t="str">
        <f t="shared" si="77"/>
        <v>||1900|</v>
      </c>
      <c r="I2451" s="32">
        <f>IF(G2451="",0,IF(COUNTIF($G$2:G2451,G2451)=1,1,0))</f>
        <v>0</v>
      </c>
      <c r="J2451" s="32">
        <f>IF(H2451="",0,IF(COUNTIF($H$2:H2451,H2451)=1,1,0))</f>
        <v>0</v>
      </c>
    </row>
    <row r="2452" spans="1:10" ht="14.25" hidden="1" customHeight="1" x14ac:dyDescent="0.35">
      <c r="A2452" s="30"/>
      <c r="E2452" s="31"/>
      <c r="G2452" s="32" t="str">
        <f t="shared" si="76"/>
        <v>|||1900|</v>
      </c>
      <c r="H2452" s="32" t="str">
        <f t="shared" si="77"/>
        <v>||1900|</v>
      </c>
      <c r="I2452" s="32">
        <f>IF(G2452="",0,IF(COUNTIF($G$2:G2452,G2452)=1,1,0))</f>
        <v>0</v>
      </c>
      <c r="J2452" s="32">
        <f>IF(H2452="",0,IF(COUNTIF($H$2:H2452,H2452)=1,1,0))</f>
        <v>0</v>
      </c>
    </row>
    <row r="2453" spans="1:10" ht="14.25" hidden="1" customHeight="1" x14ac:dyDescent="0.35">
      <c r="A2453" s="30"/>
      <c r="E2453" s="31"/>
      <c r="G2453" s="32" t="str">
        <f t="shared" si="76"/>
        <v>|||1900|</v>
      </c>
      <c r="H2453" s="32" t="str">
        <f t="shared" si="77"/>
        <v>||1900|</v>
      </c>
      <c r="I2453" s="32">
        <f>IF(G2453="",0,IF(COUNTIF($G$2:G2453,G2453)=1,1,0))</f>
        <v>0</v>
      </c>
      <c r="J2453" s="32">
        <f>IF(H2453="",0,IF(COUNTIF($H$2:H2453,H2453)=1,1,0))</f>
        <v>0</v>
      </c>
    </row>
    <row r="2454" spans="1:10" ht="14.25" hidden="1" customHeight="1" x14ac:dyDescent="0.35">
      <c r="A2454" s="30"/>
      <c r="E2454" s="31"/>
      <c r="G2454" s="32" t="str">
        <f t="shared" si="76"/>
        <v>|||1900|</v>
      </c>
      <c r="H2454" s="32" t="str">
        <f t="shared" si="77"/>
        <v>||1900|</v>
      </c>
      <c r="I2454" s="32">
        <f>IF(G2454="",0,IF(COUNTIF($G$2:G2454,G2454)=1,1,0))</f>
        <v>0</v>
      </c>
      <c r="J2454" s="32">
        <f>IF(H2454="",0,IF(COUNTIF($H$2:H2454,H2454)=1,1,0))</f>
        <v>0</v>
      </c>
    </row>
    <row r="2455" spans="1:10" ht="14.25" hidden="1" customHeight="1" x14ac:dyDescent="0.35">
      <c r="A2455" s="30"/>
      <c r="E2455" s="31"/>
      <c r="G2455" s="32" t="str">
        <f t="shared" si="76"/>
        <v>|||1900|</v>
      </c>
      <c r="H2455" s="32" t="str">
        <f t="shared" si="77"/>
        <v>||1900|</v>
      </c>
      <c r="I2455" s="32">
        <f>IF(G2455="",0,IF(COUNTIF($G$2:G2455,G2455)=1,1,0))</f>
        <v>0</v>
      </c>
      <c r="J2455" s="32">
        <f>IF(H2455="",0,IF(COUNTIF($H$2:H2455,H2455)=1,1,0))</f>
        <v>0</v>
      </c>
    </row>
    <row r="2456" spans="1:10" ht="14.25" hidden="1" customHeight="1" x14ac:dyDescent="0.35">
      <c r="A2456" s="30"/>
      <c r="E2456" s="31"/>
      <c r="G2456" s="32" t="str">
        <f t="shared" si="76"/>
        <v>|||1900|</v>
      </c>
      <c r="H2456" s="32" t="str">
        <f t="shared" si="77"/>
        <v>||1900|</v>
      </c>
      <c r="I2456" s="32">
        <f>IF(G2456="",0,IF(COUNTIF($G$2:G2456,G2456)=1,1,0))</f>
        <v>0</v>
      </c>
      <c r="J2456" s="32">
        <f>IF(H2456="",0,IF(COUNTIF($H$2:H2456,H2456)=1,1,0))</f>
        <v>0</v>
      </c>
    </row>
    <row r="2457" spans="1:10" ht="14.25" hidden="1" customHeight="1" x14ac:dyDescent="0.35">
      <c r="A2457" s="30"/>
      <c r="E2457" s="31"/>
      <c r="G2457" s="32" t="str">
        <f t="shared" si="76"/>
        <v>|||1900|</v>
      </c>
      <c r="H2457" s="32" t="str">
        <f t="shared" si="77"/>
        <v>||1900|</v>
      </c>
      <c r="I2457" s="32">
        <f>IF(G2457="",0,IF(COUNTIF($G$2:G2457,G2457)=1,1,0))</f>
        <v>0</v>
      </c>
      <c r="J2457" s="32">
        <f>IF(H2457="",0,IF(COUNTIF($H$2:H2457,H2457)=1,1,0))</f>
        <v>0</v>
      </c>
    </row>
    <row r="2458" spans="1:10" ht="14.25" hidden="1" customHeight="1" x14ac:dyDescent="0.35">
      <c r="A2458" s="30"/>
      <c r="E2458" s="31"/>
      <c r="G2458" s="32" t="str">
        <f t="shared" si="76"/>
        <v>|||1900|</v>
      </c>
      <c r="H2458" s="32" t="str">
        <f t="shared" si="77"/>
        <v>||1900|</v>
      </c>
      <c r="I2458" s="32">
        <f>IF(G2458="",0,IF(COUNTIF($G$2:G2458,G2458)=1,1,0))</f>
        <v>0</v>
      </c>
      <c r="J2458" s="32">
        <f>IF(H2458="",0,IF(COUNTIF($H$2:H2458,H2458)=1,1,0))</f>
        <v>0</v>
      </c>
    </row>
    <row r="2459" spans="1:10" ht="14.25" hidden="1" customHeight="1" x14ac:dyDescent="0.35">
      <c r="A2459" s="30"/>
      <c r="E2459" s="31"/>
      <c r="G2459" s="32" t="str">
        <f t="shared" si="76"/>
        <v>|||1900|</v>
      </c>
      <c r="H2459" s="32" t="str">
        <f t="shared" si="77"/>
        <v>||1900|</v>
      </c>
      <c r="I2459" s="32">
        <f>IF(G2459="",0,IF(COUNTIF($G$2:G2459,G2459)=1,1,0))</f>
        <v>0</v>
      </c>
      <c r="J2459" s="32">
        <f>IF(H2459="",0,IF(COUNTIF($H$2:H2459,H2459)=1,1,0))</f>
        <v>0</v>
      </c>
    </row>
    <row r="2460" spans="1:10" ht="14.25" hidden="1" customHeight="1" x14ac:dyDescent="0.35">
      <c r="A2460" s="30"/>
      <c r="E2460" s="31"/>
      <c r="G2460" s="32" t="str">
        <f t="shared" si="76"/>
        <v>|||1900|</v>
      </c>
      <c r="H2460" s="32" t="str">
        <f t="shared" si="77"/>
        <v>||1900|</v>
      </c>
      <c r="I2460" s="32">
        <f>IF(G2460="",0,IF(COUNTIF($G$2:G2460,G2460)=1,1,0))</f>
        <v>0</v>
      </c>
      <c r="J2460" s="32">
        <f>IF(H2460="",0,IF(COUNTIF($H$2:H2460,H2460)=1,1,0))</f>
        <v>0</v>
      </c>
    </row>
    <row r="2461" spans="1:10" ht="14.25" hidden="1" customHeight="1" x14ac:dyDescent="0.35">
      <c r="A2461" s="30"/>
      <c r="E2461" s="31"/>
      <c r="G2461" s="32" t="str">
        <f t="shared" si="76"/>
        <v>|||1900|</v>
      </c>
      <c r="H2461" s="32" t="str">
        <f t="shared" si="77"/>
        <v>||1900|</v>
      </c>
      <c r="I2461" s="32">
        <f>IF(G2461="",0,IF(COUNTIF($G$2:G2461,G2461)=1,1,0))</f>
        <v>0</v>
      </c>
      <c r="J2461" s="32">
        <f>IF(H2461="",0,IF(COUNTIF($H$2:H2461,H2461)=1,1,0))</f>
        <v>0</v>
      </c>
    </row>
    <row r="2462" spans="1:10" ht="14.25" hidden="1" customHeight="1" x14ac:dyDescent="0.35">
      <c r="A2462" s="30"/>
      <c r="E2462" s="31"/>
      <c r="G2462" s="32" t="str">
        <f t="shared" si="76"/>
        <v>|||1900|</v>
      </c>
      <c r="H2462" s="32" t="str">
        <f t="shared" si="77"/>
        <v>||1900|</v>
      </c>
      <c r="I2462" s="32">
        <f>IF(G2462="",0,IF(COUNTIF($G$2:G2462,G2462)=1,1,0))</f>
        <v>0</v>
      </c>
      <c r="J2462" s="32">
        <f>IF(H2462="",0,IF(COUNTIF($H$2:H2462,H2462)=1,1,0))</f>
        <v>0</v>
      </c>
    </row>
    <row r="2463" spans="1:10" ht="14.25" hidden="1" customHeight="1" x14ac:dyDescent="0.35">
      <c r="A2463" s="30"/>
      <c r="E2463" s="31"/>
      <c r="G2463" s="32" t="str">
        <f t="shared" si="76"/>
        <v>|||1900|</v>
      </c>
      <c r="H2463" s="32" t="str">
        <f t="shared" si="77"/>
        <v>||1900|</v>
      </c>
      <c r="I2463" s="32">
        <f>IF(G2463="",0,IF(COUNTIF($G$2:G2463,G2463)=1,1,0))</f>
        <v>0</v>
      </c>
      <c r="J2463" s="32">
        <f>IF(H2463="",0,IF(COUNTIF($H$2:H2463,H2463)=1,1,0))</f>
        <v>0</v>
      </c>
    </row>
    <row r="2464" spans="1:10" ht="14.25" hidden="1" customHeight="1" x14ac:dyDescent="0.35">
      <c r="A2464" s="30"/>
      <c r="E2464" s="31"/>
      <c r="G2464" s="32" t="str">
        <f t="shared" si="76"/>
        <v>|||1900|</v>
      </c>
      <c r="H2464" s="32" t="str">
        <f t="shared" si="77"/>
        <v>||1900|</v>
      </c>
      <c r="I2464" s="32">
        <f>IF(G2464="",0,IF(COUNTIF($G$2:G2464,G2464)=1,1,0))</f>
        <v>0</v>
      </c>
      <c r="J2464" s="32">
        <f>IF(H2464="",0,IF(COUNTIF($H$2:H2464,H2464)=1,1,0))</f>
        <v>0</v>
      </c>
    </row>
    <row r="2465" spans="1:10" ht="14.25" hidden="1" customHeight="1" x14ac:dyDescent="0.35">
      <c r="A2465" s="30"/>
      <c r="E2465" s="31"/>
      <c r="G2465" s="32" t="str">
        <f t="shared" si="76"/>
        <v>|||1900|</v>
      </c>
      <c r="H2465" s="32" t="str">
        <f t="shared" si="77"/>
        <v>||1900|</v>
      </c>
      <c r="I2465" s="32">
        <f>IF(G2465="",0,IF(COUNTIF($G$2:G2465,G2465)=1,1,0))</f>
        <v>0</v>
      </c>
      <c r="J2465" s="32">
        <f>IF(H2465="",0,IF(COUNTIF($H$2:H2465,H2465)=1,1,0))</f>
        <v>0</v>
      </c>
    </row>
    <row r="2466" spans="1:10" ht="14.25" hidden="1" customHeight="1" x14ac:dyDescent="0.35">
      <c r="A2466" s="30"/>
      <c r="E2466" s="31"/>
      <c r="G2466" s="32" t="str">
        <f t="shared" si="76"/>
        <v>|||1900|</v>
      </c>
      <c r="H2466" s="32" t="str">
        <f t="shared" si="77"/>
        <v>||1900|</v>
      </c>
      <c r="I2466" s="32">
        <f>IF(G2466="",0,IF(COUNTIF($G$2:G2466,G2466)=1,1,0))</f>
        <v>0</v>
      </c>
      <c r="J2466" s="32">
        <f>IF(H2466="",0,IF(COUNTIF($H$2:H2466,H2466)=1,1,0))</f>
        <v>0</v>
      </c>
    </row>
    <row r="2467" spans="1:10" ht="14.25" hidden="1" customHeight="1" x14ac:dyDescent="0.35">
      <c r="A2467" s="30"/>
      <c r="E2467" s="31"/>
      <c r="G2467" s="32" t="str">
        <f t="shared" si="76"/>
        <v>|||1900|</v>
      </c>
      <c r="H2467" s="32" t="str">
        <f t="shared" si="77"/>
        <v>||1900|</v>
      </c>
      <c r="I2467" s="32">
        <f>IF(G2467="",0,IF(COUNTIF($G$2:G2467,G2467)=1,1,0))</f>
        <v>0</v>
      </c>
      <c r="J2467" s="32">
        <f>IF(H2467="",0,IF(COUNTIF($H$2:H2467,H2467)=1,1,0))</f>
        <v>0</v>
      </c>
    </row>
    <row r="2468" spans="1:10" ht="14.25" hidden="1" customHeight="1" x14ac:dyDescent="0.35">
      <c r="A2468" s="30"/>
      <c r="E2468" s="31"/>
      <c r="G2468" s="32" t="str">
        <f t="shared" si="76"/>
        <v>|||1900|</v>
      </c>
      <c r="H2468" s="32" t="str">
        <f t="shared" si="77"/>
        <v>||1900|</v>
      </c>
      <c r="I2468" s="32">
        <f>IF(G2468="",0,IF(COUNTIF($G$2:G2468,G2468)=1,1,0))</f>
        <v>0</v>
      </c>
      <c r="J2468" s="32">
        <f>IF(H2468="",0,IF(COUNTIF($H$2:H2468,H2468)=1,1,0))</f>
        <v>0</v>
      </c>
    </row>
    <row r="2469" spans="1:10" ht="14.25" hidden="1" customHeight="1" x14ac:dyDescent="0.35">
      <c r="A2469" s="30"/>
      <c r="E2469" s="31"/>
      <c r="G2469" s="32" t="str">
        <f t="shared" si="76"/>
        <v>|||1900|</v>
      </c>
      <c r="H2469" s="32" t="str">
        <f t="shared" si="77"/>
        <v>||1900|</v>
      </c>
      <c r="I2469" s="32">
        <f>IF(G2469="",0,IF(COUNTIF($G$2:G2469,G2469)=1,1,0))</f>
        <v>0</v>
      </c>
      <c r="J2469" s="32">
        <f>IF(H2469="",0,IF(COUNTIF($H$2:H2469,H2469)=1,1,0))</f>
        <v>0</v>
      </c>
    </row>
    <row r="2470" spans="1:10" ht="14.25" hidden="1" customHeight="1" x14ac:dyDescent="0.35">
      <c r="A2470" s="30"/>
      <c r="E2470" s="31"/>
      <c r="G2470" s="32" t="str">
        <f t="shared" si="76"/>
        <v>|||1900|</v>
      </c>
      <c r="H2470" s="32" t="str">
        <f t="shared" si="77"/>
        <v>||1900|</v>
      </c>
      <c r="I2470" s="32">
        <f>IF(G2470="",0,IF(COUNTIF($G$2:G2470,G2470)=1,1,0))</f>
        <v>0</v>
      </c>
      <c r="J2470" s="32">
        <f>IF(H2470="",0,IF(COUNTIF($H$2:H2470,H2470)=1,1,0))</f>
        <v>0</v>
      </c>
    </row>
    <row r="2471" spans="1:10" ht="14.25" hidden="1" customHeight="1" x14ac:dyDescent="0.35">
      <c r="A2471" s="30"/>
      <c r="E2471" s="31"/>
      <c r="G2471" s="32" t="str">
        <f t="shared" si="76"/>
        <v>|||1900|</v>
      </c>
      <c r="H2471" s="32" t="str">
        <f t="shared" si="77"/>
        <v>||1900|</v>
      </c>
      <c r="I2471" s="32">
        <f>IF(G2471="",0,IF(COUNTIF($G$2:G2471,G2471)=1,1,0))</f>
        <v>0</v>
      </c>
      <c r="J2471" s="32">
        <f>IF(H2471="",0,IF(COUNTIF($H$2:H2471,H2471)=1,1,0))</f>
        <v>0</v>
      </c>
    </row>
    <row r="2472" spans="1:10" ht="14.25" hidden="1" customHeight="1" x14ac:dyDescent="0.35">
      <c r="A2472" s="30"/>
      <c r="E2472" s="31"/>
      <c r="G2472" s="32" t="str">
        <f t="shared" si="76"/>
        <v>|||1900|</v>
      </c>
      <c r="H2472" s="32" t="str">
        <f t="shared" si="77"/>
        <v>||1900|</v>
      </c>
      <c r="I2472" s="32">
        <f>IF(G2472="",0,IF(COUNTIF($G$2:G2472,G2472)=1,1,0))</f>
        <v>0</v>
      </c>
      <c r="J2472" s="32">
        <f>IF(H2472="",0,IF(COUNTIF($H$2:H2472,H2472)=1,1,0))</f>
        <v>0</v>
      </c>
    </row>
    <row r="2473" spans="1:10" ht="14.25" hidden="1" customHeight="1" x14ac:dyDescent="0.35">
      <c r="A2473" s="30"/>
      <c r="E2473" s="31"/>
      <c r="G2473" s="32" t="str">
        <f t="shared" si="76"/>
        <v>|||1900|</v>
      </c>
      <c r="H2473" s="32" t="str">
        <f t="shared" si="77"/>
        <v>||1900|</v>
      </c>
      <c r="I2473" s="32">
        <f>IF(G2473="",0,IF(COUNTIF($G$2:G2473,G2473)=1,1,0))</f>
        <v>0</v>
      </c>
      <c r="J2473" s="32">
        <f>IF(H2473="",0,IF(COUNTIF($H$2:H2473,H2473)=1,1,0))</f>
        <v>0</v>
      </c>
    </row>
    <row r="2474" spans="1:10" ht="14.25" hidden="1" customHeight="1" x14ac:dyDescent="0.35">
      <c r="A2474" s="30"/>
      <c r="E2474" s="31"/>
      <c r="G2474" s="32" t="str">
        <f t="shared" si="76"/>
        <v>|||1900|</v>
      </c>
      <c r="H2474" s="32" t="str">
        <f t="shared" si="77"/>
        <v>||1900|</v>
      </c>
      <c r="I2474" s="32">
        <f>IF(G2474="",0,IF(COUNTIF($G$2:G2474,G2474)=1,1,0))</f>
        <v>0</v>
      </c>
      <c r="J2474" s="32">
        <f>IF(H2474="",0,IF(COUNTIF($H$2:H2474,H2474)=1,1,0))</f>
        <v>0</v>
      </c>
    </row>
    <row r="2475" spans="1:10" ht="14.25" hidden="1" customHeight="1" x14ac:dyDescent="0.35">
      <c r="A2475" s="30"/>
      <c r="E2475" s="31"/>
      <c r="G2475" s="32" t="str">
        <f t="shared" si="76"/>
        <v>|||1900|</v>
      </c>
      <c r="H2475" s="32" t="str">
        <f t="shared" si="77"/>
        <v>||1900|</v>
      </c>
      <c r="I2475" s="32">
        <f>IF(G2475="",0,IF(COUNTIF($G$2:G2475,G2475)=1,1,0))</f>
        <v>0</v>
      </c>
      <c r="J2475" s="32">
        <f>IF(H2475="",0,IF(COUNTIF($H$2:H2475,H2475)=1,1,0))</f>
        <v>0</v>
      </c>
    </row>
    <row r="2476" spans="1:10" ht="14.25" hidden="1" customHeight="1" x14ac:dyDescent="0.35">
      <c r="A2476" s="30"/>
      <c r="E2476" s="31"/>
      <c r="G2476" s="32" t="str">
        <f t="shared" si="76"/>
        <v>|||1900|</v>
      </c>
      <c r="H2476" s="32" t="str">
        <f t="shared" si="77"/>
        <v>||1900|</v>
      </c>
      <c r="I2476" s="32">
        <f>IF(G2476="",0,IF(COUNTIF($G$2:G2476,G2476)=1,1,0))</f>
        <v>0</v>
      </c>
      <c r="J2476" s="32">
        <f>IF(H2476="",0,IF(COUNTIF($H$2:H2476,H2476)=1,1,0))</f>
        <v>0</v>
      </c>
    </row>
    <row r="2477" spans="1:10" ht="14.25" hidden="1" customHeight="1" x14ac:dyDescent="0.35">
      <c r="A2477" s="30"/>
      <c r="E2477" s="31"/>
      <c r="G2477" s="32" t="str">
        <f t="shared" si="76"/>
        <v>|||1900|</v>
      </c>
      <c r="H2477" s="32" t="str">
        <f t="shared" si="77"/>
        <v>||1900|</v>
      </c>
      <c r="I2477" s="32">
        <f>IF(G2477="",0,IF(COUNTIF($G$2:G2477,G2477)=1,1,0))</f>
        <v>0</v>
      </c>
      <c r="J2477" s="32">
        <f>IF(H2477="",0,IF(COUNTIF($H$2:H2477,H2477)=1,1,0))</f>
        <v>0</v>
      </c>
    </row>
    <row r="2478" spans="1:10" ht="14.25" hidden="1" customHeight="1" x14ac:dyDescent="0.35">
      <c r="A2478" s="30"/>
      <c r="E2478" s="31"/>
      <c r="G2478" s="32" t="str">
        <f t="shared" si="76"/>
        <v>|||1900|</v>
      </c>
      <c r="H2478" s="32" t="str">
        <f t="shared" si="77"/>
        <v>||1900|</v>
      </c>
      <c r="I2478" s="32">
        <f>IF(G2478="",0,IF(COUNTIF($G$2:G2478,G2478)=1,1,0))</f>
        <v>0</v>
      </c>
      <c r="J2478" s="32">
        <f>IF(H2478="",0,IF(COUNTIF($H$2:H2478,H2478)=1,1,0))</f>
        <v>0</v>
      </c>
    </row>
    <row r="2479" spans="1:10" ht="14.25" hidden="1" customHeight="1" x14ac:dyDescent="0.35">
      <c r="A2479" s="30"/>
      <c r="E2479" s="31"/>
      <c r="G2479" s="32" t="str">
        <f t="shared" si="76"/>
        <v>|||1900|</v>
      </c>
      <c r="H2479" s="32" t="str">
        <f t="shared" si="77"/>
        <v>||1900|</v>
      </c>
      <c r="I2479" s="32">
        <f>IF(G2479="",0,IF(COUNTIF($G$2:G2479,G2479)=1,1,0))</f>
        <v>0</v>
      </c>
      <c r="J2479" s="32">
        <f>IF(H2479="",0,IF(COUNTIF($H$2:H2479,H2479)=1,1,0))</f>
        <v>0</v>
      </c>
    </row>
    <row r="2480" spans="1:10" ht="14.25" hidden="1" customHeight="1" x14ac:dyDescent="0.35">
      <c r="A2480" s="30"/>
      <c r="E2480" s="31"/>
      <c r="G2480" s="32" t="str">
        <f t="shared" si="76"/>
        <v>|||1900|</v>
      </c>
      <c r="H2480" s="32" t="str">
        <f t="shared" si="77"/>
        <v>||1900|</v>
      </c>
      <c r="I2480" s="32">
        <f>IF(G2480="",0,IF(COUNTIF($G$2:G2480,G2480)=1,1,0))</f>
        <v>0</v>
      </c>
      <c r="J2480" s="32">
        <f>IF(H2480="",0,IF(COUNTIF($H$2:H2480,H2480)=1,1,0))</f>
        <v>0</v>
      </c>
    </row>
    <row r="2481" spans="1:10" ht="14.25" hidden="1" customHeight="1" x14ac:dyDescent="0.35">
      <c r="A2481" s="30"/>
      <c r="E2481" s="31"/>
      <c r="G2481" s="32" t="str">
        <f t="shared" si="76"/>
        <v>|||1900|</v>
      </c>
      <c r="H2481" s="32" t="str">
        <f t="shared" si="77"/>
        <v>||1900|</v>
      </c>
      <c r="I2481" s="32">
        <f>IF(G2481="",0,IF(COUNTIF($G$2:G2481,G2481)=1,1,0))</f>
        <v>0</v>
      </c>
      <c r="J2481" s="32">
        <f>IF(H2481="",0,IF(COUNTIF($H$2:H2481,H2481)=1,1,0))</f>
        <v>0</v>
      </c>
    </row>
    <row r="2482" spans="1:10" ht="14.25" hidden="1" customHeight="1" x14ac:dyDescent="0.35">
      <c r="A2482" s="30"/>
      <c r="E2482" s="31"/>
      <c r="G2482" s="32" t="str">
        <f t="shared" si="76"/>
        <v>|||1900|</v>
      </c>
      <c r="H2482" s="32" t="str">
        <f t="shared" si="77"/>
        <v>||1900|</v>
      </c>
      <c r="I2482" s="32">
        <f>IF(G2482="",0,IF(COUNTIF($G$2:G2482,G2482)=1,1,0))</f>
        <v>0</v>
      </c>
      <c r="J2482" s="32">
        <f>IF(H2482="",0,IF(COUNTIF($H$2:H2482,H2482)=1,1,0))</f>
        <v>0</v>
      </c>
    </row>
    <row r="2483" spans="1:10" ht="14.25" hidden="1" customHeight="1" x14ac:dyDescent="0.35">
      <c r="A2483" s="30"/>
      <c r="E2483" s="31"/>
      <c r="G2483" s="32" t="str">
        <f t="shared" si="76"/>
        <v>|||1900|</v>
      </c>
      <c r="H2483" s="32" t="str">
        <f t="shared" si="77"/>
        <v>||1900|</v>
      </c>
      <c r="I2483" s="32">
        <f>IF(G2483="",0,IF(COUNTIF($G$2:G2483,G2483)=1,1,0))</f>
        <v>0</v>
      </c>
      <c r="J2483" s="32">
        <f>IF(H2483="",0,IF(COUNTIF($H$2:H2483,H2483)=1,1,0))</f>
        <v>0</v>
      </c>
    </row>
    <row r="2484" spans="1:10" ht="14.25" hidden="1" customHeight="1" x14ac:dyDescent="0.35">
      <c r="A2484" s="30"/>
      <c r="E2484" s="31"/>
      <c r="G2484" s="32" t="str">
        <f t="shared" si="76"/>
        <v>|||1900|</v>
      </c>
      <c r="H2484" s="32" t="str">
        <f t="shared" si="77"/>
        <v>||1900|</v>
      </c>
      <c r="I2484" s="32">
        <f>IF(G2484="",0,IF(COUNTIF($G$2:G2484,G2484)=1,1,0))</f>
        <v>0</v>
      </c>
      <c r="J2484" s="32">
        <f>IF(H2484="",0,IF(COUNTIF($H$2:H2484,H2484)=1,1,0))</f>
        <v>0</v>
      </c>
    </row>
    <row r="2485" spans="1:10" ht="14.25" hidden="1" customHeight="1" x14ac:dyDescent="0.35">
      <c r="A2485" s="30"/>
      <c r="E2485" s="31"/>
      <c r="G2485" s="32" t="str">
        <f t="shared" si="76"/>
        <v>|||1900|</v>
      </c>
      <c r="H2485" s="32" t="str">
        <f t="shared" si="77"/>
        <v>||1900|</v>
      </c>
      <c r="I2485" s="32">
        <f>IF(G2485="",0,IF(COUNTIF($G$2:G2485,G2485)=1,1,0))</f>
        <v>0</v>
      </c>
      <c r="J2485" s="32">
        <f>IF(H2485="",0,IF(COUNTIF($H$2:H2485,H2485)=1,1,0))</f>
        <v>0</v>
      </c>
    </row>
    <row r="2486" spans="1:10" ht="14.25" hidden="1" customHeight="1" x14ac:dyDescent="0.35">
      <c r="A2486" s="30"/>
      <c r="E2486" s="31"/>
      <c r="G2486" s="32" t="str">
        <f t="shared" si="76"/>
        <v>|||1900|</v>
      </c>
      <c r="H2486" s="32" t="str">
        <f t="shared" si="77"/>
        <v>||1900|</v>
      </c>
      <c r="I2486" s="32">
        <f>IF(G2486="",0,IF(COUNTIF($G$2:G2486,G2486)=1,1,0))</f>
        <v>0</v>
      </c>
      <c r="J2486" s="32">
        <f>IF(H2486="",0,IF(COUNTIF($H$2:H2486,H2486)=1,1,0))</f>
        <v>0</v>
      </c>
    </row>
    <row r="2487" spans="1:10" ht="14.25" hidden="1" customHeight="1" x14ac:dyDescent="0.35">
      <c r="A2487" s="30"/>
      <c r="E2487" s="31"/>
      <c r="G2487" s="32" t="str">
        <f t="shared" si="76"/>
        <v>|||1900|</v>
      </c>
      <c r="H2487" s="32" t="str">
        <f t="shared" si="77"/>
        <v>||1900|</v>
      </c>
      <c r="I2487" s="32">
        <f>IF(G2487="",0,IF(COUNTIF($G$2:G2487,G2487)=1,1,0))</f>
        <v>0</v>
      </c>
      <c r="J2487" s="32">
        <f>IF(H2487="",0,IF(COUNTIF($H$2:H2487,H2487)=1,1,0))</f>
        <v>0</v>
      </c>
    </row>
    <row r="2488" spans="1:10" ht="14.25" hidden="1" customHeight="1" x14ac:dyDescent="0.35">
      <c r="A2488" s="30"/>
      <c r="E2488" s="31"/>
      <c r="G2488" s="32" t="str">
        <f t="shared" si="76"/>
        <v>|||1900|</v>
      </c>
      <c r="H2488" s="32" t="str">
        <f t="shared" si="77"/>
        <v>||1900|</v>
      </c>
      <c r="I2488" s="32">
        <f>IF(G2488="",0,IF(COUNTIF($G$2:G2488,G2488)=1,1,0))</f>
        <v>0</v>
      </c>
      <c r="J2488" s="32">
        <f>IF(H2488="",0,IF(COUNTIF($H$2:H2488,H2488)=1,1,0))</f>
        <v>0</v>
      </c>
    </row>
    <row r="2489" spans="1:10" ht="14.25" hidden="1" customHeight="1" x14ac:dyDescent="0.35">
      <c r="A2489" s="30"/>
      <c r="E2489" s="31"/>
      <c r="G2489" s="32" t="str">
        <f t="shared" si="76"/>
        <v>|||1900|</v>
      </c>
      <c r="H2489" s="32" t="str">
        <f t="shared" si="77"/>
        <v>||1900|</v>
      </c>
      <c r="I2489" s="32">
        <f>IF(G2489="",0,IF(COUNTIF($G$2:G2489,G2489)=1,1,0))</f>
        <v>0</v>
      </c>
      <c r="J2489" s="32">
        <f>IF(H2489="",0,IF(COUNTIF($H$2:H2489,H2489)=1,1,0))</f>
        <v>0</v>
      </c>
    </row>
    <row r="2490" spans="1:10" ht="14.25" hidden="1" customHeight="1" x14ac:dyDescent="0.35">
      <c r="A2490" s="30"/>
      <c r="E2490" s="31"/>
      <c r="G2490" s="32" t="str">
        <f t="shared" si="76"/>
        <v>|||1900|</v>
      </c>
      <c r="H2490" s="32" t="str">
        <f t="shared" si="77"/>
        <v>||1900|</v>
      </c>
      <c r="I2490" s="32">
        <f>IF(G2490="",0,IF(COUNTIF($G$2:G2490,G2490)=1,1,0))</f>
        <v>0</v>
      </c>
      <c r="J2490" s="32">
        <f>IF(H2490="",0,IF(COUNTIF($H$2:H2490,H2490)=1,1,0))</f>
        <v>0</v>
      </c>
    </row>
    <row r="2491" spans="1:10" ht="14.25" hidden="1" customHeight="1" x14ac:dyDescent="0.35">
      <c r="A2491" s="30"/>
      <c r="E2491" s="31"/>
      <c r="G2491" s="32" t="str">
        <f t="shared" si="76"/>
        <v>|||1900|</v>
      </c>
      <c r="H2491" s="32" t="str">
        <f t="shared" si="77"/>
        <v>||1900|</v>
      </c>
      <c r="I2491" s="32">
        <f>IF(G2491="",0,IF(COUNTIF($G$2:G2491,G2491)=1,1,0))</f>
        <v>0</v>
      </c>
      <c r="J2491" s="32">
        <f>IF(H2491="",0,IF(COUNTIF($H$2:H2491,H2491)=1,1,0))</f>
        <v>0</v>
      </c>
    </row>
    <row r="2492" spans="1:10" ht="14.25" hidden="1" customHeight="1" x14ac:dyDescent="0.35">
      <c r="A2492" s="30"/>
      <c r="E2492" s="31"/>
      <c r="G2492" s="32" t="str">
        <f t="shared" si="76"/>
        <v>|||1900|</v>
      </c>
      <c r="H2492" s="32" t="str">
        <f t="shared" si="77"/>
        <v>||1900|</v>
      </c>
      <c r="I2492" s="32">
        <f>IF(G2492="",0,IF(COUNTIF($G$2:G2492,G2492)=1,1,0))</f>
        <v>0</v>
      </c>
      <c r="J2492" s="32">
        <f>IF(H2492="",0,IF(COUNTIF($H$2:H2492,H2492)=1,1,0))</f>
        <v>0</v>
      </c>
    </row>
    <row r="2493" spans="1:10" ht="14.25" hidden="1" customHeight="1" x14ac:dyDescent="0.35">
      <c r="A2493" s="30"/>
      <c r="E2493" s="31"/>
      <c r="G2493" s="32" t="str">
        <f t="shared" si="76"/>
        <v>|||1900|</v>
      </c>
      <c r="H2493" s="32" t="str">
        <f t="shared" si="77"/>
        <v>||1900|</v>
      </c>
      <c r="I2493" s="32">
        <f>IF(G2493="",0,IF(COUNTIF($G$2:G2493,G2493)=1,1,0))</f>
        <v>0</v>
      </c>
      <c r="J2493" s="32">
        <f>IF(H2493="",0,IF(COUNTIF($H$2:H2493,H2493)=1,1,0))</f>
        <v>0</v>
      </c>
    </row>
    <row r="2494" spans="1:10" ht="14.25" hidden="1" customHeight="1" x14ac:dyDescent="0.35">
      <c r="A2494" s="30"/>
      <c r="E2494" s="31"/>
      <c r="G2494" s="32" t="str">
        <f t="shared" si="76"/>
        <v>|||1900|</v>
      </c>
      <c r="H2494" s="32" t="str">
        <f t="shared" si="77"/>
        <v>||1900|</v>
      </c>
      <c r="I2494" s="32">
        <f>IF(G2494="",0,IF(COUNTIF($G$2:G2494,G2494)=1,1,0))</f>
        <v>0</v>
      </c>
      <c r="J2494" s="32">
        <f>IF(H2494="",0,IF(COUNTIF($H$2:H2494,H2494)=1,1,0))</f>
        <v>0</v>
      </c>
    </row>
    <row r="2495" spans="1:10" ht="14.25" hidden="1" customHeight="1" x14ac:dyDescent="0.35">
      <c r="A2495" s="30"/>
      <c r="E2495" s="31"/>
      <c r="G2495" s="32" t="str">
        <f t="shared" si="76"/>
        <v>|||1900|</v>
      </c>
      <c r="H2495" s="32" t="str">
        <f t="shared" si="77"/>
        <v>||1900|</v>
      </c>
      <c r="I2495" s="32">
        <f>IF(G2495="",0,IF(COUNTIF($G$2:G2495,G2495)=1,1,0))</f>
        <v>0</v>
      </c>
      <c r="J2495" s="32">
        <f>IF(H2495="",0,IF(COUNTIF($H$2:H2495,H2495)=1,1,0))</f>
        <v>0</v>
      </c>
    </row>
    <row r="2496" spans="1:10" ht="14.25" hidden="1" customHeight="1" x14ac:dyDescent="0.35">
      <c r="A2496" s="30"/>
      <c r="E2496" s="31"/>
      <c r="G2496" s="32" t="str">
        <f t="shared" si="76"/>
        <v>|||1900|</v>
      </c>
      <c r="H2496" s="32" t="str">
        <f t="shared" si="77"/>
        <v>||1900|</v>
      </c>
      <c r="I2496" s="32">
        <f>IF(G2496="",0,IF(COUNTIF($G$2:G2496,G2496)=1,1,0))</f>
        <v>0</v>
      </c>
      <c r="J2496" s="32">
        <f>IF(H2496="",0,IF(COUNTIF($H$2:H2496,H2496)=1,1,0))</f>
        <v>0</v>
      </c>
    </row>
    <row r="2497" spans="1:10" ht="14.25" hidden="1" customHeight="1" x14ac:dyDescent="0.35">
      <c r="A2497" s="30"/>
      <c r="E2497" s="31"/>
      <c r="G2497" s="32" t="str">
        <f t="shared" si="76"/>
        <v>|||1900|</v>
      </c>
      <c r="H2497" s="32" t="str">
        <f t="shared" si="77"/>
        <v>||1900|</v>
      </c>
      <c r="I2497" s="32">
        <f>IF(G2497="",0,IF(COUNTIF($G$2:G2497,G2497)=1,1,0))</f>
        <v>0</v>
      </c>
      <c r="J2497" s="32">
        <f>IF(H2497="",0,IF(COUNTIF($H$2:H2497,H2497)=1,1,0))</f>
        <v>0</v>
      </c>
    </row>
    <row r="2498" spans="1:10" ht="14.25" hidden="1" customHeight="1" x14ac:dyDescent="0.35">
      <c r="A2498" s="30"/>
      <c r="E2498" s="31"/>
      <c r="G2498" s="32" t="str">
        <f t="shared" ref="G2498:G2561" si="78">IF(D2498="T",
E2498&amp;"|"&amp;F2498,
A2498&amp;"|"&amp;B2498&amp;"|"&amp;C2498&amp;"|"&amp;YEAR(E2498)&amp;"|"&amp;F2498)</f>
        <v>|||1900|</v>
      </c>
      <c r="H2498" s="32" t="str">
        <f t="shared" ref="H2498:H2561" si="79">A2498&amp;"|"&amp;C2498&amp;"|"&amp;YEAR(E2498)&amp;"|"&amp;F2498</f>
        <v>||1900|</v>
      </c>
      <c r="I2498" s="32">
        <f>IF(G2498="",0,IF(COUNTIF($G$2:G2498,G2498)=1,1,0))</f>
        <v>0</v>
      </c>
      <c r="J2498" s="32">
        <f>IF(H2498="",0,IF(COUNTIF($H$2:H2498,H2498)=1,1,0))</f>
        <v>0</v>
      </c>
    </row>
    <row r="2499" spans="1:10" ht="14.25" hidden="1" customHeight="1" x14ac:dyDescent="0.35">
      <c r="A2499" s="30"/>
      <c r="E2499" s="31"/>
      <c r="G2499" s="32" t="str">
        <f t="shared" si="78"/>
        <v>|||1900|</v>
      </c>
      <c r="H2499" s="32" t="str">
        <f t="shared" si="79"/>
        <v>||1900|</v>
      </c>
      <c r="I2499" s="32">
        <f>IF(G2499="",0,IF(COUNTIF($G$2:G2499,G2499)=1,1,0))</f>
        <v>0</v>
      </c>
      <c r="J2499" s="32">
        <f>IF(H2499="",0,IF(COUNTIF($H$2:H2499,H2499)=1,1,0))</f>
        <v>0</v>
      </c>
    </row>
    <row r="2500" spans="1:10" ht="14.25" hidden="1" customHeight="1" x14ac:dyDescent="0.35">
      <c r="A2500" s="30"/>
      <c r="E2500" s="31"/>
      <c r="G2500" s="32" t="str">
        <f t="shared" si="78"/>
        <v>|||1900|</v>
      </c>
      <c r="H2500" s="32" t="str">
        <f t="shared" si="79"/>
        <v>||1900|</v>
      </c>
      <c r="I2500" s="32">
        <f>IF(G2500="",0,IF(COUNTIF($G$2:G2500,G2500)=1,1,0))</f>
        <v>0</v>
      </c>
      <c r="J2500" s="32">
        <f>IF(H2500="",0,IF(COUNTIF($H$2:H2500,H2500)=1,1,0))</f>
        <v>0</v>
      </c>
    </row>
    <row r="2501" spans="1:10" ht="14.25" hidden="1" customHeight="1" x14ac:dyDescent="0.35">
      <c r="A2501" s="30"/>
      <c r="E2501" s="31"/>
      <c r="G2501" s="32" t="str">
        <f t="shared" si="78"/>
        <v>|||1900|</v>
      </c>
      <c r="H2501" s="32" t="str">
        <f t="shared" si="79"/>
        <v>||1900|</v>
      </c>
      <c r="I2501" s="32">
        <f>IF(G2501="",0,IF(COUNTIF($G$2:G2501,G2501)=1,1,0))</f>
        <v>0</v>
      </c>
      <c r="J2501" s="32">
        <f>IF(H2501="",0,IF(COUNTIF($H$2:H2501,H2501)=1,1,0))</f>
        <v>0</v>
      </c>
    </row>
    <row r="2502" spans="1:10" ht="14.25" hidden="1" customHeight="1" x14ac:dyDescent="0.35">
      <c r="A2502" s="30"/>
      <c r="E2502" s="31"/>
      <c r="G2502" s="32" t="str">
        <f t="shared" si="78"/>
        <v>|||1900|</v>
      </c>
      <c r="H2502" s="32" t="str">
        <f t="shared" si="79"/>
        <v>||1900|</v>
      </c>
      <c r="I2502" s="32">
        <f>IF(G2502="",0,IF(COUNTIF($G$2:G2502,G2502)=1,1,0))</f>
        <v>0</v>
      </c>
      <c r="J2502" s="32">
        <f>IF(H2502="",0,IF(COUNTIF($H$2:H2502,H2502)=1,1,0))</f>
        <v>0</v>
      </c>
    </row>
    <row r="2503" spans="1:10" ht="14.25" hidden="1" customHeight="1" x14ac:dyDescent="0.35">
      <c r="A2503" s="30"/>
      <c r="E2503" s="31"/>
      <c r="G2503" s="32" t="str">
        <f t="shared" si="78"/>
        <v>|||1900|</v>
      </c>
      <c r="H2503" s="32" t="str">
        <f t="shared" si="79"/>
        <v>||1900|</v>
      </c>
      <c r="I2503" s="32">
        <f>IF(G2503="",0,IF(COUNTIF($G$2:G2503,G2503)=1,1,0))</f>
        <v>0</v>
      </c>
      <c r="J2503" s="32">
        <f>IF(H2503="",0,IF(COUNTIF($H$2:H2503,H2503)=1,1,0))</f>
        <v>0</v>
      </c>
    </row>
    <row r="2504" spans="1:10" ht="14.25" hidden="1" customHeight="1" x14ac:dyDescent="0.35">
      <c r="A2504" s="30"/>
      <c r="E2504" s="31"/>
      <c r="G2504" s="32" t="str">
        <f t="shared" si="78"/>
        <v>|||1900|</v>
      </c>
      <c r="H2504" s="32" t="str">
        <f t="shared" si="79"/>
        <v>||1900|</v>
      </c>
      <c r="I2504" s="32">
        <f>IF(G2504="",0,IF(COUNTIF($G$2:G2504,G2504)=1,1,0))</f>
        <v>0</v>
      </c>
      <c r="J2504" s="32">
        <f>IF(H2504="",0,IF(COUNTIF($H$2:H2504,H2504)=1,1,0))</f>
        <v>0</v>
      </c>
    </row>
    <row r="2505" spans="1:10" ht="14.25" hidden="1" customHeight="1" x14ac:dyDescent="0.35">
      <c r="A2505" s="30"/>
      <c r="E2505" s="31"/>
      <c r="G2505" s="32" t="str">
        <f t="shared" si="78"/>
        <v>|||1900|</v>
      </c>
      <c r="H2505" s="32" t="str">
        <f t="shared" si="79"/>
        <v>||1900|</v>
      </c>
      <c r="I2505" s="32">
        <f>IF(G2505="",0,IF(COUNTIF($G$2:G2505,G2505)=1,1,0))</f>
        <v>0</v>
      </c>
      <c r="J2505" s="32">
        <f>IF(H2505="",0,IF(COUNTIF($H$2:H2505,H2505)=1,1,0))</f>
        <v>0</v>
      </c>
    </row>
    <row r="2506" spans="1:10" ht="14.25" hidden="1" customHeight="1" x14ac:dyDescent="0.35">
      <c r="A2506" s="30"/>
      <c r="E2506" s="31"/>
      <c r="G2506" s="32" t="str">
        <f t="shared" si="78"/>
        <v>|||1900|</v>
      </c>
      <c r="H2506" s="32" t="str">
        <f t="shared" si="79"/>
        <v>||1900|</v>
      </c>
      <c r="I2506" s="32">
        <f>IF(G2506="",0,IF(COUNTIF($G$2:G2506,G2506)=1,1,0))</f>
        <v>0</v>
      </c>
      <c r="J2506" s="32">
        <f>IF(H2506="",0,IF(COUNTIF($H$2:H2506,H2506)=1,1,0))</f>
        <v>0</v>
      </c>
    </row>
    <row r="2507" spans="1:10" ht="14.25" hidden="1" customHeight="1" x14ac:dyDescent="0.35">
      <c r="A2507" s="30"/>
      <c r="E2507" s="31"/>
      <c r="G2507" s="32" t="str">
        <f t="shared" si="78"/>
        <v>|||1900|</v>
      </c>
      <c r="H2507" s="32" t="str">
        <f t="shared" si="79"/>
        <v>||1900|</v>
      </c>
      <c r="I2507" s="32">
        <f>IF(G2507="",0,IF(COUNTIF($G$2:G2507,G2507)=1,1,0))</f>
        <v>0</v>
      </c>
      <c r="J2507" s="32">
        <f>IF(H2507="",0,IF(COUNTIF($H$2:H2507,H2507)=1,1,0))</f>
        <v>0</v>
      </c>
    </row>
    <row r="2508" spans="1:10" ht="14.25" hidden="1" customHeight="1" x14ac:dyDescent="0.35">
      <c r="A2508" s="30"/>
      <c r="E2508" s="31"/>
      <c r="G2508" s="32" t="str">
        <f t="shared" si="78"/>
        <v>|||1900|</v>
      </c>
      <c r="H2508" s="32" t="str">
        <f t="shared" si="79"/>
        <v>||1900|</v>
      </c>
      <c r="I2508" s="32">
        <f>IF(G2508="",0,IF(COUNTIF($G$2:G2508,G2508)=1,1,0))</f>
        <v>0</v>
      </c>
      <c r="J2508" s="32">
        <f>IF(H2508="",0,IF(COUNTIF($H$2:H2508,H2508)=1,1,0))</f>
        <v>0</v>
      </c>
    </row>
    <row r="2509" spans="1:10" ht="14.25" hidden="1" customHeight="1" x14ac:dyDescent="0.35">
      <c r="A2509" s="30"/>
      <c r="E2509" s="31"/>
      <c r="G2509" s="32" t="str">
        <f t="shared" si="78"/>
        <v>|||1900|</v>
      </c>
      <c r="H2509" s="32" t="str">
        <f t="shared" si="79"/>
        <v>||1900|</v>
      </c>
      <c r="I2509" s="32">
        <f>IF(G2509="",0,IF(COUNTIF($G$2:G2509,G2509)=1,1,0))</f>
        <v>0</v>
      </c>
      <c r="J2509" s="32">
        <f>IF(H2509="",0,IF(COUNTIF($H$2:H2509,H2509)=1,1,0))</f>
        <v>0</v>
      </c>
    </row>
    <row r="2510" spans="1:10" ht="14.25" hidden="1" customHeight="1" x14ac:dyDescent="0.35">
      <c r="A2510" s="30"/>
      <c r="E2510" s="31"/>
      <c r="G2510" s="32" t="str">
        <f t="shared" si="78"/>
        <v>|||1900|</v>
      </c>
      <c r="H2510" s="32" t="str">
        <f t="shared" si="79"/>
        <v>||1900|</v>
      </c>
      <c r="I2510" s="32">
        <f>IF(G2510="",0,IF(COUNTIF($G$2:G2510,G2510)=1,1,0))</f>
        <v>0</v>
      </c>
      <c r="J2510" s="32">
        <f>IF(H2510="",0,IF(COUNTIF($H$2:H2510,H2510)=1,1,0))</f>
        <v>0</v>
      </c>
    </row>
    <row r="2511" spans="1:10" ht="14.25" hidden="1" customHeight="1" x14ac:dyDescent="0.35">
      <c r="A2511" s="30"/>
      <c r="E2511" s="31"/>
      <c r="G2511" s="32" t="str">
        <f t="shared" si="78"/>
        <v>|||1900|</v>
      </c>
      <c r="H2511" s="32" t="str">
        <f t="shared" si="79"/>
        <v>||1900|</v>
      </c>
      <c r="I2511" s="32">
        <f>IF(G2511="",0,IF(COUNTIF($G$2:G2511,G2511)=1,1,0))</f>
        <v>0</v>
      </c>
      <c r="J2511" s="32">
        <f>IF(H2511="",0,IF(COUNTIF($H$2:H2511,H2511)=1,1,0))</f>
        <v>0</v>
      </c>
    </row>
    <row r="2512" spans="1:10" ht="14.25" hidden="1" customHeight="1" x14ac:dyDescent="0.35">
      <c r="A2512" s="30"/>
      <c r="E2512" s="31"/>
      <c r="G2512" s="32" t="str">
        <f t="shared" si="78"/>
        <v>|||1900|</v>
      </c>
      <c r="H2512" s="32" t="str">
        <f t="shared" si="79"/>
        <v>||1900|</v>
      </c>
      <c r="I2512" s="32">
        <f>IF(G2512="",0,IF(COUNTIF($G$2:G2512,G2512)=1,1,0))</f>
        <v>0</v>
      </c>
      <c r="J2512" s="32">
        <f>IF(H2512="",0,IF(COUNTIF($H$2:H2512,H2512)=1,1,0))</f>
        <v>0</v>
      </c>
    </row>
    <row r="2513" spans="1:10" ht="14.25" hidden="1" customHeight="1" x14ac:dyDescent="0.35">
      <c r="A2513" s="30"/>
      <c r="E2513" s="31"/>
      <c r="G2513" s="32" t="str">
        <f t="shared" si="78"/>
        <v>|||1900|</v>
      </c>
      <c r="H2513" s="32" t="str">
        <f t="shared" si="79"/>
        <v>||1900|</v>
      </c>
      <c r="I2513" s="32">
        <f>IF(G2513="",0,IF(COUNTIF($G$2:G2513,G2513)=1,1,0))</f>
        <v>0</v>
      </c>
      <c r="J2513" s="32">
        <f>IF(H2513="",0,IF(COUNTIF($H$2:H2513,H2513)=1,1,0))</f>
        <v>0</v>
      </c>
    </row>
    <row r="2514" spans="1:10" ht="14.25" hidden="1" customHeight="1" x14ac:dyDescent="0.35">
      <c r="A2514" s="30"/>
      <c r="E2514" s="31"/>
      <c r="G2514" s="32" t="str">
        <f t="shared" si="78"/>
        <v>|||1900|</v>
      </c>
      <c r="H2514" s="32" t="str">
        <f t="shared" si="79"/>
        <v>||1900|</v>
      </c>
      <c r="I2514" s="32">
        <f>IF(G2514="",0,IF(COUNTIF($G$2:G2514,G2514)=1,1,0))</f>
        <v>0</v>
      </c>
      <c r="J2514" s="32">
        <f>IF(H2514="",0,IF(COUNTIF($H$2:H2514,H2514)=1,1,0))</f>
        <v>0</v>
      </c>
    </row>
    <row r="2515" spans="1:10" ht="14.25" hidden="1" customHeight="1" x14ac:dyDescent="0.35">
      <c r="A2515" s="30"/>
      <c r="E2515" s="31"/>
      <c r="G2515" s="32" t="str">
        <f t="shared" si="78"/>
        <v>|||1900|</v>
      </c>
      <c r="H2515" s="32" t="str">
        <f t="shared" si="79"/>
        <v>||1900|</v>
      </c>
      <c r="I2515" s="32">
        <f>IF(G2515="",0,IF(COUNTIF($G$2:G2515,G2515)=1,1,0))</f>
        <v>0</v>
      </c>
      <c r="J2515" s="32">
        <f>IF(H2515="",0,IF(COUNTIF($H$2:H2515,H2515)=1,1,0))</f>
        <v>0</v>
      </c>
    </row>
    <row r="2516" spans="1:10" ht="14.25" hidden="1" customHeight="1" x14ac:dyDescent="0.35">
      <c r="A2516" s="30"/>
      <c r="E2516" s="31"/>
      <c r="G2516" s="32" t="str">
        <f t="shared" si="78"/>
        <v>|||1900|</v>
      </c>
      <c r="H2516" s="32" t="str">
        <f t="shared" si="79"/>
        <v>||1900|</v>
      </c>
      <c r="I2516" s="32">
        <f>IF(G2516="",0,IF(COUNTIF($G$2:G2516,G2516)=1,1,0))</f>
        <v>0</v>
      </c>
      <c r="J2516" s="32">
        <f>IF(H2516="",0,IF(COUNTIF($H$2:H2516,H2516)=1,1,0))</f>
        <v>0</v>
      </c>
    </row>
    <row r="2517" spans="1:10" ht="14.25" hidden="1" customHeight="1" x14ac:dyDescent="0.35">
      <c r="A2517" s="30"/>
      <c r="E2517" s="31"/>
      <c r="G2517" s="32" t="str">
        <f t="shared" si="78"/>
        <v>|||1900|</v>
      </c>
      <c r="H2517" s="32" t="str">
        <f t="shared" si="79"/>
        <v>||1900|</v>
      </c>
      <c r="I2517" s="32">
        <f>IF(G2517="",0,IF(COUNTIF($G$2:G2517,G2517)=1,1,0))</f>
        <v>0</v>
      </c>
      <c r="J2517" s="32">
        <f>IF(H2517="",0,IF(COUNTIF($H$2:H2517,H2517)=1,1,0))</f>
        <v>0</v>
      </c>
    </row>
    <row r="2518" spans="1:10" ht="14.25" hidden="1" customHeight="1" x14ac:dyDescent="0.35">
      <c r="A2518" s="30"/>
      <c r="E2518" s="31"/>
      <c r="G2518" s="32" t="str">
        <f t="shared" si="78"/>
        <v>|||1900|</v>
      </c>
      <c r="H2518" s="32" t="str">
        <f t="shared" si="79"/>
        <v>||1900|</v>
      </c>
      <c r="I2518" s="32">
        <f>IF(G2518="",0,IF(COUNTIF($G$2:G2518,G2518)=1,1,0))</f>
        <v>0</v>
      </c>
      <c r="J2518" s="32">
        <f>IF(H2518="",0,IF(COUNTIF($H$2:H2518,H2518)=1,1,0))</f>
        <v>0</v>
      </c>
    </row>
    <row r="2519" spans="1:10" ht="14.25" hidden="1" customHeight="1" x14ac:dyDescent="0.35">
      <c r="A2519" s="30"/>
      <c r="E2519" s="31"/>
      <c r="G2519" s="32" t="str">
        <f t="shared" si="78"/>
        <v>|||1900|</v>
      </c>
      <c r="H2519" s="32" t="str">
        <f t="shared" si="79"/>
        <v>||1900|</v>
      </c>
      <c r="I2519" s="32">
        <f>IF(G2519="",0,IF(COUNTIF($G$2:G2519,G2519)=1,1,0))</f>
        <v>0</v>
      </c>
      <c r="J2519" s="32">
        <f>IF(H2519="",0,IF(COUNTIF($H$2:H2519,H2519)=1,1,0))</f>
        <v>0</v>
      </c>
    </row>
    <row r="2520" spans="1:10" ht="14.25" hidden="1" customHeight="1" x14ac:dyDescent="0.35">
      <c r="A2520" s="30"/>
      <c r="E2520" s="31"/>
      <c r="G2520" s="32" t="str">
        <f t="shared" si="78"/>
        <v>|||1900|</v>
      </c>
      <c r="H2520" s="32" t="str">
        <f t="shared" si="79"/>
        <v>||1900|</v>
      </c>
      <c r="I2520" s="32">
        <f>IF(G2520="",0,IF(COUNTIF($G$2:G2520,G2520)=1,1,0))</f>
        <v>0</v>
      </c>
      <c r="J2520" s="32">
        <f>IF(H2520="",0,IF(COUNTIF($H$2:H2520,H2520)=1,1,0))</f>
        <v>0</v>
      </c>
    </row>
    <row r="2521" spans="1:10" ht="14.25" hidden="1" customHeight="1" x14ac:dyDescent="0.35">
      <c r="A2521" s="30"/>
      <c r="E2521" s="31"/>
      <c r="G2521" s="32" t="str">
        <f t="shared" si="78"/>
        <v>|||1900|</v>
      </c>
      <c r="H2521" s="32" t="str">
        <f t="shared" si="79"/>
        <v>||1900|</v>
      </c>
      <c r="I2521" s="32">
        <f>IF(G2521="",0,IF(COUNTIF($G$2:G2521,G2521)=1,1,0))</f>
        <v>0</v>
      </c>
      <c r="J2521" s="32">
        <f>IF(H2521="",0,IF(COUNTIF($H$2:H2521,H2521)=1,1,0))</f>
        <v>0</v>
      </c>
    </row>
    <row r="2522" spans="1:10" ht="14.25" hidden="1" customHeight="1" x14ac:dyDescent="0.35">
      <c r="A2522" s="30"/>
      <c r="E2522" s="31"/>
      <c r="G2522" s="32" t="str">
        <f t="shared" si="78"/>
        <v>|||1900|</v>
      </c>
      <c r="H2522" s="32" t="str">
        <f t="shared" si="79"/>
        <v>||1900|</v>
      </c>
      <c r="I2522" s="32">
        <f>IF(G2522="",0,IF(COUNTIF($G$2:G2522,G2522)=1,1,0))</f>
        <v>0</v>
      </c>
      <c r="J2522" s="32">
        <f>IF(H2522="",0,IF(COUNTIF($H$2:H2522,H2522)=1,1,0))</f>
        <v>0</v>
      </c>
    </row>
    <row r="2523" spans="1:10" ht="14.25" hidden="1" customHeight="1" x14ac:dyDescent="0.35">
      <c r="A2523" s="30"/>
      <c r="E2523" s="31"/>
      <c r="G2523" s="32" t="str">
        <f t="shared" si="78"/>
        <v>|||1900|</v>
      </c>
      <c r="H2523" s="32" t="str">
        <f t="shared" si="79"/>
        <v>||1900|</v>
      </c>
      <c r="I2523" s="32">
        <f>IF(G2523="",0,IF(COUNTIF($G$2:G2523,G2523)=1,1,0))</f>
        <v>0</v>
      </c>
      <c r="J2523" s="32">
        <f>IF(H2523="",0,IF(COUNTIF($H$2:H2523,H2523)=1,1,0))</f>
        <v>0</v>
      </c>
    </row>
    <row r="2524" spans="1:10" ht="14.25" hidden="1" customHeight="1" x14ac:dyDescent="0.35">
      <c r="A2524" s="30"/>
      <c r="E2524" s="31"/>
      <c r="G2524" s="32" t="str">
        <f t="shared" si="78"/>
        <v>|||1900|</v>
      </c>
      <c r="H2524" s="32" t="str">
        <f t="shared" si="79"/>
        <v>||1900|</v>
      </c>
      <c r="I2524" s="32">
        <f>IF(G2524="",0,IF(COUNTIF($G$2:G2524,G2524)=1,1,0))</f>
        <v>0</v>
      </c>
      <c r="J2524" s="32">
        <f>IF(H2524="",0,IF(COUNTIF($H$2:H2524,H2524)=1,1,0))</f>
        <v>0</v>
      </c>
    </row>
    <row r="2525" spans="1:10" ht="14.25" hidden="1" customHeight="1" x14ac:dyDescent="0.35">
      <c r="A2525" s="30"/>
      <c r="E2525" s="31"/>
      <c r="G2525" s="32" t="str">
        <f t="shared" si="78"/>
        <v>|||1900|</v>
      </c>
      <c r="H2525" s="32" t="str">
        <f t="shared" si="79"/>
        <v>||1900|</v>
      </c>
      <c r="I2525" s="32">
        <f>IF(G2525="",0,IF(COUNTIF($G$2:G2525,G2525)=1,1,0))</f>
        <v>0</v>
      </c>
      <c r="J2525" s="32">
        <f>IF(H2525="",0,IF(COUNTIF($H$2:H2525,H2525)=1,1,0))</f>
        <v>0</v>
      </c>
    </row>
    <row r="2526" spans="1:10" ht="14.25" hidden="1" customHeight="1" x14ac:dyDescent="0.35">
      <c r="A2526" s="30"/>
      <c r="E2526" s="31"/>
      <c r="G2526" s="32" t="str">
        <f t="shared" si="78"/>
        <v>|||1900|</v>
      </c>
      <c r="H2526" s="32" t="str">
        <f t="shared" si="79"/>
        <v>||1900|</v>
      </c>
      <c r="I2526" s="32">
        <f>IF(G2526="",0,IF(COUNTIF($G$2:G2526,G2526)=1,1,0))</f>
        <v>0</v>
      </c>
      <c r="J2526" s="32">
        <f>IF(H2526="",0,IF(COUNTIF($H$2:H2526,H2526)=1,1,0))</f>
        <v>0</v>
      </c>
    </row>
    <row r="2527" spans="1:10" ht="14.25" hidden="1" customHeight="1" x14ac:dyDescent="0.35">
      <c r="A2527" s="30"/>
      <c r="E2527" s="31"/>
      <c r="G2527" s="32" t="str">
        <f t="shared" si="78"/>
        <v>|||1900|</v>
      </c>
      <c r="H2527" s="32" t="str">
        <f t="shared" si="79"/>
        <v>||1900|</v>
      </c>
      <c r="I2527" s="32">
        <f>IF(G2527="",0,IF(COUNTIF($G$2:G2527,G2527)=1,1,0))</f>
        <v>0</v>
      </c>
      <c r="J2527" s="32">
        <f>IF(H2527="",0,IF(COUNTIF($H$2:H2527,H2527)=1,1,0))</f>
        <v>0</v>
      </c>
    </row>
    <row r="2528" spans="1:10" ht="14.25" hidden="1" customHeight="1" x14ac:dyDescent="0.35">
      <c r="A2528" s="30"/>
      <c r="E2528" s="31"/>
      <c r="G2528" s="32" t="str">
        <f t="shared" si="78"/>
        <v>|||1900|</v>
      </c>
      <c r="H2528" s="32" t="str">
        <f t="shared" si="79"/>
        <v>||1900|</v>
      </c>
      <c r="I2528" s="32">
        <f>IF(G2528="",0,IF(COUNTIF($G$2:G2528,G2528)=1,1,0))</f>
        <v>0</v>
      </c>
      <c r="J2528" s="32">
        <f>IF(H2528="",0,IF(COUNTIF($H$2:H2528,H2528)=1,1,0))</f>
        <v>0</v>
      </c>
    </row>
    <row r="2529" spans="1:10" ht="14.25" hidden="1" customHeight="1" x14ac:dyDescent="0.35">
      <c r="A2529" s="30"/>
      <c r="E2529" s="31"/>
      <c r="G2529" s="32" t="str">
        <f t="shared" si="78"/>
        <v>|||1900|</v>
      </c>
      <c r="H2529" s="32" t="str">
        <f t="shared" si="79"/>
        <v>||1900|</v>
      </c>
      <c r="I2529" s="32">
        <f>IF(G2529="",0,IF(COUNTIF($G$2:G2529,G2529)=1,1,0))</f>
        <v>0</v>
      </c>
      <c r="J2529" s="32">
        <f>IF(H2529="",0,IF(COUNTIF($H$2:H2529,H2529)=1,1,0))</f>
        <v>0</v>
      </c>
    </row>
    <row r="2530" spans="1:10" ht="14.25" hidden="1" customHeight="1" x14ac:dyDescent="0.35">
      <c r="A2530" s="30"/>
      <c r="E2530" s="31"/>
      <c r="G2530" s="32" t="str">
        <f t="shared" si="78"/>
        <v>|||1900|</v>
      </c>
      <c r="H2530" s="32" t="str">
        <f t="shared" si="79"/>
        <v>||1900|</v>
      </c>
      <c r="I2530" s="32">
        <f>IF(G2530="",0,IF(COUNTIF($G$2:G2530,G2530)=1,1,0))</f>
        <v>0</v>
      </c>
      <c r="J2530" s="32">
        <f>IF(H2530="",0,IF(COUNTIF($H$2:H2530,H2530)=1,1,0))</f>
        <v>0</v>
      </c>
    </row>
    <row r="2531" spans="1:10" ht="14.25" hidden="1" customHeight="1" x14ac:dyDescent="0.35">
      <c r="A2531" s="30"/>
      <c r="E2531" s="31"/>
      <c r="G2531" s="32" t="str">
        <f t="shared" si="78"/>
        <v>|||1900|</v>
      </c>
      <c r="H2531" s="32" t="str">
        <f t="shared" si="79"/>
        <v>||1900|</v>
      </c>
      <c r="I2531" s="32">
        <f>IF(G2531="",0,IF(COUNTIF($G$2:G2531,G2531)=1,1,0))</f>
        <v>0</v>
      </c>
      <c r="J2531" s="32">
        <f>IF(H2531="",0,IF(COUNTIF($H$2:H2531,H2531)=1,1,0))</f>
        <v>0</v>
      </c>
    </row>
    <row r="2532" spans="1:10" ht="14.25" hidden="1" customHeight="1" x14ac:dyDescent="0.35">
      <c r="A2532" s="30"/>
      <c r="E2532" s="31"/>
      <c r="G2532" s="32" t="str">
        <f t="shared" si="78"/>
        <v>|||1900|</v>
      </c>
      <c r="H2532" s="32" t="str">
        <f t="shared" si="79"/>
        <v>||1900|</v>
      </c>
      <c r="I2532" s="32">
        <f>IF(G2532="",0,IF(COUNTIF($G$2:G2532,G2532)=1,1,0))</f>
        <v>0</v>
      </c>
      <c r="J2532" s="32">
        <f>IF(H2532="",0,IF(COUNTIF($H$2:H2532,H2532)=1,1,0))</f>
        <v>0</v>
      </c>
    </row>
    <row r="2533" spans="1:10" ht="14.25" hidden="1" customHeight="1" x14ac:dyDescent="0.35">
      <c r="A2533" s="30"/>
      <c r="E2533" s="31"/>
      <c r="G2533" s="32" t="str">
        <f t="shared" si="78"/>
        <v>|||1900|</v>
      </c>
      <c r="H2533" s="32" t="str">
        <f t="shared" si="79"/>
        <v>||1900|</v>
      </c>
      <c r="I2533" s="32">
        <f>IF(G2533="",0,IF(COUNTIF($G$2:G2533,G2533)=1,1,0))</f>
        <v>0</v>
      </c>
      <c r="J2533" s="32">
        <f>IF(H2533="",0,IF(COUNTIF($H$2:H2533,H2533)=1,1,0))</f>
        <v>0</v>
      </c>
    </row>
    <row r="2534" spans="1:10" ht="14.25" hidden="1" customHeight="1" x14ac:dyDescent="0.35">
      <c r="A2534" s="30"/>
      <c r="E2534" s="31"/>
      <c r="G2534" s="32" t="str">
        <f t="shared" si="78"/>
        <v>|||1900|</v>
      </c>
      <c r="H2534" s="32" t="str">
        <f t="shared" si="79"/>
        <v>||1900|</v>
      </c>
      <c r="I2534" s="32">
        <f>IF(G2534="",0,IF(COUNTIF($G$2:G2534,G2534)=1,1,0))</f>
        <v>0</v>
      </c>
      <c r="J2534" s="32">
        <f>IF(H2534="",0,IF(COUNTIF($H$2:H2534,H2534)=1,1,0))</f>
        <v>0</v>
      </c>
    </row>
    <row r="2535" spans="1:10" ht="14.25" hidden="1" customHeight="1" x14ac:dyDescent="0.35">
      <c r="A2535" s="30"/>
      <c r="E2535" s="31"/>
      <c r="G2535" s="32" t="str">
        <f t="shared" si="78"/>
        <v>|||1900|</v>
      </c>
      <c r="H2535" s="32" t="str">
        <f t="shared" si="79"/>
        <v>||1900|</v>
      </c>
      <c r="I2535" s="32">
        <f>IF(G2535="",0,IF(COUNTIF($G$2:G2535,G2535)=1,1,0))</f>
        <v>0</v>
      </c>
      <c r="J2535" s="32">
        <f>IF(H2535="",0,IF(COUNTIF($H$2:H2535,H2535)=1,1,0))</f>
        <v>0</v>
      </c>
    </row>
    <row r="2536" spans="1:10" ht="14.25" hidden="1" customHeight="1" x14ac:dyDescent="0.35">
      <c r="A2536" s="30"/>
      <c r="E2536" s="31"/>
      <c r="G2536" s="32" t="str">
        <f t="shared" si="78"/>
        <v>|||1900|</v>
      </c>
      <c r="H2536" s="32" t="str">
        <f t="shared" si="79"/>
        <v>||1900|</v>
      </c>
      <c r="I2536" s="32">
        <f>IF(G2536="",0,IF(COUNTIF($G$2:G2536,G2536)=1,1,0))</f>
        <v>0</v>
      </c>
      <c r="J2536" s="32">
        <f>IF(H2536="",0,IF(COUNTIF($H$2:H2536,H2536)=1,1,0))</f>
        <v>0</v>
      </c>
    </row>
    <row r="2537" spans="1:10" ht="14.25" hidden="1" customHeight="1" x14ac:dyDescent="0.35">
      <c r="A2537" s="30"/>
      <c r="E2537" s="31"/>
      <c r="G2537" s="32" t="str">
        <f t="shared" si="78"/>
        <v>|||1900|</v>
      </c>
      <c r="H2537" s="32" t="str">
        <f t="shared" si="79"/>
        <v>||1900|</v>
      </c>
      <c r="I2537" s="32">
        <f>IF(G2537="",0,IF(COUNTIF($G$2:G2537,G2537)=1,1,0))</f>
        <v>0</v>
      </c>
      <c r="J2537" s="32">
        <f>IF(H2537="",0,IF(COUNTIF($H$2:H2537,H2537)=1,1,0))</f>
        <v>0</v>
      </c>
    </row>
    <row r="2538" spans="1:10" ht="14.25" hidden="1" customHeight="1" x14ac:dyDescent="0.35">
      <c r="A2538" s="30"/>
      <c r="E2538" s="31"/>
      <c r="G2538" s="32" t="str">
        <f t="shared" si="78"/>
        <v>|||1900|</v>
      </c>
      <c r="H2538" s="32" t="str">
        <f t="shared" si="79"/>
        <v>||1900|</v>
      </c>
      <c r="I2538" s="32">
        <f>IF(G2538="",0,IF(COUNTIF($G$2:G2538,G2538)=1,1,0))</f>
        <v>0</v>
      </c>
      <c r="J2538" s="32">
        <f>IF(H2538="",0,IF(COUNTIF($H$2:H2538,H2538)=1,1,0))</f>
        <v>0</v>
      </c>
    </row>
    <row r="2539" spans="1:10" ht="14.25" hidden="1" customHeight="1" x14ac:dyDescent="0.35">
      <c r="A2539" s="30"/>
      <c r="E2539" s="31"/>
      <c r="G2539" s="32" t="str">
        <f t="shared" si="78"/>
        <v>|||1900|</v>
      </c>
      <c r="H2539" s="32" t="str">
        <f t="shared" si="79"/>
        <v>||1900|</v>
      </c>
      <c r="I2539" s="32">
        <f>IF(G2539="",0,IF(COUNTIF($G$2:G2539,G2539)=1,1,0))</f>
        <v>0</v>
      </c>
      <c r="J2539" s="32">
        <f>IF(H2539="",0,IF(COUNTIF($H$2:H2539,H2539)=1,1,0))</f>
        <v>0</v>
      </c>
    </row>
    <row r="2540" spans="1:10" ht="14.25" hidden="1" customHeight="1" x14ac:dyDescent="0.35">
      <c r="A2540" s="30"/>
      <c r="E2540" s="31"/>
      <c r="G2540" s="32" t="str">
        <f t="shared" si="78"/>
        <v>|||1900|</v>
      </c>
      <c r="H2540" s="32" t="str">
        <f t="shared" si="79"/>
        <v>||1900|</v>
      </c>
      <c r="I2540" s="32">
        <f>IF(G2540="",0,IF(COUNTIF($G$2:G2540,G2540)=1,1,0))</f>
        <v>0</v>
      </c>
      <c r="J2540" s="32">
        <f>IF(H2540="",0,IF(COUNTIF($H$2:H2540,H2540)=1,1,0))</f>
        <v>0</v>
      </c>
    </row>
    <row r="2541" spans="1:10" ht="14.25" hidden="1" customHeight="1" x14ac:dyDescent="0.35">
      <c r="A2541" s="30"/>
      <c r="E2541" s="31"/>
      <c r="G2541" s="32" t="str">
        <f t="shared" si="78"/>
        <v>|||1900|</v>
      </c>
      <c r="H2541" s="32" t="str">
        <f t="shared" si="79"/>
        <v>||1900|</v>
      </c>
      <c r="I2541" s="32">
        <f>IF(G2541="",0,IF(COUNTIF($G$2:G2541,G2541)=1,1,0))</f>
        <v>0</v>
      </c>
      <c r="J2541" s="32">
        <f>IF(H2541="",0,IF(COUNTIF($H$2:H2541,H2541)=1,1,0))</f>
        <v>0</v>
      </c>
    </row>
    <row r="2542" spans="1:10" ht="14.25" hidden="1" customHeight="1" x14ac:dyDescent="0.35">
      <c r="A2542" s="30"/>
      <c r="E2542" s="31"/>
      <c r="G2542" s="32" t="str">
        <f t="shared" si="78"/>
        <v>|||1900|</v>
      </c>
      <c r="H2542" s="32" t="str">
        <f t="shared" si="79"/>
        <v>||1900|</v>
      </c>
      <c r="I2542" s="32">
        <f>IF(G2542="",0,IF(COUNTIF($G$2:G2542,G2542)=1,1,0))</f>
        <v>0</v>
      </c>
      <c r="J2542" s="32">
        <f>IF(H2542="",0,IF(COUNTIF($H$2:H2542,H2542)=1,1,0))</f>
        <v>0</v>
      </c>
    </row>
    <row r="2543" spans="1:10" ht="14.25" hidden="1" customHeight="1" x14ac:dyDescent="0.35">
      <c r="A2543" s="30"/>
      <c r="E2543" s="31"/>
      <c r="G2543" s="32" t="str">
        <f t="shared" si="78"/>
        <v>|||1900|</v>
      </c>
      <c r="H2543" s="32" t="str">
        <f t="shared" si="79"/>
        <v>||1900|</v>
      </c>
      <c r="I2543" s="32">
        <f>IF(G2543="",0,IF(COUNTIF($G$2:G2543,G2543)=1,1,0))</f>
        <v>0</v>
      </c>
      <c r="J2543" s="32">
        <f>IF(H2543="",0,IF(COUNTIF($H$2:H2543,H2543)=1,1,0))</f>
        <v>0</v>
      </c>
    </row>
    <row r="2544" spans="1:10" ht="14.25" hidden="1" customHeight="1" x14ac:dyDescent="0.35">
      <c r="A2544" s="30"/>
      <c r="E2544" s="31"/>
      <c r="G2544" s="32" t="str">
        <f t="shared" si="78"/>
        <v>|||1900|</v>
      </c>
      <c r="H2544" s="32" t="str">
        <f t="shared" si="79"/>
        <v>||1900|</v>
      </c>
      <c r="I2544" s="32">
        <f>IF(G2544="",0,IF(COUNTIF($G$2:G2544,G2544)=1,1,0))</f>
        <v>0</v>
      </c>
      <c r="J2544" s="32">
        <f>IF(H2544="",0,IF(COUNTIF($H$2:H2544,H2544)=1,1,0))</f>
        <v>0</v>
      </c>
    </row>
    <row r="2545" spans="1:10" ht="14.25" hidden="1" customHeight="1" x14ac:dyDescent="0.35">
      <c r="A2545" s="30"/>
      <c r="E2545" s="31"/>
      <c r="G2545" s="32" t="str">
        <f t="shared" si="78"/>
        <v>|||1900|</v>
      </c>
      <c r="H2545" s="32" t="str">
        <f t="shared" si="79"/>
        <v>||1900|</v>
      </c>
      <c r="I2545" s="32">
        <f>IF(G2545="",0,IF(COUNTIF($G$2:G2545,G2545)=1,1,0))</f>
        <v>0</v>
      </c>
      <c r="J2545" s="32">
        <f>IF(H2545="",0,IF(COUNTIF($H$2:H2545,H2545)=1,1,0))</f>
        <v>0</v>
      </c>
    </row>
    <row r="2546" spans="1:10" ht="14.25" hidden="1" customHeight="1" x14ac:dyDescent="0.35">
      <c r="A2546" s="30"/>
      <c r="E2546" s="31"/>
      <c r="G2546" s="32" t="str">
        <f t="shared" si="78"/>
        <v>|||1900|</v>
      </c>
      <c r="H2546" s="32" t="str">
        <f t="shared" si="79"/>
        <v>||1900|</v>
      </c>
      <c r="I2546" s="32">
        <f>IF(G2546="",0,IF(COUNTIF($G$2:G2546,G2546)=1,1,0))</f>
        <v>0</v>
      </c>
      <c r="J2546" s="32">
        <f>IF(H2546="",0,IF(COUNTIF($H$2:H2546,H2546)=1,1,0))</f>
        <v>0</v>
      </c>
    </row>
    <row r="2547" spans="1:10" ht="14.25" hidden="1" customHeight="1" x14ac:dyDescent="0.35">
      <c r="A2547" s="30"/>
      <c r="E2547" s="31"/>
      <c r="G2547" s="32" t="str">
        <f t="shared" si="78"/>
        <v>|||1900|</v>
      </c>
      <c r="H2547" s="32" t="str">
        <f t="shared" si="79"/>
        <v>||1900|</v>
      </c>
      <c r="I2547" s="32">
        <f>IF(G2547="",0,IF(COUNTIF($G$2:G2547,G2547)=1,1,0))</f>
        <v>0</v>
      </c>
      <c r="J2547" s="32">
        <f>IF(H2547="",0,IF(COUNTIF($H$2:H2547,H2547)=1,1,0))</f>
        <v>0</v>
      </c>
    </row>
    <row r="2548" spans="1:10" ht="14.25" hidden="1" customHeight="1" x14ac:dyDescent="0.35">
      <c r="A2548" s="30"/>
      <c r="E2548" s="31"/>
      <c r="G2548" s="32" t="str">
        <f t="shared" si="78"/>
        <v>|||1900|</v>
      </c>
      <c r="H2548" s="32" t="str">
        <f t="shared" si="79"/>
        <v>||1900|</v>
      </c>
      <c r="I2548" s="32">
        <f>IF(G2548="",0,IF(COUNTIF($G$2:G2548,G2548)=1,1,0))</f>
        <v>0</v>
      </c>
      <c r="J2548" s="32">
        <f>IF(H2548="",0,IF(COUNTIF($H$2:H2548,H2548)=1,1,0))</f>
        <v>0</v>
      </c>
    </row>
    <row r="2549" spans="1:10" ht="14.25" hidden="1" customHeight="1" x14ac:dyDescent="0.35">
      <c r="A2549" s="30"/>
      <c r="E2549" s="31"/>
      <c r="G2549" s="32" t="str">
        <f t="shared" si="78"/>
        <v>|||1900|</v>
      </c>
      <c r="H2549" s="32" t="str">
        <f t="shared" si="79"/>
        <v>||1900|</v>
      </c>
      <c r="I2549" s="32">
        <f>IF(G2549="",0,IF(COUNTIF($G$2:G2549,G2549)=1,1,0))</f>
        <v>0</v>
      </c>
      <c r="J2549" s="32">
        <f>IF(H2549="",0,IF(COUNTIF($H$2:H2549,H2549)=1,1,0))</f>
        <v>0</v>
      </c>
    </row>
    <row r="2550" spans="1:10" ht="14.25" hidden="1" customHeight="1" x14ac:dyDescent="0.35">
      <c r="A2550" s="30"/>
      <c r="E2550" s="31"/>
      <c r="G2550" s="32" t="str">
        <f t="shared" si="78"/>
        <v>|||1900|</v>
      </c>
      <c r="H2550" s="32" t="str">
        <f t="shared" si="79"/>
        <v>||1900|</v>
      </c>
      <c r="I2550" s="32">
        <f>IF(G2550="",0,IF(COUNTIF($G$2:G2550,G2550)=1,1,0))</f>
        <v>0</v>
      </c>
      <c r="J2550" s="32">
        <f>IF(H2550="",0,IF(COUNTIF($H$2:H2550,H2550)=1,1,0))</f>
        <v>0</v>
      </c>
    </row>
    <row r="2551" spans="1:10" ht="14.25" hidden="1" customHeight="1" x14ac:dyDescent="0.35">
      <c r="A2551" s="30"/>
      <c r="E2551" s="31"/>
      <c r="G2551" s="32" t="str">
        <f t="shared" si="78"/>
        <v>|||1900|</v>
      </c>
      <c r="H2551" s="32" t="str">
        <f t="shared" si="79"/>
        <v>||1900|</v>
      </c>
      <c r="I2551" s="32">
        <f>IF(G2551="",0,IF(COUNTIF($G$2:G2551,G2551)=1,1,0))</f>
        <v>0</v>
      </c>
      <c r="J2551" s="32">
        <f>IF(H2551="",0,IF(COUNTIF($H$2:H2551,H2551)=1,1,0))</f>
        <v>0</v>
      </c>
    </row>
    <row r="2552" spans="1:10" ht="14.25" hidden="1" customHeight="1" x14ac:dyDescent="0.35">
      <c r="A2552" s="30"/>
      <c r="E2552" s="31"/>
      <c r="G2552" s="32" t="str">
        <f t="shared" si="78"/>
        <v>|||1900|</v>
      </c>
      <c r="H2552" s="32" t="str">
        <f t="shared" si="79"/>
        <v>||1900|</v>
      </c>
      <c r="I2552" s="32">
        <f>IF(G2552="",0,IF(COUNTIF($G$2:G2552,G2552)=1,1,0))</f>
        <v>0</v>
      </c>
      <c r="J2552" s="32">
        <f>IF(H2552="",0,IF(COUNTIF($H$2:H2552,H2552)=1,1,0))</f>
        <v>0</v>
      </c>
    </row>
    <row r="2553" spans="1:10" ht="14.25" hidden="1" customHeight="1" x14ac:dyDescent="0.35">
      <c r="A2553" s="30"/>
      <c r="E2553" s="31"/>
      <c r="G2553" s="32" t="str">
        <f t="shared" si="78"/>
        <v>|||1900|</v>
      </c>
      <c r="H2553" s="32" t="str">
        <f t="shared" si="79"/>
        <v>||1900|</v>
      </c>
      <c r="I2553" s="32">
        <f>IF(G2553="",0,IF(COUNTIF($G$2:G2553,G2553)=1,1,0))</f>
        <v>0</v>
      </c>
      <c r="J2553" s="32">
        <f>IF(H2553="",0,IF(COUNTIF($H$2:H2553,H2553)=1,1,0))</f>
        <v>0</v>
      </c>
    </row>
    <row r="2554" spans="1:10" ht="14.25" hidden="1" customHeight="1" x14ac:dyDescent="0.35">
      <c r="A2554" s="30"/>
      <c r="E2554" s="31"/>
      <c r="G2554" s="32" t="str">
        <f t="shared" si="78"/>
        <v>|||1900|</v>
      </c>
      <c r="H2554" s="32" t="str">
        <f t="shared" si="79"/>
        <v>||1900|</v>
      </c>
      <c r="I2554" s="32">
        <f>IF(G2554="",0,IF(COUNTIF($G$2:G2554,G2554)=1,1,0))</f>
        <v>0</v>
      </c>
      <c r="J2554" s="32">
        <f>IF(H2554="",0,IF(COUNTIF($H$2:H2554,H2554)=1,1,0))</f>
        <v>0</v>
      </c>
    </row>
    <row r="2555" spans="1:10" ht="14.25" hidden="1" customHeight="1" x14ac:dyDescent="0.35">
      <c r="A2555" s="30"/>
      <c r="E2555" s="31"/>
      <c r="G2555" s="32" t="str">
        <f t="shared" si="78"/>
        <v>|||1900|</v>
      </c>
      <c r="H2555" s="32" t="str">
        <f t="shared" si="79"/>
        <v>||1900|</v>
      </c>
      <c r="I2555" s="32">
        <f>IF(G2555="",0,IF(COUNTIF($G$2:G2555,G2555)=1,1,0))</f>
        <v>0</v>
      </c>
      <c r="J2555" s="32">
        <f>IF(H2555="",0,IF(COUNTIF($H$2:H2555,H2555)=1,1,0))</f>
        <v>0</v>
      </c>
    </row>
    <row r="2556" spans="1:10" ht="14.25" hidden="1" customHeight="1" x14ac:dyDescent="0.35">
      <c r="A2556" s="30"/>
      <c r="E2556" s="31"/>
      <c r="G2556" s="32" t="str">
        <f t="shared" si="78"/>
        <v>|||1900|</v>
      </c>
      <c r="H2556" s="32" t="str">
        <f t="shared" si="79"/>
        <v>||1900|</v>
      </c>
      <c r="I2556" s="32">
        <f>IF(G2556="",0,IF(COUNTIF($G$2:G2556,G2556)=1,1,0))</f>
        <v>0</v>
      </c>
      <c r="J2556" s="32">
        <f>IF(H2556="",0,IF(COUNTIF($H$2:H2556,H2556)=1,1,0))</f>
        <v>0</v>
      </c>
    </row>
    <row r="2557" spans="1:10" ht="14.25" hidden="1" customHeight="1" x14ac:dyDescent="0.35">
      <c r="A2557" s="30"/>
      <c r="E2557" s="31"/>
      <c r="G2557" s="32" t="str">
        <f t="shared" si="78"/>
        <v>|||1900|</v>
      </c>
      <c r="H2557" s="32" t="str">
        <f t="shared" si="79"/>
        <v>||1900|</v>
      </c>
      <c r="I2557" s="32">
        <f>IF(G2557="",0,IF(COUNTIF($G$2:G2557,G2557)=1,1,0))</f>
        <v>0</v>
      </c>
      <c r="J2557" s="32">
        <f>IF(H2557="",0,IF(COUNTIF($H$2:H2557,H2557)=1,1,0))</f>
        <v>0</v>
      </c>
    </row>
    <row r="2558" spans="1:10" ht="14.25" hidden="1" customHeight="1" x14ac:dyDescent="0.35">
      <c r="A2558" s="30"/>
      <c r="E2558" s="31"/>
      <c r="G2558" s="32" t="str">
        <f t="shared" si="78"/>
        <v>|||1900|</v>
      </c>
      <c r="H2558" s="32" t="str">
        <f t="shared" si="79"/>
        <v>||1900|</v>
      </c>
      <c r="I2558" s="32">
        <f>IF(G2558="",0,IF(COUNTIF($G$2:G2558,G2558)=1,1,0))</f>
        <v>0</v>
      </c>
      <c r="J2558" s="32">
        <f>IF(H2558="",0,IF(COUNTIF($H$2:H2558,H2558)=1,1,0))</f>
        <v>0</v>
      </c>
    </row>
    <row r="2559" spans="1:10" ht="14.25" hidden="1" customHeight="1" x14ac:dyDescent="0.35">
      <c r="A2559" s="30"/>
      <c r="E2559" s="31"/>
      <c r="G2559" s="32" t="str">
        <f t="shared" si="78"/>
        <v>|||1900|</v>
      </c>
      <c r="H2559" s="32" t="str">
        <f t="shared" si="79"/>
        <v>||1900|</v>
      </c>
      <c r="I2559" s="32">
        <f>IF(G2559="",0,IF(COUNTIF($G$2:G2559,G2559)=1,1,0))</f>
        <v>0</v>
      </c>
      <c r="J2559" s="32">
        <f>IF(H2559="",0,IF(COUNTIF($H$2:H2559,H2559)=1,1,0))</f>
        <v>0</v>
      </c>
    </row>
    <row r="2560" spans="1:10" ht="14.25" hidden="1" customHeight="1" x14ac:dyDescent="0.35">
      <c r="A2560" s="30"/>
      <c r="E2560" s="31"/>
      <c r="G2560" s="32" t="str">
        <f t="shared" si="78"/>
        <v>|||1900|</v>
      </c>
      <c r="H2560" s="32" t="str">
        <f t="shared" si="79"/>
        <v>||1900|</v>
      </c>
      <c r="I2560" s="32">
        <f>IF(G2560="",0,IF(COUNTIF($G$2:G2560,G2560)=1,1,0))</f>
        <v>0</v>
      </c>
      <c r="J2560" s="32">
        <f>IF(H2560="",0,IF(COUNTIF($H$2:H2560,H2560)=1,1,0))</f>
        <v>0</v>
      </c>
    </row>
    <row r="2561" spans="1:10" ht="14.25" hidden="1" customHeight="1" x14ac:dyDescent="0.35">
      <c r="A2561" s="30"/>
      <c r="E2561" s="31"/>
      <c r="G2561" s="32" t="str">
        <f t="shared" si="78"/>
        <v>|||1900|</v>
      </c>
      <c r="H2561" s="32" t="str">
        <f t="shared" si="79"/>
        <v>||1900|</v>
      </c>
      <c r="I2561" s="32">
        <f>IF(G2561="",0,IF(COUNTIF($G$2:G2561,G2561)=1,1,0))</f>
        <v>0</v>
      </c>
      <c r="J2561" s="32">
        <f>IF(H2561="",0,IF(COUNTIF($H$2:H2561,H2561)=1,1,0))</f>
        <v>0</v>
      </c>
    </row>
    <row r="2562" spans="1:10" ht="14.25" hidden="1" customHeight="1" x14ac:dyDescent="0.35">
      <c r="A2562" s="30"/>
      <c r="E2562" s="31"/>
      <c r="G2562" s="32" t="str">
        <f t="shared" ref="G2562:G2625" si="80">IF(D2562="T",
E2562&amp;"|"&amp;F2562,
A2562&amp;"|"&amp;B2562&amp;"|"&amp;C2562&amp;"|"&amp;YEAR(E2562)&amp;"|"&amp;F2562)</f>
        <v>|||1900|</v>
      </c>
      <c r="H2562" s="32" t="str">
        <f t="shared" ref="H2562:H2625" si="81">A2562&amp;"|"&amp;C2562&amp;"|"&amp;YEAR(E2562)&amp;"|"&amp;F2562</f>
        <v>||1900|</v>
      </c>
      <c r="I2562" s="32">
        <f>IF(G2562="",0,IF(COUNTIF($G$2:G2562,G2562)=1,1,0))</f>
        <v>0</v>
      </c>
      <c r="J2562" s="32">
        <f>IF(H2562="",0,IF(COUNTIF($H$2:H2562,H2562)=1,1,0))</f>
        <v>0</v>
      </c>
    </row>
    <row r="2563" spans="1:10" ht="14.25" hidden="1" customHeight="1" x14ac:dyDescent="0.35">
      <c r="A2563" s="30"/>
      <c r="E2563" s="31"/>
      <c r="G2563" s="32" t="str">
        <f t="shared" si="80"/>
        <v>|||1900|</v>
      </c>
      <c r="H2563" s="32" t="str">
        <f t="shared" si="81"/>
        <v>||1900|</v>
      </c>
      <c r="I2563" s="32">
        <f>IF(G2563="",0,IF(COUNTIF($G$2:G2563,G2563)=1,1,0))</f>
        <v>0</v>
      </c>
      <c r="J2563" s="32">
        <f>IF(H2563="",0,IF(COUNTIF($H$2:H2563,H2563)=1,1,0))</f>
        <v>0</v>
      </c>
    </row>
    <row r="2564" spans="1:10" ht="14.25" hidden="1" customHeight="1" x14ac:dyDescent="0.35">
      <c r="A2564" s="30"/>
      <c r="E2564" s="31"/>
      <c r="G2564" s="32" t="str">
        <f t="shared" si="80"/>
        <v>|||1900|</v>
      </c>
      <c r="H2564" s="32" t="str">
        <f t="shared" si="81"/>
        <v>||1900|</v>
      </c>
      <c r="I2564" s="32">
        <f>IF(G2564="",0,IF(COUNTIF($G$2:G2564,G2564)=1,1,0))</f>
        <v>0</v>
      </c>
      <c r="J2564" s="32">
        <f>IF(H2564="",0,IF(COUNTIF($H$2:H2564,H2564)=1,1,0))</f>
        <v>0</v>
      </c>
    </row>
    <row r="2565" spans="1:10" ht="14.25" hidden="1" customHeight="1" x14ac:dyDescent="0.35">
      <c r="A2565" s="30"/>
      <c r="E2565" s="31"/>
      <c r="G2565" s="32" t="str">
        <f t="shared" si="80"/>
        <v>|||1900|</v>
      </c>
      <c r="H2565" s="32" t="str">
        <f t="shared" si="81"/>
        <v>||1900|</v>
      </c>
      <c r="I2565" s="32">
        <f>IF(G2565="",0,IF(COUNTIF($G$2:G2565,G2565)=1,1,0))</f>
        <v>0</v>
      </c>
      <c r="J2565" s="32">
        <f>IF(H2565="",0,IF(COUNTIF($H$2:H2565,H2565)=1,1,0))</f>
        <v>0</v>
      </c>
    </row>
    <row r="2566" spans="1:10" ht="14.25" hidden="1" customHeight="1" x14ac:dyDescent="0.35">
      <c r="A2566" s="30"/>
      <c r="E2566" s="31"/>
      <c r="G2566" s="32" t="str">
        <f t="shared" si="80"/>
        <v>|||1900|</v>
      </c>
      <c r="H2566" s="32" t="str">
        <f t="shared" si="81"/>
        <v>||1900|</v>
      </c>
      <c r="I2566" s="32">
        <f>IF(G2566="",0,IF(COUNTIF($G$2:G2566,G2566)=1,1,0))</f>
        <v>0</v>
      </c>
      <c r="J2566" s="32">
        <f>IF(H2566="",0,IF(COUNTIF($H$2:H2566,H2566)=1,1,0))</f>
        <v>0</v>
      </c>
    </row>
    <row r="2567" spans="1:10" ht="14.25" hidden="1" customHeight="1" x14ac:dyDescent="0.35">
      <c r="A2567" s="30"/>
      <c r="E2567" s="31"/>
      <c r="G2567" s="32" t="str">
        <f t="shared" si="80"/>
        <v>|||1900|</v>
      </c>
      <c r="H2567" s="32" t="str">
        <f t="shared" si="81"/>
        <v>||1900|</v>
      </c>
      <c r="I2567" s="32">
        <f>IF(G2567="",0,IF(COUNTIF($G$2:G2567,G2567)=1,1,0))</f>
        <v>0</v>
      </c>
      <c r="J2567" s="32">
        <f>IF(H2567="",0,IF(COUNTIF($H$2:H2567,H2567)=1,1,0))</f>
        <v>0</v>
      </c>
    </row>
    <row r="2568" spans="1:10" ht="14.25" hidden="1" customHeight="1" x14ac:dyDescent="0.35">
      <c r="A2568" s="30"/>
      <c r="E2568" s="31"/>
      <c r="G2568" s="32" t="str">
        <f t="shared" si="80"/>
        <v>|||1900|</v>
      </c>
      <c r="H2568" s="32" t="str">
        <f t="shared" si="81"/>
        <v>||1900|</v>
      </c>
      <c r="I2568" s="32">
        <f>IF(G2568="",0,IF(COUNTIF($G$2:G2568,G2568)=1,1,0))</f>
        <v>0</v>
      </c>
      <c r="J2568" s="32">
        <f>IF(H2568="",0,IF(COUNTIF($H$2:H2568,H2568)=1,1,0))</f>
        <v>0</v>
      </c>
    </row>
    <row r="2569" spans="1:10" ht="14.25" hidden="1" customHeight="1" x14ac:dyDescent="0.35">
      <c r="A2569" s="30"/>
      <c r="E2569" s="31"/>
      <c r="G2569" s="32" t="str">
        <f t="shared" si="80"/>
        <v>|||1900|</v>
      </c>
      <c r="H2569" s="32" t="str">
        <f t="shared" si="81"/>
        <v>||1900|</v>
      </c>
      <c r="I2569" s="32">
        <f>IF(G2569="",0,IF(COUNTIF($G$2:G2569,G2569)=1,1,0))</f>
        <v>0</v>
      </c>
      <c r="J2569" s="32">
        <f>IF(H2569="",0,IF(COUNTIF($H$2:H2569,H2569)=1,1,0))</f>
        <v>0</v>
      </c>
    </row>
    <row r="2570" spans="1:10" ht="14.25" hidden="1" customHeight="1" x14ac:dyDescent="0.35">
      <c r="A2570" s="30"/>
      <c r="E2570" s="31"/>
      <c r="G2570" s="32" t="str">
        <f t="shared" si="80"/>
        <v>|||1900|</v>
      </c>
      <c r="H2570" s="32" t="str">
        <f t="shared" si="81"/>
        <v>||1900|</v>
      </c>
      <c r="I2570" s="32">
        <f>IF(G2570="",0,IF(COUNTIF($G$2:G2570,G2570)=1,1,0))</f>
        <v>0</v>
      </c>
      <c r="J2570" s="32">
        <f>IF(H2570="",0,IF(COUNTIF($H$2:H2570,H2570)=1,1,0))</f>
        <v>0</v>
      </c>
    </row>
    <row r="2571" spans="1:10" ht="14.25" hidden="1" customHeight="1" x14ac:dyDescent="0.35">
      <c r="A2571" s="30"/>
      <c r="E2571" s="31"/>
      <c r="G2571" s="32" t="str">
        <f t="shared" si="80"/>
        <v>|||1900|</v>
      </c>
      <c r="H2571" s="32" t="str">
        <f t="shared" si="81"/>
        <v>||1900|</v>
      </c>
      <c r="I2571" s="32">
        <f>IF(G2571="",0,IF(COUNTIF($G$2:G2571,G2571)=1,1,0))</f>
        <v>0</v>
      </c>
      <c r="J2571" s="32">
        <f>IF(H2571="",0,IF(COUNTIF($H$2:H2571,H2571)=1,1,0))</f>
        <v>0</v>
      </c>
    </row>
    <row r="2572" spans="1:10" ht="14.25" hidden="1" customHeight="1" x14ac:dyDescent="0.35">
      <c r="A2572" s="30"/>
      <c r="E2572" s="31"/>
      <c r="G2572" s="32" t="str">
        <f t="shared" si="80"/>
        <v>|||1900|</v>
      </c>
      <c r="H2572" s="32" t="str">
        <f t="shared" si="81"/>
        <v>||1900|</v>
      </c>
      <c r="I2572" s="32">
        <f>IF(G2572="",0,IF(COUNTIF($G$2:G2572,G2572)=1,1,0))</f>
        <v>0</v>
      </c>
      <c r="J2572" s="32">
        <f>IF(H2572="",0,IF(COUNTIF($H$2:H2572,H2572)=1,1,0))</f>
        <v>0</v>
      </c>
    </row>
    <row r="2573" spans="1:10" ht="14.25" hidden="1" customHeight="1" x14ac:dyDescent="0.35">
      <c r="A2573" s="30"/>
      <c r="E2573" s="31"/>
      <c r="G2573" s="32" t="str">
        <f t="shared" si="80"/>
        <v>|||1900|</v>
      </c>
      <c r="H2573" s="32" t="str">
        <f t="shared" si="81"/>
        <v>||1900|</v>
      </c>
      <c r="I2573" s="32">
        <f>IF(G2573="",0,IF(COUNTIF($G$2:G2573,G2573)=1,1,0))</f>
        <v>0</v>
      </c>
      <c r="J2573" s="32">
        <f>IF(H2573="",0,IF(COUNTIF($H$2:H2573,H2573)=1,1,0))</f>
        <v>0</v>
      </c>
    </row>
    <row r="2574" spans="1:10" ht="14.25" hidden="1" customHeight="1" x14ac:dyDescent="0.35">
      <c r="A2574" s="30"/>
      <c r="E2574" s="31"/>
      <c r="G2574" s="32" t="str">
        <f t="shared" si="80"/>
        <v>|||1900|</v>
      </c>
      <c r="H2574" s="32" t="str">
        <f t="shared" si="81"/>
        <v>||1900|</v>
      </c>
      <c r="I2574" s="32">
        <f>IF(G2574="",0,IF(COUNTIF($G$2:G2574,G2574)=1,1,0))</f>
        <v>0</v>
      </c>
      <c r="J2574" s="32">
        <f>IF(H2574="",0,IF(COUNTIF($H$2:H2574,H2574)=1,1,0))</f>
        <v>0</v>
      </c>
    </row>
    <row r="2575" spans="1:10" ht="14.25" hidden="1" customHeight="1" x14ac:dyDescent="0.35">
      <c r="A2575" s="30"/>
      <c r="E2575" s="31"/>
      <c r="G2575" s="32" t="str">
        <f t="shared" si="80"/>
        <v>|||1900|</v>
      </c>
      <c r="H2575" s="32" t="str">
        <f t="shared" si="81"/>
        <v>||1900|</v>
      </c>
      <c r="I2575" s="32">
        <f>IF(G2575="",0,IF(COUNTIF($G$2:G2575,G2575)=1,1,0))</f>
        <v>0</v>
      </c>
      <c r="J2575" s="32">
        <f>IF(H2575="",0,IF(COUNTIF($H$2:H2575,H2575)=1,1,0))</f>
        <v>0</v>
      </c>
    </row>
    <row r="2576" spans="1:10" ht="14.25" hidden="1" customHeight="1" x14ac:dyDescent="0.35">
      <c r="A2576" s="30"/>
      <c r="E2576" s="31"/>
      <c r="G2576" s="32" t="str">
        <f t="shared" si="80"/>
        <v>|||1900|</v>
      </c>
      <c r="H2576" s="32" t="str">
        <f t="shared" si="81"/>
        <v>||1900|</v>
      </c>
      <c r="I2576" s="32">
        <f>IF(G2576="",0,IF(COUNTIF($G$2:G2576,G2576)=1,1,0))</f>
        <v>0</v>
      </c>
      <c r="J2576" s="32">
        <f>IF(H2576="",0,IF(COUNTIF($H$2:H2576,H2576)=1,1,0))</f>
        <v>0</v>
      </c>
    </row>
    <row r="2577" spans="1:10" ht="14.25" hidden="1" customHeight="1" x14ac:dyDescent="0.35">
      <c r="A2577" s="30"/>
      <c r="E2577" s="31"/>
      <c r="G2577" s="32" t="str">
        <f t="shared" si="80"/>
        <v>|||1900|</v>
      </c>
      <c r="H2577" s="32" t="str">
        <f t="shared" si="81"/>
        <v>||1900|</v>
      </c>
      <c r="I2577" s="32">
        <f>IF(G2577="",0,IF(COUNTIF($G$2:G2577,G2577)=1,1,0))</f>
        <v>0</v>
      </c>
      <c r="J2577" s="32">
        <f>IF(H2577="",0,IF(COUNTIF($H$2:H2577,H2577)=1,1,0))</f>
        <v>0</v>
      </c>
    </row>
    <row r="2578" spans="1:10" ht="14.25" hidden="1" customHeight="1" x14ac:dyDescent="0.35">
      <c r="A2578" s="30"/>
      <c r="E2578" s="31"/>
      <c r="G2578" s="32" t="str">
        <f t="shared" si="80"/>
        <v>|||1900|</v>
      </c>
      <c r="H2578" s="32" t="str">
        <f t="shared" si="81"/>
        <v>||1900|</v>
      </c>
      <c r="I2578" s="32">
        <f>IF(G2578="",0,IF(COUNTIF($G$2:G2578,G2578)=1,1,0))</f>
        <v>0</v>
      </c>
      <c r="J2578" s="32">
        <f>IF(H2578="",0,IF(COUNTIF($H$2:H2578,H2578)=1,1,0))</f>
        <v>0</v>
      </c>
    </row>
    <row r="2579" spans="1:10" ht="14.25" hidden="1" customHeight="1" x14ac:dyDescent="0.35">
      <c r="A2579" s="30"/>
      <c r="E2579" s="31"/>
      <c r="G2579" s="32" t="str">
        <f t="shared" si="80"/>
        <v>|||1900|</v>
      </c>
      <c r="H2579" s="32" t="str">
        <f t="shared" si="81"/>
        <v>||1900|</v>
      </c>
      <c r="I2579" s="32">
        <f>IF(G2579="",0,IF(COUNTIF($G$2:G2579,G2579)=1,1,0))</f>
        <v>0</v>
      </c>
      <c r="J2579" s="32">
        <f>IF(H2579="",0,IF(COUNTIF($H$2:H2579,H2579)=1,1,0))</f>
        <v>0</v>
      </c>
    </row>
    <row r="2580" spans="1:10" ht="14.25" hidden="1" customHeight="1" x14ac:dyDescent="0.35">
      <c r="A2580" s="30"/>
      <c r="E2580" s="31"/>
      <c r="G2580" s="32" t="str">
        <f t="shared" si="80"/>
        <v>|||1900|</v>
      </c>
      <c r="H2580" s="32" t="str">
        <f t="shared" si="81"/>
        <v>||1900|</v>
      </c>
      <c r="I2580" s="32">
        <f>IF(G2580="",0,IF(COUNTIF($G$2:G2580,G2580)=1,1,0))</f>
        <v>0</v>
      </c>
      <c r="J2580" s="32">
        <f>IF(H2580="",0,IF(COUNTIF($H$2:H2580,H2580)=1,1,0))</f>
        <v>0</v>
      </c>
    </row>
    <row r="2581" spans="1:10" ht="14.25" hidden="1" customHeight="1" x14ac:dyDescent="0.35">
      <c r="A2581" s="30"/>
      <c r="E2581" s="31"/>
      <c r="G2581" s="32" t="str">
        <f t="shared" si="80"/>
        <v>|||1900|</v>
      </c>
      <c r="H2581" s="32" t="str">
        <f t="shared" si="81"/>
        <v>||1900|</v>
      </c>
      <c r="I2581" s="32">
        <f>IF(G2581="",0,IF(COUNTIF($G$2:G2581,G2581)=1,1,0))</f>
        <v>0</v>
      </c>
      <c r="J2581" s="32">
        <f>IF(H2581="",0,IF(COUNTIF($H$2:H2581,H2581)=1,1,0))</f>
        <v>0</v>
      </c>
    </row>
    <row r="2582" spans="1:10" ht="14.25" hidden="1" customHeight="1" x14ac:dyDescent="0.35">
      <c r="A2582" s="30"/>
      <c r="E2582" s="31"/>
      <c r="G2582" s="32" t="str">
        <f t="shared" si="80"/>
        <v>|||1900|</v>
      </c>
      <c r="H2582" s="32" t="str">
        <f t="shared" si="81"/>
        <v>||1900|</v>
      </c>
      <c r="I2582" s="32">
        <f>IF(G2582="",0,IF(COUNTIF($G$2:G2582,G2582)=1,1,0))</f>
        <v>0</v>
      </c>
      <c r="J2582" s="32">
        <f>IF(H2582="",0,IF(COUNTIF($H$2:H2582,H2582)=1,1,0))</f>
        <v>0</v>
      </c>
    </row>
    <row r="2583" spans="1:10" ht="14.25" hidden="1" customHeight="1" x14ac:dyDescent="0.35">
      <c r="A2583" s="30"/>
      <c r="E2583" s="31"/>
      <c r="G2583" s="32" t="str">
        <f t="shared" si="80"/>
        <v>|||1900|</v>
      </c>
      <c r="H2583" s="32" t="str">
        <f t="shared" si="81"/>
        <v>||1900|</v>
      </c>
      <c r="I2583" s="32">
        <f>IF(G2583="",0,IF(COUNTIF($G$2:G2583,G2583)=1,1,0))</f>
        <v>0</v>
      </c>
      <c r="J2583" s="32">
        <f>IF(H2583="",0,IF(COUNTIF($H$2:H2583,H2583)=1,1,0))</f>
        <v>0</v>
      </c>
    </row>
    <row r="2584" spans="1:10" ht="14.25" hidden="1" customHeight="1" x14ac:dyDescent="0.35">
      <c r="A2584" s="30"/>
      <c r="E2584" s="31"/>
      <c r="G2584" s="32" t="str">
        <f t="shared" si="80"/>
        <v>|||1900|</v>
      </c>
      <c r="H2584" s="32" t="str">
        <f t="shared" si="81"/>
        <v>||1900|</v>
      </c>
      <c r="I2584" s="32">
        <f>IF(G2584="",0,IF(COUNTIF($G$2:G2584,G2584)=1,1,0))</f>
        <v>0</v>
      </c>
      <c r="J2584" s="32">
        <f>IF(H2584="",0,IF(COUNTIF($H$2:H2584,H2584)=1,1,0))</f>
        <v>0</v>
      </c>
    </row>
    <row r="2585" spans="1:10" ht="14.25" hidden="1" customHeight="1" x14ac:dyDescent="0.35">
      <c r="A2585" s="30"/>
      <c r="E2585" s="31"/>
      <c r="G2585" s="32" t="str">
        <f t="shared" si="80"/>
        <v>|||1900|</v>
      </c>
      <c r="H2585" s="32" t="str">
        <f t="shared" si="81"/>
        <v>||1900|</v>
      </c>
      <c r="I2585" s="32">
        <f>IF(G2585="",0,IF(COUNTIF($G$2:G2585,G2585)=1,1,0))</f>
        <v>0</v>
      </c>
      <c r="J2585" s="32">
        <f>IF(H2585="",0,IF(COUNTIF($H$2:H2585,H2585)=1,1,0))</f>
        <v>0</v>
      </c>
    </row>
    <row r="2586" spans="1:10" ht="14.25" hidden="1" customHeight="1" x14ac:dyDescent="0.35">
      <c r="A2586" s="30"/>
      <c r="E2586" s="31"/>
      <c r="G2586" s="32" t="str">
        <f t="shared" si="80"/>
        <v>|||1900|</v>
      </c>
      <c r="H2586" s="32" t="str">
        <f t="shared" si="81"/>
        <v>||1900|</v>
      </c>
      <c r="I2586" s="32">
        <f>IF(G2586="",0,IF(COUNTIF($G$2:G2586,G2586)=1,1,0))</f>
        <v>0</v>
      </c>
      <c r="J2586" s="32">
        <f>IF(H2586="",0,IF(COUNTIF($H$2:H2586,H2586)=1,1,0))</f>
        <v>0</v>
      </c>
    </row>
    <row r="2587" spans="1:10" ht="14.25" hidden="1" customHeight="1" x14ac:dyDescent="0.35">
      <c r="A2587" s="30"/>
      <c r="E2587" s="31"/>
      <c r="G2587" s="32" t="str">
        <f t="shared" si="80"/>
        <v>|||1900|</v>
      </c>
      <c r="H2587" s="32" t="str">
        <f t="shared" si="81"/>
        <v>||1900|</v>
      </c>
      <c r="I2587" s="32">
        <f>IF(G2587="",0,IF(COUNTIF($G$2:G2587,G2587)=1,1,0))</f>
        <v>0</v>
      </c>
      <c r="J2587" s="32">
        <f>IF(H2587="",0,IF(COUNTIF($H$2:H2587,H2587)=1,1,0))</f>
        <v>0</v>
      </c>
    </row>
    <row r="2588" spans="1:10" ht="14.25" hidden="1" customHeight="1" x14ac:dyDescent="0.35">
      <c r="A2588" s="30"/>
      <c r="E2588" s="31"/>
      <c r="G2588" s="32" t="str">
        <f t="shared" si="80"/>
        <v>|||1900|</v>
      </c>
      <c r="H2588" s="32" t="str">
        <f t="shared" si="81"/>
        <v>||1900|</v>
      </c>
      <c r="I2588" s="32">
        <f>IF(G2588="",0,IF(COUNTIF($G$2:G2588,G2588)=1,1,0))</f>
        <v>0</v>
      </c>
      <c r="J2588" s="32">
        <f>IF(H2588="",0,IF(COUNTIF($H$2:H2588,H2588)=1,1,0))</f>
        <v>0</v>
      </c>
    </row>
    <row r="2589" spans="1:10" ht="14.25" hidden="1" customHeight="1" x14ac:dyDescent="0.35">
      <c r="A2589" s="30"/>
      <c r="E2589" s="31"/>
      <c r="G2589" s="32" t="str">
        <f t="shared" si="80"/>
        <v>|||1900|</v>
      </c>
      <c r="H2589" s="32" t="str">
        <f t="shared" si="81"/>
        <v>||1900|</v>
      </c>
      <c r="I2589" s="32">
        <f>IF(G2589="",0,IF(COUNTIF($G$2:G2589,G2589)=1,1,0))</f>
        <v>0</v>
      </c>
      <c r="J2589" s="32">
        <f>IF(H2589="",0,IF(COUNTIF($H$2:H2589,H2589)=1,1,0))</f>
        <v>0</v>
      </c>
    </row>
    <row r="2590" spans="1:10" ht="14.25" hidden="1" customHeight="1" x14ac:dyDescent="0.35">
      <c r="A2590" s="30"/>
      <c r="E2590" s="31"/>
      <c r="G2590" s="32" t="str">
        <f t="shared" si="80"/>
        <v>|||1900|</v>
      </c>
      <c r="H2590" s="32" t="str">
        <f t="shared" si="81"/>
        <v>||1900|</v>
      </c>
      <c r="I2590" s="32">
        <f>IF(G2590="",0,IF(COUNTIF($G$2:G2590,G2590)=1,1,0))</f>
        <v>0</v>
      </c>
      <c r="J2590" s="32">
        <f>IF(H2590="",0,IF(COUNTIF($H$2:H2590,H2590)=1,1,0))</f>
        <v>0</v>
      </c>
    </row>
    <row r="2591" spans="1:10" ht="14.25" hidden="1" customHeight="1" x14ac:dyDescent="0.35">
      <c r="A2591" s="30"/>
      <c r="E2591" s="31"/>
      <c r="G2591" s="32" t="str">
        <f t="shared" si="80"/>
        <v>|||1900|</v>
      </c>
      <c r="H2591" s="32" t="str">
        <f t="shared" si="81"/>
        <v>||1900|</v>
      </c>
      <c r="I2591" s="32">
        <f>IF(G2591="",0,IF(COUNTIF($G$2:G2591,G2591)=1,1,0))</f>
        <v>0</v>
      </c>
      <c r="J2591" s="32">
        <f>IF(H2591="",0,IF(COUNTIF($H$2:H2591,H2591)=1,1,0))</f>
        <v>0</v>
      </c>
    </row>
    <row r="2592" spans="1:10" ht="14.25" hidden="1" customHeight="1" x14ac:dyDescent="0.35">
      <c r="A2592" s="30"/>
      <c r="E2592" s="31"/>
      <c r="G2592" s="32" t="str">
        <f t="shared" si="80"/>
        <v>|||1900|</v>
      </c>
      <c r="H2592" s="32" t="str">
        <f t="shared" si="81"/>
        <v>||1900|</v>
      </c>
      <c r="I2592" s="32">
        <f>IF(G2592="",0,IF(COUNTIF($G$2:G2592,G2592)=1,1,0))</f>
        <v>0</v>
      </c>
      <c r="J2592" s="32">
        <f>IF(H2592="",0,IF(COUNTIF($H$2:H2592,H2592)=1,1,0))</f>
        <v>0</v>
      </c>
    </row>
    <row r="2593" spans="1:10" ht="14.25" hidden="1" customHeight="1" x14ac:dyDescent="0.35">
      <c r="A2593" s="30"/>
      <c r="E2593" s="31"/>
      <c r="G2593" s="32" t="str">
        <f t="shared" si="80"/>
        <v>|||1900|</v>
      </c>
      <c r="H2593" s="32" t="str">
        <f t="shared" si="81"/>
        <v>||1900|</v>
      </c>
      <c r="I2593" s="32">
        <f>IF(G2593="",0,IF(COUNTIF($G$2:G2593,G2593)=1,1,0))</f>
        <v>0</v>
      </c>
      <c r="J2593" s="32">
        <f>IF(H2593="",0,IF(COUNTIF($H$2:H2593,H2593)=1,1,0))</f>
        <v>0</v>
      </c>
    </row>
    <row r="2594" spans="1:10" ht="14.25" hidden="1" customHeight="1" x14ac:dyDescent="0.35">
      <c r="A2594" s="30"/>
      <c r="E2594" s="31"/>
      <c r="G2594" s="32" t="str">
        <f t="shared" si="80"/>
        <v>|||1900|</v>
      </c>
      <c r="H2594" s="32" t="str">
        <f t="shared" si="81"/>
        <v>||1900|</v>
      </c>
      <c r="I2594" s="32">
        <f>IF(G2594="",0,IF(COUNTIF($G$2:G2594,G2594)=1,1,0))</f>
        <v>0</v>
      </c>
      <c r="J2594" s="32">
        <f>IF(H2594="",0,IF(COUNTIF($H$2:H2594,H2594)=1,1,0))</f>
        <v>0</v>
      </c>
    </row>
    <row r="2595" spans="1:10" ht="14.25" hidden="1" customHeight="1" x14ac:dyDescent="0.35">
      <c r="A2595" s="30"/>
      <c r="E2595" s="31"/>
      <c r="G2595" s="32" t="str">
        <f t="shared" si="80"/>
        <v>|||1900|</v>
      </c>
      <c r="H2595" s="32" t="str">
        <f t="shared" si="81"/>
        <v>||1900|</v>
      </c>
      <c r="I2595" s="32">
        <f>IF(G2595="",0,IF(COUNTIF($G$2:G2595,G2595)=1,1,0))</f>
        <v>0</v>
      </c>
      <c r="J2595" s="32">
        <f>IF(H2595="",0,IF(COUNTIF($H$2:H2595,H2595)=1,1,0))</f>
        <v>0</v>
      </c>
    </row>
    <row r="2596" spans="1:10" ht="14.25" hidden="1" customHeight="1" x14ac:dyDescent="0.35">
      <c r="A2596" s="30"/>
      <c r="E2596" s="31"/>
      <c r="G2596" s="32" t="str">
        <f t="shared" si="80"/>
        <v>|||1900|</v>
      </c>
      <c r="H2596" s="32" t="str">
        <f t="shared" si="81"/>
        <v>||1900|</v>
      </c>
      <c r="I2596" s="32">
        <f>IF(G2596="",0,IF(COUNTIF($G$2:G2596,G2596)=1,1,0))</f>
        <v>0</v>
      </c>
      <c r="J2596" s="32">
        <f>IF(H2596="",0,IF(COUNTIF($H$2:H2596,H2596)=1,1,0))</f>
        <v>0</v>
      </c>
    </row>
    <row r="2597" spans="1:10" ht="14.25" hidden="1" customHeight="1" x14ac:dyDescent="0.35">
      <c r="A2597" s="30"/>
      <c r="E2597" s="31"/>
      <c r="G2597" s="32" t="str">
        <f t="shared" si="80"/>
        <v>|||1900|</v>
      </c>
      <c r="H2597" s="32" t="str">
        <f t="shared" si="81"/>
        <v>||1900|</v>
      </c>
      <c r="I2597" s="32">
        <f>IF(G2597="",0,IF(COUNTIF($G$2:G2597,G2597)=1,1,0))</f>
        <v>0</v>
      </c>
      <c r="J2597" s="32">
        <f>IF(H2597="",0,IF(COUNTIF($H$2:H2597,H2597)=1,1,0))</f>
        <v>0</v>
      </c>
    </row>
    <row r="2598" spans="1:10" ht="14.25" hidden="1" customHeight="1" x14ac:dyDescent="0.35">
      <c r="A2598" s="30"/>
      <c r="E2598" s="31"/>
      <c r="G2598" s="32" t="str">
        <f t="shared" si="80"/>
        <v>|||1900|</v>
      </c>
      <c r="H2598" s="32" t="str">
        <f t="shared" si="81"/>
        <v>||1900|</v>
      </c>
      <c r="I2598" s="32">
        <f>IF(G2598="",0,IF(COUNTIF($G$2:G2598,G2598)=1,1,0))</f>
        <v>0</v>
      </c>
      <c r="J2598" s="32">
        <f>IF(H2598="",0,IF(COUNTIF($H$2:H2598,H2598)=1,1,0))</f>
        <v>0</v>
      </c>
    </row>
    <row r="2599" spans="1:10" ht="14.25" hidden="1" customHeight="1" x14ac:dyDescent="0.35">
      <c r="A2599" s="30"/>
      <c r="E2599" s="31"/>
      <c r="G2599" s="32" t="str">
        <f t="shared" si="80"/>
        <v>|||1900|</v>
      </c>
      <c r="H2599" s="32" t="str">
        <f t="shared" si="81"/>
        <v>||1900|</v>
      </c>
      <c r="I2599" s="32">
        <f>IF(G2599="",0,IF(COUNTIF($G$2:G2599,G2599)=1,1,0))</f>
        <v>0</v>
      </c>
      <c r="J2599" s="32">
        <f>IF(H2599="",0,IF(COUNTIF($H$2:H2599,H2599)=1,1,0))</f>
        <v>0</v>
      </c>
    </row>
    <row r="2600" spans="1:10" ht="14.25" hidden="1" customHeight="1" x14ac:dyDescent="0.35">
      <c r="A2600" s="30"/>
      <c r="E2600" s="31"/>
      <c r="G2600" s="32" t="str">
        <f t="shared" si="80"/>
        <v>|||1900|</v>
      </c>
      <c r="H2600" s="32" t="str">
        <f t="shared" si="81"/>
        <v>||1900|</v>
      </c>
      <c r="I2600" s="32">
        <f>IF(G2600="",0,IF(COUNTIF($G$2:G2600,G2600)=1,1,0))</f>
        <v>0</v>
      </c>
      <c r="J2600" s="32">
        <f>IF(H2600="",0,IF(COUNTIF($H$2:H2600,H2600)=1,1,0))</f>
        <v>0</v>
      </c>
    </row>
    <row r="2601" spans="1:10" ht="14.25" hidden="1" customHeight="1" x14ac:dyDescent="0.35">
      <c r="A2601" s="30"/>
      <c r="E2601" s="31"/>
      <c r="G2601" s="32" t="str">
        <f t="shared" si="80"/>
        <v>|||1900|</v>
      </c>
      <c r="H2601" s="32" t="str">
        <f t="shared" si="81"/>
        <v>||1900|</v>
      </c>
      <c r="I2601" s="32">
        <f>IF(G2601="",0,IF(COUNTIF($G$2:G2601,G2601)=1,1,0))</f>
        <v>0</v>
      </c>
      <c r="J2601" s="32">
        <f>IF(H2601="",0,IF(COUNTIF($H$2:H2601,H2601)=1,1,0))</f>
        <v>0</v>
      </c>
    </row>
    <row r="2602" spans="1:10" ht="14.25" hidden="1" customHeight="1" x14ac:dyDescent="0.35">
      <c r="A2602" s="30"/>
      <c r="E2602" s="31"/>
      <c r="G2602" s="32" t="str">
        <f t="shared" si="80"/>
        <v>|||1900|</v>
      </c>
      <c r="H2602" s="32" t="str">
        <f t="shared" si="81"/>
        <v>||1900|</v>
      </c>
      <c r="I2602" s="32">
        <f>IF(G2602="",0,IF(COUNTIF($G$2:G2602,G2602)=1,1,0))</f>
        <v>0</v>
      </c>
      <c r="J2602" s="32">
        <f>IF(H2602="",0,IF(COUNTIF($H$2:H2602,H2602)=1,1,0))</f>
        <v>0</v>
      </c>
    </row>
    <row r="2603" spans="1:10" ht="14.25" hidden="1" customHeight="1" x14ac:dyDescent="0.35">
      <c r="A2603" s="30"/>
      <c r="E2603" s="31"/>
      <c r="G2603" s="32" t="str">
        <f t="shared" si="80"/>
        <v>|||1900|</v>
      </c>
      <c r="H2603" s="32" t="str">
        <f t="shared" si="81"/>
        <v>||1900|</v>
      </c>
      <c r="I2603" s="32">
        <f>IF(G2603="",0,IF(COUNTIF($G$2:G2603,G2603)=1,1,0))</f>
        <v>0</v>
      </c>
      <c r="J2603" s="32">
        <f>IF(H2603="",0,IF(COUNTIF($H$2:H2603,H2603)=1,1,0))</f>
        <v>0</v>
      </c>
    </row>
    <row r="2604" spans="1:10" ht="14.25" hidden="1" customHeight="1" x14ac:dyDescent="0.35">
      <c r="A2604" s="30"/>
      <c r="E2604" s="31"/>
      <c r="G2604" s="32" t="str">
        <f t="shared" si="80"/>
        <v>|||1900|</v>
      </c>
      <c r="H2604" s="32" t="str">
        <f t="shared" si="81"/>
        <v>||1900|</v>
      </c>
      <c r="I2604" s="32">
        <f>IF(G2604="",0,IF(COUNTIF($G$2:G2604,G2604)=1,1,0))</f>
        <v>0</v>
      </c>
      <c r="J2604" s="32">
        <f>IF(H2604="",0,IF(COUNTIF($H$2:H2604,H2604)=1,1,0))</f>
        <v>0</v>
      </c>
    </row>
    <row r="2605" spans="1:10" ht="14.25" hidden="1" customHeight="1" x14ac:dyDescent="0.35">
      <c r="A2605" s="30"/>
      <c r="E2605" s="31"/>
      <c r="G2605" s="32" t="str">
        <f t="shared" si="80"/>
        <v>|||1900|</v>
      </c>
      <c r="H2605" s="32" t="str">
        <f t="shared" si="81"/>
        <v>||1900|</v>
      </c>
      <c r="I2605" s="32">
        <f>IF(G2605="",0,IF(COUNTIF($G$2:G2605,G2605)=1,1,0))</f>
        <v>0</v>
      </c>
      <c r="J2605" s="32">
        <f>IF(H2605="",0,IF(COUNTIF($H$2:H2605,H2605)=1,1,0))</f>
        <v>0</v>
      </c>
    </row>
    <row r="2606" spans="1:10" ht="14.25" hidden="1" customHeight="1" x14ac:dyDescent="0.35">
      <c r="A2606" s="30"/>
      <c r="E2606" s="31"/>
      <c r="G2606" s="32" t="str">
        <f t="shared" si="80"/>
        <v>|||1900|</v>
      </c>
      <c r="H2606" s="32" t="str">
        <f t="shared" si="81"/>
        <v>||1900|</v>
      </c>
      <c r="I2606" s="32">
        <f>IF(G2606="",0,IF(COUNTIF($G$2:G2606,G2606)=1,1,0))</f>
        <v>0</v>
      </c>
      <c r="J2606" s="32">
        <f>IF(H2606="",0,IF(COUNTIF($H$2:H2606,H2606)=1,1,0))</f>
        <v>0</v>
      </c>
    </row>
    <row r="2607" spans="1:10" ht="14.25" hidden="1" customHeight="1" x14ac:dyDescent="0.35">
      <c r="A2607" s="30"/>
      <c r="E2607" s="31"/>
      <c r="G2607" s="32" t="str">
        <f t="shared" si="80"/>
        <v>|||1900|</v>
      </c>
      <c r="H2607" s="32" t="str">
        <f t="shared" si="81"/>
        <v>||1900|</v>
      </c>
      <c r="I2607" s="32">
        <f>IF(G2607="",0,IF(COUNTIF($G$2:G2607,G2607)=1,1,0))</f>
        <v>0</v>
      </c>
      <c r="J2607" s="32">
        <f>IF(H2607="",0,IF(COUNTIF($H$2:H2607,H2607)=1,1,0))</f>
        <v>0</v>
      </c>
    </row>
    <row r="2608" spans="1:10" ht="14.25" hidden="1" customHeight="1" x14ac:dyDescent="0.35">
      <c r="A2608" s="30"/>
      <c r="E2608" s="31"/>
      <c r="G2608" s="32" t="str">
        <f t="shared" si="80"/>
        <v>|||1900|</v>
      </c>
      <c r="H2608" s="32" t="str">
        <f t="shared" si="81"/>
        <v>||1900|</v>
      </c>
      <c r="I2608" s="32">
        <f>IF(G2608="",0,IF(COUNTIF($G$2:G2608,G2608)=1,1,0))</f>
        <v>0</v>
      </c>
      <c r="J2608" s="32">
        <f>IF(H2608="",0,IF(COUNTIF($H$2:H2608,H2608)=1,1,0))</f>
        <v>0</v>
      </c>
    </row>
    <row r="2609" spans="1:10" ht="14.25" hidden="1" customHeight="1" x14ac:dyDescent="0.35">
      <c r="A2609" s="30"/>
      <c r="E2609" s="31"/>
      <c r="G2609" s="32" t="str">
        <f t="shared" si="80"/>
        <v>|||1900|</v>
      </c>
      <c r="H2609" s="32" t="str">
        <f t="shared" si="81"/>
        <v>||1900|</v>
      </c>
      <c r="I2609" s="32">
        <f>IF(G2609="",0,IF(COUNTIF($G$2:G2609,G2609)=1,1,0))</f>
        <v>0</v>
      </c>
      <c r="J2609" s="32">
        <f>IF(H2609="",0,IF(COUNTIF($H$2:H2609,H2609)=1,1,0))</f>
        <v>0</v>
      </c>
    </row>
    <row r="2610" spans="1:10" ht="14.25" hidden="1" customHeight="1" x14ac:dyDescent="0.35">
      <c r="A2610" s="30"/>
      <c r="E2610" s="31"/>
      <c r="G2610" s="32" t="str">
        <f t="shared" si="80"/>
        <v>|||1900|</v>
      </c>
      <c r="H2610" s="32" t="str">
        <f t="shared" si="81"/>
        <v>||1900|</v>
      </c>
      <c r="I2610" s="32">
        <f>IF(G2610="",0,IF(COUNTIF($G$2:G2610,G2610)=1,1,0))</f>
        <v>0</v>
      </c>
      <c r="J2610" s="32">
        <f>IF(H2610="",0,IF(COUNTIF($H$2:H2610,H2610)=1,1,0))</f>
        <v>0</v>
      </c>
    </row>
    <row r="2611" spans="1:10" ht="14.25" hidden="1" customHeight="1" x14ac:dyDescent="0.35">
      <c r="A2611" s="30"/>
      <c r="E2611" s="31"/>
      <c r="G2611" s="32" t="str">
        <f t="shared" si="80"/>
        <v>|||1900|</v>
      </c>
      <c r="H2611" s="32" t="str">
        <f t="shared" si="81"/>
        <v>||1900|</v>
      </c>
      <c r="I2611" s="32">
        <f>IF(G2611="",0,IF(COUNTIF($G$2:G2611,G2611)=1,1,0))</f>
        <v>0</v>
      </c>
      <c r="J2611" s="32">
        <f>IF(H2611="",0,IF(COUNTIF($H$2:H2611,H2611)=1,1,0))</f>
        <v>0</v>
      </c>
    </row>
    <row r="2612" spans="1:10" ht="14.25" hidden="1" customHeight="1" x14ac:dyDescent="0.35">
      <c r="A2612" s="30"/>
      <c r="E2612" s="31"/>
      <c r="G2612" s="32" t="str">
        <f t="shared" si="80"/>
        <v>|||1900|</v>
      </c>
      <c r="H2612" s="32" t="str">
        <f t="shared" si="81"/>
        <v>||1900|</v>
      </c>
      <c r="I2612" s="32">
        <f>IF(G2612="",0,IF(COUNTIF($G$2:G2612,G2612)=1,1,0))</f>
        <v>0</v>
      </c>
      <c r="J2612" s="32">
        <f>IF(H2612="",0,IF(COUNTIF($H$2:H2612,H2612)=1,1,0))</f>
        <v>0</v>
      </c>
    </row>
    <row r="2613" spans="1:10" ht="14.25" hidden="1" customHeight="1" x14ac:dyDescent="0.35">
      <c r="A2613" s="30"/>
      <c r="E2613" s="31"/>
      <c r="G2613" s="32" t="str">
        <f t="shared" si="80"/>
        <v>|||1900|</v>
      </c>
      <c r="H2613" s="32" t="str">
        <f t="shared" si="81"/>
        <v>||1900|</v>
      </c>
      <c r="I2613" s="32">
        <f>IF(G2613="",0,IF(COUNTIF($G$2:G2613,G2613)=1,1,0))</f>
        <v>0</v>
      </c>
      <c r="J2613" s="32">
        <f>IF(H2613="",0,IF(COUNTIF($H$2:H2613,H2613)=1,1,0))</f>
        <v>0</v>
      </c>
    </row>
    <row r="2614" spans="1:10" ht="14.25" hidden="1" customHeight="1" x14ac:dyDescent="0.35">
      <c r="A2614" s="30"/>
      <c r="E2614" s="31"/>
      <c r="G2614" s="32" t="str">
        <f t="shared" si="80"/>
        <v>|||1900|</v>
      </c>
      <c r="H2614" s="32" t="str">
        <f t="shared" si="81"/>
        <v>||1900|</v>
      </c>
      <c r="I2614" s="32">
        <f>IF(G2614="",0,IF(COUNTIF($G$2:G2614,G2614)=1,1,0))</f>
        <v>0</v>
      </c>
      <c r="J2614" s="32">
        <f>IF(H2614="",0,IF(COUNTIF($H$2:H2614,H2614)=1,1,0))</f>
        <v>0</v>
      </c>
    </row>
    <row r="2615" spans="1:10" ht="14.25" hidden="1" customHeight="1" x14ac:dyDescent="0.35">
      <c r="A2615" s="30"/>
      <c r="E2615" s="31"/>
      <c r="G2615" s="32" t="str">
        <f t="shared" si="80"/>
        <v>|||1900|</v>
      </c>
      <c r="H2615" s="32" t="str">
        <f t="shared" si="81"/>
        <v>||1900|</v>
      </c>
      <c r="I2615" s="32">
        <f>IF(G2615="",0,IF(COUNTIF($G$2:G2615,G2615)=1,1,0))</f>
        <v>0</v>
      </c>
      <c r="J2615" s="32">
        <f>IF(H2615="",0,IF(COUNTIF($H$2:H2615,H2615)=1,1,0))</f>
        <v>0</v>
      </c>
    </row>
    <row r="2616" spans="1:10" ht="14.25" hidden="1" customHeight="1" x14ac:dyDescent="0.35">
      <c r="A2616" s="30"/>
      <c r="E2616" s="31"/>
      <c r="G2616" s="32" t="str">
        <f t="shared" si="80"/>
        <v>|||1900|</v>
      </c>
      <c r="H2616" s="32" t="str">
        <f t="shared" si="81"/>
        <v>||1900|</v>
      </c>
      <c r="I2616" s="32">
        <f>IF(G2616="",0,IF(COUNTIF($G$2:G2616,G2616)=1,1,0))</f>
        <v>0</v>
      </c>
      <c r="J2616" s="32">
        <f>IF(H2616="",0,IF(COUNTIF($H$2:H2616,H2616)=1,1,0))</f>
        <v>0</v>
      </c>
    </row>
    <row r="2617" spans="1:10" ht="14.25" hidden="1" customHeight="1" x14ac:dyDescent="0.35">
      <c r="A2617" s="30"/>
      <c r="E2617" s="31"/>
      <c r="G2617" s="32" t="str">
        <f t="shared" si="80"/>
        <v>|||1900|</v>
      </c>
      <c r="H2617" s="32" t="str">
        <f t="shared" si="81"/>
        <v>||1900|</v>
      </c>
      <c r="I2617" s="32">
        <f>IF(G2617="",0,IF(COUNTIF($G$2:G2617,G2617)=1,1,0))</f>
        <v>0</v>
      </c>
      <c r="J2617" s="32">
        <f>IF(H2617="",0,IF(COUNTIF($H$2:H2617,H2617)=1,1,0))</f>
        <v>0</v>
      </c>
    </row>
    <row r="2618" spans="1:10" ht="14.25" hidden="1" customHeight="1" x14ac:dyDescent="0.35">
      <c r="A2618" s="30"/>
      <c r="E2618" s="31"/>
      <c r="G2618" s="32" t="str">
        <f t="shared" si="80"/>
        <v>|||1900|</v>
      </c>
      <c r="H2618" s="32" t="str">
        <f t="shared" si="81"/>
        <v>||1900|</v>
      </c>
      <c r="I2618" s="32">
        <f>IF(G2618="",0,IF(COUNTIF($G$2:G2618,G2618)=1,1,0))</f>
        <v>0</v>
      </c>
      <c r="J2618" s="32">
        <f>IF(H2618="",0,IF(COUNTIF($H$2:H2618,H2618)=1,1,0))</f>
        <v>0</v>
      </c>
    </row>
    <row r="2619" spans="1:10" ht="14.25" hidden="1" customHeight="1" x14ac:dyDescent="0.35">
      <c r="A2619" s="30"/>
      <c r="E2619" s="31"/>
      <c r="G2619" s="32" t="str">
        <f t="shared" si="80"/>
        <v>|||1900|</v>
      </c>
      <c r="H2619" s="32" t="str">
        <f t="shared" si="81"/>
        <v>||1900|</v>
      </c>
      <c r="I2619" s="32">
        <f>IF(G2619="",0,IF(COUNTIF($G$2:G2619,G2619)=1,1,0))</f>
        <v>0</v>
      </c>
      <c r="J2619" s="32">
        <f>IF(H2619="",0,IF(COUNTIF($H$2:H2619,H2619)=1,1,0))</f>
        <v>0</v>
      </c>
    </row>
    <row r="2620" spans="1:10" ht="14.25" hidden="1" customHeight="1" x14ac:dyDescent="0.35">
      <c r="A2620" s="30"/>
      <c r="E2620" s="31"/>
      <c r="G2620" s="32" t="str">
        <f t="shared" si="80"/>
        <v>|||1900|</v>
      </c>
      <c r="H2620" s="32" t="str">
        <f t="shared" si="81"/>
        <v>||1900|</v>
      </c>
      <c r="I2620" s="32">
        <f>IF(G2620="",0,IF(COUNTIF($G$2:G2620,G2620)=1,1,0))</f>
        <v>0</v>
      </c>
      <c r="J2620" s="32">
        <f>IF(H2620="",0,IF(COUNTIF($H$2:H2620,H2620)=1,1,0))</f>
        <v>0</v>
      </c>
    </row>
    <row r="2621" spans="1:10" ht="14.25" hidden="1" customHeight="1" x14ac:dyDescent="0.35">
      <c r="A2621" s="30"/>
      <c r="E2621" s="31"/>
      <c r="G2621" s="32" t="str">
        <f t="shared" si="80"/>
        <v>|||1900|</v>
      </c>
      <c r="H2621" s="32" t="str">
        <f t="shared" si="81"/>
        <v>||1900|</v>
      </c>
      <c r="I2621" s="32">
        <f>IF(G2621="",0,IF(COUNTIF($G$2:G2621,G2621)=1,1,0))</f>
        <v>0</v>
      </c>
      <c r="J2621" s="32">
        <f>IF(H2621="",0,IF(COUNTIF($H$2:H2621,H2621)=1,1,0))</f>
        <v>0</v>
      </c>
    </row>
    <row r="2622" spans="1:10" ht="14.25" hidden="1" customHeight="1" x14ac:dyDescent="0.35">
      <c r="A2622" s="30"/>
      <c r="E2622" s="31"/>
      <c r="G2622" s="32" t="str">
        <f t="shared" si="80"/>
        <v>|||1900|</v>
      </c>
      <c r="H2622" s="32" t="str">
        <f t="shared" si="81"/>
        <v>||1900|</v>
      </c>
      <c r="I2622" s="32">
        <f>IF(G2622="",0,IF(COUNTIF($G$2:G2622,G2622)=1,1,0))</f>
        <v>0</v>
      </c>
      <c r="J2622" s="32">
        <f>IF(H2622="",0,IF(COUNTIF($H$2:H2622,H2622)=1,1,0))</f>
        <v>0</v>
      </c>
    </row>
    <row r="2623" spans="1:10" ht="14.25" hidden="1" customHeight="1" x14ac:dyDescent="0.35">
      <c r="A2623" s="30"/>
      <c r="E2623" s="31"/>
      <c r="G2623" s="32" t="str">
        <f t="shared" si="80"/>
        <v>|||1900|</v>
      </c>
      <c r="H2623" s="32" t="str">
        <f t="shared" si="81"/>
        <v>||1900|</v>
      </c>
      <c r="I2623" s="32">
        <f>IF(G2623="",0,IF(COUNTIF($G$2:G2623,G2623)=1,1,0))</f>
        <v>0</v>
      </c>
      <c r="J2623" s="32">
        <f>IF(H2623="",0,IF(COUNTIF($H$2:H2623,H2623)=1,1,0))</f>
        <v>0</v>
      </c>
    </row>
    <row r="2624" spans="1:10" ht="14.25" hidden="1" customHeight="1" x14ac:dyDescent="0.35">
      <c r="A2624" s="30"/>
      <c r="E2624" s="31"/>
      <c r="G2624" s="32" t="str">
        <f t="shared" si="80"/>
        <v>|||1900|</v>
      </c>
      <c r="H2624" s="32" t="str">
        <f t="shared" si="81"/>
        <v>||1900|</v>
      </c>
      <c r="I2624" s="32">
        <f>IF(G2624="",0,IF(COUNTIF($G$2:G2624,G2624)=1,1,0))</f>
        <v>0</v>
      </c>
      <c r="J2624" s="32">
        <f>IF(H2624="",0,IF(COUNTIF($H$2:H2624,H2624)=1,1,0))</f>
        <v>0</v>
      </c>
    </row>
    <row r="2625" spans="1:10" ht="14.25" hidden="1" customHeight="1" x14ac:dyDescent="0.35">
      <c r="A2625" s="30"/>
      <c r="E2625" s="31"/>
      <c r="G2625" s="32" t="str">
        <f t="shared" si="80"/>
        <v>|||1900|</v>
      </c>
      <c r="H2625" s="32" t="str">
        <f t="shared" si="81"/>
        <v>||1900|</v>
      </c>
      <c r="I2625" s="32">
        <f>IF(G2625="",0,IF(COUNTIF($G$2:G2625,G2625)=1,1,0))</f>
        <v>0</v>
      </c>
      <c r="J2625" s="32">
        <f>IF(H2625="",0,IF(COUNTIF($H$2:H2625,H2625)=1,1,0))</f>
        <v>0</v>
      </c>
    </row>
    <row r="2626" spans="1:10" ht="14.25" hidden="1" customHeight="1" x14ac:dyDescent="0.35">
      <c r="A2626" s="30"/>
      <c r="E2626" s="31"/>
      <c r="G2626" s="32" t="str">
        <f t="shared" ref="G2626:G2689" si="82">IF(D2626="T",
E2626&amp;"|"&amp;F2626,
A2626&amp;"|"&amp;B2626&amp;"|"&amp;C2626&amp;"|"&amp;YEAR(E2626)&amp;"|"&amp;F2626)</f>
        <v>|||1900|</v>
      </c>
      <c r="H2626" s="32" t="str">
        <f t="shared" ref="H2626:H2689" si="83">A2626&amp;"|"&amp;C2626&amp;"|"&amp;YEAR(E2626)&amp;"|"&amp;F2626</f>
        <v>||1900|</v>
      </c>
      <c r="I2626" s="32">
        <f>IF(G2626="",0,IF(COUNTIF($G$2:G2626,G2626)=1,1,0))</f>
        <v>0</v>
      </c>
      <c r="J2626" s="32">
        <f>IF(H2626="",0,IF(COUNTIF($H$2:H2626,H2626)=1,1,0))</f>
        <v>0</v>
      </c>
    </row>
    <row r="2627" spans="1:10" ht="14.25" hidden="1" customHeight="1" x14ac:dyDescent="0.35">
      <c r="A2627" s="30"/>
      <c r="E2627" s="31"/>
      <c r="G2627" s="32" t="str">
        <f t="shared" si="82"/>
        <v>|||1900|</v>
      </c>
      <c r="H2627" s="32" t="str">
        <f t="shared" si="83"/>
        <v>||1900|</v>
      </c>
      <c r="I2627" s="32">
        <f>IF(G2627="",0,IF(COUNTIF($G$2:G2627,G2627)=1,1,0))</f>
        <v>0</v>
      </c>
      <c r="J2627" s="32">
        <f>IF(H2627="",0,IF(COUNTIF($H$2:H2627,H2627)=1,1,0))</f>
        <v>0</v>
      </c>
    </row>
    <row r="2628" spans="1:10" ht="14.25" hidden="1" customHeight="1" x14ac:dyDescent="0.35">
      <c r="A2628" s="30"/>
      <c r="E2628" s="31"/>
      <c r="G2628" s="32" t="str">
        <f t="shared" si="82"/>
        <v>|||1900|</v>
      </c>
      <c r="H2628" s="32" t="str">
        <f t="shared" si="83"/>
        <v>||1900|</v>
      </c>
      <c r="I2628" s="32">
        <f>IF(G2628="",0,IF(COUNTIF($G$2:G2628,G2628)=1,1,0))</f>
        <v>0</v>
      </c>
      <c r="J2628" s="32">
        <f>IF(H2628="",0,IF(COUNTIF($H$2:H2628,H2628)=1,1,0))</f>
        <v>0</v>
      </c>
    </row>
    <row r="2629" spans="1:10" ht="14.25" hidden="1" customHeight="1" x14ac:dyDescent="0.35">
      <c r="A2629" s="30"/>
      <c r="E2629" s="31"/>
      <c r="G2629" s="32" t="str">
        <f t="shared" si="82"/>
        <v>|||1900|</v>
      </c>
      <c r="H2629" s="32" t="str">
        <f t="shared" si="83"/>
        <v>||1900|</v>
      </c>
      <c r="I2629" s="32">
        <f>IF(G2629="",0,IF(COUNTIF($G$2:G2629,G2629)=1,1,0))</f>
        <v>0</v>
      </c>
      <c r="J2629" s="32">
        <f>IF(H2629="",0,IF(COUNTIF($H$2:H2629,H2629)=1,1,0))</f>
        <v>0</v>
      </c>
    </row>
    <row r="2630" spans="1:10" ht="14.25" hidden="1" customHeight="1" x14ac:dyDescent="0.35">
      <c r="A2630" s="30"/>
      <c r="E2630" s="31"/>
      <c r="G2630" s="32" t="str">
        <f t="shared" si="82"/>
        <v>|||1900|</v>
      </c>
      <c r="H2630" s="32" t="str">
        <f t="shared" si="83"/>
        <v>||1900|</v>
      </c>
      <c r="I2630" s="32">
        <f>IF(G2630="",0,IF(COUNTIF($G$2:G2630,G2630)=1,1,0))</f>
        <v>0</v>
      </c>
      <c r="J2630" s="32">
        <f>IF(H2630="",0,IF(COUNTIF($H$2:H2630,H2630)=1,1,0))</f>
        <v>0</v>
      </c>
    </row>
    <row r="2631" spans="1:10" ht="14.25" hidden="1" customHeight="1" x14ac:dyDescent="0.35">
      <c r="A2631" s="30"/>
      <c r="E2631" s="31"/>
      <c r="G2631" s="32" t="str">
        <f t="shared" si="82"/>
        <v>|||1900|</v>
      </c>
      <c r="H2631" s="32" t="str">
        <f t="shared" si="83"/>
        <v>||1900|</v>
      </c>
      <c r="I2631" s="32">
        <f>IF(G2631="",0,IF(COUNTIF($G$2:G2631,G2631)=1,1,0))</f>
        <v>0</v>
      </c>
      <c r="J2631" s="32">
        <f>IF(H2631="",0,IF(COUNTIF($H$2:H2631,H2631)=1,1,0))</f>
        <v>0</v>
      </c>
    </row>
    <row r="2632" spans="1:10" ht="14.25" hidden="1" customHeight="1" x14ac:dyDescent="0.35">
      <c r="A2632" s="30"/>
      <c r="E2632" s="31"/>
      <c r="G2632" s="32" t="str">
        <f t="shared" si="82"/>
        <v>|||1900|</v>
      </c>
      <c r="H2632" s="32" t="str">
        <f t="shared" si="83"/>
        <v>||1900|</v>
      </c>
      <c r="I2632" s="32">
        <f>IF(G2632="",0,IF(COUNTIF($G$2:G2632,G2632)=1,1,0))</f>
        <v>0</v>
      </c>
      <c r="J2632" s="32">
        <f>IF(H2632="",0,IF(COUNTIF($H$2:H2632,H2632)=1,1,0))</f>
        <v>0</v>
      </c>
    </row>
    <row r="2633" spans="1:10" ht="14.25" hidden="1" customHeight="1" x14ac:dyDescent="0.35">
      <c r="A2633" s="30"/>
      <c r="E2633" s="31"/>
      <c r="G2633" s="32" t="str">
        <f t="shared" si="82"/>
        <v>|||1900|</v>
      </c>
      <c r="H2633" s="32" t="str">
        <f t="shared" si="83"/>
        <v>||1900|</v>
      </c>
      <c r="I2633" s="32">
        <f>IF(G2633="",0,IF(COUNTIF($G$2:G2633,G2633)=1,1,0))</f>
        <v>0</v>
      </c>
      <c r="J2633" s="32">
        <f>IF(H2633="",0,IF(COUNTIF($H$2:H2633,H2633)=1,1,0))</f>
        <v>0</v>
      </c>
    </row>
    <row r="2634" spans="1:10" ht="14.25" hidden="1" customHeight="1" x14ac:dyDescent="0.35">
      <c r="A2634" s="30"/>
      <c r="E2634" s="31"/>
      <c r="G2634" s="32" t="str">
        <f t="shared" si="82"/>
        <v>|||1900|</v>
      </c>
      <c r="H2634" s="32" t="str">
        <f t="shared" si="83"/>
        <v>||1900|</v>
      </c>
      <c r="I2634" s="32">
        <f>IF(G2634="",0,IF(COUNTIF($G$2:G2634,G2634)=1,1,0))</f>
        <v>0</v>
      </c>
      <c r="J2634" s="32">
        <f>IF(H2634="",0,IF(COUNTIF($H$2:H2634,H2634)=1,1,0))</f>
        <v>0</v>
      </c>
    </row>
    <row r="2635" spans="1:10" ht="14.25" hidden="1" customHeight="1" x14ac:dyDescent="0.35">
      <c r="A2635" s="30"/>
      <c r="E2635" s="31"/>
      <c r="G2635" s="32" t="str">
        <f t="shared" si="82"/>
        <v>|||1900|</v>
      </c>
      <c r="H2635" s="32" t="str">
        <f t="shared" si="83"/>
        <v>||1900|</v>
      </c>
      <c r="I2635" s="32">
        <f>IF(G2635="",0,IF(COUNTIF($G$2:G2635,G2635)=1,1,0))</f>
        <v>0</v>
      </c>
      <c r="J2635" s="32">
        <f>IF(H2635="",0,IF(COUNTIF($H$2:H2635,H2635)=1,1,0))</f>
        <v>0</v>
      </c>
    </row>
    <row r="2636" spans="1:10" ht="14.25" hidden="1" customHeight="1" x14ac:dyDescent="0.35">
      <c r="A2636" s="30"/>
      <c r="E2636" s="31"/>
      <c r="G2636" s="32" t="str">
        <f t="shared" si="82"/>
        <v>|||1900|</v>
      </c>
      <c r="H2636" s="32" t="str">
        <f t="shared" si="83"/>
        <v>||1900|</v>
      </c>
      <c r="I2636" s="32">
        <f>IF(G2636="",0,IF(COUNTIF($G$2:G2636,G2636)=1,1,0))</f>
        <v>0</v>
      </c>
      <c r="J2636" s="32">
        <f>IF(H2636="",0,IF(COUNTIF($H$2:H2636,H2636)=1,1,0))</f>
        <v>0</v>
      </c>
    </row>
    <row r="2637" spans="1:10" ht="14.25" hidden="1" customHeight="1" x14ac:dyDescent="0.35">
      <c r="A2637" s="30"/>
      <c r="E2637" s="31"/>
      <c r="G2637" s="32" t="str">
        <f t="shared" si="82"/>
        <v>|||1900|</v>
      </c>
      <c r="H2637" s="32" t="str">
        <f t="shared" si="83"/>
        <v>||1900|</v>
      </c>
      <c r="I2637" s="32">
        <f>IF(G2637="",0,IF(COUNTIF($G$2:G2637,G2637)=1,1,0))</f>
        <v>0</v>
      </c>
      <c r="J2637" s="32">
        <f>IF(H2637="",0,IF(COUNTIF($H$2:H2637,H2637)=1,1,0))</f>
        <v>0</v>
      </c>
    </row>
    <row r="2638" spans="1:10" ht="14.25" hidden="1" customHeight="1" x14ac:dyDescent="0.35">
      <c r="A2638" s="30"/>
      <c r="E2638" s="31"/>
      <c r="G2638" s="32" t="str">
        <f t="shared" si="82"/>
        <v>|||1900|</v>
      </c>
      <c r="H2638" s="32" t="str">
        <f t="shared" si="83"/>
        <v>||1900|</v>
      </c>
      <c r="I2638" s="32">
        <f>IF(G2638="",0,IF(COUNTIF($G$2:G2638,G2638)=1,1,0))</f>
        <v>0</v>
      </c>
      <c r="J2638" s="32">
        <f>IF(H2638="",0,IF(COUNTIF($H$2:H2638,H2638)=1,1,0))</f>
        <v>0</v>
      </c>
    </row>
    <row r="2639" spans="1:10" ht="14.25" hidden="1" customHeight="1" x14ac:dyDescent="0.35">
      <c r="A2639" s="30"/>
      <c r="E2639" s="31"/>
      <c r="G2639" s="32" t="str">
        <f t="shared" si="82"/>
        <v>|||1900|</v>
      </c>
      <c r="H2639" s="32" t="str">
        <f t="shared" si="83"/>
        <v>||1900|</v>
      </c>
      <c r="I2639" s="32">
        <f>IF(G2639="",0,IF(COUNTIF($G$2:G2639,G2639)=1,1,0))</f>
        <v>0</v>
      </c>
      <c r="J2639" s="32">
        <f>IF(H2639="",0,IF(COUNTIF($H$2:H2639,H2639)=1,1,0))</f>
        <v>0</v>
      </c>
    </row>
    <row r="2640" spans="1:10" ht="14.25" hidden="1" customHeight="1" x14ac:dyDescent="0.35">
      <c r="A2640" s="30"/>
      <c r="E2640" s="31"/>
      <c r="G2640" s="32" t="str">
        <f t="shared" si="82"/>
        <v>|||1900|</v>
      </c>
      <c r="H2640" s="32" t="str">
        <f t="shared" si="83"/>
        <v>||1900|</v>
      </c>
      <c r="I2640" s="32">
        <f>IF(G2640="",0,IF(COUNTIF($G$2:G2640,G2640)=1,1,0))</f>
        <v>0</v>
      </c>
      <c r="J2640" s="32">
        <f>IF(H2640="",0,IF(COUNTIF($H$2:H2640,H2640)=1,1,0))</f>
        <v>0</v>
      </c>
    </row>
    <row r="2641" spans="1:10" ht="14.25" hidden="1" customHeight="1" x14ac:dyDescent="0.35">
      <c r="A2641" s="30"/>
      <c r="E2641" s="31"/>
      <c r="G2641" s="32" t="str">
        <f t="shared" si="82"/>
        <v>|||1900|</v>
      </c>
      <c r="H2641" s="32" t="str">
        <f t="shared" si="83"/>
        <v>||1900|</v>
      </c>
      <c r="I2641" s="32">
        <f>IF(G2641="",0,IF(COUNTIF($G$2:G2641,G2641)=1,1,0))</f>
        <v>0</v>
      </c>
      <c r="J2641" s="32">
        <f>IF(H2641="",0,IF(COUNTIF($H$2:H2641,H2641)=1,1,0))</f>
        <v>0</v>
      </c>
    </row>
    <row r="2642" spans="1:10" ht="14.25" hidden="1" customHeight="1" x14ac:dyDescent="0.35">
      <c r="A2642" s="30"/>
      <c r="E2642" s="31"/>
      <c r="G2642" s="32" t="str">
        <f t="shared" si="82"/>
        <v>|||1900|</v>
      </c>
      <c r="H2642" s="32" t="str">
        <f t="shared" si="83"/>
        <v>||1900|</v>
      </c>
      <c r="I2642" s="32">
        <f>IF(G2642="",0,IF(COUNTIF($G$2:G2642,G2642)=1,1,0))</f>
        <v>0</v>
      </c>
      <c r="J2642" s="32">
        <f>IF(H2642="",0,IF(COUNTIF($H$2:H2642,H2642)=1,1,0))</f>
        <v>0</v>
      </c>
    </row>
    <row r="2643" spans="1:10" ht="14.25" hidden="1" customHeight="1" x14ac:dyDescent="0.35">
      <c r="A2643" s="30"/>
      <c r="E2643" s="31"/>
      <c r="G2643" s="32" t="str">
        <f t="shared" si="82"/>
        <v>|||1900|</v>
      </c>
      <c r="H2643" s="32" t="str">
        <f t="shared" si="83"/>
        <v>||1900|</v>
      </c>
      <c r="I2643" s="32">
        <f>IF(G2643="",0,IF(COUNTIF($G$2:G2643,G2643)=1,1,0))</f>
        <v>0</v>
      </c>
      <c r="J2643" s="32">
        <f>IF(H2643="",0,IF(COUNTIF($H$2:H2643,H2643)=1,1,0))</f>
        <v>0</v>
      </c>
    </row>
    <row r="2644" spans="1:10" ht="14.25" hidden="1" customHeight="1" x14ac:dyDescent="0.35">
      <c r="A2644" s="30"/>
      <c r="E2644" s="31"/>
      <c r="G2644" s="32" t="str">
        <f t="shared" si="82"/>
        <v>|||1900|</v>
      </c>
      <c r="H2644" s="32" t="str">
        <f t="shared" si="83"/>
        <v>||1900|</v>
      </c>
      <c r="I2644" s="32">
        <f>IF(G2644="",0,IF(COUNTIF($G$2:G2644,G2644)=1,1,0))</f>
        <v>0</v>
      </c>
      <c r="J2644" s="32">
        <f>IF(H2644="",0,IF(COUNTIF($H$2:H2644,H2644)=1,1,0))</f>
        <v>0</v>
      </c>
    </row>
    <row r="2645" spans="1:10" ht="14.25" hidden="1" customHeight="1" x14ac:dyDescent="0.35">
      <c r="A2645" s="30"/>
      <c r="E2645" s="31"/>
      <c r="G2645" s="32" t="str">
        <f t="shared" si="82"/>
        <v>|||1900|</v>
      </c>
      <c r="H2645" s="32" t="str">
        <f t="shared" si="83"/>
        <v>||1900|</v>
      </c>
      <c r="I2645" s="32">
        <f>IF(G2645="",0,IF(COUNTIF($G$2:G2645,G2645)=1,1,0))</f>
        <v>0</v>
      </c>
      <c r="J2645" s="32">
        <f>IF(H2645="",0,IF(COUNTIF($H$2:H2645,H2645)=1,1,0))</f>
        <v>0</v>
      </c>
    </row>
    <row r="2646" spans="1:10" ht="14.25" hidden="1" customHeight="1" x14ac:dyDescent="0.35">
      <c r="A2646" s="30"/>
      <c r="E2646" s="31"/>
      <c r="G2646" s="32" t="str">
        <f t="shared" si="82"/>
        <v>|||1900|</v>
      </c>
      <c r="H2646" s="32" t="str">
        <f t="shared" si="83"/>
        <v>||1900|</v>
      </c>
      <c r="I2646" s="32">
        <f>IF(G2646="",0,IF(COUNTIF($G$2:G2646,G2646)=1,1,0))</f>
        <v>0</v>
      </c>
      <c r="J2646" s="32">
        <f>IF(H2646="",0,IF(COUNTIF($H$2:H2646,H2646)=1,1,0))</f>
        <v>0</v>
      </c>
    </row>
    <row r="2647" spans="1:10" ht="14.25" hidden="1" customHeight="1" x14ac:dyDescent="0.35">
      <c r="A2647" s="30"/>
      <c r="E2647" s="31"/>
      <c r="G2647" s="32" t="str">
        <f t="shared" si="82"/>
        <v>|||1900|</v>
      </c>
      <c r="H2647" s="32" t="str">
        <f t="shared" si="83"/>
        <v>||1900|</v>
      </c>
      <c r="I2647" s="32">
        <f>IF(G2647="",0,IF(COUNTIF($G$2:G2647,G2647)=1,1,0))</f>
        <v>0</v>
      </c>
      <c r="J2647" s="32">
        <f>IF(H2647="",0,IF(COUNTIF($H$2:H2647,H2647)=1,1,0))</f>
        <v>0</v>
      </c>
    </row>
    <row r="2648" spans="1:10" ht="14.25" hidden="1" customHeight="1" x14ac:dyDescent="0.35">
      <c r="A2648" s="30"/>
      <c r="E2648" s="31"/>
      <c r="G2648" s="32" t="str">
        <f t="shared" si="82"/>
        <v>|||1900|</v>
      </c>
      <c r="H2648" s="32" t="str">
        <f t="shared" si="83"/>
        <v>||1900|</v>
      </c>
      <c r="I2648" s="32">
        <f>IF(G2648="",0,IF(COUNTIF($G$2:G2648,G2648)=1,1,0))</f>
        <v>0</v>
      </c>
      <c r="J2648" s="32">
        <f>IF(H2648="",0,IF(COUNTIF($H$2:H2648,H2648)=1,1,0))</f>
        <v>0</v>
      </c>
    </row>
    <row r="2649" spans="1:10" ht="14.25" hidden="1" customHeight="1" x14ac:dyDescent="0.35">
      <c r="A2649" s="30"/>
      <c r="E2649" s="31"/>
      <c r="G2649" s="32" t="str">
        <f t="shared" si="82"/>
        <v>|||1900|</v>
      </c>
      <c r="H2649" s="32" t="str">
        <f t="shared" si="83"/>
        <v>||1900|</v>
      </c>
      <c r="I2649" s="32">
        <f>IF(G2649="",0,IF(COUNTIF($G$2:G2649,G2649)=1,1,0))</f>
        <v>0</v>
      </c>
      <c r="J2649" s="32">
        <f>IF(H2649="",0,IF(COUNTIF($H$2:H2649,H2649)=1,1,0))</f>
        <v>0</v>
      </c>
    </row>
    <row r="2650" spans="1:10" ht="14.25" hidden="1" customHeight="1" x14ac:dyDescent="0.35">
      <c r="A2650" s="30"/>
      <c r="E2650" s="31"/>
      <c r="G2650" s="32" t="str">
        <f t="shared" si="82"/>
        <v>|||1900|</v>
      </c>
      <c r="H2650" s="32" t="str">
        <f t="shared" si="83"/>
        <v>||1900|</v>
      </c>
      <c r="I2650" s="32">
        <f>IF(G2650="",0,IF(COUNTIF($G$2:G2650,G2650)=1,1,0))</f>
        <v>0</v>
      </c>
      <c r="J2650" s="32">
        <f>IF(H2650="",0,IF(COUNTIF($H$2:H2650,H2650)=1,1,0))</f>
        <v>0</v>
      </c>
    </row>
    <row r="2651" spans="1:10" ht="14.25" hidden="1" customHeight="1" x14ac:dyDescent="0.35">
      <c r="A2651" s="30"/>
      <c r="E2651" s="31"/>
      <c r="G2651" s="32" t="str">
        <f t="shared" si="82"/>
        <v>|||1900|</v>
      </c>
      <c r="H2651" s="32" t="str">
        <f t="shared" si="83"/>
        <v>||1900|</v>
      </c>
      <c r="I2651" s="32">
        <f>IF(G2651="",0,IF(COUNTIF($G$2:G2651,G2651)=1,1,0))</f>
        <v>0</v>
      </c>
      <c r="J2651" s="32">
        <f>IF(H2651="",0,IF(COUNTIF($H$2:H2651,H2651)=1,1,0))</f>
        <v>0</v>
      </c>
    </row>
    <row r="2652" spans="1:10" ht="14.25" hidden="1" customHeight="1" x14ac:dyDescent="0.35">
      <c r="A2652" s="30"/>
      <c r="E2652" s="31"/>
      <c r="G2652" s="32" t="str">
        <f t="shared" si="82"/>
        <v>|||1900|</v>
      </c>
      <c r="H2652" s="32" t="str">
        <f t="shared" si="83"/>
        <v>||1900|</v>
      </c>
      <c r="I2652" s="32">
        <f>IF(G2652="",0,IF(COUNTIF($G$2:G2652,G2652)=1,1,0))</f>
        <v>0</v>
      </c>
      <c r="J2652" s="32">
        <f>IF(H2652="",0,IF(COUNTIF($H$2:H2652,H2652)=1,1,0))</f>
        <v>0</v>
      </c>
    </row>
    <row r="2653" spans="1:10" ht="14.25" hidden="1" customHeight="1" x14ac:dyDescent="0.35">
      <c r="A2653" s="30"/>
      <c r="E2653" s="31"/>
      <c r="G2653" s="32" t="str">
        <f t="shared" si="82"/>
        <v>|||1900|</v>
      </c>
      <c r="H2653" s="32" t="str">
        <f t="shared" si="83"/>
        <v>||1900|</v>
      </c>
      <c r="I2653" s="32">
        <f>IF(G2653="",0,IF(COUNTIF($G$2:G2653,G2653)=1,1,0))</f>
        <v>0</v>
      </c>
      <c r="J2653" s="32">
        <f>IF(H2653="",0,IF(COUNTIF($H$2:H2653,H2653)=1,1,0))</f>
        <v>0</v>
      </c>
    </row>
    <row r="2654" spans="1:10" ht="14.25" hidden="1" customHeight="1" x14ac:dyDescent="0.35">
      <c r="A2654" s="30"/>
      <c r="E2654" s="31"/>
      <c r="G2654" s="32" t="str">
        <f t="shared" si="82"/>
        <v>|||1900|</v>
      </c>
      <c r="H2654" s="32" t="str">
        <f t="shared" si="83"/>
        <v>||1900|</v>
      </c>
      <c r="I2654" s="32">
        <f>IF(G2654="",0,IF(COUNTIF($G$2:G2654,G2654)=1,1,0))</f>
        <v>0</v>
      </c>
      <c r="J2654" s="32">
        <f>IF(H2654="",0,IF(COUNTIF($H$2:H2654,H2654)=1,1,0))</f>
        <v>0</v>
      </c>
    </row>
    <row r="2655" spans="1:10" ht="14.25" hidden="1" customHeight="1" x14ac:dyDescent="0.35">
      <c r="A2655" s="30"/>
      <c r="E2655" s="31"/>
      <c r="G2655" s="32" t="str">
        <f t="shared" si="82"/>
        <v>|||1900|</v>
      </c>
      <c r="H2655" s="32" t="str">
        <f t="shared" si="83"/>
        <v>||1900|</v>
      </c>
      <c r="I2655" s="32">
        <f>IF(G2655="",0,IF(COUNTIF($G$2:G2655,G2655)=1,1,0))</f>
        <v>0</v>
      </c>
      <c r="J2655" s="32">
        <f>IF(H2655="",0,IF(COUNTIF($H$2:H2655,H2655)=1,1,0))</f>
        <v>0</v>
      </c>
    </row>
    <row r="2656" spans="1:10" ht="14.25" hidden="1" customHeight="1" x14ac:dyDescent="0.35">
      <c r="A2656" s="30"/>
      <c r="E2656" s="31"/>
      <c r="G2656" s="32" t="str">
        <f t="shared" si="82"/>
        <v>|||1900|</v>
      </c>
      <c r="H2656" s="32" t="str">
        <f t="shared" si="83"/>
        <v>||1900|</v>
      </c>
      <c r="I2656" s="32">
        <f>IF(G2656="",0,IF(COUNTIF($G$2:G2656,G2656)=1,1,0))</f>
        <v>0</v>
      </c>
      <c r="J2656" s="32">
        <f>IF(H2656="",0,IF(COUNTIF($H$2:H2656,H2656)=1,1,0))</f>
        <v>0</v>
      </c>
    </row>
    <row r="2657" spans="1:10" ht="14.25" hidden="1" customHeight="1" x14ac:dyDescent="0.35">
      <c r="A2657" s="30"/>
      <c r="E2657" s="31"/>
      <c r="G2657" s="32" t="str">
        <f t="shared" si="82"/>
        <v>|||1900|</v>
      </c>
      <c r="H2657" s="32" t="str">
        <f t="shared" si="83"/>
        <v>||1900|</v>
      </c>
      <c r="I2657" s="32">
        <f>IF(G2657="",0,IF(COUNTIF($G$2:G2657,G2657)=1,1,0))</f>
        <v>0</v>
      </c>
      <c r="J2657" s="32">
        <f>IF(H2657="",0,IF(COUNTIF($H$2:H2657,H2657)=1,1,0))</f>
        <v>0</v>
      </c>
    </row>
    <row r="2658" spans="1:10" ht="14.25" hidden="1" customHeight="1" x14ac:dyDescent="0.35">
      <c r="A2658" s="30"/>
      <c r="E2658" s="31"/>
      <c r="G2658" s="32" t="str">
        <f t="shared" si="82"/>
        <v>|||1900|</v>
      </c>
      <c r="H2658" s="32" t="str">
        <f t="shared" si="83"/>
        <v>||1900|</v>
      </c>
      <c r="I2658" s="32">
        <f>IF(G2658="",0,IF(COUNTIF($G$2:G2658,G2658)=1,1,0))</f>
        <v>0</v>
      </c>
      <c r="J2658" s="32">
        <f>IF(H2658="",0,IF(COUNTIF($H$2:H2658,H2658)=1,1,0))</f>
        <v>0</v>
      </c>
    </row>
    <row r="2659" spans="1:10" ht="14.25" hidden="1" customHeight="1" x14ac:dyDescent="0.35">
      <c r="A2659" s="30"/>
      <c r="E2659" s="31"/>
      <c r="G2659" s="32" t="str">
        <f t="shared" si="82"/>
        <v>|||1900|</v>
      </c>
      <c r="H2659" s="32" t="str">
        <f t="shared" si="83"/>
        <v>||1900|</v>
      </c>
      <c r="I2659" s="32">
        <f>IF(G2659="",0,IF(COUNTIF($G$2:G2659,G2659)=1,1,0))</f>
        <v>0</v>
      </c>
      <c r="J2659" s="32">
        <f>IF(H2659="",0,IF(COUNTIF($H$2:H2659,H2659)=1,1,0))</f>
        <v>0</v>
      </c>
    </row>
    <row r="2660" spans="1:10" ht="14.25" hidden="1" customHeight="1" x14ac:dyDescent="0.35">
      <c r="A2660" s="30"/>
      <c r="E2660" s="31"/>
      <c r="G2660" s="32" t="str">
        <f t="shared" si="82"/>
        <v>|||1900|</v>
      </c>
      <c r="H2660" s="32" t="str">
        <f t="shared" si="83"/>
        <v>||1900|</v>
      </c>
      <c r="I2660" s="32">
        <f>IF(G2660="",0,IF(COUNTIF($G$2:G2660,G2660)=1,1,0))</f>
        <v>0</v>
      </c>
      <c r="J2660" s="32">
        <f>IF(H2660="",0,IF(COUNTIF($H$2:H2660,H2660)=1,1,0))</f>
        <v>0</v>
      </c>
    </row>
    <row r="2661" spans="1:10" ht="14.25" hidden="1" customHeight="1" x14ac:dyDescent="0.35">
      <c r="A2661" s="30"/>
      <c r="E2661" s="31"/>
      <c r="G2661" s="32" t="str">
        <f t="shared" si="82"/>
        <v>|||1900|</v>
      </c>
      <c r="H2661" s="32" t="str">
        <f t="shared" si="83"/>
        <v>||1900|</v>
      </c>
      <c r="I2661" s="32">
        <f>IF(G2661="",0,IF(COUNTIF($G$2:G2661,G2661)=1,1,0))</f>
        <v>0</v>
      </c>
      <c r="J2661" s="32">
        <f>IF(H2661="",0,IF(COUNTIF($H$2:H2661,H2661)=1,1,0))</f>
        <v>0</v>
      </c>
    </row>
    <row r="2662" spans="1:10" ht="14.25" hidden="1" customHeight="1" x14ac:dyDescent="0.35">
      <c r="A2662" s="30"/>
      <c r="E2662" s="31"/>
      <c r="G2662" s="32" t="str">
        <f t="shared" si="82"/>
        <v>|||1900|</v>
      </c>
      <c r="H2662" s="32" t="str">
        <f t="shared" si="83"/>
        <v>||1900|</v>
      </c>
      <c r="I2662" s="32">
        <f>IF(G2662="",0,IF(COUNTIF($G$2:G2662,G2662)=1,1,0))</f>
        <v>0</v>
      </c>
      <c r="J2662" s="32">
        <f>IF(H2662="",0,IF(COUNTIF($H$2:H2662,H2662)=1,1,0))</f>
        <v>0</v>
      </c>
    </row>
    <row r="2663" spans="1:10" ht="14.25" hidden="1" customHeight="1" x14ac:dyDescent="0.35">
      <c r="A2663" s="30"/>
      <c r="E2663" s="31"/>
      <c r="G2663" s="32" t="str">
        <f t="shared" si="82"/>
        <v>|||1900|</v>
      </c>
      <c r="H2663" s="32" t="str">
        <f t="shared" si="83"/>
        <v>||1900|</v>
      </c>
      <c r="I2663" s="32">
        <f>IF(G2663="",0,IF(COUNTIF($G$2:G2663,G2663)=1,1,0))</f>
        <v>0</v>
      </c>
      <c r="J2663" s="32">
        <f>IF(H2663="",0,IF(COUNTIF($H$2:H2663,H2663)=1,1,0))</f>
        <v>0</v>
      </c>
    </row>
    <row r="2664" spans="1:10" ht="14.25" hidden="1" customHeight="1" x14ac:dyDescent="0.35">
      <c r="A2664" s="30"/>
      <c r="E2664" s="31"/>
      <c r="G2664" s="32" t="str">
        <f t="shared" si="82"/>
        <v>|||1900|</v>
      </c>
      <c r="H2664" s="32" t="str">
        <f t="shared" si="83"/>
        <v>||1900|</v>
      </c>
      <c r="I2664" s="32">
        <f>IF(G2664="",0,IF(COUNTIF($G$2:G2664,G2664)=1,1,0))</f>
        <v>0</v>
      </c>
      <c r="J2664" s="32">
        <f>IF(H2664="",0,IF(COUNTIF($H$2:H2664,H2664)=1,1,0))</f>
        <v>0</v>
      </c>
    </row>
    <row r="2665" spans="1:10" ht="14.25" hidden="1" customHeight="1" x14ac:dyDescent="0.35">
      <c r="A2665" s="30"/>
      <c r="E2665" s="31"/>
      <c r="G2665" s="32" t="str">
        <f t="shared" si="82"/>
        <v>|||1900|</v>
      </c>
      <c r="H2665" s="32" t="str">
        <f t="shared" si="83"/>
        <v>||1900|</v>
      </c>
      <c r="I2665" s="32">
        <f>IF(G2665="",0,IF(COUNTIF($G$2:G2665,G2665)=1,1,0))</f>
        <v>0</v>
      </c>
      <c r="J2665" s="32">
        <f>IF(H2665="",0,IF(COUNTIF($H$2:H2665,H2665)=1,1,0))</f>
        <v>0</v>
      </c>
    </row>
    <row r="2666" spans="1:10" ht="14.25" hidden="1" customHeight="1" x14ac:dyDescent="0.35">
      <c r="A2666" s="30"/>
      <c r="E2666" s="31"/>
      <c r="G2666" s="32" t="str">
        <f t="shared" si="82"/>
        <v>|||1900|</v>
      </c>
      <c r="H2666" s="32" t="str">
        <f t="shared" si="83"/>
        <v>||1900|</v>
      </c>
      <c r="I2666" s="32">
        <f>IF(G2666="",0,IF(COUNTIF($G$2:G2666,G2666)=1,1,0))</f>
        <v>0</v>
      </c>
      <c r="J2666" s="32">
        <f>IF(H2666="",0,IF(COUNTIF($H$2:H2666,H2666)=1,1,0))</f>
        <v>0</v>
      </c>
    </row>
    <row r="2667" spans="1:10" ht="14.25" hidden="1" customHeight="1" x14ac:dyDescent="0.35">
      <c r="A2667" s="30"/>
      <c r="E2667" s="31"/>
      <c r="G2667" s="32" t="str">
        <f t="shared" si="82"/>
        <v>|||1900|</v>
      </c>
      <c r="H2667" s="32" t="str">
        <f t="shared" si="83"/>
        <v>||1900|</v>
      </c>
      <c r="I2667" s="32">
        <f>IF(G2667="",0,IF(COUNTIF($G$2:G2667,G2667)=1,1,0))</f>
        <v>0</v>
      </c>
      <c r="J2667" s="32">
        <f>IF(H2667="",0,IF(COUNTIF($H$2:H2667,H2667)=1,1,0))</f>
        <v>0</v>
      </c>
    </row>
    <row r="2668" spans="1:10" ht="14.25" hidden="1" customHeight="1" x14ac:dyDescent="0.35">
      <c r="A2668" s="30"/>
      <c r="E2668" s="31"/>
      <c r="G2668" s="32" t="str">
        <f t="shared" si="82"/>
        <v>|||1900|</v>
      </c>
      <c r="H2668" s="32" t="str">
        <f t="shared" si="83"/>
        <v>||1900|</v>
      </c>
      <c r="I2668" s="32">
        <f>IF(G2668="",0,IF(COUNTIF($G$2:G2668,G2668)=1,1,0))</f>
        <v>0</v>
      </c>
      <c r="J2668" s="32">
        <f>IF(H2668="",0,IF(COUNTIF($H$2:H2668,H2668)=1,1,0))</f>
        <v>0</v>
      </c>
    </row>
    <row r="2669" spans="1:10" ht="14.25" hidden="1" customHeight="1" x14ac:dyDescent="0.35">
      <c r="A2669" s="30"/>
      <c r="E2669" s="31"/>
      <c r="G2669" s="32" t="str">
        <f t="shared" si="82"/>
        <v>|||1900|</v>
      </c>
      <c r="H2669" s="32" t="str">
        <f t="shared" si="83"/>
        <v>||1900|</v>
      </c>
      <c r="I2669" s="32">
        <f>IF(G2669="",0,IF(COUNTIF($G$2:G2669,G2669)=1,1,0))</f>
        <v>0</v>
      </c>
      <c r="J2669" s="32">
        <f>IF(H2669="",0,IF(COUNTIF($H$2:H2669,H2669)=1,1,0))</f>
        <v>0</v>
      </c>
    </row>
    <row r="2670" spans="1:10" ht="14.25" hidden="1" customHeight="1" x14ac:dyDescent="0.35">
      <c r="A2670" s="30"/>
      <c r="E2670" s="31"/>
      <c r="G2670" s="32" t="str">
        <f t="shared" si="82"/>
        <v>|||1900|</v>
      </c>
      <c r="H2670" s="32" t="str">
        <f t="shared" si="83"/>
        <v>||1900|</v>
      </c>
      <c r="I2670" s="32">
        <f>IF(G2670="",0,IF(COUNTIF($G$2:G2670,G2670)=1,1,0))</f>
        <v>0</v>
      </c>
      <c r="J2670" s="32">
        <f>IF(H2670="",0,IF(COUNTIF($H$2:H2670,H2670)=1,1,0))</f>
        <v>0</v>
      </c>
    </row>
    <row r="2671" spans="1:10" ht="14.25" hidden="1" customHeight="1" x14ac:dyDescent="0.35">
      <c r="A2671" s="30"/>
      <c r="E2671" s="31"/>
      <c r="G2671" s="32" t="str">
        <f t="shared" si="82"/>
        <v>|||1900|</v>
      </c>
      <c r="H2671" s="32" t="str">
        <f t="shared" si="83"/>
        <v>||1900|</v>
      </c>
      <c r="I2671" s="32">
        <f>IF(G2671="",0,IF(COUNTIF($G$2:G2671,G2671)=1,1,0))</f>
        <v>0</v>
      </c>
      <c r="J2671" s="32">
        <f>IF(H2671="",0,IF(COUNTIF($H$2:H2671,H2671)=1,1,0))</f>
        <v>0</v>
      </c>
    </row>
    <row r="2672" spans="1:10" ht="14.25" hidden="1" customHeight="1" x14ac:dyDescent="0.35">
      <c r="A2672" s="30"/>
      <c r="E2672" s="31"/>
      <c r="G2672" s="32" t="str">
        <f t="shared" si="82"/>
        <v>|||1900|</v>
      </c>
      <c r="H2672" s="32" t="str">
        <f t="shared" si="83"/>
        <v>||1900|</v>
      </c>
      <c r="I2672" s="32">
        <f>IF(G2672="",0,IF(COUNTIF($G$2:G2672,G2672)=1,1,0))</f>
        <v>0</v>
      </c>
      <c r="J2672" s="32">
        <f>IF(H2672="",0,IF(COUNTIF($H$2:H2672,H2672)=1,1,0))</f>
        <v>0</v>
      </c>
    </row>
    <row r="2673" spans="1:10" ht="14.25" hidden="1" customHeight="1" x14ac:dyDescent="0.35">
      <c r="A2673" s="30"/>
      <c r="E2673" s="31"/>
      <c r="G2673" s="32" t="str">
        <f t="shared" si="82"/>
        <v>|||1900|</v>
      </c>
      <c r="H2673" s="32" t="str">
        <f t="shared" si="83"/>
        <v>||1900|</v>
      </c>
      <c r="I2673" s="32">
        <f>IF(G2673="",0,IF(COUNTIF($G$2:G2673,G2673)=1,1,0))</f>
        <v>0</v>
      </c>
      <c r="J2673" s="32">
        <f>IF(H2673="",0,IF(COUNTIF($H$2:H2673,H2673)=1,1,0))</f>
        <v>0</v>
      </c>
    </row>
    <row r="2674" spans="1:10" ht="14.25" hidden="1" customHeight="1" x14ac:dyDescent="0.35">
      <c r="A2674" s="30"/>
      <c r="E2674" s="31"/>
      <c r="G2674" s="32" t="str">
        <f t="shared" si="82"/>
        <v>|||1900|</v>
      </c>
      <c r="H2674" s="32" t="str">
        <f t="shared" si="83"/>
        <v>||1900|</v>
      </c>
      <c r="I2674" s="32">
        <f>IF(G2674="",0,IF(COUNTIF($G$2:G2674,G2674)=1,1,0))</f>
        <v>0</v>
      </c>
      <c r="J2674" s="32">
        <f>IF(H2674="",0,IF(COUNTIF($H$2:H2674,H2674)=1,1,0))</f>
        <v>0</v>
      </c>
    </row>
    <row r="2675" spans="1:10" ht="14.25" hidden="1" customHeight="1" x14ac:dyDescent="0.35">
      <c r="A2675" s="30"/>
      <c r="E2675" s="31"/>
      <c r="G2675" s="32" t="str">
        <f t="shared" si="82"/>
        <v>|||1900|</v>
      </c>
      <c r="H2675" s="32" t="str">
        <f t="shared" si="83"/>
        <v>||1900|</v>
      </c>
      <c r="I2675" s="32">
        <f>IF(G2675="",0,IF(COUNTIF($G$2:G2675,G2675)=1,1,0))</f>
        <v>0</v>
      </c>
      <c r="J2675" s="32">
        <f>IF(H2675="",0,IF(COUNTIF($H$2:H2675,H2675)=1,1,0))</f>
        <v>0</v>
      </c>
    </row>
    <row r="2676" spans="1:10" ht="14.25" hidden="1" customHeight="1" x14ac:dyDescent="0.35">
      <c r="A2676" s="30"/>
      <c r="E2676" s="31"/>
      <c r="G2676" s="32" t="str">
        <f t="shared" si="82"/>
        <v>|||1900|</v>
      </c>
      <c r="H2676" s="32" t="str">
        <f t="shared" si="83"/>
        <v>||1900|</v>
      </c>
      <c r="I2676" s="32">
        <f>IF(G2676="",0,IF(COUNTIF($G$2:G2676,G2676)=1,1,0))</f>
        <v>0</v>
      </c>
      <c r="J2676" s="32">
        <f>IF(H2676="",0,IF(COUNTIF($H$2:H2676,H2676)=1,1,0))</f>
        <v>0</v>
      </c>
    </row>
    <row r="2677" spans="1:10" ht="14.25" hidden="1" customHeight="1" x14ac:dyDescent="0.35">
      <c r="A2677" s="30"/>
      <c r="E2677" s="31"/>
      <c r="G2677" s="32" t="str">
        <f t="shared" si="82"/>
        <v>|||1900|</v>
      </c>
      <c r="H2677" s="32" t="str">
        <f t="shared" si="83"/>
        <v>||1900|</v>
      </c>
      <c r="I2677" s="32">
        <f>IF(G2677="",0,IF(COUNTIF($G$2:G2677,G2677)=1,1,0))</f>
        <v>0</v>
      </c>
      <c r="J2677" s="32">
        <f>IF(H2677="",0,IF(COUNTIF($H$2:H2677,H2677)=1,1,0))</f>
        <v>0</v>
      </c>
    </row>
    <row r="2678" spans="1:10" ht="14.25" hidden="1" customHeight="1" x14ac:dyDescent="0.35">
      <c r="A2678" s="30"/>
      <c r="E2678" s="31"/>
      <c r="G2678" s="32" t="str">
        <f t="shared" si="82"/>
        <v>|||1900|</v>
      </c>
      <c r="H2678" s="32" t="str">
        <f t="shared" si="83"/>
        <v>||1900|</v>
      </c>
      <c r="I2678" s="32">
        <f>IF(G2678="",0,IF(COUNTIF($G$2:G2678,G2678)=1,1,0))</f>
        <v>0</v>
      </c>
      <c r="J2678" s="32">
        <f>IF(H2678="",0,IF(COUNTIF($H$2:H2678,H2678)=1,1,0))</f>
        <v>0</v>
      </c>
    </row>
    <row r="2679" spans="1:10" ht="14.25" hidden="1" customHeight="1" x14ac:dyDescent="0.35">
      <c r="A2679" s="30"/>
      <c r="E2679" s="31"/>
      <c r="G2679" s="32" t="str">
        <f t="shared" si="82"/>
        <v>|||1900|</v>
      </c>
      <c r="H2679" s="32" t="str">
        <f t="shared" si="83"/>
        <v>||1900|</v>
      </c>
      <c r="I2679" s="32">
        <f>IF(G2679="",0,IF(COUNTIF($G$2:G2679,G2679)=1,1,0))</f>
        <v>0</v>
      </c>
      <c r="J2679" s="32">
        <f>IF(H2679="",0,IF(COUNTIF($H$2:H2679,H2679)=1,1,0))</f>
        <v>0</v>
      </c>
    </row>
    <row r="2680" spans="1:10" ht="14.25" hidden="1" customHeight="1" x14ac:dyDescent="0.35">
      <c r="A2680" s="30"/>
      <c r="E2680" s="31"/>
      <c r="G2680" s="32" t="str">
        <f t="shared" si="82"/>
        <v>|||1900|</v>
      </c>
      <c r="H2680" s="32" t="str">
        <f t="shared" si="83"/>
        <v>||1900|</v>
      </c>
      <c r="I2680" s="32">
        <f>IF(G2680="",0,IF(COUNTIF($G$2:G2680,G2680)=1,1,0))</f>
        <v>0</v>
      </c>
      <c r="J2680" s="32">
        <f>IF(H2680="",0,IF(COUNTIF($H$2:H2680,H2680)=1,1,0))</f>
        <v>0</v>
      </c>
    </row>
    <row r="2681" spans="1:10" ht="14.25" hidden="1" customHeight="1" x14ac:dyDescent="0.35">
      <c r="A2681" s="30"/>
      <c r="E2681" s="31"/>
      <c r="G2681" s="32" t="str">
        <f t="shared" si="82"/>
        <v>|||1900|</v>
      </c>
      <c r="H2681" s="32" t="str">
        <f t="shared" si="83"/>
        <v>||1900|</v>
      </c>
      <c r="I2681" s="32">
        <f>IF(G2681="",0,IF(COUNTIF($G$2:G2681,G2681)=1,1,0))</f>
        <v>0</v>
      </c>
      <c r="J2681" s="32">
        <f>IF(H2681="",0,IF(COUNTIF($H$2:H2681,H2681)=1,1,0))</f>
        <v>0</v>
      </c>
    </row>
    <row r="2682" spans="1:10" ht="14.25" hidden="1" customHeight="1" x14ac:dyDescent="0.35">
      <c r="A2682" s="30"/>
      <c r="E2682" s="31"/>
      <c r="G2682" s="32" t="str">
        <f t="shared" si="82"/>
        <v>|||1900|</v>
      </c>
      <c r="H2682" s="32" t="str">
        <f t="shared" si="83"/>
        <v>||1900|</v>
      </c>
      <c r="I2682" s="32">
        <f>IF(G2682="",0,IF(COUNTIF($G$2:G2682,G2682)=1,1,0))</f>
        <v>0</v>
      </c>
      <c r="J2682" s="32">
        <f>IF(H2682="",0,IF(COUNTIF($H$2:H2682,H2682)=1,1,0))</f>
        <v>0</v>
      </c>
    </row>
    <row r="2683" spans="1:10" ht="14.25" hidden="1" customHeight="1" x14ac:dyDescent="0.35">
      <c r="A2683" s="30"/>
      <c r="E2683" s="31"/>
      <c r="G2683" s="32" t="str">
        <f t="shared" si="82"/>
        <v>|||1900|</v>
      </c>
      <c r="H2683" s="32" t="str">
        <f t="shared" si="83"/>
        <v>||1900|</v>
      </c>
      <c r="I2683" s="32">
        <f>IF(G2683="",0,IF(COUNTIF($G$2:G2683,G2683)=1,1,0))</f>
        <v>0</v>
      </c>
      <c r="J2683" s="32">
        <f>IF(H2683="",0,IF(COUNTIF($H$2:H2683,H2683)=1,1,0))</f>
        <v>0</v>
      </c>
    </row>
    <row r="2684" spans="1:10" ht="14.25" hidden="1" customHeight="1" x14ac:dyDescent="0.35">
      <c r="A2684" s="30"/>
      <c r="E2684" s="31"/>
      <c r="G2684" s="32" t="str">
        <f t="shared" si="82"/>
        <v>|||1900|</v>
      </c>
      <c r="H2684" s="32" t="str">
        <f t="shared" si="83"/>
        <v>||1900|</v>
      </c>
      <c r="I2684" s="32">
        <f>IF(G2684="",0,IF(COUNTIF($G$2:G2684,G2684)=1,1,0))</f>
        <v>0</v>
      </c>
      <c r="J2684" s="32">
        <f>IF(H2684="",0,IF(COUNTIF($H$2:H2684,H2684)=1,1,0))</f>
        <v>0</v>
      </c>
    </row>
    <row r="2685" spans="1:10" ht="14.25" hidden="1" customHeight="1" x14ac:dyDescent="0.35">
      <c r="A2685" s="30"/>
      <c r="E2685" s="31"/>
      <c r="G2685" s="32" t="str">
        <f t="shared" si="82"/>
        <v>|||1900|</v>
      </c>
      <c r="H2685" s="32" t="str">
        <f t="shared" si="83"/>
        <v>||1900|</v>
      </c>
      <c r="I2685" s="32">
        <f>IF(G2685="",0,IF(COUNTIF($G$2:G2685,G2685)=1,1,0))</f>
        <v>0</v>
      </c>
      <c r="J2685" s="32">
        <f>IF(H2685="",0,IF(COUNTIF($H$2:H2685,H2685)=1,1,0))</f>
        <v>0</v>
      </c>
    </row>
    <row r="2686" spans="1:10" ht="14.25" hidden="1" customHeight="1" x14ac:dyDescent="0.35">
      <c r="A2686" s="30"/>
      <c r="E2686" s="31"/>
      <c r="G2686" s="32" t="str">
        <f t="shared" si="82"/>
        <v>|||1900|</v>
      </c>
      <c r="H2686" s="32" t="str">
        <f t="shared" si="83"/>
        <v>||1900|</v>
      </c>
      <c r="I2686" s="32">
        <f>IF(G2686="",0,IF(COUNTIF($G$2:G2686,G2686)=1,1,0))</f>
        <v>0</v>
      </c>
      <c r="J2686" s="32">
        <f>IF(H2686="",0,IF(COUNTIF($H$2:H2686,H2686)=1,1,0))</f>
        <v>0</v>
      </c>
    </row>
    <row r="2687" spans="1:10" ht="14.25" hidden="1" customHeight="1" x14ac:dyDescent="0.35">
      <c r="A2687" s="30"/>
      <c r="E2687" s="31"/>
      <c r="G2687" s="32" t="str">
        <f t="shared" si="82"/>
        <v>|||1900|</v>
      </c>
      <c r="H2687" s="32" t="str">
        <f t="shared" si="83"/>
        <v>||1900|</v>
      </c>
      <c r="I2687" s="32">
        <f>IF(G2687="",0,IF(COUNTIF($G$2:G2687,G2687)=1,1,0))</f>
        <v>0</v>
      </c>
      <c r="J2687" s="32">
        <f>IF(H2687="",0,IF(COUNTIF($H$2:H2687,H2687)=1,1,0))</f>
        <v>0</v>
      </c>
    </row>
    <row r="2688" spans="1:10" ht="14.25" hidden="1" customHeight="1" x14ac:dyDescent="0.35">
      <c r="A2688" s="30"/>
      <c r="E2688" s="31"/>
      <c r="G2688" s="32" t="str">
        <f t="shared" si="82"/>
        <v>|||1900|</v>
      </c>
      <c r="H2688" s="32" t="str">
        <f t="shared" si="83"/>
        <v>||1900|</v>
      </c>
      <c r="I2688" s="32">
        <f>IF(G2688="",0,IF(COUNTIF($G$2:G2688,G2688)=1,1,0))</f>
        <v>0</v>
      </c>
      <c r="J2688" s="32">
        <f>IF(H2688="",0,IF(COUNTIF($H$2:H2688,H2688)=1,1,0))</f>
        <v>0</v>
      </c>
    </row>
    <row r="2689" spans="1:10" ht="14.25" hidden="1" customHeight="1" x14ac:dyDescent="0.35">
      <c r="A2689" s="30"/>
      <c r="E2689" s="31"/>
      <c r="G2689" s="32" t="str">
        <f t="shared" si="82"/>
        <v>|||1900|</v>
      </c>
      <c r="H2689" s="32" t="str">
        <f t="shared" si="83"/>
        <v>||1900|</v>
      </c>
      <c r="I2689" s="32">
        <f>IF(G2689="",0,IF(COUNTIF($G$2:G2689,G2689)=1,1,0))</f>
        <v>0</v>
      </c>
      <c r="J2689" s="32">
        <f>IF(H2689="",0,IF(COUNTIF($H$2:H2689,H2689)=1,1,0))</f>
        <v>0</v>
      </c>
    </row>
    <row r="2690" spans="1:10" ht="14.25" hidden="1" customHeight="1" x14ac:dyDescent="0.35">
      <c r="A2690" s="30"/>
      <c r="E2690" s="31"/>
      <c r="G2690" s="32" t="str">
        <f t="shared" ref="G2690:G2753" si="84">IF(D2690="T",
E2690&amp;"|"&amp;F2690,
A2690&amp;"|"&amp;B2690&amp;"|"&amp;C2690&amp;"|"&amp;YEAR(E2690)&amp;"|"&amp;F2690)</f>
        <v>|||1900|</v>
      </c>
      <c r="H2690" s="32" t="str">
        <f t="shared" ref="H2690:H2753" si="85">A2690&amp;"|"&amp;C2690&amp;"|"&amp;YEAR(E2690)&amp;"|"&amp;F2690</f>
        <v>||1900|</v>
      </c>
      <c r="I2690" s="32">
        <f>IF(G2690="",0,IF(COUNTIF($G$2:G2690,G2690)=1,1,0))</f>
        <v>0</v>
      </c>
      <c r="J2690" s="32">
        <f>IF(H2690="",0,IF(COUNTIF($H$2:H2690,H2690)=1,1,0))</f>
        <v>0</v>
      </c>
    </row>
    <row r="2691" spans="1:10" ht="14.25" hidden="1" customHeight="1" x14ac:dyDescent="0.35">
      <c r="A2691" s="30"/>
      <c r="E2691" s="31"/>
      <c r="G2691" s="32" t="str">
        <f t="shared" si="84"/>
        <v>|||1900|</v>
      </c>
      <c r="H2691" s="32" t="str">
        <f t="shared" si="85"/>
        <v>||1900|</v>
      </c>
      <c r="I2691" s="32">
        <f>IF(G2691="",0,IF(COUNTIF($G$2:G2691,G2691)=1,1,0))</f>
        <v>0</v>
      </c>
      <c r="J2691" s="32">
        <f>IF(H2691="",0,IF(COUNTIF($H$2:H2691,H2691)=1,1,0))</f>
        <v>0</v>
      </c>
    </row>
    <row r="2692" spans="1:10" ht="14.25" hidden="1" customHeight="1" x14ac:dyDescent="0.35">
      <c r="A2692" s="30"/>
      <c r="E2692" s="31"/>
      <c r="G2692" s="32" t="str">
        <f t="shared" si="84"/>
        <v>|||1900|</v>
      </c>
      <c r="H2692" s="32" t="str">
        <f t="shared" si="85"/>
        <v>||1900|</v>
      </c>
      <c r="I2692" s="32">
        <f>IF(G2692="",0,IF(COUNTIF($G$2:G2692,G2692)=1,1,0))</f>
        <v>0</v>
      </c>
      <c r="J2692" s="32">
        <f>IF(H2692="",0,IF(COUNTIF($H$2:H2692,H2692)=1,1,0))</f>
        <v>0</v>
      </c>
    </row>
    <row r="2693" spans="1:10" ht="14.25" hidden="1" customHeight="1" x14ac:dyDescent="0.35">
      <c r="A2693" s="30"/>
      <c r="E2693" s="31"/>
      <c r="G2693" s="32" t="str">
        <f t="shared" si="84"/>
        <v>|||1900|</v>
      </c>
      <c r="H2693" s="32" t="str">
        <f t="shared" si="85"/>
        <v>||1900|</v>
      </c>
      <c r="I2693" s="32">
        <f>IF(G2693="",0,IF(COUNTIF($G$2:G2693,G2693)=1,1,0))</f>
        <v>0</v>
      </c>
      <c r="J2693" s="32">
        <f>IF(H2693="",0,IF(COUNTIF($H$2:H2693,H2693)=1,1,0))</f>
        <v>0</v>
      </c>
    </row>
    <row r="2694" spans="1:10" ht="14.25" hidden="1" customHeight="1" x14ac:dyDescent="0.35">
      <c r="A2694" s="30"/>
      <c r="E2694" s="31"/>
      <c r="G2694" s="32" t="str">
        <f t="shared" si="84"/>
        <v>|||1900|</v>
      </c>
      <c r="H2694" s="32" t="str">
        <f t="shared" si="85"/>
        <v>||1900|</v>
      </c>
      <c r="I2694" s="32">
        <f>IF(G2694="",0,IF(COUNTIF($G$2:G2694,G2694)=1,1,0))</f>
        <v>0</v>
      </c>
      <c r="J2694" s="32">
        <f>IF(H2694="",0,IF(COUNTIF($H$2:H2694,H2694)=1,1,0))</f>
        <v>0</v>
      </c>
    </row>
    <row r="2695" spans="1:10" ht="14.25" hidden="1" customHeight="1" x14ac:dyDescent="0.35">
      <c r="A2695" s="30"/>
      <c r="E2695" s="31"/>
      <c r="G2695" s="32" t="str">
        <f t="shared" si="84"/>
        <v>|||1900|</v>
      </c>
      <c r="H2695" s="32" t="str">
        <f t="shared" si="85"/>
        <v>||1900|</v>
      </c>
      <c r="I2695" s="32">
        <f>IF(G2695="",0,IF(COUNTIF($G$2:G2695,G2695)=1,1,0))</f>
        <v>0</v>
      </c>
      <c r="J2695" s="32">
        <f>IF(H2695="",0,IF(COUNTIF($H$2:H2695,H2695)=1,1,0))</f>
        <v>0</v>
      </c>
    </row>
    <row r="2696" spans="1:10" ht="14.25" hidden="1" customHeight="1" x14ac:dyDescent="0.35">
      <c r="A2696" s="30"/>
      <c r="E2696" s="31"/>
      <c r="G2696" s="32" t="str">
        <f t="shared" si="84"/>
        <v>|||1900|</v>
      </c>
      <c r="H2696" s="32" t="str">
        <f t="shared" si="85"/>
        <v>||1900|</v>
      </c>
      <c r="I2696" s="32">
        <f>IF(G2696="",0,IF(COUNTIF($G$2:G2696,G2696)=1,1,0))</f>
        <v>0</v>
      </c>
      <c r="J2696" s="32">
        <f>IF(H2696="",0,IF(COUNTIF($H$2:H2696,H2696)=1,1,0))</f>
        <v>0</v>
      </c>
    </row>
    <row r="2697" spans="1:10" ht="14.25" hidden="1" customHeight="1" x14ac:dyDescent="0.35">
      <c r="A2697" s="30"/>
      <c r="E2697" s="31"/>
      <c r="G2697" s="32" t="str">
        <f t="shared" si="84"/>
        <v>|||1900|</v>
      </c>
      <c r="H2697" s="32" t="str">
        <f t="shared" si="85"/>
        <v>||1900|</v>
      </c>
      <c r="I2697" s="32">
        <f>IF(G2697="",0,IF(COUNTIF($G$2:G2697,G2697)=1,1,0))</f>
        <v>0</v>
      </c>
      <c r="J2697" s="32">
        <f>IF(H2697="",0,IF(COUNTIF($H$2:H2697,H2697)=1,1,0))</f>
        <v>0</v>
      </c>
    </row>
    <row r="2698" spans="1:10" ht="14.25" hidden="1" customHeight="1" x14ac:dyDescent="0.35">
      <c r="A2698" s="30"/>
      <c r="E2698" s="31"/>
      <c r="G2698" s="32" t="str">
        <f t="shared" si="84"/>
        <v>|||1900|</v>
      </c>
      <c r="H2698" s="32" t="str">
        <f t="shared" si="85"/>
        <v>||1900|</v>
      </c>
      <c r="I2698" s="32">
        <f>IF(G2698="",0,IF(COUNTIF($G$2:G2698,G2698)=1,1,0))</f>
        <v>0</v>
      </c>
      <c r="J2698" s="32">
        <f>IF(H2698="",0,IF(COUNTIF($H$2:H2698,H2698)=1,1,0))</f>
        <v>0</v>
      </c>
    </row>
    <row r="2699" spans="1:10" ht="14.25" hidden="1" customHeight="1" x14ac:dyDescent="0.35">
      <c r="A2699" s="30"/>
      <c r="E2699" s="31"/>
      <c r="G2699" s="32" t="str">
        <f t="shared" si="84"/>
        <v>|||1900|</v>
      </c>
      <c r="H2699" s="32" t="str">
        <f t="shared" si="85"/>
        <v>||1900|</v>
      </c>
      <c r="I2699" s="32">
        <f>IF(G2699="",0,IF(COUNTIF($G$2:G2699,G2699)=1,1,0))</f>
        <v>0</v>
      </c>
      <c r="J2699" s="32">
        <f>IF(H2699="",0,IF(COUNTIF($H$2:H2699,H2699)=1,1,0))</f>
        <v>0</v>
      </c>
    </row>
    <row r="2700" spans="1:10" ht="14.25" hidden="1" customHeight="1" x14ac:dyDescent="0.35">
      <c r="A2700" s="30"/>
      <c r="E2700" s="31"/>
      <c r="G2700" s="32" t="str">
        <f t="shared" si="84"/>
        <v>|||1900|</v>
      </c>
      <c r="H2700" s="32" t="str">
        <f t="shared" si="85"/>
        <v>||1900|</v>
      </c>
      <c r="I2700" s="32">
        <f>IF(G2700="",0,IF(COUNTIF($G$2:G2700,G2700)=1,1,0))</f>
        <v>0</v>
      </c>
      <c r="J2700" s="32">
        <f>IF(H2700="",0,IF(COUNTIF($H$2:H2700,H2700)=1,1,0))</f>
        <v>0</v>
      </c>
    </row>
    <row r="2701" spans="1:10" ht="14.25" hidden="1" customHeight="1" x14ac:dyDescent="0.35">
      <c r="A2701" s="30"/>
      <c r="E2701" s="31"/>
      <c r="G2701" s="32" t="str">
        <f t="shared" si="84"/>
        <v>|||1900|</v>
      </c>
      <c r="H2701" s="32" t="str">
        <f t="shared" si="85"/>
        <v>||1900|</v>
      </c>
      <c r="I2701" s="32">
        <f>IF(G2701="",0,IF(COUNTIF($G$2:G2701,G2701)=1,1,0))</f>
        <v>0</v>
      </c>
      <c r="J2701" s="32">
        <f>IF(H2701="",0,IF(COUNTIF($H$2:H2701,H2701)=1,1,0))</f>
        <v>0</v>
      </c>
    </row>
    <row r="2702" spans="1:10" ht="14.25" hidden="1" customHeight="1" x14ac:dyDescent="0.35">
      <c r="A2702" s="30"/>
      <c r="E2702" s="31"/>
      <c r="G2702" s="32" t="str">
        <f t="shared" si="84"/>
        <v>|||1900|</v>
      </c>
      <c r="H2702" s="32" t="str">
        <f t="shared" si="85"/>
        <v>||1900|</v>
      </c>
      <c r="I2702" s="32">
        <f>IF(G2702="",0,IF(COUNTIF($G$2:G2702,G2702)=1,1,0))</f>
        <v>0</v>
      </c>
      <c r="J2702" s="32">
        <f>IF(H2702="",0,IF(COUNTIF($H$2:H2702,H2702)=1,1,0))</f>
        <v>0</v>
      </c>
    </row>
    <row r="2703" spans="1:10" ht="14.25" hidden="1" customHeight="1" x14ac:dyDescent="0.35">
      <c r="A2703" s="30"/>
      <c r="E2703" s="31"/>
      <c r="G2703" s="32" t="str">
        <f t="shared" si="84"/>
        <v>|||1900|</v>
      </c>
      <c r="H2703" s="32" t="str">
        <f t="shared" si="85"/>
        <v>||1900|</v>
      </c>
      <c r="I2703" s="32">
        <f>IF(G2703="",0,IF(COUNTIF($G$2:G2703,G2703)=1,1,0))</f>
        <v>0</v>
      </c>
      <c r="J2703" s="32">
        <f>IF(H2703="",0,IF(COUNTIF($H$2:H2703,H2703)=1,1,0))</f>
        <v>0</v>
      </c>
    </row>
    <row r="2704" spans="1:10" ht="14.25" hidden="1" customHeight="1" x14ac:dyDescent="0.35">
      <c r="A2704" s="30"/>
      <c r="E2704" s="31"/>
      <c r="G2704" s="32" t="str">
        <f t="shared" si="84"/>
        <v>|||1900|</v>
      </c>
      <c r="H2704" s="32" t="str">
        <f t="shared" si="85"/>
        <v>||1900|</v>
      </c>
      <c r="I2704" s="32">
        <f>IF(G2704="",0,IF(COUNTIF($G$2:G2704,G2704)=1,1,0))</f>
        <v>0</v>
      </c>
      <c r="J2704" s="32">
        <f>IF(H2704="",0,IF(COUNTIF($H$2:H2704,H2704)=1,1,0))</f>
        <v>0</v>
      </c>
    </row>
    <row r="2705" spans="1:10" ht="14.25" hidden="1" customHeight="1" x14ac:dyDescent="0.35">
      <c r="A2705" s="30"/>
      <c r="E2705" s="31"/>
      <c r="G2705" s="32" t="str">
        <f t="shared" si="84"/>
        <v>|||1900|</v>
      </c>
      <c r="H2705" s="32" t="str">
        <f t="shared" si="85"/>
        <v>||1900|</v>
      </c>
      <c r="I2705" s="32">
        <f>IF(G2705="",0,IF(COUNTIF($G$2:G2705,G2705)=1,1,0))</f>
        <v>0</v>
      </c>
      <c r="J2705" s="32">
        <f>IF(H2705="",0,IF(COUNTIF($H$2:H2705,H2705)=1,1,0))</f>
        <v>0</v>
      </c>
    </row>
    <row r="2706" spans="1:10" ht="14.25" hidden="1" customHeight="1" x14ac:dyDescent="0.35">
      <c r="A2706" s="30"/>
      <c r="E2706" s="31"/>
      <c r="G2706" s="32" t="str">
        <f t="shared" si="84"/>
        <v>|||1900|</v>
      </c>
      <c r="H2706" s="32" t="str">
        <f t="shared" si="85"/>
        <v>||1900|</v>
      </c>
      <c r="I2706" s="32">
        <f>IF(G2706="",0,IF(COUNTIF($G$2:G2706,G2706)=1,1,0))</f>
        <v>0</v>
      </c>
      <c r="J2706" s="32">
        <f>IF(H2706="",0,IF(COUNTIF($H$2:H2706,H2706)=1,1,0))</f>
        <v>0</v>
      </c>
    </row>
    <row r="2707" spans="1:10" ht="14.25" hidden="1" customHeight="1" x14ac:dyDescent="0.35">
      <c r="A2707" s="30"/>
      <c r="E2707" s="31"/>
      <c r="G2707" s="32" t="str">
        <f t="shared" si="84"/>
        <v>|||1900|</v>
      </c>
      <c r="H2707" s="32" t="str">
        <f t="shared" si="85"/>
        <v>||1900|</v>
      </c>
      <c r="I2707" s="32">
        <f>IF(G2707="",0,IF(COUNTIF($G$2:G2707,G2707)=1,1,0))</f>
        <v>0</v>
      </c>
      <c r="J2707" s="32">
        <f>IF(H2707="",0,IF(COUNTIF($H$2:H2707,H2707)=1,1,0))</f>
        <v>0</v>
      </c>
    </row>
    <row r="2708" spans="1:10" ht="14.25" hidden="1" customHeight="1" x14ac:dyDescent="0.35">
      <c r="A2708" s="30"/>
      <c r="E2708" s="31"/>
      <c r="G2708" s="32" t="str">
        <f t="shared" si="84"/>
        <v>|||1900|</v>
      </c>
      <c r="H2708" s="32" t="str">
        <f t="shared" si="85"/>
        <v>||1900|</v>
      </c>
      <c r="I2708" s="32">
        <f>IF(G2708="",0,IF(COUNTIF($G$2:G2708,G2708)=1,1,0))</f>
        <v>0</v>
      </c>
      <c r="J2708" s="32">
        <f>IF(H2708="",0,IF(COUNTIF($H$2:H2708,H2708)=1,1,0))</f>
        <v>0</v>
      </c>
    </row>
    <row r="2709" spans="1:10" ht="14.25" hidden="1" customHeight="1" x14ac:dyDescent="0.35">
      <c r="A2709" s="30"/>
      <c r="E2709" s="31"/>
      <c r="G2709" s="32" t="str">
        <f t="shared" si="84"/>
        <v>|||1900|</v>
      </c>
      <c r="H2709" s="32" t="str">
        <f t="shared" si="85"/>
        <v>||1900|</v>
      </c>
      <c r="I2709" s="32">
        <f>IF(G2709="",0,IF(COUNTIF($G$2:G2709,G2709)=1,1,0))</f>
        <v>0</v>
      </c>
      <c r="J2709" s="32">
        <f>IF(H2709="",0,IF(COUNTIF($H$2:H2709,H2709)=1,1,0))</f>
        <v>0</v>
      </c>
    </row>
    <row r="2710" spans="1:10" ht="14.25" hidden="1" customHeight="1" x14ac:dyDescent="0.35">
      <c r="A2710" s="30"/>
      <c r="E2710" s="31"/>
      <c r="G2710" s="32" t="str">
        <f t="shared" si="84"/>
        <v>|||1900|</v>
      </c>
      <c r="H2710" s="32" t="str">
        <f t="shared" si="85"/>
        <v>||1900|</v>
      </c>
      <c r="I2710" s="32">
        <f>IF(G2710="",0,IF(COUNTIF($G$2:G2710,G2710)=1,1,0))</f>
        <v>0</v>
      </c>
      <c r="J2710" s="32">
        <f>IF(H2710="",0,IF(COUNTIF($H$2:H2710,H2710)=1,1,0))</f>
        <v>0</v>
      </c>
    </row>
    <row r="2711" spans="1:10" ht="14.25" hidden="1" customHeight="1" x14ac:dyDescent="0.35">
      <c r="A2711" s="30"/>
      <c r="E2711" s="31"/>
      <c r="G2711" s="32" t="str">
        <f t="shared" si="84"/>
        <v>|||1900|</v>
      </c>
      <c r="H2711" s="32" t="str">
        <f t="shared" si="85"/>
        <v>||1900|</v>
      </c>
      <c r="I2711" s="32">
        <f>IF(G2711="",0,IF(COUNTIF($G$2:G2711,G2711)=1,1,0))</f>
        <v>0</v>
      </c>
      <c r="J2711" s="32">
        <f>IF(H2711="",0,IF(COUNTIF($H$2:H2711,H2711)=1,1,0))</f>
        <v>0</v>
      </c>
    </row>
    <row r="2712" spans="1:10" ht="14.25" hidden="1" customHeight="1" x14ac:dyDescent="0.35">
      <c r="A2712" s="30"/>
      <c r="E2712" s="31"/>
      <c r="G2712" s="32" t="str">
        <f t="shared" si="84"/>
        <v>|||1900|</v>
      </c>
      <c r="H2712" s="32" t="str">
        <f t="shared" si="85"/>
        <v>||1900|</v>
      </c>
      <c r="I2712" s="32">
        <f>IF(G2712="",0,IF(COUNTIF($G$2:G2712,G2712)=1,1,0))</f>
        <v>0</v>
      </c>
      <c r="J2712" s="32">
        <f>IF(H2712="",0,IF(COUNTIF($H$2:H2712,H2712)=1,1,0))</f>
        <v>0</v>
      </c>
    </row>
    <row r="2713" spans="1:10" ht="14.25" hidden="1" customHeight="1" x14ac:dyDescent="0.35">
      <c r="A2713" s="30"/>
      <c r="E2713" s="31"/>
      <c r="G2713" s="32" t="str">
        <f t="shared" si="84"/>
        <v>|||1900|</v>
      </c>
      <c r="H2713" s="32" t="str">
        <f t="shared" si="85"/>
        <v>||1900|</v>
      </c>
      <c r="I2713" s="32">
        <f>IF(G2713="",0,IF(COUNTIF($G$2:G2713,G2713)=1,1,0))</f>
        <v>0</v>
      </c>
      <c r="J2713" s="32">
        <f>IF(H2713="",0,IF(COUNTIF($H$2:H2713,H2713)=1,1,0))</f>
        <v>0</v>
      </c>
    </row>
    <row r="2714" spans="1:10" ht="14.25" hidden="1" customHeight="1" x14ac:dyDescent="0.35">
      <c r="A2714" s="30"/>
      <c r="E2714" s="31"/>
      <c r="G2714" s="32" t="str">
        <f t="shared" si="84"/>
        <v>|||1900|</v>
      </c>
      <c r="H2714" s="32" t="str">
        <f t="shared" si="85"/>
        <v>||1900|</v>
      </c>
      <c r="I2714" s="32">
        <f>IF(G2714="",0,IF(COUNTIF($G$2:G2714,G2714)=1,1,0))</f>
        <v>0</v>
      </c>
      <c r="J2714" s="32">
        <f>IF(H2714="",0,IF(COUNTIF($H$2:H2714,H2714)=1,1,0))</f>
        <v>0</v>
      </c>
    </row>
    <row r="2715" spans="1:10" ht="14.25" hidden="1" customHeight="1" x14ac:dyDescent="0.35">
      <c r="A2715" s="30"/>
      <c r="E2715" s="31"/>
      <c r="G2715" s="32" t="str">
        <f t="shared" si="84"/>
        <v>|||1900|</v>
      </c>
      <c r="H2715" s="32" t="str">
        <f t="shared" si="85"/>
        <v>||1900|</v>
      </c>
      <c r="I2715" s="32">
        <f>IF(G2715="",0,IF(COUNTIF($G$2:G2715,G2715)=1,1,0))</f>
        <v>0</v>
      </c>
      <c r="J2715" s="32">
        <f>IF(H2715="",0,IF(COUNTIF($H$2:H2715,H2715)=1,1,0))</f>
        <v>0</v>
      </c>
    </row>
    <row r="2716" spans="1:10" ht="14.25" hidden="1" customHeight="1" x14ac:dyDescent="0.35">
      <c r="A2716" s="30"/>
      <c r="E2716" s="31"/>
      <c r="G2716" s="32" t="str">
        <f t="shared" si="84"/>
        <v>|||1900|</v>
      </c>
      <c r="H2716" s="32" t="str">
        <f t="shared" si="85"/>
        <v>||1900|</v>
      </c>
      <c r="I2716" s="32">
        <f>IF(G2716="",0,IF(COUNTIF($G$2:G2716,G2716)=1,1,0))</f>
        <v>0</v>
      </c>
      <c r="J2716" s="32">
        <f>IF(H2716="",0,IF(COUNTIF($H$2:H2716,H2716)=1,1,0))</f>
        <v>0</v>
      </c>
    </row>
    <row r="2717" spans="1:10" ht="14.25" hidden="1" customHeight="1" x14ac:dyDescent="0.35">
      <c r="A2717" s="30"/>
      <c r="E2717" s="31"/>
      <c r="G2717" s="32" t="str">
        <f t="shared" si="84"/>
        <v>|||1900|</v>
      </c>
      <c r="H2717" s="32" t="str">
        <f t="shared" si="85"/>
        <v>||1900|</v>
      </c>
      <c r="I2717" s="32">
        <f>IF(G2717="",0,IF(COUNTIF($G$2:G2717,G2717)=1,1,0))</f>
        <v>0</v>
      </c>
      <c r="J2717" s="32">
        <f>IF(H2717="",0,IF(COUNTIF($H$2:H2717,H2717)=1,1,0))</f>
        <v>0</v>
      </c>
    </row>
    <row r="2718" spans="1:10" ht="14.25" hidden="1" customHeight="1" x14ac:dyDescent="0.35">
      <c r="A2718" s="30"/>
      <c r="E2718" s="31"/>
      <c r="G2718" s="32" t="str">
        <f t="shared" si="84"/>
        <v>|||1900|</v>
      </c>
      <c r="H2718" s="32" t="str">
        <f t="shared" si="85"/>
        <v>||1900|</v>
      </c>
      <c r="I2718" s="32">
        <f>IF(G2718="",0,IF(COUNTIF($G$2:G2718,G2718)=1,1,0))</f>
        <v>0</v>
      </c>
      <c r="J2718" s="32">
        <f>IF(H2718="",0,IF(COUNTIF($H$2:H2718,H2718)=1,1,0))</f>
        <v>0</v>
      </c>
    </row>
    <row r="2719" spans="1:10" ht="14.25" hidden="1" customHeight="1" x14ac:dyDescent="0.35">
      <c r="A2719" s="30"/>
      <c r="E2719" s="31"/>
      <c r="G2719" s="32" t="str">
        <f t="shared" si="84"/>
        <v>|||1900|</v>
      </c>
      <c r="H2719" s="32" t="str">
        <f t="shared" si="85"/>
        <v>||1900|</v>
      </c>
      <c r="I2719" s="32">
        <f>IF(G2719="",0,IF(COUNTIF($G$2:G2719,G2719)=1,1,0))</f>
        <v>0</v>
      </c>
      <c r="J2719" s="32">
        <f>IF(H2719="",0,IF(COUNTIF($H$2:H2719,H2719)=1,1,0))</f>
        <v>0</v>
      </c>
    </row>
    <row r="2720" spans="1:10" ht="14.25" hidden="1" customHeight="1" x14ac:dyDescent="0.35">
      <c r="A2720" s="30"/>
      <c r="E2720" s="31"/>
      <c r="G2720" s="32" t="str">
        <f t="shared" si="84"/>
        <v>|||1900|</v>
      </c>
      <c r="H2720" s="32" t="str">
        <f t="shared" si="85"/>
        <v>||1900|</v>
      </c>
      <c r="I2720" s="32">
        <f>IF(G2720="",0,IF(COUNTIF($G$2:G2720,G2720)=1,1,0))</f>
        <v>0</v>
      </c>
      <c r="J2720" s="32">
        <f>IF(H2720="",0,IF(COUNTIF($H$2:H2720,H2720)=1,1,0))</f>
        <v>0</v>
      </c>
    </row>
    <row r="2721" spans="1:10" ht="14.25" hidden="1" customHeight="1" x14ac:dyDescent="0.35">
      <c r="A2721" s="30"/>
      <c r="E2721" s="31"/>
      <c r="G2721" s="32" t="str">
        <f t="shared" si="84"/>
        <v>|||1900|</v>
      </c>
      <c r="H2721" s="32" t="str">
        <f t="shared" si="85"/>
        <v>||1900|</v>
      </c>
      <c r="I2721" s="32">
        <f>IF(G2721="",0,IF(COUNTIF($G$2:G2721,G2721)=1,1,0))</f>
        <v>0</v>
      </c>
      <c r="J2721" s="32">
        <f>IF(H2721="",0,IF(COUNTIF($H$2:H2721,H2721)=1,1,0))</f>
        <v>0</v>
      </c>
    </row>
    <row r="2722" spans="1:10" ht="14.25" hidden="1" customHeight="1" x14ac:dyDescent="0.35">
      <c r="A2722" s="30"/>
      <c r="E2722" s="31"/>
      <c r="G2722" s="32" t="str">
        <f t="shared" si="84"/>
        <v>|||1900|</v>
      </c>
      <c r="H2722" s="32" t="str">
        <f t="shared" si="85"/>
        <v>||1900|</v>
      </c>
      <c r="I2722" s="32">
        <f>IF(G2722="",0,IF(COUNTIF($G$2:G2722,G2722)=1,1,0))</f>
        <v>0</v>
      </c>
      <c r="J2722" s="32">
        <f>IF(H2722="",0,IF(COUNTIF($H$2:H2722,H2722)=1,1,0))</f>
        <v>0</v>
      </c>
    </row>
    <row r="2723" spans="1:10" ht="14.25" hidden="1" customHeight="1" x14ac:dyDescent="0.35">
      <c r="A2723" s="30"/>
      <c r="E2723" s="31"/>
      <c r="G2723" s="32" t="str">
        <f t="shared" si="84"/>
        <v>|||1900|</v>
      </c>
      <c r="H2723" s="32" t="str">
        <f t="shared" si="85"/>
        <v>||1900|</v>
      </c>
      <c r="I2723" s="32">
        <f>IF(G2723="",0,IF(COUNTIF($G$2:G2723,G2723)=1,1,0))</f>
        <v>0</v>
      </c>
      <c r="J2723" s="32">
        <f>IF(H2723="",0,IF(COUNTIF($H$2:H2723,H2723)=1,1,0))</f>
        <v>0</v>
      </c>
    </row>
    <row r="2724" spans="1:10" ht="14.25" hidden="1" customHeight="1" x14ac:dyDescent="0.35">
      <c r="A2724" s="30"/>
      <c r="E2724" s="31"/>
      <c r="G2724" s="32" t="str">
        <f t="shared" si="84"/>
        <v>|||1900|</v>
      </c>
      <c r="H2724" s="32" t="str">
        <f t="shared" si="85"/>
        <v>||1900|</v>
      </c>
      <c r="I2724" s="32">
        <f>IF(G2724="",0,IF(COUNTIF($G$2:G2724,G2724)=1,1,0))</f>
        <v>0</v>
      </c>
      <c r="J2724" s="32">
        <f>IF(H2724="",0,IF(COUNTIF($H$2:H2724,H2724)=1,1,0))</f>
        <v>0</v>
      </c>
    </row>
    <row r="2725" spans="1:10" ht="14.25" hidden="1" customHeight="1" x14ac:dyDescent="0.35">
      <c r="A2725" s="30"/>
      <c r="E2725" s="31"/>
      <c r="G2725" s="32" t="str">
        <f t="shared" si="84"/>
        <v>|||1900|</v>
      </c>
      <c r="H2725" s="32" t="str">
        <f t="shared" si="85"/>
        <v>||1900|</v>
      </c>
      <c r="I2725" s="32">
        <f>IF(G2725="",0,IF(COUNTIF($G$2:G2725,G2725)=1,1,0))</f>
        <v>0</v>
      </c>
      <c r="J2725" s="32">
        <f>IF(H2725="",0,IF(COUNTIF($H$2:H2725,H2725)=1,1,0))</f>
        <v>0</v>
      </c>
    </row>
    <row r="2726" spans="1:10" ht="14.25" hidden="1" customHeight="1" x14ac:dyDescent="0.35">
      <c r="A2726" s="30"/>
      <c r="E2726" s="31"/>
      <c r="G2726" s="32" t="str">
        <f t="shared" si="84"/>
        <v>|||1900|</v>
      </c>
      <c r="H2726" s="32" t="str">
        <f t="shared" si="85"/>
        <v>||1900|</v>
      </c>
      <c r="I2726" s="32">
        <f>IF(G2726="",0,IF(COUNTIF($G$2:G2726,G2726)=1,1,0))</f>
        <v>0</v>
      </c>
      <c r="J2726" s="32">
        <f>IF(H2726="",0,IF(COUNTIF($H$2:H2726,H2726)=1,1,0))</f>
        <v>0</v>
      </c>
    </row>
    <row r="2727" spans="1:10" ht="14.25" hidden="1" customHeight="1" x14ac:dyDescent="0.35">
      <c r="A2727" s="30"/>
      <c r="E2727" s="31"/>
      <c r="G2727" s="32" t="str">
        <f t="shared" si="84"/>
        <v>|||1900|</v>
      </c>
      <c r="H2727" s="32" t="str">
        <f t="shared" si="85"/>
        <v>||1900|</v>
      </c>
      <c r="I2727" s="32">
        <f>IF(G2727="",0,IF(COUNTIF($G$2:G2727,G2727)=1,1,0))</f>
        <v>0</v>
      </c>
      <c r="J2727" s="32">
        <f>IF(H2727="",0,IF(COUNTIF($H$2:H2727,H2727)=1,1,0))</f>
        <v>0</v>
      </c>
    </row>
    <row r="2728" spans="1:10" ht="14.25" hidden="1" customHeight="1" x14ac:dyDescent="0.35">
      <c r="A2728" s="30"/>
      <c r="E2728" s="31"/>
      <c r="G2728" s="32" t="str">
        <f t="shared" si="84"/>
        <v>|||1900|</v>
      </c>
      <c r="H2728" s="32" t="str">
        <f t="shared" si="85"/>
        <v>||1900|</v>
      </c>
      <c r="I2728" s="32">
        <f>IF(G2728="",0,IF(COUNTIF($G$2:G2728,G2728)=1,1,0))</f>
        <v>0</v>
      </c>
      <c r="J2728" s="32">
        <f>IF(H2728="",0,IF(COUNTIF($H$2:H2728,H2728)=1,1,0))</f>
        <v>0</v>
      </c>
    </row>
    <row r="2729" spans="1:10" ht="14.25" hidden="1" customHeight="1" x14ac:dyDescent="0.35">
      <c r="A2729" s="30"/>
      <c r="E2729" s="31"/>
      <c r="G2729" s="32" t="str">
        <f t="shared" si="84"/>
        <v>|||1900|</v>
      </c>
      <c r="H2729" s="32" t="str">
        <f t="shared" si="85"/>
        <v>||1900|</v>
      </c>
      <c r="I2729" s="32">
        <f>IF(G2729="",0,IF(COUNTIF($G$2:G2729,G2729)=1,1,0))</f>
        <v>0</v>
      </c>
      <c r="J2729" s="32">
        <f>IF(H2729="",0,IF(COUNTIF($H$2:H2729,H2729)=1,1,0))</f>
        <v>0</v>
      </c>
    </row>
    <row r="2730" spans="1:10" ht="14.25" hidden="1" customHeight="1" x14ac:dyDescent="0.35">
      <c r="A2730" s="30"/>
      <c r="E2730" s="31"/>
      <c r="G2730" s="32" t="str">
        <f t="shared" si="84"/>
        <v>|||1900|</v>
      </c>
      <c r="H2730" s="32" t="str">
        <f t="shared" si="85"/>
        <v>||1900|</v>
      </c>
      <c r="I2730" s="32">
        <f>IF(G2730="",0,IF(COUNTIF($G$2:G2730,G2730)=1,1,0))</f>
        <v>0</v>
      </c>
      <c r="J2730" s="32">
        <f>IF(H2730="",0,IF(COUNTIF($H$2:H2730,H2730)=1,1,0))</f>
        <v>0</v>
      </c>
    </row>
    <row r="2731" spans="1:10" ht="14.25" hidden="1" customHeight="1" x14ac:dyDescent="0.35">
      <c r="A2731" s="30"/>
      <c r="E2731" s="31"/>
      <c r="G2731" s="32" t="str">
        <f t="shared" si="84"/>
        <v>|||1900|</v>
      </c>
      <c r="H2731" s="32" t="str">
        <f t="shared" si="85"/>
        <v>||1900|</v>
      </c>
      <c r="I2731" s="32">
        <f>IF(G2731="",0,IF(COUNTIF($G$2:G2731,G2731)=1,1,0))</f>
        <v>0</v>
      </c>
      <c r="J2731" s="32">
        <f>IF(H2731="",0,IF(COUNTIF($H$2:H2731,H2731)=1,1,0))</f>
        <v>0</v>
      </c>
    </row>
    <row r="2732" spans="1:10" ht="14.25" hidden="1" customHeight="1" x14ac:dyDescent="0.35">
      <c r="A2732" s="30"/>
      <c r="E2732" s="31"/>
      <c r="G2732" s="32" t="str">
        <f t="shared" si="84"/>
        <v>|||1900|</v>
      </c>
      <c r="H2732" s="32" t="str">
        <f t="shared" si="85"/>
        <v>||1900|</v>
      </c>
      <c r="I2732" s="32">
        <f>IF(G2732="",0,IF(COUNTIF($G$2:G2732,G2732)=1,1,0))</f>
        <v>0</v>
      </c>
      <c r="J2732" s="32">
        <f>IF(H2732="",0,IF(COUNTIF($H$2:H2732,H2732)=1,1,0))</f>
        <v>0</v>
      </c>
    </row>
    <row r="2733" spans="1:10" ht="14.25" hidden="1" customHeight="1" x14ac:dyDescent="0.35">
      <c r="A2733" s="30"/>
      <c r="E2733" s="31"/>
      <c r="G2733" s="32" t="str">
        <f t="shared" si="84"/>
        <v>|||1900|</v>
      </c>
      <c r="H2733" s="32" t="str">
        <f t="shared" si="85"/>
        <v>||1900|</v>
      </c>
      <c r="I2733" s="32">
        <f>IF(G2733="",0,IF(COUNTIF($G$2:G2733,G2733)=1,1,0))</f>
        <v>0</v>
      </c>
      <c r="J2733" s="32">
        <f>IF(H2733="",0,IF(COUNTIF($H$2:H2733,H2733)=1,1,0))</f>
        <v>0</v>
      </c>
    </row>
    <row r="2734" spans="1:10" ht="14.25" hidden="1" customHeight="1" x14ac:dyDescent="0.35">
      <c r="A2734" s="30"/>
      <c r="E2734" s="31"/>
      <c r="G2734" s="32" t="str">
        <f t="shared" si="84"/>
        <v>|||1900|</v>
      </c>
      <c r="H2734" s="32" t="str">
        <f t="shared" si="85"/>
        <v>||1900|</v>
      </c>
      <c r="I2734" s="32">
        <f>IF(G2734="",0,IF(COUNTIF($G$2:G2734,G2734)=1,1,0))</f>
        <v>0</v>
      </c>
      <c r="J2734" s="32">
        <f>IF(H2734="",0,IF(COUNTIF($H$2:H2734,H2734)=1,1,0))</f>
        <v>0</v>
      </c>
    </row>
    <row r="2735" spans="1:10" ht="14.25" hidden="1" customHeight="1" x14ac:dyDescent="0.35">
      <c r="A2735" s="30"/>
      <c r="E2735" s="31"/>
      <c r="G2735" s="32" t="str">
        <f t="shared" si="84"/>
        <v>|||1900|</v>
      </c>
      <c r="H2735" s="32" t="str">
        <f t="shared" si="85"/>
        <v>||1900|</v>
      </c>
      <c r="I2735" s="32">
        <f>IF(G2735="",0,IF(COUNTIF($G$2:G2735,G2735)=1,1,0))</f>
        <v>0</v>
      </c>
      <c r="J2735" s="32">
        <f>IF(H2735="",0,IF(COUNTIF($H$2:H2735,H2735)=1,1,0))</f>
        <v>0</v>
      </c>
    </row>
    <row r="2736" spans="1:10" ht="14.25" hidden="1" customHeight="1" x14ac:dyDescent="0.35">
      <c r="A2736" s="30"/>
      <c r="E2736" s="31"/>
      <c r="G2736" s="32" t="str">
        <f t="shared" si="84"/>
        <v>|||1900|</v>
      </c>
      <c r="H2736" s="32" t="str">
        <f t="shared" si="85"/>
        <v>||1900|</v>
      </c>
      <c r="I2736" s="32">
        <f>IF(G2736="",0,IF(COUNTIF($G$2:G2736,G2736)=1,1,0))</f>
        <v>0</v>
      </c>
      <c r="J2736" s="32">
        <f>IF(H2736="",0,IF(COUNTIF($H$2:H2736,H2736)=1,1,0))</f>
        <v>0</v>
      </c>
    </row>
    <row r="2737" spans="1:10" ht="14.25" hidden="1" customHeight="1" x14ac:dyDescent="0.35">
      <c r="A2737" s="30"/>
      <c r="E2737" s="31"/>
      <c r="G2737" s="32" t="str">
        <f t="shared" si="84"/>
        <v>|||1900|</v>
      </c>
      <c r="H2737" s="32" t="str">
        <f t="shared" si="85"/>
        <v>||1900|</v>
      </c>
      <c r="I2737" s="32">
        <f>IF(G2737="",0,IF(COUNTIF($G$2:G2737,G2737)=1,1,0))</f>
        <v>0</v>
      </c>
      <c r="J2737" s="32">
        <f>IF(H2737="",0,IF(COUNTIF($H$2:H2737,H2737)=1,1,0))</f>
        <v>0</v>
      </c>
    </row>
    <row r="2738" spans="1:10" ht="14.25" hidden="1" customHeight="1" x14ac:dyDescent="0.35">
      <c r="A2738" s="30"/>
      <c r="E2738" s="31"/>
      <c r="G2738" s="32" t="str">
        <f t="shared" si="84"/>
        <v>|||1900|</v>
      </c>
      <c r="H2738" s="32" t="str">
        <f t="shared" si="85"/>
        <v>||1900|</v>
      </c>
      <c r="I2738" s="32">
        <f>IF(G2738="",0,IF(COUNTIF($G$2:G2738,G2738)=1,1,0))</f>
        <v>0</v>
      </c>
      <c r="J2738" s="32">
        <f>IF(H2738="",0,IF(COUNTIF($H$2:H2738,H2738)=1,1,0))</f>
        <v>0</v>
      </c>
    </row>
    <row r="2739" spans="1:10" ht="14.25" hidden="1" customHeight="1" x14ac:dyDescent="0.35">
      <c r="A2739" s="30"/>
      <c r="E2739" s="31"/>
      <c r="G2739" s="32" t="str">
        <f t="shared" si="84"/>
        <v>|||1900|</v>
      </c>
      <c r="H2739" s="32" t="str">
        <f t="shared" si="85"/>
        <v>||1900|</v>
      </c>
      <c r="I2739" s="32">
        <f>IF(G2739="",0,IF(COUNTIF($G$2:G2739,G2739)=1,1,0))</f>
        <v>0</v>
      </c>
      <c r="J2739" s="32">
        <f>IF(H2739="",0,IF(COUNTIF($H$2:H2739,H2739)=1,1,0))</f>
        <v>0</v>
      </c>
    </row>
    <row r="2740" spans="1:10" ht="14.25" hidden="1" customHeight="1" x14ac:dyDescent="0.35">
      <c r="A2740" s="30"/>
      <c r="E2740" s="31"/>
      <c r="G2740" s="32" t="str">
        <f t="shared" si="84"/>
        <v>|||1900|</v>
      </c>
      <c r="H2740" s="32" t="str">
        <f t="shared" si="85"/>
        <v>||1900|</v>
      </c>
      <c r="I2740" s="32">
        <f>IF(G2740="",0,IF(COUNTIF($G$2:G2740,G2740)=1,1,0))</f>
        <v>0</v>
      </c>
      <c r="J2740" s="32">
        <f>IF(H2740="",0,IF(COUNTIF($H$2:H2740,H2740)=1,1,0))</f>
        <v>0</v>
      </c>
    </row>
    <row r="2741" spans="1:10" ht="14.25" hidden="1" customHeight="1" x14ac:dyDescent="0.35">
      <c r="A2741" s="30"/>
      <c r="E2741" s="31"/>
      <c r="G2741" s="32" t="str">
        <f t="shared" si="84"/>
        <v>|||1900|</v>
      </c>
      <c r="H2741" s="32" t="str">
        <f t="shared" si="85"/>
        <v>||1900|</v>
      </c>
      <c r="I2741" s="32">
        <f>IF(G2741="",0,IF(COUNTIF($G$2:G2741,G2741)=1,1,0))</f>
        <v>0</v>
      </c>
      <c r="J2741" s="32">
        <f>IF(H2741="",0,IF(COUNTIF($H$2:H2741,H2741)=1,1,0))</f>
        <v>0</v>
      </c>
    </row>
    <row r="2742" spans="1:10" ht="14.25" hidden="1" customHeight="1" x14ac:dyDescent="0.35">
      <c r="A2742" s="30"/>
      <c r="E2742" s="31"/>
      <c r="G2742" s="32" t="str">
        <f t="shared" si="84"/>
        <v>|||1900|</v>
      </c>
      <c r="H2742" s="32" t="str">
        <f t="shared" si="85"/>
        <v>||1900|</v>
      </c>
      <c r="I2742" s="32">
        <f>IF(G2742="",0,IF(COUNTIF($G$2:G2742,G2742)=1,1,0))</f>
        <v>0</v>
      </c>
      <c r="J2742" s="32">
        <f>IF(H2742="",0,IF(COUNTIF($H$2:H2742,H2742)=1,1,0))</f>
        <v>0</v>
      </c>
    </row>
    <row r="2743" spans="1:10" ht="14.25" hidden="1" customHeight="1" x14ac:dyDescent="0.35">
      <c r="A2743" s="30"/>
      <c r="E2743" s="31"/>
      <c r="G2743" s="32" t="str">
        <f t="shared" si="84"/>
        <v>|||1900|</v>
      </c>
      <c r="H2743" s="32" t="str">
        <f t="shared" si="85"/>
        <v>||1900|</v>
      </c>
      <c r="I2743" s="32">
        <f>IF(G2743="",0,IF(COUNTIF($G$2:G2743,G2743)=1,1,0))</f>
        <v>0</v>
      </c>
      <c r="J2743" s="32">
        <f>IF(H2743="",0,IF(COUNTIF($H$2:H2743,H2743)=1,1,0))</f>
        <v>0</v>
      </c>
    </row>
    <row r="2744" spans="1:10" ht="14.25" hidden="1" customHeight="1" x14ac:dyDescent="0.35">
      <c r="A2744" s="30"/>
      <c r="E2744" s="31"/>
      <c r="G2744" s="32" t="str">
        <f t="shared" si="84"/>
        <v>|||1900|</v>
      </c>
      <c r="H2744" s="32" t="str">
        <f t="shared" si="85"/>
        <v>||1900|</v>
      </c>
      <c r="I2744" s="32">
        <f>IF(G2744="",0,IF(COUNTIF($G$2:G2744,G2744)=1,1,0))</f>
        <v>0</v>
      </c>
      <c r="J2744" s="32">
        <f>IF(H2744="",0,IF(COUNTIF($H$2:H2744,H2744)=1,1,0))</f>
        <v>0</v>
      </c>
    </row>
    <row r="2745" spans="1:10" ht="14.25" hidden="1" customHeight="1" x14ac:dyDescent="0.35">
      <c r="A2745" s="30"/>
      <c r="E2745" s="31"/>
      <c r="G2745" s="32" t="str">
        <f t="shared" si="84"/>
        <v>|||1900|</v>
      </c>
      <c r="H2745" s="32" t="str">
        <f t="shared" si="85"/>
        <v>||1900|</v>
      </c>
      <c r="I2745" s="32">
        <f>IF(G2745="",0,IF(COUNTIF($G$2:G2745,G2745)=1,1,0))</f>
        <v>0</v>
      </c>
      <c r="J2745" s="32">
        <f>IF(H2745="",0,IF(COUNTIF($H$2:H2745,H2745)=1,1,0))</f>
        <v>0</v>
      </c>
    </row>
    <row r="2746" spans="1:10" ht="14.25" hidden="1" customHeight="1" x14ac:dyDescent="0.35">
      <c r="A2746" s="30"/>
      <c r="E2746" s="31"/>
      <c r="G2746" s="32" t="str">
        <f t="shared" si="84"/>
        <v>|||1900|</v>
      </c>
      <c r="H2746" s="32" t="str">
        <f t="shared" si="85"/>
        <v>||1900|</v>
      </c>
      <c r="I2746" s="32">
        <f>IF(G2746="",0,IF(COUNTIF($G$2:G2746,G2746)=1,1,0))</f>
        <v>0</v>
      </c>
      <c r="J2746" s="32">
        <f>IF(H2746="",0,IF(COUNTIF($H$2:H2746,H2746)=1,1,0))</f>
        <v>0</v>
      </c>
    </row>
    <row r="2747" spans="1:10" ht="14.25" hidden="1" customHeight="1" x14ac:dyDescent="0.35">
      <c r="A2747" s="30"/>
      <c r="E2747" s="31"/>
      <c r="G2747" s="32" t="str">
        <f t="shared" si="84"/>
        <v>|||1900|</v>
      </c>
      <c r="H2747" s="32" t="str">
        <f t="shared" si="85"/>
        <v>||1900|</v>
      </c>
      <c r="I2747" s="32">
        <f>IF(G2747="",0,IF(COUNTIF($G$2:G2747,G2747)=1,1,0))</f>
        <v>0</v>
      </c>
      <c r="J2747" s="32">
        <f>IF(H2747="",0,IF(COUNTIF($H$2:H2747,H2747)=1,1,0))</f>
        <v>0</v>
      </c>
    </row>
    <row r="2748" spans="1:10" ht="14.25" hidden="1" customHeight="1" x14ac:dyDescent="0.35">
      <c r="A2748" s="30"/>
      <c r="E2748" s="31"/>
      <c r="G2748" s="32" t="str">
        <f t="shared" si="84"/>
        <v>|||1900|</v>
      </c>
      <c r="H2748" s="32" t="str">
        <f t="shared" si="85"/>
        <v>||1900|</v>
      </c>
      <c r="I2748" s="32">
        <f>IF(G2748="",0,IF(COUNTIF($G$2:G2748,G2748)=1,1,0))</f>
        <v>0</v>
      </c>
      <c r="J2748" s="32">
        <f>IF(H2748="",0,IF(COUNTIF($H$2:H2748,H2748)=1,1,0))</f>
        <v>0</v>
      </c>
    </row>
    <row r="2749" spans="1:10" ht="14.25" hidden="1" customHeight="1" x14ac:dyDescent="0.35">
      <c r="A2749" s="30"/>
      <c r="E2749" s="31"/>
      <c r="G2749" s="32" t="str">
        <f t="shared" si="84"/>
        <v>|||1900|</v>
      </c>
      <c r="H2749" s="32" t="str">
        <f t="shared" si="85"/>
        <v>||1900|</v>
      </c>
      <c r="I2749" s="32">
        <f>IF(G2749="",0,IF(COUNTIF($G$2:G2749,G2749)=1,1,0))</f>
        <v>0</v>
      </c>
      <c r="J2749" s="32">
        <f>IF(H2749="",0,IF(COUNTIF($H$2:H2749,H2749)=1,1,0))</f>
        <v>0</v>
      </c>
    </row>
    <row r="2750" spans="1:10" ht="14.25" hidden="1" customHeight="1" x14ac:dyDescent="0.35">
      <c r="A2750" s="30"/>
      <c r="E2750" s="31"/>
      <c r="G2750" s="32" t="str">
        <f t="shared" si="84"/>
        <v>|||1900|</v>
      </c>
      <c r="H2750" s="32" t="str">
        <f t="shared" si="85"/>
        <v>||1900|</v>
      </c>
      <c r="I2750" s="32">
        <f>IF(G2750="",0,IF(COUNTIF($G$2:G2750,G2750)=1,1,0))</f>
        <v>0</v>
      </c>
      <c r="J2750" s="32">
        <f>IF(H2750="",0,IF(COUNTIF($H$2:H2750,H2750)=1,1,0))</f>
        <v>0</v>
      </c>
    </row>
    <row r="2751" spans="1:10" ht="14.25" hidden="1" customHeight="1" x14ac:dyDescent="0.35">
      <c r="A2751" s="30"/>
      <c r="E2751" s="31"/>
      <c r="G2751" s="32" t="str">
        <f t="shared" si="84"/>
        <v>|||1900|</v>
      </c>
      <c r="H2751" s="32" t="str">
        <f t="shared" si="85"/>
        <v>||1900|</v>
      </c>
      <c r="I2751" s="32">
        <f>IF(G2751="",0,IF(COUNTIF($G$2:G2751,G2751)=1,1,0))</f>
        <v>0</v>
      </c>
      <c r="J2751" s="32">
        <f>IF(H2751="",0,IF(COUNTIF($H$2:H2751,H2751)=1,1,0))</f>
        <v>0</v>
      </c>
    </row>
    <row r="2752" spans="1:10" ht="14.25" hidden="1" customHeight="1" x14ac:dyDescent="0.35">
      <c r="A2752" s="30"/>
      <c r="E2752" s="31"/>
      <c r="G2752" s="32" t="str">
        <f t="shared" si="84"/>
        <v>|||1900|</v>
      </c>
      <c r="H2752" s="32" t="str">
        <f t="shared" si="85"/>
        <v>||1900|</v>
      </c>
      <c r="I2752" s="32">
        <f>IF(G2752="",0,IF(COUNTIF($G$2:G2752,G2752)=1,1,0))</f>
        <v>0</v>
      </c>
      <c r="J2752" s="32">
        <f>IF(H2752="",0,IF(COUNTIF($H$2:H2752,H2752)=1,1,0))</f>
        <v>0</v>
      </c>
    </row>
    <row r="2753" spans="1:10" ht="14.25" hidden="1" customHeight="1" x14ac:dyDescent="0.35">
      <c r="A2753" s="30"/>
      <c r="E2753" s="31"/>
      <c r="G2753" s="32" t="str">
        <f t="shared" si="84"/>
        <v>|||1900|</v>
      </c>
      <c r="H2753" s="32" t="str">
        <f t="shared" si="85"/>
        <v>||1900|</v>
      </c>
      <c r="I2753" s="32">
        <f>IF(G2753="",0,IF(COUNTIF($G$2:G2753,G2753)=1,1,0))</f>
        <v>0</v>
      </c>
      <c r="J2753" s="32">
        <f>IF(H2753="",0,IF(COUNTIF($H$2:H2753,H2753)=1,1,0))</f>
        <v>0</v>
      </c>
    </row>
    <row r="2754" spans="1:10" ht="14.25" hidden="1" customHeight="1" x14ac:dyDescent="0.35">
      <c r="A2754" s="30"/>
      <c r="E2754" s="31"/>
      <c r="G2754" s="32" t="str">
        <f t="shared" ref="G2754:G2817" si="86">IF(D2754="T",
E2754&amp;"|"&amp;F2754,
A2754&amp;"|"&amp;B2754&amp;"|"&amp;C2754&amp;"|"&amp;YEAR(E2754)&amp;"|"&amp;F2754)</f>
        <v>|||1900|</v>
      </c>
      <c r="H2754" s="32" t="str">
        <f t="shared" ref="H2754:H2817" si="87">A2754&amp;"|"&amp;C2754&amp;"|"&amp;YEAR(E2754)&amp;"|"&amp;F2754</f>
        <v>||1900|</v>
      </c>
      <c r="I2754" s="32">
        <f>IF(G2754="",0,IF(COUNTIF($G$2:G2754,G2754)=1,1,0))</f>
        <v>0</v>
      </c>
      <c r="J2754" s="32">
        <f>IF(H2754="",0,IF(COUNTIF($H$2:H2754,H2754)=1,1,0))</f>
        <v>0</v>
      </c>
    </row>
    <row r="2755" spans="1:10" ht="14.25" hidden="1" customHeight="1" x14ac:dyDescent="0.35">
      <c r="A2755" s="30"/>
      <c r="E2755" s="31"/>
      <c r="G2755" s="32" t="str">
        <f t="shared" si="86"/>
        <v>|||1900|</v>
      </c>
      <c r="H2755" s="32" t="str">
        <f t="shared" si="87"/>
        <v>||1900|</v>
      </c>
      <c r="I2755" s="32">
        <f>IF(G2755="",0,IF(COUNTIF($G$2:G2755,G2755)=1,1,0))</f>
        <v>0</v>
      </c>
      <c r="J2755" s="32">
        <f>IF(H2755="",0,IF(COUNTIF($H$2:H2755,H2755)=1,1,0))</f>
        <v>0</v>
      </c>
    </row>
    <row r="2756" spans="1:10" ht="14.25" hidden="1" customHeight="1" x14ac:dyDescent="0.35">
      <c r="A2756" s="30"/>
      <c r="E2756" s="31"/>
      <c r="G2756" s="32" t="str">
        <f t="shared" si="86"/>
        <v>|||1900|</v>
      </c>
      <c r="H2756" s="32" t="str">
        <f t="shared" si="87"/>
        <v>||1900|</v>
      </c>
      <c r="I2756" s="32">
        <f>IF(G2756="",0,IF(COUNTIF($G$2:G2756,G2756)=1,1,0))</f>
        <v>0</v>
      </c>
      <c r="J2756" s="32">
        <f>IF(H2756="",0,IF(COUNTIF($H$2:H2756,H2756)=1,1,0))</f>
        <v>0</v>
      </c>
    </row>
    <row r="2757" spans="1:10" ht="14.25" hidden="1" customHeight="1" x14ac:dyDescent="0.35">
      <c r="A2757" s="30"/>
      <c r="E2757" s="31"/>
      <c r="G2757" s="32" t="str">
        <f t="shared" si="86"/>
        <v>|||1900|</v>
      </c>
      <c r="H2757" s="32" t="str">
        <f t="shared" si="87"/>
        <v>||1900|</v>
      </c>
      <c r="I2757" s="32">
        <f>IF(G2757="",0,IF(COUNTIF($G$2:G2757,G2757)=1,1,0))</f>
        <v>0</v>
      </c>
      <c r="J2757" s="32">
        <f>IF(H2757="",0,IF(COUNTIF($H$2:H2757,H2757)=1,1,0))</f>
        <v>0</v>
      </c>
    </row>
    <row r="2758" spans="1:10" ht="14.25" hidden="1" customHeight="1" x14ac:dyDescent="0.35">
      <c r="A2758" s="30"/>
      <c r="E2758" s="31"/>
      <c r="G2758" s="32" t="str">
        <f t="shared" si="86"/>
        <v>|||1900|</v>
      </c>
      <c r="H2758" s="32" t="str">
        <f t="shared" si="87"/>
        <v>||1900|</v>
      </c>
      <c r="I2758" s="32">
        <f>IF(G2758="",0,IF(COUNTIF($G$2:G2758,G2758)=1,1,0))</f>
        <v>0</v>
      </c>
      <c r="J2758" s="32">
        <f>IF(H2758="",0,IF(COUNTIF($H$2:H2758,H2758)=1,1,0))</f>
        <v>0</v>
      </c>
    </row>
    <row r="2759" spans="1:10" ht="14.25" hidden="1" customHeight="1" x14ac:dyDescent="0.35">
      <c r="A2759" s="30"/>
      <c r="E2759" s="31"/>
      <c r="G2759" s="32" t="str">
        <f t="shared" si="86"/>
        <v>|||1900|</v>
      </c>
      <c r="H2759" s="32" t="str">
        <f t="shared" si="87"/>
        <v>||1900|</v>
      </c>
      <c r="I2759" s="32">
        <f>IF(G2759="",0,IF(COUNTIF($G$2:G2759,G2759)=1,1,0))</f>
        <v>0</v>
      </c>
      <c r="J2759" s="32">
        <f>IF(H2759="",0,IF(COUNTIF($H$2:H2759,H2759)=1,1,0))</f>
        <v>0</v>
      </c>
    </row>
    <row r="2760" spans="1:10" ht="14.25" hidden="1" customHeight="1" x14ac:dyDescent="0.35">
      <c r="A2760" s="30"/>
      <c r="E2760" s="31"/>
      <c r="G2760" s="32" t="str">
        <f t="shared" si="86"/>
        <v>|||1900|</v>
      </c>
      <c r="H2760" s="32" t="str">
        <f t="shared" si="87"/>
        <v>||1900|</v>
      </c>
      <c r="I2760" s="32">
        <f>IF(G2760="",0,IF(COUNTIF($G$2:G2760,G2760)=1,1,0))</f>
        <v>0</v>
      </c>
      <c r="J2760" s="32">
        <f>IF(H2760="",0,IF(COUNTIF($H$2:H2760,H2760)=1,1,0))</f>
        <v>0</v>
      </c>
    </row>
    <row r="2761" spans="1:10" ht="14.25" hidden="1" customHeight="1" x14ac:dyDescent="0.35">
      <c r="A2761" s="30"/>
      <c r="E2761" s="31"/>
      <c r="G2761" s="32" t="str">
        <f t="shared" si="86"/>
        <v>|||1900|</v>
      </c>
      <c r="H2761" s="32" t="str">
        <f t="shared" si="87"/>
        <v>||1900|</v>
      </c>
      <c r="I2761" s="32">
        <f>IF(G2761="",0,IF(COUNTIF($G$2:G2761,G2761)=1,1,0))</f>
        <v>0</v>
      </c>
      <c r="J2761" s="32">
        <f>IF(H2761="",0,IF(COUNTIF($H$2:H2761,H2761)=1,1,0))</f>
        <v>0</v>
      </c>
    </row>
    <row r="2762" spans="1:10" ht="14.25" hidden="1" customHeight="1" x14ac:dyDescent="0.35">
      <c r="A2762" s="30"/>
      <c r="E2762" s="31"/>
      <c r="G2762" s="32" t="str">
        <f t="shared" si="86"/>
        <v>|||1900|</v>
      </c>
      <c r="H2762" s="32" t="str">
        <f t="shared" si="87"/>
        <v>||1900|</v>
      </c>
      <c r="I2762" s="32">
        <f>IF(G2762="",0,IF(COUNTIF($G$2:G2762,G2762)=1,1,0))</f>
        <v>0</v>
      </c>
      <c r="J2762" s="32">
        <f>IF(H2762="",0,IF(COUNTIF($H$2:H2762,H2762)=1,1,0))</f>
        <v>0</v>
      </c>
    </row>
    <row r="2763" spans="1:10" ht="14.25" hidden="1" customHeight="1" x14ac:dyDescent="0.35">
      <c r="A2763" s="30"/>
      <c r="E2763" s="31"/>
      <c r="G2763" s="32" t="str">
        <f t="shared" si="86"/>
        <v>|||1900|</v>
      </c>
      <c r="H2763" s="32" t="str">
        <f t="shared" si="87"/>
        <v>||1900|</v>
      </c>
      <c r="I2763" s="32">
        <f>IF(G2763="",0,IF(COUNTIF($G$2:G2763,G2763)=1,1,0))</f>
        <v>0</v>
      </c>
      <c r="J2763" s="32">
        <f>IF(H2763="",0,IF(COUNTIF($H$2:H2763,H2763)=1,1,0))</f>
        <v>0</v>
      </c>
    </row>
    <row r="2764" spans="1:10" ht="14.25" hidden="1" customHeight="1" x14ac:dyDescent="0.35">
      <c r="A2764" s="30"/>
      <c r="E2764" s="31"/>
      <c r="G2764" s="32" t="str">
        <f t="shared" si="86"/>
        <v>|||1900|</v>
      </c>
      <c r="H2764" s="32" t="str">
        <f t="shared" si="87"/>
        <v>||1900|</v>
      </c>
      <c r="I2764" s="32">
        <f>IF(G2764="",0,IF(COUNTIF($G$2:G2764,G2764)=1,1,0))</f>
        <v>0</v>
      </c>
      <c r="J2764" s="32">
        <f>IF(H2764="",0,IF(COUNTIF($H$2:H2764,H2764)=1,1,0))</f>
        <v>0</v>
      </c>
    </row>
    <row r="2765" spans="1:10" ht="14.25" hidden="1" customHeight="1" x14ac:dyDescent="0.35">
      <c r="A2765" s="30"/>
      <c r="E2765" s="31"/>
      <c r="G2765" s="32" t="str">
        <f t="shared" si="86"/>
        <v>|||1900|</v>
      </c>
      <c r="H2765" s="32" t="str">
        <f t="shared" si="87"/>
        <v>||1900|</v>
      </c>
      <c r="I2765" s="32">
        <f>IF(G2765="",0,IF(COUNTIF($G$2:G2765,G2765)=1,1,0))</f>
        <v>0</v>
      </c>
      <c r="J2765" s="32">
        <f>IF(H2765="",0,IF(COUNTIF($H$2:H2765,H2765)=1,1,0))</f>
        <v>0</v>
      </c>
    </row>
    <row r="2766" spans="1:10" ht="14.25" hidden="1" customHeight="1" x14ac:dyDescent="0.35">
      <c r="A2766" s="30"/>
      <c r="E2766" s="31"/>
      <c r="G2766" s="32" t="str">
        <f t="shared" si="86"/>
        <v>|||1900|</v>
      </c>
      <c r="H2766" s="32" t="str">
        <f t="shared" si="87"/>
        <v>||1900|</v>
      </c>
      <c r="I2766" s="32">
        <f>IF(G2766="",0,IF(COUNTIF($G$2:G2766,G2766)=1,1,0))</f>
        <v>0</v>
      </c>
      <c r="J2766" s="32">
        <f>IF(H2766="",0,IF(COUNTIF($H$2:H2766,H2766)=1,1,0))</f>
        <v>0</v>
      </c>
    </row>
    <row r="2767" spans="1:10" ht="14.25" hidden="1" customHeight="1" x14ac:dyDescent="0.35">
      <c r="A2767" s="30"/>
      <c r="E2767" s="31"/>
      <c r="G2767" s="32" t="str">
        <f t="shared" si="86"/>
        <v>|||1900|</v>
      </c>
      <c r="H2767" s="32" t="str">
        <f t="shared" si="87"/>
        <v>||1900|</v>
      </c>
      <c r="I2767" s="32">
        <f>IF(G2767="",0,IF(COUNTIF($G$2:G2767,G2767)=1,1,0))</f>
        <v>0</v>
      </c>
      <c r="J2767" s="32">
        <f>IF(H2767="",0,IF(COUNTIF($H$2:H2767,H2767)=1,1,0))</f>
        <v>0</v>
      </c>
    </row>
    <row r="2768" spans="1:10" ht="14.25" hidden="1" customHeight="1" x14ac:dyDescent="0.35">
      <c r="A2768" s="30"/>
      <c r="E2768" s="31"/>
      <c r="G2768" s="32" t="str">
        <f t="shared" si="86"/>
        <v>|||1900|</v>
      </c>
      <c r="H2768" s="32" t="str">
        <f t="shared" si="87"/>
        <v>||1900|</v>
      </c>
      <c r="I2768" s="32">
        <f>IF(G2768="",0,IF(COUNTIF($G$2:G2768,G2768)=1,1,0))</f>
        <v>0</v>
      </c>
      <c r="J2768" s="32">
        <f>IF(H2768="",0,IF(COUNTIF($H$2:H2768,H2768)=1,1,0))</f>
        <v>0</v>
      </c>
    </row>
    <row r="2769" spans="1:10" ht="14.25" hidden="1" customHeight="1" x14ac:dyDescent="0.35">
      <c r="A2769" s="30"/>
      <c r="E2769" s="31"/>
      <c r="G2769" s="32" t="str">
        <f t="shared" si="86"/>
        <v>|||1900|</v>
      </c>
      <c r="H2769" s="32" t="str">
        <f t="shared" si="87"/>
        <v>||1900|</v>
      </c>
      <c r="I2769" s="32">
        <f>IF(G2769="",0,IF(COUNTIF($G$2:G2769,G2769)=1,1,0))</f>
        <v>0</v>
      </c>
      <c r="J2769" s="32">
        <f>IF(H2769="",0,IF(COUNTIF($H$2:H2769,H2769)=1,1,0))</f>
        <v>0</v>
      </c>
    </row>
    <row r="2770" spans="1:10" ht="14.25" hidden="1" customHeight="1" x14ac:dyDescent="0.35">
      <c r="A2770" s="30"/>
      <c r="E2770" s="31"/>
      <c r="G2770" s="32" t="str">
        <f t="shared" si="86"/>
        <v>|||1900|</v>
      </c>
      <c r="H2770" s="32" t="str">
        <f t="shared" si="87"/>
        <v>||1900|</v>
      </c>
      <c r="I2770" s="32">
        <f>IF(G2770="",0,IF(COUNTIF($G$2:G2770,G2770)=1,1,0))</f>
        <v>0</v>
      </c>
      <c r="J2770" s="32">
        <f>IF(H2770="",0,IF(COUNTIF($H$2:H2770,H2770)=1,1,0))</f>
        <v>0</v>
      </c>
    </row>
    <row r="2771" spans="1:10" ht="14.25" hidden="1" customHeight="1" x14ac:dyDescent="0.35">
      <c r="A2771" s="30"/>
      <c r="E2771" s="31"/>
      <c r="G2771" s="32" t="str">
        <f t="shared" si="86"/>
        <v>|||1900|</v>
      </c>
      <c r="H2771" s="32" t="str">
        <f t="shared" si="87"/>
        <v>||1900|</v>
      </c>
      <c r="I2771" s="32">
        <f>IF(G2771="",0,IF(COUNTIF($G$2:G2771,G2771)=1,1,0))</f>
        <v>0</v>
      </c>
      <c r="J2771" s="32">
        <f>IF(H2771="",0,IF(COUNTIF($H$2:H2771,H2771)=1,1,0))</f>
        <v>0</v>
      </c>
    </row>
    <row r="2772" spans="1:10" ht="14.25" hidden="1" customHeight="1" x14ac:dyDescent="0.35">
      <c r="A2772" s="30"/>
      <c r="E2772" s="31"/>
      <c r="G2772" s="32" t="str">
        <f t="shared" si="86"/>
        <v>|||1900|</v>
      </c>
      <c r="H2772" s="32" t="str">
        <f t="shared" si="87"/>
        <v>||1900|</v>
      </c>
      <c r="I2772" s="32">
        <f>IF(G2772="",0,IF(COUNTIF($G$2:G2772,G2772)=1,1,0))</f>
        <v>0</v>
      </c>
      <c r="J2772" s="32">
        <f>IF(H2772="",0,IF(COUNTIF($H$2:H2772,H2772)=1,1,0))</f>
        <v>0</v>
      </c>
    </row>
    <row r="2773" spans="1:10" ht="14.25" hidden="1" customHeight="1" x14ac:dyDescent="0.35">
      <c r="A2773" s="30"/>
      <c r="E2773" s="31"/>
      <c r="G2773" s="32" t="str">
        <f t="shared" si="86"/>
        <v>|||1900|</v>
      </c>
      <c r="H2773" s="32" t="str">
        <f t="shared" si="87"/>
        <v>||1900|</v>
      </c>
      <c r="I2773" s="32">
        <f>IF(G2773="",0,IF(COUNTIF($G$2:G2773,G2773)=1,1,0))</f>
        <v>0</v>
      </c>
      <c r="J2773" s="32">
        <f>IF(H2773="",0,IF(COUNTIF($H$2:H2773,H2773)=1,1,0))</f>
        <v>0</v>
      </c>
    </row>
    <row r="2774" spans="1:10" ht="14.25" hidden="1" customHeight="1" x14ac:dyDescent="0.35">
      <c r="A2774" s="30"/>
      <c r="E2774" s="31"/>
      <c r="G2774" s="32" t="str">
        <f t="shared" si="86"/>
        <v>|||1900|</v>
      </c>
      <c r="H2774" s="32" t="str">
        <f t="shared" si="87"/>
        <v>||1900|</v>
      </c>
      <c r="I2774" s="32">
        <f>IF(G2774="",0,IF(COUNTIF($G$2:G2774,G2774)=1,1,0))</f>
        <v>0</v>
      </c>
      <c r="J2774" s="32">
        <f>IF(H2774="",0,IF(COUNTIF($H$2:H2774,H2774)=1,1,0))</f>
        <v>0</v>
      </c>
    </row>
    <row r="2775" spans="1:10" ht="14.25" hidden="1" customHeight="1" x14ac:dyDescent="0.35">
      <c r="A2775" s="30"/>
      <c r="E2775" s="31"/>
      <c r="G2775" s="32" t="str">
        <f t="shared" si="86"/>
        <v>|||1900|</v>
      </c>
      <c r="H2775" s="32" t="str">
        <f t="shared" si="87"/>
        <v>||1900|</v>
      </c>
      <c r="I2775" s="32">
        <f>IF(G2775="",0,IF(COUNTIF($G$2:G2775,G2775)=1,1,0))</f>
        <v>0</v>
      </c>
      <c r="J2775" s="32">
        <f>IF(H2775="",0,IF(COUNTIF($H$2:H2775,H2775)=1,1,0))</f>
        <v>0</v>
      </c>
    </row>
    <row r="2776" spans="1:10" ht="14.25" hidden="1" customHeight="1" x14ac:dyDescent="0.35">
      <c r="A2776" s="30"/>
      <c r="E2776" s="31"/>
      <c r="G2776" s="32" t="str">
        <f t="shared" si="86"/>
        <v>|||1900|</v>
      </c>
      <c r="H2776" s="32" t="str">
        <f t="shared" si="87"/>
        <v>||1900|</v>
      </c>
      <c r="I2776" s="32">
        <f>IF(G2776="",0,IF(COUNTIF($G$2:G2776,G2776)=1,1,0))</f>
        <v>0</v>
      </c>
      <c r="J2776" s="32">
        <f>IF(H2776="",0,IF(COUNTIF($H$2:H2776,H2776)=1,1,0))</f>
        <v>0</v>
      </c>
    </row>
    <row r="2777" spans="1:10" ht="14.25" hidden="1" customHeight="1" x14ac:dyDescent="0.35">
      <c r="A2777" s="30"/>
      <c r="E2777" s="31"/>
      <c r="G2777" s="32" t="str">
        <f t="shared" si="86"/>
        <v>|||1900|</v>
      </c>
      <c r="H2777" s="32" t="str">
        <f t="shared" si="87"/>
        <v>||1900|</v>
      </c>
      <c r="I2777" s="32">
        <f>IF(G2777="",0,IF(COUNTIF($G$2:G2777,G2777)=1,1,0))</f>
        <v>0</v>
      </c>
      <c r="J2777" s="32">
        <f>IF(H2777="",0,IF(COUNTIF($H$2:H2777,H2777)=1,1,0))</f>
        <v>0</v>
      </c>
    </row>
    <row r="2778" spans="1:10" ht="14.25" hidden="1" customHeight="1" x14ac:dyDescent="0.35">
      <c r="A2778" s="30"/>
      <c r="E2778" s="31"/>
      <c r="G2778" s="32" t="str">
        <f t="shared" si="86"/>
        <v>|||1900|</v>
      </c>
      <c r="H2778" s="32" t="str">
        <f t="shared" si="87"/>
        <v>||1900|</v>
      </c>
      <c r="I2778" s="32">
        <f>IF(G2778="",0,IF(COUNTIF($G$2:G2778,G2778)=1,1,0))</f>
        <v>0</v>
      </c>
      <c r="J2778" s="32">
        <f>IF(H2778="",0,IF(COUNTIF($H$2:H2778,H2778)=1,1,0))</f>
        <v>0</v>
      </c>
    </row>
    <row r="2779" spans="1:10" ht="14.25" hidden="1" customHeight="1" x14ac:dyDescent="0.35">
      <c r="A2779" s="30"/>
      <c r="E2779" s="31"/>
      <c r="G2779" s="32" t="str">
        <f t="shared" si="86"/>
        <v>|||1900|</v>
      </c>
      <c r="H2779" s="32" t="str">
        <f t="shared" si="87"/>
        <v>||1900|</v>
      </c>
      <c r="I2779" s="32">
        <f>IF(G2779="",0,IF(COUNTIF($G$2:G2779,G2779)=1,1,0))</f>
        <v>0</v>
      </c>
      <c r="J2779" s="32">
        <f>IF(H2779="",0,IF(COUNTIF($H$2:H2779,H2779)=1,1,0))</f>
        <v>0</v>
      </c>
    </row>
    <row r="2780" spans="1:10" ht="14.25" hidden="1" customHeight="1" x14ac:dyDescent="0.35">
      <c r="A2780" s="30"/>
      <c r="E2780" s="31"/>
      <c r="G2780" s="32" t="str">
        <f t="shared" si="86"/>
        <v>|||1900|</v>
      </c>
      <c r="H2780" s="32" t="str">
        <f t="shared" si="87"/>
        <v>||1900|</v>
      </c>
      <c r="I2780" s="32">
        <f>IF(G2780="",0,IF(COUNTIF($G$2:G2780,G2780)=1,1,0))</f>
        <v>0</v>
      </c>
      <c r="J2780" s="32">
        <f>IF(H2780="",0,IF(COUNTIF($H$2:H2780,H2780)=1,1,0))</f>
        <v>0</v>
      </c>
    </row>
    <row r="2781" spans="1:10" ht="14.25" hidden="1" customHeight="1" x14ac:dyDescent="0.35">
      <c r="A2781" s="30"/>
      <c r="E2781" s="31"/>
      <c r="G2781" s="32" t="str">
        <f t="shared" si="86"/>
        <v>|||1900|</v>
      </c>
      <c r="H2781" s="32" t="str">
        <f t="shared" si="87"/>
        <v>||1900|</v>
      </c>
      <c r="I2781" s="32">
        <f>IF(G2781="",0,IF(COUNTIF($G$2:G2781,G2781)=1,1,0))</f>
        <v>0</v>
      </c>
      <c r="J2781" s="32">
        <f>IF(H2781="",0,IF(COUNTIF($H$2:H2781,H2781)=1,1,0))</f>
        <v>0</v>
      </c>
    </row>
    <row r="2782" spans="1:10" ht="14.25" hidden="1" customHeight="1" x14ac:dyDescent="0.35">
      <c r="A2782" s="30"/>
      <c r="E2782" s="31"/>
      <c r="G2782" s="32" t="str">
        <f t="shared" si="86"/>
        <v>|||1900|</v>
      </c>
      <c r="H2782" s="32" t="str">
        <f t="shared" si="87"/>
        <v>||1900|</v>
      </c>
      <c r="I2782" s="32">
        <f>IF(G2782="",0,IF(COUNTIF($G$2:G2782,G2782)=1,1,0))</f>
        <v>0</v>
      </c>
      <c r="J2782" s="32">
        <f>IF(H2782="",0,IF(COUNTIF($H$2:H2782,H2782)=1,1,0))</f>
        <v>0</v>
      </c>
    </row>
    <row r="2783" spans="1:10" ht="14.25" hidden="1" customHeight="1" x14ac:dyDescent="0.35">
      <c r="A2783" s="30"/>
      <c r="E2783" s="31"/>
      <c r="G2783" s="32" t="str">
        <f t="shared" si="86"/>
        <v>|||1900|</v>
      </c>
      <c r="H2783" s="32" t="str">
        <f t="shared" si="87"/>
        <v>||1900|</v>
      </c>
      <c r="I2783" s="32">
        <f>IF(G2783="",0,IF(COUNTIF($G$2:G2783,G2783)=1,1,0))</f>
        <v>0</v>
      </c>
      <c r="J2783" s="32">
        <f>IF(H2783="",0,IF(COUNTIF($H$2:H2783,H2783)=1,1,0))</f>
        <v>0</v>
      </c>
    </row>
    <row r="2784" spans="1:10" ht="14.25" hidden="1" customHeight="1" x14ac:dyDescent="0.35">
      <c r="A2784" s="30"/>
      <c r="E2784" s="31"/>
      <c r="G2784" s="32" t="str">
        <f t="shared" si="86"/>
        <v>|||1900|</v>
      </c>
      <c r="H2784" s="32" t="str">
        <f t="shared" si="87"/>
        <v>||1900|</v>
      </c>
      <c r="I2784" s="32">
        <f>IF(G2784="",0,IF(COUNTIF($G$2:G2784,G2784)=1,1,0))</f>
        <v>0</v>
      </c>
      <c r="J2784" s="32">
        <f>IF(H2784="",0,IF(COUNTIF($H$2:H2784,H2784)=1,1,0))</f>
        <v>0</v>
      </c>
    </row>
    <row r="2785" spans="1:10" ht="14.25" hidden="1" customHeight="1" x14ac:dyDescent="0.35">
      <c r="A2785" s="30"/>
      <c r="E2785" s="31"/>
      <c r="G2785" s="32" t="str">
        <f t="shared" si="86"/>
        <v>|||1900|</v>
      </c>
      <c r="H2785" s="32" t="str">
        <f t="shared" si="87"/>
        <v>||1900|</v>
      </c>
      <c r="I2785" s="32">
        <f>IF(G2785="",0,IF(COUNTIF($G$2:G2785,G2785)=1,1,0))</f>
        <v>0</v>
      </c>
      <c r="J2785" s="32">
        <f>IF(H2785="",0,IF(COUNTIF($H$2:H2785,H2785)=1,1,0))</f>
        <v>0</v>
      </c>
    </row>
    <row r="2786" spans="1:10" ht="14.25" hidden="1" customHeight="1" x14ac:dyDescent="0.35">
      <c r="A2786" s="30"/>
      <c r="E2786" s="31"/>
      <c r="G2786" s="32" t="str">
        <f t="shared" si="86"/>
        <v>|||1900|</v>
      </c>
      <c r="H2786" s="32" t="str">
        <f t="shared" si="87"/>
        <v>||1900|</v>
      </c>
      <c r="I2786" s="32">
        <f>IF(G2786="",0,IF(COUNTIF($G$2:G2786,G2786)=1,1,0))</f>
        <v>0</v>
      </c>
      <c r="J2786" s="32">
        <f>IF(H2786="",0,IF(COUNTIF($H$2:H2786,H2786)=1,1,0))</f>
        <v>0</v>
      </c>
    </row>
    <row r="2787" spans="1:10" ht="14.25" hidden="1" customHeight="1" x14ac:dyDescent="0.35">
      <c r="A2787" s="30"/>
      <c r="E2787" s="31"/>
      <c r="G2787" s="32" t="str">
        <f t="shared" si="86"/>
        <v>|||1900|</v>
      </c>
      <c r="H2787" s="32" t="str">
        <f t="shared" si="87"/>
        <v>||1900|</v>
      </c>
      <c r="I2787" s="32">
        <f>IF(G2787="",0,IF(COUNTIF($G$2:G2787,G2787)=1,1,0))</f>
        <v>0</v>
      </c>
      <c r="J2787" s="32">
        <f>IF(H2787="",0,IF(COUNTIF($H$2:H2787,H2787)=1,1,0))</f>
        <v>0</v>
      </c>
    </row>
    <row r="2788" spans="1:10" ht="14.25" hidden="1" customHeight="1" x14ac:dyDescent="0.35">
      <c r="A2788" s="30"/>
      <c r="E2788" s="31"/>
      <c r="G2788" s="32" t="str">
        <f t="shared" si="86"/>
        <v>|||1900|</v>
      </c>
      <c r="H2788" s="32" t="str">
        <f t="shared" si="87"/>
        <v>||1900|</v>
      </c>
      <c r="I2788" s="32">
        <f>IF(G2788="",0,IF(COUNTIF($G$2:G2788,G2788)=1,1,0))</f>
        <v>0</v>
      </c>
      <c r="J2788" s="32">
        <f>IF(H2788="",0,IF(COUNTIF($H$2:H2788,H2788)=1,1,0))</f>
        <v>0</v>
      </c>
    </row>
    <row r="2789" spans="1:10" ht="14.25" hidden="1" customHeight="1" x14ac:dyDescent="0.35">
      <c r="A2789" s="30"/>
      <c r="E2789" s="31"/>
      <c r="G2789" s="32" t="str">
        <f t="shared" si="86"/>
        <v>|||1900|</v>
      </c>
      <c r="H2789" s="32" t="str">
        <f t="shared" si="87"/>
        <v>||1900|</v>
      </c>
      <c r="I2789" s="32">
        <f>IF(G2789="",0,IF(COUNTIF($G$2:G2789,G2789)=1,1,0))</f>
        <v>0</v>
      </c>
      <c r="J2789" s="32">
        <f>IF(H2789="",0,IF(COUNTIF($H$2:H2789,H2789)=1,1,0))</f>
        <v>0</v>
      </c>
    </row>
    <row r="2790" spans="1:10" ht="14.25" hidden="1" customHeight="1" x14ac:dyDescent="0.35">
      <c r="A2790" s="30"/>
      <c r="E2790" s="31"/>
      <c r="G2790" s="32" t="str">
        <f t="shared" si="86"/>
        <v>|||1900|</v>
      </c>
      <c r="H2790" s="32" t="str">
        <f t="shared" si="87"/>
        <v>||1900|</v>
      </c>
      <c r="I2790" s="32">
        <f>IF(G2790="",0,IF(COUNTIF($G$2:G2790,G2790)=1,1,0))</f>
        <v>0</v>
      </c>
      <c r="J2790" s="32">
        <f>IF(H2790="",0,IF(COUNTIF($H$2:H2790,H2790)=1,1,0))</f>
        <v>0</v>
      </c>
    </row>
    <row r="2791" spans="1:10" ht="14.25" hidden="1" customHeight="1" x14ac:dyDescent="0.35">
      <c r="A2791" s="30"/>
      <c r="E2791" s="31"/>
      <c r="G2791" s="32" t="str">
        <f t="shared" si="86"/>
        <v>|||1900|</v>
      </c>
      <c r="H2791" s="32" t="str">
        <f t="shared" si="87"/>
        <v>||1900|</v>
      </c>
      <c r="I2791" s="32">
        <f>IF(G2791="",0,IF(COUNTIF($G$2:G2791,G2791)=1,1,0))</f>
        <v>0</v>
      </c>
      <c r="J2791" s="32">
        <f>IF(H2791="",0,IF(COUNTIF($H$2:H2791,H2791)=1,1,0))</f>
        <v>0</v>
      </c>
    </row>
    <row r="2792" spans="1:10" ht="14.25" hidden="1" customHeight="1" x14ac:dyDescent="0.35">
      <c r="A2792" s="30"/>
      <c r="E2792" s="31"/>
      <c r="G2792" s="32" t="str">
        <f t="shared" si="86"/>
        <v>|||1900|</v>
      </c>
      <c r="H2792" s="32" t="str">
        <f t="shared" si="87"/>
        <v>||1900|</v>
      </c>
      <c r="I2792" s="32">
        <f>IF(G2792="",0,IF(COUNTIF($G$2:G2792,G2792)=1,1,0))</f>
        <v>0</v>
      </c>
      <c r="J2792" s="32">
        <f>IF(H2792="",0,IF(COUNTIF($H$2:H2792,H2792)=1,1,0))</f>
        <v>0</v>
      </c>
    </row>
    <row r="2793" spans="1:10" ht="14.25" hidden="1" customHeight="1" x14ac:dyDescent="0.35">
      <c r="A2793" s="30"/>
      <c r="E2793" s="31"/>
      <c r="G2793" s="32" t="str">
        <f t="shared" si="86"/>
        <v>|||1900|</v>
      </c>
      <c r="H2793" s="32" t="str">
        <f t="shared" si="87"/>
        <v>||1900|</v>
      </c>
      <c r="I2793" s="32">
        <f>IF(G2793="",0,IF(COUNTIF($G$2:G2793,G2793)=1,1,0))</f>
        <v>0</v>
      </c>
      <c r="J2793" s="32">
        <f>IF(H2793="",0,IF(COUNTIF($H$2:H2793,H2793)=1,1,0))</f>
        <v>0</v>
      </c>
    </row>
    <row r="2794" spans="1:10" ht="14.25" hidden="1" customHeight="1" x14ac:dyDescent="0.35">
      <c r="A2794" s="30"/>
      <c r="E2794" s="31"/>
      <c r="G2794" s="32" t="str">
        <f t="shared" si="86"/>
        <v>|||1900|</v>
      </c>
      <c r="H2794" s="32" t="str">
        <f t="shared" si="87"/>
        <v>||1900|</v>
      </c>
      <c r="I2794" s="32">
        <f>IF(G2794="",0,IF(COUNTIF($G$2:G2794,G2794)=1,1,0))</f>
        <v>0</v>
      </c>
      <c r="J2794" s="32">
        <f>IF(H2794="",0,IF(COUNTIF($H$2:H2794,H2794)=1,1,0))</f>
        <v>0</v>
      </c>
    </row>
    <row r="2795" spans="1:10" ht="14.25" hidden="1" customHeight="1" x14ac:dyDescent="0.35">
      <c r="A2795" s="30"/>
      <c r="E2795" s="31"/>
      <c r="G2795" s="32" t="str">
        <f t="shared" si="86"/>
        <v>|||1900|</v>
      </c>
      <c r="H2795" s="32" t="str">
        <f t="shared" si="87"/>
        <v>||1900|</v>
      </c>
      <c r="I2795" s="32">
        <f>IF(G2795="",0,IF(COUNTIF($G$2:G2795,G2795)=1,1,0))</f>
        <v>0</v>
      </c>
      <c r="J2795" s="32">
        <f>IF(H2795="",0,IF(COUNTIF($H$2:H2795,H2795)=1,1,0))</f>
        <v>0</v>
      </c>
    </row>
    <row r="2796" spans="1:10" ht="14.25" hidden="1" customHeight="1" x14ac:dyDescent="0.35">
      <c r="A2796" s="30"/>
      <c r="E2796" s="31"/>
      <c r="G2796" s="32" t="str">
        <f t="shared" si="86"/>
        <v>|||1900|</v>
      </c>
      <c r="H2796" s="32" t="str">
        <f t="shared" si="87"/>
        <v>||1900|</v>
      </c>
      <c r="I2796" s="32">
        <f>IF(G2796="",0,IF(COUNTIF($G$2:G2796,G2796)=1,1,0))</f>
        <v>0</v>
      </c>
      <c r="J2796" s="32">
        <f>IF(H2796="",0,IF(COUNTIF($H$2:H2796,H2796)=1,1,0))</f>
        <v>0</v>
      </c>
    </row>
    <row r="2797" spans="1:10" ht="14.25" hidden="1" customHeight="1" x14ac:dyDescent="0.35">
      <c r="A2797" s="30"/>
      <c r="E2797" s="31"/>
      <c r="G2797" s="32" t="str">
        <f t="shared" si="86"/>
        <v>|||1900|</v>
      </c>
      <c r="H2797" s="32" t="str">
        <f t="shared" si="87"/>
        <v>||1900|</v>
      </c>
      <c r="I2797" s="32">
        <f>IF(G2797="",0,IF(COUNTIF($G$2:G2797,G2797)=1,1,0))</f>
        <v>0</v>
      </c>
      <c r="J2797" s="32">
        <f>IF(H2797="",0,IF(COUNTIF($H$2:H2797,H2797)=1,1,0))</f>
        <v>0</v>
      </c>
    </row>
    <row r="2798" spans="1:10" ht="14.25" hidden="1" customHeight="1" x14ac:dyDescent="0.35">
      <c r="A2798" s="30"/>
      <c r="E2798" s="31"/>
      <c r="G2798" s="32" t="str">
        <f t="shared" si="86"/>
        <v>|||1900|</v>
      </c>
      <c r="H2798" s="32" t="str">
        <f t="shared" si="87"/>
        <v>||1900|</v>
      </c>
      <c r="I2798" s="32">
        <f>IF(G2798="",0,IF(COUNTIF($G$2:G2798,G2798)=1,1,0))</f>
        <v>0</v>
      </c>
      <c r="J2798" s="32">
        <f>IF(H2798="",0,IF(COUNTIF($H$2:H2798,H2798)=1,1,0))</f>
        <v>0</v>
      </c>
    </row>
    <row r="2799" spans="1:10" ht="14.25" hidden="1" customHeight="1" x14ac:dyDescent="0.35">
      <c r="A2799" s="30"/>
      <c r="E2799" s="31"/>
      <c r="G2799" s="32" t="str">
        <f t="shared" si="86"/>
        <v>|||1900|</v>
      </c>
      <c r="H2799" s="32" t="str">
        <f t="shared" si="87"/>
        <v>||1900|</v>
      </c>
      <c r="I2799" s="32">
        <f>IF(G2799="",0,IF(COUNTIF($G$2:G2799,G2799)=1,1,0))</f>
        <v>0</v>
      </c>
      <c r="J2799" s="32">
        <f>IF(H2799="",0,IF(COUNTIF($H$2:H2799,H2799)=1,1,0))</f>
        <v>0</v>
      </c>
    </row>
    <row r="2800" spans="1:10" ht="14.25" hidden="1" customHeight="1" x14ac:dyDescent="0.35">
      <c r="A2800" s="30"/>
      <c r="E2800" s="31"/>
      <c r="G2800" s="32" t="str">
        <f t="shared" si="86"/>
        <v>|||1900|</v>
      </c>
      <c r="H2800" s="32" t="str">
        <f t="shared" si="87"/>
        <v>||1900|</v>
      </c>
      <c r="I2800" s="32">
        <f>IF(G2800="",0,IF(COUNTIF($G$2:G2800,G2800)=1,1,0))</f>
        <v>0</v>
      </c>
      <c r="J2800" s="32">
        <f>IF(H2800="",0,IF(COUNTIF($H$2:H2800,H2800)=1,1,0))</f>
        <v>0</v>
      </c>
    </row>
    <row r="2801" spans="1:10" ht="14.25" hidden="1" customHeight="1" x14ac:dyDescent="0.35">
      <c r="A2801" s="30"/>
      <c r="E2801" s="31"/>
      <c r="G2801" s="32" t="str">
        <f t="shared" si="86"/>
        <v>|||1900|</v>
      </c>
      <c r="H2801" s="32" t="str">
        <f t="shared" si="87"/>
        <v>||1900|</v>
      </c>
      <c r="I2801" s="32">
        <f>IF(G2801="",0,IF(COUNTIF($G$2:G2801,G2801)=1,1,0))</f>
        <v>0</v>
      </c>
      <c r="J2801" s="32">
        <f>IF(H2801="",0,IF(COUNTIF($H$2:H2801,H2801)=1,1,0))</f>
        <v>0</v>
      </c>
    </row>
    <row r="2802" spans="1:10" ht="14.25" hidden="1" customHeight="1" x14ac:dyDescent="0.35">
      <c r="A2802" s="30"/>
      <c r="E2802" s="31"/>
      <c r="G2802" s="32" t="str">
        <f t="shared" si="86"/>
        <v>|||1900|</v>
      </c>
      <c r="H2802" s="32" t="str">
        <f t="shared" si="87"/>
        <v>||1900|</v>
      </c>
      <c r="I2802" s="32">
        <f>IF(G2802="",0,IF(COUNTIF($G$2:G2802,G2802)=1,1,0))</f>
        <v>0</v>
      </c>
      <c r="J2802" s="32">
        <f>IF(H2802="",0,IF(COUNTIF($H$2:H2802,H2802)=1,1,0))</f>
        <v>0</v>
      </c>
    </row>
    <row r="2803" spans="1:10" ht="14.25" hidden="1" customHeight="1" x14ac:dyDescent="0.35">
      <c r="A2803" s="30"/>
      <c r="E2803" s="31"/>
      <c r="G2803" s="32" t="str">
        <f t="shared" si="86"/>
        <v>|||1900|</v>
      </c>
      <c r="H2803" s="32" t="str">
        <f t="shared" si="87"/>
        <v>||1900|</v>
      </c>
      <c r="I2803" s="32">
        <f>IF(G2803="",0,IF(COUNTIF($G$2:G2803,G2803)=1,1,0))</f>
        <v>0</v>
      </c>
      <c r="J2803" s="32">
        <f>IF(H2803="",0,IF(COUNTIF($H$2:H2803,H2803)=1,1,0))</f>
        <v>0</v>
      </c>
    </row>
    <row r="2804" spans="1:10" ht="14.25" hidden="1" customHeight="1" x14ac:dyDescent="0.35">
      <c r="A2804" s="30"/>
      <c r="E2804" s="31"/>
      <c r="G2804" s="32" t="str">
        <f t="shared" si="86"/>
        <v>|||1900|</v>
      </c>
      <c r="H2804" s="32" t="str">
        <f t="shared" si="87"/>
        <v>||1900|</v>
      </c>
      <c r="I2804" s="32">
        <f>IF(G2804="",0,IF(COUNTIF($G$2:G2804,G2804)=1,1,0))</f>
        <v>0</v>
      </c>
      <c r="J2804" s="32">
        <f>IF(H2804="",0,IF(COUNTIF($H$2:H2804,H2804)=1,1,0))</f>
        <v>0</v>
      </c>
    </row>
    <row r="2805" spans="1:10" ht="14.25" hidden="1" customHeight="1" x14ac:dyDescent="0.35">
      <c r="A2805" s="30"/>
      <c r="E2805" s="31"/>
      <c r="G2805" s="32" t="str">
        <f t="shared" si="86"/>
        <v>|||1900|</v>
      </c>
      <c r="H2805" s="32" t="str">
        <f t="shared" si="87"/>
        <v>||1900|</v>
      </c>
      <c r="I2805" s="32">
        <f>IF(G2805="",0,IF(COUNTIF($G$2:G2805,G2805)=1,1,0))</f>
        <v>0</v>
      </c>
      <c r="J2805" s="32">
        <f>IF(H2805="",0,IF(COUNTIF($H$2:H2805,H2805)=1,1,0))</f>
        <v>0</v>
      </c>
    </row>
    <row r="2806" spans="1:10" ht="14.25" hidden="1" customHeight="1" x14ac:dyDescent="0.35">
      <c r="A2806" s="30"/>
      <c r="E2806" s="31"/>
      <c r="G2806" s="32" t="str">
        <f t="shared" si="86"/>
        <v>|||1900|</v>
      </c>
      <c r="H2806" s="32" t="str">
        <f t="shared" si="87"/>
        <v>||1900|</v>
      </c>
      <c r="I2806" s="32">
        <f>IF(G2806="",0,IF(COUNTIF($G$2:G2806,G2806)=1,1,0))</f>
        <v>0</v>
      </c>
      <c r="J2806" s="32">
        <f>IF(H2806="",0,IF(COUNTIF($H$2:H2806,H2806)=1,1,0))</f>
        <v>0</v>
      </c>
    </row>
    <row r="2807" spans="1:10" ht="14.25" hidden="1" customHeight="1" x14ac:dyDescent="0.35">
      <c r="A2807" s="30"/>
      <c r="E2807" s="31"/>
      <c r="G2807" s="32" t="str">
        <f t="shared" si="86"/>
        <v>|||1900|</v>
      </c>
      <c r="H2807" s="32" t="str">
        <f t="shared" si="87"/>
        <v>||1900|</v>
      </c>
      <c r="I2807" s="32">
        <f>IF(G2807="",0,IF(COUNTIF($G$2:G2807,G2807)=1,1,0))</f>
        <v>0</v>
      </c>
      <c r="J2807" s="32">
        <f>IF(H2807="",0,IF(COUNTIF($H$2:H2807,H2807)=1,1,0))</f>
        <v>0</v>
      </c>
    </row>
    <row r="2808" spans="1:10" ht="14.25" hidden="1" customHeight="1" x14ac:dyDescent="0.35">
      <c r="A2808" s="30"/>
      <c r="E2808" s="31"/>
      <c r="G2808" s="32" t="str">
        <f t="shared" si="86"/>
        <v>|||1900|</v>
      </c>
      <c r="H2808" s="32" t="str">
        <f t="shared" si="87"/>
        <v>||1900|</v>
      </c>
      <c r="I2808" s="32">
        <f>IF(G2808="",0,IF(COUNTIF($G$2:G2808,G2808)=1,1,0))</f>
        <v>0</v>
      </c>
      <c r="J2808" s="32">
        <f>IF(H2808="",0,IF(COUNTIF($H$2:H2808,H2808)=1,1,0))</f>
        <v>0</v>
      </c>
    </row>
    <row r="2809" spans="1:10" ht="14.25" hidden="1" customHeight="1" x14ac:dyDescent="0.35">
      <c r="A2809" s="30"/>
      <c r="E2809" s="31"/>
      <c r="G2809" s="32" t="str">
        <f t="shared" si="86"/>
        <v>|||1900|</v>
      </c>
      <c r="H2809" s="32" t="str">
        <f t="shared" si="87"/>
        <v>||1900|</v>
      </c>
      <c r="I2809" s="32">
        <f>IF(G2809="",0,IF(COUNTIF($G$2:G2809,G2809)=1,1,0))</f>
        <v>0</v>
      </c>
      <c r="J2809" s="32">
        <f>IF(H2809="",0,IF(COUNTIF($H$2:H2809,H2809)=1,1,0))</f>
        <v>0</v>
      </c>
    </row>
    <row r="2810" spans="1:10" ht="14.25" hidden="1" customHeight="1" x14ac:dyDescent="0.35">
      <c r="A2810" s="30"/>
      <c r="E2810" s="31"/>
      <c r="G2810" s="32" t="str">
        <f t="shared" si="86"/>
        <v>|||1900|</v>
      </c>
      <c r="H2810" s="32" t="str">
        <f t="shared" si="87"/>
        <v>||1900|</v>
      </c>
      <c r="I2810" s="32">
        <f>IF(G2810="",0,IF(COUNTIF($G$2:G2810,G2810)=1,1,0))</f>
        <v>0</v>
      </c>
      <c r="J2810" s="32">
        <f>IF(H2810="",0,IF(COUNTIF($H$2:H2810,H2810)=1,1,0))</f>
        <v>0</v>
      </c>
    </row>
    <row r="2811" spans="1:10" ht="14.25" hidden="1" customHeight="1" x14ac:dyDescent="0.35">
      <c r="A2811" s="30"/>
      <c r="E2811" s="31"/>
      <c r="G2811" s="32" t="str">
        <f t="shared" si="86"/>
        <v>|||1900|</v>
      </c>
      <c r="H2811" s="32" t="str">
        <f t="shared" si="87"/>
        <v>||1900|</v>
      </c>
      <c r="I2811" s="32">
        <f>IF(G2811="",0,IF(COUNTIF($G$2:G2811,G2811)=1,1,0))</f>
        <v>0</v>
      </c>
      <c r="J2811" s="32">
        <f>IF(H2811="",0,IF(COUNTIF($H$2:H2811,H2811)=1,1,0))</f>
        <v>0</v>
      </c>
    </row>
    <row r="2812" spans="1:10" ht="14.25" hidden="1" customHeight="1" x14ac:dyDescent="0.35">
      <c r="A2812" s="30"/>
      <c r="E2812" s="31"/>
      <c r="G2812" s="32" t="str">
        <f t="shared" si="86"/>
        <v>|||1900|</v>
      </c>
      <c r="H2812" s="32" t="str">
        <f t="shared" si="87"/>
        <v>||1900|</v>
      </c>
      <c r="I2812" s="32">
        <f>IF(G2812="",0,IF(COUNTIF($G$2:G2812,G2812)=1,1,0))</f>
        <v>0</v>
      </c>
      <c r="J2812" s="32">
        <f>IF(H2812="",0,IF(COUNTIF($H$2:H2812,H2812)=1,1,0))</f>
        <v>0</v>
      </c>
    </row>
    <row r="2813" spans="1:10" ht="14.25" hidden="1" customHeight="1" x14ac:dyDescent="0.35">
      <c r="A2813" s="30"/>
      <c r="E2813" s="31"/>
      <c r="G2813" s="32" t="str">
        <f t="shared" si="86"/>
        <v>|||1900|</v>
      </c>
      <c r="H2813" s="32" t="str">
        <f t="shared" si="87"/>
        <v>||1900|</v>
      </c>
      <c r="I2813" s="32">
        <f>IF(G2813="",0,IF(COUNTIF($G$2:G2813,G2813)=1,1,0))</f>
        <v>0</v>
      </c>
      <c r="J2813" s="32">
        <f>IF(H2813="",0,IF(COUNTIF($H$2:H2813,H2813)=1,1,0))</f>
        <v>0</v>
      </c>
    </row>
    <row r="2814" spans="1:10" ht="14.25" hidden="1" customHeight="1" x14ac:dyDescent="0.35">
      <c r="A2814" s="30"/>
      <c r="E2814" s="31"/>
      <c r="G2814" s="32" t="str">
        <f t="shared" si="86"/>
        <v>|||1900|</v>
      </c>
      <c r="H2814" s="32" t="str">
        <f t="shared" si="87"/>
        <v>||1900|</v>
      </c>
      <c r="I2814" s="32">
        <f>IF(G2814="",0,IF(COUNTIF($G$2:G2814,G2814)=1,1,0))</f>
        <v>0</v>
      </c>
      <c r="J2814" s="32">
        <f>IF(H2814="",0,IF(COUNTIF($H$2:H2814,H2814)=1,1,0))</f>
        <v>0</v>
      </c>
    </row>
    <row r="2815" spans="1:10" ht="14.25" hidden="1" customHeight="1" x14ac:dyDescent="0.35">
      <c r="A2815" s="30"/>
      <c r="E2815" s="31"/>
      <c r="G2815" s="32" t="str">
        <f t="shared" si="86"/>
        <v>|||1900|</v>
      </c>
      <c r="H2815" s="32" t="str">
        <f t="shared" si="87"/>
        <v>||1900|</v>
      </c>
      <c r="I2815" s="32">
        <f>IF(G2815="",0,IF(COUNTIF($G$2:G2815,G2815)=1,1,0))</f>
        <v>0</v>
      </c>
      <c r="J2815" s="32">
        <f>IF(H2815="",0,IF(COUNTIF($H$2:H2815,H2815)=1,1,0))</f>
        <v>0</v>
      </c>
    </row>
    <row r="2816" spans="1:10" ht="14.25" hidden="1" customHeight="1" x14ac:dyDescent="0.35">
      <c r="A2816" s="30"/>
      <c r="E2816" s="31"/>
      <c r="G2816" s="32" t="str">
        <f t="shared" si="86"/>
        <v>|||1900|</v>
      </c>
      <c r="H2816" s="32" t="str">
        <f t="shared" si="87"/>
        <v>||1900|</v>
      </c>
      <c r="I2816" s="32">
        <f>IF(G2816="",0,IF(COUNTIF($G$2:G2816,G2816)=1,1,0))</f>
        <v>0</v>
      </c>
      <c r="J2816" s="32">
        <f>IF(H2816="",0,IF(COUNTIF($H$2:H2816,H2816)=1,1,0))</f>
        <v>0</v>
      </c>
    </row>
    <row r="2817" spans="1:10" ht="14.25" hidden="1" customHeight="1" x14ac:dyDescent="0.35">
      <c r="A2817" s="30"/>
      <c r="E2817" s="31"/>
      <c r="G2817" s="32" t="str">
        <f t="shared" si="86"/>
        <v>|||1900|</v>
      </c>
      <c r="H2817" s="32" t="str">
        <f t="shared" si="87"/>
        <v>||1900|</v>
      </c>
      <c r="I2817" s="32">
        <f>IF(G2817="",0,IF(COUNTIF($G$2:G2817,G2817)=1,1,0))</f>
        <v>0</v>
      </c>
      <c r="J2817" s="32">
        <f>IF(H2817="",0,IF(COUNTIF($H$2:H2817,H2817)=1,1,0))</f>
        <v>0</v>
      </c>
    </row>
    <row r="2818" spans="1:10" ht="14.25" hidden="1" customHeight="1" x14ac:dyDescent="0.35">
      <c r="A2818" s="30"/>
      <c r="E2818" s="31"/>
      <c r="G2818" s="32" t="str">
        <f t="shared" ref="G2818:G2881" si="88">IF(D2818="T",
E2818&amp;"|"&amp;F2818,
A2818&amp;"|"&amp;B2818&amp;"|"&amp;C2818&amp;"|"&amp;YEAR(E2818)&amp;"|"&amp;F2818)</f>
        <v>|||1900|</v>
      </c>
      <c r="H2818" s="32" t="str">
        <f t="shared" ref="H2818:H2881" si="89">A2818&amp;"|"&amp;C2818&amp;"|"&amp;YEAR(E2818)&amp;"|"&amp;F2818</f>
        <v>||1900|</v>
      </c>
      <c r="I2818" s="32">
        <f>IF(G2818="",0,IF(COUNTIF($G$2:G2818,G2818)=1,1,0))</f>
        <v>0</v>
      </c>
      <c r="J2818" s="32">
        <f>IF(H2818="",0,IF(COUNTIF($H$2:H2818,H2818)=1,1,0))</f>
        <v>0</v>
      </c>
    </row>
    <row r="2819" spans="1:10" ht="14.25" hidden="1" customHeight="1" x14ac:dyDescent="0.35">
      <c r="A2819" s="30"/>
      <c r="E2819" s="31"/>
      <c r="G2819" s="32" t="str">
        <f t="shared" si="88"/>
        <v>|||1900|</v>
      </c>
      <c r="H2819" s="32" t="str">
        <f t="shared" si="89"/>
        <v>||1900|</v>
      </c>
      <c r="I2819" s="32">
        <f>IF(G2819="",0,IF(COUNTIF($G$2:G2819,G2819)=1,1,0))</f>
        <v>0</v>
      </c>
      <c r="J2819" s="32">
        <f>IF(H2819="",0,IF(COUNTIF($H$2:H2819,H2819)=1,1,0))</f>
        <v>0</v>
      </c>
    </row>
    <row r="2820" spans="1:10" ht="14.25" hidden="1" customHeight="1" x14ac:dyDescent="0.35">
      <c r="A2820" s="30"/>
      <c r="E2820" s="31"/>
      <c r="G2820" s="32" t="str">
        <f t="shared" si="88"/>
        <v>|||1900|</v>
      </c>
      <c r="H2820" s="32" t="str">
        <f t="shared" si="89"/>
        <v>||1900|</v>
      </c>
      <c r="I2820" s="32">
        <f>IF(G2820="",0,IF(COUNTIF($G$2:G2820,G2820)=1,1,0))</f>
        <v>0</v>
      </c>
      <c r="J2820" s="32">
        <f>IF(H2820="",0,IF(COUNTIF($H$2:H2820,H2820)=1,1,0))</f>
        <v>0</v>
      </c>
    </row>
    <row r="2821" spans="1:10" ht="14.25" hidden="1" customHeight="1" x14ac:dyDescent="0.35">
      <c r="A2821" s="30"/>
      <c r="E2821" s="31"/>
      <c r="G2821" s="32" t="str">
        <f t="shared" si="88"/>
        <v>|||1900|</v>
      </c>
      <c r="H2821" s="32" t="str">
        <f t="shared" si="89"/>
        <v>||1900|</v>
      </c>
      <c r="I2821" s="32">
        <f>IF(G2821="",0,IF(COUNTIF($G$2:G2821,G2821)=1,1,0))</f>
        <v>0</v>
      </c>
      <c r="J2821" s="32">
        <f>IF(H2821="",0,IF(COUNTIF($H$2:H2821,H2821)=1,1,0))</f>
        <v>0</v>
      </c>
    </row>
    <row r="2822" spans="1:10" ht="14.25" hidden="1" customHeight="1" x14ac:dyDescent="0.35">
      <c r="A2822" s="30"/>
      <c r="E2822" s="31"/>
      <c r="G2822" s="32" t="str">
        <f t="shared" si="88"/>
        <v>|||1900|</v>
      </c>
      <c r="H2822" s="32" t="str">
        <f t="shared" si="89"/>
        <v>||1900|</v>
      </c>
      <c r="I2822" s="32">
        <f>IF(G2822="",0,IF(COUNTIF($G$2:G2822,G2822)=1,1,0))</f>
        <v>0</v>
      </c>
      <c r="J2822" s="32">
        <f>IF(H2822="",0,IF(COUNTIF($H$2:H2822,H2822)=1,1,0))</f>
        <v>0</v>
      </c>
    </row>
    <row r="2823" spans="1:10" ht="14.25" hidden="1" customHeight="1" x14ac:dyDescent="0.35">
      <c r="A2823" s="30"/>
      <c r="E2823" s="31"/>
      <c r="G2823" s="32" t="str">
        <f t="shared" si="88"/>
        <v>|||1900|</v>
      </c>
      <c r="H2823" s="32" t="str">
        <f t="shared" si="89"/>
        <v>||1900|</v>
      </c>
      <c r="I2823" s="32">
        <f>IF(G2823="",0,IF(COUNTIF($G$2:G2823,G2823)=1,1,0))</f>
        <v>0</v>
      </c>
      <c r="J2823" s="32">
        <f>IF(H2823="",0,IF(COUNTIF($H$2:H2823,H2823)=1,1,0))</f>
        <v>0</v>
      </c>
    </row>
    <row r="2824" spans="1:10" ht="14.25" hidden="1" customHeight="1" x14ac:dyDescent="0.35">
      <c r="A2824" s="30"/>
      <c r="E2824" s="31"/>
      <c r="G2824" s="32" t="str">
        <f t="shared" si="88"/>
        <v>|||1900|</v>
      </c>
      <c r="H2824" s="32" t="str">
        <f t="shared" si="89"/>
        <v>||1900|</v>
      </c>
      <c r="I2824" s="32">
        <f>IF(G2824="",0,IF(COUNTIF($G$2:G2824,G2824)=1,1,0))</f>
        <v>0</v>
      </c>
      <c r="J2824" s="32">
        <f>IF(H2824="",0,IF(COUNTIF($H$2:H2824,H2824)=1,1,0))</f>
        <v>0</v>
      </c>
    </row>
    <row r="2825" spans="1:10" ht="14.25" hidden="1" customHeight="1" x14ac:dyDescent="0.35">
      <c r="A2825" s="30"/>
      <c r="E2825" s="31"/>
      <c r="G2825" s="32" t="str">
        <f t="shared" si="88"/>
        <v>|||1900|</v>
      </c>
      <c r="H2825" s="32" t="str">
        <f t="shared" si="89"/>
        <v>||1900|</v>
      </c>
      <c r="I2825" s="32">
        <f>IF(G2825="",0,IF(COUNTIF($G$2:G2825,G2825)=1,1,0))</f>
        <v>0</v>
      </c>
      <c r="J2825" s="32">
        <f>IF(H2825="",0,IF(COUNTIF($H$2:H2825,H2825)=1,1,0))</f>
        <v>0</v>
      </c>
    </row>
    <row r="2826" spans="1:10" ht="14.25" hidden="1" customHeight="1" x14ac:dyDescent="0.35">
      <c r="A2826" s="30"/>
      <c r="E2826" s="31"/>
      <c r="G2826" s="32" t="str">
        <f t="shared" si="88"/>
        <v>|||1900|</v>
      </c>
      <c r="H2826" s="32" t="str">
        <f t="shared" si="89"/>
        <v>||1900|</v>
      </c>
      <c r="I2826" s="32">
        <f>IF(G2826="",0,IF(COUNTIF($G$2:G2826,G2826)=1,1,0))</f>
        <v>0</v>
      </c>
      <c r="J2826" s="32">
        <f>IF(H2826="",0,IF(COUNTIF($H$2:H2826,H2826)=1,1,0))</f>
        <v>0</v>
      </c>
    </row>
    <row r="2827" spans="1:10" ht="14.25" hidden="1" customHeight="1" x14ac:dyDescent="0.35">
      <c r="A2827" s="30"/>
      <c r="E2827" s="31"/>
      <c r="G2827" s="32" t="str">
        <f t="shared" si="88"/>
        <v>|||1900|</v>
      </c>
      <c r="H2827" s="32" t="str">
        <f t="shared" si="89"/>
        <v>||1900|</v>
      </c>
      <c r="I2827" s="32">
        <f>IF(G2827="",0,IF(COUNTIF($G$2:G2827,G2827)=1,1,0))</f>
        <v>0</v>
      </c>
      <c r="J2827" s="32">
        <f>IF(H2827="",0,IF(COUNTIF($H$2:H2827,H2827)=1,1,0))</f>
        <v>0</v>
      </c>
    </row>
    <row r="2828" spans="1:10" ht="14.25" hidden="1" customHeight="1" x14ac:dyDescent="0.35">
      <c r="A2828" s="30"/>
      <c r="E2828" s="31"/>
      <c r="G2828" s="32" t="str">
        <f t="shared" si="88"/>
        <v>|||1900|</v>
      </c>
      <c r="H2828" s="32" t="str">
        <f t="shared" si="89"/>
        <v>||1900|</v>
      </c>
      <c r="I2828" s="32">
        <f>IF(G2828="",0,IF(COUNTIF($G$2:G2828,G2828)=1,1,0))</f>
        <v>0</v>
      </c>
      <c r="J2828" s="32">
        <f>IF(H2828="",0,IF(COUNTIF($H$2:H2828,H2828)=1,1,0))</f>
        <v>0</v>
      </c>
    </row>
    <row r="2829" spans="1:10" ht="14.25" hidden="1" customHeight="1" x14ac:dyDescent="0.35">
      <c r="A2829" s="30"/>
      <c r="E2829" s="31"/>
      <c r="G2829" s="32" t="str">
        <f t="shared" si="88"/>
        <v>|||1900|</v>
      </c>
      <c r="H2829" s="32" t="str">
        <f t="shared" si="89"/>
        <v>||1900|</v>
      </c>
      <c r="I2829" s="32">
        <f>IF(G2829="",0,IF(COUNTIF($G$2:G2829,G2829)=1,1,0))</f>
        <v>0</v>
      </c>
      <c r="J2829" s="32">
        <f>IF(H2829="",0,IF(COUNTIF($H$2:H2829,H2829)=1,1,0))</f>
        <v>0</v>
      </c>
    </row>
    <row r="2830" spans="1:10" ht="14.25" hidden="1" customHeight="1" x14ac:dyDescent="0.35">
      <c r="A2830" s="30"/>
      <c r="E2830" s="31"/>
      <c r="G2830" s="32" t="str">
        <f t="shared" si="88"/>
        <v>|||1900|</v>
      </c>
      <c r="H2830" s="32" t="str">
        <f t="shared" si="89"/>
        <v>||1900|</v>
      </c>
      <c r="I2830" s="32">
        <f>IF(G2830="",0,IF(COUNTIF($G$2:G2830,G2830)=1,1,0))</f>
        <v>0</v>
      </c>
      <c r="J2830" s="32">
        <f>IF(H2830="",0,IF(COUNTIF($H$2:H2830,H2830)=1,1,0))</f>
        <v>0</v>
      </c>
    </row>
    <row r="2831" spans="1:10" ht="14.25" hidden="1" customHeight="1" x14ac:dyDescent="0.35">
      <c r="A2831" s="30"/>
      <c r="E2831" s="31"/>
      <c r="G2831" s="32" t="str">
        <f t="shared" si="88"/>
        <v>|||1900|</v>
      </c>
      <c r="H2831" s="32" t="str">
        <f t="shared" si="89"/>
        <v>||1900|</v>
      </c>
      <c r="I2831" s="32">
        <f>IF(G2831="",0,IF(COUNTIF($G$2:G2831,G2831)=1,1,0))</f>
        <v>0</v>
      </c>
      <c r="J2831" s="32">
        <f>IF(H2831="",0,IF(COUNTIF($H$2:H2831,H2831)=1,1,0))</f>
        <v>0</v>
      </c>
    </row>
    <row r="2832" spans="1:10" ht="14.25" hidden="1" customHeight="1" x14ac:dyDescent="0.35">
      <c r="A2832" s="30"/>
      <c r="E2832" s="31"/>
      <c r="G2832" s="32" t="str">
        <f t="shared" si="88"/>
        <v>|||1900|</v>
      </c>
      <c r="H2832" s="32" t="str">
        <f t="shared" si="89"/>
        <v>||1900|</v>
      </c>
      <c r="I2832" s="32">
        <f>IF(G2832="",0,IF(COUNTIF($G$2:G2832,G2832)=1,1,0))</f>
        <v>0</v>
      </c>
      <c r="J2832" s="32">
        <f>IF(H2832="",0,IF(COUNTIF($H$2:H2832,H2832)=1,1,0))</f>
        <v>0</v>
      </c>
    </row>
    <row r="2833" spans="1:10" ht="14.25" hidden="1" customHeight="1" x14ac:dyDescent="0.35">
      <c r="A2833" s="30"/>
      <c r="E2833" s="31"/>
      <c r="G2833" s="32" t="str">
        <f t="shared" si="88"/>
        <v>|||1900|</v>
      </c>
      <c r="H2833" s="32" t="str">
        <f t="shared" si="89"/>
        <v>||1900|</v>
      </c>
      <c r="I2833" s="32">
        <f>IF(G2833="",0,IF(COUNTIF($G$2:G2833,G2833)=1,1,0))</f>
        <v>0</v>
      </c>
      <c r="J2833" s="32">
        <f>IF(H2833="",0,IF(COUNTIF($H$2:H2833,H2833)=1,1,0))</f>
        <v>0</v>
      </c>
    </row>
    <row r="2834" spans="1:10" ht="14.25" hidden="1" customHeight="1" x14ac:dyDescent="0.35">
      <c r="A2834" s="30"/>
      <c r="E2834" s="31"/>
      <c r="G2834" s="32" t="str">
        <f t="shared" si="88"/>
        <v>|||1900|</v>
      </c>
      <c r="H2834" s="32" t="str">
        <f t="shared" si="89"/>
        <v>||1900|</v>
      </c>
      <c r="I2834" s="32">
        <f>IF(G2834="",0,IF(COUNTIF($G$2:G2834,G2834)=1,1,0))</f>
        <v>0</v>
      </c>
      <c r="J2834" s="32">
        <f>IF(H2834="",0,IF(COUNTIF($H$2:H2834,H2834)=1,1,0))</f>
        <v>0</v>
      </c>
    </row>
    <row r="2835" spans="1:10" ht="14.25" hidden="1" customHeight="1" x14ac:dyDescent="0.35">
      <c r="A2835" s="30"/>
      <c r="E2835" s="31"/>
      <c r="G2835" s="32" t="str">
        <f t="shared" si="88"/>
        <v>|||1900|</v>
      </c>
      <c r="H2835" s="32" t="str">
        <f t="shared" si="89"/>
        <v>||1900|</v>
      </c>
      <c r="I2835" s="32">
        <f>IF(G2835="",0,IF(COUNTIF($G$2:G2835,G2835)=1,1,0))</f>
        <v>0</v>
      </c>
      <c r="J2835" s="32">
        <f>IF(H2835="",0,IF(COUNTIF($H$2:H2835,H2835)=1,1,0))</f>
        <v>0</v>
      </c>
    </row>
    <row r="2836" spans="1:10" ht="14.25" hidden="1" customHeight="1" x14ac:dyDescent="0.35">
      <c r="A2836" s="30"/>
      <c r="E2836" s="31"/>
      <c r="G2836" s="32" t="str">
        <f t="shared" si="88"/>
        <v>|||1900|</v>
      </c>
      <c r="H2836" s="32" t="str">
        <f t="shared" si="89"/>
        <v>||1900|</v>
      </c>
      <c r="I2836" s="32">
        <f>IF(G2836="",0,IF(COUNTIF($G$2:G2836,G2836)=1,1,0))</f>
        <v>0</v>
      </c>
      <c r="J2836" s="32">
        <f>IF(H2836="",0,IF(COUNTIF($H$2:H2836,H2836)=1,1,0))</f>
        <v>0</v>
      </c>
    </row>
    <row r="2837" spans="1:10" ht="14.25" hidden="1" customHeight="1" x14ac:dyDescent="0.35">
      <c r="A2837" s="30"/>
      <c r="E2837" s="31"/>
      <c r="G2837" s="32" t="str">
        <f t="shared" si="88"/>
        <v>|||1900|</v>
      </c>
      <c r="H2837" s="32" t="str">
        <f t="shared" si="89"/>
        <v>||1900|</v>
      </c>
      <c r="I2837" s="32">
        <f>IF(G2837="",0,IF(COUNTIF($G$2:G2837,G2837)=1,1,0))</f>
        <v>0</v>
      </c>
      <c r="J2837" s="32">
        <f>IF(H2837="",0,IF(COUNTIF($H$2:H2837,H2837)=1,1,0))</f>
        <v>0</v>
      </c>
    </row>
    <row r="2838" spans="1:10" ht="14.25" hidden="1" customHeight="1" x14ac:dyDescent="0.35">
      <c r="A2838" s="30"/>
      <c r="E2838" s="31"/>
      <c r="G2838" s="32" t="str">
        <f t="shared" si="88"/>
        <v>|||1900|</v>
      </c>
      <c r="H2838" s="32" t="str">
        <f t="shared" si="89"/>
        <v>||1900|</v>
      </c>
      <c r="I2838" s="32">
        <f>IF(G2838="",0,IF(COUNTIF($G$2:G2838,G2838)=1,1,0))</f>
        <v>0</v>
      </c>
      <c r="J2838" s="32">
        <f>IF(H2838="",0,IF(COUNTIF($H$2:H2838,H2838)=1,1,0))</f>
        <v>0</v>
      </c>
    </row>
    <row r="2839" spans="1:10" ht="14.25" hidden="1" customHeight="1" x14ac:dyDescent="0.35">
      <c r="A2839" s="30"/>
      <c r="E2839" s="31"/>
      <c r="G2839" s="32" t="str">
        <f t="shared" si="88"/>
        <v>|||1900|</v>
      </c>
      <c r="H2839" s="32" t="str">
        <f t="shared" si="89"/>
        <v>||1900|</v>
      </c>
      <c r="I2839" s="32">
        <f>IF(G2839="",0,IF(COUNTIF($G$2:G2839,G2839)=1,1,0))</f>
        <v>0</v>
      </c>
      <c r="J2839" s="32">
        <f>IF(H2839="",0,IF(COUNTIF($H$2:H2839,H2839)=1,1,0))</f>
        <v>0</v>
      </c>
    </row>
    <row r="2840" spans="1:10" ht="14.25" hidden="1" customHeight="1" x14ac:dyDescent="0.35">
      <c r="A2840" s="30"/>
      <c r="E2840" s="31"/>
      <c r="G2840" s="32" t="str">
        <f t="shared" si="88"/>
        <v>|||1900|</v>
      </c>
      <c r="H2840" s="32" t="str">
        <f t="shared" si="89"/>
        <v>||1900|</v>
      </c>
      <c r="I2840" s="32">
        <f>IF(G2840="",0,IF(COUNTIF($G$2:G2840,G2840)=1,1,0))</f>
        <v>0</v>
      </c>
      <c r="J2840" s="32">
        <f>IF(H2840="",0,IF(COUNTIF($H$2:H2840,H2840)=1,1,0))</f>
        <v>0</v>
      </c>
    </row>
    <row r="2841" spans="1:10" ht="14.25" hidden="1" customHeight="1" x14ac:dyDescent="0.35">
      <c r="A2841" s="30"/>
      <c r="E2841" s="31"/>
      <c r="G2841" s="32" t="str">
        <f t="shared" si="88"/>
        <v>|||1900|</v>
      </c>
      <c r="H2841" s="32" t="str">
        <f t="shared" si="89"/>
        <v>||1900|</v>
      </c>
      <c r="I2841" s="32">
        <f>IF(G2841="",0,IF(COUNTIF($G$2:G2841,G2841)=1,1,0))</f>
        <v>0</v>
      </c>
      <c r="J2841" s="32">
        <f>IF(H2841="",0,IF(COUNTIF($H$2:H2841,H2841)=1,1,0))</f>
        <v>0</v>
      </c>
    </row>
    <row r="2842" spans="1:10" ht="14.25" hidden="1" customHeight="1" x14ac:dyDescent="0.35">
      <c r="A2842" s="30"/>
      <c r="E2842" s="31"/>
      <c r="G2842" s="32" t="str">
        <f t="shared" si="88"/>
        <v>|||1900|</v>
      </c>
      <c r="H2842" s="32" t="str">
        <f t="shared" si="89"/>
        <v>||1900|</v>
      </c>
      <c r="I2842" s="32">
        <f>IF(G2842="",0,IF(COUNTIF($G$2:G2842,G2842)=1,1,0))</f>
        <v>0</v>
      </c>
      <c r="J2842" s="32">
        <f>IF(H2842="",0,IF(COUNTIF($H$2:H2842,H2842)=1,1,0))</f>
        <v>0</v>
      </c>
    </row>
    <row r="2843" spans="1:10" ht="14.25" hidden="1" customHeight="1" x14ac:dyDescent="0.35">
      <c r="A2843" s="30"/>
      <c r="E2843" s="31"/>
      <c r="G2843" s="32" t="str">
        <f t="shared" si="88"/>
        <v>|||1900|</v>
      </c>
      <c r="H2843" s="32" t="str">
        <f t="shared" si="89"/>
        <v>||1900|</v>
      </c>
      <c r="I2843" s="32">
        <f>IF(G2843="",0,IF(COUNTIF($G$2:G2843,G2843)=1,1,0))</f>
        <v>0</v>
      </c>
      <c r="J2843" s="32">
        <f>IF(H2843="",0,IF(COUNTIF($H$2:H2843,H2843)=1,1,0))</f>
        <v>0</v>
      </c>
    </row>
    <row r="2844" spans="1:10" ht="14.25" hidden="1" customHeight="1" x14ac:dyDescent="0.35">
      <c r="A2844" s="30"/>
      <c r="E2844" s="31"/>
      <c r="G2844" s="32" t="str">
        <f t="shared" si="88"/>
        <v>|||1900|</v>
      </c>
      <c r="H2844" s="32" t="str">
        <f t="shared" si="89"/>
        <v>||1900|</v>
      </c>
      <c r="I2844" s="32">
        <f>IF(G2844="",0,IF(COUNTIF($G$2:G2844,G2844)=1,1,0))</f>
        <v>0</v>
      </c>
      <c r="J2844" s="32">
        <f>IF(H2844="",0,IF(COUNTIF($H$2:H2844,H2844)=1,1,0))</f>
        <v>0</v>
      </c>
    </row>
    <row r="2845" spans="1:10" ht="14.25" hidden="1" customHeight="1" x14ac:dyDescent="0.35">
      <c r="A2845" s="30"/>
      <c r="E2845" s="31"/>
      <c r="G2845" s="32" t="str">
        <f t="shared" si="88"/>
        <v>|||1900|</v>
      </c>
      <c r="H2845" s="32" t="str">
        <f t="shared" si="89"/>
        <v>||1900|</v>
      </c>
      <c r="I2845" s="32">
        <f>IF(G2845="",0,IF(COUNTIF($G$2:G2845,G2845)=1,1,0))</f>
        <v>0</v>
      </c>
      <c r="J2845" s="32">
        <f>IF(H2845="",0,IF(COUNTIF($H$2:H2845,H2845)=1,1,0))</f>
        <v>0</v>
      </c>
    </row>
    <row r="2846" spans="1:10" ht="14.25" hidden="1" customHeight="1" x14ac:dyDescent="0.35">
      <c r="A2846" s="30"/>
      <c r="E2846" s="31"/>
      <c r="G2846" s="32" t="str">
        <f t="shared" si="88"/>
        <v>|||1900|</v>
      </c>
      <c r="H2846" s="32" t="str">
        <f t="shared" si="89"/>
        <v>||1900|</v>
      </c>
      <c r="I2846" s="32">
        <f>IF(G2846="",0,IF(COUNTIF($G$2:G2846,G2846)=1,1,0))</f>
        <v>0</v>
      </c>
      <c r="J2846" s="32">
        <f>IF(H2846="",0,IF(COUNTIF($H$2:H2846,H2846)=1,1,0))</f>
        <v>0</v>
      </c>
    </row>
    <row r="2847" spans="1:10" ht="14.25" hidden="1" customHeight="1" x14ac:dyDescent="0.35">
      <c r="A2847" s="30"/>
      <c r="E2847" s="31"/>
      <c r="G2847" s="32" t="str">
        <f t="shared" si="88"/>
        <v>|||1900|</v>
      </c>
      <c r="H2847" s="32" t="str">
        <f t="shared" si="89"/>
        <v>||1900|</v>
      </c>
      <c r="I2847" s="32">
        <f>IF(G2847="",0,IF(COUNTIF($G$2:G2847,G2847)=1,1,0))</f>
        <v>0</v>
      </c>
      <c r="J2847" s="32">
        <f>IF(H2847="",0,IF(COUNTIF($H$2:H2847,H2847)=1,1,0))</f>
        <v>0</v>
      </c>
    </row>
    <row r="2848" spans="1:10" ht="14.25" hidden="1" customHeight="1" x14ac:dyDescent="0.35">
      <c r="A2848" s="30"/>
      <c r="E2848" s="31"/>
      <c r="G2848" s="32" t="str">
        <f t="shared" si="88"/>
        <v>|||1900|</v>
      </c>
      <c r="H2848" s="32" t="str">
        <f t="shared" si="89"/>
        <v>||1900|</v>
      </c>
      <c r="I2848" s="32">
        <f>IF(G2848="",0,IF(COUNTIF($G$2:G2848,G2848)=1,1,0))</f>
        <v>0</v>
      </c>
      <c r="J2848" s="32">
        <f>IF(H2848="",0,IF(COUNTIF($H$2:H2848,H2848)=1,1,0))</f>
        <v>0</v>
      </c>
    </row>
    <row r="2849" spans="1:10" ht="14.25" hidden="1" customHeight="1" x14ac:dyDescent="0.35">
      <c r="A2849" s="30"/>
      <c r="E2849" s="31"/>
      <c r="G2849" s="32" t="str">
        <f t="shared" si="88"/>
        <v>|||1900|</v>
      </c>
      <c r="H2849" s="32" t="str">
        <f t="shared" si="89"/>
        <v>||1900|</v>
      </c>
      <c r="I2849" s="32">
        <f>IF(G2849="",0,IF(COUNTIF($G$2:G2849,G2849)=1,1,0))</f>
        <v>0</v>
      </c>
      <c r="J2849" s="32">
        <f>IF(H2849="",0,IF(COUNTIF($H$2:H2849,H2849)=1,1,0))</f>
        <v>0</v>
      </c>
    </row>
    <row r="2850" spans="1:10" ht="14.25" hidden="1" customHeight="1" x14ac:dyDescent="0.35">
      <c r="A2850" s="30"/>
      <c r="E2850" s="31"/>
      <c r="G2850" s="32" t="str">
        <f t="shared" si="88"/>
        <v>|||1900|</v>
      </c>
      <c r="H2850" s="32" t="str">
        <f t="shared" si="89"/>
        <v>||1900|</v>
      </c>
      <c r="I2850" s="32">
        <f>IF(G2850="",0,IF(COUNTIF($G$2:G2850,G2850)=1,1,0))</f>
        <v>0</v>
      </c>
      <c r="J2850" s="32">
        <f>IF(H2850="",0,IF(COUNTIF($H$2:H2850,H2850)=1,1,0))</f>
        <v>0</v>
      </c>
    </row>
    <row r="2851" spans="1:10" ht="14.25" hidden="1" customHeight="1" x14ac:dyDescent="0.35">
      <c r="A2851" s="30"/>
      <c r="E2851" s="31"/>
      <c r="G2851" s="32" t="str">
        <f t="shared" si="88"/>
        <v>|||1900|</v>
      </c>
      <c r="H2851" s="32" t="str">
        <f t="shared" si="89"/>
        <v>||1900|</v>
      </c>
      <c r="I2851" s="32">
        <f>IF(G2851="",0,IF(COUNTIF($G$2:G2851,G2851)=1,1,0))</f>
        <v>0</v>
      </c>
      <c r="J2851" s="32">
        <f>IF(H2851="",0,IF(COUNTIF($H$2:H2851,H2851)=1,1,0))</f>
        <v>0</v>
      </c>
    </row>
    <row r="2852" spans="1:10" ht="14.25" hidden="1" customHeight="1" x14ac:dyDescent="0.35">
      <c r="A2852" s="30"/>
      <c r="E2852" s="31"/>
      <c r="G2852" s="32" t="str">
        <f t="shared" si="88"/>
        <v>|||1900|</v>
      </c>
      <c r="H2852" s="32" t="str">
        <f t="shared" si="89"/>
        <v>||1900|</v>
      </c>
      <c r="I2852" s="32">
        <f>IF(G2852="",0,IF(COUNTIF($G$2:G2852,G2852)=1,1,0))</f>
        <v>0</v>
      </c>
      <c r="J2852" s="32">
        <f>IF(H2852="",0,IF(COUNTIF($H$2:H2852,H2852)=1,1,0))</f>
        <v>0</v>
      </c>
    </row>
    <row r="2853" spans="1:10" ht="14.25" hidden="1" customHeight="1" x14ac:dyDescent="0.35">
      <c r="A2853" s="30"/>
      <c r="E2853" s="31"/>
      <c r="G2853" s="32" t="str">
        <f t="shared" si="88"/>
        <v>|||1900|</v>
      </c>
      <c r="H2853" s="32" t="str">
        <f t="shared" si="89"/>
        <v>||1900|</v>
      </c>
      <c r="I2853" s="32">
        <f>IF(G2853="",0,IF(COUNTIF($G$2:G2853,G2853)=1,1,0))</f>
        <v>0</v>
      </c>
      <c r="J2853" s="32">
        <f>IF(H2853="",0,IF(COUNTIF($H$2:H2853,H2853)=1,1,0))</f>
        <v>0</v>
      </c>
    </row>
    <row r="2854" spans="1:10" ht="14.25" hidden="1" customHeight="1" x14ac:dyDescent="0.35">
      <c r="A2854" s="30"/>
      <c r="E2854" s="31"/>
      <c r="G2854" s="32" t="str">
        <f t="shared" si="88"/>
        <v>|||1900|</v>
      </c>
      <c r="H2854" s="32" t="str">
        <f t="shared" si="89"/>
        <v>||1900|</v>
      </c>
      <c r="I2854" s="32">
        <f>IF(G2854="",0,IF(COUNTIF($G$2:G2854,G2854)=1,1,0))</f>
        <v>0</v>
      </c>
      <c r="J2854" s="32">
        <f>IF(H2854="",0,IF(COUNTIF($H$2:H2854,H2854)=1,1,0))</f>
        <v>0</v>
      </c>
    </row>
    <row r="2855" spans="1:10" ht="14.25" hidden="1" customHeight="1" x14ac:dyDescent="0.35">
      <c r="A2855" s="30"/>
      <c r="E2855" s="31"/>
      <c r="G2855" s="32" t="str">
        <f t="shared" si="88"/>
        <v>|||1900|</v>
      </c>
      <c r="H2855" s="32" t="str">
        <f t="shared" si="89"/>
        <v>||1900|</v>
      </c>
      <c r="I2855" s="32">
        <f>IF(G2855="",0,IF(COUNTIF($G$2:G2855,G2855)=1,1,0))</f>
        <v>0</v>
      </c>
      <c r="J2855" s="32">
        <f>IF(H2855="",0,IF(COUNTIF($H$2:H2855,H2855)=1,1,0))</f>
        <v>0</v>
      </c>
    </row>
    <row r="2856" spans="1:10" ht="14.25" hidden="1" customHeight="1" x14ac:dyDescent="0.35">
      <c r="A2856" s="30"/>
      <c r="E2856" s="31"/>
      <c r="G2856" s="32" t="str">
        <f t="shared" si="88"/>
        <v>|||1900|</v>
      </c>
      <c r="H2856" s="32" t="str">
        <f t="shared" si="89"/>
        <v>||1900|</v>
      </c>
      <c r="I2856" s="32">
        <f>IF(G2856="",0,IF(COUNTIF($G$2:G2856,G2856)=1,1,0))</f>
        <v>0</v>
      </c>
      <c r="J2856" s="32">
        <f>IF(H2856="",0,IF(COUNTIF($H$2:H2856,H2856)=1,1,0))</f>
        <v>0</v>
      </c>
    </row>
    <row r="2857" spans="1:10" ht="14.25" hidden="1" customHeight="1" x14ac:dyDescent="0.35">
      <c r="A2857" s="30"/>
      <c r="E2857" s="31"/>
      <c r="G2857" s="32" t="str">
        <f t="shared" si="88"/>
        <v>|||1900|</v>
      </c>
      <c r="H2857" s="32" t="str">
        <f t="shared" si="89"/>
        <v>||1900|</v>
      </c>
      <c r="I2857" s="32">
        <f>IF(G2857="",0,IF(COUNTIF($G$2:G2857,G2857)=1,1,0))</f>
        <v>0</v>
      </c>
      <c r="J2857" s="32">
        <f>IF(H2857="",0,IF(COUNTIF($H$2:H2857,H2857)=1,1,0))</f>
        <v>0</v>
      </c>
    </row>
    <row r="2858" spans="1:10" ht="14.25" hidden="1" customHeight="1" x14ac:dyDescent="0.35">
      <c r="A2858" s="30"/>
      <c r="E2858" s="31"/>
      <c r="G2858" s="32" t="str">
        <f t="shared" si="88"/>
        <v>|||1900|</v>
      </c>
      <c r="H2858" s="32" t="str">
        <f t="shared" si="89"/>
        <v>||1900|</v>
      </c>
      <c r="I2858" s="32">
        <f>IF(G2858="",0,IF(COUNTIF($G$2:G2858,G2858)=1,1,0))</f>
        <v>0</v>
      </c>
      <c r="J2858" s="32">
        <f>IF(H2858="",0,IF(COUNTIF($H$2:H2858,H2858)=1,1,0))</f>
        <v>0</v>
      </c>
    </row>
    <row r="2859" spans="1:10" ht="14.25" hidden="1" customHeight="1" x14ac:dyDescent="0.35">
      <c r="A2859" s="30"/>
      <c r="E2859" s="31"/>
      <c r="G2859" s="32" t="str">
        <f t="shared" si="88"/>
        <v>|||1900|</v>
      </c>
      <c r="H2859" s="32" t="str">
        <f t="shared" si="89"/>
        <v>||1900|</v>
      </c>
      <c r="I2859" s="32">
        <f>IF(G2859="",0,IF(COUNTIF($G$2:G2859,G2859)=1,1,0))</f>
        <v>0</v>
      </c>
      <c r="J2859" s="32">
        <f>IF(H2859="",0,IF(COUNTIF($H$2:H2859,H2859)=1,1,0))</f>
        <v>0</v>
      </c>
    </row>
    <row r="2860" spans="1:10" ht="14.25" hidden="1" customHeight="1" x14ac:dyDescent="0.35">
      <c r="A2860" s="30"/>
      <c r="E2860" s="31"/>
      <c r="G2860" s="32" t="str">
        <f t="shared" si="88"/>
        <v>|||1900|</v>
      </c>
      <c r="H2860" s="32" t="str">
        <f t="shared" si="89"/>
        <v>||1900|</v>
      </c>
      <c r="I2860" s="32">
        <f>IF(G2860="",0,IF(COUNTIF($G$2:G2860,G2860)=1,1,0))</f>
        <v>0</v>
      </c>
      <c r="J2860" s="32">
        <f>IF(H2860="",0,IF(COUNTIF($H$2:H2860,H2860)=1,1,0))</f>
        <v>0</v>
      </c>
    </row>
    <row r="2861" spans="1:10" ht="14.25" hidden="1" customHeight="1" x14ac:dyDescent="0.35">
      <c r="A2861" s="30"/>
      <c r="E2861" s="31"/>
      <c r="G2861" s="32" t="str">
        <f t="shared" si="88"/>
        <v>|||1900|</v>
      </c>
      <c r="H2861" s="32" t="str">
        <f t="shared" si="89"/>
        <v>||1900|</v>
      </c>
      <c r="I2861" s="32">
        <f>IF(G2861="",0,IF(COUNTIF($G$2:G2861,G2861)=1,1,0))</f>
        <v>0</v>
      </c>
      <c r="J2861" s="32">
        <f>IF(H2861="",0,IF(COUNTIF($H$2:H2861,H2861)=1,1,0))</f>
        <v>0</v>
      </c>
    </row>
    <row r="2862" spans="1:10" ht="14.25" hidden="1" customHeight="1" x14ac:dyDescent="0.35">
      <c r="A2862" s="30"/>
      <c r="E2862" s="31"/>
      <c r="G2862" s="32" t="str">
        <f t="shared" si="88"/>
        <v>|||1900|</v>
      </c>
      <c r="H2862" s="32" t="str">
        <f t="shared" si="89"/>
        <v>||1900|</v>
      </c>
      <c r="I2862" s="32">
        <f>IF(G2862="",0,IF(COUNTIF($G$2:G2862,G2862)=1,1,0))</f>
        <v>0</v>
      </c>
      <c r="J2862" s="32">
        <f>IF(H2862="",0,IF(COUNTIF($H$2:H2862,H2862)=1,1,0))</f>
        <v>0</v>
      </c>
    </row>
    <row r="2863" spans="1:10" ht="14.25" hidden="1" customHeight="1" x14ac:dyDescent="0.35">
      <c r="A2863" s="30"/>
      <c r="E2863" s="31"/>
      <c r="G2863" s="32" t="str">
        <f t="shared" si="88"/>
        <v>|||1900|</v>
      </c>
      <c r="H2863" s="32" t="str">
        <f t="shared" si="89"/>
        <v>||1900|</v>
      </c>
      <c r="I2863" s="32">
        <f>IF(G2863="",0,IF(COUNTIF($G$2:G2863,G2863)=1,1,0))</f>
        <v>0</v>
      </c>
      <c r="J2863" s="32">
        <f>IF(H2863="",0,IF(COUNTIF($H$2:H2863,H2863)=1,1,0))</f>
        <v>0</v>
      </c>
    </row>
    <row r="2864" spans="1:10" ht="14.25" hidden="1" customHeight="1" x14ac:dyDescent="0.35">
      <c r="A2864" s="30"/>
      <c r="E2864" s="31"/>
      <c r="G2864" s="32" t="str">
        <f t="shared" si="88"/>
        <v>|||1900|</v>
      </c>
      <c r="H2864" s="32" t="str">
        <f t="shared" si="89"/>
        <v>||1900|</v>
      </c>
      <c r="I2864" s="32">
        <f>IF(G2864="",0,IF(COUNTIF($G$2:G2864,G2864)=1,1,0))</f>
        <v>0</v>
      </c>
      <c r="J2864" s="32">
        <f>IF(H2864="",0,IF(COUNTIF($H$2:H2864,H2864)=1,1,0))</f>
        <v>0</v>
      </c>
    </row>
    <row r="2865" spans="1:10" ht="14.25" hidden="1" customHeight="1" x14ac:dyDescent="0.35">
      <c r="A2865" s="30"/>
      <c r="E2865" s="31"/>
      <c r="G2865" s="32" t="str">
        <f t="shared" si="88"/>
        <v>|||1900|</v>
      </c>
      <c r="H2865" s="32" t="str">
        <f t="shared" si="89"/>
        <v>||1900|</v>
      </c>
      <c r="I2865" s="32">
        <f>IF(G2865="",0,IF(COUNTIF($G$2:G2865,G2865)=1,1,0))</f>
        <v>0</v>
      </c>
      <c r="J2865" s="32">
        <f>IF(H2865="",0,IF(COUNTIF($H$2:H2865,H2865)=1,1,0))</f>
        <v>0</v>
      </c>
    </row>
    <row r="2866" spans="1:10" ht="14.25" hidden="1" customHeight="1" x14ac:dyDescent="0.35">
      <c r="A2866" s="30"/>
      <c r="E2866" s="31"/>
      <c r="G2866" s="32" t="str">
        <f t="shared" si="88"/>
        <v>|||1900|</v>
      </c>
      <c r="H2866" s="32" t="str">
        <f t="shared" si="89"/>
        <v>||1900|</v>
      </c>
      <c r="I2866" s="32">
        <f>IF(G2866="",0,IF(COUNTIF($G$2:G2866,G2866)=1,1,0))</f>
        <v>0</v>
      </c>
      <c r="J2866" s="32">
        <f>IF(H2866="",0,IF(COUNTIF($H$2:H2866,H2866)=1,1,0))</f>
        <v>0</v>
      </c>
    </row>
    <row r="2867" spans="1:10" ht="14.25" hidden="1" customHeight="1" x14ac:dyDescent="0.35">
      <c r="A2867" s="30"/>
      <c r="E2867" s="31"/>
      <c r="G2867" s="32" t="str">
        <f t="shared" si="88"/>
        <v>|||1900|</v>
      </c>
      <c r="H2867" s="32" t="str">
        <f t="shared" si="89"/>
        <v>||1900|</v>
      </c>
      <c r="I2867" s="32">
        <f>IF(G2867="",0,IF(COUNTIF($G$2:G2867,G2867)=1,1,0))</f>
        <v>0</v>
      </c>
      <c r="J2867" s="32">
        <f>IF(H2867="",0,IF(COUNTIF($H$2:H2867,H2867)=1,1,0))</f>
        <v>0</v>
      </c>
    </row>
    <row r="2868" spans="1:10" ht="14.25" hidden="1" customHeight="1" x14ac:dyDescent="0.35">
      <c r="A2868" s="30"/>
      <c r="E2868" s="31"/>
      <c r="G2868" s="32" t="str">
        <f t="shared" si="88"/>
        <v>|||1900|</v>
      </c>
      <c r="H2868" s="32" t="str">
        <f t="shared" si="89"/>
        <v>||1900|</v>
      </c>
      <c r="I2868" s="32">
        <f>IF(G2868="",0,IF(COUNTIF($G$2:G2868,G2868)=1,1,0))</f>
        <v>0</v>
      </c>
      <c r="J2868" s="32">
        <f>IF(H2868="",0,IF(COUNTIF($H$2:H2868,H2868)=1,1,0))</f>
        <v>0</v>
      </c>
    </row>
    <row r="2869" spans="1:10" ht="14.25" hidden="1" customHeight="1" x14ac:dyDescent="0.35">
      <c r="A2869" s="30"/>
      <c r="E2869" s="31"/>
      <c r="G2869" s="32" t="str">
        <f t="shared" si="88"/>
        <v>|||1900|</v>
      </c>
      <c r="H2869" s="32" t="str">
        <f t="shared" si="89"/>
        <v>||1900|</v>
      </c>
      <c r="I2869" s="32">
        <f>IF(G2869="",0,IF(COUNTIF($G$2:G2869,G2869)=1,1,0))</f>
        <v>0</v>
      </c>
      <c r="J2869" s="32">
        <f>IF(H2869="",0,IF(COUNTIF($H$2:H2869,H2869)=1,1,0))</f>
        <v>0</v>
      </c>
    </row>
    <row r="2870" spans="1:10" ht="14.25" hidden="1" customHeight="1" x14ac:dyDescent="0.35">
      <c r="A2870" s="30"/>
      <c r="E2870" s="31"/>
      <c r="G2870" s="32" t="str">
        <f t="shared" si="88"/>
        <v>|||1900|</v>
      </c>
      <c r="H2870" s="32" t="str">
        <f t="shared" si="89"/>
        <v>||1900|</v>
      </c>
      <c r="I2870" s="32">
        <f>IF(G2870="",0,IF(COUNTIF($G$2:G2870,G2870)=1,1,0))</f>
        <v>0</v>
      </c>
      <c r="J2870" s="32">
        <f>IF(H2870="",0,IF(COUNTIF($H$2:H2870,H2870)=1,1,0))</f>
        <v>0</v>
      </c>
    </row>
    <row r="2871" spans="1:10" ht="14.25" hidden="1" customHeight="1" x14ac:dyDescent="0.35">
      <c r="A2871" s="30"/>
      <c r="E2871" s="31"/>
      <c r="G2871" s="32" t="str">
        <f t="shared" si="88"/>
        <v>|||1900|</v>
      </c>
      <c r="H2871" s="32" t="str">
        <f t="shared" si="89"/>
        <v>||1900|</v>
      </c>
      <c r="I2871" s="32">
        <f>IF(G2871="",0,IF(COUNTIF($G$2:G2871,G2871)=1,1,0))</f>
        <v>0</v>
      </c>
      <c r="J2871" s="32">
        <f>IF(H2871="",0,IF(COUNTIF($H$2:H2871,H2871)=1,1,0))</f>
        <v>0</v>
      </c>
    </row>
    <row r="2872" spans="1:10" ht="14.25" hidden="1" customHeight="1" x14ac:dyDescent="0.35">
      <c r="A2872" s="30"/>
      <c r="E2872" s="31"/>
      <c r="G2872" s="32" t="str">
        <f t="shared" si="88"/>
        <v>|||1900|</v>
      </c>
      <c r="H2872" s="32" t="str">
        <f t="shared" si="89"/>
        <v>||1900|</v>
      </c>
      <c r="I2872" s="32">
        <f>IF(G2872="",0,IF(COUNTIF($G$2:G2872,G2872)=1,1,0))</f>
        <v>0</v>
      </c>
      <c r="J2872" s="32">
        <f>IF(H2872="",0,IF(COUNTIF($H$2:H2872,H2872)=1,1,0))</f>
        <v>0</v>
      </c>
    </row>
    <row r="2873" spans="1:10" ht="14.25" hidden="1" customHeight="1" x14ac:dyDescent="0.35">
      <c r="A2873" s="30"/>
      <c r="E2873" s="31"/>
      <c r="G2873" s="32" t="str">
        <f t="shared" si="88"/>
        <v>|||1900|</v>
      </c>
      <c r="H2873" s="32" t="str">
        <f t="shared" si="89"/>
        <v>||1900|</v>
      </c>
      <c r="I2873" s="32">
        <f>IF(G2873="",0,IF(COUNTIF($G$2:G2873,G2873)=1,1,0))</f>
        <v>0</v>
      </c>
      <c r="J2873" s="32">
        <f>IF(H2873="",0,IF(COUNTIF($H$2:H2873,H2873)=1,1,0))</f>
        <v>0</v>
      </c>
    </row>
    <row r="2874" spans="1:10" ht="14.25" hidden="1" customHeight="1" x14ac:dyDescent="0.35">
      <c r="A2874" s="30"/>
      <c r="E2874" s="31"/>
      <c r="G2874" s="32" t="str">
        <f t="shared" si="88"/>
        <v>|||1900|</v>
      </c>
      <c r="H2874" s="32" t="str">
        <f t="shared" si="89"/>
        <v>||1900|</v>
      </c>
      <c r="I2874" s="32">
        <f>IF(G2874="",0,IF(COUNTIF($G$2:G2874,G2874)=1,1,0))</f>
        <v>0</v>
      </c>
      <c r="J2874" s="32">
        <f>IF(H2874="",0,IF(COUNTIF($H$2:H2874,H2874)=1,1,0))</f>
        <v>0</v>
      </c>
    </row>
    <row r="2875" spans="1:10" ht="14.25" hidden="1" customHeight="1" x14ac:dyDescent="0.35">
      <c r="A2875" s="30"/>
      <c r="E2875" s="31"/>
      <c r="G2875" s="32" t="str">
        <f t="shared" si="88"/>
        <v>|||1900|</v>
      </c>
      <c r="H2875" s="32" t="str">
        <f t="shared" si="89"/>
        <v>||1900|</v>
      </c>
      <c r="I2875" s="32">
        <f>IF(G2875="",0,IF(COUNTIF($G$2:G2875,G2875)=1,1,0))</f>
        <v>0</v>
      </c>
      <c r="J2875" s="32">
        <f>IF(H2875="",0,IF(COUNTIF($H$2:H2875,H2875)=1,1,0))</f>
        <v>0</v>
      </c>
    </row>
    <row r="2876" spans="1:10" ht="14.25" hidden="1" customHeight="1" x14ac:dyDescent="0.35">
      <c r="A2876" s="30"/>
      <c r="E2876" s="31"/>
      <c r="G2876" s="32" t="str">
        <f t="shared" si="88"/>
        <v>|||1900|</v>
      </c>
      <c r="H2876" s="32" t="str">
        <f t="shared" si="89"/>
        <v>||1900|</v>
      </c>
      <c r="I2876" s="32">
        <f>IF(G2876="",0,IF(COUNTIF($G$2:G2876,G2876)=1,1,0))</f>
        <v>0</v>
      </c>
      <c r="J2876" s="32">
        <f>IF(H2876="",0,IF(COUNTIF($H$2:H2876,H2876)=1,1,0))</f>
        <v>0</v>
      </c>
    </row>
    <row r="2877" spans="1:10" ht="14.25" hidden="1" customHeight="1" x14ac:dyDescent="0.35">
      <c r="A2877" s="30"/>
      <c r="E2877" s="31"/>
      <c r="G2877" s="32" t="str">
        <f t="shared" si="88"/>
        <v>|||1900|</v>
      </c>
      <c r="H2877" s="32" t="str">
        <f t="shared" si="89"/>
        <v>||1900|</v>
      </c>
      <c r="I2877" s="32">
        <f>IF(G2877="",0,IF(COUNTIF($G$2:G2877,G2877)=1,1,0))</f>
        <v>0</v>
      </c>
      <c r="J2877" s="32">
        <f>IF(H2877="",0,IF(COUNTIF($H$2:H2877,H2877)=1,1,0))</f>
        <v>0</v>
      </c>
    </row>
    <row r="2878" spans="1:10" ht="14.25" hidden="1" customHeight="1" x14ac:dyDescent="0.35">
      <c r="A2878" s="30"/>
      <c r="E2878" s="31"/>
      <c r="G2878" s="32" t="str">
        <f t="shared" si="88"/>
        <v>|||1900|</v>
      </c>
      <c r="H2878" s="32" t="str">
        <f t="shared" si="89"/>
        <v>||1900|</v>
      </c>
      <c r="I2878" s="32">
        <f>IF(G2878="",0,IF(COUNTIF($G$2:G2878,G2878)=1,1,0))</f>
        <v>0</v>
      </c>
      <c r="J2878" s="32">
        <f>IF(H2878="",0,IF(COUNTIF($H$2:H2878,H2878)=1,1,0))</f>
        <v>0</v>
      </c>
    </row>
    <row r="2879" spans="1:10" ht="14.25" hidden="1" customHeight="1" x14ac:dyDescent="0.35">
      <c r="A2879" s="30"/>
      <c r="E2879" s="31"/>
      <c r="G2879" s="32" t="str">
        <f t="shared" si="88"/>
        <v>|||1900|</v>
      </c>
      <c r="H2879" s="32" t="str">
        <f t="shared" si="89"/>
        <v>||1900|</v>
      </c>
      <c r="I2879" s="32">
        <f>IF(G2879="",0,IF(COUNTIF($G$2:G2879,G2879)=1,1,0))</f>
        <v>0</v>
      </c>
      <c r="J2879" s="32">
        <f>IF(H2879="",0,IF(COUNTIF($H$2:H2879,H2879)=1,1,0))</f>
        <v>0</v>
      </c>
    </row>
    <row r="2880" spans="1:10" ht="14.25" hidden="1" customHeight="1" x14ac:dyDescent="0.35">
      <c r="A2880" s="30"/>
      <c r="E2880" s="31"/>
      <c r="G2880" s="32" t="str">
        <f t="shared" si="88"/>
        <v>|||1900|</v>
      </c>
      <c r="H2880" s="32" t="str">
        <f t="shared" si="89"/>
        <v>||1900|</v>
      </c>
      <c r="I2880" s="32">
        <f>IF(G2880="",0,IF(COUNTIF($G$2:G2880,G2880)=1,1,0))</f>
        <v>0</v>
      </c>
      <c r="J2880" s="32">
        <f>IF(H2880="",0,IF(COUNTIF($H$2:H2880,H2880)=1,1,0))</f>
        <v>0</v>
      </c>
    </row>
    <row r="2881" spans="1:10" ht="14.25" hidden="1" customHeight="1" x14ac:dyDescent="0.35">
      <c r="A2881" s="30"/>
      <c r="E2881" s="31"/>
      <c r="G2881" s="32" t="str">
        <f t="shared" si="88"/>
        <v>|||1900|</v>
      </c>
      <c r="H2881" s="32" t="str">
        <f t="shared" si="89"/>
        <v>||1900|</v>
      </c>
      <c r="I2881" s="32">
        <f>IF(G2881="",0,IF(COUNTIF($G$2:G2881,G2881)=1,1,0))</f>
        <v>0</v>
      </c>
      <c r="J2881" s="32">
        <f>IF(H2881="",0,IF(COUNTIF($H$2:H2881,H2881)=1,1,0))</f>
        <v>0</v>
      </c>
    </row>
    <row r="2882" spans="1:10" ht="14.25" hidden="1" customHeight="1" x14ac:dyDescent="0.35">
      <c r="A2882" s="30"/>
      <c r="E2882" s="31"/>
      <c r="G2882" s="32" t="str">
        <f t="shared" ref="G2882:G2945" si="90">IF(D2882="T",
E2882&amp;"|"&amp;F2882,
A2882&amp;"|"&amp;B2882&amp;"|"&amp;C2882&amp;"|"&amp;YEAR(E2882)&amp;"|"&amp;F2882)</f>
        <v>|||1900|</v>
      </c>
      <c r="H2882" s="32" t="str">
        <f t="shared" ref="H2882:H2945" si="91">A2882&amp;"|"&amp;C2882&amp;"|"&amp;YEAR(E2882)&amp;"|"&amp;F2882</f>
        <v>||1900|</v>
      </c>
      <c r="I2882" s="32">
        <f>IF(G2882="",0,IF(COUNTIF($G$2:G2882,G2882)=1,1,0))</f>
        <v>0</v>
      </c>
      <c r="J2882" s="32">
        <f>IF(H2882="",0,IF(COUNTIF($H$2:H2882,H2882)=1,1,0))</f>
        <v>0</v>
      </c>
    </row>
    <row r="2883" spans="1:10" ht="14.25" hidden="1" customHeight="1" x14ac:dyDescent="0.35">
      <c r="A2883" s="30"/>
      <c r="E2883" s="31"/>
      <c r="G2883" s="32" t="str">
        <f t="shared" si="90"/>
        <v>|||1900|</v>
      </c>
      <c r="H2883" s="32" t="str">
        <f t="shared" si="91"/>
        <v>||1900|</v>
      </c>
      <c r="I2883" s="32">
        <f>IF(G2883="",0,IF(COUNTIF($G$2:G2883,G2883)=1,1,0))</f>
        <v>0</v>
      </c>
      <c r="J2883" s="32">
        <f>IF(H2883="",0,IF(COUNTIF($H$2:H2883,H2883)=1,1,0))</f>
        <v>0</v>
      </c>
    </row>
    <row r="2884" spans="1:10" ht="14.25" hidden="1" customHeight="1" x14ac:dyDescent="0.35">
      <c r="A2884" s="30"/>
      <c r="E2884" s="31"/>
      <c r="G2884" s="32" t="str">
        <f t="shared" si="90"/>
        <v>|||1900|</v>
      </c>
      <c r="H2884" s="32" t="str">
        <f t="shared" si="91"/>
        <v>||1900|</v>
      </c>
      <c r="I2884" s="32">
        <f>IF(G2884="",0,IF(COUNTIF($G$2:G2884,G2884)=1,1,0))</f>
        <v>0</v>
      </c>
      <c r="J2884" s="32">
        <f>IF(H2884="",0,IF(COUNTIF($H$2:H2884,H2884)=1,1,0))</f>
        <v>0</v>
      </c>
    </row>
    <row r="2885" spans="1:10" ht="14.25" hidden="1" customHeight="1" x14ac:dyDescent="0.35">
      <c r="A2885" s="30"/>
      <c r="E2885" s="31"/>
      <c r="G2885" s="32" t="str">
        <f t="shared" si="90"/>
        <v>|||1900|</v>
      </c>
      <c r="H2885" s="32" t="str">
        <f t="shared" si="91"/>
        <v>||1900|</v>
      </c>
      <c r="I2885" s="32">
        <f>IF(G2885="",0,IF(COUNTIF($G$2:G2885,G2885)=1,1,0))</f>
        <v>0</v>
      </c>
      <c r="J2885" s="32">
        <f>IF(H2885="",0,IF(COUNTIF($H$2:H2885,H2885)=1,1,0))</f>
        <v>0</v>
      </c>
    </row>
    <row r="2886" spans="1:10" ht="14.25" hidden="1" customHeight="1" x14ac:dyDescent="0.35">
      <c r="A2886" s="30"/>
      <c r="E2886" s="31"/>
      <c r="G2886" s="32" t="str">
        <f t="shared" si="90"/>
        <v>|||1900|</v>
      </c>
      <c r="H2886" s="32" t="str">
        <f t="shared" si="91"/>
        <v>||1900|</v>
      </c>
      <c r="I2886" s="32">
        <f>IF(G2886="",0,IF(COUNTIF($G$2:G2886,G2886)=1,1,0))</f>
        <v>0</v>
      </c>
      <c r="J2886" s="32">
        <f>IF(H2886="",0,IF(COUNTIF($H$2:H2886,H2886)=1,1,0))</f>
        <v>0</v>
      </c>
    </row>
    <row r="2887" spans="1:10" ht="14.25" hidden="1" customHeight="1" x14ac:dyDescent="0.35">
      <c r="A2887" s="30"/>
      <c r="E2887" s="31"/>
      <c r="G2887" s="32" t="str">
        <f t="shared" si="90"/>
        <v>|||1900|</v>
      </c>
      <c r="H2887" s="32" t="str">
        <f t="shared" si="91"/>
        <v>||1900|</v>
      </c>
      <c r="I2887" s="32">
        <f>IF(G2887="",0,IF(COUNTIF($G$2:G2887,G2887)=1,1,0))</f>
        <v>0</v>
      </c>
      <c r="J2887" s="32">
        <f>IF(H2887="",0,IF(COUNTIF($H$2:H2887,H2887)=1,1,0))</f>
        <v>0</v>
      </c>
    </row>
    <row r="2888" spans="1:10" ht="14.25" hidden="1" customHeight="1" x14ac:dyDescent="0.35">
      <c r="A2888" s="30"/>
      <c r="E2888" s="31"/>
      <c r="G2888" s="32" t="str">
        <f t="shared" si="90"/>
        <v>|||1900|</v>
      </c>
      <c r="H2888" s="32" t="str">
        <f t="shared" si="91"/>
        <v>||1900|</v>
      </c>
      <c r="I2888" s="32">
        <f>IF(G2888="",0,IF(COUNTIF($G$2:G2888,G2888)=1,1,0))</f>
        <v>0</v>
      </c>
      <c r="J2888" s="32">
        <f>IF(H2888="",0,IF(COUNTIF($H$2:H2888,H2888)=1,1,0))</f>
        <v>0</v>
      </c>
    </row>
    <row r="2889" spans="1:10" ht="14.25" hidden="1" customHeight="1" x14ac:dyDescent="0.35">
      <c r="A2889" s="30"/>
      <c r="E2889" s="31"/>
      <c r="G2889" s="32" t="str">
        <f t="shared" si="90"/>
        <v>|||1900|</v>
      </c>
      <c r="H2889" s="32" t="str">
        <f t="shared" si="91"/>
        <v>||1900|</v>
      </c>
      <c r="I2889" s="32">
        <f>IF(G2889="",0,IF(COUNTIF($G$2:G2889,G2889)=1,1,0))</f>
        <v>0</v>
      </c>
      <c r="J2889" s="32">
        <f>IF(H2889="",0,IF(COUNTIF($H$2:H2889,H2889)=1,1,0))</f>
        <v>0</v>
      </c>
    </row>
    <row r="2890" spans="1:10" ht="14.25" hidden="1" customHeight="1" x14ac:dyDescent="0.35">
      <c r="A2890" s="30"/>
      <c r="E2890" s="31"/>
      <c r="G2890" s="32" t="str">
        <f t="shared" si="90"/>
        <v>|||1900|</v>
      </c>
      <c r="H2890" s="32" t="str">
        <f t="shared" si="91"/>
        <v>||1900|</v>
      </c>
      <c r="I2890" s="32">
        <f>IF(G2890="",0,IF(COUNTIF($G$2:G2890,G2890)=1,1,0))</f>
        <v>0</v>
      </c>
      <c r="J2890" s="32">
        <f>IF(H2890="",0,IF(COUNTIF($H$2:H2890,H2890)=1,1,0))</f>
        <v>0</v>
      </c>
    </row>
    <row r="2891" spans="1:10" ht="14.25" hidden="1" customHeight="1" x14ac:dyDescent="0.35">
      <c r="A2891" s="30"/>
      <c r="E2891" s="31"/>
      <c r="G2891" s="32" t="str">
        <f t="shared" si="90"/>
        <v>|||1900|</v>
      </c>
      <c r="H2891" s="32" t="str">
        <f t="shared" si="91"/>
        <v>||1900|</v>
      </c>
      <c r="I2891" s="32">
        <f>IF(G2891="",0,IF(COUNTIF($G$2:G2891,G2891)=1,1,0))</f>
        <v>0</v>
      </c>
      <c r="J2891" s="32">
        <f>IF(H2891="",0,IF(COUNTIF($H$2:H2891,H2891)=1,1,0))</f>
        <v>0</v>
      </c>
    </row>
    <row r="2892" spans="1:10" ht="14.25" hidden="1" customHeight="1" x14ac:dyDescent="0.35">
      <c r="A2892" s="30"/>
      <c r="E2892" s="31"/>
      <c r="G2892" s="32" t="str">
        <f t="shared" si="90"/>
        <v>|||1900|</v>
      </c>
      <c r="H2892" s="32" t="str">
        <f t="shared" si="91"/>
        <v>||1900|</v>
      </c>
      <c r="I2892" s="32">
        <f>IF(G2892="",0,IF(COUNTIF($G$2:G2892,G2892)=1,1,0))</f>
        <v>0</v>
      </c>
      <c r="J2892" s="32">
        <f>IF(H2892="",0,IF(COUNTIF($H$2:H2892,H2892)=1,1,0))</f>
        <v>0</v>
      </c>
    </row>
    <row r="2893" spans="1:10" ht="14.25" hidden="1" customHeight="1" x14ac:dyDescent="0.35">
      <c r="A2893" s="30"/>
      <c r="E2893" s="31"/>
      <c r="G2893" s="32" t="str">
        <f t="shared" si="90"/>
        <v>|||1900|</v>
      </c>
      <c r="H2893" s="32" t="str">
        <f t="shared" si="91"/>
        <v>||1900|</v>
      </c>
      <c r="I2893" s="32">
        <f>IF(G2893="",0,IF(COUNTIF($G$2:G2893,G2893)=1,1,0))</f>
        <v>0</v>
      </c>
      <c r="J2893" s="32">
        <f>IF(H2893="",0,IF(COUNTIF($H$2:H2893,H2893)=1,1,0))</f>
        <v>0</v>
      </c>
    </row>
    <row r="2894" spans="1:10" ht="14.25" hidden="1" customHeight="1" x14ac:dyDescent="0.35">
      <c r="A2894" s="30"/>
      <c r="E2894" s="31"/>
      <c r="G2894" s="32" t="str">
        <f t="shared" si="90"/>
        <v>|||1900|</v>
      </c>
      <c r="H2894" s="32" t="str">
        <f t="shared" si="91"/>
        <v>||1900|</v>
      </c>
      <c r="I2894" s="32">
        <f>IF(G2894="",0,IF(COUNTIF($G$2:G2894,G2894)=1,1,0))</f>
        <v>0</v>
      </c>
      <c r="J2894" s="32">
        <f>IF(H2894="",0,IF(COUNTIF($H$2:H2894,H2894)=1,1,0))</f>
        <v>0</v>
      </c>
    </row>
    <row r="2895" spans="1:10" ht="14.25" hidden="1" customHeight="1" x14ac:dyDescent="0.35">
      <c r="A2895" s="30"/>
      <c r="E2895" s="31"/>
      <c r="G2895" s="32" t="str">
        <f t="shared" si="90"/>
        <v>|||1900|</v>
      </c>
      <c r="H2895" s="32" t="str">
        <f t="shared" si="91"/>
        <v>||1900|</v>
      </c>
      <c r="I2895" s="32">
        <f>IF(G2895="",0,IF(COUNTIF($G$2:G2895,G2895)=1,1,0))</f>
        <v>0</v>
      </c>
      <c r="J2895" s="32">
        <f>IF(H2895="",0,IF(COUNTIF($H$2:H2895,H2895)=1,1,0))</f>
        <v>0</v>
      </c>
    </row>
    <row r="2896" spans="1:10" ht="14.25" hidden="1" customHeight="1" x14ac:dyDescent="0.35">
      <c r="A2896" s="30"/>
      <c r="E2896" s="31"/>
      <c r="G2896" s="32" t="str">
        <f t="shared" si="90"/>
        <v>|||1900|</v>
      </c>
      <c r="H2896" s="32" t="str">
        <f t="shared" si="91"/>
        <v>||1900|</v>
      </c>
      <c r="I2896" s="32">
        <f>IF(G2896="",0,IF(COUNTIF($G$2:G2896,G2896)=1,1,0))</f>
        <v>0</v>
      </c>
      <c r="J2896" s="32">
        <f>IF(H2896="",0,IF(COUNTIF($H$2:H2896,H2896)=1,1,0))</f>
        <v>0</v>
      </c>
    </row>
    <row r="2897" spans="1:10" ht="14.25" hidden="1" customHeight="1" x14ac:dyDescent="0.35">
      <c r="A2897" s="30"/>
      <c r="E2897" s="31"/>
      <c r="G2897" s="32" t="str">
        <f t="shared" si="90"/>
        <v>|||1900|</v>
      </c>
      <c r="H2897" s="32" t="str">
        <f t="shared" si="91"/>
        <v>||1900|</v>
      </c>
      <c r="I2897" s="32">
        <f>IF(G2897="",0,IF(COUNTIF($G$2:G2897,G2897)=1,1,0))</f>
        <v>0</v>
      </c>
      <c r="J2897" s="32">
        <f>IF(H2897="",0,IF(COUNTIF($H$2:H2897,H2897)=1,1,0))</f>
        <v>0</v>
      </c>
    </row>
    <row r="2898" spans="1:10" ht="14.25" hidden="1" customHeight="1" x14ac:dyDescent="0.35">
      <c r="A2898" s="30"/>
      <c r="E2898" s="31"/>
      <c r="G2898" s="32" t="str">
        <f t="shared" si="90"/>
        <v>|||1900|</v>
      </c>
      <c r="H2898" s="32" t="str">
        <f t="shared" si="91"/>
        <v>||1900|</v>
      </c>
      <c r="I2898" s="32">
        <f>IF(G2898="",0,IF(COUNTIF($G$2:G2898,G2898)=1,1,0))</f>
        <v>0</v>
      </c>
      <c r="J2898" s="32">
        <f>IF(H2898="",0,IF(COUNTIF($H$2:H2898,H2898)=1,1,0))</f>
        <v>0</v>
      </c>
    </row>
    <row r="2899" spans="1:10" ht="14.25" hidden="1" customHeight="1" x14ac:dyDescent="0.35">
      <c r="A2899" s="30"/>
      <c r="E2899" s="31"/>
      <c r="G2899" s="32" t="str">
        <f t="shared" si="90"/>
        <v>|||1900|</v>
      </c>
      <c r="H2899" s="32" t="str">
        <f t="shared" si="91"/>
        <v>||1900|</v>
      </c>
      <c r="I2899" s="32">
        <f>IF(G2899="",0,IF(COUNTIF($G$2:G2899,G2899)=1,1,0))</f>
        <v>0</v>
      </c>
      <c r="J2899" s="32">
        <f>IF(H2899="",0,IF(COUNTIF($H$2:H2899,H2899)=1,1,0))</f>
        <v>0</v>
      </c>
    </row>
    <row r="2900" spans="1:10" ht="14.25" hidden="1" customHeight="1" x14ac:dyDescent="0.35">
      <c r="A2900" s="30"/>
      <c r="E2900" s="31"/>
      <c r="G2900" s="32" t="str">
        <f t="shared" si="90"/>
        <v>|||1900|</v>
      </c>
      <c r="H2900" s="32" t="str">
        <f t="shared" si="91"/>
        <v>||1900|</v>
      </c>
      <c r="I2900" s="32">
        <f>IF(G2900="",0,IF(COUNTIF($G$2:G2900,G2900)=1,1,0))</f>
        <v>0</v>
      </c>
      <c r="J2900" s="32">
        <f>IF(H2900="",0,IF(COUNTIF($H$2:H2900,H2900)=1,1,0))</f>
        <v>0</v>
      </c>
    </row>
    <row r="2901" spans="1:10" ht="14.25" hidden="1" customHeight="1" x14ac:dyDescent="0.35">
      <c r="A2901" s="30"/>
      <c r="E2901" s="31"/>
      <c r="G2901" s="32" t="str">
        <f t="shared" si="90"/>
        <v>|||1900|</v>
      </c>
      <c r="H2901" s="32" t="str">
        <f t="shared" si="91"/>
        <v>||1900|</v>
      </c>
      <c r="I2901" s="32">
        <f>IF(G2901="",0,IF(COUNTIF($G$2:G2901,G2901)=1,1,0))</f>
        <v>0</v>
      </c>
      <c r="J2901" s="32">
        <f>IF(H2901="",0,IF(COUNTIF($H$2:H2901,H2901)=1,1,0))</f>
        <v>0</v>
      </c>
    </row>
    <row r="2902" spans="1:10" ht="14.25" hidden="1" customHeight="1" x14ac:dyDescent="0.35">
      <c r="A2902" s="30"/>
      <c r="E2902" s="31"/>
      <c r="G2902" s="32" t="str">
        <f t="shared" si="90"/>
        <v>|||1900|</v>
      </c>
      <c r="H2902" s="32" t="str">
        <f t="shared" si="91"/>
        <v>||1900|</v>
      </c>
      <c r="I2902" s="32">
        <f>IF(G2902="",0,IF(COUNTIF($G$2:G2902,G2902)=1,1,0))</f>
        <v>0</v>
      </c>
      <c r="J2902" s="32">
        <f>IF(H2902="",0,IF(COUNTIF($H$2:H2902,H2902)=1,1,0))</f>
        <v>0</v>
      </c>
    </row>
    <row r="2903" spans="1:10" ht="14.25" hidden="1" customHeight="1" x14ac:dyDescent="0.35">
      <c r="A2903" s="30"/>
      <c r="E2903" s="31"/>
      <c r="G2903" s="32" t="str">
        <f t="shared" si="90"/>
        <v>|||1900|</v>
      </c>
      <c r="H2903" s="32" t="str">
        <f t="shared" si="91"/>
        <v>||1900|</v>
      </c>
      <c r="I2903" s="32">
        <f>IF(G2903="",0,IF(COUNTIF($G$2:G2903,G2903)=1,1,0))</f>
        <v>0</v>
      </c>
      <c r="J2903" s="32">
        <f>IF(H2903="",0,IF(COUNTIF($H$2:H2903,H2903)=1,1,0))</f>
        <v>0</v>
      </c>
    </row>
    <row r="2904" spans="1:10" ht="14.25" hidden="1" customHeight="1" x14ac:dyDescent="0.35">
      <c r="A2904" s="30"/>
      <c r="E2904" s="31"/>
      <c r="G2904" s="32" t="str">
        <f t="shared" si="90"/>
        <v>|||1900|</v>
      </c>
      <c r="H2904" s="32" t="str">
        <f t="shared" si="91"/>
        <v>||1900|</v>
      </c>
      <c r="I2904" s="32">
        <f>IF(G2904="",0,IF(COUNTIF($G$2:G2904,G2904)=1,1,0))</f>
        <v>0</v>
      </c>
      <c r="J2904" s="32">
        <f>IF(H2904="",0,IF(COUNTIF($H$2:H2904,H2904)=1,1,0))</f>
        <v>0</v>
      </c>
    </row>
    <row r="2905" spans="1:10" ht="14.25" hidden="1" customHeight="1" x14ac:dyDescent="0.35">
      <c r="A2905" s="30"/>
      <c r="E2905" s="31"/>
      <c r="G2905" s="32" t="str">
        <f t="shared" si="90"/>
        <v>|||1900|</v>
      </c>
      <c r="H2905" s="32" t="str">
        <f t="shared" si="91"/>
        <v>||1900|</v>
      </c>
      <c r="I2905" s="32">
        <f>IF(G2905="",0,IF(COUNTIF($G$2:G2905,G2905)=1,1,0))</f>
        <v>0</v>
      </c>
      <c r="J2905" s="32">
        <f>IF(H2905="",0,IF(COUNTIF($H$2:H2905,H2905)=1,1,0))</f>
        <v>0</v>
      </c>
    </row>
    <row r="2906" spans="1:10" ht="14.25" hidden="1" customHeight="1" x14ac:dyDescent="0.35">
      <c r="A2906" s="30"/>
      <c r="E2906" s="31"/>
      <c r="G2906" s="32" t="str">
        <f t="shared" si="90"/>
        <v>|||1900|</v>
      </c>
      <c r="H2906" s="32" t="str">
        <f t="shared" si="91"/>
        <v>||1900|</v>
      </c>
      <c r="I2906" s="32">
        <f>IF(G2906="",0,IF(COUNTIF($G$2:G2906,G2906)=1,1,0))</f>
        <v>0</v>
      </c>
      <c r="J2906" s="32">
        <f>IF(H2906="",0,IF(COUNTIF($H$2:H2906,H2906)=1,1,0))</f>
        <v>0</v>
      </c>
    </row>
    <row r="2907" spans="1:10" ht="14.25" hidden="1" customHeight="1" x14ac:dyDescent="0.35">
      <c r="A2907" s="30"/>
      <c r="E2907" s="31"/>
      <c r="G2907" s="32" t="str">
        <f t="shared" si="90"/>
        <v>|||1900|</v>
      </c>
      <c r="H2907" s="32" t="str">
        <f t="shared" si="91"/>
        <v>||1900|</v>
      </c>
      <c r="I2907" s="32">
        <f>IF(G2907="",0,IF(COUNTIF($G$2:G2907,G2907)=1,1,0))</f>
        <v>0</v>
      </c>
      <c r="J2907" s="32">
        <f>IF(H2907="",0,IF(COUNTIF($H$2:H2907,H2907)=1,1,0))</f>
        <v>0</v>
      </c>
    </row>
    <row r="2908" spans="1:10" ht="14.25" hidden="1" customHeight="1" x14ac:dyDescent="0.35">
      <c r="A2908" s="30"/>
      <c r="E2908" s="31"/>
      <c r="G2908" s="32" t="str">
        <f t="shared" si="90"/>
        <v>|||1900|</v>
      </c>
      <c r="H2908" s="32" t="str">
        <f t="shared" si="91"/>
        <v>||1900|</v>
      </c>
      <c r="I2908" s="32">
        <f>IF(G2908="",0,IF(COUNTIF($G$2:G2908,G2908)=1,1,0))</f>
        <v>0</v>
      </c>
      <c r="J2908" s="32">
        <f>IF(H2908="",0,IF(COUNTIF($H$2:H2908,H2908)=1,1,0))</f>
        <v>0</v>
      </c>
    </row>
    <row r="2909" spans="1:10" ht="14.25" hidden="1" customHeight="1" x14ac:dyDescent="0.35">
      <c r="A2909" s="30"/>
      <c r="E2909" s="31"/>
      <c r="G2909" s="32" t="str">
        <f t="shared" si="90"/>
        <v>|||1900|</v>
      </c>
      <c r="H2909" s="32" t="str">
        <f t="shared" si="91"/>
        <v>||1900|</v>
      </c>
      <c r="I2909" s="32">
        <f>IF(G2909="",0,IF(COUNTIF($G$2:G2909,G2909)=1,1,0))</f>
        <v>0</v>
      </c>
      <c r="J2909" s="32">
        <f>IF(H2909="",0,IF(COUNTIF($H$2:H2909,H2909)=1,1,0))</f>
        <v>0</v>
      </c>
    </row>
    <row r="2910" spans="1:10" ht="14.25" hidden="1" customHeight="1" x14ac:dyDescent="0.35">
      <c r="A2910" s="30"/>
      <c r="E2910" s="31"/>
      <c r="G2910" s="32" t="str">
        <f t="shared" si="90"/>
        <v>|||1900|</v>
      </c>
      <c r="H2910" s="32" t="str">
        <f t="shared" si="91"/>
        <v>||1900|</v>
      </c>
      <c r="I2910" s="32">
        <f>IF(G2910="",0,IF(COUNTIF($G$2:G2910,G2910)=1,1,0))</f>
        <v>0</v>
      </c>
      <c r="J2910" s="32">
        <f>IF(H2910="",0,IF(COUNTIF($H$2:H2910,H2910)=1,1,0))</f>
        <v>0</v>
      </c>
    </row>
    <row r="2911" spans="1:10" ht="14.25" hidden="1" customHeight="1" x14ac:dyDescent="0.35">
      <c r="A2911" s="30"/>
      <c r="E2911" s="31"/>
      <c r="G2911" s="32" t="str">
        <f t="shared" si="90"/>
        <v>|||1900|</v>
      </c>
      <c r="H2911" s="32" t="str">
        <f t="shared" si="91"/>
        <v>||1900|</v>
      </c>
      <c r="I2911" s="32">
        <f>IF(G2911="",0,IF(COUNTIF($G$2:G2911,G2911)=1,1,0))</f>
        <v>0</v>
      </c>
      <c r="J2911" s="32">
        <f>IF(H2911="",0,IF(COUNTIF($H$2:H2911,H2911)=1,1,0))</f>
        <v>0</v>
      </c>
    </row>
    <row r="2912" spans="1:10" ht="14.25" hidden="1" customHeight="1" x14ac:dyDescent="0.35">
      <c r="A2912" s="30"/>
      <c r="E2912" s="31"/>
      <c r="G2912" s="32" t="str">
        <f t="shared" si="90"/>
        <v>|||1900|</v>
      </c>
      <c r="H2912" s="32" t="str">
        <f t="shared" si="91"/>
        <v>||1900|</v>
      </c>
      <c r="I2912" s="32">
        <f>IF(G2912="",0,IF(COUNTIF($G$2:G2912,G2912)=1,1,0))</f>
        <v>0</v>
      </c>
      <c r="J2912" s="32">
        <f>IF(H2912="",0,IF(COUNTIF($H$2:H2912,H2912)=1,1,0))</f>
        <v>0</v>
      </c>
    </row>
    <row r="2913" spans="1:10" ht="14.25" hidden="1" customHeight="1" x14ac:dyDescent="0.35">
      <c r="A2913" s="30"/>
      <c r="E2913" s="31"/>
      <c r="G2913" s="32" t="str">
        <f t="shared" si="90"/>
        <v>|||1900|</v>
      </c>
      <c r="H2913" s="32" t="str">
        <f t="shared" si="91"/>
        <v>||1900|</v>
      </c>
      <c r="I2913" s="32">
        <f>IF(G2913="",0,IF(COUNTIF($G$2:G2913,G2913)=1,1,0))</f>
        <v>0</v>
      </c>
      <c r="J2913" s="32">
        <f>IF(H2913="",0,IF(COUNTIF($H$2:H2913,H2913)=1,1,0))</f>
        <v>0</v>
      </c>
    </row>
    <row r="2914" spans="1:10" ht="14.25" hidden="1" customHeight="1" x14ac:dyDescent="0.35">
      <c r="A2914" s="30"/>
      <c r="E2914" s="31"/>
      <c r="G2914" s="32" t="str">
        <f t="shared" si="90"/>
        <v>|||1900|</v>
      </c>
      <c r="H2914" s="32" t="str">
        <f t="shared" si="91"/>
        <v>||1900|</v>
      </c>
      <c r="I2914" s="32">
        <f>IF(G2914="",0,IF(COUNTIF($G$2:G2914,G2914)=1,1,0))</f>
        <v>0</v>
      </c>
      <c r="J2914" s="32">
        <f>IF(H2914="",0,IF(COUNTIF($H$2:H2914,H2914)=1,1,0))</f>
        <v>0</v>
      </c>
    </row>
    <row r="2915" spans="1:10" ht="14.25" hidden="1" customHeight="1" x14ac:dyDescent="0.35">
      <c r="A2915" s="30"/>
      <c r="E2915" s="31"/>
      <c r="G2915" s="32" t="str">
        <f t="shared" si="90"/>
        <v>|||1900|</v>
      </c>
      <c r="H2915" s="32" t="str">
        <f t="shared" si="91"/>
        <v>||1900|</v>
      </c>
      <c r="I2915" s="32">
        <f>IF(G2915="",0,IF(COUNTIF($G$2:G2915,G2915)=1,1,0))</f>
        <v>0</v>
      </c>
      <c r="J2915" s="32">
        <f>IF(H2915="",0,IF(COUNTIF($H$2:H2915,H2915)=1,1,0))</f>
        <v>0</v>
      </c>
    </row>
    <row r="2916" spans="1:10" ht="14.25" hidden="1" customHeight="1" x14ac:dyDescent="0.35">
      <c r="A2916" s="30"/>
      <c r="E2916" s="31"/>
      <c r="G2916" s="32" t="str">
        <f t="shared" si="90"/>
        <v>|||1900|</v>
      </c>
      <c r="H2916" s="32" t="str">
        <f t="shared" si="91"/>
        <v>||1900|</v>
      </c>
      <c r="I2916" s="32">
        <f>IF(G2916="",0,IF(COUNTIF($G$2:G2916,G2916)=1,1,0))</f>
        <v>0</v>
      </c>
      <c r="J2916" s="32">
        <f>IF(H2916="",0,IF(COUNTIF($H$2:H2916,H2916)=1,1,0))</f>
        <v>0</v>
      </c>
    </row>
    <row r="2917" spans="1:10" ht="14.25" hidden="1" customHeight="1" x14ac:dyDescent="0.35">
      <c r="A2917" s="30"/>
      <c r="E2917" s="31"/>
      <c r="G2917" s="32" t="str">
        <f t="shared" si="90"/>
        <v>|||1900|</v>
      </c>
      <c r="H2917" s="32" t="str">
        <f t="shared" si="91"/>
        <v>||1900|</v>
      </c>
      <c r="I2917" s="32">
        <f>IF(G2917="",0,IF(COUNTIF($G$2:G2917,G2917)=1,1,0))</f>
        <v>0</v>
      </c>
      <c r="J2917" s="32">
        <f>IF(H2917="",0,IF(COUNTIF($H$2:H2917,H2917)=1,1,0))</f>
        <v>0</v>
      </c>
    </row>
    <row r="2918" spans="1:10" ht="14.25" hidden="1" customHeight="1" x14ac:dyDescent="0.35">
      <c r="A2918" s="30"/>
      <c r="E2918" s="31"/>
      <c r="G2918" s="32" t="str">
        <f t="shared" si="90"/>
        <v>|||1900|</v>
      </c>
      <c r="H2918" s="32" t="str">
        <f t="shared" si="91"/>
        <v>||1900|</v>
      </c>
      <c r="I2918" s="32">
        <f>IF(G2918="",0,IF(COUNTIF($G$2:G2918,G2918)=1,1,0))</f>
        <v>0</v>
      </c>
      <c r="J2918" s="32">
        <f>IF(H2918="",0,IF(COUNTIF($H$2:H2918,H2918)=1,1,0))</f>
        <v>0</v>
      </c>
    </row>
    <row r="2919" spans="1:10" ht="14.25" hidden="1" customHeight="1" x14ac:dyDescent="0.35">
      <c r="A2919" s="30"/>
      <c r="E2919" s="31"/>
      <c r="G2919" s="32" t="str">
        <f t="shared" si="90"/>
        <v>|||1900|</v>
      </c>
      <c r="H2919" s="32" t="str">
        <f t="shared" si="91"/>
        <v>||1900|</v>
      </c>
      <c r="I2919" s="32">
        <f>IF(G2919="",0,IF(COUNTIF($G$2:G2919,G2919)=1,1,0))</f>
        <v>0</v>
      </c>
      <c r="J2919" s="32">
        <f>IF(H2919="",0,IF(COUNTIF($H$2:H2919,H2919)=1,1,0))</f>
        <v>0</v>
      </c>
    </row>
    <row r="2920" spans="1:10" ht="14.25" hidden="1" customHeight="1" x14ac:dyDescent="0.35">
      <c r="A2920" s="30"/>
      <c r="E2920" s="31"/>
      <c r="G2920" s="32" t="str">
        <f t="shared" si="90"/>
        <v>|||1900|</v>
      </c>
      <c r="H2920" s="32" t="str">
        <f t="shared" si="91"/>
        <v>||1900|</v>
      </c>
      <c r="I2920" s="32">
        <f>IF(G2920="",0,IF(COUNTIF($G$2:G2920,G2920)=1,1,0))</f>
        <v>0</v>
      </c>
      <c r="J2920" s="32">
        <f>IF(H2920="",0,IF(COUNTIF($H$2:H2920,H2920)=1,1,0))</f>
        <v>0</v>
      </c>
    </row>
    <row r="2921" spans="1:10" ht="14.25" hidden="1" customHeight="1" x14ac:dyDescent="0.35">
      <c r="A2921" s="30"/>
      <c r="E2921" s="31"/>
      <c r="G2921" s="32" t="str">
        <f t="shared" si="90"/>
        <v>|||1900|</v>
      </c>
      <c r="H2921" s="32" t="str">
        <f t="shared" si="91"/>
        <v>||1900|</v>
      </c>
      <c r="I2921" s="32">
        <f>IF(G2921="",0,IF(COUNTIF($G$2:G2921,G2921)=1,1,0))</f>
        <v>0</v>
      </c>
      <c r="J2921" s="32">
        <f>IF(H2921="",0,IF(COUNTIF($H$2:H2921,H2921)=1,1,0))</f>
        <v>0</v>
      </c>
    </row>
    <row r="2922" spans="1:10" ht="14.25" hidden="1" customHeight="1" x14ac:dyDescent="0.35">
      <c r="A2922" s="30"/>
      <c r="E2922" s="31"/>
      <c r="G2922" s="32" t="str">
        <f t="shared" si="90"/>
        <v>|||1900|</v>
      </c>
      <c r="H2922" s="32" t="str">
        <f t="shared" si="91"/>
        <v>||1900|</v>
      </c>
      <c r="I2922" s="32">
        <f>IF(G2922="",0,IF(COUNTIF($G$2:G2922,G2922)=1,1,0))</f>
        <v>0</v>
      </c>
      <c r="J2922" s="32">
        <f>IF(H2922="",0,IF(COUNTIF($H$2:H2922,H2922)=1,1,0))</f>
        <v>0</v>
      </c>
    </row>
    <row r="2923" spans="1:10" ht="14.25" hidden="1" customHeight="1" x14ac:dyDescent="0.35">
      <c r="A2923" s="30"/>
      <c r="E2923" s="31"/>
      <c r="G2923" s="32" t="str">
        <f t="shared" si="90"/>
        <v>|||1900|</v>
      </c>
      <c r="H2923" s="32" t="str">
        <f t="shared" si="91"/>
        <v>||1900|</v>
      </c>
      <c r="I2923" s="32">
        <f>IF(G2923="",0,IF(COUNTIF($G$2:G2923,G2923)=1,1,0))</f>
        <v>0</v>
      </c>
      <c r="J2923" s="32">
        <f>IF(H2923="",0,IF(COUNTIF($H$2:H2923,H2923)=1,1,0))</f>
        <v>0</v>
      </c>
    </row>
    <row r="2924" spans="1:10" ht="14.25" hidden="1" customHeight="1" x14ac:dyDescent="0.35">
      <c r="A2924" s="30"/>
      <c r="E2924" s="31"/>
      <c r="G2924" s="32" t="str">
        <f t="shared" si="90"/>
        <v>|||1900|</v>
      </c>
      <c r="H2924" s="32" t="str">
        <f t="shared" si="91"/>
        <v>||1900|</v>
      </c>
      <c r="I2924" s="32">
        <f>IF(G2924="",0,IF(COUNTIF($G$2:G2924,G2924)=1,1,0))</f>
        <v>0</v>
      </c>
      <c r="J2924" s="32">
        <f>IF(H2924="",0,IF(COUNTIF($H$2:H2924,H2924)=1,1,0))</f>
        <v>0</v>
      </c>
    </row>
    <row r="2925" spans="1:10" ht="14.25" hidden="1" customHeight="1" x14ac:dyDescent="0.35">
      <c r="A2925" s="30"/>
      <c r="E2925" s="31"/>
      <c r="G2925" s="32" t="str">
        <f t="shared" si="90"/>
        <v>|||1900|</v>
      </c>
      <c r="H2925" s="32" t="str">
        <f t="shared" si="91"/>
        <v>||1900|</v>
      </c>
      <c r="I2925" s="32">
        <f>IF(G2925="",0,IF(COUNTIF($G$2:G2925,G2925)=1,1,0))</f>
        <v>0</v>
      </c>
      <c r="J2925" s="32">
        <f>IF(H2925="",0,IF(COUNTIF($H$2:H2925,H2925)=1,1,0))</f>
        <v>0</v>
      </c>
    </row>
    <row r="2926" spans="1:10" ht="14.25" hidden="1" customHeight="1" x14ac:dyDescent="0.35">
      <c r="A2926" s="30"/>
      <c r="E2926" s="31"/>
      <c r="G2926" s="32" t="str">
        <f t="shared" si="90"/>
        <v>|||1900|</v>
      </c>
      <c r="H2926" s="32" t="str">
        <f t="shared" si="91"/>
        <v>||1900|</v>
      </c>
      <c r="I2926" s="32">
        <f>IF(G2926="",0,IF(COUNTIF($G$2:G2926,G2926)=1,1,0))</f>
        <v>0</v>
      </c>
      <c r="J2926" s="32">
        <f>IF(H2926="",0,IF(COUNTIF($H$2:H2926,H2926)=1,1,0))</f>
        <v>0</v>
      </c>
    </row>
    <row r="2927" spans="1:10" ht="14.25" hidden="1" customHeight="1" x14ac:dyDescent="0.35">
      <c r="A2927" s="30"/>
      <c r="E2927" s="31"/>
      <c r="G2927" s="32" t="str">
        <f t="shared" si="90"/>
        <v>|||1900|</v>
      </c>
      <c r="H2927" s="32" t="str">
        <f t="shared" si="91"/>
        <v>||1900|</v>
      </c>
      <c r="I2927" s="32">
        <f>IF(G2927="",0,IF(COUNTIF($G$2:G2927,G2927)=1,1,0))</f>
        <v>0</v>
      </c>
      <c r="J2927" s="32">
        <f>IF(H2927="",0,IF(COUNTIF($H$2:H2927,H2927)=1,1,0))</f>
        <v>0</v>
      </c>
    </row>
    <row r="2928" spans="1:10" ht="14.25" hidden="1" customHeight="1" x14ac:dyDescent="0.35">
      <c r="A2928" s="30"/>
      <c r="E2928" s="31"/>
      <c r="G2928" s="32" t="str">
        <f t="shared" si="90"/>
        <v>|||1900|</v>
      </c>
      <c r="H2928" s="32" t="str">
        <f t="shared" si="91"/>
        <v>||1900|</v>
      </c>
      <c r="I2928" s="32">
        <f>IF(G2928="",0,IF(COUNTIF($G$2:G2928,G2928)=1,1,0))</f>
        <v>0</v>
      </c>
      <c r="J2928" s="32">
        <f>IF(H2928="",0,IF(COUNTIF($H$2:H2928,H2928)=1,1,0))</f>
        <v>0</v>
      </c>
    </row>
    <row r="2929" spans="1:10" ht="14.25" hidden="1" customHeight="1" x14ac:dyDescent="0.35">
      <c r="A2929" s="30"/>
      <c r="E2929" s="31"/>
      <c r="G2929" s="32" t="str">
        <f t="shared" si="90"/>
        <v>|||1900|</v>
      </c>
      <c r="H2929" s="32" t="str">
        <f t="shared" si="91"/>
        <v>||1900|</v>
      </c>
      <c r="I2929" s="32">
        <f>IF(G2929="",0,IF(COUNTIF($G$2:G2929,G2929)=1,1,0))</f>
        <v>0</v>
      </c>
      <c r="J2929" s="32">
        <f>IF(H2929="",0,IF(COUNTIF($H$2:H2929,H2929)=1,1,0))</f>
        <v>0</v>
      </c>
    </row>
    <row r="2930" spans="1:10" ht="14.25" hidden="1" customHeight="1" x14ac:dyDescent="0.35">
      <c r="A2930" s="30"/>
      <c r="E2930" s="31"/>
      <c r="G2930" s="32" t="str">
        <f t="shared" si="90"/>
        <v>|||1900|</v>
      </c>
      <c r="H2930" s="32" t="str">
        <f t="shared" si="91"/>
        <v>||1900|</v>
      </c>
      <c r="I2930" s="32">
        <f>IF(G2930="",0,IF(COUNTIF($G$2:G2930,G2930)=1,1,0))</f>
        <v>0</v>
      </c>
      <c r="J2930" s="32">
        <f>IF(H2930="",0,IF(COUNTIF($H$2:H2930,H2930)=1,1,0))</f>
        <v>0</v>
      </c>
    </row>
    <row r="2931" spans="1:10" ht="14.25" hidden="1" customHeight="1" x14ac:dyDescent="0.35">
      <c r="A2931" s="30"/>
      <c r="E2931" s="31"/>
      <c r="G2931" s="32" t="str">
        <f t="shared" si="90"/>
        <v>|||1900|</v>
      </c>
      <c r="H2931" s="32" t="str">
        <f t="shared" si="91"/>
        <v>||1900|</v>
      </c>
      <c r="I2931" s="32">
        <f>IF(G2931="",0,IF(COUNTIF($G$2:G2931,G2931)=1,1,0))</f>
        <v>0</v>
      </c>
      <c r="J2931" s="32">
        <f>IF(H2931="",0,IF(COUNTIF($H$2:H2931,H2931)=1,1,0))</f>
        <v>0</v>
      </c>
    </row>
    <row r="2932" spans="1:10" ht="14.25" hidden="1" customHeight="1" x14ac:dyDescent="0.35">
      <c r="A2932" s="30"/>
      <c r="E2932" s="31"/>
      <c r="G2932" s="32" t="str">
        <f t="shared" si="90"/>
        <v>|||1900|</v>
      </c>
      <c r="H2932" s="32" t="str">
        <f t="shared" si="91"/>
        <v>||1900|</v>
      </c>
      <c r="I2932" s="32">
        <f>IF(G2932="",0,IF(COUNTIF($G$2:G2932,G2932)=1,1,0))</f>
        <v>0</v>
      </c>
      <c r="J2932" s="32">
        <f>IF(H2932="",0,IF(COUNTIF($H$2:H2932,H2932)=1,1,0))</f>
        <v>0</v>
      </c>
    </row>
    <row r="2933" spans="1:10" ht="14.25" hidden="1" customHeight="1" x14ac:dyDescent="0.35">
      <c r="A2933" s="30"/>
      <c r="E2933" s="31"/>
      <c r="G2933" s="32" t="str">
        <f t="shared" si="90"/>
        <v>|||1900|</v>
      </c>
      <c r="H2933" s="32" t="str">
        <f t="shared" si="91"/>
        <v>||1900|</v>
      </c>
      <c r="I2933" s="32">
        <f>IF(G2933="",0,IF(COUNTIF($G$2:G2933,G2933)=1,1,0))</f>
        <v>0</v>
      </c>
      <c r="J2933" s="32">
        <f>IF(H2933="",0,IF(COUNTIF($H$2:H2933,H2933)=1,1,0))</f>
        <v>0</v>
      </c>
    </row>
    <row r="2934" spans="1:10" ht="14.25" hidden="1" customHeight="1" x14ac:dyDescent="0.35">
      <c r="A2934" s="30"/>
      <c r="E2934" s="31"/>
      <c r="G2934" s="32" t="str">
        <f t="shared" si="90"/>
        <v>|||1900|</v>
      </c>
      <c r="H2934" s="32" t="str">
        <f t="shared" si="91"/>
        <v>||1900|</v>
      </c>
      <c r="I2934" s="32">
        <f>IF(G2934="",0,IF(COUNTIF($G$2:G2934,G2934)=1,1,0))</f>
        <v>0</v>
      </c>
      <c r="J2934" s="32">
        <f>IF(H2934="",0,IF(COUNTIF($H$2:H2934,H2934)=1,1,0))</f>
        <v>0</v>
      </c>
    </row>
    <row r="2935" spans="1:10" ht="14.25" hidden="1" customHeight="1" x14ac:dyDescent="0.35">
      <c r="A2935" s="30"/>
      <c r="E2935" s="31"/>
      <c r="G2935" s="32" t="str">
        <f t="shared" si="90"/>
        <v>|||1900|</v>
      </c>
      <c r="H2935" s="32" t="str">
        <f t="shared" si="91"/>
        <v>||1900|</v>
      </c>
      <c r="I2935" s="32">
        <f>IF(G2935="",0,IF(COUNTIF($G$2:G2935,G2935)=1,1,0))</f>
        <v>0</v>
      </c>
      <c r="J2935" s="32">
        <f>IF(H2935="",0,IF(COUNTIF($H$2:H2935,H2935)=1,1,0))</f>
        <v>0</v>
      </c>
    </row>
    <row r="2936" spans="1:10" ht="14.25" hidden="1" customHeight="1" x14ac:dyDescent="0.35">
      <c r="A2936" s="30"/>
      <c r="E2936" s="31"/>
      <c r="G2936" s="32" t="str">
        <f t="shared" si="90"/>
        <v>|||1900|</v>
      </c>
      <c r="H2936" s="32" t="str">
        <f t="shared" si="91"/>
        <v>||1900|</v>
      </c>
      <c r="I2936" s="32">
        <f>IF(G2936="",0,IF(COUNTIF($G$2:G2936,G2936)=1,1,0))</f>
        <v>0</v>
      </c>
      <c r="J2936" s="32">
        <f>IF(H2936="",0,IF(COUNTIF($H$2:H2936,H2936)=1,1,0))</f>
        <v>0</v>
      </c>
    </row>
    <row r="2937" spans="1:10" ht="14.25" hidden="1" customHeight="1" x14ac:dyDescent="0.35">
      <c r="A2937" s="30"/>
      <c r="E2937" s="31"/>
      <c r="G2937" s="32" t="str">
        <f t="shared" si="90"/>
        <v>|||1900|</v>
      </c>
      <c r="H2937" s="32" t="str">
        <f t="shared" si="91"/>
        <v>||1900|</v>
      </c>
      <c r="I2937" s="32">
        <f>IF(G2937="",0,IF(COUNTIF($G$2:G2937,G2937)=1,1,0))</f>
        <v>0</v>
      </c>
      <c r="J2937" s="32">
        <f>IF(H2937="",0,IF(COUNTIF($H$2:H2937,H2937)=1,1,0))</f>
        <v>0</v>
      </c>
    </row>
    <row r="2938" spans="1:10" ht="14.25" hidden="1" customHeight="1" x14ac:dyDescent="0.35">
      <c r="A2938" s="30"/>
      <c r="E2938" s="31"/>
      <c r="G2938" s="32" t="str">
        <f t="shared" si="90"/>
        <v>|||1900|</v>
      </c>
      <c r="H2938" s="32" t="str">
        <f t="shared" si="91"/>
        <v>||1900|</v>
      </c>
      <c r="I2938" s="32">
        <f>IF(G2938="",0,IF(COUNTIF($G$2:G2938,G2938)=1,1,0))</f>
        <v>0</v>
      </c>
      <c r="J2938" s="32">
        <f>IF(H2938="",0,IF(COUNTIF($H$2:H2938,H2938)=1,1,0))</f>
        <v>0</v>
      </c>
    </row>
    <row r="2939" spans="1:10" ht="14.25" hidden="1" customHeight="1" x14ac:dyDescent="0.35">
      <c r="A2939" s="30"/>
      <c r="E2939" s="31"/>
      <c r="G2939" s="32" t="str">
        <f t="shared" si="90"/>
        <v>|||1900|</v>
      </c>
      <c r="H2939" s="32" t="str">
        <f t="shared" si="91"/>
        <v>||1900|</v>
      </c>
      <c r="I2939" s="32">
        <f>IF(G2939="",0,IF(COUNTIF($G$2:G2939,G2939)=1,1,0))</f>
        <v>0</v>
      </c>
      <c r="J2939" s="32">
        <f>IF(H2939="",0,IF(COUNTIF($H$2:H2939,H2939)=1,1,0))</f>
        <v>0</v>
      </c>
    </row>
    <row r="2940" spans="1:10" ht="14.25" hidden="1" customHeight="1" x14ac:dyDescent="0.35">
      <c r="A2940" s="30"/>
      <c r="E2940" s="31"/>
      <c r="G2940" s="32" t="str">
        <f t="shared" si="90"/>
        <v>|||1900|</v>
      </c>
      <c r="H2940" s="32" t="str">
        <f t="shared" si="91"/>
        <v>||1900|</v>
      </c>
      <c r="I2940" s="32">
        <f>IF(G2940="",0,IF(COUNTIF($G$2:G2940,G2940)=1,1,0))</f>
        <v>0</v>
      </c>
      <c r="J2940" s="32">
        <f>IF(H2940="",0,IF(COUNTIF($H$2:H2940,H2940)=1,1,0))</f>
        <v>0</v>
      </c>
    </row>
    <row r="2941" spans="1:10" ht="14.25" hidden="1" customHeight="1" x14ac:dyDescent="0.35">
      <c r="A2941" s="30"/>
      <c r="E2941" s="31"/>
      <c r="G2941" s="32" t="str">
        <f t="shared" si="90"/>
        <v>|||1900|</v>
      </c>
      <c r="H2941" s="32" t="str">
        <f t="shared" si="91"/>
        <v>||1900|</v>
      </c>
      <c r="I2941" s="32">
        <f>IF(G2941="",0,IF(COUNTIF($G$2:G2941,G2941)=1,1,0))</f>
        <v>0</v>
      </c>
      <c r="J2941" s="32">
        <f>IF(H2941="",0,IF(COUNTIF($H$2:H2941,H2941)=1,1,0))</f>
        <v>0</v>
      </c>
    </row>
    <row r="2942" spans="1:10" ht="14.25" hidden="1" customHeight="1" x14ac:dyDescent="0.35">
      <c r="A2942" s="30"/>
      <c r="E2942" s="31"/>
      <c r="G2942" s="32" t="str">
        <f t="shared" si="90"/>
        <v>|||1900|</v>
      </c>
      <c r="H2942" s="32" t="str">
        <f t="shared" si="91"/>
        <v>||1900|</v>
      </c>
      <c r="I2942" s="32">
        <f>IF(G2942="",0,IF(COUNTIF($G$2:G2942,G2942)=1,1,0))</f>
        <v>0</v>
      </c>
      <c r="J2942" s="32">
        <f>IF(H2942="",0,IF(COUNTIF($H$2:H2942,H2942)=1,1,0))</f>
        <v>0</v>
      </c>
    </row>
    <row r="2943" spans="1:10" ht="14.25" hidden="1" customHeight="1" x14ac:dyDescent="0.35">
      <c r="A2943" s="30"/>
      <c r="E2943" s="31"/>
      <c r="G2943" s="32" t="str">
        <f t="shared" si="90"/>
        <v>|||1900|</v>
      </c>
      <c r="H2943" s="32" t="str">
        <f t="shared" si="91"/>
        <v>||1900|</v>
      </c>
      <c r="I2943" s="32">
        <f>IF(G2943="",0,IF(COUNTIF($G$2:G2943,G2943)=1,1,0))</f>
        <v>0</v>
      </c>
      <c r="J2943" s="32">
        <f>IF(H2943="",0,IF(COUNTIF($H$2:H2943,H2943)=1,1,0))</f>
        <v>0</v>
      </c>
    </row>
    <row r="2944" spans="1:10" ht="14.25" hidden="1" customHeight="1" x14ac:dyDescent="0.35">
      <c r="A2944" s="30"/>
      <c r="E2944" s="31"/>
      <c r="G2944" s="32" t="str">
        <f t="shared" si="90"/>
        <v>|||1900|</v>
      </c>
      <c r="H2944" s="32" t="str">
        <f t="shared" si="91"/>
        <v>||1900|</v>
      </c>
      <c r="I2944" s="32">
        <f>IF(G2944="",0,IF(COUNTIF($G$2:G2944,G2944)=1,1,0))</f>
        <v>0</v>
      </c>
      <c r="J2944" s="32">
        <f>IF(H2944="",0,IF(COUNTIF($H$2:H2944,H2944)=1,1,0))</f>
        <v>0</v>
      </c>
    </row>
    <row r="2945" spans="1:10" ht="14.25" hidden="1" customHeight="1" x14ac:dyDescent="0.35">
      <c r="A2945" s="30"/>
      <c r="E2945" s="31"/>
      <c r="G2945" s="32" t="str">
        <f t="shared" si="90"/>
        <v>|||1900|</v>
      </c>
      <c r="H2945" s="32" t="str">
        <f t="shared" si="91"/>
        <v>||1900|</v>
      </c>
      <c r="I2945" s="32">
        <f>IF(G2945="",0,IF(COUNTIF($G$2:G2945,G2945)=1,1,0))</f>
        <v>0</v>
      </c>
      <c r="J2945" s="32">
        <f>IF(H2945="",0,IF(COUNTIF($H$2:H2945,H2945)=1,1,0))</f>
        <v>0</v>
      </c>
    </row>
    <row r="2946" spans="1:10" ht="14.25" hidden="1" customHeight="1" x14ac:dyDescent="0.35">
      <c r="A2946" s="30"/>
      <c r="E2946" s="31"/>
      <c r="G2946" s="32" t="str">
        <f t="shared" ref="G2946:G3009" si="92">IF(D2946="T",
E2946&amp;"|"&amp;F2946,
A2946&amp;"|"&amp;B2946&amp;"|"&amp;C2946&amp;"|"&amp;YEAR(E2946)&amp;"|"&amp;F2946)</f>
        <v>|||1900|</v>
      </c>
      <c r="H2946" s="32" t="str">
        <f t="shared" ref="H2946:H3009" si="93">A2946&amp;"|"&amp;C2946&amp;"|"&amp;YEAR(E2946)&amp;"|"&amp;F2946</f>
        <v>||1900|</v>
      </c>
      <c r="I2946" s="32">
        <f>IF(G2946="",0,IF(COUNTIF($G$2:G2946,G2946)=1,1,0))</f>
        <v>0</v>
      </c>
      <c r="J2946" s="32">
        <f>IF(H2946="",0,IF(COUNTIF($H$2:H2946,H2946)=1,1,0))</f>
        <v>0</v>
      </c>
    </row>
    <row r="2947" spans="1:10" ht="14.25" hidden="1" customHeight="1" x14ac:dyDescent="0.35">
      <c r="A2947" s="30"/>
      <c r="E2947" s="31"/>
      <c r="G2947" s="32" t="str">
        <f t="shared" si="92"/>
        <v>|||1900|</v>
      </c>
      <c r="H2947" s="32" t="str">
        <f t="shared" si="93"/>
        <v>||1900|</v>
      </c>
      <c r="I2947" s="32">
        <f>IF(G2947="",0,IF(COUNTIF($G$2:G2947,G2947)=1,1,0))</f>
        <v>0</v>
      </c>
      <c r="J2947" s="32">
        <f>IF(H2947="",0,IF(COUNTIF($H$2:H2947,H2947)=1,1,0))</f>
        <v>0</v>
      </c>
    </row>
    <row r="2948" spans="1:10" ht="14.25" hidden="1" customHeight="1" x14ac:dyDescent="0.35">
      <c r="A2948" s="30"/>
      <c r="E2948" s="31"/>
      <c r="G2948" s="32" t="str">
        <f t="shared" si="92"/>
        <v>|||1900|</v>
      </c>
      <c r="H2948" s="32" t="str">
        <f t="shared" si="93"/>
        <v>||1900|</v>
      </c>
      <c r="I2948" s="32">
        <f>IF(G2948="",0,IF(COUNTIF($G$2:G2948,G2948)=1,1,0))</f>
        <v>0</v>
      </c>
      <c r="J2948" s="32">
        <f>IF(H2948="",0,IF(COUNTIF($H$2:H2948,H2948)=1,1,0))</f>
        <v>0</v>
      </c>
    </row>
    <row r="2949" spans="1:10" ht="14.25" hidden="1" customHeight="1" x14ac:dyDescent="0.35">
      <c r="A2949" s="30"/>
      <c r="E2949" s="31"/>
      <c r="G2949" s="32" t="str">
        <f t="shared" si="92"/>
        <v>|||1900|</v>
      </c>
      <c r="H2949" s="32" t="str">
        <f t="shared" si="93"/>
        <v>||1900|</v>
      </c>
      <c r="I2949" s="32">
        <f>IF(G2949="",0,IF(COUNTIF($G$2:G2949,G2949)=1,1,0))</f>
        <v>0</v>
      </c>
      <c r="J2949" s="32">
        <f>IF(H2949="",0,IF(COUNTIF($H$2:H2949,H2949)=1,1,0))</f>
        <v>0</v>
      </c>
    </row>
    <row r="2950" spans="1:10" ht="14.25" hidden="1" customHeight="1" x14ac:dyDescent="0.35">
      <c r="A2950" s="30"/>
      <c r="E2950" s="31"/>
      <c r="G2950" s="32" t="str">
        <f t="shared" si="92"/>
        <v>|||1900|</v>
      </c>
      <c r="H2950" s="32" t="str">
        <f t="shared" si="93"/>
        <v>||1900|</v>
      </c>
      <c r="I2950" s="32">
        <f>IF(G2950="",0,IF(COUNTIF($G$2:G2950,G2950)=1,1,0))</f>
        <v>0</v>
      </c>
      <c r="J2950" s="32">
        <f>IF(H2950="",0,IF(COUNTIF($H$2:H2950,H2950)=1,1,0))</f>
        <v>0</v>
      </c>
    </row>
    <row r="2951" spans="1:10" ht="14.25" hidden="1" customHeight="1" x14ac:dyDescent="0.35">
      <c r="A2951" s="30"/>
      <c r="E2951" s="31"/>
      <c r="G2951" s="32" t="str">
        <f t="shared" si="92"/>
        <v>|||1900|</v>
      </c>
      <c r="H2951" s="32" t="str">
        <f t="shared" si="93"/>
        <v>||1900|</v>
      </c>
      <c r="I2951" s="32">
        <f>IF(G2951="",0,IF(COUNTIF($G$2:G2951,G2951)=1,1,0))</f>
        <v>0</v>
      </c>
      <c r="J2951" s="32">
        <f>IF(H2951="",0,IF(COUNTIF($H$2:H2951,H2951)=1,1,0))</f>
        <v>0</v>
      </c>
    </row>
    <row r="2952" spans="1:10" ht="14.25" hidden="1" customHeight="1" x14ac:dyDescent="0.35">
      <c r="A2952" s="30"/>
      <c r="E2952" s="31"/>
      <c r="G2952" s="32" t="str">
        <f t="shared" si="92"/>
        <v>|||1900|</v>
      </c>
      <c r="H2952" s="32" t="str">
        <f t="shared" si="93"/>
        <v>||1900|</v>
      </c>
      <c r="I2952" s="32">
        <f>IF(G2952="",0,IF(COUNTIF($G$2:G2952,G2952)=1,1,0))</f>
        <v>0</v>
      </c>
      <c r="J2952" s="32">
        <f>IF(H2952="",0,IF(COUNTIF($H$2:H2952,H2952)=1,1,0))</f>
        <v>0</v>
      </c>
    </row>
    <row r="2953" spans="1:10" ht="14.25" hidden="1" customHeight="1" x14ac:dyDescent="0.35">
      <c r="A2953" s="30"/>
      <c r="E2953" s="31"/>
      <c r="G2953" s="32" t="str">
        <f t="shared" si="92"/>
        <v>|||1900|</v>
      </c>
      <c r="H2953" s="32" t="str">
        <f t="shared" si="93"/>
        <v>||1900|</v>
      </c>
      <c r="I2953" s="32">
        <f>IF(G2953="",0,IF(COUNTIF($G$2:G2953,G2953)=1,1,0))</f>
        <v>0</v>
      </c>
      <c r="J2953" s="32">
        <f>IF(H2953="",0,IF(COUNTIF($H$2:H2953,H2953)=1,1,0))</f>
        <v>0</v>
      </c>
    </row>
    <row r="2954" spans="1:10" ht="14.25" hidden="1" customHeight="1" x14ac:dyDescent="0.35">
      <c r="A2954" s="30"/>
      <c r="E2954" s="31"/>
      <c r="G2954" s="32" t="str">
        <f t="shared" si="92"/>
        <v>|||1900|</v>
      </c>
      <c r="H2954" s="32" t="str">
        <f t="shared" si="93"/>
        <v>||1900|</v>
      </c>
      <c r="I2954" s="32">
        <f>IF(G2954="",0,IF(COUNTIF($G$2:G2954,G2954)=1,1,0))</f>
        <v>0</v>
      </c>
      <c r="J2954" s="32">
        <f>IF(H2954="",0,IF(COUNTIF($H$2:H2954,H2954)=1,1,0))</f>
        <v>0</v>
      </c>
    </row>
    <row r="2955" spans="1:10" ht="14.25" hidden="1" customHeight="1" x14ac:dyDescent="0.35">
      <c r="A2955" s="30"/>
      <c r="E2955" s="31"/>
      <c r="G2955" s="32" t="str">
        <f t="shared" si="92"/>
        <v>|||1900|</v>
      </c>
      <c r="H2955" s="32" t="str">
        <f t="shared" si="93"/>
        <v>||1900|</v>
      </c>
      <c r="I2955" s="32">
        <f>IF(G2955="",0,IF(COUNTIF($G$2:G2955,G2955)=1,1,0))</f>
        <v>0</v>
      </c>
      <c r="J2955" s="32">
        <f>IF(H2955="",0,IF(COUNTIF($H$2:H2955,H2955)=1,1,0))</f>
        <v>0</v>
      </c>
    </row>
    <row r="2956" spans="1:10" ht="14.25" hidden="1" customHeight="1" x14ac:dyDescent="0.35">
      <c r="A2956" s="30"/>
      <c r="E2956" s="31"/>
      <c r="G2956" s="32" t="str">
        <f t="shared" si="92"/>
        <v>|||1900|</v>
      </c>
      <c r="H2956" s="32" t="str">
        <f t="shared" si="93"/>
        <v>||1900|</v>
      </c>
      <c r="I2956" s="32">
        <f>IF(G2956="",0,IF(COUNTIF($G$2:G2956,G2956)=1,1,0))</f>
        <v>0</v>
      </c>
      <c r="J2956" s="32">
        <f>IF(H2956="",0,IF(COUNTIF($H$2:H2956,H2956)=1,1,0))</f>
        <v>0</v>
      </c>
    </row>
    <row r="2957" spans="1:10" ht="14.25" hidden="1" customHeight="1" x14ac:dyDescent="0.35">
      <c r="A2957" s="30"/>
      <c r="E2957" s="31"/>
      <c r="G2957" s="32" t="str">
        <f t="shared" si="92"/>
        <v>|||1900|</v>
      </c>
      <c r="H2957" s="32" t="str">
        <f t="shared" si="93"/>
        <v>||1900|</v>
      </c>
      <c r="I2957" s="32">
        <f>IF(G2957="",0,IF(COUNTIF($G$2:G2957,G2957)=1,1,0))</f>
        <v>0</v>
      </c>
      <c r="J2957" s="32">
        <f>IF(H2957="",0,IF(COUNTIF($H$2:H2957,H2957)=1,1,0))</f>
        <v>0</v>
      </c>
    </row>
    <row r="2958" spans="1:10" ht="14.25" hidden="1" customHeight="1" x14ac:dyDescent="0.35">
      <c r="A2958" s="30"/>
      <c r="E2958" s="31"/>
      <c r="G2958" s="32" t="str">
        <f t="shared" si="92"/>
        <v>|||1900|</v>
      </c>
      <c r="H2958" s="32" t="str">
        <f t="shared" si="93"/>
        <v>||1900|</v>
      </c>
      <c r="I2958" s="32">
        <f>IF(G2958="",0,IF(COUNTIF($G$2:G2958,G2958)=1,1,0))</f>
        <v>0</v>
      </c>
      <c r="J2958" s="32">
        <f>IF(H2958="",0,IF(COUNTIF($H$2:H2958,H2958)=1,1,0))</f>
        <v>0</v>
      </c>
    </row>
    <row r="2959" spans="1:10" ht="14.25" hidden="1" customHeight="1" x14ac:dyDescent="0.35">
      <c r="A2959" s="30"/>
      <c r="E2959" s="31"/>
      <c r="G2959" s="32" t="str">
        <f t="shared" si="92"/>
        <v>|||1900|</v>
      </c>
      <c r="H2959" s="32" t="str">
        <f t="shared" si="93"/>
        <v>||1900|</v>
      </c>
      <c r="I2959" s="32">
        <f>IF(G2959="",0,IF(COUNTIF($G$2:G2959,G2959)=1,1,0))</f>
        <v>0</v>
      </c>
      <c r="J2959" s="32">
        <f>IF(H2959="",0,IF(COUNTIF($H$2:H2959,H2959)=1,1,0))</f>
        <v>0</v>
      </c>
    </row>
    <row r="2960" spans="1:10" ht="14.25" hidden="1" customHeight="1" x14ac:dyDescent="0.35">
      <c r="A2960" s="30"/>
      <c r="E2960" s="31"/>
      <c r="G2960" s="32" t="str">
        <f t="shared" si="92"/>
        <v>|||1900|</v>
      </c>
      <c r="H2960" s="32" t="str">
        <f t="shared" si="93"/>
        <v>||1900|</v>
      </c>
      <c r="I2960" s="32">
        <f>IF(G2960="",0,IF(COUNTIF($G$2:G2960,G2960)=1,1,0))</f>
        <v>0</v>
      </c>
      <c r="J2960" s="32">
        <f>IF(H2960="",0,IF(COUNTIF($H$2:H2960,H2960)=1,1,0))</f>
        <v>0</v>
      </c>
    </row>
    <row r="2961" spans="1:10" ht="14.25" hidden="1" customHeight="1" x14ac:dyDescent="0.35">
      <c r="A2961" s="30"/>
      <c r="E2961" s="31"/>
      <c r="G2961" s="32" t="str">
        <f t="shared" si="92"/>
        <v>|||1900|</v>
      </c>
      <c r="H2961" s="32" t="str">
        <f t="shared" si="93"/>
        <v>||1900|</v>
      </c>
      <c r="I2961" s="32">
        <f>IF(G2961="",0,IF(COUNTIF($G$2:G2961,G2961)=1,1,0))</f>
        <v>0</v>
      </c>
      <c r="J2961" s="32">
        <f>IF(H2961="",0,IF(COUNTIF($H$2:H2961,H2961)=1,1,0))</f>
        <v>0</v>
      </c>
    </row>
    <row r="2962" spans="1:10" ht="14.25" hidden="1" customHeight="1" x14ac:dyDescent="0.35">
      <c r="A2962" s="30"/>
      <c r="E2962" s="31"/>
      <c r="G2962" s="32" t="str">
        <f t="shared" si="92"/>
        <v>|||1900|</v>
      </c>
      <c r="H2962" s="32" t="str">
        <f t="shared" si="93"/>
        <v>||1900|</v>
      </c>
      <c r="I2962" s="32">
        <f>IF(G2962="",0,IF(COUNTIF($G$2:G2962,G2962)=1,1,0))</f>
        <v>0</v>
      </c>
      <c r="J2962" s="32">
        <f>IF(H2962="",0,IF(COUNTIF($H$2:H2962,H2962)=1,1,0))</f>
        <v>0</v>
      </c>
    </row>
    <row r="2963" spans="1:10" ht="14.25" hidden="1" customHeight="1" x14ac:dyDescent="0.35">
      <c r="A2963" s="30"/>
      <c r="E2963" s="31"/>
      <c r="G2963" s="32" t="str">
        <f t="shared" si="92"/>
        <v>|||1900|</v>
      </c>
      <c r="H2963" s="32" t="str">
        <f t="shared" si="93"/>
        <v>||1900|</v>
      </c>
      <c r="I2963" s="32">
        <f>IF(G2963="",0,IF(COUNTIF($G$2:G2963,G2963)=1,1,0))</f>
        <v>0</v>
      </c>
      <c r="J2963" s="32">
        <f>IF(H2963="",0,IF(COUNTIF($H$2:H2963,H2963)=1,1,0))</f>
        <v>0</v>
      </c>
    </row>
    <row r="2964" spans="1:10" ht="14.25" hidden="1" customHeight="1" x14ac:dyDescent="0.35">
      <c r="A2964" s="30"/>
      <c r="E2964" s="31"/>
      <c r="G2964" s="32" t="str">
        <f t="shared" si="92"/>
        <v>|||1900|</v>
      </c>
      <c r="H2964" s="32" t="str">
        <f t="shared" si="93"/>
        <v>||1900|</v>
      </c>
      <c r="I2964" s="32">
        <f>IF(G2964="",0,IF(COUNTIF($G$2:G2964,G2964)=1,1,0))</f>
        <v>0</v>
      </c>
      <c r="J2964" s="32">
        <f>IF(H2964="",0,IF(COUNTIF($H$2:H2964,H2964)=1,1,0))</f>
        <v>0</v>
      </c>
    </row>
    <row r="2965" spans="1:10" ht="14.25" hidden="1" customHeight="1" x14ac:dyDescent="0.35">
      <c r="A2965" s="30"/>
      <c r="E2965" s="31"/>
      <c r="G2965" s="32" t="str">
        <f t="shared" si="92"/>
        <v>|||1900|</v>
      </c>
      <c r="H2965" s="32" t="str">
        <f t="shared" si="93"/>
        <v>||1900|</v>
      </c>
      <c r="I2965" s="32">
        <f>IF(G2965="",0,IF(COUNTIF($G$2:G2965,G2965)=1,1,0))</f>
        <v>0</v>
      </c>
      <c r="J2965" s="32">
        <f>IF(H2965="",0,IF(COUNTIF($H$2:H2965,H2965)=1,1,0))</f>
        <v>0</v>
      </c>
    </row>
    <row r="2966" spans="1:10" ht="14.25" hidden="1" customHeight="1" x14ac:dyDescent="0.35">
      <c r="A2966" s="30"/>
      <c r="E2966" s="31"/>
      <c r="G2966" s="32" t="str">
        <f t="shared" si="92"/>
        <v>|||1900|</v>
      </c>
      <c r="H2966" s="32" t="str">
        <f t="shared" si="93"/>
        <v>||1900|</v>
      </c>
      <c r="I2966" s="32">
        <f>IF(G2966="",0,IF(COUNTIF($G$2:G2966,G2966)=1,1,0))</f>
        <v>0</v>
      </c>
      <c r="J2966" s="32">
        <f>IF(H2966="",0,IF(COUNTIF($H$2:H2966,H2966)=1,1,0))</f>
        <v>0</v>
      </c>
    </row>
    <row r="2967" spans="1:10" ht="14.25" hidden="1" customHeight="1" x14ac:dyDescent="0.35">
      <c r="A2967" s="30"/>
      <c r="E2967" s="31"/>
      <c r="G2967" s="32" t="str">
        <f t="shared" si="92"/>
        <v>|||1900|</v>
      </c>
      <c r="H2967" s="32" t="str">
        <f t="shared" si="93"/>
        <v>||1900|</v>
      </c>
      <c r="I2967" s="32">
        <f>IF(G2967="",0,IF(COUNTIF($G$2:G2967,G2967)=1,1,0))</f>
        <v>0</v>
      </c>
      <c r="J2967" s="32">
        <f>IF(H2967="",0,IF(COUNTIF($H$2:H2967,H2967)=1,1,0))</f>
        <v>0</v>
      </c>
    </row>
    <row r="2968" spans="1:10" ht="14.25" hidden="1" customHeight="1" x14ac:dyDescent="0.35">
      <c r="A2968" s="30"/>
      <c r="E2968" s="31"/>
      <c r="G2968" s="32" t="str">
        <f t="shared" si="92"/>
        <v>|||1900|</v>
      </c>
      <c r="H2968" s="32" t="str">
        <f t="shared" si="93"/>
        <v>||1900|</v>
      </c>
      <c r="I2968" s="32">
        <f>IF(G2968="",0,IF(COUNTIF($G$2:G2968,G2968)=1,1,0))</f>
        <v>0</v>
      </c>
      <c r="J2968" s="32">
        <f>IF(H2968="",0,IF(COUNTIF($H$2:H2968,H2968)=1,1,0))</f>
        <v>0</v>
      </c>
    </row>
    <row r="2969" spans="1:10" ht="14.25" hidden="1" customHeight="1" x14ac:dyDescent="0.35">
      <c r="A2969" s="30"/>
      <c r="E2969" s="31"/>
      <c r="G2969" s="32" t="str">
        <f t="shared" si="92"/>
        <v>|||1900|</v>
      </c>
      <c r="H2969" s="32" t="str">
        <f t="shared" si="93"/>
        <v>||1900|</v>
      </c>
      <c r="I2969" s="32">
        <f>IF(G2969="",0,IF(COUNTIF($G$2:G2969,G2969)=1,1,0))</f>
        <v>0</v>
      </c>
      <c r="J2969" s="32">
        <f>IF(H2969="",0,IF(COUNTIF($H$2:H2969,H2969)=1,1,0))</f>
        <v>0</v>
      </c>
    </row>
    <row r="2970" spans="1:10" ht="14.25" hidden="1" customHeight="1" x14ac:dyDescent="0.35">
      <c r="A2970" s="30"/>
      <c r="E2970" s="31"/>
      <c r="G2970" s="32" t="str">
        <f t="shared" si="92"/>
        <v>|||1900|</v>
      </c>
      <c r="H2970" s="32" t="str">
        <f t="shared" si="93"/>
        <v>||1900|</v>
      </c>
      <c r="I2970" s="32">
        <f>IF(G2970="",0,IF(COUNTIF($G$2:G2970,G2970)=1,1,0))</f>
        <v>0</v>
      </c>
      <c r="J2970" s="32">
        <f>IF(H2970="",0,IF(COUNTIF($H$2:H2970,H2970)=1,1,0))</f>
        <v>0</v>
      </c>
    </row>
    <row r="2971" spans="1:10" ht="14.25" hidden="1" customHeight="1" x14ac:dyDescent="0.35">
      <c r="A2971" s="30"/>
      <c r="E2971" s="31"/>
      <c r="G2971" s="32" t="str">
        <f t="shared" si="92"/>
        <v>|||1900|</v>
      </c>
      <c r="H2971" s="32" t="str">
        <f t="shared" si="93"/>
        <v>||1900|</v>
      </c>
      <c r="I2971" s="32">
        <f>IF(G2971="",0,IF(COUNTIF($G$2:G2971,G2971)=1,1,0))</f>
        <v>0</v>
      </c>
      <c r="J2971" s="32">
        <f>IF(H2971="",0,IF(COUNTIF($H$2:H2971,H2971)=1,1,0))</f>
        <v>0</v>
      </c>
    </row>
    <row r="2972" spans="1:10" ht="14.25" hidden="1" customHeight="1" x14ac:dyDescent="0.35">
      <c r="A2972" s="30"/>
      <c r="E2972" s="31"/>
      <c r="G2972" s="32" t="str">
        <f t="shared" si="92"/>
        <v>|||1900|</v>
      </c>
      <c r="H2972" s="32" t="str">
        <f t="shared" si="93"/>
        <v>||1900|</v>
      </c>
      <c r="I2972" s="32">
        <f>IF(G2972="",0,IF(COUNTIF($G$2:G2972,G2972)=1,1,0))</f>
        <v>0</v>
      </c>
      <c r="J2972" s="32">
        <f>IF(H2972="",0,IF(COUNTIF($H$2:H2972,H2972)=1,1,0))</f>
        <v>0</v>
      </c>
    </row>
    <row r="2973" spans="1:10" ht="14.25" hidden="1" customHeight="1" x14ac:dyDescent="0.35">
      <c r="A2973" s="30"/>
      <c r="E2973" s="31"/>
      <c r="G2973" s="32" t="str">
        <f t="shared" si="92"/>
        <v>|||1900|</v>
      </c>
      <c r="H2973" s="32" t="str">
        <f t="shared" si="93"/>
        <v>||1900|</v>
      </c>
      <c r="I2973" s="32">
        <f>IF(G2973="",0,IF(COUNTIF($G$2:G2973,G2973)=1,1,0))</f>
        <v>0</v>
      </c>
      <c r="J2973" s="32">
        <f>IF(H2973="",0,IF(COUNTIF($H$2:H2973,H2973)=1,1,0))</f>
        <v>0</v>
      </c>
    </row>
    <row r="2974" spans="1:10" ht="14.25" hidden="1" customHeight="1" x14ac:dyDescent="0.35">
      <c r="A2974" s="30"/>
      <c r="E2974" s="31"/>
      <c r="G2974" s="32" t="str">
        <f t="shared" si="92"/>
        <v>|||1900|</v>
      </c>
      <c r="H2974" s="32" t="str">
        <f t="shared" si="93"/>
        <v>||1900|</v>
      </c>
      <c r="I2974" s="32">
        <f>IF(G2974="",0,IF(COUNTIF($G$2:G2974,G2974)=1,1,0))</f>
        <v>0</v>
      </c>
      <c r="J2974" s="32">
        <f>IF(H2974="",0,IF(COUNTIF($H$2:H2974,H2974)=1,1,0))</f>
        <v>0</v>
      </c>
    </row>
    <row r="2975" spans="1:10" ht="14.25" hidden="1" customHeight="1" x14ac:dyDescent="0.35">
      <c r="A2975" s="30"/>
      <c r="E2975" s="31"/>
      <c r="G2975" s="32" t="str">
        <f t="shared" si="92"/>
        <v>|||1900|</v>
      </c>
      <c r="H2975" s="32" t="str">
        <f t="shared" si="93"/>
        <v>||1900|</v>
      </c>
      <c r="I2975" s="32">
        <f>IF(G2975="",0,IF(COUNTIF($G$2:G2975,G2975)=1,1,0))</f>
        <v>0</v>
      </c>
      <c r="J2975" s="32">
        <f>IF(H2975="",0,IF(COUNTIF($H$2:H2975,H2975)=1,1,0))</f>
        <v>0</v>
      </c>
    </row>
    <row r="2976" spans="1:10" ht="14.25" hidden="1" customHeight="1" x14ac:dyDescent="0.35">
      <c r="A2976" s="30"/>
      <c r="E2976" s="31"/>
      <c r="G2976" s="32" t="str">
        <f t="shared" si="92"/>
        <v>|||1900|</v>
      </c>
      <c r="H2976" s="32" t="str">
        <f t="shared" si="93"/>
        <v>||1900|</v>
      </c>
      <c r="I2976" s="32">
        <f>IF(G2976="",0,IF(COUNTIF($G$2:G2976,G2976)=1,1,0))</f>
        <v>0</v>
      </c>
      <c r="J2976" s="32">
        <f>IF(H2976="",0,IF(COUNTIF($H$2:H2976,H2976)=1,1,0))</f>
        <v>0</v>
      </c>
    </row>
    <row r="2977" spans="1:10" ht="14.25" hidden="1" customHeight="1" x14ac:dyDescent="0.35">
      <c r="A2977" s="30"/>
      <c r="E2977" s="31"/>
      <c r="G2977" s="32" t="str">
        <f t="shared" si="92"/>
        <v>|||1900|</v>
      </c>
      <c r="H2977" s="32" t="str">
        <f t="shared" si="93"/>
        <v>||1900|</v>
      </c>
      <c r="I2977" s="32">
        <f>IF(G2977="",0,IF(COUNTIF($G$2:G2977,G2977)=1,1,0))</f>
        <v>0</v>
      </c>
      <c r="J2977" s="32">
        <f>IF(H2977="",0,IF(COUNTIF($H$2:H2977,H2977)=1,1,0))</f>
        <v>0</v>
      </c>
    </row>
    <row r="2978" spans="1:10" ht="14.25" hidden="1" customHeight="1" x14ac:dyDescent="0.35">
      <c r="A2978" s="30"/>
      <c r="E2978" s="31"/>
      <c r="G2978" s="32" t="str">
        <f t="shared" si="92"/>
        <v>|||1900|</v>
      </c>
      <c r="H2978" s="32" t="str">
        <f t="shared" si="93"/>
        <v>||1900|</v>
      </c>
      <c r="I2978" s="32">
        <f>IF(G2978="",0,IF(COUNTIF($G$2:G2978,G2978)=1,1,0))</f>
        <v>0</v>
      </c>
      <c r="J2978" s="32">
        <f>IF(H2978="",0,IF(COUNTIF($H$2:H2978,H2978)=1,1,0))</f>
        <v>0</v>
      </c>
    </row>
    <row r="2979" spans="1:10" ht="14.25" hidden="1" customHeight="1" x14ac:dyDescent="0.35">
      <c r="A2979" s="30"/>
      <c r="E2979" s="31"/>
      <c r="G2979" s="32" t="str">
        <f t="shared" si="92"/>
        <v>|||1900|</v>
      </c>
      <c r="H2979" s="32" t="str">
        <f t="shared" si="93"/>
        <v>||1900|</v>
      </c>
      <c r="I2979" s="32">
        <f>IF(G2979="",0,IF(COUNTIF($G$2:G2979,G2979)=1,1,0))</f>
        <v>0</v>
      </c>
      <c r="J2979" s="32">
        <f>IF(H2979="",0,IF(COUNTIF($H$2:H2979,H2979)=1,1,0))</f>
        <v>0</v>
      </c>
    </row>
    <row r="2980" spans="1:10" ht="14.25" hidden="1" customHeight="1" x14ac:dyDescent="0.35">
      <c r="A2980" s="30"/>
      <c r="E2980" s="31"/>
      <c r="G2980" s="32" t="str">
        <f t="shared" si="92"/>
        <v>|||1900|</v>
      </c>
      <c r="H2980" s="32" t="str">
        <f t="shared" si="93"/>
        <v>||1900|</v>
      </c>
      <c r="I2980" s="32">
        <f>IF(G2980="",0,IF(COUNTIF($G$2:G2980,G2980)=1,1,0))</f>
        <v>0</v>
      </c>
      <c r="J2980" s="32">
        <f>IF(H2980="",0,IF(COUNTIF($H$2:H2980,H2980)=1,1,0))</f>
        <v>0</v>
      </c>
    </row>
    <row r="2981" spans="1:10" ht="14.25" hidden="1" customHeight="1" x14ac:dyDescent="0.35">
      <c r="A2981" s="30"/>
      <c r="E2981" s="31"/>
      <c r="G2981" s="32" t="str">
        <f t="shared" si="92"/>
        <v>|||1900|</v>
      </c>
      <c r="H2981" s="32" t="str">
        <f t="shared" si="93"/>
        <v>||1900|</v>
      </c>
      <c r="I2981" s="32">
        <f>IF(G2981="",0,IF(COUNTIF($G$2:G2981,G2981)=1,1,0))</f>
        <v>0</v>
      </c>
      <c r="J2981" s="32">
        <f>IF(H2981="",0,IF(COUNTIF($H$2:H2981,H2981)=1,1,0))</f>
        <v>0</v>
      </c>
    </row>
    <row r="2982" spans="1:10" ht="14.25" hidden="1" customHeight="1" x14ac:dyDescent="0.35">
      <c r="A2982" s="30"/>
      <c r="E2982" s="31"/>
      <c r="G2982" s="32" t="str">
        <f t="shared" si="92"/>
        <v>|||1900|</v>
      </c>
      <c r="H2982" s="32" t="str">
        <f t="shared" si="93"/>
        <v>||1900|</v>
      </c>
      <c r="I2982" s="32">
        <f>IF(G2982="",0,IF(COUNTIF($G$2:G2982,G2982)=1,1,0))</f>
        <v>0</v>
      </c>
      <c r="J2982" s="32">
        <f>IF(H2982="",0,IF(COUNTIF($H$2:H2982,H2982)=1,1,0))</f>
        <v>0</v>
      </c>
    </row>
    <row r="2983" spans="1:10" ht="14.25" hidden="1" customHeight="1" x14ac:dyDescent="0.35">
      <c r="A2983" s="30"/>
      <c r="E2983" s="31"/>
      <c r="G2983" s="32" t="str">
        <f t="shared" si="92"/>
        <v>|||1900|</v>
      </c>
      <c r="H2983" s="32" t="str">
        <f t="shared" si="93"/>
        <v>||1900|</v>
      </c>
      <c r="I2983" s="32">
        <f>IF(G2983="",0,IF(COUNTIF($G$2:G2983,G2983)=1,1,0))</f>
        <v>0</v>
      </c>
      <c r="J2983" s="32">
        <f>IF(H2983="",0,IF(COUNTIF($H$2:H2983,H2983)=1,1,0))</f>
        <v>0</v>
      </c>
    </row>
    <row r="2984" spans="1:10" ht="14.25" hidden="1" customHeight="1" x14ac:dyDescent="0.35">
      <c r="A2984" s="30"/>
      <c r="E2984" s="31"/>
      <c r="G2984" s="32" t="str">
        <f t="shared" si="92"/>
        <v>|||1900|</v>
      </c>
      <c r="H2984" s="32" t="str">
        <f t="shared" si="93"/>
        <v>||1900|</v>
      </c>
      <c r="I2984" s="32">
        <f>IF(G2984="",0,IF(COUNTIF($G$2:G2984,G2984)=1,1,0))</f>
        <v>0</v>
      </c>
      <c r="J2984" s="32">
        <f>IF(H2984="",0,IF(COUNTIF($H$2:H2984,H2984)=1,1,0))</f>
        <v>0</v>
      </c>
    </row>
    <row r="2985" spans="1:10" ht="14.25" hidden="1" customHeight="1" x14ac:dyDescent="0.35">
      <c r="A2985" s="30"/>
      <c r="E2985" s="31"/>
      <c r="G2985" s="32" t="str">
        <f t="shared" si="92"/>
        <v>|||1900|</v>
      </c>
      <c r="H2985" s="32" t="str">
        <f t="shared" si="93"/>
        <v>||1900|</v>
      </c>
      <c r="I2985" s="32">
        <f>IF(G2985="",0,IF(COUNTIF($G$2:G2985,G2985)=1,1,0))</f>
        <v>0</v>
      </c>
      <c r="J2985" s="32">
        <f>IF(H2985="",0,IF(COUNTIF($H$2:H2985,H2985)=1,1,0))</f>
        <v>0</v>
      </c>
    </row>
    <row r="2986" spans="1:10" ht="14.25" hidden="1" customHeight="1" x14ac:dyDescent="0.35">
      <c r="A2986" s="30"/>
      <c r="E2986" s="31"/>
      <c r="G2986" s="32" t="str">
        <f t="shared" si="92"/>
        <v>|||1900|</v>
      </c>
      <c r="H2986" s="32" t="str">
        <f t="shared" si="93"/>
        <v>||1900|</v>
      </c>
      <c r="I2986" s="32">
        <f>IF(G2986="",0,IF(COUNTIF($G$2:G2986,G2986)=1,1,0))</f>
        <v>0</v>
      </c>
      <c r="J2986" s="32">
        <f>IF(H2986="",0,IF(COUNTIF($H$2:H2986,H2986)=1,1,0))</f>
        <v>0</v>
      </c>
    </row>
    <row r="2987" spans="1:10" ht="14.25" hidden="1" customHeight="1" x14ac:dyDescent="0.35">
      <c r="A2987" s="30"/>
      <c r="E2987" s="31"/>
      <c r="G2987" s="32" t="str">
        <f t="shared" si="92"/>
        <v>|||1900|</v>
      </c>
      <c r="H2987" s="32" t="str">
        <f t="shared" si="93"/>
        <v>||1900|</v>
      </c>
      <c r="I2987" s="32">
        <f>IF(G2987="",0,IF(COUNTIF($G$2:G2987,G2987)=1,1,0))</f>
        <v>0</v>
      </c>
      <c r="J2987" s="32">
        <f>IF(H2987="",0,IF(COUNTIF($H$2:H2987,H2987)=1,1,0))</f>
        <v>0</v>
      </c>
    </row>
    <row r="2988" spans="1:10" ht="14.25" hidden="1" customHeight="1" x14ac:dyDescent="0.35">
      <c r="A2988" s="30"/>
      <c r="E2988" s="31"/>
      <c r="G2988" s="32" t="str">
        <f t="shared" si="92"/>
        <v>|||1900|</v>
      </c>
      <c r="H2988" s="32" t="str">
        <f t="shared" si="93"/>
        <v>||1900|</v>
      </c>
      <c r="I2988" s="32">
        <f>IF(G2988="",0,IF(COUNTIF($G$2:G2988,G2988)=1,1,0))</f>
        <v>0</v>
      </c>
      <c r="J2988" s="32">
        <f>IF(H2988="",0,IF(COUNTIF($H$2:H2988,H2988)=1,1,0))</f>
        <v>0</v>
      </c>
    </row>
    <row r="2989" spans="1:10" ht="14.25" hidden="1" customHeight="1" x14ac:dyDescent="0.35">
      <c r="A2989" s="30"/>
      <c r="E2989" s="31"/>
      <c r="G2989" s="32" t="str">
        <f t="shared" si="92"/>
        <v>|||1900|</v>
      </c>
      <c r="H2989" s="32" t="str">
        <f t="shared" si="93"/>
        <v>||1900|</v>
      </c>
      <c r="I2989" s="32">
        <f>IF(G2989="",0,IF(COUNTIF($G$2:G2989,G2989)=1,1,0))</f>
        <v>0</v>
      </c>
      <c r="J2989" s="32">
        <f>IF(H2989="",0,IF(COUNTIF($H$2:H2989,H2989)=1,1,0))</f>
        <v>0</v>
      </c>
    </row>
    <row r="2990" spans="1:10" ht="14.25" hidden="1" customHeight="1" x14ac:dyDescent="0.35">
      <c r="A2990" s="30"/>
      <c r="E2990" s="31"/>
      <c r="G2990" s="32" t="str">
        <f t="shared" si="92"/>
        <v>|||1900|</v>
      </c>
      <c r="H2990" s="32" t="str">
        <f t="shared" si="93"/>
        <v>||1900|</v>
      </c>
      <c r="I2990" s="32">
        <f>IF(G2990="",0,IF(COUNTIF($G$2:G2990,G2990)=1,1,0))</f>
        <v>0</v>
      </c>
      <c r="J2990" s="32">
        <f>IF(H2990="",0,IF(COUNTIF($H$2:H2990,H2990)=1,1,0))</f>
        <v>0</v>
      </c>
    </row>
    <row r="2991" spans="1:10" ht="14.25" hidden="1" customHeight="1" x14ac:dyDescent="0.35">
      <c r="A2991" s="30"/>
      <c r="E2991" s="31"/>
      <c r="G2991" s="32" t="str">
        <f t="shared" si="92"/>
        <v>|||1900|</v>
      </c>
      <c r="H2991" s="32" t="str">
        <f t="shared" si="93"/>
        <v>||1900|</v>
      </c>
      <c r="I2991" s="32">
        <f>IF(G2991="",0,IF(COUNTIF($G$2:G2991,G2991)=1,1,0))</f>
        <v>0</v>
      </c>
      <c r="J2991" s="32">
        <f>IF(H2991="",0,IF(COUNTIF($H$2:H2991,H2991)=1,1,0))</f>
        <v>0</v>
      </c>
    </row>
    <row r="2992" spans="1:10" ht="14.25" hidden="1" customHeight="1" x14ac:dyDescent="0.35">
      <c r="A2992" s="30"/>
      <c r="E2992" s="31"/>
      <c r="G2992" s="32" t="str">
        <f t="shared" si="92"/>
        <v>|||1900|</v>
      </c>
      <c r="H2992" s="32" t="str">
        <f t="shared" si="93"/>
        <v>||1900|</v>
      </c>
      <c r="I2992" s="32">
        <f>IF(G2992="",0,IF(COUNTIF($G$2:G2992,G2992)=1,1,0))</f>
        <v>0</v>
      </c>
      <c r="J2992" s="32">
        <f>IF(H2992="",0,IF(COUNTIF($H$2:H2992,H2992)=1,1,0))</f>
        <v>0</v>
      </c>
    </row>
    <row r="2993" spans="1:10" ht="14.25" hidden="1" customHeight="1" x14ac:dyDescent="0.35">
      <c r="A2993" s="30"/>
      <c r="E2993" s="31"/>
      <c r="G2993" s="32" t="str">
        <f t="shared" si="92"/>
        <v>|||1900|</v>
      </c>
      <c r="H2993" s="32" t="str">
        <f t="shared" si="93"/>
        <v>||1900|</v>
      </c>
      <c r="I2993" s="32">
        <f>IF(G2993="",0,IF(COUNTIF($G$2:G2993,G2993)=1,1,0))</f>
        <v>0</v>
      </c>
      <c r="J2993" s="32">
        <f>IF(H2993="",0,IF(COUNTIF($H$2:H2993,H2993)=1,1,0))</f>
        <v>0</v>
      </c>
    </row>
    <row r="2994" spans="1:10" ht="14.25" hidden="1" customHeight="1" x14ac:dyDescent="0.35">
      <c r="A2994" s="30"/>
      <c r="E2994" s="31"/>
      <c r="G2994" s="32" t="str">
        <f t="shared" si="92"/>
        <v>|||1900|</v>
      </c>
      <c r="H2994" s="32" t="str">
        <f t="shared" si="93"/>
        <v>||1900|</v>
      </c>
      <c r="I2994" s="32">
        <f>IF(G2994="",0,IF(COUNTIF($G$2:G2994,G2994)=1,1,0))</f>
        <v>0</v>
      </c>
      <c r="J2994" s="32">
        <f>IF(H2994="",0,IF(COUNTIF($H$2:H2994,H2994)=1,1,0))</f>
        <v>0</v>
      </c>
    </row>
    <row r="2995" spans="1:10" ht="14.25" hidden="1" customHeight="1" x14ac:dyDescent="0.35">
      <c r="A2995" s="30"/>
      <c r="E2995" s="31"/>
      <c r="G2995" s="32" t="str">
        <f t="shared" si="92"/>
        <v>|||1900|</v>
      </c>
      <c r="H2995" s="32" t="str">
        <f t="shared" si="93"/>
        <v>||1900|</v>
      </c>
      <c r="I2995" s="32">
        <f>IF(G2995="",0,IF(COUNTIF($G$2:G2995,G2995)=1,1,0))</f>
        <v>0</v>
      </c>
      <c r="J2995" s="32">
        <f>IF(H2995="",0,IF(COUNTIF($H$2:H2995,H2995)=1,1,0))</f>
        <v>0</v>
      </c>
    </row>
    <row r="2996" spans="1:10" ht="14.25" hidden="1" customHeight="1" x14ac:dyDescent="0.35">
      <c r="A2996" s="30"/>
      <c r="E2996" s="31"/>
      <c r="G2996" s="32" t="str">
        <f t="shared" si="92"/>
        <v>|||1900|</v>
      </c>
      <c r="H2996" s="32" t="str">
        <f t="shared" si="93"/>
        <v>||1900|</v>
      </c>
      <c r="I2996" s="32">
        <f>IF(G2996="",0,IF(COUNTIF($G$2:G2996,G2996)=1,1,0))</f>
        <v>0</v>
      </c>
      <c r="J2996" s="32">
        <f>IF(H2996="",0,IF(COUNTIF($H$2:H2996,H2996)=1,1,0))</f>
        <v>0</v>
      </c>
    </row>
    <row r="2997" spans="1:10" ht="14.25" hidden="1" customHeight="1" x14ac:dyDescent="0.35">
      <c r="A2997" s="30"/>
      <c r="E2997" s="31"/>
      <c r="G2997" s="32" t="str">
        <f t="shared" si="92"/>
        <v>|||1900|</v>
      </c>
      <c r="H2997" s="32" t="str">
        <f t="shared" si="93"/>
        <v>||1900|</v>
      </c>
      <c r="I2997" s="32">
        <f>IF(G2997="",0,IF(COUNTIF($G$2:G2997,G2997)=1,1,0))</f>
        <v>0</v>
      </c>
      <c r="J2997" s="32">
        <f>IF(H2997="",0,IF(COUNTIF($H$2:H2997,H2997)=1,1,0))</f>
        <v>0</v>
      </c>
    </row>
    <row r="2998" spans="1:10" ht="14.25" hidden="1" customHeight="1" x14ac:dyDescent="0.35">
      <c r="A2998" s="30"/>
      <c r="E2998" s="31"/>
      <c r="G2998" s="32" t="str">
        <f t="shared" si="92"/>
        <v>|||1900|</v>
      </c>
      <c r="H2998" s="32" t="str">
        <f t="shared" si="93"/>
        <v>||1900|</v>
      </c>
      <c r="I2998" s="32">
        <f>IF(G2998="",0,IF(COUNTIF($G$2:G2998,G2998)=1,1,0))</f>
        <v>0</v>
      </c>
      <c r="J2998" s="32">
        <f>IF(H2998="",0,IF(COUNTIF($H$2:H2998,H2998)=1,1,0))</f>
        <v>0</v>
      </c>
    </row>
    <row r="2999" spans="1:10" ht="14.25" hidden="1" customHeight="1" x14ac:dyDescent="0.35">
      <c r="A2999" s="30"/>
      <c r="E2999" s="31"/>
      <c r="G2999" s="32" t="str">
        <f t="shared" si="92"/>
        <v>|||1900|</v>
      </c>
      <c r="H2999" s="32" t="str">
        <f t="shared" si="93"/>
        <v>||1900|</v>
      </c>
      <c r="I2999" s="32">
        <f>IF(G2999="",0,IF(COUNTIF($G$2:G2999,G2999)=1,1,0))</f>
        <v>0</v>
      </c>
      <c r="J2999" s="32">
        <f>IF(H2999="",0,IF(COUNTIF($H$2:H2999,H2999)=1,1,0))</f>
        <v>0</v>
      </c>
    </row>
    <row r="3000" spans="1:10" ht="14.25" hidden="1" customHeight="1" x14ac:dyDescent="0.35">
      <c r="A3000" s="30"/>
      <c r="E3000" s="31"/>
      <c r="G3000" s="32" t="str">
        <f t="shared" si="92"/>
        <v>|||1900|</v>
      </c>
      <c r="H3000" s="32" t="str">
        <f t="shared" si="93"/>
        <v>||1900|</v>
      </c>
      <c r="I3000" s="32">
        <f>IF(G3000="",0,IF(COUNTIF($G$2:G3000,G3000)=1,1,0))</f>
        <v>0</v>
      </c>
      <c r="J3000" s="32">
        <f>IF(H3000="",0,IF(COUNTIF($H$2:H3000,H3000)=1,1,0))</f>
        <v>0</v>
      </c>
    </row>
    <row r="3001" spans="1:10" ht="14.25" hidden="1" customHeight="1" x14ac:dyDescent="0.35">
      <c r="A3001" s="30"/>
      <c r="E3001" s="31"/>
      <c r="G3001" s="32" t="str">
        <f t="shared" si="92"/>
        <v>|||1900|</v>
      </c>
      <c r="H3001" s="32" t="str">
        <f t="shared" si="93"/>
        <v>||1900|</v>
      </c>
      <c r="I3001" s="32">
        <f>IF(G3001="",0,IF(COUNTIF($G$2:G3001,G3001)=1,1,0))</f>
        <v>0</v>
      </c>
      <c r="J3001" s="32">
        <f>IF(H3001="",0,IF(COUNTIF($H$2:H3001,H3001)=1,1,0))</f>
        <v>0</v>
      </c>
    </row>
    <row r="3002" spans="1:10" ht="14.25" hidden="1" customHeight="1" x14ac:dyDescent="0.35">
      <c r="A3002" s="30"/>
      <c r="E3002" s="31"/>
      <c r="G3002" s="32" t="str">
        <f t="shared" si="92"/>
        <v>|||1900|</v>
      </c>
      <c r="H3002" s="32" t="str">
        <f t="shared" si="93"/>
        <v>||1900|</v>
      </c>
      <c r="I3002" s="32">
        <f>IF(G3002="",0,IF(COUNTIF($G$2:G3002,G3002)=1,1,0))</f>
        <v>0</v>
      </c>
      <c r="J3002" s="32">
        <f>IF(H3002="",0,IF(COUNTIF($H$2:H3002,H3002)=1,1,0))</f>
        <v>0</v>
      </c>
    </row>
    <row r="3003" spans="1:10" ht="14.25" hidden="1" customHeight="1" x14ac:dyDescent="0.35">
      <c r="A3003" s="30"/>
      <c r="E3003" s="31"/>
      <c r="G3003" s="32" t="str">
        <f t="shared" si="92"/>
        <v>|||1900|</v>
      </c>
      <c r="H3003" s="32" t="str">
        <f t="shared" si="93"/>
        <v>||1900|</v>
      </c>
      <c r="I3003" s="32">
        <f>IF(G3003="",0,IF(COUNTIF($G$2:G3003,G3003)=1,1,0))</f>
        <v>0</v>
      </c>
      <c r="J3003" s="32">
        <f>IF(H3003="",0,IF(COUNTIF($H$2:H3003,H3003)=1,1,0))</f>
        <v>0</v>
      </c>
    </row>
    <row r="3004" spans="1:10" ht="14.25" hidden="1" customHeight="1" x14ac:dyDescent="0.35">
      <c r="A3004" s="30"/>
      <c r="E3004" s="31"/>
      <c r="G3004" s="32" t="str">
        <f t="shared" si="92"/>
        <v>|||1900|</v>
      </c>
      <c r="H3004" s="32" t="str">
        <f t="shared" si="93"/>
        <v>||1900|</v>
      </c>
      <c r="I3004" s="32">
        <f>IF(G3004="",0,IF(COUNTIF($G$2:G3004,G3004)=1,1,0))</f>
        <v>0</v>
      </c>
      <c r="J3004" s="32">
        <f>IF(H3004="",0,IF(COUNTIF($H$2:H3004,H3004)=1,1,0))</f>
        <v>0</v>
      </c>
    </row>
    <row r="3005" spans="1:10" ht="14.25" hidden="1" customHeight="1" x14ac:dyDescent="0.35">
      <c r="A3005" s="30"/>
      <c r="E3005" s="31"/>
      <c r="G3005" s="32" t="str">
        <f t="shared" si="92"/>
        <v>|||1900|</v>
      </c>
      <c r="H3005" s="32" t="str">
        <f t="shared" si="93"/>
        <v>||1900|</v>
      </c>
      <c r="I3005" s="32">
        <f>IF(G3005="",0,IF(COUNTIF($G$2:G3005,G3005)=1,1,0))</f>
        <v>0</v>
      </c>
      <c r="J3005" s="32">
        <f>IF(H3005="",0,IF(COUNTIF($H$2:H3005,H3005)=1,1,0))</f>
        <v>0</v>
      </c>
    </row>
    <row r="3006" spans="1:10" ht="14.25" hidden="1" customHeight="1" x14ac:dyDescent="0.35">
      <c r="A3006" s="30"/>
      <c r="E3006" s="31"/>
      <c r="G3006" s="32" t="str">
        <f t="shared" si="92"/>
        <v>|||1900|</v>
      </c>
      <c r="H3006" s="32" t="str">
        <f t="shared" si="93"/>
        <v>||1900|</v>
      </c>
      <c r="I3006" s="32">
        <f>IF(G3006="",0,IF(COUNTIF($G$2:G3006,G3006)=1,1,0))</f>
        <v>0</v>
      </c>
      <c r="J3006" s="32">
        <f>IF(H3006="",0,IF(COUNTIF($H$2:H3006,H3006)=1,1,0))</f>
        <v>0</v>
      </c>
    </row>
    <row r="3007" spans="1:10" ht="14.25" hidden="1" customHeight="1" x14ac:dyDescent="0.35">
      <c r="A3007" s="30"/>
      <c r="E3007" s="31"/>
      <c r="G3007" s="32" t="str">
        <f t="shared" si="92"/>
        <v>|||1900|</v>
      </c>
      <c r="H3007" s="32" t="str">
        <f t="shared" si="93"/>
        <v>||1900|</v>
      </c>
      <c r="I3007" s="32">
        <f>IF(G3007="",0,IF(COUNTIF($G$2:G3007,G3007)=1,1,0))</f>
        <v>0</v>
      </c>
      <c r="J3007" s="32">
        <f>IF(H3007="",0,IF(COUNTIF($H$2:H3007,H3007)=1,1,0))</f>
        <v>0</v>
      </c>
    </row>
    <row r="3008" spans="1:10" ht="14.25" hidden="1" customHeight="1" x14ac:dyDescent="0.35">
      <c r="A3008" s="30"/>
      <c r="E3008" s="31"/>
      <c r="G3008" s="32" t="str">
        <f t="shared" si="92"/>
        <v>|||1900|</v>
      </c>
      <c r="H3008" s="32" t="str">
        <f t="shared" si="93"/>
        <v>||1900|</v>
      </c>
      <c r="I3008" s="32">
        <f>IF(G3008="",0,IF(COUNTIF($G$2:G3008,G3008)=1,1,0))</f>
        <v>0</v>
      </c>
      <c r="J3008" s="32">
        <f>IF(H3008="",0,IF(COUNTIF($H$2:H3008,H3008)=1,1,0))</f>
        <v>0</v>
      </c>
    </row>
    <row r="3009" spans="1:10" ht="14.25" hidden="1" customHeight="1" x14ac:dyDescent="0.35">
      <c r="A3009" s="30"/>
      <c r="E3009" s="31"/>
      <c r="G3009" s="32" t="str">
        <f t="shared" si="92"/>
        <v>|||1900|</v>
      </c>
      <c r="H3009" s="32" t="str">
        <f t="shared" si="93"/>
        <v>||1900|</v>
      </c>
      <c r="I3009" s="32">
        <f>IF(G3009="",0,IF(COUNTIF($G$2:G3009,G3009)=1,1,0))</f>
        <v>0</v>
      </c>
      <c r="J3009" s="32">
        <f>IF(H3009="",0,IF(COUNTIF($H$2:H3009,H3009)=1,1,0))</f>
        <v>0</v>
      </c>
    </row>
    <row r="3010" spans="1:10" ht="14.25" hidden="1" customHeight="1" x14ac:dyDescent="0.35">
      <c r="A3010" s="30"/>
      <c r="E3010" s="31"/>
      <c r="G3010" s="32" t="str">
        <f t="shared" ref="G3010:G3073" si="94">IF(D3010="T",
E3010&amp;"|"&amp;F3010,
A3010&amp;"|"&amp;B3010&amp;"|"&amp;C3010&amp;"|"&amp;YEAR(E3010)&amp;"|"&amp;F3010)</f>
        <v>|||1900|</v>
      </c>
      <c r="H3010" s="32" t="str">
        <f t="shared" ref="H3010:H3073" si="95">A3010&amp;"|"&amp;C3010&amp;"|"&amp;YEAR(E3010)&amp;"|"&amp;F3010</f>
        <v>||1900|</v>
      </c>
      <c r="I3010" s="32">
        <f>IF(G3010="",0,IF(COUNTIF($G$2:G3010,G3010)=1,1,0))</f>
        <v>0</v>
      </c>
      <c r="J3010" s="32">
        <f>IF(H3010="",0,IF(COUNTIF($H$2:H3010,H3010)=1,1,0))</f>
        <v>0</v>
      </c>
    </row>
    <row r="3011" spans="1:10" ht="14.25" hidden="1" customHeight="1" x14ac:dyDescent="0.35">
      <c r="A3011" s="30"/>
      <c r="E3011" s="31"/>
      <c r="G3011" s="32" t="str">
        <f t="shared" si="94"/>
        <v>|||1900|</v>
      </c>
      <c r="H3011" s="32" t="str">
        <f t="shared" si="95"/>
        <v>||1900|</v>
      </c>
      <c r="I3011" s="32">
        <f>IF(G3011="",0,IF(COUNTIF($G$2:G3011,G3011)=1,1,0))</f>
        <v>0</v>
      </c>
      <c r="J3011" s="32">
        <f>IF(H3011="",0,IF(COUNTIF($H$2:H3011,H3011)=1,1,0))</f>
        <v>0</v>
      </c>
    </row>
    <row r="3012" spans="1:10" ht="14.25" hidden="1" customHeight="1" x14ac:dyDescent="0.35">
      <c r="A3012" s="30"/>
      <c r="E3012" s="31"/>
      <c r="G3012" s="32" t="str">
        <f t="shared" si="94"/>
        <v>|||1900|</v>
      </c>
      <c r="H3012" s="32" t="str">
        <f t="shared" si="95"/>
        <v>||1900|</v>
      </c>
      <c r="I3012" s="32">
        <f>IF(G3012="",0,IF(COUNTIF($G$2:G3012,G3012)=1,1,0))</f>
        <v>0</v>
      </c>
      <c r="J3012" s="32">
        <f>IF(H3012="",0,IF(COUNTIF($H$2:H3012,H3012)=1,1,0))</f>
        <v>0</v>
      </c>
    </row>
    <row r="3013" spans="1:10" ht="14.25" hidden="1" customHeight="1" x14ac:dyDescent="0.35">
      <c r="A3013" s="30"/>
      <c r="E3013" s="31"/>
      <c r="G3013" s="32" t="str">
        <f t="shared" si="94"/>
        <v>|||1900|</v>
      </c>
      <c r="H3013" s="32" t="str">
        <f t="shared" si="95"/>
        <v>||1900|</v>
      </c>
      <c r="I3013" s="32">
        <f>IF(G3013="",0,IF(COUNTIF($G$2:G3013,G3013)=1,1,0))</f>
        <v>0</v>
      </c>
      <c r="J3013" s="32">
        <f>IF(H3013="",0,IF(COUNTIF($H$2:H3013,H3013)=1,1,0))</f>
        <v>0</v>
      </c>
    </row>
    <row r="3014" spans="1:10" ht="14.25" hidden="1" customHeight="1" x14ac:dyDescent="0.35">
      <c r="A3014" s="30"/>
      <c r="E3014" s="31"/>
      <c r="G3014" s="32" t="str">
        <f t="shared" si="94"/>
        <v>|||1900|</v>
      </c>
      <c r="H3014" s="32" t="str">
        <f t="shared" si="95"/>
        <v>||1900|</v>
      </c>
      <c r="I3014" s="32">
        <f>IF(G3014="",0,IF(COUNTIF($G$2:G3014,G3014)=1,1,0))</f>
        <v>0</v>
      </c>
      <c r="J3014" s="32">
        <f>IF(H3014="",0,IF(COUNTIF($H$2:H3014,H3014)=1,1,0))</f>
        <v>0</v>
      </c>
    </row>
    <row r="3015" spans="1:10" ht="14.25" hidden="1" customHeight="1" x14ac:dyDescent="0.35">
      <c r="A3015" s="30"/>
      <c r="E3015" s="31"/>
      <c r="G3015" s="32" t="str">
        <f t="shared" si="94"/>
        <v>|||1900|</v>
      </c>
      <c r="H3015" s="32" t="str">
        <f t="shared" si="95"/>
        <v>||1900|</v>
      </c>
      <c r="I3015" s="32">
        <f>IF(G3015="",0,IF(COUNTIF($G$2:G3015,G3015)=1,1,0))</f>
        <v>0</v>
      </c>
      <c r="J3015" s="32">
        <f>IF(H3015="",0,IF(COUNTIF($H$2:H3015,H3015)=1,1,0))</f>
        <v>0</v>
      </c>
    </row>
    <row r="3016" spans="1:10" ht="14.25" hidden="1" customHeight="1" x14ac:dyDescent="0.35">
      <c r="A3016" s="30"/>
      <c r="E3016" s="31"/>
      <c r="G3016" s="32" t="str">
        <f t="shared" si="94"/>
        <v>|||1900|</v>
      </c>
      <c r="H3016" s="32" t="str">
        <f t="shared" si="95"/>
        <v>||1900|</v>
      </c>
      <c r="I3016" s="32">
        <f>IF(G3016="",0,IF(COUNTIF($G$2:G3016,G3016)=1,1,0))</f>
        <v>0</v>
      </c>
      <c r="J3016" s="32">
        <f>IF(H3016="",0,IF(COUNTIF($H$2:H3016,H3016)=1,1,0))</f>
        <v>0</v>
      </c>
    </row>
    <row r="3017" spans="1:10" ht="14.25" hidden="1" customHeight="1" x14ac:dyDescent="0.35">
      <c r="A3017" s="30"/>
      <c r="E3017" s="31"/>
      <c r="G3017" s="32" t="str">
        <f t="shared" si="94"/>
        <v>|||1900|</v>
      </c>
      <c r="H3017" s="32" t="str">
        <f t="shared" si="95"/>
        <v>||1900|</v>
      </c>
      <c r="I3017" s="32">
        <f>IF(G3017="",0,IF(COUNTIF($G$2:G3017,G3017)=1,1,0))</f>
        <v>0</v>
      </c>
      <c r="J3017" s="32">
        <f>IF(H3017="",0,IF(COUNTIF($H$2:H3017,H3017)=1,1,0))</f>
        <v>0</v>
      </c>
    </row>
    <row r="3018" spans="1:10" ht="14.25" hidden="1" customHeight="1" x14ac:dyDescent="0.35">
      <c r="A3018" s="30"/>
      <c r="E3018" s="31"/>
      <c r="G3018" s="32" t="str">
        <f t="shared" si="94"/>
        <v>|||1900|</v>
      </c>
      <c r="H3018" s="32" t="str">
        <f t="shared" si="95"/>
        <v>||1900|</v>
      </c>
      <c r="I3018" s="32">
        <f>IF(G3018="",0,IF(COUNTIF($G$2:G3018,G3018)=1,1,0))</f>
        <v>0</v>
      </c>
      <c r="J3018" s="32">
        <f>IF(H3018="",0,IF(COUNTIF($H$2:H3018,H3018)=1,1,0))</f>
        <v>0</v>
      </c>
    </row>
    <row r="3019" spans="1:10" ht="14.25" hidden="1" customHeight="1" x14ac:dyDescent="0.35">
      <c r="A3019" s="30"/>
      <c r="E3019" s="31"/>
      <c r="G3019" s="32" t="str">
        <f t="shared" si="94"/>
        <v>|||1900|</v>
      </c>
      <c r="H3019" s="32" t="str">
        <f t="shared" si="95"/>
        <v>||1900|</v>
      </c>
      <c r="I3019" s="32">
        <f>IF(G3019="",0,IF(COUNTIF($G$2:G3019,G3019)=1,1,0))</f>
        <v>0</v>
      </c>
      <c r="J3019" s="32">
        <f>IF(H3019="",0,IF(COUNTIF($H$2:H3019,H3019)=1,1,0))</f>
        <v>0</v>
      </c>
    </row>
    <row r="3020" spans="1:10" ht="14.25" hidden="1" customHeight="1" x14ac:dyDescent="0.35">
      <c r="A3020" s="30"/>
      <c r="E3020" s="31"/>
      <c r="G3020" s="32" t="str">
        <f t="shared" si="94"/>
        <v>|||1900|</v>
      </c>
      <c r="H3020" s="32" t="str">
        <f t="shared" si="95"/>
        <v>||1900|</v>
      </c>
      <c r="I3020" s="32">
        <f>IF(G3020="",0,IF(COUNTIF($G$2:G3020,G3020)=1,1,0))</f>
        <v>0</v>
      </c>
      <c r="J3020" s="32">
        <f>IF(H3020="",0,IF(COUNTIF($H$2:H3020,H3020)=1,1,0))</f>
        <v>0</v>
      </c>
    </row>
    <row r="3021" spans="1:10" ht="14.25" hidden="1" customHeight="1" x14ac:dyDescent="0.35">
      <c r="A3021" s="30"/>
      <c r="E3021" s="31"/>
      <c r="G3021" s="32" t="str">
        <f t="shared" si="94"/>
        <v>|||1900|</v>
      </c>
      <c r="H3021" s="32" t="str">
        <f t="shared" si="95"/>
        <v>||1900|</v>
      </c>
      <c r="I3021" s="32">
        <f>IF(G3021="",0,IF(COUNTIF($G$2:G3021,G3021)=1,1,0))</f>
        <v>0</v>
      </c>
      <c r="J3021" s="32">
        <f>IF(H3021="",0,IF(COUNTIF($H$2:H3021,H3021)=1,1,0))</f>
        <v>0</v>
      </c>
    </row>
    <row r="3022" spans="1:10" ht="14.25" hidden="1" customHeight="1" x14ac:dyDescent="0.35">
      <c r="A3022" s="30"/>
      <c r="E3022" s="31"/>
      <c r="G3022" s="32" t="str">
        <f t="shared" si="94"/>
        <v>|||1900|</v>
      </c>
      <c r="H3022" s="32" t="str">
        <f t="shared" si="95"/>
        <v>||1900|</v>
      </c>
      <c r="I3022" s="32">
        <f>IF(G3022="",0,IF(COUNTIF($G$2:G3022,G3022)=1,1,0))</f>
        <v>0</v>
      </c>
      <c r="J3022" s="32">
        <f>IF(H3022="",0,IF(COUNTIF($H$2:H3022,H3022)=1,1,0))</f>
        <v>0</v>
      </c>
    </row>
    <row r="3023" spans="1:10" ht="14.25" hidden="1" customHeight="1" x14ac:dyDescent="0.35">
      <c r="A3023" s="30"/>
      <c r="E3023" s="31"/>
      <c r="G3023" s="32" t="str">
        <f t="shared" si="94"/>
        <v>|||1900|</v>
      </c>
      <c r="H3023" s="32" t="str">
        <f t="shared" si="95"/>
        <v>||1900|</v>
      </c>
      <c r="I3023" s="32">
        <f>IF(G3023="",0,IF(COUNTIF($G$2:G3023,G3023)=1,1,0))</f>
        <v>0</v>
      </c>
      <c r="J3023" s="32">
        <f>IF(H3023="",0,IF(COUNTIF($H$2:H3023,H3023)=1,1,0))</f>
        <v>0</v>
      </c>
    </row>
    <row r="3024" spans="1:10" ht="14.25" hidden="1" customHeight="1" x14ac:dyDescent="0.35">
      <c r="A3024" s="30"/>
      <c r="E3024" s="31"/>
      <c r="G3024" s="32" t="str">
        <f t="shared" si="94"/>
        <v>|||1900|</v>
      </c>
      <c r="H3024" s="32" t="str">
        <f t="shared" si="95"/>
        <v>||1900|</v>
      </c>
      <c r="I3024" s="32">
        <f>IF(G3024="",0,IF(COUNTIF($G$2:G3024,G3024)=1,1,0))</f>
        <v>0</v>
      </c>
      <c r="J3024" s="32">
        <f>IF(H3024="",0,IF(COUNTIF($H$2:H3024,H3024)=1,1,0))</f>
        <v>0</v>
      </c>
    </row>
    <row r="3025" spans="1:10" ht="14.25" hidden="1" customHeight="1" x14ac:dyDescent="0.35">
      <c r="A3025" s="30"/>
      <c r="E3025" s="31"/>
      <c r="G3025" s="32" t="str">
        <f t="shared" si="94"/>
        <v>|||1900|</v>
      </c>
      <c r="H3025" s="32" t="str">
        <f t="shared" si="95"/>
        <v>||1900|</v>
      </c>
      <c r="I3025" s="32">
        <f>IF(G3025="",0,IF(COUNTIF($G$2:G3025,G3025)=1,1,0))</f>
        <v>0</v>
      </c>
      <c r="J3025" s="32">
        <f>IF(H3025="",0,IF(COUNTIF($H$2:H3025,H3025)=1,1,0))</f>
        <v>0</v>
      </c>
    </row>
    <row r="3026" spans="1:10" ht="14.25" hidden="1" customHeight="1" x14ac:dyDescent="0.35">
      <c r="A3026" s="30"/>
      <c r="E3026" s="31"/>
      <c r="G3026" s="32" t="str">
        <f t="shared" si="94"/>
        <v>|||1900|</v>
      </c>
      <c r="H3026" s="32" t="str">
        <f t="shared" si="95"/>
        <v>||1900|</v>
      </c>
      <c r="I3026" s="32">
        <f>IF(G3026="",0,IF(COUNTIF($G$2:G3026,G3026)=1,1,0))</f>
        <v>0</v>
      </c>
      <c r="J3026" s="32">
        <f>IF(H3026="",0,IF(COUNTIF($H$2:H3026,H3026)=1,1,0))</f>
        <v>0</v>
      </c>
    </row>
    <row r="3027" spans="1:10" ht="14.25" hidden="1" customHeight="1" x14ac:dyDescent="0.35">
      <c r="A3027" s="30"/>
      <c r="E3027" s="31"/>
      <c r="G3027" s="32" t="str">
        <f t="shared" si="94"/>
        <v>|||1900|</v>
      </c>
      <c r="H3027" s="32" t="str">
        <f t="shared" si="95"/>
        <v>||1900|</v>
      </c>
      <c r="I3027" s="32">
        <f>IF(G3027="",0,IF(COUNTIF($G$2:G3027,G3027)=1,1,0))</f>
        <v>0</v>
      </c>
      <c r="J3027" s="32">
        <f>IF(H3027="",0,IF(COUNTIF($H$2:H3027,H3027)=1,1,0))</f>
        <v>0</v>
      </c>
    </row>
    <row r="3028" spans="1:10" ht="14.25" hidden="1" customHeight="1" x14ac:dyDescent="0.35">
      <c r="A3028" s="30"/>
      <c r="E3028" s="31"/>
      <c r="G3028" s="32" t="str">
        <f t="shared" si="94"/>
        <v>|||1900|</v>
      </c>
      <c r="H3028" s="32" t="str">
        <f t="shared" si="95"/>
        <v>||1900|</v>
      </c>
      <c r="I3028" s="32">
        <f>IF(G3028="",0,IF(COUNTIF($G$2:G3028,G3028)=1,1,0))</f>
        <v>0</v>
      </c>
      <c r="J3028" s="32">
        <f>IF(H3028="",0,IF(COUNTIF($H$2:H3028,H3028)=1,1,0))</f>
        <v>0</v>
      </c>
    </row>
    <row r="3029" spans="1:10" ht="14.25" hidden="1" customHeight="1" x14ac:dyDescent="0.35">
      <c r="A3029" s="30"/>
      <c r="E3029" s="31"/>
      <c r="G3029" s="32" t="str">
        <f t="shared" si="94"/>
        <v>|||1900|</v>
      </c>
      <c r="H3029" s="32" t="str">
        <f t="shared" si="95"/>
        <v>||1900|</v>
      </c>
      <c r="I3029" s="32">
        <f>IF(G3029="",0,IF(COUNTIF($G$2:G3029,G3029)=1,1,0))</f>
        <v>0</v>
      </c>
      <c r="J3029" s="32">
        <f>IF(H3029="",0,IF(COUNTIF($H$2:H3029,H3029)=1,1,0))</f>
        <v>0</v>
      </c>
    </row>
    <row r="3030" spans="1:10" ht="14.25" hidden="1" customHeight="1" x14ac:dyDescent="0.35">
      <c r="A3030" s="30"/>
      <c r="E3030" s="31"/>
      <c r="G3030" s="32" t="str">
        <f t="shared" si="94"/>
        <v>|||1900|</v>
      </c>
      <c r="H3030" s="32" t="str">
        <f t="shared" si="95"/>
        <v>||1900|</v>
      </c>
      <c r="I3030" s="32">
        <f>IF(G3030="",0,IF(COUNTIF($G$2:G3030,G3030)=1,1,0))</f>
        <v>0</v>
      </c>
      <c r="J3030" s="32">
        <f>IF(H3030="",0,IF(COUNTIF($H$2:H3030,H3030)=1,1,0))</f>
        <v>0</v>
      </c>
    </row>
    <row r="3031" spans="1:10" ht="14.25" hidden="1" customHeight="1" x14ac:dyDescent="0.35">
      <c r="A3031" s="30"/>
      <c r="E3031" s="31"/>
      <c r="G3031" s="32" t="str">
        <f t="shared" si="94"/>
        <v>|||1900|</v>
      </c>
      <c r="H3031" s="32" t="str">
        <f t="shared" si="95"/>
        <v>||1900|</v>
      </c>
      <c r="I3031" s="32">
        <f>IF(G3031="",0,IF(COUNTIF($G$2:G3031,G3031)=1,1,0))</f>
        <v>0</v>
      </c>
      <c r="J3031" s="32">
        <f>IF(H3031="",0,IF(COUNTIF($H$2:H3031,H3031)=1,1,0))</f>
        <v>0</v>
      </c>
    </row>
    <row r="3032" spans="1:10" ht="14.25" hidden="1" customHeight="1" x14ac:dyDescent="0.35">
      <c r="A3032" s="30"/>
      <c r="E3032" s="31"/>
      <c r="G3032" s="32" t="str">
        <f t="shared" si="94"/>
        <v>|||1900|</v>
      </c>
      <c r="H3032" s="32" t="str">
        <f t="shared" si="95"/>
        <v>||1900|</v>
      </c>
      <c r="I3032" s="32">
        <f>IF(G3032="",0,IF(COUNTIF($G$2:G3032,G3032)=1,1,0))</f>
        <v>0</v>
      </c>
      <c r="J3032" s="32">
        <f>IF(H3032="",0,IF(COUNTIF($H$2:H3032,H3032)=1,1,0))</f>
        <v>0</v>
      </c>
    </row>
    <row r="3033" spans="1:10" ht="14.25" hidden="1" customHeight="1" x14ac:dyDescent="0.35">
      <c r="A3033" s="30"/>
      <c r="E3033" s="31"/>
      <c r="G3033" s="32" t="str">
        <f t="shared" si="94"/>
        <v>|||1900|</v>
      </c>
      <c r="H3033" s="32" t="str">
        <f t="shared" si="95"/>
        <v>||1900|</v>
      </c>
      <c r="I3033" s="32">
        <f>IF(G3033="",0,IF(COUNTIF($G$2:G3033,G3033)=1,1,0))</f>
        <v>0</v>
      </c>
      <c r="J3033" s="32">
        <f>IF(H3033="",0,IF(COUNTIF($H$2:H3033,H3033)=1,1,0))</f>
        <v>0</v>
      </c>
    </row>
    <row r="3034" spans="1:10" ht="14.25" hidden="1" customHeight="1" x14ac:dyDescent="0.35">
      <c r="A3034" s="30"/>
      <c r="E3034" s="31"/>
      <c r="G3034" s="32" t="str">
        <f t="shared" si="94"/>
        <v>|||1900|</v>
      </c>
      <c r="H3034" s="32" t="str">
        <f t="shared" si="95"/>
        <v>||1900|</v>
      </c>
      <c r="I3034" s="32">
        <f>IF(G3034="",0,IF(COUNTIF($G$2:G3034,G3034)=1,1,0))</f>
        <v>0</v>
      </c>
      <c r="J3034" s="32">
        <f>IF(H3034="",0,IF(COUNTIF($H$2:H3034,H3034)=1,1,0))</f>
        <v>0</v>
      </c>
    </row>
    <row r="3035" spans="1:10" ht="14.25" hidden="1" customHeight="1" x14ac:dyDescent="0.35">
      <c r="A3035" s="30"/>
      <c r="E3035" s="31"/>
      <c r="G3035" s="32" t="str">
        <f t="shared" si="94"/>
        <v>|||1900|</v>
      </c>
      <c r="H3035" s="32" t="str">
        <f t="shared" si="95"/>
        <v>||1900|</v>
      </c>
      <c r="I3035" s="32">
        <f>IF(G3035="",0,IF(COUNTIF($G$2:G3035,G3035)=1,1,0))</f>
        <v>0</v>
      </c>
      <c r="J3035" s="32">
        <f>IF(H3035="",0,IF(COUNTIF($H$2:H3035,H3035)=1,1,0))</f>
        <v>0</v>
      </c>
    </row>
    <row r="3036" spans="1:10" ht="14.25" hidden="1" customHeight="1" x14ac:dyDescent="0.35">
      <c r="A3036" s="30"/>
      <c r="E3036" s="31"/>
      <c r="G3036" s="32" t="str">
        <f t="shared" si="94"/>
        <v>|||1900|</v>
      </c>
      <c r="H3036" s="32" t="str">
        <f t="shared" si="95"/>
        <v>||1900|</v>
      </c>
      <c r="I3036" s="32">
        <f>IF(G3036="",0,IF(COUNTIF($G$2:G3036,G3036)=1,1,0))</f>
        <v>0</v>
      </c>
      <c r="J3036" s="32">
        <f>IF(H3036="",0,IF(COUNTIF($H$2:H3036,H3036)=1,1,0))</f>
        <v>0</v>
      </c>
    </row>
    <row r="3037" spans="1:10" ht="14.25" hidden="1" customHeight="1" x14ac:dyDescent="0.35">
      <c r="A3037" s="30"/>
      <c r="E3037" s="31"/>
      <c r="G3037" s="32" t="str">
        <f t="shared" si="94"/>
        <v>|||1900|</v>
      </c>
      <c r="H3037" s="32" t="str">
        <f t="shared" si="95"/>
        <v>||1900|</v>
      </c>
      <c r="I3037" s="32">
        <f>IF(G3037="",0,IF(COUNTIF($G$2:G3037,G3037)=1,1,0))</f>
        <v>0</v>
      </c>
      <c r="J3037" s="32">
        <f>IF(H3037="",0,IF(COUNTIF($H$2:H3037,H3037)=1,1,0))</f>
        <v>0</v>
      </c>
    </row>
    <row r="3038" spans="1:10" ht="14.25" hidden="1" customHeight="1" x14ac:dyDescent="0.35">
      <c r="A3038" s="30"/>
      <c r="E3038" s="31"/>
      <c r="G3038" s="32" t="str">
        <f t="shared" si="94"/>
        <v>|||1900|</v>
      </c>
      <c r="H3038" s="32" t="str">
        <f t="shared" si="95"/>
        <v>||1900|</v>
      </c>
      <c r="I3038" s="32">
        <f>IF(G3038="",0,IF(COUNTIF($G$2:G3038,G3038)=1,1,0))</f>
        <v>0</v>
      </c>
      <c r="J3038" s="32">
        <f>IF(H3038="",0,IF(COUNTIF($H$2:H3038,H3038)=1,1,0))</f>
        <v>0</v>
      </c>
    </row>
    <row r="3039" spans="1:10" ht="14.25" hidden="1" customHeight="1" x14ac:dyDescent="0.35">
      <c r="A3039" s="30"/>
      <c r="E3039" s="31"/>
      <c r="G3039" s="32" t="str">
        <f t="shared" si="94"/>
        <v>|||1900|</v>
      </c>
      <c r="H3039" s="32" t="str">
        <f t="shared" si="95"/>
        <v>||1900|</v>
      </c>
      <c r="I3039" s="32">
        <f>IF(G3039="",0,IF(COUNTIF($G$2:G3039,G3039)=1,1,0))</f>
        <v>0</v>
      </c>
      <c r="J3039" s="32">
        <f>IF(H3039="",0,IF(COUNTIF($H$2:H3039,H3039)=1,1,0))</f>
        <v>0</v>
      </c>
    </row>
    <row r="3040" spans="1:10" ht="14.25" hidden="1" customHeight="1" x14ac:dyDescent="0.35">
      <c r="A3040" s="30"/>
      <c r="E3040" s="31"/>
      <c r="G3040" s="32" t="str">
        <f t="shared" si="94"/>
        <v>|||1900|</v>
      </c>
      <c r="H3040" s="32" t="str">
        <f t="shared" si="95"/>
        <v>||1900|</v>
      </c>
      <c r="I3040" s="32">
        <f>IF(G3040="",0,IF(COUNTIF($G$2:G3040,G3040)=1,1,0))</f>
        <v>0</v>
      </c>
      <c r="J3040" s="32">
        <f>IF(H3040="",0,IF(COUNTIF($H$2:H3040,H3040)=1,1,0))</f>
        <v>0</v>
      </c>
    </row>
    <row r="3041" spans="1:10" ht="14.25" hidden="1" customHeight="1" x14ac:dyDescent="0.35">
      <c r="A3041" s="30"/>
      <c r="E3041" s="31"/>
      <c r="G3041" s="32" t="str">
        <f t="shared" si="94"/>
        <v>|||1900|</v>
      </c>
      <c r="H3041" s="32" t="str">
        <f t="shared" si="95"/>
        <v>||1900|</v>
      </c>
      <c r="I3041" s="32">
        <f>IF(G3041="",0,IF(COUNTIF($G$2:G3041,G3041)=1,1,0))</f>
        <v>0</v>
      </c>
      <c r="J3041" s="32">
        <f>IF(H3041="",0,IF(COUNTIF($H$2:H3041,H3041)=1,1,0))</f>
        <v>0</v>
      </c>
    </row>
    <row r="3042" spans="1:10" ht="14.25" hidden="1" customHeight="1" x14ac:dyDescent="0.35">
      <c r="A3042" s="30"/>
      <c r="E3042" s="31"/>
      <c r="G3042" s="32" t="str">
        <f t="shared" si="94"/>
        <v>|||1900|</v>
      </c>
      <c r="H3042" s="32" t="str">
        <f t="shared" si="95"/>
        <v>||1900|</v>
      </c>
      <c r="I3042" s="32">
        <f>IF(G3042="",0,IF(COUNTIF($G$2:G3042,G3042)=1,1,0))</f>
        <v>0</v>
      </c>
      <c r="J3042" s="32">
        <f>IF(H3042="",0,IF(COUNTIF($H$2:H3042,H3042)=1,1,0))</f>
        <v>0</v>
      </c>
    </row>
    <row r="3043" spans="1:10" ht="14.25" hidden="1" customHeight="1" x14ac:dyDescent="0.35">
      <c r="A3043" s="30"/>
      <c r="E3043" s="31"/>
      <c r="G3043" s="32" t="str">
        <f t="shared" si="94"/>
        <v>|||1900|</v>
      </c>
      <c r="H3043" s="32" t="str">
        <f t="shared" si="95"/>
        <v>||1900|</v>
      </c>
      <c r="I3043" s="32">
        <f>IF(G3043="",0,IF(COUNTIF($G$2:G3043,G3043)=1,1,0))</f>
        <v>0</v>
      </c>
      <c r="J3043" s="32">
        <f>IF(H3043="",0,IF(COUNTIF($H$2:H3043,H3043)=1,1,0))</f>
        <v>0</v>
      </c>
    </row>
    <row r="3044" spans="1:10" ht="14.25" hidden="1" customHeight="1" x14ac:dyDescent="0.35">
      <c r="A3044" s="30"/>
      <c r="E3044" s="31"/>
      <c r="G3044" s="32" t="str">
        <f t="shared" si="94"/>
        <v>|||1900|</v>
      </c>
      <c r="H3044" s="32" t="str">
        <f t="shared" si="95"/>
        <v>||1900|</v>
      </c>
      <c r="I3044" s="32">
        <f>IF(G3044="",0,IF(COUNTIF($G$2:G3044,G3044)=1,1,0))</f>
        <v>0</v>
      </c>
      <c r="J3044" s="32">
        <f>IF(H3044="",0,IF(COUNTIF($H$2:H3044,H3044)=1,1,0))</f>
        <v>0</v>
      </c>
    </row>
    <row r="3045" spans="1:10" ht="14.25" hidden="1" customHeight="1" x14ac:dyDescent="0.35">
      <c r="A3045" s="30"/>
      <c r="E3045" s="31"/>
      <c r="G3045" s="32" t="str">
        <f t="shared" si="94"/>
        <v>|||1900|</v>
      </c>
      <c r="H3045" s="32" t="str">
        <f t="shared" si="95"/>
        <v>||1900|</v>
      </c>
      <c r="I3045" s="32">
        <f>IF(G3045="",0,IF(COUNTIF($G$2:G3045,G3045)=1,1,0))</f>
        <v>0</v>
      </c>
      <c r="J3045" s="32">
        <f>IF(H3045="",0,IF(COUNTIF($H$2:H3045,H3045)=1,1,0))</f>
        <v>0</v>
      </c>
    </row>
    <row r="3046" spans="1:10" ht="14.25" hidden="1" customHeight="1" x14ac:dyDescent="0.35">
      <c r="A3046" s="30"/>
      <c r="E3046" s="31"/>
      <c r="G3046" s="32" t="str">
        <f t="shared" si="94"/>
        <v>|||1900|</v>
      </c>
      <c r="H3046" s="32" t="str">
        <f t="shared" si="95"/>
        <v>||1900|</v>
      </c>
      <c r="I3046" s="32">
        <f>IF(G3046="",0,IF(COUNTIF($G$2:G3046,G3046)=1,1,0))</f>
        <v>0</v>
      </c>
      <c r="J3046" s="32">
        <f>IF(H3046="",0,IF(COUNTIF($H$2:H3046,H3046)=1,1,0))</f>
        <v>0</v>
      </c>
    </row>
    <row r="3047" spans="1:10" ht="14.25" hidden="1" customHeight="1" x14ac:dyDescent="0.35">
      <c r="A3047" s="30"/>
      <c r="E3047" s="31"/>
      <c r="G3047" s="32" t="str">
        <f t="shared" si="94"/>
        <v>|||1900|</v>
      </c>
      <c r="H3047" s="32" t="str">
        <f t="shared" si="95"/>
        <v>||1900|</v>
      </c>
      <c r="I3047" s="32">
        <f>IF(G3047="",0,IF(COUNTIF($G$2:G3047,G3047)=1,1,0))</f>
        <v>0</v>
      </c>
      <c r="J3047" s="32">
        <f>IF(H3047="",0,IF(COUNTIF($H$2:H3047,H3047)=1,1,0))</f>
        <v>0</v>
      </c>
    </row>
    <row r="3048" spans="1:10" ht="14.25" hidden="1" customHeight="1" x14ac:dyDescent="0.35">
      <c r="A3048" s="30"/>
      <c r="E3048" s="31"/>
      <c r="G3048" s="32" t="str">
        <f t="shared" si="94"/>
        <v>|||1900|</v>
      </c>
      <c r="H3048" s="32" t="str">
        <f t="shared" si="95"/>
        <v>||1900|</v>
      </c>
      <c r="I3048" s="32">
        <f>IF(G3048="",0,IF(COUNTIF($G$2:G3048,G3048)=1,1,0))</f>
        <v>0</v>
      </c>
      <c r="J3048" s="32">
        <f>IF(H3048="",0,IF(COUNTIF($H$2:H3048,H3048)=1,1,0))</f>
        <v>0</v>
      </c>
    </row>
    <row r="3049" spans="1:10" ht="14.25" hidden="1" customHeight="1" x14ac:dyDescent="0.35">
      <c r="A3049" s="30"/>
      <c r="E3049" s="31"/>
      <c r="G3049" s="32" t="str">
        <f t="shared" si="94"/>
        <v>|||1900|</v>
      </c>
      <c r="H3049" s="32" t="str">
        <f t="shared" si="95"/>
        <v>||1900|</v>
      </c>
      <c r="I3049" s="32">
        <f>IF(G3049="",0,IF(COUNTIF($G$2:G3049,G3049)=1,1,0))</f>
        <v>0</v>
      </c>
      <c r="J3049" s="32">
        <f>IF(H3049="",0,IF(COUNTIF($H$2:H3049,H3049)=1,1,0))</f>
        <v>0</v>
      </c>
    </row>
    <row r="3050" spans="1:10" ht="14.25" hidden="1" customHeight="1" x14ac:dyDescent="0.35">
      <c r="A3050" s="30"/>
      <c r="E3050" s="31"/>
      <c r="G3050" s="32" t="str">
        <f t="shared" si="94"/>
        <v>|||1900|</v>
      </c>
      <c r="H3050" s="32" t="str">
        <f t="shared" si="95"/>
        <v>||1900|</v>
      </c>
      <c r="I3050" s="32">
        <f>IF(G3050="",0,IF(COUNTIF($G$2:G3050,G3050)=1,1,0))</f>
        <v>0</v>
      </c>
      <c r="J3050" s="32">
        <f>IF(H3050="",0,IF(COUNTIF($H$2:H3050,H3050)=1,1,0))</f>
        <v>0</v>
      </c>
    </row>
    <row r="3051" spans="1:10" ht="14.25" hidden="1" customHeight="1" x14ac:dyDescent="0.35">
      <c r="A3051" s="30"/>
      <c r="E3051" s="31"/>
      <c r="G3051" s="32" t="str">
        <f t="shared" si="94"/>
        <v>|||1900|</v>
      </c>
      <c r="H3051" s="32" t="str">
        <f t="shared" si="95"/>
        <v>||1900|</v>
      </c>
      <c r="I3051" s="32">
        <f>IF(G3051="",0,IF(COUNTIF($G$2:G3051,G3051)=1,1,0))</f>
        <v>0</v>
      </c>
      <c r="J3051" s="32">
        <f>IF(H3051="",0,IF(COUNTIF($H$2:H3051,H3051)=1,1,0))</f>
        <v>0</v>
      </c>
    </row>
    <row r="3052" spans="1:10" ht="14.25" hidden="1" customHeight="1" x14ac:dyDescent="0.35">
      <c r="A3052" s="30"/>
      <c r="E3052" s="31"/>
      <c r="G3052" s="32" t="str">
        <f t="shared" si="94"/>
        <v>|||1900|</v>
      </c>
      <c r="H3052" s="32" t="str">
        <f t="shared" si="95"/>
        <v>||1900|</v>
      </c>
      <c r="I3052" s="32">
        <f>IF(G3052="",0,IF(COUNTIF($G$2:G3052,G3052)=1,1,0))</f>
        <v>0</v>
      </c>
      <c r="J3052" s="32">
        <f>IF(H3052="",0,IF(COUNTIF($H$2:H3052,H3052)=1,1,0))</f>
        <v>0</v>
      </c>
    </row>
    <row r="3053" spans="1:10" ht="14.25" hidden="1" customHeight="1" x14ac:dyDescent="0.35">
      <c r="A3053" s="30"/>
      <c r="E3053" s="31"/>
      <c r="G3053" s="32" t="str">
        <f t="shared" si="94"/>
        <v>|||1900|</v>
      </c>
      <c r="H3053" s="32" t="str">
        <f t="shared" si="95"/>
        <v>||1900|</v>
      </c>
      <c r="I3053" s="32">
        <f>IF(G3053="",0,IF(COUNTIF($G$2:G3053,G3053)=1,1,0))</f>
        <v>0</v>
      </c>
      <c r="J3053" s="32">
        <f>IF(H3053="",0,IF(COUNTIF($H$2:H3053,H3053)=1,1,0))</f>
        <v>0</v>
      </c>
    </row>
    <row r="3054" spans="1:10" ht="14.25" hidden="1" customHeight="1" x14ac:dyDescent="0.35">
      <c r="A3054" s="30"/>
      <c r="E3054" s="31"/>
      <c r="G3054" s="32" t="str">
        <f t="shared" si="94"/>
        <v>|||1900|</v>
      </c>
      <c r="H3054" s="32" t="str">
        <f t="shared" si="95"/>
        <v>||1900|</v>
      </c>
      <c r="I3054" s="32">
        <f>IF(G3054="",0,IF(COUNTIF($G$2:G3054,G3054)=1,1,0))</f>
        <v>0</v>
      </c>
      <c r="J3054" s="32">
        <f>IF(H3054="",0,IF(COUNTIF($H$2:H3054,H3054)=1,1,0))</f>
        <v>0</v>
      </c>
    </row>
    <row r="3055" spans="1:10" ht="14.25" hidden="1" customHeight="1" x14ac:dyDescent="0.35">
      <c r="A3055" s="30"/>
      <c r="E3055" s="31"/>
      <c r="G3055" s="32" t="str">
        <f t="shared" si="94"/>
        <v>|||1900|</v>
      </c>
      <c r="H3055" s="32" t="str">
        <f t="shared" si="95"/>
        <v>||1900|</v>
      </c>
      <c r="I3055" s="32">
        <f>IF(G3055="",0,IF(COUNTIF($G$2:G3055,G3055)=1,1,0))</f>
        <v>0</v>
      </c>
      <c r="J3055" s="32">
        <f>IF(H3055="",0,IF(COUNTIF($H$2:H3055,H3055)=1,1,0))</f>
        <v>0</v>
      </c>
    </row>
    <row r="3056" spans="1:10" ht="14.25" hidden="1" customHeight="1" x14ac:dyDescent="0.35">
      <c r="A3056" s="30"/>
      <c r="E3056" s="31"/>
      <c r="G3056" s="32" t="str">
        <f t="shared" si="94"/>
        <v>|||1900|</v>
      </c>
      <c r="H3056" s="32" t="str">
        <f t="shared" si="95"/>
        <v>||1900|</v>
      </c>
      <c r="I3056" s="32">
        <f>IF(G3056="",0,IF(COUNTIF($G$2:G3056,G3056)=1,1,0))</f>
        <v>0</v>
      </c>
      <c r="J3056" s="32">
        <f>IF(H3056="",0,IF(COUNTIF($H$2:H3056,H3056)=1,1,0))</f>
        <v>0</v>
      </c>
    </row>
    <row r="3057" spans="1:10" ht="14.25" hidden="1" customHeight="1" x14ac:dyDescent="0.35">
      <c r="A3057" s="30"/>
      <c r="E3057" s="31"/>
      <c r="G3057" s="32" t="str">
        <f t="shared" si="94"/>
        <v>|||1900|</v>
      </c>
      <c r="H3057" s="32" t="str">
        <f t="shared" si="95"/>
        <v>||1900|</v>
      </c>
      <c r="I3057" s="32">
        <f>IF(G3057="",0,IF(COUNTIF($G$2:G3057,G3057)=1,1,0))</f>
        <v>0</v>
      </c>
      <c r="J3057" s="32">
        <f>IF(H3057="",0,IF(COUNTIF($H$2:H3057,H3057)=1,1,0))</f>
        <v>0</v>
      </c>
    </row>
    <row r="3058" spans="1:10" ht="14.25" hidden="1" customHeight="1" x14ac:dyDescent="0.35">
      <c r="A3058" s="30"/>
      <c r="E3058" s="31"/>
      <c r="G3058" s="32" t="str">
        <f t="shared" si="94"/>
        <v>|||1900|</v>
      </c>
      <c r="H3058" s="32" t="str">
        <f t="shared" si="95"/>
        <v>||1900|</v>
      </c>
      <c r="I3058" s="32">
        <f>IF(G3058="",0,IF(COUNTIF($G$2:G3058,G3058)=1,1,0))</f>
        <v>0</v>
      </c>
      <c r="J3058" s="32">
        <f>IF(H3058="",0,IF(COUNTIF($H$2:H3058,H3058)=1,1,0))</f>
        <v>0</v>
      </c>
    </row>
    <row r="3059" spans="1:10" ht="14.25" hidden="1" customHeight="1" x14ac:dyDescent="0.35">
      <c r="A3059" s="30"/>
      <c r="E3059" s="31"/>
      <c r="G3059" s="32" t="str">
        <f t="shared" si="94"/>
        <v>|||1900|</v>
      </c>
      <c r="H3059" s="32" t="str">
        <f t="shared" si="95"/>
        <v>||1900|</v>
      </c>
      <c r="I3059" s="32">
        <f>IF(G3059="",0,IF(COUNTIF($G$2:G3059,G3059)=1,1,0))</f>
        <v>0</v>
      </c>
      <c r="J3059" s="32">
        <f>IF(H3059="",0,IF(COUNTIF($H$2:H3059,H3059)=1,1,0))</f>
        <v>0</v>
      </c>
    </row>
    <row r="3060" spans="1:10" ht="14.25" hidden="1" customHeight="1" x14ac:dyDescent="0.35">
      <c r="A3060" s="30"/>
      <c r="E3060" s="31"/>
      <c r="G3060" s="32" t="str">
        <f t="shared" si="94"/>
        <v>|||1900|</v>
      </c>
      <c r="H3060" s="32" t="str">
        <f t="shared" si="95"/>
        <v>||1900|</v>
      </c>
      <c r="I3060" s="32">
        <f>IF(G3060="",0,IF(COUNTIF($G$2:G3060,G3060)=1,1,0))</f>
        <v>0</v>
      </c>
      <c r="J3060" s="32">
        <f>IF(H3060="",0,IF(COUNTIF($H$2:H3060,H3060)=1,1,0))</f>
        <v>0</v>
      </c>
    </row>
    <row r="3061" spans="1:10" ht="14.25" hidden="1" customHeight="1" x14ac:dyDescent="0.35">
      <c r="A3061" s="30"/>
      <c r="E3061" s="31"/>
      <c r="G3061" s="32" t="str">
        <f t="shared" si="94"/>
        <v>|||1900|</v>
      </c>
      <c r="H3061" s="32" t="str">
        <f t="shared" si="95"/>
        <v>||1900|</v>
      </c>
      <c r="I3061" s="32">
        <f>IF(G3061="",0,IF(COUNTIF($G$2:G3061,G3061)=1,1,0))</f>
        <v>0</v>
      </c>
      <c r="J3061" s="32">
        <f>IF(H3061="",0,IF(COUNTIF($H$2:H3061,H3061)=1,1,0))</f>
        <v>0</v>
      </c>
    </row>
    <row r="3062" spans="1:10" ht="14.25" hidden="1" customHeight="1" x14ac:dyDescent="0.35">
      <c r="A3062" s="30"/>
      <c r="E3062" s="31"/>
      <c r="G3062" s="32" t="str">
        <f t="shared" si="94"/>
        <v>|||1900|</v>
      </c>
      <c r="H3062" s="32" t="str">
        <f t="shared" si="95"/>
        <v>||1900|</v>
      </c>
      <c r="I3062" s="32">
        <f>IF(G3062="",0,IF(COUNTIF($G$2:G3062,G3062)=1,1,0))</f>
        <v>0</v>
      </c>
      <c r="J3062" s="32">
        <f>IF(H3062="",0,IF(COUNTIF($H$2:H3062,H3062)=1,1,0))</f>
        <v>0</v>
      </c>
    </row>
    <row r="3063" spans="1:10" ht="14.25" hidden="1" customHeight="1" x14ac:dyDescent="0.35">
      <c r="A3063" s="30"/>
      <c r="E3063" s="31"/>
      <c r="G3063" s="32" t="str">
        <f t="shared" si="94"/>
        <v>|||1900|</v>
      </c>
      <c r="H3063" s="32" t="str">
        <f t="shared" si="95"/>
        <v>||1900|</v>
      </c>
      <c r="I3063" s="32">
        <f>IF(G3063="",0,IF(COUNTIF($G$2:G3063,G3063)=1,1,0))</f>
        <v>0</v>
      </c>
      <c r="J3063" s="32">
        <f>IF(H3063="",0,IF(COUNTIF($H$2:H3063,H3063)=1,1,0))</f>
        <v>0</v>
      </c>
    </row>
    <row r="3064" spans="1:10" ht="14.25" hidden="1" customHeight="1" x14ac:dyDescent="0.35">
      <c r="A3064" s="30"/>
      <c r="E3064" s="31"/>
      <c r="G3064" s="32" t="str">
        <f t="shared" si="94"/>
        <v>|||1900|</v>
      </c>
      <c r="H3064" s="32" t="str">
        <f t="shared" si="95"/>
        <v>||1900|</v>
      </c>
      <c r="I3064" s="32">
        <f>IF(G3064="",0,IF(COUNTIF($G$2:G3064,G3064)=1,1,0))</f>
        <v>0</v>
      </c>
      <c r="J3064" s="32">
        <f>IF(H3064="",0,IF(COUNTIF($H$2:H3064,H3064)=1,1,0))</f>
        <v>0</v>
      </c>
    </row>
    <row r="3065" spans="1:10" ht="14.25" hidden="1" customHeight="1" x14ac:dyDescent="0.35">
      <c r="A3065" s="30"/>
      <c r="E3065" s="31"/>
      <c r="G3065" s="32" t="str">
        <f t="shared" si="94"/>
        <v>|||1900|</v>
      </c>
      <c r="H3065" s="32" t="str">
        <f t="shared" si="95"/>
        <v>||1900|</v>
      </c>
      <c r="I3065" s="32">
        <f>IF(G3065="",0,IF(COUNTIF($G$2:G3065,G3065)=1,1,0))</f>
        <v>0</v>
      </c>
      <c r="J3065" s="32">
        <f>IF(H3065="",0,IF(COUNTIF($H$2:H3065,H3065)=1,1,0))</f>
        <v>0</v>
      </c>
    </row>
    <row r="3066" spans="1:10" ht="14.25" hidden="1" customHeight="1" x14ac:dyDescent="0.35">
      <c r="A3066" s="30"/>
      <c r="E3066" s="31"/>
      <c r="G3066" s="32" t="str">
        <f t="shared" si="94"/>
        <v>|||1900|</v>
      </c>
      <c r="H3066" s="32" t="str">
        <f t="shared" si="95"/>
        <v>||1900|</v>
      </c>
      <c r="I3066" s="32">
        <f>IF(G3066="",0,IF(COUNTIF($G$2:G3066,G3066)=1,1,0))</f>
        <v>0</v>
      </c>
      <c r="J3066" s="32">
        <f>IF(H3066="",0,IF(COUNTIF($H$2:H3066,H3066)=1,1,0))</f>
        <v>0</v>
      </c>
    </row>
    <row r="3067" spans="1:10" ht="14.25" hidden="1" customHeight="1" x14ac:dyDescent="0.35">
      <c r="A3067" s="30"/>
      <c r="E3067" s="31"/>
      <c r="G3067" s="32" t="str">
        <f t="shared" si="94"/>
        <v>|||1900|</v>
      </c>
      <c r="H3067" s="32" t="str">
        <f t="shared" si="95"/>
        <v>||1900|</v>
      </c>
      <c r="I3067" s="32">
        <f>IF(G3067="",0,IF(COUNTIF($G$2:G3067,G3067)=1,1,0))</f>
        <v>0</v>
      </c>
      <c r="J3067" s="32">
        <f>IF(H3067="",0,IF(COUNTIF($H$2:H3067,H3067)=1,1,0))</f>
        <v>0</v>
      </c>
    </row>
    <row r="3068" spans="1:10" ht="14.25" hidden="1" customHeight="1" x14ac:dyDescent="0.35">
      <c r="A3068" s="30"/>
      <c r="E3068" s="31"/>
      <c r="G3068" s="32" t="str">
        <f t="shared" si="94"/>
        <v>|||1900|</v>
      </c>
      <c r="H3068" s="32" t="str">
        <f t="shared" si="95"/>
        <v>||1900|</v>
      </c>
      <c r="I3068" s="32">
        <f>IF(G3068="",0,IF(COUNTIF($G$2:G3068,G3068)=1,1,0))</f>
        <v>0</v>
      </c>
      <c r="J3068" s="32">
        <f>IF(H3068="",0,IF(COUNTIF($H$2:H3068,H3068)=1,1,0))</f>
        <v>0</v>
      </c>
    </row>
    <row r="3069" spans="1:10" ht="14.25" hidden="1" customHeight="1" x14ac:dyDescent="0.35">
      <c r="A3069" s="30"/>
      <c r="E3069" s="31"/>
      <c r="G3069" s="32" t="str">
        <f t="shared" si="94"/>
        <v>|||1900|</v>
      </c>
      <c r="H3069" s="32" t="str">
        <f t="shared" si="95"/>
        <v>||1900|</v>
      </c>
      <c r="I3069" s="32">
        <f>IF(G3069="",0,IF(COUNTIF($G$2:G3069,G3069)=1,1,0))</f>
        <v>0</v>
      </c>
      <c r="J3069" s="32">
        <f>IF(H3069="",0,IF(COUNTIF($H$2:H3069,H3069)=1,1,0))</f>
        <v>0</v>
      </c>
    </row>
    <row r="3070" spans="1:10" ht="14.25" hidden="1" customHeight="1" x14ac:dyDescent="0.35">
      <c r="A3070" s="30"/>
      <c r="E3070" s="31"/>
      <c r="G3070" s="32" t="str">
        <f t="shared" si="94"/>
        <v>|||1900|</v>
      </c>
      <c r="H3070" s="32" t="str">
        <f t="shared" si="95"/>
        <v>||1900|</v>
      </c>
      <c r="I3070" s="32">
        <f>IF(G3070="",0,IF(COUNTIF($G$2:G3070,G3070)=1,1,0))</f>
        <v>0</v>
      </c>
      <c r="J3070" s="32">
        <f>IF(H3070="",0,IF(COUNTIF($H$2:H3070,H3070)=1,1,0))</f>
        <v>0</v>
      </c>
    </row>
    <row r="3071" spans="1:10" ht="14.25" hidden="1" customHeight="1" x14ac:dyDescent="0.35">
      <c r="A3071" s="30"/>
      <c r="E3071" s="31"/>
      <c r="G3071" s="32" t="str">
        <f t="shared" si="94"/>
        <v>|||1900|</v>
      </c>
      <c r="H3071" s="32" t="str">
        <f t="shared" si="95"/>
        <v>||1900|</v>
      </c>
      <c r="I3071" s="32">
        <f>IF(G3071="",0,IF(COUNTIF($G$2:G3071,G3071)=1,1,0))</f>
        <v>0</v>
      </c>
      <c r="J3071" s="32">
        <f>IF(H3071="",0,IF(COUNTIF($H$2:H3071,H3071)=1,1,0))</f>
        <v>0</v>
      </c>
    </row>
    <row r="3072" spans="1:10" ht="14.25" hidden="1" customHeight="1" x14ac:dyDescent="0.35">
      <c r="A3072" s="30"/>
      <c r="E3072" s="31"/>
      <c r="G3072" s="32" t="str">
        <f t="shared" si="94"/>
        <v>|||1900|</v>
      </c>
      <c r="H3072" s="32" t="str">
        <f t="shared" si="95"/>
        <v>||1900|</v>
      </c>
      <c r="I3072" s="32">
        <f>IF(G3072="",0,IF(COUNTIF($G$2:G3072,G3072)=1,1,0))</f>
        <v>0</v>
      </c>
      <c r="J3072" s="32">
        <f>IF(H3072="",0,IF(COUNTIF($H$2:H3072,H3072)=1,1,0))</f>
        <v>0</v>
      </c>
    </row>
    <row r="3073" spans="1:10" ht="14.25" hidden="1" customHeight="1" x14ac:dyDescent="0.35">
      <c r="A3073" s="30"/>
      <c r="E3073" s="31"/>
      <c r="G3073" s="32" t="str">
        <f t="shared" si="94"/>
        <v>|||1900|</v>
      </c>
      <c r="H3073" s="32" t="str">
        <f t="shared" si="95"/>
        <v>||1900|</v>
      </c>
      <c r="I3073" s="32">
        <f>IF(G3073="",0,IF(COUNTIF($G$2:G3073,G3073)=1,1,0))</f>
        <v>0</v>
      </c>
      <c r="J3073" s="32">
        <f>IF(H3073="",0,IF(COUNTIF($H$2:H3073,H3073)=1,1,0))</f>
        <v>0</v>
      </c>
    </row>
    <row r="3074" spans="1:10" ht="14.25" hidden="1" customHeight="1" x14ac:dyDescent="0.35">
      <c r="A3074" s="30"/>
      <c r="E3074" s="31"/>
      <c r="G3074" s="32" t="str">
        <f t="shared" ref="G3074:G3137" si="96">IF(D3074="T",
E3074&amp;"|"&amp;F3074,
A3074&amp;"|"&amp;B3074&amp;"|"&amp;C3074&amp;"|"&amp;YEAR(E3074)&amp;"|"&amp;F3074)</f>
        <v>|||1900|</v>
      </c>
      <c r="H3074" s="32" t="str">
        <f t="shared" ref="H3074:H3137" si="97">A3074&amp;"|"&amp;C3074&amp;"|"&amp;YEAR(E3074)&amp;"|"&amp;F3074</f>
        <v>||1900|</v>
      </c>
      <c r="I3074" s="32">
        <f>IF(G3074="",0,IF(COUNTIF($G$2:G3074,G3074)=1,1,0))</f>
        <v>0</v>
      </c>
      <c r="J3074" s="32">
        <f>IF(H3074="",0,IF(COUNTIF($H$2:H3074,H3074)=1,1,0))</f>
        <v>0</v>
      </c>
    </row>
    <row r="3075" spans="1:10" ht="14.25" hidden="1" customHeight="1" x14ac:dyDescent="0.35">
      <c r="A3075" s="30"/>
      <c r="E3075" s="31"/>
      <c r="G3075" s="32" t="str">
        <f t="shared" si="96"/>
        <v>|||1900|</v>
      </c>
      <c r="H3075" s="32" t="str">
        <f t="shared" si="97"/>
        <v>||1900|</v>
      </c>
      <c r="I3075" s="32">
        <f>IF(G3075="",0,IF(COUNTIF($G$2:G3075,G3075)=1,1,0))</f>
        <v>0</v>
      </c>
      <c r="J3075" s="32">
        <f>IF(H3075="",0,IF(COUNTIF($H$2:H3075,H3075)=1,1,0))</f>
        <v>0</v>
      </c>
    </row>
    <row r="3076" spans="1:10" ht="14.25" hidden="1" customHeight="1" x14ac:dyDescent="0.35">
      <c r="A3076" s="30"/>
      <c r="E3076" s="31"/>
      <c r="G3076" s="32" t="str">
        <f t="shared" si="96"/>
        <v>|||1900|</v>
      </c>
      <c r="H3076" s="32" t="str">
        <f t="shared" si="97"/>
        <v>||1900|</v>
      </c>
      <c r="I3076" s="32">
        <f>IF(G3076="",0,IF(COUNTIF($G$2:G3076,G3076)=1,1,0))</f>
        <v>0</v>
      </c>
      <c r="J3076" s="32">
        <f>IF(H3076="",0,IF(COUNTIF($H$2:H3076,H3076)=1,1,0))</f>
        <v>0</v>
      </c>
    </row>
    <row r="3077" spans="1:10" ht="14.25" hidden="1" customHeight="1" x14ac:dyDescent="0.35">
      <c r="A3077" s="30"/>
      <c r="E3077" s="31"/>
      <c r="G3077" s="32" t="str">
        <f t="shared" si="96"/>
        <v>|||1900|</v>
      </c>
      <c r="H3077" s="32" t="str">
        <f t="shared" si="97"/>
        <v>||1900|</v>
      </c>
      <c r="I3077" s="32">
        <f>IF(G3077="",0,IF(COUNTIF($G$2:G3077,G3077)=1,1,0))</f>
        <v>0</v>
      </c>
      <c r="J3077" s="32">
        <f>IF(H3077="",0,IF(COUNTIF($H$2:H3077,H3077)=1,1,0))</f>
        <v>0</v>
      </c>
    </row>
    <row r="3078" spans="1:10" ht="14.25" hidden="1" customHeight="1" x14ac:dyDescent="0.35">
      <c r="A3078" s="30"/>
      <c r="E3078" s="31"/>
      <c r="G3078" s="32" t="str">
        <f t="shared" si="96"/>
        <v>|||1900|</v>
      </c>
      <c r="H3078" s="32" t="str">
        <f t="shared" si="97"/>
        <v>||1900|</v>
      </c>
      <c r="I3078" s="32">
        <f>IF(G3078="",0,IF(COUNTIF($G$2:G3078,G3078)=1,1,0))</f>
        <v>0</v>
      </c>
      <c r="J3078" s="32">
        <f>IF(H3078="",0,IF(COUNTIF($H$2:H3078,H3078)=1,1,0))</f>
        <v>0</v>
      </c>
    </row>
    <row r="3079" spans="1:10" ht="14.25" hidden="1" customHeight="1" x14ac:dyDescent="0.35">
      <c r="A3079" s="30"/>
      <c r="E3079" s="31"/>
      <c r="G3079" s="32" t="str">
        <f t="shared" si="96"/>
        <v>|||1900|</v>
      </c>
      <c r="H3079" s="32" t="str">
        <f t="shared" si="97"/>
        <v>||1900|</v>
      </c>
      <c r="I3079" s="32">
        <f>IF(G3079="",0,IF(COUNTIF($G$2:G3079,G3079)=1,1,0))</f>
        <v>0</v>
      </c>
      <c r="J3079" s="32">
        <f>IF(H3079="",0,IF(COUNTIF($H$2:H3079,H3079)=1,1,0))</f>
        <v>0</v>
      </c>
    </row>
    <row r="3080" spans="1:10" ht="14.25" hidden="1" customHeight="1" x14ac:dyDescent="0.35">
      <c r="A3080" s="30"/>
      <c r="E3080" s="31"/>
      <c r="G3080" s="32" t="str">
        <f t="shared" si="96"/>
        <v>|||1900|</v>
      </c>
      <c r="H3080" s="32" t="str">
        <f t="shared" si="97"/>
        <v>||1900|</v>
      </c>
      <c r="I3080" s="32">
        <f>IF(G3080="",0,IF(COUNTIF($G$2:G3080,G3080)=1,1,0))</f>
        <v>0</v>
      </c>
      <c r="J3080" s="32">
        <f>IF(H3080="",0,IF(COUNTIF($H$2:H3080,H3080)=1,1,0))</f>
        <v>0</v>
      </c>
    </row>
    <row r="3081" spans="1:10" ht="14.25" hidden="1" customHeight="1" x14ac:dyDescent="0.35">
      <c r="A3081" s="30"/>
      <c r="E3081" s="31"/>
      <c r="G3081" s="32" t="str">
        <f t="shared" si="96"/>
        <v>|||1900|</v>
      </c>
      <c r="H3081" s="32" t="str">
        <f t="shared" si="97"/>
        <v>||1900|</v>
      </c>
      <c r="I3081" s="32">
        <f>IF(G3081="",0,IF(COUNTIF($G$2:G3081,G3081)=1,1,0))</f>
        <v>0</v>
      </c>
      <c r="J3081" s="32">
        <f>IF(H3081="",0,IF(COUNTIF($H$2:H3081,H3081)=1,1,0))</f>
        <v>0</v>
      </c>
    </row>
    <row r="3082" spans="1:10" ht="14.25" hidden="1" customHeight="1" x14ac:dyDescent="0.35">
      <c r="A3082" s="30"/>
      <c r="E3082" s="31"/>
      <c r="G3082" s="32" t="str">
        <f t="shared" si="96"/>
        <v>|||1900|</v>
      </c>
      <c r="H3082" s="32" t="str">
        <f t="shared" si="97"/>
        <v>||1900|</v>
      </c>
      <c r="I3082" s="32">
        <f>IF(G3082="",0,IF(COUNTIF($G$2:G3082,G3082)=1,1,0))</f>
        <v>0</v>
      </c>
      <c r="J3082" s="32">
        <f>IF(H3082="",0,IF(COUNTIF($H$2:H3082,H3082)=1,1,0))</f>
        <v>0</v>
      </c>
    </row>
    <row r="3083" spans="1:10" ht="14.25" hidden="1" customHeight="1" x14ac:dyDescent="0.35">
      <c r="A3083" s="30"/>
      <c r="E3083" s="31"/>
      <c r="G3083" s="32" t="str">
        <f t="shared" si="96"/>
        <v>|||1900|</v>
      </c>
      <c r="H3083" s="32" t="str">
        <f t="shared" si="97"/>
        <v>||1900|</v>
      </c>
      <c r="I3083" s="32">
        <f>IF(G3083="",0,IF(COUNTIF($G$2:G3083,G3083)=1,1,0))</f>
        <v>0</v>
      </c>
      <c r="J3083" s="32">
        <f>IF(H3083="",0,IF(COUNTIF($H$2:H3083,H3083)=1,1,0))</f>
        <v>0</v>
      </c>
    </row>
    <row r="3084" spans="1:10" ht="14.25" hidden="1" customHeight="1" x14ac:dyDescent="0.35">
      <c r="A3084" s="30"/>
      <c r="E3084" s="31"/>
      <c r="G3084" s="32" t="str">
        <f t="shared" si="96"/>
        <v>|||1900|</v>
      </c>
      <c r="H3084" s="32" t="str">
        <f t="shared" si="97"/>
        <v>||1900|</v>
      </c>
      <c r="I3084" s="32">
        <f>IF(G3084="",0,IF(COUNTIF($G$2:G3084,G3084)=1,1,0))</f>
        <v>0</v>
      </c>
      <c r="J3084" s="32">
        <f>IF(H3084="",0,IF(COUNTIF($H$2:H3084,H3084)=1,1,0))</f>
        <v>0</v>
      </c>
    </row>
    <row r="3085" spans="1:10" ht="14.25" hidden="1" customHeight="1" x14ac:dyDescent="0.35">
      <c r="A3085" s="30"/>
      <c r="E3085" s="31"/>
      <c r="G3085" s="32" t="str">
        <f t="shared" si="96"/>
        <v>|||1900|</v>
      </c>
      <c r="H3085" s="32" t="str">
        <f t="shared" si="97"/>
        <v>||1900|</v>
      </c>
      <c r="I3085" s="32">
        <f>IF(G3085="",0,IF(COUNTIF($G$2:G3085,G3085)=1,1,0))</f>
        <v>0</v>
      </c>
      <c r="J3085" s="32">
        <f>IF(H3085="",0,IF(COUNTIF($H$2:H3085,H3085)=1,1,0))</f>
        <v>0</v>
      </c>
    </row>
    <row r="3086" spans="1:10" ht="14.25" hidden="1" customHeight="1" x14ac:dyDescent="0.35">
      <c r="A3086" s="30"/>
      <c r="E3086" s="31"/>
      <c r="G3086" s="32" t="str">
        <f t="shared" si="96"/>
        <v>|||1900|</v>
      </c>
      <c r="H3086" s="32" t="str">
        <f t="shared" si="97"/>
        <v>||1900|</v>
      </c>
      <c r="I3086" s="32">
        <f>IF(G3086="",0,IF(COUNTIF($G$2:G3086,G3086)=1,1,0))</f>
        <v>0</v>
      </c>
      <c r="J3086" s="32">
        <f>IF(H3086="",0,IF(COUNTIF($H$2:H3086,H3086)=1,1,0))</f>
        <v>0</v>
      </c>
    </row>
    <row r="3087" spans="1:10" ht="14.25" hidden="1" customHeight="1" x14ac:dyDescent="0.35">
      <c r="A3087" s="30"/>
      <c r="E3087" s="31"/>
      <c r="G3087" s="32" t="str">
        <f t="shared" si="96"/>
        <v>|||1900|</v>
      </c>
      <c r="H3087" s="32" t="str">
        <f t="shared" si="97"/>
        <v>||1900|</v>
      </c>
      <c r="I3087" s="32">
        <f>IF(G3087="",0,IF(COUNTIF($G$2:G3087,G3087)=1,1,0))</f>
        <v>0</v>
      </c>
      <c r="J3087" s="32">
        <f>IF(H3087="",0,IF(COUNTIF($H$2:H3087,H3087)=1,1,0))</f>
        <v>0</v>
      </c>
    </row>
    <row r="3088" spans="1:10" ht="14.25" hidden="1" customHeight="1" x14ac:dyDescent="0.35">
      <c r="A3088" s="30"/>
      <c r="E3088" s="31"/>
      <c r="G3088" s="32" t="str">
        <f t="shared" si="96"/>
        <v>|||1900|</v>
      </c>
      <c r="H3088" s="32" t="str">
        <f t="shared" si="97"/>
        <v>||1900|</v>
      </c>
      <c r="I3088" s="32">
        <f>IF(G3088="",0,IF(COUNTIF($G$2:G3088,G3088)=1,1,0))</f>
        <v>0</v>
      </c>
      <c r="J3088" s="32">
        <f>IF(H3088="",0,IF(COUNTIF($H$2:H3088,H3088)=1,1,0))</f>
        <v>0</v>
      </c>
    </row>
    <row r="3089" spans="1:10" ht="14.25" hidden="1" customHeight="1" x14ac:dyDescent="0.35">
      <c r="A3089" s="30"/>
      <c r="E3089" s="31"/>
      <c r="G3089" s="32" t="str">
        <f t="shared" si="96"/>
        <v>|||1900|</v>
      </c>
      <c r="H3089" s="32" t="str">
        <f t="shared" si="97"/>
        <v>||1900|</v>
      </c>
      <c r="I3089" s="32">
        <f>IF(G3089="",0,IF(COUNTIF($G$2:G3089,G3089)=1,1,0))</f>
        <v>0</v>
      </c>
      <c r="J3089" s="32">
        <f>IF(H3089="",0,IF(COUNTIF($H$2:H3089,H3089)=1,1,0))</f>
        <v>0</v>
      </c>
    </row>
    <row r="3090" spans="1:10" ht="14.25" hidden="1" customHeight="1" x14ac:dyDescent="0.35">
      <c r="A3090" s="30"/>
      <c r="E3090" s="31"/>
      <c r="G3090" s="32" t="str">
        <f t="shared" si="96"/>
        <v>|||1900|</v>
      </c>
      <c r="H3090" s="32" t="str">
        <f t="shared" si="97"/>
        <v>||1900|</v>
      </c>
      <c r="I3090" s="32">
        <f>IF(G3090="",0,IF(COUNTIF($G$2:G3090,G3090)=1,1,0))</f>
        <v>0</v>
      </c>
      <c r="J3090" s="32">
        <f>IF(H3090="",0,IF(COUNTIF($H$2:H3090,H3090)=1,1,0))</f>
        <v>0</v>
      </c>
    </row>
    <row r="3091" spans="1:10" ht="14.25" hidden="1" customHeight="1" x14ac:dyDescent="0.35">
      <c r="A3091" s="30"/>
      <c r="E3091" s="31"/>
      <c r="G3091" s="32" t="str">
        <f t="shared" si="96"/>
        <v>|||1900|</v>
      </c>
      <c r="H3091" s="32" t="str">
        <f t="shared" si="97"/>
        <v>||1900|</v>
      </c>
      <c r="I3091" s="32">
        <f>IF(G3091="",0,IF(COUNTIF($G$2:G3091,G3091)=1,1,0))</f>
        <v>0</v>
      </c>
      <c r="J3091" s="32">
        <f>IF(H3091="",0,IF(COUNTIF($H$2:H3091,H3091)=1,1,0))</f>
        <v>0</v>
      </c>
    </row>
    <row r="3092" spans="1:10" ht="14.25" hidden="1" customHeight="1" x14ac:dyDescent="0.35">
      <c r="A3092" s="30"/>
      <c r="E3092" s="31"/>
      <c r="G3092" s="32" t="str">
        <f t="shared" si="96"/>
        <v>|||1900|</v>
      </c>
      <c r="H3092" s="32" t="str">
        <f t="shared" si="97"/>
        <v>||1900|</v>
      </c>
      <c r="I3092" s="32">
        <f>IF(G3092="",0,IF(COUNTIF($G$2:G3092,G3092)=1,1,0))</f>
        <v>0</v>
      </c>
      <c r="J3092" s="32">
        <f>IF(H3092="",0,IF(COUNTIF($H$2:H3092,H3092)=1,1,0))</f>
        <v>0</v>
      </c>
    </row>
    <row r="3093" spans="1:10" ht="14.25" hidden="1" customHeight="1" x14ac:dyDescent="0.35">
      <c r="A3093" s="30"/>
      <c r="E3093" s="31"/>
      <c r="G3093" s="32" t="str">
        <f t="shared" si="96"/>
        <v>|||1900|</v>
      </c>
      <c r="H3093" s="32" t="str">
        <f t="shared" si="97"/>
        <v>||1900|</v>
      </c>
      <c r="I3093" s="32">
        <f>IF(G3093="",0,IF(COUNTIF($G$2:G3093,G3093)=1,1,0))</f>
        <v>0</v>
      </c>
      <c r="J3093" s="32">
        <f>IF(H3093="",0,IF(COUNTIF($H$2:H3093,H3093)=1,1,0))</f>
        <v>0</v>
      </c>
    </row>
    <row r="3094" spans="1:10" ht="14.25" hidden="1" customHeight="1" x14ac:dyDescent="0.35">
      <c r="A3094" s="30"/>
      <c r="E3094" s="31"/>
      <c r="G3094" s="32" t="str">
        <f t="shared" si="96"/>
        <v>|||1900|</v>
      </c>
      <c r="H3094" s="32" t="str">
        <f t="shared" si="97"/>
        <v>||1900|</v>
      </c>
      <c r="I3094" s="32">
        <f>IF(G3094="",0,IF(COUNTIF($G$2:G3094,G3094)=1,1,0))</f>
        <v>0</v>
      </c>
      <c r="J3094" s="32">
        <f>IF(H3094="",0,IF(COUNTIF($H$2:H3094,H3094)=1,1,0))</f>
        <v>0</v>
      </c>
    </row>
    <row r="3095" spans="1:10" ht="14.25" hidden="1" customHeight="1" x14ac:dyDescent="0.35">
      <c r="A3095" s="30"/>
      <c r="E3095" s="31"/>
      <c r="G3095" s="32" t="str">
        <f t="shared" si="96"/>
        <v>|||1900|</v>
      </c>
      <c r="H3095" s="32" t="str">
        <f t="shared" si="97"/>
        <v>||1900|</v>
      </c>
      <c r="I3095" s="32">
        <f>IF(G3095="",0,IF(COUNTIF($G$2:G3095,G3095)=1,1,0))</f>
        <v>0</v>
      </c>
      <c r="J3095" s="32">
        <f>IF(H3095="",0,IF(COUNTIF($H$2:H3095,H3095)=1,1,0))</f>
        <v>0</v>
      </c>
    </row>
    <row r="3096" spans="1:10" ht="14.25" hidden="1" customHeight="1" x14ac:dyDescent="0.35">
      <c r="A3096" s="30"/>
      <c r="E3096" s="31"/>
      <c r="G3096" s="32" t="str">
        <f t="shared" si="96"/>
        <v>|||1900|</v>
      </c>
      <c r="H3096" s="32" t="str">
        <f t="shared" si="97"/>
        <v>||1900|</v>
      </c>
      <c r="I3096" s="32">
        <f>IF(G3096="",0,IF(COUNTIF($G$2:G3096,G3096)=1,1,0))</f>
        <v>0</v>
      </c>
      <c r="J3096" s="32">
        <f>IF(H3096="",0,IF(COUNTIF($H$2:H3096,H3096)=1,1,0))</f>
        <v>0</v>
      </c>
    </row>
    <row r="3097" spans="1:10" ht="14.25" hidden="1" customHeight="1" x14ac:dyDescent="0.35">
      <c r="A3097" s="30"/>
      <c r="E3097" s="31"/>
      <c r="G3097" s="32" t="str">
        <f t="shared" si="96"/>
        <v>|||1900|</v>
      </c>
      <c r="H3097" s="32" t="str">
        <f t="shared" si="97"/>
        <v>||1900|</v>
      </c>
      <c r="I3097" s="32">
        <f>IF(G3097="",0,IF(COUNTIF($G$2:G3097,G3097)=1,1,0))</f>
        <v>0</v>
      </c>
      <c r="J3097" s="32">
        <f>IF(H3097="",0,IF(COUNTIF($H$2:H3097,H3097)=1,1,0))</f>
        <v>0</v>
      </c>
    </row>
    <row r="3098" spans="1:10" ht="14.25" hidden="1" customHeight="1" x14ac:dyDescent="0.35">
      <c r="A3098" s="30"/>
      <c r="E3098" s="31"/>
      <c r="G3098" s="32" t="str">
        <f t="shared" si="96"/>
        <v>|||1900|</v>
      </c>
      <c r="H3098" s="32" t="str">
        <f t="shared" si="97"/>
        <v>||1900|</v>
      </c>
      <c r="I3098" s="32">
        <f>IF(G3098="",0,IF(COUNTIF($G$2:G3098,G3098)=1,1,0))</f>
        <v>0</v>
      </c>
      <c r="J3098" s="32">
        <f>IF(H3098="",0,IF(COUNTIF($H$2:H3098,H3098)=1,1,0))</f>
        <v>0</v>
      </c>
    </row>
    <row r="3099" spans="1:10" ht="14.25" hidden="1" customHeight="1" x14ac:dyDescent="0.35">
      <c r="A3099" s="30"/>
      <c r="E3099" s="31"/>
      <c r="G3099" s="32" t="str">
        <f t="shared" si="96"/>
        <v>|||1900|</v>
      </c>
      <c r="H3099" s="32" t="str">
        <f t="shared" si="97"/>
        <v>||1900|</v>
      </c>
      <c r="I3099" s="32">
        <f>IF(G3099="",0,IF(COUNTIF($G$2:G3099,G3099)=1,1,0))</f>
        <v>0</v>
      </c>
      <c r="J3099" s="32">
        <f>IF(H3099="",0,IF(COUNTIF($H$2:H3099,H3099)=1,1,0))</f>
        <v>0</v>
      </c>
    </row>
    <row r="3100" spans="1:10" ht="14.25" hidden="1" customHeight="1" x14ac:dyDescent="0.35">
      <c r="A3100" s="30"/>
      <c r="E3100" s="31"/>
      <c r="G3100" s="32" t="str">
        <f t="shared" si="96"/>
        <v>|||1900|</v>
      </c>
      <c r="H3100" s="32" t="str">
        <f t="shared" si="97"/>
        <v>||1900|</v>
      </c>
      <c r="I3100" s="32">
        <f>IF(G3100="",0,IF(COUNTIF($G$2:G3100,G3100)=1,1,0))</f>
        <v>0</v>
      </c>
      <c r="J3100" s="32">
        <f>IF(H3100="",0,IF(COUNTIF($H$2:H3100,H3100)=1,1,0))</f>
        <v>0</v>
      </c>
    </row>
    <row r="3101" spans="1:10" ht="14.25" hidden="1" customHeight="1" x14ac:dyDescent="0.35">
      <c r="A3101" s="30"/>
      <c r="E3101" s="31"/>
      <c r="G3101" s="32" t="str">
        <f t="shared" si="96"/>
        <v>|||1900|</v>
      </c>
      <c r="H3101" s="32" t="str">
        <f t="shared" si="97"/>
        <v>||1900|</v>
      </c>
      <c r="I3101" s="32">
        <f>IF(G3101="",0,IF(COUNTIF($G$2:G3101,G3101)=1,1,0))</f>
        <v>0</v>
      </c>
      <c r="J3101" s="32">
        <f>IF(H3101="",0,IF(COUNTIF($H$2:H3101,H3101)=1,1,0))</f>
        <v>0</v>
      </c>
    </row>
    <row r="3102" spans="1:10" ht="14.25" hidden="1" customHeight="1" x14ac:dyDescent="0.35">
      <c r="A3102" s="30"/>
      <c r="E3102" s="31"/>
      <c r="G3102" s="32" t="str">
        <f t="shared" si="96"/>
        <v>|||1900|</v>
      </c>
      <c r="H3102" s="32" t="str">
        <f t="shared" si="97"/>
        <v>||1900|</v>
      </c>
      <c r="I3102" s="32">
        <f>IF(G3102="",0,IF(COUNTIF($G$2:G3102,G3102)=1,1,0))</f>
        <v>0</v>
      </c>
      <c r="J3102" s="32">
        <f>IF(H3102="",0,IF(COUNTIF($H$2:H3102,H3102)=1,1,0))</f>
        <v>0</v>
      </c>
    </row>
    <row r="3103" spans="1:10" ht="14.25" hidden="1" customHeight="1" x14ac:dyDescent="0.35">
      <c r="A3103" s="30"/>
      <c r="E3103" s="31"/>
      <c r="G3103" s="32" t="str">
        <f t="shared" si="96"/>
        <v>|||1900|</v>
      </c>
      <c r="H3103" s="32" t="str">
        <f t="shared" si="97"/>
        <v>||1900|</v>
      </c>
      <c r="I3103" s="32">
        <f>IF(G3103="",0,IF(COUNTIF($G$2:G3103,G3103)=1,1,0))</f>
        <v>0</v>
      </c>
      <c r="J3103" s="32">
        <f>IF(H3103="",0,IF(COUNTIF($H$2:H3103,H3103)=1,1,0))</f>
        <v>0</v>
      </c>
    </row>
    <row r="3104" spans="1:10" ht="14.25" hidden="1" customHeight="1" x14ac:dyDescent="0.35">
      <c r="A3104" s="30"/>
      <c r="E3104" s="31"/>
      <c r="G3104" s="32" t="str">
        <f t="shared" si="96"/>
        <v>|||1900|</v>
      </c>
      <c r="H3104" s="32" t="str">
        <f t="shared" si="97"/>
        <v>||1900|</v>
      </c>
      <c r="I3104" s="32">
        <f>IF(G3104="",0,IF(COUNTIF($G$2:G3104,G3104)=1,1,0))</f>
        <v>0</v>
      </c>
      <c r="J3104" s="32">
        <f>IF(H3104="",0,IF(COUNTIF($H$2:H3104,H3104)=1,1,0))</f>
        <v>0</v>
      </c>
    </row>
    <row r="3105" spans="1:10" ht="14.25" hidden="1" customHeight="1" x14ac:dyDescent="0.35">
      <c r="A3105" s="30"/>
      <c r="E3105" s="31"/>
      <c r="G3105" s="32" t="str">
        <f t="shared" si="96"/>
        <v>|||1900|</v>
      </c>
      <c r="H3105" s="32" t="str">
        <f t="shared" si="97"/>
        <v>||1900|</v>
      </c>
      <c r="I3105" s="32">
        <f>IF(G3105="",0,IF(COUNTIF($G$2:G3105,G3105)=1,1,0))</f>
        <v>0</v>
      </c>
      <c r="J3105" s="32">
        <f>IF(H3105="",0,IF(COUNTIF($H$2:H3105,H3105)=1,1,0))</f>
        <v>0</v>
      </c>
    </row>
    <row r="3106" spans="1:10" ht="14.25" hidden="1" customHeight="1" x14ac:dyDescent="0.35">
      <c r="A3106" s="30"/>
      <c r="E3106" s="31"/>
      <c r="G3106" s="32" t="str">
        <f t="shared" si="96"/>
        <v>|||1900|</v>
      </c>
      <c r="H3106" s="32" t="str">
        <f t="shared" si="97"/>
        <v>||1900|</v>
      </c>
      <c r="I3106" s="32">
        <f>IF(G3106="",0,IF(COUNTIF($G$2:G3106,G3106)=1,1,0))</f>
        <v>0</v>
      </c>
      <c r="J3106" s="32">
        <f>IF(H3106="",0,IF(COUNTIF($H$2:H3106,H3106)=1,1,0))</f>
        <v>0</v>
      </c>
    </row>
    <row r="3107" spans="1:10" ht="14.25" hidden="1" customHeight="1" x14ac:dyDescent="0.35">
      <c r="A3107" s="30"/>
      <c r="E3107" s="31"/>
      <c r="G3107" s="32" t="str">
        <f t="shared" si="96"/>
        <v>|||1900|</v>
      </c>
      <c r="H3107" s="32" t="str">
        <f t="shared" si="97"/>
        <v>||1900|</v>
      </c>
      <c r="I3107" s="32">
        <f>IF(G3107="",0,IF(COUNTIF($G$2:G3107,G3107)=1,1,0))</f>
        <v>0</v>
      </c>
      <c r="J3107" s="32">
        <f>IF(H3107="",0,IF(COUNTIF($H$2:H3107,H3107)=1,1,0))</f>
        <v>0</v>
      </c>
    </row>
    <row r="3108" spans="1:10" ht="14.25" hidden="1" customHeight="1" x14ac:dyDescent="0.35">
      <c r="A3108" s="30"/>
      <c r="E3108" s="31"/>
      <c r="G3108" s="32" t="str">
        <f t="shared" si="96"/>
        <v>|||1900|</v>
      </c>
      <c r="H3108" s="32" t="str">
        <f t="shared" si="97"/>
        <v>||1900|</v>
      </c>
      <c r="I3108" s="32">
        <f>IF(G3108="",0,IF(COUNTIF($G$2:G3108,G3108)=1,1,0))</f>
        <v>0</v>
      </c>
      <c r="J3108" s="32">
        <f>IF(H3108="",0,IF(COUNTIF($H$2:H3108,H3108)=1,1,0))</f>
        <v>0</v>
      </c>
    </row>
    <row r="3109" spans="1:10" ht="14.25" hidden="1" customHeight="1" x14ac:dyDescent="0.35">
      <c r="A3109" s="30"/>
      <c r="E3109" s="31"/>
      <c r="G3109" s="32" t="str">
        <f t="shared" si="96"/>
        <v>|||1900|</v>
      </c>
      <c r="H3109" s="32" t="str">
        <f t="shared" si="97"/>
        <v>||1900|</v>
      </c>
      <c r="I3109" s="32">
        <f>IF(G3109="",0,IF(COUNTIF($G$2:G3109,G3109)=1,1,0))</f>
        <v>0</v>
      </c>
      <c r="J3109" s="32">
        <f>IF(H3109="",0,IF(COUNTIF($H$2:H3109,H3109)=1,1,0))</f>
        <v>0</v>
      </c>
    </row>
    <row r="3110" spans="1:10" ht="14.25" hidden="1" customHeight="1" x14ac:dyDescent="0.35">
      <c r="A3110" s="30"/>
      <c r="E3110" s="31"/>
      <c r="G3110" s="32" t="str">
        <f t="shared" si="96"/>
        <v>|||1900|</v>
      </c>
      <c r="H3110" s="32" t="str">
        <f t="shared" si="97"/>
        <v>||1900|</v>
      </c>
      <c r="I3110" s="32">
        <f>IF(G3110="",0,IF(COUNTIF($G$2:G3110,G3110)=1,1,0))</f>
        <v>0</v>
      </c>
      <c r="J3110" s="32">
        <f>IF(H3110="",0,IF(COUNTIF($H$2:H3110,H3110)=1,1,0))</f>
        <v>0</v>
      </c>
    </row>
    <row r="3111" spans="1:10" ht="14.25" hidden="1" customHeight="1" x14ac:dyDescent="0.35">
      <c r="A3111" s="30"/>
      <c r="E3111" s="31"/>
      <c r="G3111" s="32" t="str">
        <f t="shared" si="96"/>
        <v>|||1900|</v>
      </c>
      <c r="H3111" s="32" t="str">
        <f t="shared" si="97"/>
        <v>||1900|</v>
      </c>
      <c r="I3111" s="32">
        <f>IF(G3111="",0,IF(COUNTIF($G$2:G3111,G3111)=1,1,0))</f>
        <v>0</v>
      </c>
      <c r="J3111" s="32">
        <f>IF(H3111="",0,IF(COUNTIF($H$2:H3111,H3111)=1,1,0))</f>
        <v>0</v>
      </c>
    </row>
    <row r="3112" spans="1:10" ht="14.25" hidden="1" customHeight="1" x14ac:dyDescent="0.35">
      <c r="A3112" s="30"/>
      <c r="E3112" s="31"/>
      <c r="G3112" s="32" t="str">
        <f t="shared" si="96"/>
        <v>|||1900|</v>
      </c>
      <c r="H3112" s="32" t="str">
        <f t="shared" si="97"/>
        <v>||1900|</v>
      </c>
      <c r="I3112" s="32">
        <f>IF(G3112="",0,IF(COUNTIF($G$2:G3112,G3112)=1,1,0))</f>
        <v>0</v>
      </c>
      <c r="J3112" s="32">
        <f>IF(H3112="",0,IF(COUNTIF($H$2:H3112,H3112)=1,1,0))</f>
        <v>0</v>
      </c>
    </row>
    <row r="3113" spans="1:10" ht="14.25" hidden="1" customHeight="1" x14ac:dyDescent="0.35">
      <c r="A3113" s="30"/>
      <c r="E3113" s="31"/>
      <c r="G3113" s="32" t="str">
        <f t="shared" si="96"/>
        <v>|||1900|</v>
      </c>
      <c r="H3113" s="32" t="str">
        <f t="shared" si="97"/>
        <v>||1900|</v>
      </c>
      <c r="I3113" s="32">
        <f>IF(G3113="",0,IF(COUNTIF($G$2:G3113,G3113)=1,1,0))</f>
        <v>0</v>
      </c>
      <c r="J3113" s="32">
        <f>IF(H3113="",0,IF(COUNTIF($H$2:H3113,H3113)=1,1,0))</f>
        <v>0</v>
      </c>
    </row>
    <row r="3114" spans="1:10" ht="14.25" hidden="1" customHeight="1" x14ac:dyDescent="0.35">
      <c r="A3114" s="30"/>
      <c r="E3114" s="31"/>
      <c r="G3114" s="32" t="str">
        <f t="shared" si="96"/>
        <v>|||1900|</v>
      </c>
      <c r="H3114" s="32" t="str">
        <f t="shared" si="97"/>
        <v>||1900|</v>
      </c>
      <c r="I3114" s="32">
        <f>IF(G3114="",0,IF(COUNTIF($G$2:G3114,G3114)=1,1,0))</f>
        <v>0</v>
      </c>
      <c r="J3114" s="32">
        <f>IF(H3114="",0,IF(COUNTIF($H$2:H3114,H3114)=1,1,0))</f>
        <v>0</v>
      </c>
    </row>
    <row r="3115" spans="1:10" ht="14.25" hidden="1" customHeight="1" x14ac:dyDescent="0.35">
      <c r="A3115" s="30"/>
      <c r="E3115" s="31"/>
      <c r="G3115" s="32" t="str">
        <f t="shared" si="96"/>
        <v>|||1900|</v>
      </c>
      <c r="H3115" s="32" t="str">
        <f t="shared" si="97"/>
        <v>||1900|</v>
      </c>
      <c r="I3115" s="32">
        <f>IF(G3115="",0,IF(COUNTIF($G$2:G3115,G3115)=1,1,0))</f>
        <v>0</v>
      </c>
      <c r="J3115" s="32">
        <f>IF(H3115="",0,IF(COUNTIF($H$2:H3115,H3115)=1,1,0))</f>
        <v>0</v>
      </c>
    </row>
    <row r="3116" spans="1:10" ht="14.25" hidden="1" customHeight="1" x14ac:dyDescent="0.35">
      <c r="A3116" s="30"/>
      <c r="E3116" s="31"/>
      <c r="G3116" s="32" t="str">
        <f t="shared" si="96"/>
        <v>|||1900|</v>
      </c>
      <c r="H3116" s="32" t="str">
        <f t="shared" si="97"/>
        <v>||1900|</v>
      </c>
      <c r="I3116" s="32">
        <f>IF(G3116="",0,IF(COUNTIF($G$2:G3116,G3116)=1,1,0))</f>
        <v>0</v>
      </c>
      <c r="J3116" s="32">
        <f>IF(H3116="",0,IF(COUNTIF($H$2:H3116,H3116)=1,1,0))</f>
        <v>0</v>
      </c>
    </row>
    <row r="3117" spans="1:10" ht="14.25" hidden="1" customHeight="1" x14ac:dyDescent="0.35">
      <c r="A3117" s="30"/>
      <c r="E3117" s="31"/>
      <c r="G3117" s="32" t="str">
        <f t="shared" si="96"/>
        <v>|||1900|</v>
      </c>
      <c r="H3117" s="32" t="str">
        <f t="shared" si="97"/>
        <v>||1900|</v>
      </c>
      <c r="I3117" s="32">
        <f>IF(G3117="",0,IF(COUNTIF($G$2:G3117,G3117)=1,1,0))</f>
        <v>0</v>
      </c>
      <c r="J3117" s="32">
        <f>IF(H3117="",0,IF(COUNTIF($H$2:H3117,H3117)=1,1,0))</f>
        <v>0</v>
      </c>
    </row>
    <row r="3118" spans="1:10" ht="14.25" hidden="1" customHeight="1" x14ac:dyDescent="0.35">
      <c r="A3118" s="30"/>
      <c r="E3118" s="31"/>
      <c r="G3118" s="32" t="str">
        <f t="shared" si="96"/>
        <v>|||1900|</v>
      </c>
      <c r="H3118" s="32" t="str">
        <f t="shared" si="97"/>
        <v>||1900|</v>
      </c>
      <c r="I3118" s="32">
        <f>IF(G3118="",0,IF(COUNTIF($G$2:G3118,G3118)=1,1,0))</f>
        <v>0</v>
      </c>
      <c r="J3118" s="32">
        <f>IF(H3118="",0,IF(COUNTIF($H$2:H3118,H3118)=1,1,0))</f>
        <v>0</v>
      </c>
    </row>
    <row r="3119" spans="1:10" ht="14.25" hidden="1" customHeight="1" x14ac:dyDescent="0.35">
      <c r="A3119" s="30"/>
      <c r="E3119" s="31"/>
      <c r="G3119" s="32" t="str">
        <f t="shared" si="96"/>
        <v>|||1900|</v>
      </c>
      <c r="H3119" s="32" t="str">
        <f t="shared" si="97"/>
        <v>||1900|</v>
      </c>
      <c r="I3119" s="32">
        <f>IF(G3119="",0,IF(COUNTIF($G$2:G3119,G3119)=1,1,0))</f>
        <v>0</v>
      </c>
      <c r="J3119" s="32">
        <f>IF(H3119="",0,IF(COUNTIF($H$2:H3119,H3119)=1,1,0))</f>
        <v>0</v>
      </c>
    </row>
    <row r="3120" spans="1:10" ht="14.25" hidden="1" customHeight="1" x14ac:dyDescent="0.35">
      <c r="A3120" s="30"/>
      <c r="E3120" s="31"/>
      <c r="G3120" s="32" t="str">
        <f t="shared" si="96"/>
        <v>|||1900|</v>
      </c>
      <c r="H3120" s="32" t="str">
        <f t="shared" si="97"/>
        <v>||1900|</v>
      </c>
      <c r="I3120" s="32">
        <f>IF(G3120="",0,IF(COUNTIF($G$2:G3120,G3120)=1,1,0))</f>
        <v>0</v>
      </c>
      <c r="J3120" s="32">
        <f>IF(H3120="",0,IF(COUNTIF($H$2:H3120,H3120)=1,1,0))</f>
        <v>0</v>
      </c>
    </row>
    <row r="3121" spans="1:10" ht="14.25" hidden="1" customHeight="1" x14ac:dyDescent="0.35">
      <c r="A3121" s="30"/>
      <c r="E3121" s="31"/>
      <c r="G3121" s="32" t="str">
        <f t="shared" si="96"/>
        <v>|||1900|</v>
      </c>
      <c r="H3121" s="32" t="str">
        <f t="shared" si="97"/>
        <v>||1900|</v>
      </c>
      <c r="I3121" s="32">
        <f>IF(G3121="",0,IF(COUNTIF($G$2:G3121,G3121)=1,1,0))</f>
        <v>0</v>
      </c>
      <c r="J3121" s="32">
        <f>IF(H3121="",0,IF(COUNTIF($H$2:H3121,H3121)=1,1,0))</f>
        <v>0</v>
      </c>
    </row>
    <row r="3122" spans="1:10" ht="14.25" hidden="1" customHeight="1" x14ac:dyDescent="0.35">
      <c r="A3122" s="30"/>
      <c r="E3122" s="31"/>
      <c r="G3122" s="32" t="str">
        <f t="shared" si="96"/>
        <v>|||1900|</v>
      </c>
      <c r="H3122" s="32" t="str">
        <f t="shared" si="97"/>
        <v>||1900|</v>
      </c>
      <c r="I3122" s="32">
        <f>IF(G3122="",0,IF(COUNTIF($G$2:G3122,G3122)=1,1,0))</f>
        <v>0</v>
      </c>
      <c r="J3122" s="32">
        <f>IF(H3122="",0,IF(COUNTIF($H$2:H3122,H3122)=1,1,0))</f>
        <v>0</v>
      </c>
    </row>
    <row r="3123" spans="1:10" ht="14.25" hidden="1" customHeight="1" x14ac:dyDescent="0.35">
      <c r="A3123" s="30"/>
      <c r="E3123" s="31"/>
      <c r="G3123" s="32" t="str">
        <f t="shared" si="96"/>
        <v>|||1900|</v>
      </c>
      <c r="H3123" s="32" t="str">
        <f t="shared" si="97"/>
        <v>||1900|</v>
      </c>
      <c r="I3123" s="32">
        <f>IF(G3123="",0,IF(COUNTIF($G$2:G3123,G3123)=1,1,0))</f>
        <v>0</v>
      </c>
      <c r="J3123" s="32">
        <f>IF(H3123="",0,IF(COUNTIF($H$2:H3123,H3123)=1,1,0))</f>
        <v>0</v>
      </c>
    </row>
    <row r="3124" spans="1:10" ht="14.25" hidden="1" customHeight="1" x14ac:dyDescent="0.35">
      <c r="A3124" s="30"/>
      <c r="E3124" s="31"/>
      <c r="G3124" s="32" t="str">
        <f t="shared" si="96"/>
        <v>|||1900|</v>
      </c>
      <c r="H3124" s="32" t="str">
        <f t="shared" si="97"/>
        <v>||1900|</v>
      </c>
      <c r="I3124" s="32">
        <f>IF(G3124="",0,IF(COUNTIF($G$2:G3124,G3124)=1,1,0))</f>
        <v>0</v>
      </c>
      <c r="J3124" s="32">
        <f>IF(H3124="",0,IF(COUNTIF($H$2:H3124,H3124)=1,1,0))</f>
        <v>0</v>
      </c>
    </row>
    <row r="3125" spans="1:10" ht="14.25" hidden="1" customHeight="1" x14ac:dyDescent="0.35">
      <c r="A3125" s="30"/>
      <c r="E3125" s="31"/>
      <c r="G3125" s="32" t="str">
        <f t="shared" si="96"/>
        <v>|||1900|</v>
      </c>
      <c r="H3125" s="32" t="str">
        <f t="shared" si="97"/>
        <v>||1900|</v>
      </c>
      <c r="I3125" s="32">
        <f>IF(G3125="",0,IF(COUNTIF($G$2:G3125,G3125)=1,1,0))</f>
        <v>0</v>
      </c>
      <c r="J3125" s="32">
        <f>IF(H3125="",0,IF(COUNTIF($H$2:H3125,H3125)=1,1,0))</f>
        <v>0</v>
      </c>
    </row>
    <row r="3126" spans="1:10" ht="14.25" hidden="1" customHeight="1" x14ac:dyDescent="0.35">
      <c r="A3126" s="30"/>
      <c r="E3126" s="31"/>
      <c r="G3126" s="32" t="str">
        <f t="shared" si="96"/>
        <v>|||1900|</v>
      </c>
      <c r="H3126" s="32" t="str">
        <f t="shared" si="97"/>
        <v>||1900|</v>
      </c>
      <c r="I3126" s="32">
        <f>IF(G3126="",0,IF(COUNTIF($G$2:G3126,G3126)=1,1,0))</f>
        <v>0</v>
      </c>
      <c r="J3126" s="32">
        <f>IF(H3126="",0,IF(COUNTIF($H$2:H3126,H3126)=1,1,0))</f>
        <v>0</v>
      </c>
    </row>
    <row r="3127" spans="1:10" ht="14.25" hidden="1" customHeight="1" x14ac:dyDescent="0.35">
      <c r="A3127" s="30"/>
      <c r="E3127" s="31"/>
      <c r="G3127" s="32" t="str">
        <f t="shared" si="96"/>
        <v>|||1900|</v>
      </c>
      <c r="H3127" s="32" t="str">
        <f t="shared" si="97"/>
        <v>||1900|</v>
      </c>
      <c r="I3127" s="32">
        <f>IF(G3127="",0,IF(COUNTIF($G$2:G3127,G3127)=1,1,0))</f>
        <v>0</v>
      </c>
      <c r="J3127" s="32">
        <f>IF(H3127="",0,IF(COUNTIF($H$2:H3127,H3127)=1,1,0))</f>
        <v>0</v>
      </c>
    </row>
    <row r="3128" spans="1:10" ht="14.25" hidden="1" customHeight="1" x14ac:dyDescent="0.35">
      <c r="A3128" s="30"/>
      <c r="E3128" s="31"/>
      <c r="G3128" s="32" t="str">
        <f t="shared" si="96"/>
        <v>|||1900|</v>
      </c>
      <c r="H3128" s="32" t="str">
        <f t="shared" si="97"/>
        <v>||1900|</v>
      </c>
      <c r="I3128" s="32">
        <f>IF(G3128="",0,IF(COUNTIF($G$2:G3128,G3128)=1,1,0))</f>
        <v>0</v>
      </c>
      <c r="J3128" s="32">
        <f>IF(H3128="",0,IF(COUNTIF($H$2:H3128,H3128)=1,1,0))</f>
        <v>0</v>
      </c>
    </row>
    <row r="3129" spans="1:10" ht="14.25" hidden="1" customHeight="1" x14ac:dyDescent="0.35">
      <c r="A3129" s="30"/>
      <c r="E3129" s="31"/>
      <c r="G3129" s="32" t="str">
        <f t="shared" si="96"/>
        <v>|||1900|</v>
      </c>
      <c r="H3129" s="32" t="str">
        <f t="shared" si="97"/>
        <v>||1900|</v>
      </c>
      <c r="I3129" s="32">
        <f>IF(G3129="",0,IF(COUNTIF($G$2:G3129,G3129)=1,1,0))</f>
        <v>0</v>
      </c>
      <c r="J3129" s="32">
        <f>IF(H3129="",0,IF(COUNTIF($H$2:H3129,H3129)=1,1,0))</f>
        <v>0</v>
      </c>
    </row>
    <row r="3130" spans="1:10" ht="14.25" hidden="1" customHeight="1" x14ac:dyDescent="0.35">
      <c r="A3130" s="30"/>
      <c r="E3130" s="31"/>
      <c r="G3130" s="32" t="str">
        <f t="shared" si="96"/>
        <v>|||1900|</v>
      </c>
      <c r="H3130" s="32" t="str">
        <f t="shared" si="97"/>
        <v>||1900|</v>
      </c>
      <c r="I3130" s="32">
        <f>IF(G3130="",0,IF(COUNTIF($G$2:G3130,G3130)=1,1,0))</f>
        <v>0</v>
      </c>
      <c r="J3130" s="32">
        <f>IF(H3130="",0,IF(COUNTIF($H$2:H3130,H3130)=1,1,0))</f>
        <v>0</v>
      </c>
    </row>
    <row r="3131" spans="1:10" ht="14.25" hidden="1" customHeight="1" x14ac:dyDescent="0.35">
      <c r="A3131" s="30"/>
      <c r="E3131" s="31"/>
      <c r="G3131" s="32" t="str">
        <f t="shared" si="96"/>
        <v>|||1900|</v>
      </c>
      <c r="H3131" s="32" t="str">
        <f t="shared" si="97"/>
        <v>||1900|</v>
      </c>
      <c r="I3131" s="32">
        <f>IF(G3131="",0,IF(COUNTIF($G$2:G3131,G3131)=1,1,0))</f>
        <v>0</v>
      </c>
      <c r="J3131" s="32">
        <f>IF(H3131="",0,IF(COUNTIF($H$2:H3131,H3131)=1,1,0))</f>
        <v>0</v>
      </c>
    </row>
    <row r="3132" spans="1:10" ht="14.25" hidden="1" customHeight="1" x14ac:dyDescent="0.35">
      <c r="A3132" s="30"/>
      <c r="E3132" s="31"/>
      <c r="G3132" s="32" t="str">
        <f t="shared" si="96"/>
        <v>|||1900|</v>
      </c>
      <c r="H3132" s="32" t="str">
        <f t="shared" si="97"/>
        <v>||1900|</v>
      </c>
      <c r="I3132" s="32">
        <f>IF(G3132="",0,IF(COUNTIF($G$2:G3132,G3132)=1,1,0))</f>
        <v>0</v>
      </c>
      <c r="J3132" s="32">
        <f>IF(H3132="",0,IF(COUNTIF($H$2:H3132,H3132)=1,1,0))</f>
        <v>0</v>
      </c>
    </row>
    <row r="3133" spans="1:10" ht="14.25" hidden="1" customHeight="1" x14ac:dyDescent="0.35">
      <c r="A3133" s="30"/>
      <c r="E3133" s="31"/>
      <c r="G3133" s="32" t="str">
        <f t="shared" si="96"/>
        <v>|||1900|</v>
      </c>
      <c r="H3133" s="32" t="str">
        <f t="shared" si="97"/>
        <v>||1900|</v>
      </c>
      <c r="I3133" s="32">
        <f>IF(G3133="",0,IF(COUNTIF($G$2:G3133,G3133)=1,1,0))</f>
        <v>0</v>
      </c>
      <c r="J3133" s="32">
        <f>IF(H3133="",0,IF(COUNTIF($H$2:H3133,H3133)=1,1,0))</f>
        <v>0</v>
      </c>
    </row>
    <row r="3134" spans="1:10" ht="14.25" hidden="1" customHeight="1" x14ac:dyDescent="0.35">
      <c r="A3134" s="30"/>
      <c r="E3134" s="31"/>
      <c r="G3134" s="32" t="str">
        <f t="shared" si="96"/>
        <v>|||1900|</v>
      </c>
      <c r="H3134" s="32" t="str">
        <f t="shared" si="97"/>
        <v>||1900|</v>
      </c>
      <c r="I3134" s="32">
        <f>IF(G3134="",0,IF(COUNTIF($G$2:G3134,G3134)=1,1,0))</f>
        <v>0</v>
      </c>
      <c r="J3134" s="32">
        <f>IF(H3134="",0,IF(COUNTIF($H$2:H3134,H3134)=1,1,0))</f>
        <v>0</v>
      </c>
    </row>
    <row r="3135" spans="1:10" ht="14.25" hidden="1" customHeight="1" x14ac:dyDescent="0.35">
      <c r="A3135" s="30"/>
      <c r="E3135" s="31"/>
      <c r="G3135" s="32" t="str">
        <f t="shared" si="96"/>
        <v>|||1900|</v>
      </c>
      <c r="H3135" s="32" t="str">
        <f t="shared" si="97"/>
        <v>||1900|</v>
      </c>
      <c r="I3135" s="32">
        <f>IF(G3135="",0,IF(COUNTIF($G$2:G3135,G3135)=1,1,0))</f>
        <v>0</v>
      </c>
      <c r="J3135" s="32">
        <f>IF(H3135="",0,IF(COUNTIF($H$2:H3135,H3135)=1,1,0))</f>
        <v>0</v>
      </c>
    </row>
    <row r="3136" spans="1:10" ht="14.25" hidden="1" customHeight="1" x14ac:dyDescent="0.35">
      <c r="A3136" s="30"/>
      <c r="E3136" s="31"/>
      <c r="G3136" s="32" t="str">
        <f t="shared" si="96"/>
        <v>|||1900|</v>
      </c>
      <c r="H3136" s="32" t="str">
        <f t="shared" si="97"/>
        <v>||1900|</v>
      </c>
      <c r="I3136" s="32">
        <f>IF(G3136="",0,IF(COUNTIF($G$2:G3136,G3136)=1,1,0))</f>
        <v>0</v>
      </c>
      <c r="J3136" s="32">
        <f>IF(H3136="",0,IF(COUNTIF($H$2:H3136,H3136)=1,1,0))</f>
        <v>0</v>
      </c>
    </row>
    <row r="3137" spans="1:10" ht="14.25" hidden="1" customHeight="1" x14ac:dyDescent="0.35">
      <c r="A3137" s="30"/>
      <c r="E3137" s="31"/>
      <c r="G3137" s="32" t="str">
        <f t="shared" si="96"/>
        <v>|||1900|</v>
      </c>
      <c r="H3137" s="32" t="str">
        <f t="shared" si="97"/>
        <v>||1900|</v>
      </c>
      <c r="I3137" s="32">
        <f>IF(G3137="",0,IF(COUNTIF($G$2:G3137,G3137)=1,1,0))</f>
        <v>0</v>
      </c>
      <c r="J3137" s="32">
        <f>IF(H3137="",0,IF(COUNTIF($H$2:H3137,H3137)=1,1,0))</f>
        <v>0</v>
      </c>
    </row>
    <row r="3138" spans="1:10" ht="14.25" hidden="1" customHeight="1" x14ac:dyDescent="0.35">
      <c r="A3138" s="30"/>
      <c r="E3138" s="31"/>
      <c r="G3138" s="32" t="str">
        <f t="shared" ref="G3138:G3201" si="98">IF(D3138="T",
E3138&amp;"|"&amp;F3138,
A3138&amp;"|"&amp;B3138&amp;"|"&amp;C3138&amp;"|"&amp;YEAR(E3138)&amp;"|"&amp;F3138)</f>
        <v>|||1900|</v>
      </c>
      <c r="H3138" s="32" t="str">
        <f t="shared" ref="H3138:H3201" si="99">A3138&amp;"|"&amp;C3138&amp;"|"&amp;YEAR(E3138)&amp;"|"&amp;F3138</f>
        <v>||1900|</v>
      </c>
      <c r="I3138" s="32">
        <f>IF(G3138="",0,IF(COUNTIF($G$2:G3138,G3138)=1,1,0))</f>
        <v>0</v>
      </c>
      <c r="J3138" s="32">
        <f>IF(H3138="",0,IF(COUNTIF($H$2:H3138,H3138)=1,1,0))</f>
        <v>0</v>
      </c>
    </row>
    <row r="3139" spans="1:10" ht="14.25" hidden="1" customHeight="1" x14ac:dyDescent="0.35">
      <c r="A3139" s="30"/>
      <c r="E3139" s="31"/>
      <c r="G3139" s="32" t="str">
        <f t="shared" si="98"/>
        <v>|||1900|</v>
      </c>
      <c r="H3139" s="32" t="str">
        <f t="shared" si="99"/>
        <v>||1900|</v>
      </c>
      <c r="I3139" s="32">
        <f>IF(G3139="",0,IF(COUNTIF($G$2:G3139,G3139)=1,1,0))</f>
        <v>0</v>
      </c>
      <c r="J3139" s="32">
        <f>IF(H3139="",0,IF(COUNTIF($H$2:H3139,H3139)=1,1,0))</f>
        <v>0</v>
      </c>
    </row>
    <row r="3140" spans="1:10" ht="14.25" hidden="1" customHeight="1" x14ac:dyDescent="0.35">
      <c r="A3140" s="30"/>
      <c r="E3140" s="31"/>
      <c r="G3140" s="32" t="str">
        <f t="shared" si="98"/>
        <v>|||1900|</v>
      </c>
      <c r="H3140" s="32" t="str">
        <f t="shared" si="99"/>
        <v>||1900|</v>
      </c>
      <c r="I3140" s="32">
        <f>IF(G3140="",0,IF(COUNTIF($G$2:G3140,G3140)=1,1,0))</f>
        <v>0</v>
      </c>
      <c r="J3140" s="32">
        <f>IF(H3140="",0,IF(COUNTIF($H$2:H3140,H3140)=1,1,0))</f>
        <v>0</v>
      </c>
    </row>
    <row r="3141" spans="1:10" ht="14.25" hidden="1" customHeight="1" x14ac:dyDescent="0.35">
      <c r="A3141" s="30"/>
      <c r="E3141" s="31"/>
      <c r="G3141" s="32" t="str">
        <f t="shared" si="98"/>
        <v>|||1900|</v>
      </c>
      <c r="H3141" s="32" t="str">
        <f t="shared" si="99"/>
        <v>||1900|</v>
      </c>
      <c r="I3141" s="32">
        <f>IF(G3141="",0,IF(COUNTIF($G$2:G3141,G3141)=1,1,0))</f>
        <v>0</v>
      </c>
      <c r="J3141" s="32">
        <f>IF(H3141="",0,IF(COUNTIF($H$2:H3141,H3141)=1,1,0))</f>
        <v>0</v>
      </c>
    </row>
    <row r="3142" spans="1:10" ht="14.25" hidden="1" customHeight="1" x14ac:dyDescent="0.35">
      <c r="A3142" s="30"/>
      <c r="E3142" s="31"/>
      <c r="G3142" s="32" t="str">
        <f t="shared" si="98"/>
        <v>|||1900|</v>
      </c>
      <c r="H3142" s="32" t="str">
        <f t="shared" si="99"/>
        <v>||1900|</v>
      </c>
      <c r="I3142" s="32">
        <f>IF(G3142="",0,IF(COUNTIF($G$2:G3142,G3142)=1,1,0))</f>
        <v>0</v>
      </c>
      <c r="J3142" s="32">
        <f>IF(H3142="",0,IF(COUNTIF($H$2:H3142,H3142)=1,1,0))</f>
        <v>0</v>
      </c>
    </row>
    <row r="3143" spans="1:10" ht="14.25" hidden="1" customHeight="1" x14ac:dyDescent="0.35">
      <c r="A3143" s="30"/>
      <c r="E3143" s="31"/>
      <c r="G3143" s="32" t="str">
        <f t="shared" si="98"/>
        <v>|||1900|</v>
      </c>
      <c r="H3143" s="32" t="str">
        <f t="shared" si="99"/>
        <v>||1900|</v>
      </c>
      <c r="I3143" s="32">
        <f>IF(G3143="",0,IF(COUNTIF($G$2:G3143,G3143)=1,1,0))</f>
        <v>0</v>
      </c>
      <c r="J3143" s="32">
        <f>IF(H3143="",0,IF(COUNTIF($H$2:H3143,H3143)=1,1,0))</f>
        <v>0</v>
      </c>
    </row>
    <row r="3144" spans="1:10" ht="14.25" hidden="1" customHeight="1" x14ac:dyDescent="0.35">
      <c r="A3144" s="30"/>
      <c r="E3144" s="31"/>
      <c r="G3144" s="32" t="str">
        <f t="shared" si="98"/>
        <v>|||1900|</v>
      </c>
      <c r="H3144" s="32" t="str">
        <f t="shared" si="99"/>
        <v>||1900|</v>
      </c>
      <c r="I3144" s="32">
        <f>IF(G3144="",0,IF(COUNTIF($G$2:G3144,G3144)=1,1,0))</f>
        <v>0</v>
      </c>
      <c r="J3144" s="32">
        <f>IF(H3144="",0,IF(COUNTIF($H$2:H3144,H3144)=1,1,0))</f>
        <v>0</v>
      </c>
    </row>
    <row r="3145" spans="1:10" ht="14.25" hidden="1" customHeight="1" x14ac:dyDescent="0.35">
      <c r="A3145" s="30"/>
      <c r="E3145" s="31"/>
      <c r="G3145" s="32" t="str">
        <f t="shared" si="98"/>
        <v>|||1900|</v>
      </c>
      <c r="H3145" s="32" t="str">
        <f t="shared" si="99"/>
        <v>||1900|</v>
      </c>
      <c r="I3145" s="32">
        <f>IF(G3145="",0,IF(COUNTIF($G$2:G3145,G3145)=1,1,0))</f>
        <v>0</v>
      </c>
      <c r="J3145" s="32">
        <f>IF(H3145="",0,IF(COUNTIF($H$2:H3145,H3145)=1,1,0))</f>
        <v>0</v>
      </c>
    </row>
    <row r="3146" spans="1:10" ht="14.25" hidden="1" customHeight="1" x14ac:dyDescent="0.35">
      <c r="A3146" s="30"/>
      <c r="E3146" s="31"/>
      <c r="G3146" s="32" t="str">
        <f t="shared" si="98"/>
        <v>|||1900|</v>
      </c>
      <c r="H3146" s="32" t="str">
        <f t="shared" si="99"/>
        <v>||1900|</v>
      </c>
      <c r="I3146" s="32">
        <f>IF(G3146="",0,IF(COUNTIF($G$2:G3146,G3146)=1,1,0))</f>
        <v>0</v>
      </c>
      <c r="J3146" s="32">
        <f>IF(H3146="",0,IF(COUNTIF($H$2:H3146,H3146)=1,1,0))</f>
        <v>0</v>
      </c>
    </row>
    <row r="3147" spans="1:10" ht="14.25" hidden="1" customHeight="1" x14ac:dyDescent="0.35">
      <c r="A3147" s="30"/>
      <c r="E3147" s="31"/>
      <c r="G3147" s="32" t="str">
        <f t="shared" si="98"/>
        <v>|||1900|</v>
      </c>
      <c r="H3147" s="32" t="str">
        <f t="shared" si="99"/>
        <v>||1900|</v>
      </c>
      <c r="I3147" s="32">
        <f>IF(G3147="",0,IF(COUNTIF($G$2:G3147,G3147)=1,1,0))</f>
        <v>0</v>
      </c>
      <c r="J3147" s="32">
        <f>IF(H3147="",0,IF(COUNTIF($H$2:H3147,H3147)=1,1,0))</f>
        <v>0</v>
      </c>
    </row>
    <row r="3148" spans="1:10" ht="14.25" hidden="1" customHeight="1" x14ac:dyDescent="0.35">
      <c r="A3148" s="30"/>
      <c r="E3148" s="31"/>
      <c r="G3148" s="32" t="str">
        <f t="shared" si="98"/>
        <v>|||1900|</v>
      </c>
      <c r="H3148" s="32" t="str">
        <f t="shared" si="99"/>
        <v>||1900|</v>
      </c>
      <c r="I3148" s="32">
        <f>IF(G3148="",0,IF(COUNTIF($G$2:G3148,G3148)=1,1,0))</f>
        <v>0</v>
      </c>
      <c r="J3148" s="32">
        <f>IF(H3148="",0,IF(COUNTIF($H$2:H3148,H3148)=1,1,0))</f>
        <v>0</v>
      </c>
    </row>
    <row r="3149" spans="1:10" ht="14.25" hidden="1" customHeight="1" x14ac:dyDescent="0.35">
      <c r="A3149" s="30"/>
      <c r="E3149" s="31"/>
      <c r="G3149" s="32" t="str">
        <f t="shared" si="98"/>
        <v>|||1900|</v>
      </c>
      <c r="H3149" s="32" t="str">
        <f t="shared" si="99"/>
        <v>||1900|</v>
      </c>
      <c r="I3149" s="32">
        <f>IF(G3149="",0,IF(COUNTIF($G$2:G3149,G3149)=1,1,0))</f>
        <v>0</v>
      </c>
      <c r="J3149" s="32">
        <f>IF(H3149="",0,IF(COUNTIF($H$2:H3149,H3149)=1,1,0))</f>
        <v>0</v>
      </c>
    </row>
    <row r="3150" spans="1:10" ht="14.25" hidden="1" customHeight="1" x14ac:dyDescent="0.35">
      <c r="A3150" s="30"/>
      <c r="E3150" s="31"/>
      <c r="G3150" s="32" t="str">
        <f t="shared" si="98"/>
        <v>|||1900|</v>
      </c>
      <c r="H3150" s="32" t="str">
        <f t="shared" si="99"/>
        <v>||1900|</v>
      </c>
      <c r="I3150" s="32">
        <f>IF(G3150="",0,IF(COUNTIF($G$2:G3150,G3150)=1,1,0))</f>
        <v>0</v>
      </c>
      <c r="J3150" s="32">
        <f>IF(H3150="",0,IF(COUNTIF($H$2:H3150,H3150)=1,1,0))</f>
        <v>0</v>
      </c>
    </row>
    <row r="3151" spans="1:10" ht="14.25" hidden="1" customHeight="1" x14ac:dyDescent="0.35">
      <c r="A3151" s="30"/>
      <c r="E3151" s="31"/>
      <c r="G3151" s="32" t="str">
        <f t="shared" si="98"/>
        <v>|||1900|</v>
      </c>
      <c r="H3151" s="32" t="str">
        <f t="shared" si="99"/>
        <v>||1900|</v>
      </c>
      <c r="I3151" s="32">
        <f>IF(G3151="",0,IF(COUNTIF($G$2:G3151,G3151)=1,1,0))</f>
        <v>0</v>
      </c>
      <c r="J3151" s="32">
        <f>IF(H3151="",0,IF(COUNTIF($H$2:H3151,H3151)=1,1,0))</f>
        <v>0</v>
      </c>
    </row>
    <row r="3152" spans="1:10" ht="14.25" hidden="1" customHeight="1" x14ac:dyDescent="0.35">
      <c r="A3152" s="30"/>
      <c r="E3152" s="31"/>
      <c r="G3152" s="32" t="str">
        <f t="shared" si="98"/>
        <v>|||1900|</v>
      </c>
      <c r="H3152" s="32" t="str">
        <f t="shared" si="99"/>
        <v>||1900|</v>
      </c>
      <c r="I3152" s="32">
        <f>IF(G3152="",0,IF(COUNTIF($G$2:G3152,G3152)=1,1,0))</f>
        <v>0</v>
      </c>
      <c r="J3152" s="32">
        <f>IF(H3152="",0,IF(COUNTIF($H$2:H3152,H3152)=1,1,0))</f>
        <v>0</v>
      </c>
    </row>
    <row r="3153" spans="1:10" ht="14.25" hidden="1" customHeight="1" x14ac:dyDescent="0.35">
      <c r="A3153" s="30"/>
      <c r="E3153" s="31"/>
      <c r="G3153" s="32" t="str">
        <f t="shared" si="98"/>
        <v>|||1900|</v>
      </c>
      <c r="H3153" s="32" t="str">
        <f t="shared" si="99"/>
        <v>||1900|</v>
      </c>
      <c r="I3153" s="32">
        <f>IF(G3153="",0,IF(COUNTIF($G$2:G3153,G3153)=1,1,0))</f>
        <v>0</v>
      </c>
      <c r="J3153" s="32">
        <f>IF(H3153="",0,IF(COUNTIF($H$2:H3153,H3153)=1,1,0))</f>
        <v>0</v>
      </c>
    </row>
    <row r="3154" spans="1:10" ht="14.25" hidden="1" customHeight="1" x14ac:dyDescent="0.35">
      <c r="A3154" s="30"/>
      <c r="E3154" s="31"/>
      <c r="G3154" s="32" t="str">
        <f t="shared" si="98"/>
        <v>|||1900|</v>
      </c>
      <c r="H3154" s="32" t="str">
        <f t="shared" si="99"/>
        <v>||1900|</v>
      </c>
      <c r="I3154" s="32">
        <f>IF(G3154="",0,IF(COUNTIF($G$2:G3154,G3154)=1,1,0))</f>
        <v>0</v>
      </c>
      <c r="J3154" s="32">
        <f>IF(H3154="",0,IF(COUNTIF($H$2:H3154,H3154)=1,1,0))</f>
        <v>0</v>
      </c>
    </row>
    <row r="3155" spans="1:10" ht="14.25" hidden="1" customHeight="1" x14ac:dyDescent="0.35">
      <c r="A3155" s="30"/>
      <c r="E3155" s="31"/>
      <c r="G3155" s="32" t="str">
        <f t="shared" si="98"/>
        <v>|||1900|</v>
      </c>
      <c r="H3155" s="32" t="str">
        <f t="shared" si="99"/>
        <v>||1900|</v>
      </c>
      <c r="I3155" s="32">
        <f>IF(G3155="",0,IF(COUNTIF($G$2:G3155,G3155)=1,1,0))</f>
        <v>0</v>
      </c>
      <c r="J3155" s="32">
        <f>IF(H3155="",0,IF(COUNTIF($H$2:H3155,H3155)=1,1,0))</f>
        <v>0</v>
      </c>
    </row>
    <row r="3156" spans="1:10" ht="14.25" hidden="1" customHeight="1" x14ac:dyDescent="0.35">
      <c r="A3156" s="30"/>
      <c r="E3156" s="31"/>
      <c r="G3156" s="32" t="str">
        <f t="shared" si="98"/>
        <v>|||1900|</v>
      </c>
      <c r="H3156" s="32" t="str">
        <f t="shared" si="99"/>
        <v>||1900|</v>
      </c>
      <c r="I3156" s="32">
        <f>IF(G3156="",0,IF(COUNTIF($G$2:G3156,G3156)=1,1,0))</f>
        <v>0</v>
      </c>
      <c r="J3156" s="32">
        <f>IF(H3156="",0,IF(COUNTIF($H$2:H3156,H3156)=1,1,0))</f>
        <v>0</v>
      </c>
    </row>
    <row r="3157" spans="1:10" ht="14.25" hidden="1" customHeight="1" x14ac:dyDescent="0.35">
      <c r="A3157" s="30"/>
      <c r="E3157" s="31"/>
      <c r="G3157" s="32" t="str">
        <f t="shared" si="98"/>
        <v>|||1900|</v>
      </c>
      <c r="H3157" s="32" t="str">
        <f t="shared" si="99"/>
        <v>||1900|</v>
      </c>
      <c r="I3157" s="32">
        <f>IF(G3157="",0,IF(COUNTIF($G$2:G3157,G3157)=1,1,0))</f>
        <v>0</v>
      </c>
      <c r="J3157" s="32">
        <f>IF(H3157="",0,IF(COUNTIF($H$2:H3157,H3157)=1,1,0))</f>
        <v>0</v>
      </c>
    </row>
    <row r="3158" spans="1:10" ht="14.25" hidden="1" customHeight="1" x14ac:dyDescent="0.35">
      <c r="A3158" s="30"/>
      <c r="E3158" s="31"/>
      <c r="G3158" s="32" t="str">
        <f t="shared" si="98"/>
        <v>|||1900|</v>
      </c>
      <c r="H3158" s="32" t="str">
        <f t="shared" si="99"/>
        <v>||1900|</v>
      </c>
      <c r="I3158" s="32">
        <f>IF(G3158="",0,IF(COUNTIF($G$2:G3158,G3158)=1,1,0))</f>
        <v>0</v>
      </c>
      <c r="J3158" s="32">
        <f>IF(H3158="",0,IF(COUNTIF($H$2:H3158,H3158)=1,1,0))</f>
        <v>0</v>
      </c>
    </row>
    <row r="3159" spans="1:10" ht="14.25" hidden="1" customHeight="1" x14ac:dyDescent="0.35">
      <c r="A3159" s="30"/>
      <c r="E3159" s="31"/>
      <c r="G3159" s="32" t="str">
        <f t="shared" si="98"/>
        <v>|||1900|</v>
      </c>
      <c r="H3159" s="32" t="str">
        <f t="shared" si="99"/>
        <v>||1900|</v>
      </c>
      <c r="I3159" s="32">
        <f>IF(G3159="",0,IF(COUNTIF($G$2:G3159,G3159)=1,1,0))</f>
        <v>0</v>
      </c>
      <c r="J3159" s="32">
        <f>IF(H3159="",0,IF(COUNTIF($H$2:H3159,H3159)=1,1,0))</f>
        <v>0</v>
      </c>
    </row>
    <row r="3160" spans="1:10" ht="14.25" hidden="1" customHeight="1" x14ac:dyDescent="0.35">
      <c r="A3160" s="30"/>
      <c r="E3160" s="31"/>
      <c r="G3160" s="32" t="str">
        <f t="shared" si="98"/>
        <v>|||1900|</v>
      </c>
      <c r="H3160" s="32" t="str">
        <f t="shared" si="99"/>
        <v>||1900|</v>
      </c>
      <c r="I3160" s="32">
        <f>IF(G3160="",0,IF(COUNTIF($G$2:G3160,G3160)=1,1,0))</f>
        <v>0</v>
      </c>
      <c r="J3160" s="32">
        <f>IF(H3160="",0,IF(COUNTIF($H$2:H3160,H3160)=1,1,0))</f>
        <v>0</v>
      </c>
    </row>
    <row r="3161" spans="1:10" ht="14.25" hidden="1" customHeight="1" x14ac:dyDescent="0.35">
      <c r="A3161" s="30"/>
      <c r="E3161" s="31"/>
      <c r="G3161" s="32" t="str">
        <f t="shared" si="98"/>
        <v>|||1900|</v>
      </c>
      <c r="H3161" s="32" t="str">
        <f t="shared" si="99"/>
        <v>||1900|</v>
      </c>
      <c r="I3161" s="32">
        <f>IF(G3161="",0,IF(COUNTIF($G$2:G3161,G3161)=1,1,0))</f>
        <v>0</v>
      </c>
      <c r="J3161" s="32">
        <f>IF(H3161="",0,IF(COUNTIF($H$2:H3161,H3161)=1,1,0))</f>
        <v>0</v>
      </c>
    </row>
    <row r="3162" spans="1:10" ht="14.25" hidden="1" customHeight="1" x14ac:dyDescent="0.35">
      <c r="A3162" s="30"/>
      <c r="E3162" s="31"/>
      <c r="G3162" s="32" t="str">
        <f t="shared" si="98"/>
        <v>|||1900|</v>
      </c>
      <c r="H3162" s="32" t="str">
        <f t="shared" si="99"/>
        <v>||1900|</v>
      </c>
      <c r="I3162" s="32">
        <f>IF(G3162="",0,IF(COUNTIF($G$2:G3162,G3162)=1,1,0))</f>
        <v>0</v>
      </c>
      <c r="J3162" s="32">
        <f>IF(H3162="",0,IF(COUNTIF($H$2:H3162,H3162)=1,1,0))</f>
        <v>0</v>
      </c>
    </row>
    <row r="3163" spans="1:10" ht="14.25" hidden="1" customHeight="1" x14ac:dyDescent="0.35">
      <c r="A3163" s="30"/>
      <c r="E3163" s="31"/>
      <c r="G3163" s="32" t="str">
        <f t="shared" si="98"/>
        <v>|||1900|</v>
      </c>
      <c r="H3163" s="32" t="str">
        <f t="shared" si="99"/>
        <v>||1900|</v>
      </c>
      <c r="I3163" s="32">
        <f>IF(G3163="",0,IF(COUNTIF($G$2:G3163,G3163)=1,1,0))</f>
        <v>0</v>
      </c>
      <c r="J3163" s="32">
        <f>IF(H3163="",0,IF(COUNTIF($H$2:H3163,H3163)=1,1,0))</f>
        <v>0</v>
      </c>
    </row>
    <row r="3164" spans="1:10" ht="14.25" hidden="1" customHeight="1" x14ac:dyDescent="0.35">
      <c r="A3164" s="30"/>
      <c r="E3164" s="31"/>
      <c r="G3164" s="32" t="str">
        <f t="shared" si="98"/>
        <v>|||1900|</v>
      </c>
      <c r="H3164" s="32" t="str">
        <f t="shared" si="99"/>
        <v>||1900|</v>
      </c>
      <c r="I3164" s="32">
        <f>IF(G3164="",0,IF(COUNTIF($G$2:G3164,G3164)=1,1,0))</f>
        <v>0</v>
      </c>
      <c r="J3164" s="32">
        <f>IF(H3164="",0,IF(COUNTIF($H$2:H3164,H3164)=1,1,0))</f>
        <v>0</v>
      </c>
    </row>
    <row r="3165" spans="1:10" ht="14.25" hidden="1" customHeight="1" x14ac:dyDescent="0.35">
      <c r="A3165" s="30"/>
      <c r="E3165" s="31"/>
      <c r="G3165" s="32" t="str">
        <f t="shared" si="98"/>
        <v>|||1900|</v>
      </c>
      <c r="H3165" s="32" t="str">
        <f t="shared" si="99"/>
        <v>||1900|</v>
      </c>
      <c r="I3165" s="32">
        <f>IF(G3165="",0,IF(COUNTIF($G$2:G3165,G3165)=1,1,0))</f>
        <v>0</v>
      </c>
      <c r="J3165" s="32">
        <f>IF(H3165="",0,IF(COUNTIF($H$2:H3165,H3165)=1,1,0))</f>
        <v>0</v>
      </c>
    </row>
    <row r="3166" spans="1:10" ht="14.25" hidden="1" customHeight="1" x14ac:dyDescent="0.35">
      <c r="A3166" s="30"/>
      <c r="E3166" s="31"/>
      <c r="G3166" s="32" t="str">
        <f t="shared" si="98"/>
        <v>|||1900|</v>
      </c>
      <c r="H3166" s="32" t="str">
        <f t="shared" si="99"/>
        <v>||1900|</v>
      </c>
      <c r="I3166" s="32">
        <f>IF(G3166="",0,IF(COUNTIF($G$2:G3166,G3166)=1,1,0))</f>
        <v>0</v>
      </c>
      <c r="J3166" s="32">
        <f>IF(H3166="",0,IF(COUNTIF($H$2:H3166,H3166)=1,1,0))</f>
        <v>0</v>
      </c>
    </row>
    <row r="3167" spans="1:10" ht="14.25" hidden="1" customHeight="1" x14ac:dyDescent="0.35">
      <c r="A3167" s="30"/>
      <c r="E3167" s="31"/>
      <c r="G3167" s="32" t="str">
        <f t="shared" si="98"/>
        <v>|||1900|</v>
      </c>
      <c r="H3167" s="32" t="str">
        <f t="shared" si="99"/>
        <v>||1900|</v>
      </c>
      <c r="I3167" s="32">
        <f>IF(G3167="",0,IF(COUNTIF($G$2:G3167,G3167)=1,1,0))</f>
        <v>0</v>
      </c>
      <c r="J3167" s="32">
        <f>IF(H3167="",0,IF(COUNTIF($H$2:H3167,H3167)=1,1,0))</f>
        <v>0</v>
      </c>
    </row>
    <row r="3168" spans="1:10" ht="14.25" hidden="1" customHeight="1" x14ac:dyDescent="0.35">
      <c r="A3168" s="30"/>
      <c r="E3168" s="31"/>
      <c r="G3168" s="32" t="str">
        <f t="shared" si="98"/>
        <v>|||1900|</v>
      </c>
      <c r="H3168" s="32" t="str">
        <f t="shared" si="99"/>
        <v>||1900|</v>
      </c>
      <c r="I3168" s="32">
        <f>IF(G3168="",0,IF(COUNTIF($G$2:G3168,G3168)=1,1,0))</f>
        <v>0</v>
      </c>
      <c r="J3168" s="32">
        <f>IF(H3168="",0,IF(COUNTIF($H$2:H3168,H3168)=1,1,0))</f>
        <v>0</v>
      </c>
    </row>
    <row r="3169" spans="1:10" ht="14.25" hidden="1" customHeight="1" x14ac:dyDescent="0.35">
      <c r="A3169" s="30"/>
      <c r="E3169" s="31"/>
      <c r="G3169" s="32" t="str">
        <f t="shared" si="98"/>
        <v>|||1900|</v>
      </c>
      <c r="H3169" s="32" t="str">
        <f t="shared" si="99"/>
        <v>||1900|</v>
      </c>
      <c r="I3169" s="32">
        <f>IF(G3169="",0,IF(COUNTIF($G$2:G3169,G3169)=1,1,0))</f>
        <v>0</v>
      </c>
      <c r="J3169" s="32">
        <f>IF(H3169="",0,IF(COUNTIF($H$2:H3169,H3169)=1,1,0))</f>
        <v>0</v>
      </c>
    </row>
    <row r="3170" spans="1:10" ht="14.25" hidden="1" customHeight="1" x14ac:dyDescent="0.35">
      <c r="A3170" s="30"/>
      <c r="E3170" s="31"/>
      <c r="G3170" s="32" t="str">
        <f t="shared" si="98"/>
        <v>|||1900|</v>
      </c>
      <c r="H3170" s="32" t="str">
        <f t="shared" si="99"/>
        <v>||1900|</v>
      </c>
      <c r="I3170" s="32">
        <f>IF(G3170="",0,IF(COUNTIF($G$2:G3170,G3170)=1,1,0))</f>
        <v>0</v>
      </c>
      <c r="J3170" s="32">
        <f>IF(H3170="",0,IF(COUNTIF($H$2:H3170,H3170)=1,1,0))</f>
        <v>0</v>
      </c>
    </row>
    <row r="3171" spans="1:10" ht="14.25" hidden="1" customHeight="1" x14ac:dyDescent="0.35">
      <c r="A3171" s="30"/>
      <c r="E3171" s="31"/>
      <c r="G3171" s="32" t="str">
        <f t="shared" si="98"/>
        <v>|||1900|</v>
      </c>
      <c r="H3171" s="32" t="str">
        <f t="shared" si="99"/>
        <v>||1900|</v>
      </c>
      <c r="I3171" s="32">
        <f>IF(G3171="",0,IF(COUNTIF($G$2:G3171,G3171)=1,1,0))</f>
        <v>0</v>
      </c>
      <c r="J3171" s="32">
        <f>IF(H3171="",0,IF(COUNTIF($H$2:H3171,H3171)=1,1,0))</f>
        <v>0</v>
      </c>
    </row>
    <row r="3172" spans="1:10" ht="14.25" hidden="1" customHeight="1" x14ac:dyDescent="0.35">
      <c r="A3172" s="30"/>
      <c r="E3172" s="31"/>
      <c r="G3172" s="32" t="str">
        <f t="shared" si="98"/>
        <v>|||1900|</v>
      </c>
      <c r="H3172" s="32" t="str">
        <f t="shared" si="99"/>
        <v>||1900|</v>
      </c>
      <c r="I3172" s="32">
        <f>IF(G3172="",0,IF(COUNTIF($G$2:G3172,G3172)=1,1,0))</f>
        <v>0</v>
      </c>
      <c r="J3172" s="32">
        <f>IF(H3172="",0,IF(COUNTIF($H$2:H3172,H3172)=1,1,0))</f>
        <v>0</v>
      </c>
    </row>
    <row r="3173" spans="1:10" ht="14.25" hidden="1" customHeight="1" x14ac:dyDescent="0.35">
      <c r="A3173" s="30"/>
      <c r="E3173" s="31"/>
      <c r="G3173" s="32" t="str">
        <f t="shared" si="98"/>
        <v>|||1900|</v>
      </c>
      <c r="H3173" s="32" t="str">
        <f t="shared" si="99"/>
        <v>||1900|</v>
      </c>
      <c r="I3173" s="32">
        <f>IF(G3173="",0,IF(COUNTIF($G$2:G3173,G3173)=1,1,0))</f>
        <v>0</v>
      </c>
      <c r="J3173" s="32">
        <f>IF(H3173="",0,IF(COUNTIF($H$2:H3173,H3173)=1,1,0))</f>
        <v>0</v>
      </c>
    </row>
    <row r="3174" spans="1:10" ht="14.25" hidden="1" customHeight="1" x14ac:dyDescent="0.35">
      <c r="A3174" s="30"/>
      <c r="E3174" s="31"/>
      <c r="G3174" s="32" t="str">
        <f t="shared" si="98"/>
        <v>|||1900|</v>
      </c>
      <c r="H3174" s="32" t="str">
        <f t="shared" si="99"/>
        <v>||1900|</v>
      </c>
      <c r="I3174" s="32">
        <f>IF(G3174="",0,IF(COUNTIF($G$2:G3174,G3174)=1,1,0))</f>
        <v>0</v>
      </c>
      <c r="J3174" s="32">
        <f>IF(H3174="",0,IF(COUNTIF($H$2:H3174,H3174)=1,1,0))</f>
        <v>0</v>
      </c>
    </row>
    <row r="3175" spans="1:10" ht="14.25" hidden="1" customHeight="1" x14ac:dyDescent="0.35">
      <c r="A3175" s="30"/>
      <c r="E3175" s="31"/>
      <c r="G3175" s="32" t="str">
        <f t="shared" si="98"/>
        <v>|||1900|</v>
      </c>
      <c r="H3175" s="32" t="str">
        <f t="shared" si="99"/>
        <v>||1900|</v>
      </c>
      <c r="I3175" s="32">
        <f>IF(G3175="",0,IF(COUNTIF($G$2:G3175,G3175)=1,1,0))</f>
        <v>0</v>
      </c>
      <c r="J3175" s="32">
        <f>IF(H3175="",0,IF(COUNTIF($H$2:H3175,H3175)=1,1,0))</f>
        <v>0</v>
      </c>
    </row>
    <row r="3176" spans="1:10" ht="14.25" hidden="1" customHeight="1" x14ac:dyDescent="0.35">
      <c r="A3176" s="30"/>
      <c r="E3176" s="31"/>
      <c r="G3176" s="32" t="str">
        <f t="shared" si="98"/>
        <v>|||1900|</v>
      </c>
      <c r="H3176" s="32" t="str">
        <f t="shared" si="99"/>
        <v>||1900|</v>
      </c>
      <c r="I3176" s="32">
        <f>IF(G3176="",0,IF(COUNTIF($G$2:G3176,G3176)=1,1,0))</f>
        <v>0</v>
      </c>
      <c r="J3176" s="32">
        <f>IF(H3176="",0,IF(COUNTIF($H$2:H3176,H3176)=1,1,0))</f>
        <v>0</v>
      </c>
    </row>
    <row r="3177" spans="1:10" ht="14.25" hidden="1" customHeight="1" x14ac:dyDescent="0.35">
      <c r="A3177" s="30"/>
      <c r="E3177" s="31"/>
      <c r="G3177" s="32" t="str">
        <f t="shared" si="98"/>
        <v>|||1900|</v>
      </c>
      <c r="H3177" s="32" t="str">
        <f t="shared" si="99"/>
        <v>||1900|</v>
      </c>
      <c r="I3177" s="32">
        <f>IF(G3177="",0,IF(COUNTIF($G$2:G3177,G3177)=1,1,0))</f>
        <v>0</v>
      </c>
      <c r="J3177" s="32">
        <f>IF(H3177="",0,IF(COUNTIF($H$2:H3177,H3177)=1,1,0))</f>
        <v>0</v>
      </c>
    </row>
    <row r="3178" spans="1:10" ht="14.25" hidden="1" customHeight="1" x14ac:dyDescent="0.35">
      <c r="A3178" s="30"/>
      <c r="E3178" s="31"/>
      <c r="G3178" s="32" t="str">
        <f t="shared" si="98"/>
        <v>|||1900|</v>
      </c>
      <c r="H3178" s="32" t="str">
        <f t="shared" si="99"/>
        <v>||1900|</v>
      </c>
      <c r="I3178" s="32">
        <f>IF(G3178="",0,IF(COUNTIF($G$2:G3178,G3178)=1,1,0))</f>
        <v>0</v>
      </c>
      <c r="J3178" s="32">
        <f>IF(H3178="",0,IF(COUNTIF($H$2:H3178,H3178)=1,1,0))</f>
        <v>0</v>
      </c>
    </row>
    <row r="3179" spans="1:10" ht="14.25" hidden="1" customHeight="1" x14ac:dyDescent="0.35">
      <c r="A3179" s="30"/>
      <c r="E3179" s="31"/>
      <c r="G3179" s="32" t="str">
        <f t="shared" si="98"/>
        <v>|||1900|</v>
      </c>
      <c r="H3179" s="32" t="str">
        <f t="shared" si="99"/>
        <v>||1900|</v>
      </c>
      <c r="I3179" s="32">
        <f>IF(G3179="",0,IF(COUNTIF($G$2:G3179,G3179)=1,1,0))</f>
        <v>0</v>
      </c>
      <c r="J3179" s="32">
        <f>IF(H3179="",0,IF(COUNTIF($H$2:H3179,H3179)=1,1,0))</f>
        <v>0</v>
      </c>
    </row>
    <row r="3180" spans="1:10" ht="14.25" hidden="1" customHeight="1" x14ac:dyDescent="0.35">
      <c r="A3180" s="30"/>
      <c r="E3180" s="31"/>
      <c r="G3180" s="32" t="str">
        <f t="shared" si="98"/>
        <v>|||1900|</v>
      </c>
      <c r="H3180" s="32" t="str">
        <f t="shared" si="99"/>
        <v>||1900|</v>
      </c>
      <c r="I3180" s="32">
        <f>IF(G3180="",0,IF(COUNTIF($G$2:G3180,G3180)=1,1,0))</f>
        <v>0</v>
      </c>
      <c r="J3180" s="32">
        <f>IF(H3180="",0,IF(COUNTIF($H$2:H3180,H3180)=1,1,0))</f>
        <v>0</v>
      </c>
    </row>
    <row r="3181" spans="1:10" ht="14.25" hidden="1" customHeight="1" x14ac:dyDescent="0.35">
      <c r="A3181" s="30"/>
      <c r="E3181" s="31"/>
      <c r="G3181" s="32" t="str">
        <f t="shared" si="98"/>
        <v>|||1900|</v>
      </c>
      <c r="H3181" s="32" t="str">
        <f t="shared" si="99"/>
        <v>||1900|</v>
      </c>
      <c r="I3181" s="32">
        <f>IF(G3181="",0,IF(COUNTIF($G$2:G3181,G3181)=1,1,0))</f>
        <v>0</v>
      </c>
      <c r="J3181" s="32">
        <f>IF(H3181="",0,IF(COUNTIF($H$2:H3181,H3181)=1,1,0))</f>
        <v>0</v>
      </c>
    </row>
    <row r="3182" spans="1:10" ht="14.25" hidden="1" customHeight="1" x14ac:dyDescent="0.35">
      <c r="A3182" s="30"/>
      <c r="E3182" s="31"/>
      <c r="G3182" s="32" t="str">
        <f t="shared" si="98"/>
        <v>|||1900|</v>
      </c>
      <c r="H3182" s="32" t="str">
        <f t="shared" si="99"/>
        <v>||1900|</v>
      </c>
      <c r="I3182" s="32">
        <f>IF(G3182="",0,IF(COUNTIF($G$2:G3182,G3182)=1,1,0))</f>
        <v>0</v>
      </c>
      <c r="J3182" s="32">
        <f>IF(H3182="",0,IF(COUNTIF($H$2:H3182,H3182)=1,1,0))</f>
        <v>0</v>
      </c>
    </row>
    <row r="3183" spans="1:10" ht="14.25" hidden="1" customHeight="1" x14ac:dyDescent="0.35">
      <c r="A3183" s="30"/>
      <c r="E3183" s="31"/>
      <c r="G3183" s="32" t="str">
        <f t="shared" si="98"/>
        <v>|||1900|</v>
      </c>
      <c r="H3183" s="32" t="str">
        <f t="shared" si="99"/>
        <v>||1900|</v>
      </c>
      <c r="I3183" s="32">
        <f>IF(G3183="",0,IF(COUNTIF($G$2:G3183,G3183)=1,1,0))</f>
        <v>0</v>
      </c>
      <c r="J3183" s="32">
        <f>IF(H3183="",0,IF(COUNTIF($H$2:H3183,H3183)=1,1,0))</f>
        <v>0</v>
      </c>
    </row>
    <row r="3184" spans="1:10" ht="14.25" hidden="1" customHeight="1" x14ac:dyDescent="0.35">
      <c r="A3184" s="30"/>
      <c r="E3184" s="31"/>
      <c r="G3184" s="32" t="str">
        <f t="shared" si="98"/>
        <v>|||1900|</v>
      </c>
      <c r="H3184" s="32" t="str">
        <f t="shared" si="99"/>
        <v>||1900|</v>
      </c>
      <c r="I3184" s="32">
        <f>IF(G3184="",0,IF(COUNTIF($G$2:G3184,G3184)=1,1,0))</f>
        <v>0</v>
      </c>
      <c r="J3184" s="32">
        <f>IF(H3184="",0,IF(COUNTIF($H$2:H3184,H3184)=1,1,0))</f>
        <v>0</v>
      </c>
    </row>
    <row r="3185" spans="1:10" ht="14.25" hidden="1" customHeight="1" x14ac:dyDescent="0.35">
      <c r="A3185" s="30"/>
      <c r="E3185" s="31"/>
      <c r="G3185" s="32" t="str">
        <f t="shared" si="98"/>
        <v>|||1900|</v>
      </c>
      <c r="H3185" s="32" t="str">
        <f t="shared" si="99"/>
        <v>||1900|</v>
      </c>
      <c r="I3185" s="32">
        <f>IF(G3185="",0,IF(COUNTIF($G$2:G3185,G3185)=1,1,0))</f>
        <v>0</v>
      </c>
      <c r="J3185" s="32">
        <f>IF(H3185="",0,IF(COUNTIF($H$2:H3185,H3185)=1,1,0))</f>
        <v>0</v>
      </c>
    </row>
    <row r="3186" spans="1:10" ht="14.25" hidden="1" customHeight="1" x14ac:dyDescent="0.35">
      <c r="A3186" s="30"/>
      <c r="E3186" s="31"/>
      <c r="G3186" s="32" t="str">
        <f t="shared" si="98"/>
        <v>|||1900|</v>
      </c>
      <c r="H3186" s="32" t="str">
        <f t="shared" si="99"/>
        <v>||1900|</v>
      </c>
      <c r="I3186" s="32">
        <f>IF(G3186="",0,IF(COUNTIF($G$2:G3186,G3186)=1,1,0))</f>
        <v>0</v>
      </c>
      <c r="J3186" s="32">
        <f>IF(H3186="",0,IF(COUNTIF($H$2:H3186,H3186)=1,1,0))</f>
        <v>0</v>
      </c>
    </row>
    <row r="3187" spans="1:10" ht="14.25" hidden="1" customHeight="1" x14ac:dyDescent="0.35">
      <c r="A3187" s="30"/>
      <c r="E3187" s="31"/>
      <c r="G3187" s="32" t="str">
        <f t="shared" si="98"/>
        <v>|||1900|</v>
      </c>
      <c r="H3187" s="32" t="str">
        <f t="shared" si="99"/>
        <v>||1900|</v>
      </c>
      <c r="I3187" s="32">
        <f>IF(G3187="",0,IF(COUNTIF($G$2:G3187,G3187)=1,1,0))</f>
        <v>0</v>
      </c>
      <c r="J3187" s="32">
        <f>IF(H3187="",0,IF(COUNTIF($H$2:H3187,H3187)=1,1,0))</f>
        <v>0</v>
      </c>
    </row>
    <row r="3188" spans="1:10" ht="14.25" hidden="1" customHeight="1" x14ac:dyDescent="0.35">
      <c r="A3188" s="30"/>
      <c r="E3188" s="31"/>
      <c r="G3188" s="32" t="str">
        <f t="shared" si="98"/>
        <v>|||1900|</v>
      </c>
      <c r="H3188" s="32" t="str">
        <f t="shared" si="99"/>
        <v>||1900|</v>
      </c>
      <c r="I3188" s="32">
        <f>IF(G3188="",0,IF(COUNTIF($G$2:G3188,G3188)=1,1,0))</f>
        <v>0</v>
      </c>
      <c r="J3188" s="32">
        <f>IF(H3188="",0,IF(COUNTIF($H$2:H3188,H3188)=1,1,0))</f>
        <v>0</v>
      </c>
    </row>
    <row r="3189" spans="1:10" ht="14.25" hidden="1" customHeight="1" x14ac:dyDescent="0.35">
      <c r="A3189" s="30"/>
      <c r="E3189" s="31"/>
      <c r="G3189" s="32" t="str">
        <f t="shared" si="98"/>
        <v>|||1900|</v>
      </c>
      <c r="H3189" s="32" t="str">
        <f t="shared" si="99"/>
        <v>||1900|</v>
      </c>
      <c r="I3189" s="32">
        <f>IF(G3189="",0,IF(COUNTIF($G$2:G3189,G3189)=1,1,0))</f>
        <v>0</v>
      </c>
      <c r="J3189" s="32">
        <f>IF(H3189="",0,IF(COUNTIF($H$2:H3189,H3189)=1,1,0))</f>
        <v>0</v>
      </c>
    </row>
    <row r="3190" spans="1:10" ht="14.25" hidden="1" customHeight="1" x14ac:dyDescent="0.35">
      <c r="A3190" s="30"/>
      <c r="E3190" s="31"/>
      <c r="G3190" s="32" t="str">
        <f t="shared" si="98"/>
        <v>|||1900|</v>
      </c>
      <c r="H3190" s="32" t="str">
        <f t="shared" si="99"/>
        <v>||1900|</v>
      </c>
      <c r="I3190" s="32">
        <f>IF(G3190="",0,IF(COUNTIF($G$2:G3190,G3190)=1,1,0))</f>
        <v>0</v>
      </c>
      <c r="J3190" s="32">
        <f>IF(H3190="",0,IF(COUNTIF($H$2:H3190,H3190)=1,1,0))</f>
        <v>0</v>
      </c>
    </row>
    <row r="3191" spans="1:10" ht="14.25" hidden="1" customHeight="1" x14ac:dyDescent="0.35">
      <c r="A3191" s="30"/>
      <c r="E3191" s="31"/>
      <c r="G3191" s="32" t="str">
        <f t="shared" si="98"/>
        <v>|||1900|</v>
      </c>
      <c r="H3191" s="32" t="str">
        <f t="shared" si="99"/>
        <v>||1900|</v>
      </c>
      <c r="I3191" s="32">
        <f>IF(G3191="",0,IF(COUNTIF($G$2:G3191,G3191)=1,1,0))</f>
        <v>0</v>
      </c>
      <c r="J3191" s="32">
        <f>IF(H3191="",0,IF(COUNTIF($H$2:H3191,H3191)=1,1,0))</f>
        <v>0</v>
      </c>
    </row>
    <row r="3192" spans="1:10" ht="14.25" hidden="1" customHeight="1" x14ac:dyDescent="0.35">
      <c r="A3192" s="30"/>
      <c r="E3192" s="31"/>
      <c r="G3192" s="32" t="str">
        <f t="shared" si="98"/>
        <v>|||1900|</v>
      </c>
      <c r="H3192" s="32" t="str">
        <f t="shared" si="99"/>
        <v>||1900|</v>
      </c>
      <c r="I3192" s="32">
        <f>IF(G3192="",0,IF(COUNTIF($G$2:G3192,G3192)=1,1,0))</f>
        <v>0</v>
      </c>
      <c r="J3192" s="32">
        <f>IF(H3192="",0,IF(COUNTIF($H$2:H3192,H3192)=1,1,0))</f>
        <v>0</v>
      </c>
    </row>
    <row r="3193" spans="1:10" ht="14.25" hidden="1" customHeight="1" x14ac:dyDescent="0.35">
      <c r="A3193" s="30"/>
      <c r="E3193" s="31"/>
      <c r="G3193" s="32" t="str">
        <f t="shared" si="98"/>
        <v>|||1900|</v>
      </c>
      <c r="H3193" s="32" t="str">
        <f t="shared" si="99"/>
        <v>||1900|</v>
      </c>
      <c r="I3193" s="32">
        <f>IF(G3193="",0,IF(COUNTIF($G$2:G3193,G3193)=1,1,0))</f>
        <v>0</v>
      </c>
      <c r="J3193" s="32">
        <f>IF(H3193="",0,IF(COUNTIF($H$2:H3193,H3193)=1,1,0))</f>
        <v>0</v>
      </c>
    </row>
    <row r="3194" spans="1:10" ht="14.25" hidden="1" customHeight="1" x14ac:dyDescent="0.35">
      <c r="A3194" s="30"/>
      <c r="E3194" s="31"/>
      <c r="G3194" s="32" t="str">
        <f t="shared" si="98"/>
        <v>|||1900|</v>
      </c>
      <c r="H3194" s="32" t="str">
        <f t="shared" si="99"/>
        <v>||1900|</v>
      </c>
      <c r="I3194" s="32">
        <f>IF(G3194="",0,IF(COUNTIF($G$2:G3194,G3194)=1,1,0))</f>
        <v>0</v>
      </c>
      <c r="J3194" s="32">
        <f>IF(H3194="",0,IF(COUNTIF($H$2:H3194,H3194)=1,1,0))</f>
        <v>0</v>
      </c>
    </row>
    <row r="3195" spans="1:10" ht="14.25" hidden="1" customHeight="1" x14ac:dyDescent="0.35">
      <c r="A3195" s="30"/>
      <c r="E3195" s="31"/>
      <c r="G3195" s="32" t="str">
        <f t="shared" si="98"/>
        <v>|||1900|</v>
      </c>
      <c r="H3195" s="32" t="str">
        <f t="shared" si="99"/>
        <v>||1900|</v>
      </c>
      <c r="I3195" s="32">
        <f>IF(G3195="",0,IF(COUNTIF($G$2:G3195,G3195)=1,1,0))</f>
        <v>0</v>
      </c>
      <c r="J3195" s="32">
        <f>IF(H3195="",0,IF(COUNTIF($H$2:H3195,H3195)=1,1,0))</f>
        <v>0</v>
      </c>
    </row>
    <row r="3196" spans="1:10" ht="14.25" hidden="1" customHeight="1" x14ac:dyDescent="0.35">
      <c r="A3196" s="30"/>
      <c r="E3196" s="31"/>
      <c r="G3196" s="32" t="str">
        <f t="shared" si="98"/>
        <v>|||1900|</v>
      </c>
      <c r="H3196" s="32" t="str">
        <f t="shared" si="99"/>
        <v>||1900|</v>
      </c>
      <c r="I3196" s="32">
        <f>IF(G3196="",0,IF(COUNTIF($G$2:G3196,G3196)=1,1,0))</f>
        <v>0</v>
      </c>
      <c r="J3196" s="32">
        <f>IF(H3196="",0,IF(COUNTIF($H$2:H3196,H3196)=1,1,0))</f>
        <v>0</v>
      </c>
    </row>
    <row r="3197" spans="1:10" ht="14.25" hidden="1" customHeight="1" x14ac:dyDescent="0.35">
      <c r="A3197" s="30"/>
      <c r="E3197" s="31"/>
      <c r="G3197" s="32" t="str">
        <f t="shared" si="98"/>
        <v>|||1900|</v>
      </c>
      <c r="H3197" s="32" t="str">
        <f t="shared" si="99"/>
        <v>||1900|</v>
      </c>
      <c r="I3197" s="32">
        <f>IF(G3197="",0,IF(COUNTIF($G$2:G3197,G3197)=1,1,0))</f>
        <v>0</v>
      </c>
      <c r="J3197" s="32">
        <f>IF(H3197="",0,IF(COUNTIF($H$2:H3197,H3197)=1,1,0))</f>
        <v>0</v>
      </c>
    </row>
    <row r="3198" spans="1:10" ht="14.25" hidden="1" customHeight="1" x14ac:dyDescent="0.35">
      <c r="A3198" s="30"/>
      <c r="E3198" s="31"/>
      <c r="G3198" s="32" t="str">
        <f t="shared" si="98"/>
        <v>|||1900|</v>
      </c>
      <c r="H3198" s="32" t="str">
        <f t="shared" si="99"/>
        <v>||1900|</v>
      </c>
      <c r="I3198" s="32">
        <f>IF(G3198="",0,IF(COUNTIF($G$2:G3198,G3198)=1,1,0))</f>
        <v>0</v>
      </c>
      <c r="J3198" s="32">
        <f>IF(H3198="",0,IF(COUNTIF($H$2:H3198,H3198)=1,1,0))</f>
        <v>0</v>
      </c>
    </row>
    <row r="3199" spans="1:10" ht="14.25" hidden="1" customHeight="1" x14ac:dyDescent="0.35">
      <c r="A3199" s="30"/>
      <c r="E3199" s="31"/>
      <c r="G3199" s="32" t="str">
        <f t="shared" si="98"/>
        <v>|||1900|</v>
      </c>
      <c r="H3199" s="32" t="str">
        <f t="shared" si="99"/>
        <v>||1900|</v>
      </c>
      <c r="I3199" s="32">
        <f>IF(G3199="",0,IF(COUNTIF($G$2:G3199,G3199)=1,1,0))</f>
        <v>0</v>
      </c>
      <c r="J3199" s="32">
        <f>IF(H3199="",0,IF(COUNTIF($H$2:H3199,H3199)=1,1,0))</f>
        <v>0</v>
      </c>
    </row>
    <row r="3200" spans="1:10" ht="14.25" hidden="1" customHeight="1" x14ac:dyDescent="0.35">
      <c r="A3200" s="30"/>
      <c r="E3200" s="31"/>
      <c r="G3200" s="32" t="str">
        <f t="shared" si="98"/>
        <v>|||1900|</v>
      </c>
      <c r="H3200" s="32" t="str">
        <f t="shared" si="99"/>
        <v>||1900|</v>
      </c>
      <c r="I3200" s="32">
        <f>IF(G3200="",0,IF(COUNTIF($G$2:G3200,G3200)=1,1,0))</f>
        <v>0</v>
      </c>
      <c r="J3200" s="32">
        <f>IF(H3200="",0,IF(COUNTIF($H$2:H3200,H3200)=1,1,0))</f>
        <v>0</v>
      </c>
    </row>
    <row r="3201" spans="1:10" ht="14.25" hidden="1" customHeight="1" x14ac:dyDescent="0.35">
      <c r="A3201" s="30"/>
      <c r="E3201" s="31"/>
      <c r="G3201" s="32" t="str">
        <f t="shared" si="98"/>
        <v>|||1900|</v>
      </c>
      <c r="H3201" s="32" t="str">
        <f t="shared" si="99"/>
        <v>||1900|</v>
      </c>
      <c r="I3201" s="32">
        <f>IF(G3201="",0,IF(COUNTIF($G$2:G3201,G3201)=1,1,0))</f>
        <v>0</v>
      </c>
      <c r="J3201" s="32">
        <f>IF(H3201="",0,IF(COUNTIF($H$2:H3201,H3201)=1,1,0))</f>
        <v>0</v>
      </c>
    </row>
    <row r="3202" spans="1:10" ht="14.25" hidden="1" customHeight="1" x14ac:dyDescent="0.35">
      <c r="A3202" s="30"/>
      <c r="E3202" s="31"/>
      <c r="G3202" s="32" t="str">
        <f t="shared" ref="G3202:G3265" si="100">IF(D3202="T",
E3202&amp;"|"&amp;F3202,
A3202&amp;"|"&amp;B3202&amp;"|"&amp;C3202&amp;"|"&amp;YEAR(E3202)&amp;"|"&amp;F3202)</f>
        <v>|||1900|</v>
      </c>
      <c r="H3202" s="32" t="str">
        <f t="shared" ref="H3202:H3265" si="101">A3202&amp;"|"&amp;C3202&amp;"|"&amp;YEAR(E3202)&amp;"|"&amp;F3202</f>
        <v>||1900|</v>
      </c>
      <c r="I3202" s="32">
        <f>IF(G3202="",0,IF(COUNTIF($G$2:G3202,G3202)=1,1,0))</f>
        <v>0</v>
      </c>
      <c r="J3202" s="32">
        <f>IF(H3202="",0,IF(COUNTIF($H$2:H3202,H3202)=1,1,0))</f>
        <v>0</v>
      </c>
    </row>
    <row r="3203" spans="1:10" ht="14.25" hidden="1" customHeight="1" x14ac:dyDescent="0.35">
      <c r="A3203" s="30"/>
      <c r="E3203" s="31"/>
      <c r="G3203" s="32" t="str">
        <f t="shared" si="100"/>
        <v>|||1900|</v>
      </c>
      <c r="H3203" s="32" t="str">
        <f t="shared" si="101"/>
        <v>||1900|</v>
      </c>
      <c r="I3203" s="32">
        <f>IF(G3203="",0,IF(COUNTIF($G$2:G3203,G3203)=1,1,0))</f>
        <v>0</v>
      </c>
      <c r="J3203" s="32">
        <f>IF(H3203="",0,IF(COUNTIF($H$2:H3203,H3203)=1,1,0))</f>
        <v>0</v>
      </c>
    </row>
    <row r="3204" spans="1:10" ht="14.25" hidden="1" customHeight="1" x14ac:dyDescent="0.35">
      <c r="A3204" s="30"/>
      <c r="E3204" s="31"/>
      <c r="G3204" s="32" t="str">
        <f t="shared" si="100"/>
        <v>|||1900|</v>
      </c>
      <c r="H3204" s="32" t="str">
        <f t="shared" si="101"/>
        <v>||1900|</v>
      </c>
      <c r="I3204" s="32">
        <f>IF(G3204="",0,IF(COUNTIF($G$2:G3204,G3204)=1,1,0))</f>
        <v>0</v>
      </c>
      <c r="J3204" s="32">
        <f>IF(H3204="",0,IF(COUNTIF($H$2:H3204,H3204)=1,1,0))</f>
        <v>0</v>
      </c>
    </row>
    <row r="3205" spans="1:10" ht="14.25" hidden="1" customHeight="1" x14ac:dyDescent="0.35">
      <c r="A3205" s="30"/>
      <c r="E3205" s="31"/>
      <c r="G3205" s="32" t="str">
        <f t="shared" si="100"/>
        <v>|||1900|</v>
      </c>
      <c r="H3205" s="32" t="str">
        <f t="shared" si="101"/>
        <v>||1900|</v>
      </c>
      <c r="I3205" s="32">
        <f>IF(G3205="",0,IF(COUNTIF($G$2:G3205,G3205)=1,1,0))</f>
        <v>0</v>
      </c>
      <c r="J3205" s="32">
        <f>IF(H3205="",0,IF(COUNTIF($H$2:H3205,H3205)=1,1,0))</f>
        <v>0</v>
      </c>
    </row>
    <row r="3206" spans="1:10" ht="14.25" hidden="1" customHeight="1" x14ac:dyDescent="0.35">
      <c r="A3206" s="30"/>
      <c r="E3206" s="31"/>
      <c r="G3206" s="32" t="str">
        <f t="shared" si="100"/>
        <v>|||1900|</v>
      </c>
      <c r="H3206" s="32" t="str">
        <f t="shared" si="101"/>
        <v>||1900|</v>
      </c>
      <c r="I3206" s="32">
        <f>IF(G3206="",0,IF(COUNTIF($G$2:G3206,G3206)=1,1,0))</f>
        <v>0</v>
      </c>
      <c r="J3206" s="32">
        <f>IF(H3206="",0,IF(COUNTIF($H$2:H3206,H3206)=1,1,0))</f>
        <v>0</v>
      </c>
    </row>
    <row r="3207" spans="1:10" ht="14.25" hidden="1" customHeight="1" x14ac:dyDescent="0.35">
      <c r="A3207" s="30"/>
      <c r="E3207" s="31"/>
      <c r="G3207" s="32" t="str">
        <f t="shared" si="100"/>
        <v>|||1900|</v>
      </c>
      <c r="H3207" s="32" t="str">
        <f t="shared" si="101"/>
        <v>||1900|</v>
      </c>
      <c r="I3207" s="32">
        <f>IF(G3207="",0,IF(COUNTIF($G$2:G3207,G3207)=1,1,0))</f>
        <v>0</v>
      </c>
      <c r="J3207" s="32">
        <f>IF(H3207="",0,IF(COUNTIF($H$2:H3207,H3207)=1,1,0))</f>
        <v>0</v>
      </c>
    </row>
    <row r="3208" spans="1:10" ht="14.25" hidden="1" customHeight="1" x14ac:dyDescent="0.35">
      <c r="A3208" s="30"/>
      <c r="E3208" s="31"/>
      <c r="G3208" s="32" t="str">
        <f t="shared" si="100"/>
        <v>|||1900|</v>
      </c>
      <c r="H3208" s="32" t="str">
        <f t="shared" si="101"/>
        <v>||1900|</v>
      </c>
      <c r="I3208" s="32">
        <f>IF(G3208="",0,IF(COUNTIF($G$2:G3208,G3208)=1,1,0))</f>
        <v>0</v>
      </c>
      <c r="J3208" s="32">
        <f>IF(H3208="",0,IF(COUNTIF($H$2:H3208,H3208)=1,1,0))</f>
        <v>0</v>
      </c>
    </row>
    <row r="3209" spans="1:10" ht="14.25" hidden="1" customHeight="1" x14ac:dyDescent="0.35">
      <c r="A3209" s="30"/>
      <c r="E3209" s="31"/>
      <c r="G3209" s="32" t="str">
        <f t="shared" si="100"/>
        <v>|||1900|</v>
      </c>
      <c r="H3209" s="32" t="str">
        <f t="shared" si="101"/>
        <v>||1900|</v>
      </c>
      <c r="I3209" s="32">
        <f>IF(G3209="",0,IF(COUNTIF($G$2:G3209,G3209)=1,1,0))</f>
        <v>0</v>
      </c>
      <c r="J3209" s="32">
        <f>IF(H3209="",0,IF(COUNTIF($H$2:H3209,H3209)=1,1,0))</f>
        <v>0</v>
      </c>
    </row>
    <row r="3210" spans="1:10" ht="14.25" hidden="1" customHeight="1" x14ac:dyDescent="0.35">
      <c r="A3210" s="30"/>
      <c r="E3210" s="31"/>
      <c r="G3210" s="32" t="str">
        <f t="shared" si="100"/>
        <v>|||1900|</v>
      </c>
      <c r="H3210" s="32" t="str">
        <f t="shared" si="101"/>
        <v>||1900|</v>
      </c>
      <c r="I3210" s="32">
        <f>IF(G3210="",0,IF(COUNTIF($G$2:G3210,G3210)=1,1,0))</f>
        <v>0</v>
      </c>
      <c r="J3210" s="32">
        <f>IF(H3210="",0,IF(COUNTIF($H$2:H3210,H3210)=1,1,0))</f>
        <v>0</v>
      </c>
    </row>
    <row r="3211" spans="1:10" ht="14.25" hidden="1" customHeight="1" x14ac:dyDescent="0.35">
      <c r="A3211" s="30"/>
      <c r="E3211" s="31"/>
      <c r="G3211" s="32" t="str">
        <f t="shared" si="100"/>
        <v>|||1900|</v>
      </c>
      <c r="H3211" s="32" t="str">
        <f t="shared" si="101"/>
        <v>||1900|</v>
      </c>
      <c r="I3211" s="32">
        <f>IF(G3211="",0,IF(COUNTIF($G$2:G3211,G3211)=1,1,0))</f>
        <v>0</v>
      </c>
      <c r="J3211" s="32">
        <f>IF(H3211="",0,IF(COUNTIF($H$2:H3211,H3211)=1,1,0))</f>
        <v>0</v>
      </c>
    </row>
    <row r="3212" spans="1:10" ht="14.25" hidden="1" customHeight="1" x14ac:dyDescent="0.35">
      <c r="A3212" s="30"/>
      <c r="E3212" s="31"/>
      <c r="G3212" s="32" t="str">
        <f t="shared" si="100"/>
        <v>|||1900|</v>
      </c>
      <c r="H3212" s="32" t="str">
        <f t="shared" si="101"/>
        <v>||1900|</v>
      </c>
      <c r="I3212" s="32">
        <f>IF(G3212="",0,IF(COUNTIF($G$2:G3212,G3212)=1,1,0))</f>
        <v>0</v>
      </c>
      <c r="J3212" s="32">
        <f>IF(H3212="",0,IF(COUNTIF($H$2:H3212,H3212)=1,1,0))</f>
        <v>0</v>
      </c>
    </row>
    <row r="3213" spans="1:10" ht="14.25" hidden="1" customHeight="1" x14ac:dyDescent="0.35">
      <c r="A3213" s="30"/>
      <c r="E3213" s="31"/>
      <c r="G3213" s="32" t="str">
        <f t="shared" si="100"/>
        <v>|||1900|</v>
      </c>
      <c r="H3213" s="32" t="str">
        <f t="shared" si="101"/>
        <v>||1900|</v>
      </c>
      <c r="I3213" s="32">
        <f>IF(G3213="",0,IF(COUNTIF($G$2:G3213,G3213)=1,1,0))</f>
        <v>0</v>
      </c>
      <c r="J3213" s="32">
        <f>IF(H3213="",0,IF(COUNTIF($H$2:H3213,H3213)=1,1,0))</f>
        <v>0</v>
      </c>
    </row>
    <row r="3214" spans="1:10" ht="14.25" hidden="1" customHeight="1" x14ac:dyDescent="0.35">
      <c r="A3214" s="30"/>
      <c r="E3214" s="31"/>
      <c r="G3214" s="32" t="str">
        <f t="shared" si="100"/>
        <v>|||1900|</v>
      </c>
      <c r="H3214" s="32" t="str">
        <f t="shared" si="101"/>
        <v>||1900|</v>
      </c>
      <c r="I3214" s="32">
        <f>IF(G3214="",0,IF(COUNTIF($G$2:G3214,G3214)=1,1,0))</f>
        <v>0</v>
      </c>
      <c r="J3214" s="32">
        <f>IF(H3214="",0,IF(COUNTIF($H$2:H3214,H3214)=1,1,0))</f>
        <v>0</v>
      </c>
    </row>
    <row r="3215" spans="1:10" ht="14.25" hidden="1" customHeight="1" x14ac:dyDescent="0.35">
      <c r="A3215" s="30"/>
      <c r="E3215" s="31"/>
      <c r="G3215" s="32" t="str">
        <f t="shared" si="100"/>
        <v>|||1900|</v>
      </c>
      <c r="H3215" s="32" t="str">
        <f t="shared" si="101"/>
        <v>||1900|</v>
      </c>
      <c r="I3215" s="32">
        <f>IF(G3215="",0,IF(COUNTIF($G$2:G3215,G3215)=1,1,0))</f>
        <v>0</v>
      </c>
      <c r="J3215" s="32">
        <f>IF(H3215="",0,IF(COUNTIF($H$2:H3215,H3215)=1,1,0))</f>
        <v>0</v>
      </c>
    </row>
    <row r="3216" spans="1:10" ht="14.25" hidden="1" customHeight="1" x14ac:dyDescent="0.35">
      <c r="A3216" s="30"/>
      <c r="E3216" s="31"/>
      <c r="G3216" s="32" t="str">
        <f t="shared" si="100"/>
        <v>|||1900|</v>
      </c>
      <c r="H3216" s="32" t="str">
        <f t="shared" si="101"/>
        <v>||1900|</v>
      </c>
      <c r="I3216" s="32">
        <f>IF(G3216="",0,IF(COUNTIF($G$2:G3216,G3216)=1,1,0))</f>
        <v>0</v>
      </c>
      <c r="J3216" s="32">
        <f>IF(H3216="",0,IF(COUNTIF($H$2:H3216,H3216)=1,1,0))</f>
        <v>0</v>
      </c>
    </row>
    <row r="3217" spans="1:10" ht="14.25" hidden="1" customHeight="1" x14ac:dyDescent="0.35">
      <c r="A3217" s="30"/>
      <c r="E3217" s="31"/>
      <c r="G3217" s="32" t="str">
        <f t="shared" si="100"/>
        <v>|||1900|</v>
      </c>
      <c r="H3217" s="32" t="str">
        <f t="shared" si="101"/>
        <v>||1900|</v>
      </c>
      <c r="I3217" s="32">
        <f>IF(G3217="",0,IF(COUNTIF($G$2:G3217,G3217)=1,1,0))</f>
        <v>0</v>
      </c>
      <c r="J3217" s="32">
        <f>IF(H3217="",0,IF(COUNTIF($H$2:H3217,H3217)=1,1,0))</f>
        <v>0</v>
      </c>
    </row>
    <row r="3218" spans="1:10" ht="14.25" hidden="1" customHeight="1" x14ac:dyDescent="0.35">
      <c r="A3218" s="30"/>
      <c r="E3218" s="31"/>
      <c r="G3218" s="32" t="str">
        <f t="shared" si="100"/>
        <v>|||1900|</v>
      </c>
      <c r="H3218" s="32" t="str">
        <f t="shared" si="101"/>
        <v>||1900|</v>
      </c>
      <c r="I3218" s="32">
        <f>IF(G3218="",0,IF(COUNTIF($G$2:G3218,G3218)=1,1,0))</f>
        <v>0</v>
      </c>
      <c r="J3218" s="32">
        <f>IF(H3218="",0,IF(COUNTIF($H$2:H3218,H3218)=1,1,0))</f>
        <v>0</v>
      </c>
    </row>
    <row r="3219" spans="1:10" ht="14.25" hidden="1" customHeight="1" x14ac:dyDescent="0.35">
      <c r="A3219" s="30"/>
      <c r="E3219" s="31"/>
      <c r="G3219" s="32" t="str">
        <f t="shared" si="100"/>
        <v>|||1900|</v>
      </c>
      <c r="H3219" s="32" t="str">
        <f t="shared" si="101"/>
        <v>||1900|</v>
      </c>
      <c r="I3219" s="32">
        <f>IF(G3219="",0,IF(COUNTIF($G$2:G3219,G3219)=1,1,0))</f>
        <v>0</v>
      </c>
      <c r="J3219" s="32">
        <f>IF(H3219="",0,IF(COUNTIF($H$2:H3219,H3219)=1,1,0))</f>
        <v>0</v>
      </c>
    </row>
    <row r="3220" spans="1:10" ht="14.25" hidden="1" customHeight="1" x14ac:dyDescent="0.35">
      <c r="A3220" s="30"/>
      <c r="E3220" s="31"/>
      <c r="G3220" s="32" t="str">
        <f t="shared" si="100"/>
        <v>|||1900|</v>
      </c>
      <c r="H3220" s="32" t="str">
        <f t="shared" si="101"/>
        <v>||1900|</v>
      </c>
      <c r="I3220" s="32">
        <f>IF(G3220="",0,IF(COUNTIF($G$2:G3220,G3220)=1,1,0))</f>
        <v>0</v>
      </c>
      <c r="J3220" s="32">
        <f>IF(H3220="",0,IF(COUNTIF($H$2:H3220,H3220)=1,1,0))</f>
        <v>0</v>
      </c>
    </row>
    <row r="3221" spans="1:10" ht="14.25" hidden="1" customHeight="1" x14ac:dyDescent="0.35">
      <c r="A3221" s="30"/>
      <c r="E3221" s="31"/>
      <c r="G3221" s="32" t="str">
        <f t="shared" si="100"/>
        <v>|||1900|</v>
      </c>
      <c r="H3221" s="32" t="str">
        <f t="shared" si="101"/>
        <v>||1900|</v>
      </c>
      <c r="I3221" s="32">
        <f>IF(G3221="",0,IF(COUNTIF($G$2:G3221,G3221)=1,1,0))</f>
        <v>0</v>
      </c>
      <c r="J3221" s="32">
        <f>IF(H3221="",0,IF(COUNTIF($H$2:H3221,H3221)=1,1,0))</f>
        <v>0</v>
      </c>
    </row>
    <row r="3222" spans="1:10" ht="14.25" hidden="1" customHeight="1" x14ac:dyDescent="0.35">
      <c r="A3222" s="30"/>
      <c r="E3222" s="31"/>
      <c r="G3222" s="32" t="str">
        <f t="shared" si="100"/>
        <v>|||1900|</v>
      </c>
      <c r="H3222" s="32" t="str">
        <f t="shared" si="101"/>
        <v>||1900|</v>
      </c>
      <c r="I3222" s="32">
        <f>IF(G3222="",0,IF(COUNTIF($G$2:G3222,G3222)=1,1,0))</f>
        <v>0</v>
      </c>
      <c r="J3222" s="32">
        <f>IF(H3222="",0,IF(COUNTIF($H$2:H3222,H3222)=1,1,0))</f>
        <v>0</v>
      </c>
    </row>
    <row r="3223" spans="1:10" ht="14.25" hidden="1" customHeight="1" x14ac:dyDescent="0.35">
      <c r="A3223" s="30"/>
      <c r="E3223" s="31"/>
      <c r="G3223" s="32" t="str">
        <f t="shared" si="100"/>
        <v>|||1900|</v>
      </c>
      <c r="H3223" s="32" t="str">
        <f t="shared" si="101"/>
        <v>||1900|</v>
      </c>
      <c r="I3223" s="32">
        <f>IF(G3223="",0,IF(COUNTIF($G$2:G3223,G3223)=1,1,0))</f>
        <v>0</v>
      </c>
      <c r="J3223" s="32">
        <f>IF(H3223="",0,IF(COUNTIF($H$2:H3223,H3223)=1,1,0))</f>
        <v>0</v>
      </c>
    </row>
    <row r="3224" spans="1:10" ht="14.25" hidden="1" customHeight="1" x14ac:dyDescent="0.35">
      <c r="A3224" s="30"/>
      <c r="E3224" s="31"/>
      <c r="G3224" s="32" t="str">
        <f t="shared" si="100"/>
        <v>|||1900|</v>
      </c>
      <c r="H3224" s="32" t="str">
        <f t="shared" si="101"/>
        <v>||1900|</v>
      </c>
      <c r="I3224" s="32">
        <f>IF(G3224="",0,IF(COUNTIF($G$2:G3224,G3224)=1,1,0))</f>
        <v>0</v>
      </c>
      <c r="J3224" s="32">
        <f>IF(H3224="",0,IF(COUNTIF($H$2:H3224,H3224)=1,1,0))</f>
        <v>0</v>
      </c>
    </row>
    <row r="3225" spans="1:10" ht="14.25" hidden="1" customHeight="1" x14ac:dyDescent="0.35">
      <c r="A3225" s="30"/>
      <c r="E3225" s="31"/>
      <c r="G3225" s="32" t="str">
        <f t="shared" si="100"/>
        <v>|||1900|</v>
      </c>
      <c r="H3225" s="32" t="str">
        <f t="shared" si="101"/>
        <v>||1900|</v>
      </c>
      <c r="I3225" s="32">
        <f>IF(G3225="",0,IF(COUNTIF($G$2:G3225,G3225)=1,1,0))</f>
        <v>0</v>
      </c>
      <c r="J3225" s="32">
        <f>IF(H3225="",0,IF(COUNTIF($H$2:H3225,H3225)=1,1,0))</f>
        <v>0</v>
      </c>
    </row>
    <row r="3226" spans="1:10" ht="14.25" hidden="1" customHeight="1" x14ac:dyDescent="0.35">
      <c r="A3226" s="30"/>
      <c r="E3226" s="31"/>
      <c r="G3226" s="32" t="str">
        <f t="shared" si="100"/>
        <v>|||1900|</v>
      </c>
      <c r="H3226" s="32" t="str">
        <f t="shared" si="101"/>
        <v>||1900|</v>
      </c>
      <c r="I3226" s="32">
        <f>IF(G3226="",0,IF(COUNTIF($G$2:G3226,G3226)=1,1,0))</f>
        <v>0</v>
      </c>
      <c r="J3226" s="32">
        <f>IF(H3226="",0,IF(COUNTIF($H$2:H3226,H3226)=1,1,0))</f>
        <v>0</v>
      </c>
    </row>
    <row r="3227" spans="1:10" ht="14.25" hidden="1" customHeight="1" x14ac:dyDescent="0.35">
      <c r="A3227" s="30"/>
      <c r="E3227" s="31"/>
      <c r="G3227" s="32" t="str">
        <f t="shared" si="100"/>
        <v>|||1900|</v>
      </c>
      <c r="H3227" s="32" t="str">
        <f t="shared" si="101"/>
        <v>||1900|</v>
      </c>
      <c r="I3227" s="32">
        <f>IF(G3227="",0,IF(COUNTIF($G$2:G3227,G3227)=1,1,0))</f>
        <v>0</v>
      </c>
      <c r="J3227" s="32">
        <f>IF(H3227="",0,IF(COUNTIF($H$2:H3227,H3227)=1,1,0))</f>
        <v>0</v>
      </c>
    </row>
    <row r="3228" spans="1:10" ht="14.25" hidden="1" customHeight="1" x14ac:dyDescent="0.35">
      <c r="A3228" s="30"/>
      <c r="E3228" s="31"/>
      <c r="G3228" s="32" t="str">
        <f t="shared" si="100"/>
        <v>|||1900|</v>
      </c>
      <c r="H3228" s="32" t="str">
        <f t="shared" si="101"/>
        <v>||1900|</v>
      </c>
      <c r="I3228" s="32">
        <f>IF(G3228="",0,IF(COUNTIF($G$2:G3228,G3228)=1,1,0))</f>
        <v>0</v>
      </c>
      <c r="J3228" s="32">
        <f>IF(H3228="",0,IF(COUNTIF($H$2:H3228,H3228)=1,1,0))</f>
        <v>0</v>
      </c>
    </row>
    <row r="3229" spans="1:10" ht="14.25" hidden="1" customHeight="1" x14ac:dyDescent="0.35">
      <c r="A3229" s="30"/>
      <c r="E3229" s="31"/>
      <c r="G3229" s="32" t="str">
        <f t="shared" si="100"/>
        <v>|||1900|</v>
      </c>
      <c r="H3229" s="32" t="str">
        <f t="shared" si="101"/>
        <v>||1900|</v>
      </c>
      <c r="I3229" s="32">
        <f>IF(G3229="",0,IF(COUNTIF($G$2:G3229,G3229)=1,1,0))</f>
        <v>0</v>
      </c>
      <c r="J3229" s="32">
        <f>IF(H3229="",0,IF(COUNTIF($H$2:H3229,H3229)=1,1,0))</f>
        <v>0</v>
      </c>
    </row>
    <row r="3230" spans="1:10" ht="14.25" hidden="1" customHeight="1" x14ac:dyDescent="0.35">
      <c r="A3230" s="30"/>
      <c r="E3230" s="31"/>
      <c r="G3230" s="32" t="str">
        <f t="shared" si="100"/>
        <v>|||1900|</v>
      </c>
      <c r="H3230" s="32" t="str">
        <f t="shared" si="101"/>
        <v>||1900|</v>
      </c>
      <c r="I3230" s="32">
        <f>IF(G3230="",0,IF(COUNTIF($G$2:G3230,G3230)=1,1,0))</f>
        <v>0</v>
      </c>
      <c r="J3230" s="32">
        <f>IF(H3230="",0,IF(COUNTIF($H$2:H3230,H3230)=1,1,0))</f>
        <v>0</v>
      </c>
    </row>
    <row r="3231" spans="1:10" ht="14.25" hidden="1" customHeight="1" x14ac:dyDescent="0.35">
      <c r="A3231" s="30"/>
      <c r="E3231" s="31"/>
      <c r="G3231" s="32" t="str">
        <f t="shared" si="100"/>
        <v>|||1900|</v>
      </c>
      <c r="H3231" s="32" t="str">
        <f t="shared" si="101"/>
        <v>||1900|</v>
      </c>
      <c r="I3231" s="32">
        <f>IF(G3231="",0,IF(COUNTIF($G$2:G3231,G3231)=1,1,0))</f>
        <v>0</v>
      </c>
      <c r="J3231" s="32">
        <f>IF(H3231="",0,IF(COUNTIF($H$2:H3231,H3231)=1,1,0))</f>
        <v>0</v>
      </c>
    </row>
    <row r="3232" spans="1:10" ht="14.25" hidden="1" customHeight="1" x14ac:dyDescent="0.35">
      <c r="A3232" s="30"/>
      <c r="E3232" s="31"/>
      <c r="G3232" s="32" t="str">
        <f t="shared" si="100"/>
        <v>|||1900|</v>
      </c>
      <c r="H3232" s="32" t="str">
        <f t="shared" si="101"/>
        <v>||1900|</v>
      </c>
      <c r="I3232" s="32">
        <f>IF(G3232="",0,IF(COUNTIF($G$2:G3232,G3232)=1,1,0))</f>
        <v>0</v>
      </c>
      <c r="J3232" s="32">
        <f>IF(H3232="",0,IF(COUNTIF($H$2:H3232,H3232)=1,1,0))</f>
        <v>0</v>
      </c>
    </row>
    <row r="3233" spans="1:10" ht="14.25" hidden="1" customHeight="1" x14ac:dyDescent="0.35">
      <c r="A3233" s="30"/>
      <c r="E3233" s="31"/>
      <c r="G3233" s="32" t="str">
        <f t="shared" si="100"/>
        <v>|||1900|</v>
      </c>
      <c r="H3233" s="32" t="str">
        <f t="shared" si="101"/>
        <v>||1900|</v>
      </c>
      <c r="I3233" s="32">
        <f>IF(G3233="",0,IF(COUNTIF($G$2:G3233,G3233)=1,1,0))</f>
        <v>0</v>
      </c>
      <c r="J3233" s="32">
        <f>IF(H3233="",0,IF(COUNTIF($H$2:H3233,H3233)=1,1,0))</f>
        <v>0</v>
      </c>
    </row>
    <row r="3234" spans="1:10" ht="14.25" hidden="1" customHeight="1" x14ac:dyDescent="0.35">
      <c r="A3234" s="30"/>
      <c r="E3234" s="31"/>
      <c r="G3234" s="32" t="str">
        <f t="shared" si="100"/>
        <v>|||1900|</v>
      </c>
      <c r="H3234" s="32" t="str">
        <f t="shared" si="101"/>
        <v>||1900|</v>
      </c>
      <c r="I3234" s="32">
        <f>IF(G3234="",0,IF(COUNTIF($G$2:G3234,G3234)=1,1,0))</f>
        <v>0</v>
      </c>
      <c r="J3234" s="32">
        <f>IF(H3234="",0,IF(COUNTIF($H$2:H3234,H3234)=1,1,0))</f>
        <v>0</v>
      </c>
    </row>
    <row r="3235" spans="1:10" ht="14.25" hidden="1" customHeight="1" x14ac:dyDescent="0.35">
      <c r="A3235" s="30"/>
      <c r="E3235" s="31"/>
      <c r="G3235" s="32" t="str">
        <f t="shared" si="100"/>
        <v>|||1900|</v>
      </c>
      <c r="H3235" s="32" t="str">
        <f t="shared" si="101"/>
        <v>||1900|</v>
      </c>
      <c r="I3235" s="32">
        <f>IF(G3235="",0,IF(COUNTIF($G$2:G3235,G3235)=1,1,0))</f>
        <v>0</v>
      </c>
      <c r="J3235" s="32">
        <f>IF(H3235="",0,IF(COUNTIF($H$2:H3235,H3235)=1,1,0))</f>
        <v>0</v>
      </c>
    </row>
    <row r="3236" spans="1:10" ht="14.25" hidden="1" customHeight="1" x14ac:dyDescent="0.35">
      <c r="A3236" s="30"/>
      <c r="E3236" s="31"/>
      <c r="G3236" s="32" t="str">
        <f t="shared" si="100"/>
        <v>|||1900|</v>
      </c>
      <c r="H3236" s="32" t="str">
        <f t="shared" si="101"/>
        <v>||1900|</v>
      </c>
      <c r="I3236" s="32">
        <f>IF(G3236="",0,IF(COUNTIF($G$2:G3236,G3236)=1,1,0))</f>
        <v>0</v>
      </c>
      <c r="J3236" s="32">
        <f>IF(H3236="",0,IF(COUNTIF($H$2:H3236,H3236)=1,1,0))</f>
        <v>0</v>
      </c>
    </row>
    <row r="3237" spans="1:10" ht="14.25" hidden="1" customHeight="1" x14ac:dyDescent="0.35">
      <c r="A3237" s="30"/>
      <c r="E3237" s="31"/>
      <c r="G3237" s="32" t="str">
        <f t="shared" si="100"/>
        <v>|||1900|</v>
      </c>
      <c r="H3237" s="32" t="str">
        <f t="shared" si="101"/>
        <v>||1900|</v>
      </c>
      <c r="I3237" s="32">
        <f>IF(G3237="",0,IF(COUNTIF($G$2:G3237,G3237)=1,1,0))</f>
        <v>0</v>
      </c>
      <c r="J3237" s="32">
        <f>IF(H3237="",0,IF(COUNTIF($H$2:H3237,H3237)=1,1,0))</f>
        <v>0</v>
      </c>
    </row>
    <row r="3238" spans="1:10" ht="14.25" hidden="1" customHeight="1" x14ac:dyDescent="0.35">
      <c r="A3238" s="30"/>
      <c r="E3238" s="31"/>
      <c r="G3238" s="32" t="str">
        <f t="shared" si="100"/>
        <v>|||1900|</v>
      </c>
      <c r="H3238" s="32" t="str">
        <f t="shared" si="101"/>
        <v>||1900|</v>
      </c>
      <c r="I3238" s="32">
        <f>IF(G3238="",0,IF(COUNTIF($G$2:G3238,G3238)=1,1,0))</f>
        <v>0</v>
      </c>
      <c r="J3238" s="32">
        <f>IF(H3238="",0,IF(COUNTIF($H$2:H3238,H3238)=1,1,0))</f>
        <v>0</v>
      </c>
    </row>
    <row r="3239" spans="1:10" ht="14.25" hidden="1" customHeight="1" x14ac:dyDescent="0.35">
      <c r="A3239" s="30"/>
      <c r="E3239" s="31"/>
      <c r="G3239" s="32" t="str">
        <f t="shared" si="100"/>
        <v>|||1900|</v>
      </c>
      <c r="H3239" s="32" t="str">
        <f t="shared" si="101"/>
        <v>||1900|</v>
      </c>
      <c r="I3239" s="32">
        <f>IF(G3239="",0,IF(COUNTIF($G$2:G3239,G3239)=1,1,0))</f>
        <v>0</v>
      </c>
      <c r="J3239" s="32">
        <f>IF(H3239="",0,IF(COUNTIF($H$2:H3239,H3239)=1,1,0))</f>
        <v>0</v>
      </c>
    </row>
    <row r="3240" spans="1:10" ht="14.25" hidden="1" customHeight="1" x14ac:dyDescent="0.35">
      <c r="A3240" s="30"/>
      <c r="E3240" s="31"/>
      <c r="G3240" s="32" t="str">
        <f t="shared" si="100"/>
        <v>|||1900|</v>
      </c>
      <c r="H3240" s="32" t="str">
        <f t="shared" si="101"/>
        <v>||1900|</v>
      </c>
      <c r="I3240" s="32">
        <f>IF(G3240="",0,IF(COUNTIF($G$2:G3240,G3240)=1,1,0))</f>
        <v>0</v>
      </c>
      <c r="J3240" s="32">
        <f>IF(H3240="",0,IF(COUNTIF($H$2:H3240,H3240)=1,1,0))</f>
        <v>0</v>
      </c>
    </row>
    <row r="3241" spans="1:10" ht="14.25" hidden="1" customHeight="1" x14ac:dyDescent="0.35">
      <c r="A3241" s="30"/>
      <c r="E3241" s="31"/>
      <c r="G3241" s="32" t="str">
        <f t="shared" si="100"/>
        <v>|||1900|</v>
      </c>
      <c r="H3241" s="32" t="str">
        <f t="shared" si="101"/>
        <v>||1900|</v>
      </c>
      <c r="I3241" s="32">
        <f>IF(G3241="",0,IF(COUNTIF($G$2:G3241,G3241)=1,1,0))</f>
        <v>0</v>
      </c>
      <c r="J3241" s="32">
        <f>IF(H3241="",0,IF(COUNTIF($H$2:H3241,H3241)=1,1,0))</f>
        <v>0</v>
      </c>
    </row>
    <row r="3242" spans="1:10" ht="14.25" hidden="1" customHeight="1" x14ac:dyDescent="0.35">
      <c r="A3242" s="30"/>
      <c r="E3242" s="31"/>
      <c r="G3242" s="32" t="str">
        <f t="shared" si="100"/>
        <v>|||1900|</v>
      </c>
      <c r="H3242" s="32" t="str">
        <f t="shared" si="101"/>
        <v>||1900|</v>
      </c>
      <c r="I3242" s="32">
        <f>IF(G3242="",0,IF(COUNTIF($G$2:G3242,G3242)=1,1,0))</f>
        <v>0</v>
      </c>
      <c r="J3242" s="32">
        <f>IF(H3242="",0,IF(COUNTIF($H$2:H3242,H3242)=1,1,0))</f>
        <v>0</v>
      </c>
    </row>
    <row r="3243" spans="1:10" ht="14.25" hidden="1" customHeight="1" x14ac:dyDescent="0.35">
      <c r="A3243" s="30"/>
      <c r="E3243" s="31"/>
      <c r="G3243" s="32" t="str">
        <f t="shared" si="100"/>
        <v>|||1900|</v>
      </c>
      <c r="H3243" s="32" t="str">
        <f t="shared" si="101"/>
        <v>||1900|</v>
      </c>
      <c r="I3243" s="32">
        <f>IF(G3243="",0,IF(COUNTIF($G$2:G3243,G3243)=1,1,0))</f>
        <v>0</v>
      </c>
      <c r="J3243" s="32">
        <f>IF(H3243="",0,IF(COUNTIF($H$2:H3243,H3243)=1,1,0))</f>
        <v>0</v>
      </c>
    </row>
    <row r="3244" spans="1:10" ht="14.25" hidden="1" customHeight="1" x14ac:dyDescent="0.35">
      <c r="A3244" s="30"/>
      <c r="E3244" s="31"/>
      <c r="G3244" s="32" t="str">
        <f t="shared" si="100"/>
        <v>|||1900|</v>
      </c>
      <c r="H3244" s="32" t="str">
        <f t="shared" si="101"/>
        <v>||1900|</v>
      </c>
      <c r="I3244" s="32">
        <f>IF(G3244="",0,IF(COUNTIF($G$2:G3244,G3244)=1,1,0))</f>
        <v>0</v>
      </c>
      <c r="J3244" s="32">
        <f>IF(H3244="",0,IF(COUNTIF($H$2:H3244,H3244)=1,1,0))</f>
        <v>0</v>
      </c>
    </row>
    <row r="3245" spans="1:10" ht="14.25" hidden="1" customHeight="1" x14ac:dyDescent="0.35">
      <c r="A3245" s="30"/>
      <c r="E3245" s="31"/>
      <c r="G3245" s="32" t="str">
        <f t="shared" si="100"/>
        <v>|||1900|</v>
      </c>
      <c r="H3245" s="32" t="str">
        <f t="shared" si="101"/>
        <v>||1900|</v>
      </c>
      <c r="I3245" s="32">
        <f>IF(G3245="",0,IF(COUNTIF($G$2:G3245,G3245)=1,1,0))</f>
        <v>0</v>
      </c>
      <c r="J3245" s="32">
        <f>IF(H3245="",0,IF(COUNTIF($H$2:H3245,H3245)=1,1,0))</f>
        <v>0</v>
      </c>
    </row>
    <row r="3246" spans="1:10" ht="14.25" hidden="1" customHeight="1" x14ac:dyDescent="0.35">
      <c r="A3246" s="30"/>
      <c r="E3246" s="31"/>
      <c r="G3246" s="32" t="str">
        <f t="shared" si="100"/>
        <v>|||1900|</v>
      </c>
      <c r="H3246" s="32" t="str">
        <f t="shared" si="101"/>
        <v>||1900|</v>
      </c>
      <c r="I3246" s="32">
        <f>IF(G3246="",0,IF(COUNTIF($G$2:G3246,G3246)=1,1,0))</f>
        <v>0</v>
      </c>
      <c r="J3246" s="32">
        <f>IF(H3246="",0,IF(COUNTIF($H$2:H3246,H3246)=1,1,0))</f>
        <v>0</v>
      </c>
    </row>
    <row r="3247" spans="1:10" ht="14.25" hidden="1" customHeight="1" x14ac:dyDescent="0.35">
      <c r="A3247" s="30"/>
      <c r="E3247" s="31"/>
      <c r="G3247" s="32" t="str">
        <f t="shared" si="100"/>
        <v>|||1900|</v>
      </c>
      <c r="H3247" s="32" t="str">
        <f t="shared" si="101"/>
        <v>||1900|</v>
      </c>
      <c r="I3247" s="32">
        <f>IF(G3247="",0,IF(COUNTIF($G$2:G3247,G3247)=1,1,0))</f>
        <v>0</v>
      </c>
      <c r="J3247" s="32">
        <f>IF(H3247="",0,IF(COUNTIF($H$2:H3247,H3247)=1,1,0))</f>
        <v>0</v>
      </c>
    </row>
    <row r="3248" spans="1:10" ht="14.25" hidden="1" customHeight="1" x14ac:dyDescent="0.35">
      <c r="A3248" s="30"/>
      <c r="E3248" s="31"/>
      <c r="G3248" s="32" t="str">
        <f t="shared" si="100"/>
        <v>|||1900|</v>
      </c>
      <c r="H3248" s="32" t="str">
        <f t="shared" si="101"/>
        <v>||1900|</v>
      </c>
      <c r="I3248" s="32">
        <f>IF(G3248="",0,IF(COUNTIF($G$2:G3248,G3248)=1,1,0))</f>
        <v>0</v>
      </c>
      <c r="J3248" s="32">
        <f>IF(H3248="",0,IF(COUNTIF($H$2:H3248,H3248)=1,1,0))</f>
        <v>0</v>
      </c>
    </row>
    <row r="3249" spans="1:10" ht="14.25" hidden="1" customHeight="1" x14ac:dyDescent="0.35">
      <c r="A3249" s="30"/>
      <c r="E3249" s="31"/>
      <c r="G3249" s="32" t="str">
        <f t="shared" si="100"/>
        <v>|||1900|</v>
      </c>
      <c r="H3249" s="32" t="str">
        <f t="shared" si="101"/>
        <v>||1900|</v>
      </c>
      <c r="I3249" s="32">
        <f>IF(G3249="",0,IF(COUNTIF($G$2:G3249,G3249)=1,1,0))</f>
        <v>0</v>
      </c>
      <c r="J3249" s="32">
        <f>IF(H3249="",0,IF(COUNTIF($H$2:H3249,H3249)=1,1,0))</f>
        <v>0</v>
      </c>
    </row>
    <row r="3250" spans="1:10" ht="14.25" hidden="1" customHeight="1" x14ac:dyDescent="0.35">
      <c r="A3250" s="30"/>
      <c r="E3250" s="31"/>
      <c r="G3250" s="32" t="str">
        <f t="shared" si="100"/>
        <v>|||1900|</v>
      </c>
      <c r="H3250" s="32" t="str">
        <f t="shared" si="101"/>
        <v>||1900|</v>
      </c>
      <c r="I3250" s="32">
        <f>IF(G3250="",0,IF(COUNTIF($G$2:G3250,G3250)=1,1,0))</f>
        <v>0</v>
      </c>
      <c r="J3250" s="32">
        <f>IF(H3250="",0,IF(COUNTIF($H$2:H3250,H3250)=1,1,0))</f>
        <v>0</v>
      </c>
    </row>
    <row r="3251" spans="1:10" ht="14.25" hidden="1" customHeight="1" x14ac:dyDescent="0.35">
      <c r="A3251" s="30"/>
      <c r="E3251" s="31"/>
      <c r="G3251" s="32" t="str">
        <f t="shared" si="100"/>
        <v>|||1900|</v>
      </c>
      <c r="H3251" s="32" t="str">
        <f t="shared" si="101"/>
        <v>||1900|</v>
      </c>
      <c r="I3251" s="32">
        <f>IF(G3251="",0,IF(COUNTIF($G$2:G3251,G3251)=1,1,0))</f>
        <v>0</v>
      </c>
      <c r="J3251" s="32">
        <f>IF(H3251="",0,IF(COUNTIF($H$2:H3251,H3251)=1,1,0))</f>
        <v>0</v>
      </c>
    </row>
    <row r="3252" spans="1:10" ht="14.25" hidden="1" customHeight="1" x14ac:dyDescent="0.35">
      <c r="A3252" s="30"/>
      <c r="E3252" s="31"/>
      <c r="G3252" s="32" t="str">
        <f t="shared" si="100"/>
        <v>|||1900|</v>
      </c>
      <c r="H3252" s="32" t="str">
        <f t="shared" si="101"/>
        <v>||1900|</v>
      </c>
      <c r="I3252" s="32">
        <f>IF(G3252="",0,IF(COUNTIF($G$2:G3252,G3252)=1,1,0))</f>
        <v>0</v>
      </c>
      <c r="J3252" s="32">
        <f>IF(H3252="",0,IF(COUNTIF($H$2:H3252,H3252)=1,1,0))</f>
        <v>0</v>
      </c>
    </row>
    <row r="3253" spans="1:10" ht="14.25" hidden="1" customHeight="1" x14ac:dyDescent="0.35">
      <c r="A3253" s="30"/>
      <c r="E3253" s="31"/>
      <c r="G3253" s="32" t="str">
        <f t="shared" si="100"/>
        <v>|||1900|</v>
      </c>
      <c r="H3253" s="32" t="str">
        <f t="shared" si="101"/>
        <v>||1900|</v>
      </c>
      <c r="I3253" s="32">
        <f>IF(G3253="",0,IF(COUNTIF($G$2:G3253,G3253)=1,1,0))</f>
        <v>0</v>
      </c>
      <c r="J3253" s="32">
        <f>IF(H3253="",0,IF(COUNTIF($H$2:H3253,H3253)=1,1,0))</f>
        <v>0</v>
      </c>
    </row>
    <row r="3254" spans="1:10" ht="14.25" hidden="1" customHeight="1" x14ac:dyDescent="0.35">
      <c r="A3254" s="30"/>
      <c r="E3254" s="31"/>
      <c r="G3254" s="32" t="str">
        <f t="shared" si="100"/>
        <v>|||1900|</v>
      </c>
      <c r="H3254" s="32" t="str">
        <f t="shared" si="101"/>
        <v>||1900|</v>
      </c>
      <c r="I3254" s="32">
        <f>IF(G3254="",0,IF(COUNTIF($G$2:G3254,G3254)=1,1,0))</f>
        <v>0</v>
      </c>
      <c r="J3254" s="32">
        <f>IF(H3254="",0,IF(COUNTIF($H$2:H3254,H3254)=1,1,0))</f>
        <v>0</v>
      </c>
    </row>
    <row r="3255" spans="1:10" ht="14.25" hidden="1" customHeight="1" x14ac:dyDescent="0.35">
      <c r="A3255" s="30"/>
      <c r="E3255" s="31"/>
      <c r="G3255" s="32" t="str">
        <f t="shared" si="100"/>
        <v>|||1900|</v>
      </c>
      <c r="H3255" s="32" t="str">
        <f t="shared" si="101"/>
        <v>||1900|</v>
      </c>
      <c r="I3255" s="32">
        <f>IF(G3255="",0,IF(COUNTIF($G$2:G3255,G3255)=1,1,0))</f>
        <v>0</v>
      </c>
      <c r="J3255" s="32">
        <f>IF(H3255="",0,IF(COUNTIF($H$2:H3255,H3255)=1,1,0))</f>
        <v>0</v>
      </c>
    </row>
    <row r="3256" spans="1:10" ht="14.25" hidden="1" customHeight="1" x14ac:dyDescent="0.35">
      <c r="A3256" s="30"/>
      <c r="E3256" s="31"/>
      <c r="G3256" s="32" t="str">
        <f t="shared" si="100"/>
        <v>|||1900|</v>
      </c>
      <c r="H3256" s="32" t="str">
        <f t="shared" si="101"/>
        <v>||1900|</v>
      </c>
      <c r="I3256" s="32">
        <f>IF(G3256="",0,IF(COUNTIF($G$2:G3256,G3256)=1,1,0))</f>
        <v>0</v>
      </c>
      <c r="J3256" s="32">
        <f>IF(H3256="",0,IF(COUNTIF($H$2:H3256,H3256)=1,1,0))</f>
        <v>0</v>
      </c>
    </row>
    <row r="3257" spans="1:10" ht="14.25" hidden="1" customHeight="1" x14ac:dyDescent="0.35">
      <c r="A3257" s="30"/>
      <c r="E3257" s="31"/>
      <c r="G3257" s="32" t="str">
        <f t="shared" si="100"/>
        <v>|||1900|</v>
      </c>
      <c r="H3257" s="32" t="str">
        <f t="shared" si="101"/>
        <v>||1900|</v>
      </c>
      <c r="I3257" s="32">
        <f>IF(G3257="",0,IF(COUNTIF($G$2:G3257,G3257)=1,1,0))</f>
        <v>0</v>
      </c>
      <c r="J3257" s="32">
        <f>IF(H3257="",0,IF(COUNTIF($H$2:H3257,H3257)=1,1,0))</f>
        <v>0</v>
      </c>
    </row>
    <row r="3258" spans="1:10" ht="14.25" hidden="1" customHeight="1" x14ac:dyDescent="0.35">
      <c r="A3258" s="30"/>
      <c r="E3258" s="31"/>
      <c r="G3258" s="32" t="str">
        <f t="shared" si="100"/>
        <v>|||1900|</v>
      </c>
      <c r="H3258" s="32" t="str">
        <f t="shared" si="101"/>
        <v>||1900|</v>
      </c>
      <c r="I3258" s="32">
        <f>IF(G3258="",0,IF(COUNTIF($G$2:G3258,G3258)=1,1,0))</f>
        <v>0</v>
      </c>
      <c r="J3258" s="32">
        <f>IF(H3258="",0,IF(COUNTIF($H$2:H3258,H3258)=1,1,0))</f>
        <v>0</v>
      </c>
    </row>
    <row r="3259" spans="1:10" ht="14.25" hidden="1" customHeight="1" x14ac:dyDescent="0.35">
      <c r="A3259" s="30"/>
      <c r="E3259" s="31"/>
      <c r="G3259" s="32" t="str">
        <f t="shared" si="100"/>
        <v>|||1900|</v>
      </c>
      <c r="H3259" s="32" t="str">
        <f t="shared" si="101"/>
        <v>||1900|</v>
      </c>
      <c r="I3259" s="32">
        <f>IF(G3259="",0,IF(COUNTIF($G$2:G3259,G3259)=1,1,0))</f>
        <v>0</v>
      </c>
      <c r="J3259" s="32">
        <f>IF(H3259="",0,IF(COUNTIF($H$2:H3259,H3259)=1,1,0))</f>
        <v>0</v>
      </c>
    </row>
    <row r="3260" spans="1:10" ht="14.25" hidden="1" customHeight="1" x14ac:dyDescent="0.35">
      <c r="A3260" s="30"/>
      <c r="E3260" s="31"/>
      <c r="G3260" s="32" t="str">
        <f t="shared" si="100"/>
        <v>|||1900|</v>
      </c>
      <c r="H3260" s="32" t="str">
        <f t="shared" si="101"/>
        <v>||1900|</v>
      </c>
      <c r="I3260" s="32">
        <f>IF(G3260="",0,IF(COUNTIF($G$2:G3260,G3260)=1,1,0))</f>
        <v>0</v>
      </c>
      <c r="J3260" s="32">
        <f>IF(H3260="",0,IF(COUNTIF($H$2:H3260,H3260)=1,1,0))</f>
        <v>0</v>
      </c>
    </row>
    <row r="3261" spans="1:10" ht="14.25" hidden="1" customHeight="1" x14ac:dyDescent="0.35">
      <c r="A3261" s="30"/>
      <c r="E3261" s="31"/>
      <c r="G3261" s="32" t="str">
        <f t="shared" si="100"/>
        <v>|||1900|</v>
      </c>
      <c r="H3261" s="32" t="str">
        <f t="shared" si="101"/>
        <v>||1900|</v>
      </c>
      <c r="I3261" s="32">
        <f>IF(G3261="",0,IF(COUNTIF($G$2:G3261,G3261)=1,1,0))</f>
        <v>0</v>
      </c>
      <c r="J3261" s="32">
        <f>IF(H3261="",0,IF(COUNTIF($H$2:H3261,H3261)=1,1,0))</f>
        <v>0</v>
      </c>
    </row>
    <row r="3262" spans="1:10" ht="14.25" hidden="1" customHeight="1" x14ac:dyDescent="0.35">
      <c r="A3262" s="30"/>
      <c r="E3262" s="31"/>
      <c r="G3262" s="32" t="str">
        <f t="shared" si="100"/>
        <v>|||1900|</v>
      </c>
      <c r="H3262" s="32" t="str">
        <f t="shared" si="101"/>
        <v>||1900|</v>
      </c>
      <c r="I3262" s="32">
        <f>IF(G3262="",0,IF(COUNTIF($G$2:G3262,G3262)=1,1,0))</f>
        <v>0</v>
      </c>
      <c r="J3262" s="32">
        <f>IF(H3262="",0,IF(COUNTIF($H$2:H3262,H3262)=1,1,0))</f>
        <v>0</v>
      </c>
    </row>
    <row r="3263" spans="1:10" ht="14.25" hidden="1" customHeight="1" x14ac:dyDescent="0.35">
      <c r="A3263" s="30"/>
      <c r="E3263" s="31"/>
      <c r="G3263" s="32" t="str">
        <f t="shared" si="100"/>
        <v>|||1900|</v>
      </c>
      <c r="H3263" s="32" t="str">
        <f t="shared" si="101"/>
        <v>||1900|</v>
      </c>
      <c r="I3263" s="32">
        <f>IF(G3263="",0,IF(COUNTIF($G$2:G3263,G3263)=1,1,0))</f>
        <v>0</v>
      </c>
      <c r="J3263" s="32">
        <f>IF(H3263="",0,IF(COUNTIF($H$2:H3263,H3263)=1,1,0))</f>
        <v>0</v>
      </c>
    </row>
    <row r="3264" spans="1:10" ht="14.25" hidden="1" customHeight="1" x14ac:dyDescent="0.35">
      <c r="A3264" s="30"/>
      <c r="E3264" s="31"/>
      <c r="G3264" s="32" t="str">
        <f t="shared" si="100"/>
        <v>|||1900|</v>
      </c>
      <c r="H3264" s="32" t="str">
        <f t="shared" si="101"/>
        <v>||1900|</v>
      </c>
      <c r="I3264" s="32">
        <f>IF(G3264="",0,IF(COUNTIF($G$2:G3264,G3264)=1,1,0))</f>
        <v>0</v>
      </c>
      <c r="J3264" s="32">
        <f>IF(H3264="",0,IF(COUNTIF($H$2:H3264,H3264)=1,1,0))</f>
        <v>0</v>
      </c>
    </row>
    <row r="3265" spans="1:10" ht="14.25" hidden="1" customHeight="1" x14ac:dyDescent="0.35">
      <c r="A3265" s="30"/>
      <c r="E3265" s="31"/>
      <c r="G3265" s="32" t="str">
        <f t="shared" si="100"/>
        <v>|||1900|</v>
      </c>
      <c r="H3265" s="32" t="str">
        <f t="shared" si="101"/>
        <v>||1900|</v>
      </c>
      <c r="I3265" s="32">
        <f>IF(G3265="",0,IF(COUNTIF($G$2:G3265,G3265)=1,1,0))</f>
        <v>0</v>
      </c>
      <c r="J3265" s="32">
        <f>IF(H3265="",0,IF(COUNTIF($H$2:H3265,H3265)=1,1,0))</f>
        <v>0</v>
      </c>
    </row>
    <row r="3266" spans="1:10" ht="14.25" hidden="1" customHeight="1" x14ac:dyDescent="0.35">
      <c r="A3266" s="30"/>
      <c r="E3266" s="31"/>
      <c r="G3266" s="32" t="str">
        <f t="shared" ref="G3266:G3329" si="102">IF(D3266="T",
E3266&amp;"|"&amp;F3266,
A3266&amp;"|"&amp;B3266&amp;"|"&amp;C3266&amp;"|"&amp;YEAR(E3266)&amp;"|"&amp;F3266)</f>
        <v>|||1900|</v>
      </c>
      <c r="H3266" s="32" t="str">
        <f t="shared" ref="H3266:H3329" si="103">A3266&amp;"|"&amp;C3266&amp;"|"&amp;YEAR(E3266)&amp;"|"&amp;F3266</f>
        <v>||1900|</v>
      </c>
      <c r="I3266" s="32">
        <f>IF(G3266="",0,IF(COUNTIF($G$2:G3266,G3266)=1,1,0))</f>
        <v>0</v>
      </c>
      <c r="J3266" s="32">
        <f>IF(H3266="",0,IF(COUNTIF($H$2:H3266,H3266)=1,1,0))</f>
        <v>0</v>
      </c>
    </row>
    <row r="3267" spans="1:10" ht="14.25" hidden="1" customHeight="1" x14ac:dyDescent="0.35">
      <c r="A3267" s="30"/>
      <c r="E3267" s="31"/>
      <c r="G3267" s="32" t="str">
        <f t="shared" si="102"/>
        <v>|||1900|</v>
      </c>
      <c r="H3267" s="32" t="str">
        <f t="shared" si="103"/>
        <v>||1900|</v>
      </c>
      <c r="I3267" s="32">
        <f>IF(G3267="",0,IF(COUNTIF($G$2:G3267,G3267)=1,1,0))</f>
        <v>0</v>
      </c>
      <c r="J3267" s="32">
        <f>IF(H3267="",0,IF(COUNTIF($H$2:H3267,H3267)=1,1,0))</f>
        <v>0</v>
      </c>
    </row>
    <row r="3268" spans="1:10" ht="14.25" hidden="1" customHeight="1" x14ac:dyDescent="0.35">
      <c r="A3268" s="30"/>
      <c r="E3268" s="31"/>
      <c r="G3268" s="32" t="str">
        <f t="shared" si="102"/>
        <v>|||1900|</v>
      </c>
      <c r="H3268" s="32" t="str">
        <f t="shared" si="103"/>
        <v>||1900|</v>
      </c>
      <c r="I3268" s="32">
        <f>IF(G3268="",0,IF(COUNTIF($G$2:G3268,G3268)=1,1,0))</f>
        <v>0</v>
      </c>
      <c r="J3268" s="32">
        <f>IF(H3268="",0,IF(COUNTIF($H$2:H3268,H3268)=1,1,0))</f>
        <v>0</v>
      </c>
    </row>
    <row r="3269" spans="1:10" ht="14.25" hidden="1" customHeight="1" x14ac:dyDescent="0.35">
      <c r="A3269" s="30"/>
      <c r="E3269" s="31"/>
      <c r="G3269" s="32" t="str">
        <f t="shared" si="102"/>
        <v>|||1900|</v>
      </c>
      <c r="H3269" s="32" t="str">
        <f t="shared" si="103"/>
        <v>||1900|</v>
      </c>
      <c r="I3269" s="32">
        <f>IF(G3269="",0,IF(COUNTIF($G$2:G3269,G3269)=1,1,0))</f>
        <v>0</v>
      </c>
      <c r="J3269" s="32">
        <f>IF(H3269="",0,IF(COUNTIF($H$2:H3269,H3269)=1,1,0))</f>
        <v>0</v>
      </c>
    </row>
    <row r="3270" spans="1:10" ht="14.25" hidden="1" customHeight="1" x14ac:dyDescent="0.35">
      <c r="A3270" s="30"/>
      <c r="E3270" s="31"/>
      <c r="G3270" s="32" t="str">
        <f t="shared" si="102"/>
        <v>|||1900|</v>
      </c>
      <c r="H3270" s="32" t="str">
        <f t="shared" si="103"/>
        <v>||1900|</v>
      </c>
      <c r="I3270" s="32">
        <f>IF(G3270="",0,IF(COUNTIF($G$2:G3270,G3270)=1,1,0))</f>
        <v>0</v>
      </c>
      <c r="J3270" s="32">
        <f>IF(H3270="",0,IF(COUNTIF($H$2:H3270,H3270)=1,1,0))</f>
        <v>0</v>
      </c>
    </row>
    <row r="3271" spans="1:10" ht="14.25" hidden="1" customHeight="1" x14ac:dyDescent="0.35">
      <c r="A3271" s="30"/>
      <c r="E3271" s="31"/>
      <c r="G3271" s="32" t="str">
        <f t="shared" si="102"/>
        <v>|||1900|</v>
      </c>
      <c r="H3271" s="32" t="str">
        <f t="shared" si="103"/>
        <v>||1900|</v>
      </c>
      <c r="I3271" s="32">
        <f>IF(G3271="",0,IF(COUNTIF($G$2:G3271,G3271)=1,1,0))</f>
        <v>0</v>
      </c>
      <c r="J3271" s="32">
        <f>IF(H3271="",0,IF(COUNTIF($H$2:H3271,H3271)=1,1,0))</f>
        <v>0</v>
      </c>
    </row>
    <row r="3272" spans="1:10" ht="14.25" hidden="1" customHeight="1" x14ac:dyDescent="0.35">
      <c r="A3272" s="30"/>
      <c r="E3272" s="31"/>
      <c r="G3272" s="32" t="str">
        <f t="shared" si="102"/>
        <v>|||1900|</v>
      </c>
      <c r="H3272" s="32" t="str">
        <f t="shared" si="103"/>
        <v>||1900|</v>
      </c>
      <c r="I3272" s="32">
        <f>IF(G3272="",0,IF(COUNTIF($G$2:G3272,G3272)=1,1,0))</f>
        <v>0</v>
      </c>
      <c r="J3272" s="32">
        <f>IF(H3272="",0,IF(COUNTIF($H$2:H3272,H3272)=1,1,0))</f>
        <v>0</v>
      </c>
    </row>
    <row r="3273" spans="1:10" ht="14.25" hidden="1" customHeight="1" x14ac:dyDescent="0.35">
      <c r="A3273" s="30"/>
      <c r="E3273" s="31"/>
      <c r="G3273" s="32" t="str">
        <f t="shared" si="102"/>
        <v>|||1900|</v>
      </c>
      <c r="H3273" s="32" t="str">
        <f t="shared" si="103"/>
        <v>||1900|</v>
      </c>
      <c r="I3273" s="32">
        <f>IF(G3273="",0,IF(COUNTIF($G$2:G3273,G3273)=1,1,0))</f>
        <v>0</v>
      </c>
      <c r="J3273" s="32">
        <f>IF(H3273="",0,IF(COUNTIF($H$2:H3273,H3273)=1,1,0))</f>
        <v>0</v>
      </c>
    </row>
    <row r="3274" spans="1:10" ht="14.25" hidden="1" customHeight="1" x14ac:dyDescent="0.35">
      <c r="A3274" s="30"/>
      <c r="E3274" s="31"/>
      <c r="G3274" s="32" t="str">
        <f t="shared" si="102"/>
        <v>|||1900|</v>
      </c>
      <c r="H3274" s="32" t="str">
        <f t="shared" si="103"/>
        <v>||1900|</v>
      </c>
      <c r="I3274" s="32">
        <f>IF(G3274="",0,IF(COUNTIF($G$2:G3274,G3274)=1,1,0))</f>
        <v>0</v>
      </c>
      <c r="J3274" s="32">
        <f>IF(H3274="",0,IF(COUNTIF($H$2:H3274,H3274)=1,1,0))</f>
        <v>0</v>
      </c>
    </row>
    <row r="3275" spans="1:10" ht="14.25" hidden="1" customHeight="1" x14ac:dyDescent="0.35">
      <c r="A3275" s="30"/>
      <c r="E3275" s="31"/>
      <c r="G3275" s="32" t="str">
        <f t="shared" si="102"/>
        <v>|||1900|</v>
      </c>
      <c r="H3275" s="32" t="str">
        <f t="shared" si="103"/>
        <v>||1900|</v>
      </c>
      <c r="I3275" s="32">
        <f>IF(G3275="",0,IF(COUNTIF($G$2:G3275,G3275)=1,1,0))</f>
        <v>0</v>
      </c>
      <c r="J3275" s="32">
        <f>IF(H3275="",0,IF(COUNTIF($H$2:H3275,H3275)=1,1,0))</f>
        <v>0</v>
      </c>
    </row>
    <row r="3276" spans="1:10" ht="14.25" hidden="1" customHeight="1" x14ac:dyDescent="0.35">
      <c r="A3276" s="30"/>
      <c r="E3276" s="31"/>
      <c r="G3276" s="32" t="str">
        <f t="shared" si="102"/>
        <v>|||1900|</v>
      </c>
      <c r="H3276" s="32" t="str">
        <f t="shared" si="103"/>
        <v>||1900|</v>
      </c>
      <c r="I3276" s="32">
        <f>IF(G3276="",0,IF(COUNTIF($G$2:G3276,G3276)=1,1,0))</f>
        <v>0</v>
      </c>
      <c r="J3276" s="32">
        <f>IF(H3276="",0,IF(COUNTIF($H$2:H3276,H3276)=1,1,0))</f>
        <v>0</v>
      </c>
    </row>
    <row r="3277" spans="1:10" ht="14.25" hidden="1" customHeight="1" x14ac:dyDescent="0.35">
      <c r="A3277" s="30"/>
      <c r="E3277" s="31"/>
      <c r="G3277" s="32" t="str">
        <f t="shared" si="102"/>
        <v>|||1900|</v>
      </c>
      <c r="H3277" s="32" t="str">
        <f t="shared" si="103"/>
        <v>||1900|</v>
      </c>
      <c r="I3277" s="32">
        <f>IF(G3277="",0,IF(COUNTIF($G$2:G3277,G3277)=1,1,0))</f>
        <v>0</v>
      </c>
      <c r="J3277" s="32">
        <f>IF(H3277="",0,IF(COUNTIF($H$2:H3277,H3277)=1,1,0))</f>
        <v>0</v>
      </c>
    </row>
    <row r="3278" spans="1:10" ht="14.25" hidden="1" customHeight="1" x14ac:dyDescent="0.35">
      <c r="A3278" s="30"/>
      <c r="E3278" s="31"/>
      <c r="G3278" s="32" t="str">
        <f t="shared" si="102"/>
        <v>|||1900|</v>
      </c>
      <c r="H3278" s="32" t="str">
        <f t="shared" si="103"/>
        <v>||1900|</v>
      </c>
      <c r="I3278" s="32">
        <f>IF(G3278="",0,IF(COUNTIF($G$2:G3278,G3278)=1,1,0))</f>
        <v>0</v>
      </c>
      <c r="J3278" s="32">
        <f>IF(H3278="",0,IF(COUNTIF($H$2:H3278,H3278)=1,1,0))</f>
        <v>0</v>
      </c>
    </row>
    <row r="3279" spans="1:10" ht="14.25" hidden="1" customHeight="1" x14ac:dyDescent="0.35">
      <c r="A3279" s="30"/>
      <c r="E3279" s="31"/>
      <c r="G3279" s="32" t="str">
        <f t="shared" si="102"/>
        <v>|||1900|</v>
      </c>
      <c r="H3279" s="32" t="str">
        <f t="shared" si="103"/>
        <v>||1900|</v>
      </c>
      <c r="I3279" s="32">
        <f>IF(G3279="",0,IF(COUNTIF($G$2:G3279,G3279)=1,1,0))</f>
        <v>0</v>
      </c>
      <c r="J3279" s="32">
        <f>IF(H3279="",0,IF(COUNTIF($H$2:H3279,H3279)=1,1,0))</f>
        <v>0</v>
      </c>
    </row>
    <row r="3280" spans="1:10" ht="14.25" hidden="1" customHeight="1" x14ac:dyDescent="0.35">
      <c r="A3280" s="30"/>
      <c r="E3280" s="31"/>
      <c r="G3280" s="32" t="str">
        <f t="shared" si="102"/>
        <v>|||1900|</v>
      </c>
      <c r="H3280" s="32" t="str">
        <f t="shared" si="103"/>
        <v>||1900|</v>
      </c>
      <c r="I3280" s="32">
        <f>IF(G3280="",0,IF(COUNTIF($G$2:G3280,G3280)=1,1,0))</f>
        <v>0</v>
      </c>
      <c r="J3280" s="32">
        <f>IF(H3280="",0,IF(COUNTIF($H$2:H3280,H3280)=1,1,0))</f>
        <v>0</v>
      </c>
    </row>
    <row r="3281" spans="1:10" ht="14.25" hidden="1" customHeight="1" x14ac:dyDescent="0.35">
      <c r="A3281" s="30"/>
      <c r="E3281" s="31"/>
      <c r="G3281" s="32" t="str">
        <f t="shared" si="102"/>
        <v>|||1900|</v>
      </c>
      <c r="H3281" s="32" t="str">
        <f t="shared" si="103"/>
        <v>||1900|</v>
      </c>
      <c r="I3281" s="32">
        <f>IF(G3281="",0,IF(COUNTIF($G$2:G3281,G3281)=1,1,0))</f>
        <v>0</v>
      </c>
      <c r="J3281" s="32">
        <f>IF(H3281="",0,IF(COUNTIF($H$2:H3281,H3281)=1,1,0))</f>
        <v>0</v>
      </c>
    </row>
    <row r="3282" spans="1:10" ht="14.25" hidden="1" customHeight="1" x14ac:dyDescent="0.35">
      <c r="A3282" s="30"/>
      <c r="E3282" s="31"/>
      <c r="G3282" s="32" t="str">
        <f t="shared" si="102"/>
        <v>|||1900|</v>
      </c>
      <c r="H3282" s="32" t="str">
        <f t="shared" si="103"/>
        <v>||1900|</v>
      </c>
      <c r="I3282" s="32">
        <f>IF(G3282="",0,IF(COUNTIF($G$2:G3282,G3282)=1,1,0))</f>
        <v>0</v>
      </c>
      <c r="J3282" s="32">
        <f>IF(H3282="",0,IF(COUNTIF($H$2:H3282,H3282)=1,1,0))</f>
        <v>0</v>
      </c>
    </row>
    <row r="3283" spans="1:10" ht="14.25" hidden="1" customHeight="1" x14ac:dyDescent="0.35">
      <c r="A3283" s="30"/>
      <c r="E3283" s="31"/>
      <c r="G3283" s="32" t="str">
        <f t="shared" si="102"/>
        <v>|||1900|</v>
      </c>
      <c r="H3283" s="32" t="str">
        <f t="shared" si="103"/>
        <v>||1900|</v>
      </c>
      <c r="I3283" s="32">
        <f>IF(G3283="",0,IF(COUNTIF($G$2:G3283,G3283)=1,1,0))</f>
        <v>0</v>
      </c>
      <c r="J3283" s="32">
        <f>IF(H3283="",0,IF(COUNTIF($H$2:H3283,H3283)=1,1,0))</f>
        <v>0</v>
      </c>
    </row>
    <row r="3284" spans="1:10" ht="14.25" hidden="1" customHeight="1" x14ac:dyDescent="0.35">
      <c r="A3284" s="30"/>
      <c r="E3284" s="31"/>
      <c r="G3284" s="32" t="str">
        <f t="shared" si="102"/>
        <v>|||1900|</v>
      </c>
      <c r="H3284" s="32" t="str">
        <f t="shared" si="103"/>
        <v>||1900|</v>
      </c>
      <c r="I3284" s="32">
        <f>IF(G3284="",0,IF(COUNTIF($G$2:G3284,G3284)=1,1,0))</f>
        <v>0</v>
      </c>
      <c r="J3284" s="32">
        <f>IF(H3284="",0,IF(COUNTIF($H$2:H3284,H3284)=1,1,0))</f>
        <v>0</v>
      </c>
    </row>
    <row r="3285" spans="1:10" ht="14.25" hidden="1" customHeight="1" x14ac:dyDescent="0.35">
      <c r="A3285" s="30"/>
      <c r="E3285" s="31"/>
      <c r="G3285" s="32" t="str">
        <f t="shared" si="102"/>
        <v>|||1900|</v>
      </c>
      <c r="H3285" s="32" t="str">
        <f t="shared" si="103"/>
        <v>||1900|</v>
      </c>
      <c r="I3285" s="32">
        <f>IF(G3285="",0,IF(COUNTIF($G$2:G3285,G3285)=1,1,0))</f>
        <v>0</v>
      </c>
      <c r="J3285" s="32">
        <f>IF(H3285="",0,IF(COUNTIF($H$2:H3285,H3285)=1,1,0))</f>
        <v>0</v>
      </c>
    </row>
    <row r="3286" spans="1:10" ht="14.25" hidden="1" customHeight="1" x14ac:dyDescent="0.35">
      <c r="A3286" s="30"/>
      <c r="E3286" s="31"/>
      <c r="G3286" s="32" t="str">
        <f t="shared" si="102"/>
        <v>|||1900|</v>
      </c>
      <c r="H3286" s="32" t="str">
        <f t="shared" si="103"/>
        <v>||1900|</v>
      </c>
      <c r="I3286" s="32">
        <f>IF(G3286="",0,IF(COUNTIF($G$2:G3286,G3286)=1,1,0))</f>
        <v>0</v>
      </c>
      <c r="J3286" s="32">
        <f>IF(H3286="",0,IF(COUNTIF($H$2:H3286,H3286)=1,1,0))</f>
        <v>0</v>
      </c>
    </row>
    <row r="3287" spans="1:10" ht="14.25" hidden="1" customHeight="1" x14ac:dyDescent="0.35">
      <c r="A3287" s="30"/>
      <c r="E3287" s="31"/>
      <c r="G3287" s="32" t="str">
        <f t="shared" si="102"/>
        <v>|||1900|</v>
      </c>
      <c r="H3287" s="32" t="str">
        <f t="shared" si="103"/>
        <v>||1900|</v>
      </c>
      <c r="I3287" s="32">
        <f>IF(G3287="",0,IF(COUNTIF($G$2:G3287,G3287)=1,1,0))</f>
        <v>0</v>
      </c>
      <c r="J3287" s="32">
        <f>IF(H3287="",0,IF(COUNTIF($H$2:H3287,H3287)=1,1,0))</f>
        <v>0</v>
      </c>
    </row>
    <row r="3288" spans="1:10" ht="14.25" hidden="1" customHeight="1" x14ac:dyDescent="0.35">
      <c r="A3288" s="30"/>
      <c r="E3288" s="31"/>
      <c r="G3288" s="32" t="str">
        <f t="shared" si="102"/>
        <v>|||1900|</v>
      </c>
      <c r="H3288" s="32" t="str">
        <f t="shared" si="103"/>
        <v>||1900|</v>
      </c>
      <c r="I3288" s="32">
        <f>IF(G3288="",0,IF(COUNTIF($G$2:G3288,G3288)=1,1,0))</f>
        <v>0</v>
      </c>
      <c r="J3288" s="32">
        <f>IF(H3288="",0,IF(COUNTIF($H$2:H3288,H3288)=1,1,0))</f>
        <v>0</v>
      </c>
    </row>
    <row r="3289" spans="1:10" ht="14.25" hidden="1" customHeight="1" x14ac:dyDescent="0.35">
      <c r="A3289" s="30"/>
      <c r="E3289" s="31"/>
      <c r="G3289" s="32" t="str">
        <f t="shared" si="102"/>
        <v>|||1900|</v>
      </c>
      <c r="H3289" s="32" t="str">
        <f t="shared" si="103"/>
        <v>||1900|</v>
      </c>
      <c r="I3289" s="32">
        <f>IF(G3289="",0,IF(COUNTIF($G$2:G3289,G3289)=1,1,0))</f>
        <v>0</v>
      </c>
      <c r="J3289" s="32">
        <f>IF(H3289="",0,IF(COUNTIF($H$2:H3289,H3289)=1,1,0))</f>
        <v>0</v>
      </c>
    </row>
    <row r="3290" spans="1:10" ht="14.25" hidden="1" customHeight="1" x14ac:dyDescent="0.35">
      <c r="A3290" s="30"/>
      <c r="E3290" s="31"/>
      <c r="G3290" s="32" t="str">
        <f t="shared" si="102"/>
        <v>|||1900|</v>
      </c>
      <c r="H3290" s="32" t="str">
        <f t="shared" si="103"/>
        <v>||1900|</v>
      </c>
      <c r="I3290" s="32">
        <f>IF(G3290="",0,IF(COUNTIF($G$2:G3290,G3290)=1,1,0))</f>
        <v>0</v>
      </c>
      <c r="J3290" s="32">
        <f>IF(H3290="",0,IF(COUNTIF($H$2:H3290,H3290)=1,1,0))</f>
        <v>0</v>
      </c>
    </row>
    <row r="3291" spans="1:10" ht="14.25" hidden="1" customHeight="1" x14ac:dyDescent="0.35">
      <c r="A3291" s="30"/>
      <c r="E3291" s="31"/>
      <c r="G3291" s="32" t="str">
        <f t="shared" si="102"/>
        <v>|||1900|</v>
      </c>
      <c r="H3291" s="32" t="str">
        <f t="shared" si="103"/>
        <v>||1900|</v>
      </c>
      <c r="I3291" s="32">
        <f>IF(G3291="",0,IF(COUNTIF($G$2:G3291,G3291)=1,1,0))</f>
        <v>0</v>
      </c>
      <c r="J3291" s="32">
        <f>IF(H3291="",0,IF(COUNTIF($H$2:H3291,H3291)=1,1,0))</f>
        <v>0</v>
      </c>
    </row>
    <row r="3292" spans="1:10" ht="14.25" hidden="1" customHeight="1" x14ac:dyDescent="0.35">
      <c r="A3292" s="30"/>
      <c r="E3292" s="31"/>
      <c r="G3292" s="32" t="str">
        <f t="shared" si="102"/>
        <v>|||1900|</v>
      </c>
      <c r="H3292" s="32" t="str">
        <f t="shared" si="103"/>
        <v>||1900|</v>
      </c>
      <c r="I3292" s="32">
        <f>IF(G3292="",0,IF(COUNTIF($G$2:G3292,G3292)=1,1,0))</f>
        <v>0</v>
      </c>
      <c r="J3292" s="32">
        <f>IF(H3292="",0,IF(COUNTIF($H$2:H3292,H3292)=1,1,0))</f>
        <v>0</v>
      </c>
    </row>
    <row r="3293" spans="1:10" ht="14.25" hidden="1" customHeight="1" x14ac:dyDescent="0.35">
      <c r="A3293" s="30"/>
      <c r="E3293" s="31"/>
      <c r="G3293" s="32" t="str">
        <f t="shared" si="102"/>
        <v>|||1900|</v>
      </c>
      <c r="H3293" s="32" t="str">
        <f t="shared" si="103"/>
        <v>||1900|</v>
      </c>
      <c r="I3293" s="32">
        <f>IF(G3293="",0,IF(COUNTIF($G$2:G3293,G3293)=1,1,0))</f>
        <v>0</v>
      </c>
      <c r="J3293" s="32">
        <f>IF(H3293="",0,IF(COUNTIF($H$2:H3293,H3293)=1,1,0))</f>
        <v>0</v>
      </c>
    </row>
    <row r="3294" spans="1:10" ht="14.25" hidden="1" customHeight="1" x14ac:dyDescent="0.35">
      <c r="A3294" s="30"/>
      <c r="E3294" s="31"/>
      <c r="G3294" s="32" t="str">
        <f t="shared" si="102"/>
        <v>|||1900|</v>
      </c>
      <c r="H3294" s="32" t="str">
        <f t="shared" si="103"/>
        <v>||1900|</v>
      </c>
      <c r="I3294" s="32">
        <f>IF(G3294="",0,IF(COUNTIF($G$2:G3294,G3294)=1,1,0))</f>
        <v>0</v>
      </c>
      <c r="J3294" s="32">
        <f>IF(H3294="",0,IF(COUNTIF($H$2:H3294,H3294)=1,1,0))</f>
        <v>0</v>
      </c>
    </row>
    <row r="3295" spans="1:10" ht="14.25" hidden="1" customHeight="1" x14ac:dyDescent="0.35">
      <c r="A3295" s="30"/>
      <c r="E3295" s="31"/>
      <c r="G3295" s="32" t="str">
        <f t="shared" si="102"/>
        <v>|||1900|</v>
      </c>
      <c r="H3295" s="32" t="str">
        <f t="shared" si="103"/>
        <v>||1900|</v>
      </c>
      <c r="I3295" s="32">
        <f>IF(G3295="",0,IF(COUNTIF($G$2:G3295,G3295)=1,1,0))</f>
        <v>0</v>
      </c>
      <c r="J3295" s="32">
        <f>IF(H3295="",0,IF(COUNTIF($H$2:H3295,H3295)=1,1,0))</f>
        <v>0</v>
      </c>
    </row>
    <row r="3296" spans="1:10" ht="14.25" hidden="1" customHeight="1" x14ac:dyDescent="0.35">
      <c r="A3296" s="30"/>
      <c r="E3296" s="31"/>
      <c r="G3296" s="32" t="str">
        <f t="shared" si="102"/>
        <v>|||1900|</v>
      </c>
      <c r="H3296" s="32" t="str">
        <f t="shared" si="103"/>
        <v>||1900|</v>
      </c>
      <c r="I3296" s="32">
        <f>IF(G3296="",0,IF(COUNTIF($G$2:G3296,G3296)=1,1,0))</f>
        <v>0</v>
      </c>
      <c r="J3296" s="32">
        <f>IF(H3296="",0,IF(COUNTIF($H$2:H3296,H3296)=1,1,0))</f>
        <v>0</v>
      </c>
    </row>
    <row r="3297" spans="1:10" ht="14.25" hidden="1" customHeight="1" x14ac:dyDescent="0.35">
      <c r="A3297" s="30"/>
      <c r="E3297" s="31"/>
      <c r="G3297" s="32" t="str">
        <f t="shared" si="102"/>
        <v>|||1900|</v>
      </c>
      <c r="H3297" s="32" t="str">
        <f t="shared" si="103"/>
        <v>||1900|</v>
      </c>
      <c r="I3297" s="32">
        <f>IF(G3297="",0,IF(COUNTIF($G$2:G3297,G3297)=1,1,0))</f>
        <v>0</v>
      </c>
      <c r="J3297" s="32">
        <f>IF(H3297="",0,IF(COUNTIF($H$2:H3297,H3297)=1,1,0))</f>
        <v>0</v>
      </c>
    </row>
    <row r="3298" spans="1:10" ht="14.25" hidden="1" customHeight="1" x14ac:dyDescent="0.35">
      <c r="A3298" s="30"/>
      <c r="E3298" s="31"/>
      <c r="G3298" s="32" t="str">
        <f t="shared" si="102"/>
        <v>|||1900|</v>
      </c>
      <c r="H3298" s="32" t="str">
        <f t="shared" si="103"/>
        <v>||1900|</v>
      </c>
      <c r="I3298" s="32">
        <f>IF(G3298="",0,IF(COUNTIF($G$2:G3298,G3298)=1,1,0))</f>
        <v>0</v>
      </c>
      <c r="J3298" s="32">
        <f>IF(H3298="",0,IF(COUNTIF($H$2:H3298,H3298)=1,1,0))</f>
        <v>0</v>
      </c>
    </row>
    <row r="3299" spans="1:10" ht="14.25" hidden="1" customHeight="1" x14ac:dyDescent="0.35">
      <c r="A3299" s="30"/>
      <c r="E3299" s="31"/>
      <c r="G3299" s="32" t="str">
        <f t="shared" si="102"/>
        <v>|||1900|</v>
      </c>
      <c r="H3299" s="32" t="str">
        <f t="shared" si="103"/>
        <v>||1900|</v>
      </c>
      <c r="I3299" s="32">
        <f>IF(G3299="",0,IF(COUNTIF($G$2:G3299,G3299)=1,1,0))</f>
        <v>0</v>
      </c>
      <c r="J3299" s="32">
        <f>IF(H3299="",0,IF(COUNTIF($H$2:H3299,H3299)=1,1,0))</f>
        <v>0</v>
      </c>
    </row>
    <row r="3300" spans="1:10" ht="14.25" hidden="1" customHeight="1" x14ac:dyDescent="0.35">
      <c r="A3300" s="30"/>
      <c r="E3300" s="31"/>
      <c r="G3300" s="32" t="str">
        <f t="shared" si="102"/>
        <v>|||1900|</v>
      </c>
      <c r="H3300" s="32" t="str">
        <f t="shared" si="103"/>
        <v>||1900|</v>
      </c>
      <c r="I3300" s="32">
        <f>IF(G3300="",0,IF(COUNTIF($G$2:G3300,G3300)=1,1,0))</f>
        <v>0</v>
      </c>
      <c r="J3300" s="32">
        <f>IF(H3300="",0,IF(COUNTIF($H$2:H3300,H3300)=1,1,0))</f>
        <v>0</v>
      </c>
    </row>
    <row r="3301" spans="1:10" ht="14.25" hidden="1" customHeight="1" x14ac:dyDescent="0.35">
      <c r="A3301" s="30"/>
      <c r="E3301" s="31"/>
      <c r="G3301" s="32" t="str">
        <f t="shared" si="102"/>
        <v>|||1900|</v>
      </c>
      <c r="H3301" s="32" t="str">
        <f t="shared" si="103"/>
        <v>||1900|</v>
      </c>
      <c r="I3301" s="32">
        <f>IF(G3301="",0,IF(COUNTIF($G$2:G3301,G3301)=1,1,0))</f>
        <v>0</v>
      </c>
      <c r="J3301" s="32">
        <f>IF(H3301="",0,IF(COUNTIF($H$2:H3301,H3301)=1,1,0))</f>
        <v>0</v>
      </c>
    </row>
    <row r="3302" spans="1:10" ht="14.25" hidden="1" customHeight="1" x14ac:dyDescent="0.35">
      <c r="A3302" s="30"/>
      <c r="E3302" s="31"/>
      <c r="G3302" s="32" t="str">
        <f t="shared" si="102"/>
        <v>|||1900|</v>
      </c>
      <c r="H3302" s="32" t="str">
        <f t="shared" si="103"/>
        <v>||1900|</v>
      </c>
      <c r="I3302" s="32">
        <f>IF(G3302="",0,IF(COUNTIF($G$2:G3302,G3302)=1,1,0))</f>
        <v>0</v>
      </c>
      <c r="J3302" s="32">
        <f>IF(H3302="",0,IF(COUNTIF($H$2:H3302,H3302)=1,1,0))</f>
        <v>0</v>
      </c>
    </row>
    <row r="3303" spans="1:10" ht="14.25" hidden="1" customHeight="1" x14ac:dyDescent="0.35">
      <c r="A3303" s="30"/>
      <c r="E3303" s="31"/>
      <c r="G3303" s="32" t="str">
        <f t="shared" si="102"/>
        <v>|||1900|</v>
      </c>
      <c r="H3303" s="32" t="str">
        <f t="shared" si="103"/>
        <v>||1900|</v>
      </c>
      <c r="I3303" s="32">
        <f>IF(G3303="",0,IF(COUNTIF($G$2:G3303,G3303)=1,1,0))</f>
        <v>0</v>
      </c>
      <c r="J3303" s="32">
        <f>IF(H3303="",0,IF(COUNTIF($H$2:H3303,H3303)=1,1,0))</f>
        <v>0</v>
      </c>
    </row>
    <row r="3304" spans="1:10" ht="14.25" hidden="1" customHeight="1" x14ac:dyDescent="0.35">
      <c r="A3304" s="30"/>
      <c r="E3304" s="31"/>
      <c r="G3304" s="32" t="str">
        <f t="shared" si="102"/>
        <v>|||1900|</v>
      </c>
      <c r="H3304" s="32" t="str">
        <f t="shared" si="103"/>
        <v>||1900|</v>
      </c>
      <c r="I3304" s="32">
        <f>IF(G3304="",0,IF(COUNTIF($G$2:G3304,G3304)=1,1,0))</f>
        <v>0</v>
      </c>
      <c r="J3304" s="32">
        <f>IF(H3304="",0,IF(COUNTIF($H$2:H3304,H3304)=1,1,0))</f>
        <v>0</v>
      </c>
    </row>
    <row r="3305" spans="1:10" ht="14.25" hidden="1" customHeight="1" x14ac:dyDescent="0.35">
      <c r="A3305" s="30"/>
      <c r="E3305" s="31"/>
      <c r="G3305" s="32" t="str">
        <f t="shared" si="102"/>
        <v>|||1900|</v>
      </c>
      <c r="H3305" s="32" t="str">
        <f t="shared" si="103"/>
        <v>||1900|</v>
      </c>
      <c r="I3305" s="32">
        <f>IF(G3305="",0,IF(COUNTIF($G$2:G3305,G3305)=1,1,0))</f>
        <v>0</v>
      </c>
      <c r="J3305" s="32">
        <f>IF(H3305="",0,IF(COUNTIF($H$2:H3305,H3305)=1,1,0))</f>
        <v>0</v>
      </c>
    </row>
    <row r="3306" spans="1:10" ht="14.25" hidden="1" customHeight="1" x14ac:dyDescent="0.35">
      <c r="A3306" s="30"/>
      <c r="E3306" s="31"/>
      <c r="G3306" s="32" t="str">
        <f t="shared" si="102"/>
        <v>|||1900|</v>
      </c>
      <c r="H3306" s="32" t="str">
        <f t="shared" si="103"/>
        <v>||1900|</v>
      </c>
      <c r="I3306" s="32">
        <f>IF(G3306="",0,IF(COUNTIF($G$2:G3306,G3306)=1,1,0))</f>
        <v>0</v>
      </c>
      <c r="J3306" s="32">
        <f>IF(H3306="",0,IF(COUNTIF($H$2:H3306,H3306)=1,1,0))</f>
        <v>0</v>
      </c>
    </row>
    <row r="3307" spans="1:10" ht="14.25" hidden="1" customHeight="1" x14ac:dyDescent="0.35">
      <c r="A3307" s="30"/>
      <c r="E3307" s="31"/>
      <c r="G3307" s="32" t="str">
        <f t="shared" si="102"/>
        <v>|||1900|</v>
      </c>
      <c r="H3307" s="32" t="str">
        <f t="shared" si="103"/>
        <v>||1900|</v>
      </c>
      <c r="I3307" s="32">
        <f>IF(G3307="",0,IF(COUNTIF($G$2:G3307,G3307)=1,1,0))</f>
        <v>0</v>
      </c>
      <c r="J3307" s="32">
        <f>IF(H3307="",0,IF(COUNTIF($H$2:H3307,H3307)=1,1,0))</f>
        <v>0</v>
      </c>
    </row>
    <row r="3308" spans="1:10" ht="14.25" hidden="1" customHeight="1" x14ac:dyDescent="0.35">
      <c r="A3308" s="30"/>
      <c r="E3308" s="31"/>
      <c r="G3308" s="32" t="str">
        <f t="shared" si="102"/>
        <v>|||1900|</v>
      </c>
      <c r="H3308" s="32" t="str">
        <f t="shared" si="103"/>
        <v>||1900|</v>
      </c>
      <c r="I3308" s="32">
        <f>IF(G3308="",0,IF(COUNTIF($G$2:G3308,G3308)=1,1,0))</f>
        <v>0</v>
      </c>
      <c r="J3308" s="32">
        <f>IF(H3308="",0,IF(COUNTIF($H$2:H3308,H3308)=1,1,0))</f>
        <v>0</v>
      </c>
    </row>
    <row r="3309" spans="1:10" ht="14.25" hidden="1" customHeight="1" x14ac:dyDescent="0.35">
      <c r="A3309" s="30"/>
      <c r="E3309" s="31"/>
      <c r="G3309" s="32" t="str">
        <f t="shared" si="102"/>
        <v>|||1900|</v>
      </c>
      <c r="H3309" s="32" t="str">
        <f t="shared" si="103"/>
        <v>||1900|</v>
      </c>
      <c r="I3309" s="32">
        <f>IF(G3309="",0,IF(COUNTIF($G$2:G3309,G3309)=1,1,0))</f>
        <v>0</v>
      </c>
      <c r="J3309" s="32">
        <f>IF(H3309="",0,IF(COUNTIF($H$2:H3309,H3309)=1,1,0))</f>
        <v>0</v>
      </c>
    </row>
    <row r="3310" spans="1:10" ht="14.25" hidden="1" customHeight="1" x14ac:dyDescent="0.35">
      <c r="A3310" s="30"/>
      <c r="E3310" s="31"/>
      <c r="G3310" s="32" t="str">
        <f t="shared" si="102"/>
        <v>|||1900|</v>
      </c>
      <c r="H3310" s="32" t="str">
        <f t="shared" si="103"/>
        <v>||1900|</v>
      </c>
      <c r="I3310" s="32">
        <f>IF(G3310="",0,IF(COUNTIF($G$2:G3310,G3310)=1,1,0))</f>
        <v>0</v>
      </c>
      <c r="J3310" s="32">
        <f>IF(H3310="",0,IF(COUNTIF($H$2:H3310,H3310)=1,1,0))</f>
        <v>0</v>
      </c>
    </row>
    <row r="3311" spans="1:10" ht="14.25" hidden="1" customHeight="1" x14ac:dyDescent="0.35">
      <c r="A3311" s="30"/>
      <c r="E3311" s="31"/>
      <c r="G3311" s="32" t="str">
        <f t="shared" si="102"/>
        <v>|||1900|</v>
      </c>
      <c r="H3311" s="32" t="str">
        <f t="shared" si="103"/>
        <v>||1900|</v>
      </c>
      <c r="I3311" s="32">
        <f>IF(G3311="",0,IF(COUNTIF($G$2:G3311,G3311)=1,1,0))</f>
        <v>0</v>
      </c>
      <c r="J3311" s="32">
        <f>IF(H3311="",0,IF(COUNTIF($H$2:H3311,H3311)=1,1,0))</f>
        <v>0</v>
      </c>
    </row>
    <row r="3312" spans="1:10" ht="14.25" hidden="1" customHeight="1" x14ac:dyDescent="0.35">
      <c r="A3312" s="30"/>
      <c r="E3312" s="31"/>
      <c r="G3312" s="32" t="str">
        <f t="shared" si="102"/>
        <v>|||1900|</v>
      </c>
      <c r="H3312" s="32" t="str">
        <f t="shared" si="103"/>
        <v>||1900|</v>
      </c>
      <c r="I3312" s="32">
        <f>IF(G3312="",0,IF(COUNTIF($G$2:G3312,G3312)=1,1,0))</f>
        <v>0</v>
      </c>
      <c r="J3312" s="32">
        <f>IF(H3312="",0,IF(COUNTIF($H$2:H3312,H3312)=1,1,0))</f>
        <v>0</v>
      </c>
    </row>
    <row r="3313" spans="1:10" ht="14.25" hidden="1" customHeight="1" x14ac:dyDescent="0.35">
      <c r="A3313" s="30"/>
      <c r="E3313" s="31"/>
      <c r="G3313" s="32" t="str">
        <f t="shared" si="102"/>
        <v>|||1900|</v>
      </c>
      <c r="H3313" s="32" t="str">
        <f t="shared" si="103"/>
        <v>||1900|</v>
      </c>
      <c r="I3313" s="32">
        <f>IF(G3313="",0,IF(COUNTIF($G$2:G3313,G3313)=1,1,0))</f>
        <v>0</v>
      </c>
      <c r="J3313" s="32">
        <f>IF(H3313="",0,IF(COUNTIF($H$2:H3313,H3313)=1,1,0))</f>
        <v>0</v>
      </c>
    </row>
    <row r="3314" spans="1:10" ht="14.25" hidden="1" customHeight="1" x14ac:dyDescent="0.35">
      <c r="A3314" s="30"/>
      <c r="E3314" s="31"/>
      <c r="G3314" s="32" t="str">
        <f t="shared" si="102"/>
        <v>|||1900|</v>
      </c>
      <c r="H3314" s="32" t="str">
        <f t="shared" si="103"/>
        <v>||1900|</v>
      </c>
      <c r="I3314" s="32">
        <f>IF(G3314="",0,IF(COUNTIF($G$2:G3314,G3314)=1,1,0))</f>
        <v>0</v>
      </c>
      <c r="J3314" s="32">
        <f>IF(H3314="",0,IF(COUNTIF($H$2:H3314,H3314)=1,1,0))</f>
        <v>0</v>
      </c>
    </row>
    <row r="3315" spans="1:10" ht="14.25" hidden="1" customHeight="1" x14ac:dyDescent="0.35">
      <c r="A3315" s="30"/>
      <c r="E3315" s="31"/>
      <c r="G3315" s="32" t="str">
        <f t="shared" si="102"/>
        <v>|||1900|</v>
      </c>
      <c r="H3315" s="32" t="str">
        <f t="shared" si="103"/>
        <v>||1900|</v>
      </c>
      <c r="I3315" s="32">
        <f>IF(G3315="",0,IF(COUNTIF($G$2:G3315,G3315)=1,1,0))</f>
        <v>0</v>
      </c>
      <c r="J3315" s="32">
        <f>IF(H3315="",0,IF(COUNTIF($H$2:H3315,H3315)=1,1,0))</f>
        <v>0</v>
      </c>
    </row>
    <row r="3316" spans="1:10" ht="14.25" hidden="1" customHeight="1" x14ac:dyDescent="0.35">
      <c r="A3316" s="30"/>
      <c r="E3316" s="31"/>
      <c r="G3316" s="32" t="str">
        <f t="shared" si="102"/>
        <v>|||1900|</v>
      </c>
      <c r="H3316" s="32" t="str">
        <f t="shared" si="103"/>
        <v>||1900|</v>
      </c>
      <c r="I3316" s="32">
        <f>IF(G3316="",0,IF(COUNTIF($G$2:G3316,G3316)=1,1,0))</f>
        <v>0</v>
      </c>
      <c r="J3316" s="32">
        <f>IF(H3316="",0,IF(COUNTIF($H$2:H3316,H3316)=1,1,0))</f>
        <v>0</v>
      </c>
    </row>
    <row r="3317" spans="1:10" ht="14.25" hidden="1" customHeight="1" x14ac:dyDescent="0.35">
      <c r="A3317" s="30"/>
      <c r="E3317" s="31"/>
      <c r="G3317" s="32" t="str">
        <f t="shared" si="102"/>
        <v>|||1900|</v>
      </c>
      <c r="H3317" s="32" t="str">
        <f t="shared" si="103"/>
        <v>||1900|</v>
      </c>
      <c r="I3317" s="32">
        <f>IF(G3317="",0,IF(COUNTIF($G$2:G3317,G3317)=1,1,0))</f>
        <v>0</v>
      </c>
      <c r="J3317" s="32">
        <f>IF(H3317="",0,IF(COUNTIF($H$2:H3317,H3317)=1,1,0))</f>
        <v>0</v>
      </c>
    </row>
    <row r="3318" spans="1:10" ht="14.25" hidden="1" customHeight="1" x14ac:dyDescent="0.35">
      <c r="A3318" s="30"/>
      <c r="E3318" s="31"/>
      <c r="G3318" s="32" t="str">
        <f t="shared" si="102"/>
        <v>|||1900|</v>
      </c>
      <c r="H3318" s="32" t="str">
        <f t="shared" si="103"/>
        <v>||1900|</v>
      </c>
      <c r="I3318" s="32">
        <f>IF(G3318="",0,IF(COUNTIF($G$2:G3318,G3318)=1,1,0))</f>
        <v>0</v>
      </c>
      <c r="J3318" s="32">
        <f>IF(H3318="",0,IF(COUNTIF($H$2:H3318,H3318)=1,1,0))</f>
        <v>0</v>
      </c>
    </row>
    <row r="3319" spans="1:10" ht="14.25" hidden="1" customHeight="1" x14ac:dyDescent="0.35">
      <c r="A3319" s="30"/>
      <c r="E3319" s="31"/>
      <c r="G3319" s="32" t="str">
        <f t="shared" si="102"/>
        <v>|||1900|</v>
      </c>
      <c r="H3319" s="32" t="str">
        <f t="shared" si="103"/>
        <v>||1900|</v>
      </c>
      <c r="I3319" s="32">
        <f>IF(G3319="",0,IF(COUNTIF($G$2:G3319,G3319)=1,1,0))</f>
        <v>0</v>
      </c>
      <c r="J3319" s="32">
        <f>IF(H3319="",0,IF(COUNTIF($H$2:H3319,H3319)=1,1,0))</f>
        <v>0</v>
      </c>
    </row>
    <row r="3320" spans="1:10" ht="14.25" hidden="1" customHeight="1" x14ac:dyDescent="0.35">
      <c r="A3320" s="30"/>
      <c r="E3320" s="31"/>
      <c r="G3320" s="32" t="str">
        <f t="shared" si="102"/>
        <v>|||1900|</v>
      </c>
      <c r="H3320" s="32" t="str">
        <f t="shared" si="103"/>
        <v>||1900|</v>
      </c>
      <c r="I3320" s="32">
        <f>IF(G3320="",0,IF(COUNTIF($G$2:G3320,G3320)=1,1,0))</f>
        <v>0</v>
      </c>
      <c r="J3320" s="32">
        <f>IF(H3320="",0,IF(COUNTIF($H$2:H3320,H3320)=1,1,0))</f>
        <v>0</v>
      </c>
    </row>
    <row r="3321" spans="1:10" ht="14.25" hidden="1" customHeight="1" x14ac:dyDescent="0.35">
      <c r="A3321" s="30"/>
      <c r="E3321" s="31"/>
      <c r="G3321" s="32" t="str">
        <f t="shared" si="102"/>
        <v>|||1900|</v>
      </c>
      <c r="H3321" s="32" t="str">
        <f t="shared" si="103"/>
        <v>||1900|</v>
      </c>
      <c r="I3321" s="32">
        <f>IF(G3321="",0,IF(COUNTIF($G$2:G3321,G3321)=1,1,0))</f>
        <v>0</v>
      </c>
      <c r="J3321" s="32">
        <f>IF(H3321="",0,IF(COUNTIF($H$2:H3321,H3321)=1,1,0))</f>
        <v>0</v>
      </c>
    </row>
    <row r="3322" spans="1:10" ht="14.25" hidden="1" customHeight="1" x14ac:dyDescent="0.35">
      <c r="A3322" s="30"/>
      <c r="E3322" s="31"/>
      <c r="G3322" s="32" t="str">
        <f t="shared" si="102"/>
        <v>|||1900|</v>
      </c>
      <c r="H3322" s="32" t="str">
        <f t="shared" si="103"/>
        <v>||1900|</v>
      </c>
      <c r="I3322" s="32">
        <f>IF(G3322="",0,IF(COUNTIF($G$2:G3322,G3322)=1,1,0))</f>
        <v>0</v>
      </c>
      <c r="J3322" s="32">
        <f>IF(H3322="",0,IF(COUNTIF($H$2:H3322,H3322)=1,1,0))</f>
        <v>0</v>
      </c>
    </row>
    <row r="3323" spans="1:10" ht="14.25" hidden="1" customHeight="1" x14ac:dyDescent="0.35">
      <c r="A3323" s="30"/>
      <c r="E3323" s="31"/>
      <c r="G3323" s="32" t="str">
        <f t="shared" si="102"/>
        <v>|||1900|</v>
      </c>
      <c r="H3323" s="32" t="str">
        <f t="shared" si="103"/>
        <v>||1900|</v>
      </c>
      <c r="I3323" s="32">
        <f>IF(G3323="",0,IF(COUNTIF($G$2:G3323,G3323)=1,1,0))</f>
        <v>0</v>
      </c>
      <c r="J3323" s="32">
        <f>IF(H3323="",0,IF(COUNTIF($H$2:H3323,H3323)=1,1,0))</f>
        <v>0</v>
      </c>
    </row>
    <row r="3324" spans="1:10" ht="14.25" hidden="1" customHeight="1" x14ac:dyDescent="0.35">
      <c r="A3324" s="30"/>
      <c r="E3324" s="31"/>
      <c r="G3324" s="32" t="str">
        <f t="shared" si="102"/>
        <v>|||1900|</v>
      </c>
      <c r="H3324" s="32" t="str">
        <f t="shared" si="103"/>
        <v>||1900|</v>
      </c>
      <c r="I3324" s="32">
        <f>IF(G3324="",0,IF(COUNTIF($G$2:G3324,G3324)=1,1,0))</f>
        <v>0</v>
      </c>
      <c r="J3324" s="32">
        <f>IF(H3324="",0,IF(COUNTIF($H$2:H3324,H3324)=1,1,0))</f>
        <v>0</v>
      </c>
    </row>
    <row r="3325" spans="1:10" ht="14.25" hidden="1" customHeight="1" x14ac:dyDescent="0.35">
      <c r="A3325" s="30"/>
      <c r="E3325" s="31"/>
      <c r="G3325" s="32" t="str">
        <f t="shared" si="102"/>
        <v>|||1900|</v>
      </c>
      <c r="H3325" s="32" t="str">
        <f t="shared" si="103"/>
        <v>||1900|</v>
      </c>
      <c r="I3325" s="32">
        <f>IF(G3325="",0,IF(COUNTIF($G$2:G3325,G3325)=1,1,0))</f>
        <v>0</v>
      </c>
      <c r="J3325" s="32">
        <f>IF(H3325="",0,IF(COUNTIF($H$2:H3325,H3325)=1,1,0))</f>
        <v>0</v>
      </c>
    </row>
    <row r="3326" spans="1:10" ht="14.25" hidden="1" customHeight="1" x14ac:dyDescent="0.35">
      <c r="A3326" s="30"/>
      <c r="E3326" s="31"/>
      <c r="G3326" s="32" t="str">
        <f t="shared" si="102"/>
        <v>|||1900|</v>
      </c>
      <c r="H3326" s="32" t="str">
        <f t="shared" si="103"/>
        <v>||1900|</v>
      </c>
      <c r="I3326" s="32">
        <f>IF(G3326="",0,IF(COUNTIF($G$2:G3326,G3326)=1,1,0))</f>
        <v>0</v>
      </c>
      <c r="J3326" s="32">
        <f>IF(H3326="",0,IF(COUNTIF($H$2:H3326,H3326)=1,1,0))</f>
        <v>0</v>
      </c>
    </row>
    <row r="3327" spans="1:10" ht="14.25" hidden="1" customHeight="1" x14ac:dyDescent="0.35">
      <c r="A3327" s="30"/>
      <c r="E3327" s="31"/>
      <c r="G3327" s="32" t="str">
        <f t="shared" si="102"/>
        <v>|||1900|</v>
      </c>
      <c r="H3327" s="32" t="str">
        <f t="shared" si="103"/>
        <v>||1900|</v>
      </c>
      <c r="I3327" s="32">
        <f>IF(G3327="",0,IF(COUNTIF($G$2:G3327,G3327)=1,1,0))</f>
        <v>0</v>
      </c>
      <c r="J3327" s="32">
        <f>IF(H3327="",0,IF(COUNTIF($H$2:H3327,H3327)=1,1,0))</f>
        <v>0</v>
      </c>
    </row>
    <row r="3328" spans="1:10" ht="14.25" hidden="1" customHeight="1" x14ac:dyDescent="0.35">
      <c r="A3328" s="30"/>
      <c r="E3328" s="31"/>
      <c r="G3328" s="32" t="str">
        <f t="shared" si="102"/>
        <v>|||1900|</v>
      </c>
      <c r="H3328" s="32" t="str">
        <f t="shared" si="103"/>
        <v>||1900|</v>
      </c>
      <c r="I3328" s="32">
        <f>IF(G3328="",0,IF(COUNTIF($G$2:G3328,G3328)=1,1,0))</f>
        <v>0</v>
      </c>
      <c r="J3328" s="32">
        <f>IF(H3328="",0,IF(COUNTIF($H$2:H3328,H3328)=1,1,0))</f>
        <v>0</v>
      </c>
    </row>
    <row r="3329" spans="1:10" ht="14.25" hidden="1" customHeight="1" x14ac:dyDescent="0.35">
      <c r="A3329" s="30"/>
      <c r="E3329" s="31"/>
      <c r="G3329" s="32" t="str">
        <f t="shared" si="102"/>
        <v>|||1900|</v>
      </c>
      <c r="H3329" s="32" t="str">
        <f t="shared" si="103"/>
        <v>||1900|</v>
      </c>
      <c r="I3329" s="32">
        <f>IF(G3329="",0,IF(COUNTIF($G$2:G3329,G3329)=1,1,0))</f>
        <v>0</v>
      </c>
      <c r="J3329" s="32">
        <f>IF(H3329="",0,IF(COUNTIF($H$2:H3329,H3329)=1,1,0))</f>
        <v>0</v>
      </c>
    </row>
    <row r="3330" spans="1:10" ht="14.25" hidden="1" customHeight="1" x14ac:dyDescent="0.35">
      <c r="A3330" s="30"/>
      <c r="E3330" s="31"/>
      <c r="G3330" s="32" t="str">
        <f t="shared" ref="G3330:G3393" si="104">IF(D3330="T",
E3330&amp;"|"&amp;F3330,
A3330&amp;"|"&amp;B3330&amp;"|"&amp;C3330&amp;"|"&amp;YEAR(E3330)&amp;"|"&amp;F3330)</f>
        <v>|||1900|</v>
      </c>
      <c r="H3330" s="32" t="str">
        <f t="shared" ref="H3330:H3393" si="105">A3330&amp;"|"&amp;C3330&amp;"|"&amp;YEAR(E3330)&amp;"|"&amp;F3330</f>
        <v>||1900|</v>
      </c>
      <c r="I3330" s="32">
        <f>IF(G3330="",0,IF(COUNTIF($G$2:G3330,G3330)=1,1,0))</f>
        <v>0</v>
      </c>
      <c r="J3330" s="32">
        <f>IF(H3330="",0,IF(COUNTIF($H$2:H3330,H3330)=1,1,0))</f>
        <v>0</v>
      </c>
    </row>
    <row r="3331" spans="1:10" ht="14.25" hidden="1" customHeight="1" x14ac:dyDescent="0.35">
      <c r="A3331" s="30"/>
      <c r="E3331" s="31"/>
      <c r="G3331" s="32" t="str">
        <f t="shared" si="104"/>
        <v>|||1900|</v>
      </c>
      <c r="H3331" s="32" t="str">
        <f t="shared" si="105"/>
        <v>||1900|</v>
      </c>
      <c r="I3331" s="32">
        <f>IF(G3331="",0,IF(COUNTIF($G$2:G3331,G3331)=1,1,0))</f>
        <v>0</v>
      </c>
      <c r="J3331" s="32">
        <f>IF(H3331="",0,IF(COUNTIF($H$2:H3331,H3331)=1,1,0))</f>
        <v>0</v>
      </c>
    </row>
    <row r="3332" spans="1:10" ht="14.25" hidden="1" customHeight="1" x14ac:dyDescent="0.35">
      <c r="A3332" s="30"/>
      <c r="E3332" s="31"/>
      <c r="G3332" s="32" t="str">
        <f t="shared" si="104"/>
        <v>|||1900|</v>
      </c>
      <c r="H3332" s="32" t="str">
        <f t="shared" si="105"/>
        <v>||1900|</v>
      </c>
      <c r="I3332" s="32">
        <f>IF(G3332="",0,IF(COUNTIF($G$2:G3332,G3332)=1,1,0))</f>
        <v>0</v>
      </c>
      <c r="J3332" s="32">
        <f>IF(H3332="",0,IF(COUNTIF($H$2:H3332,H3332)=1,1,0))</f>
        <v>0</v>
      </c>
    </row>
    <row r="3333" spans="1:10" ht="14.25" hidden="1" customHeight="1" x14ac:dyDescent="0.35">
      <c r="A3333" s="30"/>
      <c r="E3333" s="31"/>
      <c r="G3333" s="32" t="str">
        <f t="shared" si="104"/>
        <v>|||1900|</v>
      </c>
      <c r="H3333" s="32" t="str">
        <f t="shared" si="105"/>
        <v>||1900|</v>
      </c>
      <c r="I3333" s="32">
        <f>IF(G3333="",0,IF(COUNTIF($G$2:G3333,G3333)=1,1,0))</f>
        <v>0</v>
      </c>
      <c r="J3333" s="32">
        <f>IF(H3333="",0,IF(COUNTIF($H$2:H3333,H3333)=1,1,0))</f>
        <v>0</v>
      </c>
    </row>
    <row r="3334" spans="1:10" ht="14.25" hidden="1" customHeight="1" x14ac:dyDescent="0.35">
      <c r="A3334" s="30"/>
      <c r="E3334" s="31"/>
      <c r="G3334" s="32" t="str">
        <f t="shared" si="104"/>
        <v>|||1900|</v>
      </c>
      <c r="H3334" s="32" t="str">
        <f t="shared" si="105"/>
        <v>||1900|</v>
      </c>
      <c r="I3334" s="32">
        <f>IF(G3334="",0,IF(COUNTIF($G$2:G3334,G3334)=1,1,0))</f>
        <v>0</v>
      </c>
      <c r="J3334" s="32">
        <f>IF(H3334="",0,IF(COUNTIF($H$2:H3334,H3334)=1,1,0))</f>
        <v>0</v>
      </c>
    </row>
    <row r="3335" spans="1:10" ht="14.25" hidden="1" customHeight="1" x14ac:dyDescent="0.35">
      <c r="A3335" s="30"/>
      <c r="E3335" s="31"/>
      <c r="G3335" s="32" t="str">
        <f t="shared" si="104"/>
        <v>|||1900|</v>
      </c>
      <c r="H3335" s="32" t="str">
        <f t="shared" si="105"/>
        <v>||1900|</v>
      </c>
      <c r="I3335" s="32">
        <f>IF(G3335="",0,IF(COUNTIF($G$2:G3335,G3335)=1,1,0))</f>
        <v>0</v>
      </c>
      <c r="J3335" s="32">
        <f>IF(H3335="",0,IF(COUNTIF($H$2:H3335,H3335)=1,1,0))</f>
        <v>0</v>
      </c>
    </row>
    <row r="3336" spans="1:10" ht="14.25" hidden="1" customHeight="1" x14ac:dyDescent="0.35">
      <c r="A3336" s="30"/>
      <c r="E3336" s="31"/>
      <c r="G3336" s="32" t="str">
        <f t="shared" si="104"/>
        <v>|||1900|</v>
      </c>
      <c r="H3336" s="32" t="str">
        <f t="shared" si="105"/>
        <v>||1900|</v>
      </c>
      <c r="I3336" s="32">
        <f>IF(G3336="",0,IF(COUNTIF($G$2:G3336,G3336)=1,1,0))</f>
        <v>0</v>
      </c>
      <c r="J3336" s="32">
        <f>IF(H3336="",0,IF(COUNTIF($H$2:H3336,H3336)=1,1,0))</f>
        <v>0</v>
      </c>
    </row>
    <row r="3337" spans="1:10" ht="14.25" hidden="1" customHeight="1" x14ac:dyDescent="0.35">
      <c r="A3337" s="30"/>
      <c r="E3337" s="31"/>
      <c r="G3337" s="32" t="str">
        <f t="shared" si="104"/>
        <v>|||1900|</v>
      </c>
      <c r="H3337" s="32" t="str">
        <f t="shared" si="105"/>
        <v>||1900|</v>
      </c>
      <c r="I3337" s="32">
        <f>IF(G3337="",0,IF(COUNTIF($G$2:G3337,G3337)=1,1,0))</f>
        <v>0</v>
      </c>
      <c r="J3337" s="32">
        <f>IF(H3337="",0,IF(COUNTIF($H$2:H3337,H3337)=1,1,0))</f>
        <v>0</v>
      </c>
    </row>
    <row r="3338" spans="1:10" ht="14.25" hidden="1" customHeight="1" x14ac:dyDescent="0.35">
      <c r="A3338" s="30"/>
      <c r="E3338" s="31"/>
      <c r="G3338" s="32" t="str">
        <f t="shared" si="104"/>
        <v>|||1900|</v>
      </c>
      <c r="H3338" s="32" t="str">
        <f t="shared" si="105"/>
        <v>||1900|</v>
      </c>
      <c r="I3338" s="32">
        <f>IF(G3338="",0,IF(COUNTIF($G$2:G3338,G3338)=1,1,0))</f>
        <v>0</v>
      </c>
      <c r="J3338" s="32">
        <f>IF(H3338="",0,IF(COUNTIF($H$2:H3338,H3338)=1,1,0))</f>
        <v>0</v>
      </c>
    </row>
    <row r="3339" spans="1:10" ht="14.25" hidden="1" customHeight="1" x14ac:dyDescent="0.35">
      <c r="A3339" s="30"/>
      <c r="E3339" s="31"/>
      <c r="G3339" s="32" t="str">
        <f t="shared" si="104"/>
        <v>|||1900|</v>
      </c>
      <c r="H3339" s="32" t="str">
        <f t="shared" si="105"/>
        <v>||1900|</v>
      </c>
      <c r="I3339" s="32">
        <f>IF(G3339="",0,IF(COUNTIF($G$2:G3339,G3339)=1,1,0))</f>
        <v>0</v>
      </c>
      <c r="J3339" s="32">
        <f>IF(H3339="",0,IF(COUNTIF($H$2:H3339,H3339)=1,1,0))</f>
        <v>0</v>
      </c>
    </row>
    <row r="3340" spans="1:10" ht="14.25" hidden="1" customHeight="1" x14ac:dyDescent="0.35">
      <c r="A3340" s="30"/>
      <c r="E3340" s="31"/>
      <c r="G3340" s="32" t="str">
        <f t="shared" si="104"/>
        <v>|||1900|</v>
      </c>
      <c r="H3340" s="32" t="str">
        <f t="shared" si="105"/>
        <v>||1900|</v>
      </c>
      <c r="I3340" s="32">
        <f>IF(G3340="",0,IF(COUNTIF($G$2:G3340,G3340)=1,1,0))</f>
        <v>0</v>
      </c>
      <c r="J3340" s="32">
        <f>IF(H3340="",0,IF(COUNTIF($H$2:H3340,H3340)=1,1,0))</f>
        <v>0</v>
      </c>
    </row>
    <row r="3341" spans="1:10" ht="14.25" hidden="1" customHeight="1" x14ac:dyDescent="0.35">
      <c r="A3341" s="30"/>
      <c r="E3341" s="31"/>
      <c r="G3341" s="32" t="str">
        <f t="shared" si="104"/>
        <v>|||1900|</v>
      </c>
      <c r="H3341" s="32" t="str">
        <f t="shared" si="105"/>
        <v>||1900|</v>
      </c>
      <c r="I3341" s="32">
        <f>IF(G3341="",0,IF(COUNTIF($G$2:G3341,G3341)=1,1,0))</f>
        <v>0</v>
      </c>
      <c r="J3341" s="32">
        <f>IF(H3341="",0,IF(COUNTIF($H$2:H3341,H3341)=1,1,0))</f>
        <v>0</v>
      </c>
    </row>
    <row r="3342" spans="1:10" ht="14.25" hidden="1" customHeight="1" x14ac:dyDescent="0.35">
      <c r="A3342" s="30"/>
      <c r="E3342" s="31"/>
      <c r="G3342" s="32" t="str">
        <f t="shared" si="104"/>
        <v>|||1900|</v>
      </c>
      <c r="H3342" s="32" t="str">
        <f t="shared" si="105"/>
        <v>||1900|</v>
      </c>
      <c r="I3342" s="32">
        <f>IF(G3342="",0,IF(COUNTIF($G$2:G3342,G3342)=1,1,0))</f>
        <v>0</v>
      </c>
      <c r="J3342" s="32">
        <f>IF(H3342="",0,IF(COUNTIF($H$2:H3342,H3342)=1,1,0))</f>
        <v>0</v>
      </c>
    </row>
    <row r="3343" spans="1:10" ht="14.25" hidden="1" customHeight="1" x14ac:dyDescent="0.35">
      <c r="A3343" s="30"/>
      <c r="E3343" s="31"/>
      <c r="G3343" s="32" t="str">
        <f t="shared" si="104"/>
        <v>|||1900|</v>
      </c>
      <c r="H3343" s="32" t="str">
        <f t="shared" si="105"/>
        <v>||1900|</v>
      </c>
      <c r="I3343" s="32">
        <f>IF(G3343="",0,IF(COUNTIF($G$2:G3343,G3343)=1,1,0))</f>
        <v>0</v>
      </c>
      <c r="J3343" s="32">
        <f>IF(H3343="",0,IF(COUNTIF($H$2:H3343,H3343)=1,1,0))</f>
        <v>0</v>
      </c>
    </row>
    <row r="3344" spans="1:10" ht="14.25" hidden="1" customHeight="1" x14ac:dyDescent="0.35">
      <c r="A3344" s="30"/>
      <c r="E3344" s="31"/>
      <c r="G3344" s="32" t="str">
        <f t="shared" si="104"/>
        <v>|||1900|</v>
      </c>
      <c r="H3344" s="32" t="str">
        <f t="shared" si="105"/>
        <v>||1900|</v>
      </c>
      <c r="I3344" s="32">
        <f>IF(G3344="",0,IF(COUNTIF($G$2:G3344,G3344)=1,1,0))</f>
        <v>0</v>
      </c>
      <c r="J3344" s="32">
        <f>IF(H3344="",0,IF(COUNTIF($H$2:H3344,H3344)=1,1,0))</f>
        <v>0</v>
      </c>
    </row>
    <row r="3345" spans="1:10" ht="14.25" hidden="1" customHeight="1" x14ac:dyDescent="0.35">
      <c r="A3345" s="30"/>
      <c r="E3345" s="31"/>
      <c r="G3345" s="32" t="str">
        <f t="shared" si="104"/>
        <v>|||1900|</v>
      </c>
      <c r="H3345" s="32" t="str">
        <f t="shared" si="105"/>
        <v>||1900|</v>
      </c>
      <c r="I3345" s="32">
        <f>IF(G3345="",0,IF(COUNTIF($G$2:G3345,G3345)=1,1,0))</f>
        <v>0</v>
      </c>
      <c r="J3345" s="32">
        <f>IF(H3345="",0,IF(COUNTIF($H$2:H3345,H3345)=1,1,0))</f>
        <v>0</v>
      </c>
    </row>
    <row r="3346" spans="1:10" ht="14.25" hidden="1" customHeight="1" x14ac:dyDescent="0.35">
      <c r="A3346" s="30"/>
      <c r="E3346" s="31"/>
      <c r="G3346" s="32" t="str">
        <f t="shared" si="104"/>
        <v>|||1900|</v>
      </c>
      <c r="H3346" s="32" t="str">
        <f t="shared" si="105"/>
        <v>||1900|</v>
      </c>
      <c r="I3346" s="32">
        <f>IF(G3346="",0,IF(COUNTIF($G$2:G3346,G3346)=1,1,0))</f>
        <v>0</v>
      </c>
      <c r="J3346" s="32">
        <f>IF(H3346="",0,IF(COUNTIF($H$2:H3346,H3346)=1,1,0))</f>
        <v>0</v>
      </c>
    </row>
    <row r="3347" spans="1:10" ht="14.25" hidden="1" customHeight="1" x14ac:dyDescent="0.35">
      <c r="A3347" s="30"/>
      <c r="E3347" s="31"/>
      <c r="G3347" s="32" t="str">
        <f t="shared" si="104"/>
        <v>|||1900|</v>
      </c>
      <c r="H3347" s="32" t="str">
        <f t="shared" si="105"/>
        <v>||1900|</v>
      </c>
      <c r="I3347" s="32">
        <f>IF(G3347="",0,IF(COUNTIF($G$2:G3347,G3347)=1,1,0))</f>
        <v>0</v>
      </c>
      <c r="J3347" s="32">
        <f>IF(H3347="",0,IF(COUNTIF($H$2:H3347,H3347)=1,1,0))</f>
        <v>0</v>
      </c>
    </row>
    <row r="3348" spans="1:10" ht="14.25" hidden="1" customHeight="1" x14ac:dyDescent="0.35">
      <c r="A3348" s="30"/>
      <c r="E3348" s="31"/>
      <c r="G3348" s="32" t="str">
        <f t="shared" si="104"/>
        <v>|||1900|</v>
      </c>
      <c r="H3348" s="32" t="str">
        <f t="shared" si="105"/>
        <v>||1900|</v>
      </c>
      <c r="I3348" s="32">
        <f>IF(G3348="",0,IF(COUNTIF($G$2:G3348,G3348)=1,1,0))</f>
        <v>0</v>
      </c>
      <c r="J3348" s="32">
        <f>IF(H3348="",0,IF(COUNTIF($H$2:H3348,H3348)=1,1,0))</f>
        <v>0</v>
      </c>
    </row>
    <row r="3349" spans="1:10" ht="14.25" hidden="1" customHeight="1" x14ac:dyDescent="0.35">
      <c r="A3349" s="30"/>
      <c r="E3349" s="31"/>
      <c r="G3349" s="32" t="str">
        <f t="shared" si="104"/>
        <v>|||1900|</v>
      </c>
      <c r="H3349" s="32" t="str">
        <f t="shared" si="105"/>
        <v>||1900|</v>
      </c>
      <c r="I3349" s="32">
        <f>IF(G3349="",0,IF(COUNTIF($G$2:G3349,G3349)=1,1,0))</f>
        <v>0</v>
      </c>
      <c r="J3349" s="32">
        <f>IF(H3349="",0,IF(COUNTIF($H$2:H3349,H3349)=1,1,0))</f>
        <v>0</v>
      </c>
    </row>
    <row r="3350" spans="1:10" ht="14.25" hidden="1" customHeight="1" x14ac:dyDescent="0.35">
      <c r="A3350" s="30"/>
      <c r="E3350" s="31"/>
      <c r="G3350" s="32" t="str">
        <f t="shared" si="104"/>
        <v>|||1900|</v>
      </c>
      <c r="H3350" s="32" t="str">
        <f t="shared" si="105"/>
        <v>||1900|</v>
      </c>
      <c r="I3350" s="32">
        <f>IF(G3350="",0,IF(COUNTIF($G$2:G3350,G3350)=1,1,0))</f>
        <v>0</v>
      </c>
      <c r="J3350" s="32">
        <f>IF(H3350="",0,IF(COUNTIF($H$2:H3350,H3350)=1,1,0))</f>
        <v>0</v>
      </c>
    </row>
    <row r="3351" spans="1:10" ht="14.25" hidden="1" customHeight="1" x14ac:dyDescent="0.35">
      <c r="A3351" s="30"/>
      <c r="E3351" s="31"/>
      <c r="G3351" s="32" t="str">
        <f t="shared" si="104"/>
        <v>|||1900|</v>
      </c>
      <c r="H3351" s="32" t="str">
        <f t="shared" si="105"/>
        <v>||1900|</v>
      </c>
      <c r="I3351" s="32">
        <f>IF(G3351="",0,IF(COUNTIF($G$2:G3351,G3351)=1,1,0))</f>
        <v>0</v>
      </c>
      <c r="J3351" s="32">
        <f>IF(H3351="",0,IF(COUNTIF($H$2:H3351,H3351)=1,1,0))</f>
        <v>0</v>
      </c>
    </row>
    <row r="3352" spans="1:10" ht="14.25" hidden="1" customHeight="1" x14ac:dyDescent="0.35">
      <c r="A3352" s="30"/>
      <c r="E3352" s="31"/>
      <c r="G3352" s="32" t="str">
        <f t="shared" si="104"/>
        <v>|||1900|</v>
      </c>
      <c r="H3352" s="32" t="str">
        <f t="shared" si="105"/>
        <v>||1900|</v>
      </c>
      <c r="I3352" s="32">
        <f>IF(G3352="",0,IF(COUNTIF($G$2:G3352,G3352)=1,1,0))</f>
        <v>0</v>
      </c>
      <c r="J3352" s="32">
        <f>IF(H3352="",0,IF(COUNTIF($H$2:H3352,H3352)=1,1,0))</f>
        <v>0</v>
      </c>
    </row>
    <row r="3353" spans="1:10" ht="14.25" hidden="1" customHeight="1" x14ac:dyDescent="0.35">
      <c r="A3353" s="30"/>
      <c r="E3353" s="31"/>
      <c r="G3353" s="32" t="str">
        <f t="shared" si="104"/>
        <v>|||1900|</v>
      </c>
      <c r="H3353" s="32" t="str">
        <f t="shared" si="105"/>
        <v>||1900|</v>
      </c>
      <c r="I3353" s="32">
        <f>IF(G3353="",0,IF(COUNTIF($G$2:G3353,G3353)=1,1,0))</f>
        <v>0</v>
      </c>
      <c r="J3353" s="32">
        <f>IF(H3353="",0,IF(COUNTIF($H$2:H3353,H3353)=1,1,0))</f>
        <v>0</v>
      </c>
    </row>
    <row r="3354" spans="1:10" ht="14.25" hidden="1" customHeight="1" x14ac:dyDescent="0.35">
      <c r="A3354" s="30"/>
      <c r="E3354" s="31"/>
      <c r="G3354" s="32" t="str">
        <f t="shared" si="104"/>
        <v>|||1900|</v>
      </c>
      <c r="H3354" s="32" t="str">
        <f t="shared" si="105"/>
        <v>||1900|</v>
      </c>
      <c r="I3354" s="32">
        <f>IF(G3354="",0,IF(COUNTIF($G$2:G3354,G3354)=1,1,0))</f>
        <v>0</v>
      </c>
      <c r="J3354" s="32">
        <f>IF(H3354="",0,IF(COUNTIF($H$2:H3354,H3354)=1,1,0))</f>
        <v>0</v>
      </c>
    </row>
    <row r="3355" spans="1:10" ht="14.25" hidden="1" customHeight="1" x14ac:dyDescent="0.35">
      <c r="A3355" s="30"/>
      <c r="E3355" s="31"/>
      <c r="G3355" s="32" t="str">
        <f t="shared" si="104"/>
        <v>|||1900|</v>
      </c>
      <c r="H3355" s="32" t="str">
        <f t="shared" si="105"/>
        <v>||1900|</v>
      </c>
      <c r="I3355" s="32">
        <f>IF(G3355="",0,IF(COUNTIF($G$2:G3355,G3355)=1,1,0))</f>
        <v>0</v>
      </c>
      <c r="J3355" s="32">
        <f>IF(H3355="",0,IF(COUNTIF($H$2:H3355,H3355)=1,1,0))</f>
        <v>0</v>
      </c>
    </row>
    <row r="3356" spans="1:10" ht="14.25" hidden="1" customHeight="1" x14ac:dyDescent="0.35">
      <c r="A3356" s="30"/>
      <c r="E3356" s="31"/>
      <c r="G3356" s="32" t="str">
        <f t="shared" si="104"/>
        <v>|||1900|</v>
      </c>
      <c r="H3356" s="32" t="str">
        <f t="shared" si="105"/>
        <v>||1900|</v>
      </c>
      <c r="I3356" s="32">
        <f>IF(G3356="",0,IF(COUNTIF($G$2:G3356,G3356)=1,1,0))</f>
        <v>0</v>
      </c>
      <c r="J3356" s="32">
        <f>IF(H3356="",0,IF(COUNTIF($H$2:H3356,H3356)=1,1,0))</f>
        <v>0</v>
      </c>
    </row>
    <row r="3357" spans="1:10" ht="14.25" hidden="1" customHeight="1" x14ac:dyDescent="0.35">
      <c r="A3357" s="30"/>
      <c r="E3357" s="31"/>
      <c r="G3357" s="32" t="str">
        <f t="shared" si="104"/>
        <v>|||1900|</v>
      </c>
      <c r="H3357" s="32" t="str">
        <f t="shared" si="105"/>
        <v>||1900|</v>
      </c>
      <c r="I3357" s="32">
        <f>IF(G3357="",0,IF(COUNTIF($G$2:G3357,G3357)=1,1,0))</f>
        <v>0</v>
      </c>
      <c r="J3357" s="32">
        <f>IF(H3357="",0,IF(COUNTIF($H$2:H3357,H3357)=1,1,0))</f>
        <v>0</v>
      </c>
    </row>
    <row r="3358" spans="1:10" ht="14.25" hidden="1" customHeight="1" x14ac:dyDescent="0.35">
      <c r="A3358" s="30"/>
      <c r="E3358" s="31"/>
      <c r="G3358" s="32" t="str">
        <f t="shared" si="104"/>
        <v>|||1900|</v>
      </c>
      <c r="H3358" s="32" t="str">
        <f t="shared" si="105"/>
        <v>||1900|</v>
      </c>
      <c r="I3358" s="32">
        <f>IF(G3358="",0,IF(COUNTIF($G$2:G3358,G3358)=1,1,0))</f>
        <v>0</v>
      </c>
      <c r="J3358" s="32">
        <f>IF(H3358="",0,IF(COUNTIF($H$2:H3358,H3358)=1,1,0))</f>
        <v>0</v>
      </c>
    </row>
    <row r="3359" spans="1:10" ht="14.25" hidden="1" customHeight="1" x14ac:dyDescent="0.35">
      <c r="A3359" s="30"/>
      <c r="E3359" s="31"/>
      <c r="G3359" s="32" t="str">
        <f t="shared" si="104"/>
        <v>|||1900|</v>
      </c>
      <c r="H3359" s="32" t="str">
        <f t="shared" si="105"/>
        <v>||1900|</v>
      </c>
      <c r="I3359" s="32">
        <f>IF(G3359="",0,IF(COUNTIF($G$2:G3359,G3359)=1,1,0))</f>
        <v>0</v>
      </c>
      <c r="J3359" s="32">
        <f>IF(H3359="",0,IF(COUNTIF($H$2:H3359,H3359)=1,1,0))</f>
        <v>0</v>
      </c>
    </row>
    <row r="3360" spans="1:10" ht="14.25" hidden="1" customHeight="1" x14ac:dyDescent="0.35">
      <c r="A3360" s="30"/>
      <c r="E3360" s="31"/>
      <c r="G3360" s="32" t="str">
        <f t="shared" si="104"/>
        <v>|||1900|</v>
      </c>
      <c r="H3360" s="32" t="str">
        <f t="shared" si="105"/>
        <v>||1900|</v>
      </c>
      <c r="I3360" s="32">
        <f>IF(G3360="",0,IF(COUNTIF($G$2:G3360,G3360)=1,1,0))</f>
        <v>0</v>
      </c>
      <c r="J3360" s="32">
        <f>IF(H3360="",0,IF(COUNTIF($H$2:H3360,H3360)=1,1,0))</f>
        <v>0</v>
      </c>
    </row>
    <row r="3361" spans="1:10" ht="14.25" hidden="1" customHeight="1" x14ac:dyDescent="0.35">
      <c r="A3361" s="30"/>
      <c r="E3361" s="31"/>
      <c r="G3361" s="32" t="str">
        <f t="shared" si="104"/>
        <v>|||1900|</v>
      </c>
      <c r="H3361" s="32" t="str">
        <f t="shared" si="105"/>
        <v>||1900|</v>
      </c>
      <c r="I3361" s="32">
        <f>IF(G3361="",0,IF(COUNTIF($G$2:G3361,G3361)=1,1,0))</f>
        <v>0</v>
      </c>
      <c r="J3361" s="32">
        <f>IF(H3361="",0,IF(COUNTIF($H$2:H3361,H3361)=1,1,0))</f>
        <v>0</v>
      </c>
    </row>
    <row r="3362" spans="1:10" ht="14.25" hidden="1" customHeight="1" x14ac:dyDescent="0.35">
      <c r="A3362" s="30"/>
      <c r="E3362" s="31"/>
      <c r="G3362" s="32" t="str">
        <f t="shared" si="104"/>
        <v>|||1900|</v>
      </c>
      <c r="H3362" s="32" t="str">
        <f t="shared" si="105"/>
        <v>||1900|</v>
      </c>
      <c r="I3362" s="32">
        <f>IF(G3362="",0,IF(COUNTIF($G$2:G3362,G3362)=1,1,0))</f>
        <v>0</v>
      </c>
      <c r="J3362" s="32">
        <f>IF(H3362="",0,IF(COUNTIF($H$2:H3362,H3362)=1,1,0))</f>
        <v>0</v>
      </c>
    </row>
    <row r="3363" spans="1:10" ht="14.25" hidden="1" customHeight="1" x14ac:dyDescent="0.35">
      <c r="A3363" s="30"/>
      <c r="E3363" s="31"/>
      <c r="G3363" s="32" t="str">
        <f t="shared" si="104"/>
        <v>|||1900|</v>
      </c>
      <c r="H3363" s="32" t="str">
        <f t="shared" si="105"/>
        <v>||1900|</v>
      </c>
      <c r="I3363" s="32">
        <f>IF(G3363="",0,IF(COUNTIF($G$2:G3363,G3363)=1,1,0))</f>
        <v>0</v>
      </c>
      <c r="J3363" s="32">
        <f>IF(H3363="",0,IF(COUNTIF($H$2:H3363,H3363)=1,1,0))</f>
        <v>0</v>
      </c>
    </row>
    <row r="3364" spans="1:10" ht="14.25" hidden="1" customHeight="1" x14ac:dyDescent="0.35">
      <c r="A3364" s="30"/>
      <c r="E3364" s="31"/>
      <c r="G3364" s="32" t="str">
        <f t="shared" si="104"/>
        <v>|||1900|</v>
      </c>
      <c r="H3364" s="32" t="str">
        <f t="shared" si="105"/>
        <v>||1900|</v>
      </c>
      <c r="I3364" s="32">
        <f>IF(G3364="",0,IF(COUNTIF($G$2:G3364,G3364)=1,1,0))</f>
        <v>0</v>
      </c>
      <c r="J3364" s="32">
        <f>IF(H3364="",0,IF(COUNTIF($H$2:H3364,H3364)=1,1,0))</f>
        <v>0</v>
      </c>
    </row>
    <row r="3365" spans="1:10" ht="14.25" hidden="1" customHeight="1" x14ac:dyDescent="0.35">
      <c r="A3365" s="30"/>
      <c r="E3365" s="31"/>
      <c r="G3365" s="32" t="str">
        <f t="shared" si="104"/>
        <v>|||1900|</v>
      </c>
      <c r="H3365" s="32" t="str">
        <f t="shared" si="105"/>
        <v>||1900|</v>
      </c>
      <c r="I3365" s="32">
        <f>IF(G3365="",0,IF(COUNTIF($G$2:G3365,G3365)=1,1,0))</f>
        <v>0</v>
      </c>
      <c r="J3365" s="32">
        <f>IF(H3365="",0,IF(COUNTIF($H$2:H3365,H3365)=1,1,0))</f>
        <v>0</v>
      </c>
    </row>
    <row r="3366" spans="1:10" ht="14.25" hidden="1" customHeight="1" x14ac:dyDescent="0.35">
      <c r="A3366" s="30"/>
      <c r="E3366" s="31"/>
      <c r="G3366" s="32" t="str">
        <f t="shared" si="104"/>
        <v>|||1900|</v>
      </c>
      <c r="H3366" s="32" t="str">
        <f t="shared" si="105"/>
        <v>||1900|</v>
      </c>
      <c r="I3366" s="32">
        <f>IF(G3366="",0,IF(COUNTIF($G$2:G3366,G3366)=1,1,0))</f>
        <v>0</v>
      </c>
      <c r="J3366" s="32">
        <f>IF(H3366="",0,IF(COUNTIF($H$2:H3366,H3366)=1,1,0))</f>
        <v>0</v>
      </c>
    </row>
    <row r="3367" spans="1:10" ht="14.25" hidden="1" customHeight="1" x14ac:dyDescent="0.35">
      <c r="A3367" s="30"/>
      <c r="E3367" s="31"/>
      <c r="G3367" s="32" t="str">
        <f t="shared" si="104"/>
        <v>|||1900|</v>
      </c>
      <c r="H3367" s="32" t="str">
        <f t="shared" si="105"/>
        <v>||1900|</v>
      </c>
      <c r="I3367" s="32">
        <f>IF(G3367="",0,IF(COUNTIF($G$2:G3367,G3367)=1,1,0))</f>
        <v>0</v>
      </c>
      <c r="J3367" s="32">
        <f>IF(H3367="",0,IF(COUNTIF($H$2:H3367,H3367)=1,1,0))</f>
        <v>0</v>
      </c>
    </row>
    <row r="3368" spans="1:10" ht="14.25" hidden="1" customHeight="1" x14ac:dyDescent="0.35">
      <c r="A3368" s="30"/>
      <c r="E3368" s="31"/>
      <c r="G3368" s="32" t="str">
        <f t="shared" si="104"/>
        <v>|||1900|</v>
      </c>
      <c r="H3368" s="32" t="str">
        <f t="shared" si="105"/>
        <v>||1900|</v>
      </c>
      <c r="I3368" s="32">
        <f>IF(G3368="",0,IF(COUNTIF($G$2:G3368,G3368)=1,1,0))</f>
        <v>0</v>
      </c>
      <c r="J3368" s="32">
        <f>IF(H3368="",0,IF(COUNTIF($H$2:H3368,H3368)=1,1,0))</f>
        <v>0</v>
      </c>
    </row>
    <row r="3369" spans="1:10" ht="14.25" hidden="1" customHeight="1" x14ac:dyDescent="0.35">
      <c r="A3369" s="30"/>
      <c r="E3369" s="31"/>
      <c r="G3369" s="32" t="str">
        <f t="shared" si="104"/>
        <v>|||1900|</v>
      </c>
      <c r="H3369" s="32" t="str">
        <f t="shared" si="105"/>
        <v>||1900|</v>
      </c>
      <c r="I3369" s="32">
        <f>IF(G3369="",0,IF(COUNTIF($G$2:G3369,G3369)=1,1,0))</f>
        <v>0</v>
      </c>
      <c r="J3369" s="32">
        <f>IF(H3369="",0,IF(COUNTIF($H$2:H3369,H3369)=1,1,0))</f>
        <v>0</v>
      </c>
    </row>
    <row r="3370" spans="1:10" ht="14.25" hidden="1" customHeight="1" x14ac:dyDescent="0.35">
      <c r="A3370" s="30"/>
      <c r="E3370" s="31"/>
      <c r="G3370" s="32" t="str">
        <f t="shared" si="104"/>
        <v>|||1900|</v>
      </c>
      <c r="H3370" s="32" t="str">
        <f t="shared" si="105"/>
        <v>||1900|</v>
      </c>
      <c r="I3370" s="32">
        <f>IF(G3370="",0,IF(COUNTIF($G$2:G3370,G3370)=1,1,0))</f>
        <v>0</v>
      </c>
      <c r="J3370" s="32">
        <f>IF(H3370="",0,IF(COUNTIF($H$2:H3370,H3370)=1,1,0))</f>
        <v>0</v>
      </c>
    </row>
    <row r="3371" spans="1:10" ht="14.25" hidden="1" customHeight="1" x14ac:dyDescent="0.35">
      <c r="A3371" s="30"/>
      <c r="E3371" s="31"/>
      <c r="G3371" s="32" t="str">
        <f t="shared" si="104"/>
        <v>|||1900|</v>
      </c>
      <c r="H3371" s="32" t="str">
        <f t="shared" si="105"/>
        <v>||1900|</v>
      </c>
      <c r="I3371" s="32">
        <f>IF(G3371="",0,IF(COUNTIF($G$2:G3371,G3371)=1,1,0))</f>
        <v>0</v>
      </c>
      <c r="J3371" s="32">
        <f>IF(H3371="",0,IF(COUNTIF($H$2:H3371,H3371)=1,1,0))</f>
        <v>0</v>
      </c>
    </row>
    <row r="3372" spans="1:10" ht="14.25" hidden="1" customHeight="1" x14ac:dyDescent="0.35">
      <c r="A3372" s="30"/>
      <c r="E3372" s="31"/>
      <c r="G3372" s="32" t="str">
        <f t="shared" si="104"/>
        <v>|||1900|</v>
      </c>
      <c r="H3372" s="32" t="str">
        <f t="shared" si="105"/>
        <v>||1900|</v>
      </c>
      <c r="I3372" s="32">
        <f>IF(G3372="",0,IF(COUNTIF($G$2:G3372,G3372)=1,1,0))</f>
        <v>0</v>
      </c>
      <c r="J3372" s="32">
        <f>IF(H3372="",0,IF(COUNTIF($H$2:H3372,H3372)=1,1,0))</f>
        <v>0</v>
      </c>
    </row>
    <row r="3373" spans="1:10" ht="14.25" hidden="1" customHeight="1" x14ac:dyDescent="0.35">
      <c r="A3373" s="30"/>
      <c r="E3373" s="31"/>
      <c r="G3373" s="32" t="str">
        <f t="shared" si="104"/>
        <v>|||1900|</v>
      </c>
      <c r="H3373" s="32" t="str">
        <f t="shared" si="105"/>
        <v>||1900|</v>
      </c>
      <c r="I3373" s="32">
        <f>IF(G3373="",0,IF(COUNTIF($G$2:G3373,G3373)=1,1,0))</f>
        <v>0</v>
      </c>
      <c r="J3373" s="32">
        <f>IF(H3373="",0,IF(COUNTIF($H$2:H3373,H3373)=1,1,0))</f>
        <v>0</v>
      </c>
    </row>
    <row r="3374" spans="1:10" ht="14.25" hidden="1" customHeight="1" x14ac:dyDescent="0.35">
      <c r="A3374" s="30"/>
      <c r="E3374" s="31"/>
      <c r="G3374" s="32" t="str">
        <f t="shared" si="104"/>
        <v>|||1900|</v>
      </c>
      <c r="H3374" s="32" t="str">
        <f t="shared" si="105"/>
        <v>||1900|</v>
      </c>
      <c r="I3374" s="32">
        <f>IF(G3374="",0,IF(COUNTIF($G$2:G3374,G3374)=1,1,0))</f>
        <v>0</v>
      </c>
      <c r="J3374" s="32">
        <f>IF(H3374="",0,IF(COUNTIF($H$2:H3374,H3374)=1,1,0))</f>
        <v>0</v>
      </c>
    </row>
    <row r="3375" spans="1:10" ht="14.25" hidden="1" customHeight="1" x14ac:dyDescent="0.35">
      <c r="A3375" s="30"/>
      <c r="E3375" s="31"/>
      <c r="G3375" s="32" t="str">
        <f t="shared" si="104"/>
        <v>|||1900|</v>
      </c>
      <c r="H3375" s="32" t="str">
        <f t="shared" si="105"/>
        <v>||1900|</v>
      </c>
      <c r="I3375" s="32">
        <f>IF(G3375="",0,IF(COUNTIF($G$2:G3375,G3375)=1,1,0))</f>
        <v>0</v>
      </c>
      <c r="J3375" s="32">
        <f>IF(H3375="",0,IF(COUNTIF($H$2:H3375,H3375)=1,1,0))</f>
        <v>0</v>
      </c>
    </row>
    <row r="3376" spans="1:10" ht="14.25" hidden="1" customHeight="1" x14ac:dyDescent="0.35">
      <c r="A3376" s="30"/>
      <c r="E3376" s="31"/>
      <c r="G3376" s="32" t="str">
        <f t="shared" si="104"/>
        <v>|||1900|</v>
      </c>
      <c r="H3376" s="32" t="str">
        <f t="shared" si="105"/>
        <v>||1900|</v>
      </c>
      <c r="I3376" s="32">
        <f>IF(G3376="",0,IF(COUNTIF($G$2:G3376,G3376)=1,1,0))</f>
        <v>0</v>
      </c>
      <c r="J3376" s="32">
        <f>IF(H3376="",0,IF(COUNTIF($H$2:H3376,H3376)=1,1,0))</f>
        <v>0</v>
      </c>
    </row>
    <row r="3377" spans="1:10" ht="14.25" hidden="1" customHeight="1" x14ac:dyDescent="0.35">
      <c r="A3377" s="30"/>
      <c r="E3377" s="31"/>
      <c r="G3377" s="32" t="str">
        <f t="shared" si="104"/>
        <v>|||1900|</v>
      </c>
      <c r="H3377" s="32" t="str">
        <f t="shared" si="105"/>
        <v>||1900|</v>
      </c>
      <c r="I3377" s="32">
        <f>IF(G3377="",0,IF(COUNTIF($G$2:G3377,G3377)=1,1,0))</f>
        <v>0</v>
      </c>
      <c r="J3377" s="32">
        <f>IF(H3377="",0,IF(COUNTIF($H$2:H3377,H3377)=1,1,0))</f>
        <v>0</v>
      </c>
    </row>
    <row r="3378" spans="1:10" ht="14.25" hidden="1" customHeight="1" x14ac:dyDescent="0.35">
      <c r="A3378" s="30"/>
      <c r="E3378" s="31"/>
      <c r="G3378" s="32" t="str">
        <f t="shared" si="104"/>
        <v>|||1900|</v>
      </c>
      <c r="H3378" s="32" t="str">
        <f t="shared" si="105"/>
        <v>||1900|</v>
      </c>
      <c r="I3378" s="32">
        <f>IF(G3378="",0,IF(COUNTIF($G$2:G3378,G3378)=1,1,0))</f>
        <v>0</v>
      </c>
      <c r="J3378" s="32">
        <f>IF(H3378="",0,IF(COUNTIF($H$2:H3378,H3378)=1,1,0))</f>
        <v>0</v>
      </c>
    </row>
    <row r="3379" spans="1:10" ht="14.25" hidden="1" customHeight="1" x14ac:dyDescent="0.35">
      <c r="A3379" s="30"/>
      <c r="E3379" s="31"/>
      <c r="G3379" s="32" t="str">
        <f t="shared" si="104"/>
        <v>|||1900|</v>
      </c>
      <c r="H3379" s="32" t="str">
        <f t="shared" si="105"/>
        <v>||1900|</v>
      </c>
      <c r="I3379" s="32">
        <f>IF(G3379="",0,IF(COUNTIF($G$2:G3379,G3379)=1,1,0))</f>
        <v>0</v>
      </c>
      <c r="J3379" s="32">
        <f>IF(H3379="",0,IF(COUNTIF($H$2:H3379,H3379)=1,1,0))</f>
        <v>0</v>
      </c>
    </row>
    <row r="3380" spans="1:10" ht="14.25" hidden="1" customHeight="1" x14ac:dyDescent="0.35">
      <c r="A3380" s="30"/>
      <c r="E3380" s="31"/>
      <c r="G3380" s="32" t="str">
        <f t="shared" si="104"/>
        <v>|||1900|</v>
      </c>
      <c r="H3380" s="32" t="str">
        <f t="shared" si="105"/>
        <v>||1900|</v>
      </c>
      <c r="I3380" s="32">
        <f>IF(G3380="",0,IF(COUNTIF($G$2:G3380,G3380)=1,1,0))</f>
        <v>0</v>
      </c>
      <c r="J3380" s="32">
        <f>IF(H3380="",0,IF(COUNTIF($H$2:H3380,H3380)=1,1,0))</f>
        <v>0</v>
      </c>
    </row>
    <row r="3381" spans="1:10" ht="14.25" hidden="1" customHeight="1" x14ac:dyDescent="0.35">
      <c r="A3381" s="30"/>
      <c r="E3381" s="31"/>
      <c r="G3381" s="32" t="str">
        <f t="shared" si="104"/>
        <v>|||1900|</v>
      </c>
      <c r="H3381" s="32" t="str">
        <f t="shared" si="105"/>
        <v>||1900|</v>
      </c>
      <c r="I3381" s="32">
        <f>IF(G3381="",0,IF(COUNTIF($G$2:G3381,G3381)=1,1,0))</f>
        <v>0</v>
      </c>
      <c r="J3381" s="32">
        <f>IF(H3381="",0,IF(COUNTIF($H$2:H3381,H3381)=1,1,0))</f>
        <v>0</v>
      </c>
    </row>
    <row r="3382" spans="1:10" ht="14.25" hidden="1" customHeight="1" x14ac:dyDescent="0.35">
      <c r="A3382" s="30"/>
      <c r="E3382" s="31"/>
      <c r="G3382" s="32" t="str">
        <f t="shared" si="104"/>
        <v>|||1900|</v>
      </c>
      <c r="H3382" s="32" t="str">
        <f t="shared" si="105"/>
        <v>||1900|</v>
      </c>
      <c r="I3382" s="32">
        <f>IF(G3382="",0,IF(COUNTIF($G$2:G3382,G3382)=1,1,0))</f>
        <v>0</v>
      </c>
      <c r="J3382" s="32">
        <f>IF(H3382="",0,IF(COUNTIF($H$2:H3382,H3382)=1,1,0))</f>
        <v>0</v>
      </c>
    </row>
    <row r="3383" spans="1:10" ht="14.25" hidden="1" customHeight="1" x14ac:dyDescent="0.35">
      <c r="A3383" s="30"/>
      <c r="E3383" s="31"/>
      <c r="G3383" s="32" t="str">
        <f t="shared" si="104"/>
        <v>|||1900|</v>
      </c>
      <c r="H3383" s="32" t="str">
        <f t="shared" si="105"/>
        <v>||1900|</v>
      </c>
      <c r="I3383" s="32">
        <f>IF(G3383="",0,IF(COUNTIF($G$2:G3383,G3383)=1,1,0))</f>
        <v>0</v>
      </c>
      <c r="J3383" s="32">
        <f>IF(H3383="",0,IF(COUNTIF($H$2:H3383,H3383)=1,1,0))</f>
        <v>0</v>
      </c>
    </row>
    <row r="3384" spans="1:10" ht="14.25" hidden="1" customHeight="1" x14ac:dyDescent="0.35">
      <c r="A3384" s="30"/>
      <c r="E3384" s="31"/>
      <c r="G3384" s="32" t="str">
        <f t="shared" si="104"/>
        <v>|||1900|</v>
      </c>
      <c r="H3384" s="32" t="str">
        <f t="shared" si="105"/>
        <v>||1900|</v>
      </c>
      <c r="I3384" s="32">
        <f>IF(G3384="",0,IF(COUNTIF($G$2:G3384,G3384)=1,1,0))</f>
        <v>0</v>
      </c>
      <c r="J3384" s="32">
        <f>IF(H3384="",0,IF(COUNTIF($H$2:H3384,H3384)=1,1,0))</f>
        <v>0</v>
      </c>
    </row>
    <row r="3385" spans="1:10" ht="14.25" hidden="1" customHeight="1" x14ac:dyDescent="0.35">
      <c r="A3385" s="30"/>
      <c r="E3385" s="31"/>
      <c r="G3385" s="32" t="str">
        <f t="shared" si="104"/>
        <v>|||1900|</v>
      </c>
      <c r="H3385" s="32" t="str">
        <f t="shared" si="105"/>
        <v>||1900|</v>
      </c>
      <c r="I3385" s="32">
        <f>IF(G3385="",0,IF(COUNTIF($G$2:G3385,G3385)=1,1,0))</f>
        <v>0</v>
      </c>
      <c r="J3385" s="32">
        <f>IF(H3385="",0,IF(COUNTIF($H$2:H3385,H3385)=1,1,0))</f>
        <v>0</v>
      </c>
    </row>
    <row r="3386" spans="1:10" ht="14.25" hidden="1" customHeight="1" x14ac:dyDescent="0.35">
      <c r="A3386" s="30"/>
      <c r="E3386" s="31"/>
      <c r="G3386" s="32" t="str">
        <f t="shared" si="104"/>
        <v>|||1900|</v>
      </c>
      <c r="H3386" s="32" t="str">
        <f t="shared" si="105"/>
        <v>||1900|</v>
      </c>
      <c r="I3386" s="32">
        <f>IF(G3386="",0,IF(COUNTIF($G$2:G3386,G3386)=1,1,0))</f>
        <v>0</v>
      </c>
      <c r="J3386" s="32">
        <f>IF(H3386="",0,IF(COUNTIF($H$2:H3386,H3386)=1,1,0))</f>
        <v>0</v>
      </c>
    </row>
    <row r="3387" spans="1:10" ht="14.25" hidden="1" customHeight="1" x14ac:dyDescent="0.35">
      <c r="A3387" s="30"/>
      <c r="E3387" s="31"/>
      <c r="G3387" s="32" t="str">
        <f t="shared" si="104"/>
        <v>|||1900|</v>
      </c>
      <c r="H3387" s="32" t="str">
        <f t="shared" si="105"/>
        <v>||1900|</v>
      </c>
      <c r="I3387" s="32">
        <f>IF(G3387="",0,IF(COUNTIF($G$2:G3387,G3387)=1,1,0))</f>
        <v>0</v>
      </c>
      <c r="J3387" s="32">
        <f>IF(H3387="",0,IF(COUNTIF($H$2:H3387,H3387)=1,1,0))</f>
        <v>0</v>
      </c>
    </row>
    <row r="3388" spans="1:10" ht="14.25" hidden="1" customHeight="1" x14ac:dyDescent="0.35">
      <c r="A3388" s="30"/>
      <c r="E3388" s="31"/>
      <c r="G3388" s="32" t="str">
        <f t="shared" si="104"/>
        <v>|||1900|</v>
      </c>
      <c r="H3388" s="32" t="str">
        <f t="shared" si="105"/>
        <v>||1900|</v>
      </c>
      <c r="I3388" s="32">
        <f>IF(G3388="",0,IF(COUNTIF($G$2:G3388,G3388)=1,1,0))</f>
        <v>0</v>
      </c>
      <c r="J3388" s="32">
        <f>IF(H3388="",0,IF(COUNTIF($H$2:H3388,H3388)=1,1,0))</f>
        <v>0</v>
      </c>
    </row>
    <row r="3389" spans="1:10" ht="14.25" hidden="1" customHeight="1" x14ac:dyDescent="0.35">
      <c r="A3389" s="30"/>
      <c r="E3389" s="31"/>
      <c r="G3389" s="32" t="str">
        <f t="shared" si="104"/>
        <v>|||1900|</v>
      </c>
      <c r="H3389" s="32" t="str">
        <f t="shared" si="105"/>
        <v>||1900|</v>
      </c>
      <c r="I3389" s="32">
        <f>IF(G3389="",0,IF(COUNTIF($G$2:G3389,G3389)=1,1,0))</f>
        <v>0</v>
      </c>
      <c r="J3389" s="32">
        <f>IF(H3389="",0,IF(COUNTIF($H$2:H3389,H3389)=1,1,0))</f>
        <v>0</v>
      </c>
    </row>
    <row r="3390" spans="1:10" ht="14.25" hidden="1" customHeight="1" x14ac:dyDescent="0.35">
      <c r="A3390" s="30"/>
      <c r="E3390" s="31"/>
      <c r="G3390" s="32" t="str">
        <f t="shared" si="104"/>
        <v>|||1900|</v>
      </c>
      <c r="H3390" s="32" t="str">
        <f t="shared" si="105"/>
        <v>||1900|</v>
      </c>
      <c r="I3390" s="32">
        <f>IF(G3390="",0,IF(COUNTIF($G$2:G3390,G3390)=1,1,0))</f>
        <v>0</v>
      </c>
      <c r="J3390" s="32">
        <f>IF(H3390="",0,IF(COUNTIF($H$2:H3390,H3390)=1,1,0))</f>
        <v>0</v>
      </c>
    </row>
    <row r="3391" spans="1:10" ht="14.25" hidden="1" customHeight="1" x14ac:dyDescent="0.35">
      <c r="A3391" s="30"/>
      <c r="E3391" s="31"/>
      <c r="G3391" s="32" t="str">
        <f t="shared" si="104"/>
        <v>|||1900|</v>
      </c>
      <c r="H3391" s="32" t="str">
        <f t="shared" si="105"/>
        <v>||1900|</v>
      </c>
      <c r="I3391" s="32">
        <f>IF(G3391="",0,IF(COUNTIF($G$2:G3391,G3391)=1,1,0))</f>
        <v>0</v>
      </c>
      <c r="J3391" s="32">
        <f>IF(H3391="",0,IF(COUNTIF($H$2:H3391,H3391)=1,1,0))</f>
        <v>0</v>
      </c>
    </row>
    <row r="3392" spans="1:10" ht="14.25" hidden="1" customHeight="1" x14ac:dyDescent="0.35">
      <c r="A3392" s="30"/>
      <c r="E3392" s="31"/>
      <c r="G3392" s="32" t="str">
        <f t="shared" si="104"/>
        <v>|||1900|</v>
      </c>
      <c r="H3392" s="32" t="str">
        <f t="shared" si="105"/>
        <v>||1900|</v>
      </c>
      <c r="I3392" s="32">
        <f>IF(G3392="",0,IF(COUNTIF($G$2:G3392,G3392)=1,1,0))</f>
        <v>0</v>
      </c>
      <c r="J3392" s="32">
        <f>IF(H3392="",0,IF(COUNTIF($H$2:H3392,H3392)=1,1,0))</f>
        <v>0</v>
      </c>
    </row>
    <row r="3393" spans="1:10" ht="14.25" hidden="1" customHeight="1" x14ac:dyDescent="0.35">
      <c r="A3393" s="30"/>
      <c r="E3393" s="31"/>
      <c r="G3393" s="32" t="str">
        <f t="shared" si="104"/>
        <v>|||1900|</v>
      </c>
      <c r="H3393" s="32" t="str">
        <f t="shared" si="105"/>
        <v>||1900|</v>
      </c>
      <c r="I3393" s="32">
        <f>IF(G3393="",0,IF(COUNTIF($G$2:G3393,G3393)=1,1,0))</f>
        <v>0</v>
      </c>
      <c r="J3393" s="32">
        <f>IF(H3393="",0,IF(COUNTIF($H$2:H3393,H3393)=1,1,0))</f>
        <v>0</v>
      </c>
    </row>
    <row r="3394" spans="1:10" ht="14.25" hidden="1" customHeight="1" x14ac:dyDescent="0.35">
      <c r="A3394" s="30"/>
      <c r="E3394" s="31"/>
      <c r="G3394" s="32" t="str">
        <f t="shared" ref="G3394:G3457" si="106">IF(D3394="T",
E3394&amp;"|"&amp;F3394,
A3394&amp;"|"&amp;B3394&amp;"|"&amp;C3394&amp;"|"&amp;YEAR(E3394)&amp;"|"&amp;F3394)</f>
        <v>|||1900|</v>
      </c>
      <c r="H3394" s="32" t="str">
        <f t="shared" ref="H3394:H3457" si="107">A3394&amp;"|"&amp;C3394&amp;"|"&amp;YEAR(E3394)&amp;"|"&amp;F3394</f>
        <v>||1900|</v>
      </c>
      <c r="I3394" s="32">
        <f>IF(G3394="",0,IF(COUNTIF($G$2:G3394,G3394)=1,1,0))</f>
        <v>0</v>
      </c>
      <c r="J3394" s="32">
        <f>IF(H3394="",0,IF(COUNTIF($H$2:H3394,H3394)=1,1,0))</f>
        <v>0</v>
      </c>
    </row>
    <row r="3395" spans="1:10" ht="14.25" hidden="1" customHeight="1" x14ac:dyDescent="0.35">
      <c r="A3395" s="30"/>
      <c r="E3395" s="31"/>
      <c r="G3395" s="32" t="str">
        <f t="shared" si="106"/>
        <v>|||1900|</v>
      </c>
      <c r="H3395" s="32" t="str">
        <f t="shared" si="107"/>
        <v>||1900|</v>
      </c>
      <c r="I3395" s="32">
        <f>IF(G3395="",0,IF(COUNTIF($G$2:G3395,G3395)=1,1,0))</f>
        <v>0</v>
      </c>
      <c r="J3395" s="32">
        <f>IF(H3395="",0,IF(COUNTIF($H$2:H3395,H3395)=1,1,0))</f>
        <v>0</v>
      </c>
    </row>
    <row r="3396" spans="1:10" ht="14.25" hidden="1" customHeight="1" x14ac:dyDescent="0.35">
      <c r="A3396" s="30"/>
      <c r="E3396" s="31"/>
      <c r="G3396" s="32" t="str">
        <f t="shared" si="106"/>
        <v>|||1900|</v>
      </c>
      <c r="H3396" s="32" t="str">
        <f t="shared" si="107"/>
        <v>||1900|</v>
      </c>
      <c r="I3396" s="32">
        <f>IF(G3396="",0,IF(COUNTIF($G$2:G3396,G3396)=1,1,0))</f>
        <v>0</v>
      </c>
      <c r="J3396" s="32">
        <f>IF(H3396="",0,IF(COUNTIF($H$2:H3396,H3396)=1,1,0))</f>
        <v>0</v>
      </c>
    </row>
    <row r="3397" spans="1:10" ht="14.25" hidden="1" customHeight="1" x14ac:dyDescent="0.35">
      <c r="A3397" s="30"/>
      <c r="E3397" s="31"/>
      <c r="G3397" s="32" t="str">
        <f t="shared" si="106"/>
        <v>|||1900|</v>
      </c>
      <c r="H3397" s="32" t="str">
        <f t="shared" si="107"/>
        <v>||1900|</v>
      </c>
      <c r="I3397" s="32">
        <f>IF(G3397="",0,IF(COUNTIF($G$2:G3397,G3397)=1,1,0))</f>
        <v>0</v>
      </c>
      <c r="J3397" s="32">
        <f>IF(H3397="",0,IF(COUNTIF($H$2:H3397,H3397)=1,1,0))</f>
        <v>0</v>
      </c>
    </row>
    <row r="3398" spans="1:10" ht="14.25" hidden="1" customHeight="1" x14ac:dyDescent="0.35">
      <c r="A3398" s="30"/>
      <c r="E3398" s="31"/>
      <c r="G3398" s="32" t="str">
        <f t="shared" si="106"/>
        <v>|||1900|</v>
      </c>
      <c r="H3398" s="32" t="str">
        <f t="shared" si="107"/>
        <v>||1900|</v>
      </c>
      <c r="I3398" s="32">
        <f>IF(G3398="",0,IF(COUNTIF($G$2:G3398,G3398)=1,1,0))</f>
        <v>0</v>
      </c>
      <c r="J3398" s="32">
        <f>IF(H3398="",0,IF(COUNTIF($H$2:H3398,H3398)=1,1,0))</f>
        <v>0</v>
      </c>
    </row>
    <row r="3399" spans="1:10" ht="14.25" hidden="1" customHeight="1" x14ac:dyDescent="0.35">
      <c r="A3399" s="30"/>
      <c r="E3399" s="31"/>
      <c r="G3399" s="32" t="str">
        <f t="shared" si="106"/>
        <v>|||1900|</v>
      </c>
      <c r="H3399" s="32" t="str">
        <f t="shared" si="107"/>
        <v>||1900|</v>
      </c>
      <c r="I3399" s="32">
        <f>IF(G3399="",0,IF(COUNTIF($G$2:G3399,G3399)=1,1,0))</f>
        <v>0</v>
      </c>
      <c r="J3399" s="32">
        <f>IF(H3399="",0,IF(COUNTIF($H$2:H3399,H3399)=1,1,0))</f>
        <v>0</v>
      </c>
    </row>
    <row r="3400" spans="1:10" ht="14.25" hidden="1" customHeight="1" x14ac:dyDescent="0.35">
      <c r="A3400" s="30"/>
      <c r="E3400" s="31"/>
      <c r="G3400" s="32" t="str">
        <f t="shared" si="106"/>
        <v>|||1900|</v>
      </c>
      <c r="H3400" s="32" t="str">
        <f t="shared" si="107"/>
        <v>||1900|</v>
      </c>
      <c r="I3400" s="32">
        <f>IF(G3400="",0,IF(COUNTIF($G$2:G3400,G3400)=1,1,0))</f>
        <v>0</v>
      </c>
      <c r="J3400" s="32">
        <f>IF(H3400="",0,IF(COUNTIF($H$2:H3400,H3400)=1,1,0))</f>
        <v>0</v>
      </c>
    </row>
    <row r="3401" spans="1:10" ht="14.25" hidden="1" customHeight="1" x14ac:dyDescent="0.35">
      <c r="A3401" s="30"/>
      <c r="E3401" s="31"/>
      <c r="G3401" s="32" t="str">
        <f t="shared" si="106"/>
        <v>|||1900|</v>
      </c>
      <c r="H3401" s="32" t="str">
        <f t="shared" si="107"/>
        <v>||1900|</v>
      </c>
      <c r="I3401" s="32">
        <f>IF(G3401="",0,IF(COUNTIF($G$2:G3401,G3401)=1,1,0))</f>
        <v>0</v>
      </c>
      <c r="J3401" s="32">
        <f>IF(H3401="",0,IF(COUNTIF($H$2:H3401,H3401)=1,1,0))</f>
        <v>0</v>
      </c>
    </row>
    <row r="3402" spans="1:10" ht="14.25" hidden="1" customHeight="1" x14ac:dyDescent="0.35">
      <c r="A3402" s="30"/>
      <c r="E3402" s="31"/>
      <c r="G3402" s="32" t="str">
        <f t="shared" si="106"/>
        <v>|||1900|</v>
      </c>
      <c r="H3402" s="32" t="str">
        <f t="shared" si="107"/>
        <v>||1900|</v>
      </c>
      <c r="I3402" s="32">
        <f>IF(G3402="",0,IF(COUNTIF($G$2:G3402,G3402)=1,1,0))</f>
        <v>0</v>
      </c>
      <c r="J3402" s="32">
        <f>IF(H3402="",0,IF(COUNTIF($H$2:H3402,H3402)=1,1,0))</f>
        <v>0</v>
      </c>
    </row>
    <row r="3403" spans="1:10" ht="14.25" hidden="1" customHeight="1" x14ac:dyDescent="0.35">
      <c r="A3403" s="30"/>
      <c r="E3403" s="31"/>
      <c r="G3403" s="32" t="str">
        <f t="shared" si="106"/>
        <v>|||1900|</v>
      </c>
      <c r="H3403" s="32" t="str">
        <f t="shared" si="107"/>
        <v>||1900|</v>
      </c>
      <c r="I3403" s="32">
        <f>IF(G3403="",0,IF(COUNTIF($G$2:G3403,G3403)=1,1,0))</f>
        <v>0</v>
      </c>
      <c r="J3403" s="32">
        <f>IF(H3403="",0,IF(COUNTIF($H$2:H3403,H3403)=1,1,0))</f>
        <v>0</v>
      </c>
    </row>
    <row r="3404" spans="1:10" ht="14.25" hidden="1" customHeight="1" x14ac:dyDescent="0.35">
      <c r="A3404" s="30"/>
      <c r="E3404" s="31"/>
      <c r="G3404" s="32" t="str">
        <f t="shared" si="106"/>
        <v>|||1900|</v>
      </c>
      <c r="H3404" s="32" t="str">
        <f t="shared" si="107"/>
        <v>||1900|</v>
      </c>
      <c r="I3404" s="32">
        <f>IF(G3404="",0,IF(COUNTIF($G$2:G3404,G3404)=1,1,0))</f>
        <v>0</v>
      </c>
      <c r="J3404" s="32">
        <f>IF(H3404="",0,IF(COUNTIF($H$2:H3404,H3404)=1,1,0))</f>
        <v>0</v>
      </c>
    </row>
    <row r="3405" spans="1:10" ht="14.25" hidden="1" customHeight="1" x14ac:dyDescent="0.35">
      <c r="A3405" s="30"/>
      <c r="E3405" s="31"/>
      <c r="G3405" s="32" t="str">
        <f t="shared" si="106"/>
        <v>|||1900|</v>
      </c>
      <c r="H3405" s="32" t="str">
        <f t="shared" si="107"/>
        <v>||1900|</v>
      </c>
      <c r="I3405" s="32">
        <f>IF(G3405="",0,IF(COUNTIF($G$2:G3405,G3405)=1,1,0))</f>
        <v>0</v>
      </c>
      <c r="J3405" s="32">
        <f>IF(H3405="",0,IF(COUNTIF($H$2:H3405,H3405)=1,1,0))</f>
        <v>0</v>
      </c>
    </row>
    <row r="3406" spans="1:10" ht="14.25" hidden="1" customHeight="1" x14ac:dyDescent="0.35">
      <c r="A3406" s="30"/>
      <c r="E3406" s="31"/>
      <c r="G3406" s="32" t="str">
        <f t="shared" si="106"/>
        <v>|||1900|</v>
      </c>
      <c r="H3406" s="32" t="str">
        <f t="shared" si="107"/>
        <v>||1900|</v>
      </c>
      <c r="I3406" s="32">
        <f>IF(G3406="",0,IF(COUNTIF($G$2:G3406,G3406)=1,1,0))</f>
        <v>0</v>
      </c>
      <c r="J3406" s="32">
        <f>IF(H3406="",0,IF(COUNTIF($H$2:H3406,H3406)=1,1,0))</f>
        <v>0</v>
      </c>
    </row>
    <row r="3407" spans="1:10" ht="14.25" hidden="1" customHeight="1" x14ac:dyDescent="0.35">
      <c r="A3407" s="30"/>
      <c r="E3407" s="31"/>
      <c r="G3407" s="32" t="str">
        <f t="shared" si="106"/>
        <v>|||1900|</v>
      </c>
      <c r="H3407" s="32" t="str">
        <f t="shared" si="107"/>
        <v>||1900|</v>
      </c>
      <c r="I3407" s="32">
        <f>IF(G3407="",0,IF(COUNTIF($G$2:G3407,G3407)=1,1,0))</f>
        <v>0</v>
      </c>
      <c r="J3407" s="32">
        <f>IF(H3407="",0,IF(COUNTIF($H$2:H3407,H3407)=1,1,0))</f>
        <v>0</v>
      </c>
    </row>
    <row r="3408" spans="1:10" ht="14.25" hidden="1" customHeight="1" x14ac:dyDescent="0.35">
      <c r="A3408" s="30"/>
      <c r="E3408" s="31"/>
      <c r="G3408" s="32" t="str">
        <f t="shared" si="106"/>
        <v>|||1900|</v>
      </c>
      <c r="H3408" s="32" t="str">
        <f t="shared" si="107"/>
        <v>||1900|</v>
      </c>
      <c r="I3408" s="32">
        <f>IF(G3408="",0,IF(COUNTIF($G$2:G3408,G3408)=1,1,0))</f>
        <v>0</v>
      </c>
      <c r="J3408" s="32">
        <f>IF(H3408="",0,IF(COUNTIF($H$2:H3408,H3408)=1,1,0))</f>
        <v>0</v>
      </c>
    </row>
    <row r="3409" spans="1:10" ht="14.25" hidden="1" customHeight="1" x14ac:dyDescent="0.35">
      <c r="A3409" s="30"/>
      <c r="E3409" s="31"/>
      <c r="G3409" s="32" t="str">
        <f t="shared" si="106"/>
        <v>|||1900|</v>
      </c>
      <c r="H3409" s="32" t="str">
        <f t="shared" si="107"/>
        <v>||1900|</v>
      </c>
      <c r="I3409" s="32">
        <f>IF(G3409="",0,IF(COUNTIF($G$2:G3409,G3409)=1,1,0))</f>
        <v>0</v>
      </c>
      <c r="J3409" s="32">
        <f>IF(H3409="",0,IF(COUNTIF($H$2:H3409,H3409)=1,1,0))</f>
        <v>0</v>
      </c>
    </row>
    <row r="3410" spans="1:10" ht="14.25" hidden="1" customHeight="1" x14ac:dyDescent="0.35">
      <c r="A3410" s="30"/>
      <c r="E3410" s="31"/>
      <c r="G3410" s="32" t="str">
        <f t="shared" si="106"/>
        <v>|||1900|</v>
      </c>
      <c r="H3410" s="32" t="str">
        <f t="shared" si="107"/>
        <v>||1900|</v>
      </c>
      <c r="I3410" s="32">
        <f>IF(G3410="",0,IF(COUNTIF($G$2:G3410,G3410)=1,1,0))</f>
        <v>0</v>
      </c>
      <c r="J3410" s="32">
        <f>IF(H3410="",0,IF(COUNTIF($H$2:H3410,H3410)=1,1,0))</f>
        <v>0</v>
      </c>
    </row>
    <row r="3411" spans="1:10" ht="14.25" hidden="1" customHeight="1" x14ac:dyDescent="0.35">
      <c r="A3411" s="30"/>
      <c r="E3411" s="31"/>
      <c r="G3411" s="32" t="str">
        <f t="shared" si="106"/>
        <v>|||1900|</v>
      </c>
      <c r="H3411" s="32" t="str">
        <f t="shared" si="107"/>
        <v>||1900|</v>
      </c>
      <c r="I3411" s="32">
        <f>IF(G3411="",0,IF(COUNTIF($G$2:G3411,G3411)=1,1,0))</f>
        <v>0</v>
      </c>
      <c r="J3411" s="32">
        <f>IF(H3411="",0,IF(COUNTIF($H$2:H3411,H3411)=1,1,0))</f>
        <v>0</v>
      </c>
    </row>
    <row r="3412" spans="1:10" ht="14.25" hidden="1" customHeight="1" x14ac:dyDescent="0.35">
      <c r="A3412" s="30"/>
      <c r="E3412" s="31"/>
      <c r="G3412" s="32" t="str">
        <f t="shared" si="106"/>
        <v>|||1900|</v>
      </c>
      <c r="H3412" s="32" t="str">
        <f t="shared" si="107"/>
        <v>||1900|</v>
      </c>
      <c r="I3412" s="32">
        <f>IF(G3412="",0,IF(COUNTIF($G$2:G3412,G3412)=1,1,0))</f>
        <v>0</v>
      </c>
      <c r="J3412" s="32">
        <f>IF(H3412="",0,IF(COUNTIF($H$2:H3412,H3412)=1,1,0))</f>
        <v>0</v>
      </c>
    </row>
    <row r="3413" spans="1:10" ht="14.25" hidden="1" customHeight="1" x14ac:dyDescent="0.35">
      <c r="A3413" s="30"/>
      <c r="E3413" s="31"/>
      <c r="G3413" s="32" t="str">
        <f t="shared" si="106"/>
        <v>|||1900|</v>
      </c>
      <c r="H3413" s="32" t="str">
        <f t="shared" si="107"/>
        <v>||1900|</v>
      </c>
      <c r="I3413" s="32">
        <f>IF(G3413="",0,IF(COUNTIF($G$2:G3413,G3413)=1,1,0))</f>
        <v>0</v>
      </c>
      <c r="J3413" s="32">
        <f>IF(H3413="",0,IF(COUNTIF($H$2:H3413,H3413)=1,1,0))</f>
        <v>0</v>
      </c>
    </row>
    <row r="3414" spans="1:10" ht="14.25" hidden="1" customHeight="1" x14ac:dyDescent="0.35">
      <c r="A3414" s="30"/>
      <c r="E3414" s="31"/>
      <c r="G3414" s="32" t="str">
        <f t="shared" si="106"/>
        <v>|||1900|</v>
      </c>
      <c r="H3414" s="32" t="str">
        <f t="shared" si="107"/>
        <v>||1900|</v>
      </c>
      <c r="I3414" s="32">
        <f>IF(G3414="",0,IF(COUNTIF($G$2:G3414,G3414)=1,1,0))</f>
        <v>0</v>
      </c>
      <c r="J3414" s="32">
        <f>IF(H3414="",0,IF(COUNTIF($H$2:H3414,H3414)=1,1,0))</f>
        <v>0</v>
      </c>
    </row>
    <row r="3415" spans="1:10" ht="14.25" hidden="1" customHeight="1" x14ac:dyDescent="0.35">
      <c r="A3415" s="30"/>
      <c r="E3415" s="31"/>
      <c r="G3415" s="32" t="str">
        <f t="shared" si="106"/>
        <v>|||1900|</v>
      </c>
      <c r="H3415" s="32" t="str">
        <f t="shared" si="107"/>
        <v>||1900|</v>
      </c>
      <c r="I3415" s="32">
        <f>IF(G3415="",0,IF(COUNTIF($G$2:G3415,G3415)=1,1,0))</f>
        <v>0</v>
      </c>
      <c r="J3415" s="32">
        <f>IF(H3415="",0,IF(COUNTIF($H$2:H3415,H3415)=1,1,0))</f>
        <v>0</v>
      </c>
    </row>
    <row r="3416" spans="1:10" ht="14.25" hidden="1" customHeight="1" x14ac:dyDescent="0.35">
      <c r="A3416" s="30"/>
      <c r="E3416" s="31"/>
      <c r="G3416" s="32" t="str">
        <f t="shared" si="106"/>
        <v>|||1900|</v>
      </c>
      <c r="H3416" s="32" t="str">
        <f t="shared" si="107"/>
        <v>||1900|</v>
      </c>
      <c r="I3416" s="32">
        <f>IF(G3416="",0,IF(COUNTIF($G$2:G3416,G3416)=1,1,0))</f>
        <v>0</v>
      </c>
      <c r="J3416" s="32">
        <f>IF(H3416="",0,IF(COUNTIF($H$2:H3416,H3416)=1,1,0))</f>
        <v>0</v>
      </c>
    </row>
    <row r="3417" spans="1:10" ht="14.25" hidden="1" customHeight="1" x14ac:dyDescent="0.35">
      <c r="A3417" s="30"/>
      <c r="E3417" s="31"/>
      <c r="G3417" s="32" t="str">
        <f t="shared" si="106"/>
        <v>|||1900|</v>
      </c>
      <c r="H3417" s="32" t="str">
        <f t="shared" si="107"/>
        <v>||1900|</v>
      </c>
      <c r="I3417" s="32">
        <f>IF(G3417="",0,IF(COUNTIF($G$2:G3417,G3417)=1,1,0))</f>
        <v>0</v>
      </c>
      <c r="J3417" s="32">
        <f>IF(H3417="",0,IF(COUNTIF($H$2:H3417,H3417)=1,1,0))</f>
        <v>0</v>
      </c>
    </row>
    <row r="3418" spans="1:10" ht="14.25" hidden="1" customHeight="1" x14ac:dyDescent="0.35">
      <c r="A3418" s="30"/>
      <c r="E3418" s="31"/>
      <c r="G3418" s="32" t="str">
        <f t="shared" si="106"/>
        <v>|||1900|</v>
      </c>
      <c r="H3418" s="32" t="str">
        <f t="shared" si="107"/>
        <v>||1900|</v>
      </c>
      <c r="I3418" s="32">
        <f>IF(G3418="",0,IF(COUNTIF($G$2:G3418,G3418)=1,1,0))</f>
        <v>0</v>
      </c>
      <c r="J3418" s="32">
        <f>IF(H3418="",0,IF(COUNTIF($H$2:H3418,H3418)=1,1,0))</f>
        <v>0</v>
      </c>
    </row>
    <row r="3419" spans="1:10" ht="14.25" hidden="1" customHeight="1" x14ac:dyDescent="0.35">
      <c r="A3419" s="30"/>
      <c r="E3419" s="31"/>
      <c r="G3419" s="32" t="str">
        <f t="shared" si="106"/>
        <v>|||1900|</v>
      </c>
      <c r="H3419" s="32" t="str">
        <f t="shared" si="107"/>
        <v>||1900|</v>
      </c>
      <c r="I3419" s="32">
        <f>IF(G3419="",0,IF(COUNTIF($G$2:G3419,G3419)=1,1,0))</f>
        <v>0</v>
      </c>
      <c r="J3419" s="32">
        <f>IF(H3419="",0,IF(COUNTIF($H$2:H3419,H3419)=1,1,0))</f>
        <v>0</v>
      </c>
    </row>
    <row r="3420" spans="1:10" ht="14.25" hidden="1" customHeight="1" x14ac:dyDescent="0.35">
      <c r="A3420" s="30"/>
      <c r="E3420" s="31"/>
      <c r="G3420" s="32" t="str">
        <f t="shared" si="106"/>
        <v>|||1900|</v>
      </c>
      <c r="H3420" s="32" t="str">
        <f t="shared" si="107"/>
        <v>||1900|</v>
      </c>
      <c r="I3420" s="32">
        <f>IF(G3420="",0,IF(COUNTIF($G$2:G3420,G3420)=1,1,0))</f>
        <v>0</v>
      </c>
      <c r="J3420" s="32">
        <f>IF(H3420="",0,IF(COUNTIF($H$2:H3420,H3420)=1,1,0))</f>
        <v>0</v>
      </c>
    </row>
    <row r="3421" spans="1:10" ht="14.25" hidden="1" customHeight="1" x14ac:dyDescent="0.35">
      <c r="A3421" s="30"/>
      <c r="E3421" s="31"/>
      <c r="G3421" s="32" t="str">
        <f t="shared" si="106"/>
        <v>|||1900|</v>
      </c>
      <c r="H3421" s="32" t="str">
        <f t="shared" si="107"/>
        <v>||1900|</v>
      </c>
      <c r="I3421" s="32">
        <f>IF(G3421="",0,IF(COUNTIF($G$2:G3421,G3421)=1,1,0))</f>
        <v>0</v>
      </c>
      <c r="J3421" s="32">
        <f>IF(H3421="",0,IF(COUNTIF($H$2:H3421,H3421)=1,1,0))</f>
        <v>0</v>
      </c>
    </row>
    <row r="3422" spans="1:10" ht="14.25" hidden="1" customHeight="1" x14ac:dyDescent="0.35">
      <c r="A3422" s="30"/>
      <c r="E3422" s="31"/>
      <c r="G3422" s="32" t="str">
        <f t="shared" si="106"/>
        <v>|||1900|</v>
      </c>
      <c r="H3422" s="32" t="str">
        <f t="shared" si="107"/>
        <v>||1900|</v>
      </c>
      <c r="I3422" s="32">
        <f>IF(G3422="",0,IF(COUNTIF($G$2:G3422,G3422)=1,1,0))</f>
        <v>0</v>
      </c>
      <c r="J3422" s="32">
        <f>IF(H3422="",0,IF(COUNTIF($H$2:H3422,H3422)=1,1,0))</f>
        <v>0</v>
      </c>
    </row>
    <row r="3423" spans="1:10" ht="14.25" hidden="1" customHeight="1" x14ac:dyDescent="0.35">
      <c r="A3423" s="30"/>
      <c r="E3423" s="31"/>
      <c r="G3423" s="32" t="str">
        <f t="shared" si="106"/>
        <v>|||1900|</v>
      </c>
      <c r="H3423" s="32" t="str">
        <f t="shared" si="107"/>
        <v>||1900|</v>
      </c>
      <c r="I3423" s="32">
        <f>IF(G3423="",0,IF(COUNTIF($G$2:G3423,G3423)=1,1,0))</f>
        <v>0</v>
      </c>
      <c r="J3423" s="32">
        <f>IF(H3423="",0,IF(COUNTIF($H$2:H3423,H3423)=1,1,0))</f>
        <v>0</v>
      </c>
    </row>
    <row r="3424" spans="1:10" ht="14.25" hidden="1" customHeight="1" x14ac:dyDescent="0.35">
      <c r="A3424" s="30"/>
      <c r="E3424" s="31"/>
      <c r="G3424" s="32" t="str">
        <f t="shared" si="106"/>
        <v>|||1900|</v>
      </c>
      <c r="H3424" s="32" t="str">
        <f t="shared" si="107"/>
        <v>||1900|</v>
      </c>
      <c r="I3424" s="32">
        <f>IF(G3424="",0,IF(COUNTIF($G$2:G3424,G3424)=1,1,0))</f>
        <v>0</v>
      </c>
      <c r="J3424" s="32">
        <f>IF(H3424="",0,IF(COUNTIF($H$2:H3424,H3424)=1,1,0))</f>
        <v>0</v>
      </c>
    </row>
    <row r="3425" spans="1:10" ht="14.25" hidden="1" customHeight="1" x14ac:dyDescent="0.35">
      <c r="A3425" s="30"/>
      <c r="E3425" s="31"/>
      <c r="G3425" s="32" t="str">
        <f t="shared" si="106"/>
        <v>|||1900|</v>
      </c>
      <c r="H3425" s="32" t="str">
        <f t="shared" si="107"/>
        <v>||1900|</v>
      </c>
      <c r="I3425" s="32">
        <f>IF(G3425="",0,IF(COUNTIF($G$2:G3425,G3425)=1,1,0))</f>
        <v>0</v>
      </c>
      <c r="J3425" s="32">
        <f>IF(H3425="",0,IF(COUNTIF($H$2:H3425,H3425)=1,1,0))</f>
        <v>0</v>
      </c>
    </row>
    <row r="3426" spans="1:10" ht="14.25" hidden="1" customHeight="1" x14ac:dyDescent="0.35">
      <c r="A3426" s="30"/>
      <c r="E3426" s="31"/>
      <c r="G3426" s="32" t="str">
        <f t="shared" si="106"/>
        <v>|||1900|</v>
      </c>
      <c r="H3426" s="32" t="str">
        <f t="shared" si="107"/>
        <v>||1900|</v>
      </c>
      <c r="I3426" s="32">
        <f>IF(G3426="",0,IF(COUNTIF($G$2:G3426,G3426)=1,1,0))</f>
        <v>0</v>
      </c>
      <c r="J3426" s="32">
        <f>IF(H3426="",0,IF(COUNTIF($H$2:H3426,H3426)=1,1,0))</f>
        <v>0</v>
      </c>
    </row>
    <row r="3427" spans="1:10" ht="14.25" hidden="1" customHeight="1" x14ac:dyDescent="0.35">
      <c r="A3427" s="30"/>
      <c r="E3427" s="31"/>
      <c r="G3427" s="32" t="str">
        <f t="shared" si="106"/>
        <v>|||1900|</v>
      </c>
      <c r="H3427" s="32" t="str">
        <f t="shared" si="107"/>
        <v>||1900|</v>
      </c>
      <c r="I3427" s="32">
        <f>IF(G3427="",0,IF(COUNTIF($G$2:G3427,G3427)=1,1,0))</f>
        <v>0</v>
      </c>
      <c r="J3427" s="32">
        <f>IF(H3427="",0,IF(COUNTIF($H$2:H3427,H3427)=1,1,0))</f>
        <v>0</v>
      </c>
    </row>
    <row r="3428" spans="1:10" ht="14.25" hidden="1" customHeight="1" x14ac:dyDescent="0.35">
      <c r="A3428" s="30"/>
      <c r="E3428" s="31"/>
      <c r="G3428" s="32" t="str">
        <f t="shared" si="106"/>
        <v>|||1900|</v>
      </c>
      <c r="H3428" s="32" t="str">
        <f t="shared" si="107"/>
        <v>||1900|</v>
      </c>
      <c r="I3428" s="32">
        <f>IF(G3428="",0,IF(COUNTIF($G$2:G3428,G3428)=1,1,0))</f>
        <v>0</v>
      </c>
      <c r="J3428" s="32">
        <f>IF(H3428="",0,IF(COUNTIF($H$2:H3428,H3428)=1,1,0))</f>
        <v>0</v>
      </c>
    </row>
    <row r="3429" spans="1:10" ht="14.25" hidden="1" customHeight="1" x14ac:dyDescent="0.35">
      <c r="A3429" s="30"/>
      <c r="E3429" s="31"/>
      <c r="G3429" s="32" t="str">
        <f t="shared" si="106"/>
        <v>|||1900|</v>
      </c>
      <c r="H3429" s="32" t="str">
        <f t="shared" si="107"/>
        <v>||1900|</v>
      </c>
      <c r="I3429" s="32">
        <f>IF(G3429="",0,IF(COUNTIF($G$2:G3429,G3429)=1,1,0))</f>
        <v>0</v>
      </c>
      <c r="J3429" s="32">
        <f>IF(H3429="",0,IF(COUNTIF($H$2:H3429,H3429)=1,1,0))</f>
        <v>0</v>
      </c>
    </row>
    <row r="3430" spans="1:10" ht="14.25" hidden="1" customHeight="1" x14ac:dyDescent="0.35">
      <c r="A3430" s="30"/>
      <c r="E3430" s="31"/>
      <c r="G3430" s="32" t="str">
        <f t="shared" si="106"/>
        <v>|||1900|</v>
      </c>
      <c r="H3430" s="32" t="str">
        <f t="shared" si="107"/>
        <v>||1900|</v>
      </c>
      <c r="I3430" s="32">
        <f>IF(G3430="",0,IF(COUNTIF($G$2:G3430,G3430)=1,1,0))</f>
        <v>0</v>
      </c>
      <c r="J3430" s="32">
        <f>IF(H3430="",0,IF(COUNTIF($H$2:H3430,H3430)=1,1,0))</f>
        <v>0</v>
      </c>
    </row>
    <row r="3431" spans="1:10" ht="14.25" hidden="1" customHeight="1" x14ac:dyDescent="0.35">
      <c r="A3431" s="30"/>
      <c r="E3431" s="31"/>
      <c r="G3431" s="32" t="str">
        <f t="shared" si="106"/>
        <v>|||1900|</v>
      </c>
      <c r="H3431" s="32" t="str">
        <f t="shared" si="107"/>
        <v>||1900|</v>
      </c>
      <c r="I3431" s="32">
        <f>IF(G3431="",0,IF(COUNTIF($G$2:G3431,G3431)=1,1,0))</f>
        <v>0</v>
      </c>
      <c r="J3431" s="32">
        <f>IF(H3431="",0,IF(COUNTIF($H$2:H3431,H3431)=1,1,0))</f>
        <v>0</v>
      </c>
    </row>
    <row r="3432" spans="1:10" ht="14.25" hidden="1" customHeight="1" x14ac:dyDescent="0.35">
      <c r="A3432" s="30"/>
      <c r="E3432" s="31"/>
      <c r="G3432" s="32" t="str">
        <f t="shared" si="106"/>
        <v>|||1900|</v>
      </c>
      <c r="H3432" s="32" t="str">
        <f t="shared" si="107"/>
        <v>||1900|</v>
      </c>
      <c r="I3432" s="32">
        <f>IF(G3432="",0,IF(COUNTIF($G$2:G3432,G3432)=1,1,0))</f>
        <v>0</v>
      </c>
      <c r="J3432" s="32">
        <f>IF(H3432="",0,IF(COUNTIF($H$2:H3432,H3432)=1,1,0))</f>
        <v>0</v>
      </c>
    </row>
    <row r="3433" spans="1:10" ht="14.25" hidden="1" customHeight="1" x14ac:dyDescent="0.35">
      <c r="A3433" s="30"/>
      <c r="E3433" s="31"/>
      <c r="G3433" s="32" t="str">
        <f t="shared" si="106"/>
        <v>|||1900|</v>
      </c>
      <c r="H3433" s="32" t="str">
        <f t="shared" si="107"/>
        <v>||1900|</v>
      </c>
      <c r="I3433" s="32">
        <f>IF(G3433="",0,IF(COUNTIF($G$2:G3433,G3433)=1,1,0))</f>
        <v>0</v>
      </c>
      <c r="J3433" s="32">
        <f>IF(H3433="",0,IF(COUNTIF($H$2:H3433,H3433)=1,1,0))</f>
        <v>0</v>
      </c>
    </row>
    <row r="3434" spans="1:10" ht="14.25" hidden="1" customHeight="1" x14ac:dyDescent="0.35">
      <c r="A3434" s="30"/>
      <c r="E3434" s="31"/>
      <c r="G3434" s="32" t="str">
        <f t="shared" si="106"/>
        <v>|||1900|</v>
      </c>
      <c r="H3434" s="32" t="str">
        <f t="shared" si="107"/>
        <v>||1900|</v>
      </c>
      <c r="I3434" s="32">
        <f>IF(G3434="",0,IF(COUNTIF($G$2:G3434,G3434)=1,1,0))</f>
        <v>0</v>
      </c>
      <c r="J3434" s="32">
        <f>IF(H3434="",0,IF(COUNTIF($H$2:H3434,H3434)=1,1,0))</f>
        <v>0</v>
      </c>
    </row>
    <row r="3435" spans="1:10" ht="14.25" hidden="1" customHeight="1" x14ac:dyDescent="0.35">
      <c r="A3435" s="30"/>
      <c r="E3435" s="31"/>
      <c r="G3435" s="32" t="str">
        <f t="shared" si="106"/>
        <v>|||1900|</v>
      </c>
      <c r="H3435" s="32" t="str">
        <f t="shared" si="107"/>
        <v>||1900|</v>
      </c>
      <c r="I3435" s="32">
        <f>IF(G3435="",0,IF(COUNTIF($G$2:G3435,G3435)=1,1,0))</f>
        <v>0</v>
      </c>
      <c r="J3435" s="32">
        <f>IF(H3435="",0,IF(COUNTIF($H$2:H3435,H3435)=1,1,0))</f>
        <v>0</v>
      </c>
    </row>
    <row r="3436" spans="1:10" ht="14.25" hidden="1" customHeight="1" x14ac:dyDescent="0.35">
      <c r="A3436" s="30"/>
      <c r="E3436" s="31"/>
      <c r="G3436" s="32" t="str">
        <f t="shared" si="106"/>
        <v>|||1900|</v>
      </c>
      <c r="H3436" s="32" t="str">
        <f t="shared" si="107"/>
        <v>||1900|</v>
      </c>
      <c r="I3436" s="32">
        <f>IF(G3436="",0,IF(COUNTIF($G$2:G3436,G3436)=1,1,0))</f>
        <v>0</v>
      </c>
      <c r="J3436" s="32">
        <f>IF(H3436="",0,IF(COUNTIF($H$2:H3436,H3436)=1,1,0))</f>
        <v>0</v>
      </c>
    </row>
    <row r="3437" spans="1:10" ht="14.25" hidden="1" customHeight="1" x14ac:dyDescent="0.35">
      <c r="A3437" s="30"/>
      <c r="E3437" s="31"/>
      <c r="G3437" s="32" t="str">
        <f t="shared" si="106"/>
        <v>|||1900|</v>
      </c>
      <c r="H3437" s="32" t="str">
        <f t="shared" si="107"/>
        <v>||1900|</v>
      </c>
      <c r="I3437" s="32">
        <f>IF(G3437="",0,IF(COUNTIF($G$2:G3437,G3437)=1,1,0))</f>
        <v>0</v>
      </c>
      <c r="J3437" s="32">
        <f>IF(H3437="",0,IF(COUNTIF($H$2:H3437,H3437)=1,1,0))</f>
        <v>0</v>
      </c>
    </row>
    <row r="3438" spans="1:10" ht="14.25" hidden="1" customHeight="1" x14ac:dyDescent="0.35">
      <c r="A3438" s="30"/>
      <c r="E3438" s="31"/>
      <c r="G3438" s="32" t="str">
        <f t="shared" si="106"/>
        <v>|||1900|</v>
      </c>
      <c r="H3438" s="32" t="str">
        <f t="shared" si="107"/>
        <v>||1900|</v>
      </c>
      <c r="I3438" s="32">
        <f>IF(G3438="",0,IF(COUNTIF($G$2:G3438,G3438)=1,1,0))</f>
        <v>0</v>
      </c>
      <c r="J3438" s="32">
        <f>IF(H3438="",0,IF(COUNTIF($H$2:H3438,H3438)=1,1,0))</f>
        <v>0</v>
      </c>
    </row>
    <row r="3439" spans="1:10" ht="14.25" hidden="1" customHeight="1" x14ac:dyDescent="0.35">
      <c r="A3439" s="30"/>
      <c r="E3439" s="31"/>
      <c r="G3439" s="32" t="str">
        <f t="shared" si="106"/>
        <v>|||1900|</v>
      </c>
      <c r="H3439" s="32" t="str">
        <f t="shared" si="107"/>
        <v>||1900|</v>
      </c>
      <c r="I3439" s="32">
        <f>IF(G3439="",0,IF(COUNTIF($G$2:G3439,G3439)=1,1,0))</f>
        <v>0</v>
      </c>
      <c r="J3439" s="32">
        <f>IF(H3439="",0,IF(COUNTIF($H$2:H3439,H3439)=1,1,0))</f>
        <v>0</v>
      </c>
    </row>
    <row r="3440" spans="1:10" ht="14.25" hidden="1" customHeight="1" x14ac:dyDescent="0.35">
      <c r="A3440" s="30"/>
      <c r="E3440" s="31"/>
      <c r="G3440" s="32" t="str">
        <f t="shared" si="106"/>
        <v>|||1900|</v>
      </c>
      <c r="H3440" s="32" t="str">
        <f t="shared" si="107"/>
        <v>||1900|</v>
      </c>
      <c r="I3440" s="32">
        <f>IF(G3440="",0,IF(COUNTIF($G$2:G3440,G3440)=1,1,0))</f>
        <v>0</v>
      </c>
      <c r="J3440" s="32">
        <f>IF(H3440="",0,IF(COUNTIF($H$2:H3440,H3440)=1,1,0))</f>
        <v>0</v>
      </c>
    </row>
    <row r="3441" spans="1:10" ht="14.25" hidden="1" customHeight="1" x14ac:dyDescent="0.35">
      <c r="A3441" s="30"/>
      <c r="E3441" s="31"/>
      <c r="G3441" s="32" t="str">
        <f t="shared" si="106"/>
        <v>|||1900|</v>
      </c>
      <c r="H3441" s="32" t="str">
        <f t="shared" si="107"/>
        <v>||1900|</v>
      </c>
      <c r="I3441" s="32">
        <f>IF(G3441="",0,IF(COUNTIF($G$2:G3441,G3441)=1,1,0))</f>
        <v>0</v>
      </c>
      <c r="J3441" s="32">
        <f>IF(H3441="",0,IF(COUNTIF($H$2:H3441,H3441)=1,1,0))</f>
        <v>0</v>
      </c>
    </row>
    <row r="3442" spans="1:10" ht="14.25" hidden="1" customHeight="1" x14ac:dyDescent="0.35">
      <c r="A3442" s="30"/>
      <c r="E3442" s="31"/>
      <c r="G3442" s="32" t="str">
        <f t="shared" si="106"/>
        <v>|||1900|</v>
      </c>
      <c r="H3442" s="32" t="str">
        <f t="shared" si="107"/>
        <v>||1900|</v>
      </c>
      <c r="I3442" s="32">
        <f>IF(G3442="",0,IF(COUNTIF($G$2:G3442,G3442)=1,1,0))</f>
        <v>0</v>
      </c>
      <c r="J3442" s="32">
        <f>IF(H3442="",0,IF(COUNTIF($H$2:H3442,H3442)=1,1,0))</f>
        <v>0</v>
      </c>
    </row>
    <row r="3443" spans="1:10" ht="14.25" hidden="1" customHeight="1" x14ac:dyDescent="0.35">
      <c r="A3443" s="30"/>
      <c r="E3443" s="31"/>
      <c r="G3443" s="32" t="str">
        <f t="shared" si="106"/>
        <v>|||1900|</v>
      </c>
      <c r="H3443" s="32" t="str">
        <f t="shared" si="107"/>
        <v>||1900|</v>
      </c>
      <c r="I3443" s="32">
        <f>IF(G3443="",0,IF(COUNTIF($G$2:G3443,G3443)=1,1,0))</f>
        <v>0</v>
      </c>
      <c r="J3443" s="32">
        <f>IF(H3443="",0,IF(COUNTIF($H$2:H3443,H3443)=1,1,0))</f>
        <v>0</v>
      </c>
    </row>
    <row r="3444" spans="1:10" ht="14.25" hidden="1" customHeight="1" x14ac:dyDescent="0.35">
      <c r="A3444" s="30"/>
      <c r="E3444" s="31"/>
      <c r="G3444" s="32" t="str">
        <f t="shared" si="106"/>
        <v>|||1900|</v>
      </c>
      <c r="H3444" s="32" t="str">
        <f t="shared" si="107"/>
        <v>||1900|</v>
      </c>
      <c r="I3444" s="32">
        <f>IF(G3444="",0,IF(COUNTIF($G$2:G3444,G3444)=1,1,0))</f>
        <v>0</v>
      </c>
      <c r="J3444" s="32">
        <f>IF(H3444="",0,IF(COUNTIF($H$2:H3444,H3444)=1,1,0))</f>
        <v>0</v>
      </c>
    </row>
    <row r="3445" spans="1:10" ht="14.25" hidden="1" customHeight="1" x14ac:dyDescent="0.35">
      <c r="A3445" s="30"/>
      <c r="E3445" s="31"/>
      <c r="G3445" s="32" t="str">
        <f t="shared" si="106"/>
        <v>|||1900|</v>
      </c>
      <c r="H3445" s="32" t="str">
        <f t="shared" si="107"/>
        <v>||1900|</v>
      </c>
      <c r="I3445" s="32">
        <f>IF(G3445="",0,IF(COUNTIF($G$2:G3445,G3445)=1,1,0))</f>
        <v>0</v>
      </c>
      <c r="J3445" s="32">
        <f>IF(H3445="",0,IF(COUNTIF($H$2:H3445,H3445)=1,1,0))</f>
        <v>0</v>
      </c>
    </row>
    <row r="3446" spans="1:10" ht="14.25" hidden="1" customHeight="1" x14ac:dyDescent="0.35">
      <c r="A3446" s="30"/>
      <c r="E3446" s="31"/>
      <c r="G3446" s="32" t="str">
        <f t="shared" si="106"/>
        <v>|||1900|</v>
      </c>
      <c r="H3446" s="32" t="str">
        <f t="shared" si="107"/>
        <v>||1900|</v>
      </c>
      <c r="I3446" s="32">
        <f>IF(G3446="",0,IF(COUNTIF($G$2:G3446,G3446)=1,1,0))</f>
        <v>0</v>
      </c>
      <c r="J3446" s="32">
        <f>IF(H3446="",0,IF(COUNTIF($H$2:H3446,H3446)=1,1,0))</f>
        <v>0</v>
      </c>
    </row>
    <row r="3447" spans="1:10" ht="14.25" hidden="1" customHeight="1" x14ac:dyDescent="0.35">
      <c r="A3447" s="30"/>
      <c r="E3447" s="31"/>
      <c r="G3447" s="32" t="str">
        <f t="shared" si="106"/>
        <v>|||1900|</v>
      </c>
      <c r="H3447" s="32" t="str">
        <f t="shared" si="107"/>
        <v>||1900|</v>
      </c>
      <c r="I3447" s="32">
        <f>IF(G3447="",0,IF(COUNTIF($G$2:G3447,G3447)=1,1,0))</f>
        <v>0</v>
      </c>
      <c r="J3447" s="32">
        <f>IF(H3447="",0,IF(COUNTIF($H$2:H3447,H3447)=1,1,0))</f>
        <v>0</v>
      </c>
    </row>
    <row r="3448" spans="1:10" ht="14.25" hidden="1" customHeight="1" x14ac:dyDescent="0.35">
      <c r="A3448" s="30"/>
      <c r="E3448" s="31"/>
      <c r="G3448" s="32" t="str">
        <f t="shared" si="106"/>
        <v>|||1900|</v>
      </c>
      <c r="H3448" s="32" t="str">
        <f t="shared" si="107"/>
        <v>||1900|</v>
      </c>
      <c r="I3448" s="32">
        <f>IF(G3448="",0,IF(COUNTIF($G$2:G3448,G3448)=1,1,0))</f>
        <v>0</v>
      </c>
      <c r="J3448" s="32">
        <f>IF(H3448="",0,IF(COUNTIF($H$2:H3448,H3448)=1,1,0))</f>
        <v>0</v>
      </c>
    </row>
    <row r="3449" spans="1:10" ht="14.25" hidden="1" customHeight="1" x14ac:dyDescent="0.35">
      <c r="A3449" s="30"/>
      <c r="E3449" s="31"/>
      <c r="G3449" s="32" t="str">
        <f t="shared" si="106"/>
        <v>|||1900|</v>
      </c>
      <c r="H3449" s="32" t="str">
        <f t="shared" si="107"/>
        <v>||1900|</v>
      </c>
      <c r="I3449" s="32">
        <f>IF(G3449="",0,IF(COUNTIF($G$2:G3449,G3449)=1,1,0))</f>
        <v>0</v>
      </c>
      <c r="J3449" s="32">
        <f>IF(H3449="",0,IF(COUNTIF($H$2:H3449,H3449)=1,1,0))</f>
        <v>0</v>
      </c>
    </row>
    <row r="3450" spans="1:10" ht="14.25" hidden="1" customHeight="1" x14ac:dyDescent="0.35">
      <c r="A3450" s="30"/>
      <c r="E3450" s="31"/>
      <c r="G3450" s="32" t="str">
        <f t="shared" si="106"/>
        <v>|||1900|</v>
      </c>
      <c r="H3450" s="32" t="str">
        <f t="shared" si="107"/>
        <v>||1900|</v>
      </c>
      <c r="I3450" s="32">
        <f>IF(G3450="",0,IF(COUNTIF($G$2:G3450,G3450)=1,1,0))</f>
        <v>0</v>
      </c>
      <c r="J3450" s="32">
        <f>IF(H3450="",0,IF(COUNTIF($H$2:H3450,H3450)=1,1,0))</f>
        <v>0</v>
      </c>
    </row>
    <row r="3451" spans="1:10" ht="14.25" hidden="1" customHeight="1" x14ac:dyDescent="0.35">
      <c r="A3451" s="30"/>
      <c r="E3451" s="31"/>
      <c r="G3451" s="32" t="str">
        <f t="shared" si="106"/>
        <v>|||1900|</v>
      </c>
      <c r="H3451" s="32" t="str">
        <f t="shared" si="107"/>
        <v>||1900|</v>
      </c>
      <c r="I3451" s="32">
        <f>IF(G3451="",0,IF(COUNTIF($G$2:G3451,G3451)=1,1,0))</f>
        <v>0</v>
      </c>
      <c r="J3451" s="32">
        <f>IF(H3451="",0,IF(COUNTIF($H$2:H3451,H3451)=1,1,0))</f>
        <v>0</v>
      </c>
    </row>
    <row r="3452" spans="1:10" ht="14.25" hidden="1" customHeight="1" x14ac:dyDescent="0.35">
      <c r="A3452" s="30"/>
      <c r="E3452" s="31"/>
      <c r="G3452" s="32" t="str">
        <f t="shared" si="106"/>
        <v>|||1900|</v>
      </c>
      <c r="H3452" s="32" t="str">
        <f t="shared" si="107"/>
        <v>||1900|</v>
      </c>
      <c r="I3452" s="32">
        <f>IF(G3452="",0,IF(COUNTIF($G$2:G3452,G3452)=1,1,0))</f>
        <v>0</v>
      </c>
      <c r="J3452" s="32">
        <f>IF(H3452="",0,IF(COUNTIF($H$2:H3452,H3452)=1,1,0))</f>
        <v>0</v>
      </c>
    </row>
    <row r="3453" spans="1:10" ht="14.25" hidden="1" customHeight="1" x14ac:dyDescent="0.35">
      <c r="A3453" s="30"/>
      <c r="E3453" s="31"/>
      <c r="G3453" s="32" t="str">
        <f t="shared" si="106"/>
        <v>|||1900|</v>
      </c>
      <c r="H3453" s="32" t="str">
        <f t="shared" si="107"/>
        <v>||1900|</v>
      </c>
      <c r="I3453" s="32">
        <f>IF(G3453="",0,IF(COUNTIF($G$2:G3453,G3453)=1,1,0))</f>
        <v>0</v>
      </c>
      <c r="J3453" s="32">
        <f>IF(H3453="",0,IF(COUNTIF($H$2:H3453,H3453)=1,1,0))</f>
        <v>0</v>
      </c>
    </row>
    <row r="3454" spans="1:10" ht="14.25" hidden="1" customHeight="1" x14ac:dyDescent="0.35">
      <c r="A3454" s="30"/>
      <c r="E3454" s="31"/>
      <c r="G3454" s="32" t="str">
        <f t="shared" si="106"/>
        <v>|||1900|</v>
      </c>
      <c r="H3454" s="32" t="str">
        <f t="shared" si="107"/>
        <v>||1900|</v>
      </c>
      <c r="I3454" s="32">
        <f>IF(G3454="",0,IF(COUNTIF($G$2:G3454,G3454)=1,1,0))</f>
        <v>0</v>
      </c>
      <c r="J3454" s="32">
        <f>IF(H3454="",0,IF(COUNTIF($H$2:H3454,H3454)=1,1,0))</f>
        <v>0</v>
      </c>
    </row>
    <row r="3455" spans="1:10" ht="14.25" hidden="1" customHeight="1" x14ac:dyDescent="0.35">
      <c r="A3455" s="30"/>
      <c r="E3455" s="31"/>
      <c r="G3455" s="32" t="str">
        <f t="shared" si="106"/>
        <v>|||1900|</v>
      </c>
      <c r="H3455" s="32" t="str">
        <f t="shared" si="107"/>
        <v>||1900|</v>
      </c>
      <c r="I3455" s="32">
        <f>IF(G3455="",0,IF(COUNTIF($G$2:G3455,G3455)=1,1,0))</f>
        <v>0</v>
      </c>
      <c r="J3455" s="32">
        <f>IF(H3455="",0,IF(COUNTIF($H$2:H3455,H3455)=1,1,0))</f>
        <v>0</v>
      </c>
    </row>
    <row r="3456" spans="1:10" ht="14.25" hidden="1" customHeight="1" x14ac:dyDescent="0.35">
      <c r="A3456" s="30"/>
      <c r="E3456" s="31"/>
      <c r="G3456" s="32" t="str">
        <f t="shared" si="106"/>
        <v>|||1900|</v>
      </c>
      <c r="H3456" s="32" t="str">
        <f t="shared" si="107"/>
        <v>||1900|</v>
      </c>
      <c r="I3456" s="32">
        <f>IF(G3456="",0,IF(COUNTIF($G$2:G3456,G3456)=1,1,0))</f>
        <v>0</v>
      </c>
      <c r="J3456" s="32">
        <f>IF(H3456="",0,IF(COUNTIF($H$2:H3456,H3456)=1,1,0))</f>
        <v>0</v>
      </c>
    </row>
    <row r="3457" spans="1:10" ht="14.25" hidden="1" customHeight="1" x14ac:dyDescent="0.35">
      <c r="A3457" s="30"/>
      <c r="E3457" s="31"/>
      <c r="G3457" s="32" t="str">
        <f t="shared" si="106"/>
        <v>|||1900|</v>
      </c>
      <c r="H3457" s="32" t="str">
        <f t="shared" si="107"/>
        <v>||1900|</v>
      </c>
      <c r="I3457" s="32">
        <f>IF(G3457="",0,IF(COUNTIF($G$2:G3457,G3457)=1,1,0))</f>
        <v>0</v>
      </c>
      <c r="J3457" s="32">
        <f>IF(H3457="",0,IF(COUNTIF($H$2:H3457,H3457)=1,1,0))</f>
        <v>0</v>
      </c>
    </row>
    <row r="3458" spans="1:10" ht="14.25" hidden="1" customHeight="1" x14ac:dyDescent="0.35">
      <c r="A3458" s="30"/>
      <c r="E3458" s="31"/>
      <c r="G3458" s="32" t="str">
        <f t="shared" ref="G3458:G3521" si="108">IF(D3458="T",
E3458&amp;"|"&amp;F3458,
A3458&amp;"|"&amp;B3458&amp;"|"&amp;C3458&amp;"|"&amp;YEAR(E3458)&amp;"|"&amp;F3458)</f>
        <v>|||1900|</v>
      </c>
      <c r="H3458" s="32" t="str">
        <f t="shared" ref="H3458:H3521" si="109">A3458&amp;"|"&amp;C3458&amp;"|"&amp;YEAR(E3458)&amp;"|"&amp;F3458</f>
        <v>||1900|</v>
      </c>
      <c r="I3458" s="32">
        <f>IF(G3458="",0,IF(COUNTIF($G$2:G3458,G3458)=1,1,0))</f>
        <v>0</v>
      </c>
      <c r="J3458" s="32">
        <f>IF(H3458="",0,IF(COUNTIF($H$2:H3458,H3458)=1,1,0))</f>
        <v>0</v>
      </c>
    </row>
    <row r="3459" spans="1:10" ht="14.25" hidden="1" customHeight="1" x14ac:dyDescent="0.35">
      <c r="A3459" s="30"/>
      <c r="E3459" s="31"/>
      <c r="G3459" s="32" t="str">
        <f t="shared" si="108"/>
        <v>|||1900|</v>
      </c>
      <c r="H3459" s="32" t="str">
        <f t="shared" si="109"/>
        <v>||1900|</v>
      </c>
      <c r="I3459" s="32">
        <f>IF(G3459="",0,IF(COUNTIF($G$2:G3459,G3459)=1,1,0))</f>
        <v>0</v>
      </c>
      <c r="J3459" s="32">
        <f>IF(H3459="",0,IF(COUNTIF($H$2:H3459,H3459)=1,1,0))</f>
        <v>0</v>
      </c>
    </row>
    <row r="3460" spans="1:10" ht="14.25" hidden="1" customHeight="1" x14ac:dyDescent="0.35">
      <c r="A3460" s="30"/>
      <c r="E3460" s="31"/>
      <c r="G3460" s="32" t="str">
        <f t="shared" si="108"/>
        <v>|||1900|</v>
      </c>
      <c r="H3460" s="32" t="str">
        <f t="shared" si="109"/>
        <v>||1900|</v>
      </c>
      <c r="I3460" s="32">
        <f>IF(G3460="",0,IF(COUNTIF($G$2:G3460,G3460)=1,1,0))</f>
        <v>0</v>
      </c>
      <c r="J3460" s="32">
        <f>IF(H3460="",0,IF(COUNTIF($H$2:H3460,H3460)=1,1,0))</f>
        <v>0</v>
      </c>
    </row>
    <row r="3461" spans="1:10" ht="14.25" hidden="1" customHeight="1" x14ac:dyDescent="0.35">
      <c r="A3461" s="30"/>
      <c r="E3461" s="31"/>
      <c r="G3461" s="32" t="str">
        <f t="shared" si="108"/>
        <v>|||1900|</v>
      </c>
      <c r="H3461" s="32" t="str">
        <f t="shared" si="109"/>
        <v>||1900|</v>
      </c>
      <c r="I3461" s="32">
        <f>IF(G3461="",0,IF(COUNTIF($G$2:G3461,G3461)=1,1,0))</f>
        <v>0</v>
      </c>
      <c r="J3461" s="32">
        <f>IF(H3461="",0,IF(COUNTIF($H$2:H3461,H3461)=1,1,0))</f>
        <v>0</v>
      </c>
    </row>
    <row r="3462" spans="1:10" ht="14.25" hidden="1" customHeight="1" x14ac:dyDescent="0.35">
      <c r="A3462" s="30"/>
      <c r="E3462" s="31"/>
      <c r="G3462" s="32" t="str">
        <f t="shared" si="108"/>
        <v>|||1900|</v>
      </c>
      <c r="H3462" s="32" t="str">
        <f t="shared" si="109"/>
        <v>||1900|</v>
      </c>
      <c r="I3462" s="32">
        <f>IF(G3462="",0,IF(COUNTIF($G$2:G3462,G3462)=1,1,0))</f>
        <v>0</v>
      </c>
      <c r="J3462" s="32">
        <f>IF(H3462="",0,IF(COUNTIF($H$2:H3462,H3462)=1,1,0))</f>
        <v>0</v>
      </c>
    </row>
    <row r="3463" spans="1:10" ht="14.25" hidden="1" customHeight="1" x14ac:dyDescent="0.35">
      <c r="A3463" s="30"/>
      <c r="E3463" s="31"/>
      <c r="G3463" s="32" t="str">
        <f t="shared" si="108"/>
        <v>|||1900|</v>
      </c>
      <c r="H3463" s="32" t="str">
        <f t="shared" si="109"/>
        <v>||1900|</v>
      </c>
      <c r="I3463" s="32">
        <f>IF(G3463="",0,IF(COUNTIF($G$2:G3463,G3463)=1,1,0))</f>
        <v>0</v>
      </c>
      <c r="J3463" s="32">
        <f>IF(H3463="",0,IF(COUNTIF($H$2:H3463,H3463)=1,1,0))</f>
        <v>0</v>
      </c>
    </row>
    <row r="3464" spans="1:10" ht="14.25" hidden="1" customHeight="1" x14ac:dyDescent="0.35">
      <c r="A3464" s="30"/>
      <c r="E3464" s="31"/>
      <c r="G3464" s="32" t="str">
        <f t="shared" si="108"/>
        <v>|||1900|</v>
      </c>
      <c r="H3464" s="32" t="str">
        <f t="shared" si="109"/>
        <v>||1900|</v>
      </c>
      <c r="I3464" s="32">
        <f>IF(G3464="",0,IF(COUNTIF($G$2:G3464,G3464)=1,1,0))</f>
        <v>0</v>
      </c>
      <c r="J3464" s="32">
        <f>IF(H3464="",0,IF(COUNTIF($H$2:H3464,H3464)=1,1,0))</f>
        <v>0</v>
      </c>
    </row>
    <row r="3465" spans="1:10" ht="14.25" hidden="1" customHeight="1" x14ac:dyDescent="0.35">
      <c r="A3465" s="30"/>
      <c r="E3465" s="31"/>
      <c r="G3465" s="32" t="str">
        <f t="shared" si="108"/>
        <v>|||1900|</v>
      </c>
      <c r="H3465" s="32" t="str">
        <f t="shared" si="109"/>
        <v>||1900|</v>
      </c>
      <c r="I3465" s="32">
        <f>IF(G3465="",0,IF(COUNTIF($G$2:G3465,G3465)=1,1,0))</f>
        <v>0</v>
      </c>
      <c r="J3465" s="32">
        <f>IF(H3465="",0,IF(COUNTIF($H$2:H3465,H3465)=1,1,0))</f>
        <v>0</v>
      </c>
    </row>
    <row r="3466" spans="1:10" ht="14.25" hidden="1" customHeight="1" x14ac:dyDescent="0.35">
      <c r="A3466" s="30"/>
      <c r="E3466" s="31"/>
      <c r="G3466" s="32" t="str">
        <f t="shared" si="108"/>
        <v>|||1900|</v>
      </c>
      <c r="H3466" s="32" t="str">
        <f t="shared" si="109"/>
        <v>||1900|</v>
      </c>
      <c r="I3466" s="32">
        <f>IF(G3466="",0,IF(COUNTIF($G$2:G3466,G3466)=1,1,0))</f>
        <v>0</v>
      </c>
      <c r="J3466" s="32">
        <f>IF(H3466="",0,IF(COUNTIF($H$2:H3466,H3466)=1,1,0))</f>
        <v>0</v>
      </c>
    </row>
    <row r="3467" spans="1:10" ht="14.25" hidden="1" customHeight="1" x14ac:dyDescent="0.35">
      <c r="A3467" s="30"/>
      <c r="E3467" s="31"/>
      <c r="G3467" s="32" t="str">
        <f t="shared" si="108"/>
        <v>|||1900|</v>
      </c>
      <c r="H3467" s="32" t="str">
        <f t="shared" si="109"/>
        <v>||1900|</v>
      </c>
      <c r="I3467" s="32">
        <f>IF(G3467="",0,IF(COUNTIF($G$2:G3467,G3467)=1,1,0))</f>
        <v>0</v>
      </c>
      <c r="J3467" s="32">
        <f>IF(H3467="",0,IF(COUNTIF($H$2:H3467,H3467)=1,1,0))</f>
        <v>0</v>
      </c>
    </row>
    <row r="3468" spans="1:10" ht="14.25" hidden="1" customHeight="1" x14ac:dyDescent="0.35">
      <c r="A3468" s="30"/>
      <c r="E3468" s="31"/>
      <c r="G3468" s="32" t="str">
        <f t="shared" si="108"/>
        <v>|||1900|</v>
      </c>
      <c r="H3468" s="32" t="str">
        <f t="shared" si="109"/>
        <v>||1900|</v>
      </c>
      <c r="I3468" s="32">
        <f>IF(G3468="",0,IF(COUNTIF($G$2:G3468,G3468)=1,1,0))</f>
        <v>0</v>
      </c>
      <c r="J3468" s="32">
        <f>IF(H3468="",0,IF(COUNTIF($H$2:H3468,H3468)=1,1,0))</f>
        <v>0</v>
      </c>
    </row>
    <row r="3469" spans="1:10" ht="14.25" hidden="1" customHeight="1" x14ac:dyDescent="0.35">
      <c r="A3469" s="30"/>
      <c r="E3469" s="31"/>
      <c r="G3469" s="32" t="str">
        <f t="shared" si="108"/>
        <v>|||1900|</v>
      </c>
      <c r="H3469" s="32" t="str">
        <f t="shared" si="109"/>
        <v>||1900|</v>
      </c>
      <c r="I3469" s="32">
        <f>IF(G3469="",0,IF(COUNTIF($G$2:G3469,G3469)=1,1,0))</f>
        <v>0</v>
      </c>
      <c r="J3469" s="32">
        <f>IF(H3469="",0,IF(COUNTIF($H$2:H3469,H3469)=1,1,0))</f>
        <v>0</v>
      </c>
    </row>
    <row r="3470" spans="1:10" ht="14.25" hidden="1" customHeight="1" x14ac:dyDescent="0.35">
      <c r="A3470" s="30"/>
      <c r="E3470" s="31"/>
      <c r="G3470" s="32" t="str">
        <f t="shared" si="108"/>
        <v>|||1900|</v>
      </c>
      <c r="H3470" s="32" t="str">
        <f t="shared" si="109"/>
        <v>||1900|</v>
      </c>
      <c r="I3470" s="32">
        <f>IF(G3470="",0,IF(COUNTIF($G$2:G3470,G3470)=1,1,0))</f>
        <v>0</v>
      </c>
      <c r="J3470" s="32">
        <f>IF(H3470="",0,IF(COUNTIF($H$2:H3470,H3470)=1,1,0))</f>
        <v>0</v>
      </c>
    </row>
    <row r="3471" spans="1:10" ht="14.25" hidden="1" customHeight="1" x14ac:dyDescent="0.35">
      <c r="A3471" s="30"/>
      <c r="E3471" s="31"/>
      <c r="G3471" s="32" t="str">
        <f t="shared" si="108"/>
        <v>|||1900|</v>
      </c>
      <c r="H3471" s="32" t="str">
        <f t="shared" si="109"/>
        <v>||1900|</v>
      </c>
      <c r="I3471" s="32">
        <f>IF(G3471="",0,IF(COUNTIF($G$2:G3471,G3471)=1,1,0))</f>
        <v>0</v>
      </c>
      <c r="J3471" s="32">
        <f>IF(H3471="",0,IF(COUNTIF($H$2:H3471,H3471)=1,1,0))</f>
        <v>0</v>
      </c>
    </row>
    <row r="3472" spans="1:10" ht="14.25" hidden="1" customHeight="1" x14ac:dyDescent="0.35">
      <c r="A3472" s="30"/>
      <c r="E3472" s="31"/>
      <c r="G3472" s="32" t="str">
        <f t="shared" si="108"/>
        <v>|||1900|</v>
      </c>
      <c r="H3472" s="32" t="str">
        <f t="shared" si="109"/>
        <v>||1900|</v>
      </c>
      <c r="I3472" s="32">
        <f>IF(G3472="",0,IF(COUNTIF($G$2:G3472,G3472)=1,1,0))</f>
        <v>0</v>
      </c>
      <c r="J3472" s="32">
        <f>IF(H3472="",0,IF(COUNTIF($H$2:H3472,H3472)=1,1,0))</f>
        <v>0</v>
      </c>
    </row>
    <row r="3473" spans="1:10" ht="14.25" hidden="1" customHeight="1" x14ac:dyDescent="0.35">
      <c r="A3473" s="30"/>
      <c r="E3473" s="31"/>
      <c r="G3473" s="32" t="str">
        <f t="shared" si="108"/>
        <v>|||1900|</v>
      </c>
      <c r="H3473" s="32" t="str">
        <f t="shared" si="109"/>
        <v>||1900|</v>
      </c>
      <c r="I3473" s="32">
        <f>IF(G3473="",0,IF(COUNTIF($G$2:G3473,G3473)=1,1,0))</f>
        <v>0</v>
      </c>
      <c r="J3473" s="32">
        <f>IF(H3473="",0,IF(COUNTIF($H$2:H3473,H3473)=1,1,0))</f>
        <v>0</v>
      </c>
    </row>
    <row r="3474" spans="1:10" ht="14.25" hidden="1" customHeight="1" x14ac:dyDescent="0.35">
      <c r="A3474" s="30"/>
      <c r="E3474" s="31"/>
      <c r="G3474" s="32" t="str">
        <f t="shared" si="108"/>
        <v>|||1900|</v>
      </c>
      <c r="H3474" s="32" t="str">
        <f t="shared" si="109"/>
        <v>||1900|</v>
      </c>
      <c r="I3474" s="32">
        <f>IF(G3474="",0,IF(COUNTIF($G$2:G3474,G3474)=1,1,0))</f>
        <v>0</v>
      </c>
      <c r="J3474" s="32">
        <f>IF(H3474="",0,IF(COUNTIF($H$2:H3474,H3474)=1,1,0))</f>
        <v>0</v>
      </c>
    </row>
    <row r="3475" spans="1:10" ht="14.25" hidden="1" customHeight="1" x14ac:dyDescent="0.35">
      <c r="A3475" s="30"/>
      <c r="E3475" s="31"/>
      <c r="G3475" s="32" t="str">
        <f t="shared" si="108"/>
        <v>|||1900|</v>
      </c>
      <c r="H3475" s="32" t="str">
        <f t="shared" si="109"/>
        <v>||1900|</v>
      </c>
      <c r="I3475" s="32">
        <f>IF(G3475="",0,IF(COUNTIF($G$2:G3475,G3475)=1,1,0))</f>
        <v>0</v>
      </c>
      <c r="J3475" s="32">
        <f>IF(H3475="",0,IF(COUNTIF($H$2:H3475,H3475)=1,1,0))</f>
        <v>0</v>
      </c>
    </row>
    <row r="3476" spans="1:10" ht="14.25" hidden="1" customHeight="1" x14ac:dyDescent="0.35">
      <c r="A3476" s="30"/>
      <c r="E3476" s="31"/>
      <c r="G3476" s="32" t="str">
        <f t="shared" si="108"/>
        <v>|||1900|</v>
      </c>
      <c r="H3476" s="32" t="str">
        <f t="shared" si="109"/>
        <v>||1900|</v>
      </c>
      <c r="I3476" s="32">
        <f>IF(G3476="",0,IF(COUNTIF($G$2:G3476,G3476)=1,1,0))</f>
        <v>0</v>
      </c>
      <c r="J3476" s="32">
        <f>IF(H3476="",0,IF(COUNTIF($H$2:H3476,H3476)=1,1,0))</f>
        <v>0</v>
      </c>
    </row>
    <row r="3477" spans="1:10" ht="14.25" hidden="1" customHeight="1" x14ac:dyDescent="0.35">
      <c r="A3477" s="30"/>
      <c r="E3477" s="31"/>
      <c r="G3477" s="32" t="str">
        <f t="shared" si="108"/>
        <v>|||1900|</v>
      </c>
      <c r="H3477" s="32" t="str">
        <f t="shared" si="109"/>
        <v>||1900|</v>
      </c>
      <c r="I3477" s="32">
        <f>IF(G3477="",0,IF(COUNTIF($G$2:G3477,G3477)=1,1,0))</f>
        <v>0</v>
      </c>
      <c r="J3477" s="32">
        <f>IF(H3477="",0,IF(COUNTIF($H$2:H3477,H3477)=1,1,0))</f>
        <v>0</v>
      </c>
    </row>
    <row r="3478" spans="1:10" ht="14.25" hidden="1" customHeight="1" x14ac:dyDescent="0.35">
      <c r="A3478" s="30"/>
      <c r="E3478" s="31"/>
      <c r="G3478" s="32" t="str">
        <f t="shared" si="108"/>
        <v>|||1900|</v>
      </c>
      <c r="H3478" s="32" t="str">
        <f t="shared" si="109"/>
        <v>||1900|</v>
      </c>
      <c r="I3478" s="32">
        <f>IF(G3478="",0,IF(COUNTIF($G$2:G3478,G3478)=1,1,0))</f>
        <v>0</v>
      </c>
      <c r="J3478" s="32">
        <f>IF(H3478="",0,IF(COUNTIF($H$2:H3478,H3478)=1,1,0))</f>
        <v>0</v>
      </c>
    </row>
    <row r="3479" spans="1:10" ht="14.25" hidden="1" customHeight="1" x14ac:dyDescent="0.35">
      <c r="A3479" s="30"/>
      <c r="E3479" s="31"/>
      <c r="G3479" s="32" t="str">
        <f t="shared" si="108"/>
        <v>|||1900|</v>
      </c>
      <c r="H3479" s="32" t="str">
        <f t="shared" si="109"/>
        <v>||1900|</v>
      </c>
      <c r="I3479" s="32">
        <f>IF(G3479="",0,IF(COUNTIF($G$2:G3479,G3479)=1,1,0))</f>
        <v>0</v>
      </c>
      <c r="J3479" s="32">
        <f>IF(H3479="",0,IF(COUNTIF($H$2:H3479,H3479)=1,1,0))</f>
        <v>0</v>
      </c>
    </row>
    <row r="3480" spans="1:10" ht="14.25" hidden="1" customHeight="1" x14ac:dyDescent="0.35">
      <c r="A3480" s="30"/>
      <c r="E3480" s="31"/>
      <c r="G3480" s="32" t="str">
        <f t="shared" si="108"/>
        <v>|||1900|</v>
      </c>
      <c r="H3480" s="32" t="str">
        <f t="shared" si="109"/>
        <v>||1900|</v>
      </c>
      <c r="I3480" s="32">
        <f>IF(G3480="",0,IF(COUNTIF($G$2:G3480,G3480)=1,1,0))</f>
        <v>0</v>
      </c>
      <c r="J3480" s="32">
        <f>IF(H3480="",0,IF(COUNTIF($H$2:H3480,H3480)=1,1,0))</f>
        <v>0</v>
      </c>
    </row>
    <row r="3481" spans="1:10" ht="14.25" hidden="1" customHeight="1" x14ac:dyDescent="0.35">
      <c r="A3481" s="30"/>
      <c r="E3481" s="31"/>
      <c r="G3481" s="32" t="str">
        <f t="shared" si="108"/>
        <v>|||1900|</v>
      </c>
      <c r="H3481" s="32" t="str">
        <f t="shared" si="109"/>
        <v>||1900|</v>
      </c>
      <c r="I3481" s="32">
        <f>IF(G3481="",0,IF(COUNTIF($G$2:G3481,G3481)=1,1,0))</f>
        <v>0</v>
      </c>
      <c r="J3481" s="32">
        <f>IF(H3481="",0,IF(COUNTIF($H$2:H3481,H3481)=1,1,0))</f>
        <v>0</v>
      </c>
    </row>
    <row r="3482" spans="1:10" ht="14.25" hidden="1" customHeight="1" x14ac:dyDescent="0.35">
      <c r="A3482" s="30"/>
      <c r="E3482" s="31"/>
      <c r="G3482" s="32" t="str">
        <f t="shared" si="108"/>
        <v>|||1900|</v>
      </c>
      <c r="H3482" s="32" t="str">
        <f t="shared" si="109"/>
        <v>||1900|</v>
      </c>
      <c r="I3482" s="32">
        <f>IF(G3482="",0,IF(COUNTIF($G$2:G3482,G3482)=1,1,0))</f>
        <v>0</v>
      </c>
      <c r="J3482" s="32">
        <f>IF(H3482="",0,IF(COUNTIF($H$2:H3482,H3482)=1,1,0))</f>
        <v>0</v>
      </c>
    </row>
    <row r="3483" spans="1:10" ht="14.25" hidden="1" customHeight="1" x14ac:dyDescent="0.35">
      <c r="A3483" s="30"/>
      <c r="E3483" s="31"/>
      <c r="G3483" s="32" t="str">
        <f t="shared" si="108"/>
        <v>|||1900|</v>
      </c>
      <c r="H3483" s="32" t="str">
        <f t="shared" si="109"/>
        <v>||1900|</v>
      </c>
      <c r="I3483" s="32">
        <f>IF(G3483="",0,IF(COUNTIF($G$2:G3483,G3483)=1,1,0))</f>
        <v>0</v>
      </c>
      <c r="J3483" s="32">
        <f>IF(H3483="",0,IF(COUNTIF($H$2:H3483,H3483)=1,1,0))</f>
        <v>0</v>
      </c>
    </row>
    <row r="3484" spans="1:10" ht="14.25" hidden="1" customHeight="1" x14ac:dyDescent="0.35">
      <c r="A3484" s="30"/>
      <c r="E3484" s="31"/>
      <c r="G3484" s="32" t="str">
        <f t="shared" si="108"/>
        <v>|||1900|</v>
      </c>
      <c r="H3484" s="32" t="str">
        <f t="shared" si="109"/>
        <v>||1900|</v>
      </c>
      <c r="I3484" s="32">
        <f>IF(G3484="",0,IF(COUNTIF($G$2:G3484,G3484)=1,1,0))</f>
        <v>0</v>
      </c>
      <c r="J3484" s="32">
        <f>IF(H3484="",0,IF(COUNTIF($H$2:H3484,H3484)=1,1,0))</f>
        <v>0</v>
      </c>
    </row>
    <row r="3485" spans="1:10" ht="14.25" hidden="1" customHeight="1" x14ac:dyDescent="0.35">
      <c r="A3485" s="30"/>
      <c r="E3485" s="31"/>
      <c r="G3485" s="32" t="str">
        <f t="shared" si="108"/>
        <v>|||1900|</v>
      </c>
      <c r="H3485" s="32" t="str">
        <f t="shared" si="109"/>
        <v>||1900|</v>
      </c>
      <c r="I3485" s="32">
        <f>IF(G3485="",0,IF(COUNTIF($G$2:G3485,G3485)=1,1,0))</f>
        <v>0</v>
      </c>
      <c r="J3485" s="32">
        <f>IF(H3485="",0,IF(COUNTIF($H$2:H3485,H3485)=1,1,0))</f>
        <v>0</v>
      </c>
    </row>
    <row r="3486" spans="1:10" ht="14.25" hidden="1" customHeight="1" x14ac:dyDescent="0.35">
      <c r="A3486" s="30"/>
      <c r="E3486" s="31"/>
      <c r="G3486" s="32" t="str">
        <f t="shared" si="108"/>
        <v>|||1900|</v>
      </c>
      <c r="H3486" s="32" t="str">
        <f t="shared" si="109"/>
        <v>||1900|</v>
      </c>
      <c r="I3486" s="32">
        <f>IF(G3486="",0,IF(COUNTIF($G$2:G3486,G3486)=1,1,0))</f>
        <v>0</v>
      </c>
      <c r="J3486" s="32">
        <f>IF(H3486="",0,IF(COUNTIF($H$2:H3486,H3486)=1,1,0))</f>
        <v>0</v>
      </c>
    </row>
    <row r="3487" spans="1:10" ht="14.25" hidden="1" customHeight="1" x14ac:dyDescent="0.35">
      <c r="A3487" s="30"/>
      <c r="E3487" s="31"/>
      <c r="G3487" s="32" t="str">
        <f t="shared" si="108"/>
        <v>|||1900|</v>
      </c>
      <c r="H3487" s="32" t="str">
        <f t="shared" si="109"/>
        <v>||1900|</v>
      </c>
      <c r="I3487" s="32">
        <f>IF(G3487="",0,IF(COUNTIF($G$2:G3487,G3487)=1,1,0))</f>
        <v>0</v>
      </c>
      <c r="J3487" s="32">
        <f>IF(H3487="",0,IF(COUNTIF($H$2:H3487,H3487)=1,1,0))</f>
        <v>0</v>
      </c>
    </row>
    <row r="3488" spans="1:10" ht="14.25" hidden="1" customHeight="1" x14ac:dyDescent="0.35">
      <c r="A3488" s="30"/>
      <c r="E3488" s="31"/>
      <c r="G3488" s="32" t="str">
        <f t="shared" si="108"/>
        <v>|||1900|</v>
      </c>
      <c r="H3488" s="32" t="str">
        <f t="shared" si="109"/>
        <v>||1900|</v>
      </c>
      <c r="I3488" s="32">
        <f>IF(G3488="",0,IF(COUNTIF($G$2:G3488,G3488)=1,1,0))</f>
        <v>0</v>
      </c>
      <c r="J3488" s="32">
        <f>IF(H3488="",0,IF(COUNTIF($H$2:H3488,H3488)=1,1,0))</f>
        <v>0</v>
      </c>
    </row>
    <row r="3489" spans="1:10" ht="14.25" hidden="1" customHeight="1" x14ac:dyDescent="0.35">
      <c r="A3489" s="30"/>
      <c r="E3489" s="31"/>
      <c r="G3489" s="32" t="str">
        <f t="shared" si="108"/>
        <v>|||1900|</v>
      </c>
      <c r="H3489" s="32" t="str">
        <f t="shared" si="109"/>
        <v>||1900|</v>
      </c>
      <c r="I3489" s="32">
        <f>IF(G3489="",0,IF(COUNTIF($G$2:G3489,G3489)=1,1,0))</f>
        <v>0</v>
      </c>
      <c r="J3489" s="32">
        <f>IF(H3489="",0,IF(COUNTIF($H$2:H3489,H3489)=1,1,0))</f>
        <v>0</v>
      </c>
    </row>
    <row r="3490" spans="1:10" ht="14.25" hidden="1" customHeight="1" x14ac:dyDescent="0.35">
      <c r="A3490" s="30"/>
      <c r="E3490" s="31"/>
      <c r="G3490" s="32" t="str">
        <f t="shared" si="108"/>
        <v>|||1900|</v>
      </c>
      <c r="H3490" s="32" t="str">
        <f t="shared" si="109"/>
        <v>||1900|</v>
      </c>
      <c r="I3490" s="32">
        <f>IF(G3490="",0,IF(COUNTIF($G$2:G3490,G3490)=1,1,0))</f>
        <v>0</v>
      </c>
      <c r="J3490" s="32">
        <f>IF(H3490="",0,IF(COUNTIF($H$2:H3490,H3490)=1,1,0))</f>
        <v>0</v>
      </c>
    </row>
    <row r="3491" spans="1:10" ht="14.25" hidden="1" customHeight="1" x14ac:dyDescent="0.35">
      <c r="A3491" s="30"/>
      <c r="E3491" s="31"/>
      <c r="G3491" s="32" t="str">
        <f t="shared" si="108"/>
        <v>|||1900|</v>
      </c>
      <c r="H3491" s="32" t="str">
        <f t="shared" si="109"/>
        <v>||1900|</v>
      </c>
      <c r="I3491" s="32">
        <f>IF(G3491="",0,IF(COUNTIF($G$2:G3491,G3491)=1,1,0))</f>
        <v>0</v>
      </c>
      <c r="J3491" s="32">
        <f>IF(H3491="",0,IF(COUNTIF($H$2:H3491,H3491)=1,1,0))</f>
        <v>0</v>
      </c>
    </row>
    <row r="3492" spans="1:10" ht="14.25" hidden="1" customHeight="1" x14ac:dyDescent="0.35">
      <c r="A3492" s="30"/>
      <c r="E3492" s="31"/>
      <c r="G3492" s="32" t="str">
        <f t="shared" si="108"/>
        <v>|||1900|</v>
      </c>
      <c r="H3492" s="32" t="str">
        <f t="shared" si="109"/>
        <v>||1900|</v>
      </c>
      <c r="I3492" s="32">
        <f>IF(G3492="",0,IF(COUNTIF($G$2:G3492,G3492)=1,1,0))</f>
        <v>0</v>
      </c>
      <c r="J3492" s="32">
        <f>IF(H3492="",0,IF(COUNTIF($H$2:H3492,H3492)=1,1,0))</f>
        <v>0</v>
      </c>
    </row>
    <row r="3493" spans="1:10" ht="14.25" hidden="1" customHeight="1" x14ac:dyDescent="0.35">
      <c r="A3493" s="30"/>
      <c r="E3493" s="31"/>
      <c r="G3493" s="32" t="str">
        <f t="shared" si="108"/>
        <v>|||1900|</v>
      </c>
      <c r="H3493" s="32" t="str">
        <f t="shared" si="109"/>
        <v>||1900|</v>
      </c>
      <c r="I3493" s="32">
        <f>IF(G3493="",0,IF(COUNTIF($G$2:G3493,G3493)=1,1,0))</f>
        <v>0</v>
      </c>
      <c r="J3493" s="32">
        <f>IF(H3493="",0,IF(COUNTIF($H$2:H3493,H3493)=1,1,0))</f>
        <v>0</v>
      </c>
    </row>
    <row r="3494" spans="1:10" ht="14.25" hidden="1" customHeight="1" x14ac:dyDescent="0.35">
      <c r="A3494" s="30"/>
      <c r="E3494" s="31"/>
      <c r="G3494" s="32" t="str">
        <f t="shared" si="108"/>
        <v>|||1900|</v>
      </c>
      <c r="H3494" s="32" t="str">
        <f t="shared" si="109"/>
        <v>||1900|</v>
      </c>
      <c r="I3494" s="32">
        <f>IF(G3494="",0,IF(COUNTIF($G$2:G3494,G3494)=1,1,0))</f>
        <v>0</v>
      </c>
      <c r="J3494" s="32">
        <f>IF(H3494="",0,IF(COUNTIF($H$2:H3494,H3494)=1,1,0))</f>
        <v>0</v>
      </c>
    </row>
    <row r="3495" spans="1:10" ht="14.25" hidden="1" customHeight="1" x14ac:dyDescent="0.35">
      <c r="A3495" s="30"/>
      <c r="E3495" s="31"/>
      <c r="G3495" s="32" t="str">
        <f t="shared" si="108"/>
        <v>|||1900|</v>
      </c>
      <c r="H3495" s="32" t="str">
        <f t="shared" si="109"/>
        <v>||1900|</v>
      </c>
      <c r="I3495" s="32">
        <f>IF(G3495="",0,IF(COUNTIF($G$2:G3495,G3495)=1,1,0))</f>
        <v>0</v>
      </c>
      <c r="J3495" s="32">
        <f>IF(H3495="",0,IF(COUNTIF($H$2:H3495,H3495)=1,1,0))</f>
        <v>0</v>
      </c>
    </row>
    <row r="3496" spans="1:10" ht="14.25" hidden="1" customHeight="1" x14ac:dyDescent="0.35">
      <c r="A3496" s="30"/>
      <c r="E3496" s="31"/>
      <c r="G3496" s="32" t="str">
        <f t="shared" si="108"/>
        <v>|||1900|</v>
      </c>
      <c r="H3496" s="32" t="str">
        <f t="shared" si="109"/>
        <v>||1900|</v>
      </c>
      <c r="I3496" s="32">
        <f>IF(G3496="",0,IF(COUNTIF($G$2:G3496,G3496)=1,1,0))</f>
        <v>0</v>
      </c>
      <c r="J3496" s="32">
        <f>IF(H3496="",0,IF(COUNTIF($H$2:H3496,H3496)=1,1,0))</f>
        <v>0</v>
      </c>
    </row>
    <row r="3497" spans="1:10" ht="14.25" hidden="1" customHeight="1" x14ac:dyDescent="0.35">
      <c r="A3497" s="30"/>
      <c r="E3497" s="31"/>
      <c r="G3497" s="32" t="str">
        <f t="shared" si="108"/>
        <v>|||1900|</v>
      </c>
      <c r="H3497" s="32" t="str">
        <f t="shared" si="109"/>
        <v>||1900|</v>
      </c>
      <c r="I3497" s="32">
        <f>IF(G3497="",0,IF(COUNTIF($G$2:G3497,G3497)=1,1,0))</f>
        <v>0</v>
      </c>
      <c r="J3497" s="32">
        <f>IF(H3497="",0,IF(COUNTIF($H$2:H3497,H3497)=1,1,0))</f>
        <v>0</v>
      </c>
    </row>
    <row r="3498" spans="1:10" ht="14.25" hidden="1" customHeight="1" x14ac:dyDescent="0.35">
      <c r="A3498" s="30"/>
      <c r="E3498" s="31"/>
      <c r="G3498" s="32" t="str">
        <f t="shared" si="108"/>
        <v>|||1900|</v>
      </c>
      <c r="H3498" s="32" t="str">
        <f t="shared" si="109"/>
        <v>||1900|</v>
      </c>
      <c r="I3498" s="32">
        <f>IF(G3498="",0,IF(COUNTIF($G$2:G3498,G3498)=1,1,0))</f>
        <v>0</v>
      </c>
      <c r="J3498" s="32">
        <f>IF(H3498="",0,IF(COUNTIF($H$2:H3498,H3498)=1,1,0))</f>
        <v>0</v>
      </c>
    </row>
    <row r="3499" spans="1:10" ht="14.25" hidden="1" customHeight="1" x14ac:dyDescent="0.35">
      <c r="A3499" s="30"/>
      <c r="E3499" s="31"/>
      <c r="G3499" s="32" t="str">
        <f t="shared" si="108"/>
        <v>|||1900|</v>
      </c>
      <c r="H3499" s="32" t="str">
        <f t="shared" si="109"/>
        <v>||1900|</v>
      </c>
      <c r="I3499" s="32">
        <f>IF(G3499="",0,IF(COUNTIF($G$2:G3499,G3499)=1,1,0))</f>
        <v>0</v>
      </c>
      <c r="J3499" s="32">
        <f>IF(H3499="",0,IF(COUNTIF($H$2:H3499,H3499)=1,1,0))</f>
        <v>0</v>
      </c>
    </row>
    <row r="3500" spans="1:10" ht="14.25" hidden="1" customHeight="1" x14ac:dyDescent="0.35">
      <c r="A3500" s="30"/>
      <c r="E3500" s="31"/>
      <c r="G3500" s="32" t="str">
        <f t="shared" si="108"/>
        <v>|||1900|</v>
      </c>
      <c r="H3500" s="32" t="str">
        <f t="shared" si="109"/>
        <v>||1900|</v>
      </c>
      <c r="I3500" s="32">
        <f>IF(G3500="",0,IF(COUNTIF($G$2:G3500,G3500)=1,1,0))</f>
        <v>0</v>
      </c>
      <c r="J3500" s="32">
        <f>IF(H3500="",0,IF(COUNTIF($H$2:H3500,H3500)=1,1,0))</f>
        <v>0</v>
      </c>
    </row>
    <row r="3501" spans="1:10" ht="14.25" hidden="1" customHeight="1" x14ac:dyDescent="0.35">
      <c r="A3501" s="30"/>
      <c r="E3501" s="31"/>
      <c r="G3501" s="32" t="str">
        <f t="shared" si="108"/>
        <v>|||1900|</v>
      </c>
      <c r="H3501" s="32" t="str">
        <f t="shared" si="109"/>
        <v>||1900|</v>
      </c>
      <c r="I3501" s="32">
        <f>IF(G3501="",0,IF(COUNTIF($G$2:G3501,G3501)=1,1,0))</f>
        <v>0</v>
      </c>
      <c r="J3501" s="32">
        <f>IF(H3501="",0,IF(COUNTIF($H$2:H3501,H3501)=1,1,0))</f>
        <v>0</v>
      </c>
    </row>
    <row r="3502" spans="1:10" ht="14.25" hidden="1" customHeight="1" x14ac:dyDescent="0.35">
      <c r="A3502" s="30"/>
      <c r="E3502" s="31"/>
      <c r="G3502" s="32" t="str">
        <f t="shared" si="108"/>
        <v>|||1900|</v>
      </c>
      <c r="H3502" s="32" t="str">
        <f t="shared" si="109"/>
        <v>||1900|</v>
      </c>
      <c r="I3502" s="32">
        <f>IF(G3502="",0,IF(COUNTIF($G$2:G3502,G3502)=1,1,0))</f>
        <v>0</v>
      </c>
      <c r="J3502" s="32">
        <f>IF(H3502="",0,IF(COUNTIF($H$2:H3502,H3502)=1,1,0))</f>
        <v>0</v>
      </c>
    </row>
    <row r="3503" spans="1:10" ht="14.25" hidden="1" customHeight="1" x14ac:dyDescent="0.35">
      <c r="A3503" s="30"/>
      <c r="E3503" s="31"/>
      <c r="G3503" s="32" t="str">
        <f t="shared" si="108"/>
        <v>|||1900|</v>
      </c>
      <c r="H3503" s="32" t="str">
        <f t="shared" si="109"/>
        <v>||1900|</v>
      </c>
      <c r="I3503" s="32">
        <f>IF(G3503="",0,IF(COUNTIF($G$2:G3503,G3503)=1,1,0))</f>
        <v>0</v>
      </c>
      <c r="J3503" s="32">
        <f>IF(H3503="",0,IF(COUNTIF($H$2:H3503,H3503)=1,1,0))</f>
        <v>0</v>
      </c>
    </row>
    <row r="3504" spans="1:10" ht="14.25" hidden="1" customHeight="1" x14ac:dyDescent="0.35">
      <c r="A3504" s="30"/>
      <c r="E3504" s="31"/>
      <c r="G3504" s="32" t="str">
        <f t="shared" si="108"/>
        <v>|||1900|</v>
      </c>
      <c r="H3504" s="32" t="str">
        <f t="shared" si="109"/>
        <v>||1900|</v>
      </c>
      <c r="I3504" s="32">
        <f>IF(G3504="",0,IF(COUNTIF($G$2:G3504,G3504)=1,1,0))</f>
        <v>0</v>
      </c>
      <c r="J3504" s="32">
        <f>IF(H3504="",0,IF(COUNTIF($H$2:H3504,H3504)=1,1,0))</f>
        <v>0</v>
      </c>
    </row>
    <row r="3505" spans="1:10" ht="14.25" hidden="1" customHeight="1" x14ac:dyDescent="0.35">
      <c r="A3505" s="30"/>
      <c r="E3505" s="31"/>
      <c r="G3505" s="32" t="str">
        <f t="shared" si="108"/>
        <v>|||1900|</v>
      </c>
      <c r="H3505" s="32" t="str">
        <f t="shared" si="109"/>
        <v>||1900|</v>
      </c>
      <c r="I3505" s="32">
        <f>IF(G3505="",0,IF(COUNTIF($G$2:G3505,G3505)=1,1,0))</f>
        <v>0</v>
      </c>
      <c r="J3505" s="32">
        <f>IF(H3505="",0,IF(COUNTIF($H$2:H3505,H3505)=1,1,0))</f>
        <v>0</v>
      </c>
    </row>
    <row r="3506" spans="1:10" ht="14.25" hidden="1" customHeight="1" x14ac:dyDescent="0.35">
      <c r="A3506" s="30"/>
      <c r="E3506" s="31"/>
      <c r="G3506" s="32" t="str">
        <f t="shared" si="108"/>
        <v>|||1900|</v>
      </c>
      <c r="H3506" s="32" t="str">
        <f t="shared" si="109"/>
        <v>||1900|</v>
      </c>
      <c r="I3506" s="32">
        <f>IF(G3506="",0,IF(COUNTIF($G$2:G3506,G3506)=1,1,0))</f>
        <v>0</v>
      </c>
      <c r="J3506" s="32">
        <f>IF(H3506="",0,IF(COUNTIF($H$2:H3506,H3506)=1,1,0))</f>
        <v>0</v>
      </c>
    </row>
    <row r="3507" spans="1:10" ht="14.25" hidden="1" customHeight="1" x14ac:dyDescent="0.35">
      <c r="A3507" s="30"/>
      <c r="E3507" s="31"/>
      <c r="G3507" s="32" t="str">
        <f t="shared" si="108"/>
        <v>|||1900|</v>
      </c>
      <c r="H3507" s="32" t="str">
        <f t="shared" si="109"/>
        <v>||1900|</v>
      </c>
      <c r="I3507" s="32">
        <f>IF(G3507="",0,IF(COUNTIF($G$2:G3507,G3507)=1,1,0))</f>
        <v>0</v>
      </c>
      <c r="J3507" s="32">
        <f>IF(H3507="",0,IF(COUNTIF($H$2:H3507,H3507)=1,1,0))</f>
        <v>0</v>
      </c>
    </row>
    <row r="3508" spans="1:10" ht="14.25" hidden="1" customHeight="1" x14ac:dyDescent="0.35">
      <c r="A3508" s="30"/>
      <c r="E3508" s="31"/>
      <c r="G3508" s="32" t="str">
        <f t="shared" si="108"/>
        <v>|||1900|</v>
      </c>
      <c r="H3508" s="32" t="str">
        <f t="shared" si="109"/>
        <v>||1900|</v>
      </c>
      <c r="I3508" s="32">
        <f>IF(G3508="",0,IF(COUNTIF($G$2:G3508,G3508)=1,1,0))</f>
        <v>0</v>
      </c>
      <c r="J3508" s="32">
        <f>IF(H3508="",0,IF(COUNTIF($H$2:H3508,H3508)=1,1,0))</f>
        <v>0</v>
      </c>
    </row>
    <row r="3509" spans="1:10" ht="14.25" hidden="1" customHeight="1" x14ac:dyDescent="0.35">
      <c r="A3509" s="30"/>
      <c r="E3509" s="31"/>
      <c r="G3509" s="32" t="str">
        <f t="shared" si="108"/>
        <v>|||1900|</v>
      </c>
      <c r="H3509" s="32" t="str">
        <f t="shared" si="109"/>
        <v>||1900|</v>
      </c>
      <c r="I3509" s="32">
        <f>IF(G3509="",0,IF(COUNTIF($G$2:G3509,G3509)=1,1,0))</f>
        <v>0</v>
      </c>
      <c r="J3509" s="32">
        <f>IF(H3509="",0,IF(COUNTIF($H$2:H3509,H3509)=1,1,0))</f>
        <v>0</v>
      </c>
    </row>
    <row r="3510" spans="1:10" ht="14.25" hidden="1" customHeight="1" x14ac:dyDescent="0.35">
      <c r="A3510" s="30"/>
      <c r="E3510" s="31"/>
      <c r="G3510" s="32" t="str">
        <f t="shared" si="108"/>
        <v>|||1900|</v>
      </c>
      <c r="H3510" s="32" t="str">
        <f t="shared" si="109"/>
        <v>||1900|</v>
      </c>
      <c r="I3510" s="32">
        <f>IF(G3510="",0,IF(COUNTIF($G$2:G3510,G3510)=1,1,0))</f>
        <v>0</v>
      </c>
      <c r="J3510" s="32">
        <f>IF(H3510="",0,IF(COUNTIF($H$2:H3510,H3510)=1,1,0))</f>
        <v>0</v>
      </c>
    </row>
    <row r="3511" spans="1:10" ht="14.25" hidden="1" customHeight="1" x14ac:dyDescent="0.35">
      <c r="A3511" s="30"/>
      <c r="E3511" s="31"/>
      <c r="G3511" s="32" t="str">
        <f t="shared" si="108"/>
        <v>|||1900|</v>
      </c>
      <c r="H3511" s="32" t="str">
        <f t="shared" si="109"/>
        <v>||1900|</v>
      </c>
      <c r="I3511" s="32">
        <f>IF(G3511="",0,IF(COUNTIF($G$2:G3511,G3511)=1,1,0))</f>
        <v>0</v>
      </c>
      <c r="J3511" s="32">
        <f>IF(H3511="",0,IF(COUNTIF($H$2:H3511,H3511)=1,1,0))</f>
        <v>0</v>
      </c>
    </row>
    <row r="3512" spans="1:10" ht="14.25" hidden="1" customHeight="1" x14ac:dyDescent="0.35">
      <c r="A3512" s="30"/>
      <c r="E3512" s="31"/>
      <c r="G3512" s="32" t="str">
        <f t="shared" si="108"/>
        <v>|||1900|</v>
      </c>
      <c r="H3512" s="32" t="str">
        <f t="shared" si="109"/>
        <v>||1900|</v>
      </c>
      <c r="I3512" s="32">
        <f>IF(G3512="",0,IF(COUNTIF($G$2:G3512,G3512)=1,1,0))</f>
        <v>0</v>
      </c>
      <c r="J3512" s="32">
        <f>IF(H3512="",0,IF(COUNTIF($H$2:H3512,H3512)=1,1,0))</f>
        <v>0</v>
      </c>
    </row>
    <row r="3513" spans="1:10" ht="14.25" hidden="1" customHeight="1" x14ac:dyDescent="0.35">
      <c r="A3513" s="30"/>
      <c r="E3513" s="31"/>
      <c r="G3513" s="32" t="str">
        <f t="shared" si="108"/>
        <v>|||1900|</v>
      </c>
      <c r="H3513" s="32" t="str">
        <f t="shared" si="109"/>
        <v>||1900|</v>
      </c>
      <c r="I3513" s="32">
        <f>IF(G3513="",0,IF(COUNTIF($G$2:G3513,G3513)=1,1,0))</f>
        <v>0</v>
      </c>
      <c r="J3513" s="32">
        <f>IF(H3513="",0,IF(COUNTIF($H$2:H3513,H3513)=1,1,0))</f>
        <v>0</v>
      </c>
    </row>
    <row r="3514" spans="1:10" ht="14.25" hidden="1" customHeight="1" x14ac:dyDescent="0.35">
      <c r="A3514" s="30"/>
      <c r="E3514" s="31"/>
      <c r="G3514" s="32" t="str">
        <f t="shared" si="108"/>
        <v>|||1900|</v>
      </c>
      <c r="H3514" s="32" t="str">
        <f t="shared" si="109"/>
        <v>||1900|</v>
      </c>
      <c r="I3514" s="32">
        <f>IF(G3514="",0,IF(COUNTIF($G$2:G3514,G3514)=1,1,0))</f>
        <v>0</v>
      </c>
      <c r="J3514" s="32">
        <f>IF(H3514="",0,IF(COUNTIF($H$2:H3514,H3514)=1,1,0))</f>
        <v>0</v>
      </c>
    </row>
    <row r="3515" spans="1:10" ht="14.25" hidden="1" customHeight="1" x14ac:dyDescent="0.35">
      <c r="A3515" s="30"/>
      <c r="E3515" s="31"/>
      <c r="G3515" s="32" t="str">
        <f t="shared" si="108"/>
        <v>|||1900|</v>
      </c>
      <c r="H3515" s="32" t="str">
        <f t="shared" si="109"/>
        <v>||1900|</v>
      </c>
      <c r="I3515" s="32">
        <f>IF(G3515="",0,IF(COUNTIF($G$2:G3515,G3515)=1,1,0))</f>
        <v>0</v>
      </c>
      <c r="J3515" s="32">
        <f>IF(H3515="",0,IF(COUNTIF($H$2:H3515,H3515)=1,1,0))</f>
        <v>0</v>
      </c>
    </row>
    <row r="3516" spans="1:10" ht="14.25" hidden="1" customHeight="1" x14ac:dyDescent="0.35">
      <c r="A3516" s="30"/>
      <c r="E3516" s="31"/>
      <c r="G3516" s="32" t="str">
        <f t="shared" si="108"/>
        <v>|||1900|</v>
      </c>
      <c r="H3516" s="32" t="str">
        <f t="shared" si="109"/>
        <v>||1900|</v>
      </c>
      <c r="I3516" s="32">
        <f>IF(G3516="",0,IF(COUNTIF($G$2:G3516,G3516)=1,1,0))</f>
        <v>0</v>
      </c>
      <c r="J3516" s="32">
        <f>IF(H3516="",0,IF(COUNTIF($H$2:H3516,H3516)=1,1,0))</f>
        <v>0</v>
      </c>
    </row>
    <row r="3517" spans="1:10" ht="14.25" hidden="1" customHeight="1" x14ac:dyDescent="0.35">
      <c r="A3517" s="30"/>
      <c r="E3517" s="31"/>
      <c r="G3517" s="32" t="str">
        <f t="shared" si="108"/>
        <v>|||1900|</v>
      </c>
      <c r="H3517" s="32" t="str">
        <f t="shared" si="109"/>
        <v>||1900|</v>
      </c>
      <c r="I3517" s="32">
        <f>IF(G3517="",0,IF(COUNTIF($G$2:G3517,G3517)=1,1,0))</f>
        <v>0</v>
      </c>
      <c r="J3517" s="32">
        <f>IF(H3517="",0,IF(COUNTIF($H$2:H3517,H3517)=1,1,0))</f>
        <v>0</v>
      </c>
    </row>
    <row r="3518" spans="1:10" ht="14.25" hidden="1" customHeight="1" x14ac:dyDescent="0.35">
      <c r="A3518" s="30"/>
      <c r="E3518" s="31"/>
      <c r="G3518" s="32" t="str">
        <f t="shared" si="108"/>
        <v>|||1900|</v>
      </c>
      <c r="H3518" s="32" t="str">
        <f t="shared" si="109"/>
        <v>||1900|</v>
      </c>
      <c r="I3518" s="32">
        <f>IF(G3518="",0,IF(COUNTIF($G$2:G3518,G3518)=1,1,0))</f>
        <v>0</v>
      </c>
      <c r="J3518" s="32">
        <f>IF(H3518="",0,IF(COUNTIF($H$2:H3518,H3518)=1,1,0))</f>
        <v>0</v>
      </c>
    </row>
    <row r="3519" spans="1:10" ht="14.25" hidden="1" customHeight="1" x14ac:dyDescent="0.35">
      <c r="A3519" s="30"/>
      <c r="E3519" s="31"/>
      <c r="G3519" s="32" t="str">
        <f t="shared" si="108"/>
        <v>|||1900|</v>
      </c>
      <c r="H3519" s="32" t="str">
        <f t="shared" si="109"/>
        <v>||1900|</v>
      </c>
      <c r="I3519" s="32">
        <f>IF(G3519="",0,IF(COUNTIF($G$2:G3519,G3519)=1,1,0))</f>
        <v>0</v>
      </c>
      <c r="J3519" s="32">
        <f>IF(H3519="",0,IF(COUNTIF($H$2:H3519,H3519)=1,1,0))</f>
        <v>0</v>
      </c>
    </row>
    <row r="3520" spans="1:10" ht="14.25" hidden="1" customHeight="1" x14ac:dyDescent="0.35">
      <c r="A3520" s="30"/>
      <c r="E3520" s="31"/>
      <c r="G3520" s="32" t="str">
        <f t="shared" si="108"/>
        <v>|||1900|</v>
      </c>
      <c r="H3520" s="32" t="str">
        <f t="shared" si="109"/>
        <v>||1900|</v>
      </c>
      <c r="I3520" s="32">
        <f>IF(G3520="",0,IF(COUNTIF($G$2:G3520,G3520)=1,1,0))</f>
        <v>0</v>
      </c>
      <c r="J3520" s="32">
        <f>IF(H3520="",0,IF(COUNTIF($H$2:H3520,H3520)=1,1,0))</f>
        <v>0</v>
      </c>
    </row>
    <row r="3521" spans="1:10" ht="14.25" hidden="1" customHeight="1" x14ac:dyDescent="0.35">
      <c r="A3521" s="30"/>
      <c r="E3521" s="31"/>
      <c r="G3521" s="32" t="str">
        <f t="shared" si="108"/>
        <v>|||1900|</v>
      </c>
      <c r="H3521" s="32" t="str">
        <f t="shared" si="109"/>
        <v>||1900|</v>
      </c>
      <c r="I3521" s="32">
        <f>IF(G3521="",0,IF(COUNTIF($G$2:G3521,G3521)=1,1,0))</f>
        <v>0</v>
      </c>
      <c r="J3521" s="32">
        <f>IF(H3521="",0,IF(COUNTIF($H$2:H3521,H3521)=1,1,0))</f>
        <v>0</v>
      </c>
    </row>
    <row r="3522" spans="1:10" ht="14.25" hidden="1" customHeight="1" x14ac:dyDescent="0.35">
      <c r="A3522" s="30"/>
      <c r="E3522" s="31"/>
      <c r="G3522" s="32" t="str">
        <f t="shared" ref="G3522:G3585" si="110">IF(D3522="T",
E3522&amp;"|"&amp;F3522,
A3522&amp;"|"&amp;B3522&amp;"|"&amp;C3522&amp;"|"&amp;YEAR(E3522)&amp;"|"&amp;F3522)</f>
        <v>|||1900|</v>
      </c>
      <c r="H3522" s="32" t="str">
        <f t="shared" ref="H3522:H3585" si="111">A3522&amp;"|"&amp;C3522&amp;"|"&amp;YEAR(E3522)&amp;"|"&amp;F3522</f>
        <v>||1900|</v>
      </c>
      <c r="I3522" s="32">
        <f>IF(G3522="",0,IF(COUNTIF($G$2:G3522,G3522)=1,1,0))</f>
        <v>0</v>
      </c>
      <c r="J3522" s="32">
        <f>IF(H3522="",0,IF(COUNTIF($H$2:H3522,H3522)=1,1,0))</f>
        <v>0</v>
      </c>
    </row>
    <row r="3523" spans="1:10" ht="14.25" hidden="1" customHeight="1" x14ac:dyDescent="0.35">
      <c r="A3523" s="30"/>
      <c r="E3523" s="31"/>
      <c r="G3523" s="32" t="str">
        <f t="shared" si="110"/>
        <v>|||1900|</v>
      </c>
      <c r="H3523" s="32" t="str">
        <f t="shared" si="111"/>
        <v>||1900|</v>
      </c>
      <c r="I3523" s="32">
        <f>IF(G3523="",0,IF(COUNTIF($G$2:G3523,G3523)=1,1,0))</f>
        <v>0</v>
      </c>
      <c r="J3523" s="32">
        <f>IF(H3523="",0,IF(COUNTIF($H$2:H3523,H3523)=1,1,0))</f>
        <v>0</v>
      </c>
    </row>
    <row r="3524" spans="1:10" ht="14.25" hidden="1" customHeight="1" x14ac:dyDescent="0.35">
      <c r="A3524" s="30"/>
      <c r="E3524" s="31"/>
      <c r="G3524" s="32" t="str">
        <f t="shared" si="110"/>
        <v>|||1900|</v>
      </c>
      <c r="H3524" s="32" t="str">
        <f t="shared" si="111"/>
        <v>||1900|</v>
      </c>
      <c r="I3524" s="32">
        <f>IF(G3524="",0,IF(COUNTIF($G$2:G3524,G3524)=1,1,0))</f>
        <v>0</v>
      </c>
      <c r="J3524" s="32">
        <f>IF(H3524="",0,IF(COUNTIF($H$2:H3524,H3524)=1,1,0))</f>
        <v>0</v>
      </c>
    </row>
    <row r="3525" spans="1:10" ht="14.25" hidden="1" customHeight="1" x14ac:dyDescent="0.35">
      <c r="A3525" s="30"/>
      <c r="E3525" s="31"/>
      <c r="G3525" s="32" t="str">
        <f t="shared" si="110"/>
        <v>|||1900|</v>
      </c>
      <c r="H3525" s="32" t="str">
        <f t="shared" si="111"/>
        <v>||1900|</v>
      </c>
      <c r="I3525" s="32">
        <f>IF(G3525="",0,IF(COUNTIF($G$2:G3525,G3525)=1,1,0))</f>
        <v>0</v>
      </c>
      <c r="J3525" s="32">
        <f>IF(H3525="",0,IF(COUNTIF($H$2:H3525,H3525)=1,1,0))</f>
        <v>0</v>
      </c>
    </row>
    <row r="3526" spans="1:10" ht="14.25" hidden="1" customHeight="1" x14ac:dyDescent="0.35">
      <c r="A3526" s="30"/>
      <c r="E3526" s="31"/>
      <c r="G3526" s="32" t="str">
        <f t="shared" si="110"/>
        <v>|||1900|</v>
      </c>
      <c r="H3526" s="32" t="str">
        <f t="shared" si="111"/>
        <v>||1900|</v>
      </c>
      <c r="I3526" s="32">
        <f>IF(G3526="",0,IF(COUNTIF($G$2:G3526,G3526)=1,1,0))</f>
        <v>0</v>
      </c>
      <c r="J3526" s="32">
        <f>IF(H3526="",0,IF(COUNTIF($H$2:H3526,H3526)=1,1,0))</f>
        <v>0</v>
      </c>
    </row>
    <row r="3527" spans="1:10" ht="14.25" hidden="1" customHeight="1" x14ac:dyDescent="0.35">
      <c r="A3527" s="30"/>
      <c r="E3527" s="31"/>
      <c r="G3527" s="32" t="str">
        <f t="shared" si="110"/>
        <v>|||1900|</v>
      </c>
      <c r="H3527" s="32" t="str">
        <f t="shared" si="111"/>
        <v>||1900|</v>
      </c>
      <c r="I3527" s="32">
        <f>IF(G3527="",0,IF(COUNTIF($G$2:G3527,G3527)=1,1,0))</f>
        <v>0</v>
      </c>
      <c r="J3527" s="32">
        <f>IF(H3527="",0,IF(COUNTIF($H$2:H3527,H3527)=1,1,0))</f>
        <v>0</v>
      </c>
    </row>
    <row r="3528" spans="1:10" ht="14.25" hidden="1" customHeight="1" x14ac:dyDescent="0.35">
      <c r="A3528" s="30"/>
      <c r="E3528" s="31"/>
      <c r="G3528" s="32" t="str">
        <f t="shared" si="110"/>
        <v>|||1900|</v>
      </c>
      <c r="H3528" s="32" t="str">
        <f t="shared" si="111"/>
        <v>||1900|</v>
      </c>
      <c r="I3528" s="32">
        <f>IF(G3528="",0,IF(COUNTIF($G$2:G3528,G3528)=1,1,0))</f>
        <v>0</v>
      </c>
      <c r="J3528" s="32">
        <f>IF(H3528="",0,IF(COUNTIF($H$2:H3528,H3528)=1,1,0))</f>
        <v>0</v>
      </c>
    </row>
    <row r="3529" spans="1:10" ht="14.25" hidden="1" customHeight="1" x14ac:dyDescent="0.35">
      <c r="A3529" s="30"/>
      <c r="E3529" s="31"/>
      <c r="G3529" s="32" t="str">
        <f t="shared" si="110"/>
        <v>|||1900|</v>
      </c>
      <c r="H3529" s="32" t="str">
        <f t="shared" si="111"/>
        <v>||1900|</v>
      </c>
      <c r="I3529" s="32">
        <f>IF(G3529="",0,IF(COUNTIF($G$2:G3529,G3529)=1,1,0))</f>
        <v>0</v>
      </c>
      <c r="J3529" s="32">
        <f>IF(H3529="",0,IF(COUNTIF($H$2:H3529,H3529)=1,1,0))</f>
        <v>0</v>
      </c>
    </row>
    <row r="3530" spans="1:10" ht="14.25" hidden="1" customHeight="1" x14ac:dyDescent="0.35">
      <c r="A3530" s="30"/>
      <c r="E3530" s="31"/>
      <c r="G3530" s="32" t="str">
        <f t="shared" si="110"/>
        <v>|||1900|</v>
      </c>
      <c r="H3530" s="32" t="str">
        <f t="shared" si="111"/>
        <v>||1900|</v>
      </c>
      <c r="I3530" s="32">
        <f>IF(G3530="",0,IF(COUNTIF($G$2:G3530,G3530)=1,1,0))</f>
        <v>0</v>
      </c>
      <c r="J3530" s="32">
        <f>IF(H3530="",0,IF(COUNTIF($H$2:H3530,H3530)=1,1,0))</f>
        <v>0</v>
      </c>
    </row>
    <row r="3531" spans="1:10" ht="14.25" hidden="1" customHeight="1" x14ac:dyDescent="0.35">
      <c r="A3531" s="30"/>
      <c r="E3531" s="31"/>
      <c r="G3531" s="32" t="str">
        <f t="shared" si="110"/>
        <v>|||1900|</v>
      </c>
      <c r="H3531" s="32" t="str">
        <f t="shared" si="111"/>
        <v>||1900|</v>
      </c>
      <c r="I3531" s="32">
        <f>IF(G3531="",0,IF(COUNTIF($G$2:G3531,G3531)=1,1,0))</f>
        <v>0</v>
      </c>
      <c r="J3531" s="32">
        <f>IF(H3531="",0,IF(COUNTIF($H$2:H3531,H3531)=1,1,0))</f>
        <v>0</v>
      </c>
    </row>
    <row r="3532" spans="1:10" ht="14.25" hidden="1" customHeight="1" x14ac:dyDescent="0.35">
      <c r="A3532" s="30"/>
      <c r="E3532" s="31"/>
      <c r="G3532" s="32" t="str">
        <f t="shared" si="110"/>
        <v>|||1900|</v>
      </c>
      <c r="H3532" s="32" t="str">
        <f t="shared" si="111"/>
        <v>||1900|</v>
      </c>
      <c r="I3532" s="32">
        <f>IF(G3532="",0,IF(COUNTIF($G$2:G3532,G3532)=1,1,0))</f>
        <v>0</v>
      </c>
      <c r="J3532" s="32">
        <f>IF(H3532="",0,IF(COUNTIF($H$2:H3532,H3532)=1,1,0))</f>
        <v>0</v>
      </c>
    </row>
    <row r="3533" spans="1:10" ht="14.25" hidden="1" customHeight="1" x14ac:dyDescent="0.35">
      <c r="A3533" s="30"/>
      <c r="E3533" s="31"/>
      <c r="G3533" s="32" t="str">
        <f t="shared" si="110"/>
        <v>|||1900|</v>
      </c>
      <c r="H3533" s="32" t="str">
        <f t="shared" si="111"/>
        <v>||1900|</v>
      </c>
      <c r="I3533" s="32">
        <f>IF(G3533="",0,IF(COUNTIF($G$2:G3533,G3533)=1,1,0))</f>
        <v>0</v>
      </c>
      <c r="J3533" s="32">
        <f>IF(H3533="",0,IF(COUNTIF($H$2:H3533,H3533)=1,1,0))</f>
        <v>0</v>
      </c>
    </row>
    <row r="3534" spans="1:10" ht="14.25" hidden="1" customHeight="1" x14ac:dyDescent="0.35">
      <c r="A3534" s="30"/>
      <c r="E3534" s="31"/>
      <c r="G3534" s="32" t="str">
        <f t="shared" si="110"/>
        <v>|||1900|</v>
      </c>
      <c r="H3534" s="32" t="str">
        <f t="shared" si="111"/>
        <v>||1900|</v>
      </c>
      <c r="I3534" s="32">
        <f>IF(G3534="",0,IF(COUNTIF($G$2:G3534,G3534)=1,1,0))</f>
        <v>0</v>
      </c>
      <c r="J3534" s="32">
        <f>IF(H3534="",0,IF(COUNTIF($H$2:H3534,H3534)=1,1,0))</f>
        <v>0</v>
      </c>
    </row>
    <row r="3535" spans="1:10" ht="14.25" hidden="1" customHeight="1" x14ac:dyDescent="0.35">
      <c r="A3535" s="30"/>
      <c r="E3535" s="31"/>
      <c r="G3535" s="32" t="str">
        <f t="shared" si="110"/>
        <v>|||1900|</v>
      </c>
      <c r="H3535" s="32" t="str">
        <f t="shared" si="111"/>
        <v>||1900|</v>
      </c>
      <c r="I3535" s="32">
        <f>IF(G3535="",0,IF(COUNTIF($G$2:G3535,G3535)=1,1,0))</f>
        <v>0</v>
      </c>
      <c r="J3535" s="32">
        <f>IF(H3535="",0,IF(COUNTIF($H$2:H3535,H3535)=1,1,0))</f>
        <v>0</v>
      </c>
    </row>
    <row r="3536" spans="1:10" ht="14.25" hidden="1" customHeight="1" x14ac:dyDescent="0.35">
      <c r="A3536" s="30"/>
      <c r="E3536" s="31"/>
      <c r="G3536" s="32" t="str">
        <f t="shared" si="110"/>
        <v>|||1900|</v>
      </c>
      <c r="H3536" s="32" t="str">
        <f t="shared" si="111"/>
        <v>||1900|</v>
      </c>
      <c r="I3536" s="32">
        <f>IF(G3536="",0,IF(COUNTIF($G$2:G3536,G3536)=1,1,0))</f>
        <v>0</v>
      </c>
      <c r="J3536" s="32">
        <f>IF(H3536="",0,IF(COUNTIF($H$2:H3536,H3536)=1,1,0))</f>
        <v>0</v>
      </c>
    </row>
    <row r="3537" spans="1:10" ht="14.25" hidden="1" customHeight="1" x14ac:dyDescent="0.35">
      <c r="A3537" s="30"/>
      <c r="E3537" s="31"/>
      <c r="G3537" s="32" t="str">
        <f t="shared" si="110"/>
        <v>|||1900|</v>
      </c>
      <c r="H3537" s="32" t="str">
        <f t="shared" si="111"/>
        <v>||1900|</v>
      </c>
      <c r="I3537" s="32">
        <f>IF(G3537="",0,IF(COUNTIF($G$2:G3537,G3537)=1,1,0))</f>
        <v>0</v>
      </c>
      <c r="J3537" s="32">
        <f>IF(H3537="",0,IF(COUNTIF($H$2:H3537,H3537)=1,1,0))</f>
        <v>0</v>
      </c>
    </row>
    <row r="3538" spans="1:10" ht="14.25" hidden="1" customHeight="1" x14ac:dyDescent="0.35">
      <c r="A3538" s="30"/>
      <c r="E3538" s="31"/>
      <c r="G3538" s="32" t="str">
        <f t="shared" si="110"/>
        <v>|||1900|</v>
      </c>
      <c r="H3538" s="32" t="str">
        <f t="shared" si="111"/>
        <v>||1900|</v>
      </c>
      <c r="I3538" s="32">
        <f>IF(G3538="",0,IF(COUNTIF($G$2:G3538,G3538)=1,1,0))</f>
        <v>0</v>
      </c>
      <c r="J3538" s="32">
        <f>IF(H3538="",0,IF(COUNTIF($H$2:H3538,H3538)=1,1,0))</f>
        <v>0</v>
      </c>
    </row>
    <row r="3539" spans="1:10" ht="14.25" hidden="1" customHeight="1" x14ac:dyDescent="0.35">
      <c r="A3539" s="30"/>
      <c r="E3539" s="31"/>
      <c r="G3539" s="32" t="str">
        <f t="shared" si="110"/>
        <v>|||1900|</v>
      </c>
      <c r="H3539" s="32" t="str">
        <f t="shared" si="111"/>
        <v>||1900|</v>
      </c>
      <c r="I3539" s="32">
        <f>IF(G3539="",0,IF(COUNTIF($G$2:G3539,G3539)=1,1,0))</f>
        <v>0</v>
      </c>
      <c r="J3539" s="32">
        <f>IF(H3539="",0,IF(COUNTIF($H$2:H3539,H3539)=1,1,0))</f>
        <v>0</v>
      </c>
    </row>
    <row r="3540" spans="1:10" ht="14.25" hidden="1" customHeight="1" x14ac:dyDescent="0.35">
      <c r="A3540" s="30"/>
      <c r="E3540" s="31"/>
      <c r="G3540" s="32" t="str">
        <f t="shared" si="110"/>
        <v>|||1900|</v>
      </c>
      <c r="H3540" s="32" t="str">
        <f t="shared" si="111"/>
        <v>||1900|</v>
      </c>
      <c r="I3540" s="32">
        <f>IF(G3540="",0,IF(COUNTIF($G$2:G3540,G3540)=1,1,0))</f>
        <v>0</v>
      </c>
      <c r="J3540" s="32">
        <f>IF(H3540="",0,IF(COUNTIF($H$2:H3540,H3540)=1,1,0))</f>
        <v>0</v>
      </c>
    </row>
    <row r="3541" spans="1:10" ht="14.25" hidden="1" customHeight="1" x14ac:dyDescent="0.35">
      <c r="A3541" s="30"/>
      <c r="E3541" s="31"/>
      <c r="G3541" s="32" t="str">
        <f t="shared" si="110"/>
        <v>|||1900|</v>
      </c>
      <c r="H3541" s="32" t="str">
        <f t="shared" si="111"/>
        <v>||1900|</v>
      </c>
      <c r="I3541" s="32">
        <f>IF(G3541="",0,IF(COUNTIF($G$2:G3541,G3541)=1,1,0))</f>
        <v>0</v>
      </c>
      <c r="J3541" s="32">
        <f>IF(H3541="",0,IF(COUNTIF($H$2:H3541,H3541)=1,1,0))</f>
        <v>0</v>
      </c>
    </row>
    <row r="3542" spans="1:10" ht="14.25" hidden="1" customHeight="1" x14ac:dyDescent="0.35">
      <c r="A3542" s="30"/>
      <c r="E3542" s="31"/>
      <c r="G3542" s="32" t="str">
        <f t="shared" si="110"/>
        <v>|||1900|</v>
      </c>
      <c r="H3542" s="32" t="str">
        <f t="shared" si="111"/>
        <v>||1900|</v>
      </c>
      <c r="I3542" s="32">
        <f>IF(G3542="",0,IF(COUNTIF($G$2:G3542,G3542)=1,1,0))</f>
        <v>0</v>
      </c>
      <c r="J3542" s="32">
        <f>IF(H3542="",0,IF(COUNTIF($H$2:H3542,H3542)=1,1,0))</f>
        <v>0</v>
      </c>
    </row>
    <row r="3543" spans="1:10" ht="14.25" hidden="1" customHeight="1" x14ac:dyDescent="0.35">
      <c r="A3543" s="30"/>
      <c r="E3543" s="31"/>
      <c r="G3543" s="32" t="str">
        <f t="shared" si="110"/>
        <v>|||1900|</v>
      </c>
      <c r="H3543" s="32" t="str">
        <f t="shared" si="111"/>
        <v>||1900|</v>
      </c>
      <c r="I3543" s="32">
        <f>IF(G3543="",0,IF(COUNTIF($G$2:G3543,G3543)=1,1,0))</f>
        <v>0</v>
      </c>
      <c r="J3543" s="32">
        <f>IF(H3543="",0,IF(COUNTIF($H$2:H3543,H3543)=1,1,0))</f>
        <v>0</v>
      </c>
    </row>
    <row r="3544" spans="1:10" ht="14.25" hidden="1" customHeight="1" x14ac:dyDescent="0.35">
      <c r="A3544" s="30"/>
      <c r="E3544" s="31"/>
      <c r="G3544" s="32" t="str">
        <f t="shared" si="110"/>
        <v>|||1900|</v>
      </c>
      <c r="H3544" s="32" t="str">
        <f t="shared" si="111"/>
        <v>||1900|</v>
      </c>
      <c r="I3544" s="32">
        <f>IF(G3544="",0,IF(COUNTIF($G$2:G3544,G3544)=1,1,0))</f>
        <v>0</v>
      </c>
      <c r="J3544" s="32">
        <f>IF(H3544="",0,IF(COUNTIF($H$2:H3544,H3544)=1,1,0))</f>
        <v>0</v>
      </c>
    </row>
    <row r="3545" spans="1:10" ht="14.25" hidden="1" customHeight="1" x14ac:dyDescent="0.35">
      <c r="A3545" s="30"/>
      <c r="E3545" s="31"/>
      <c r="G3545" s="32" t="str">
        <f t="shared" si="110"/>
        <v>|||1900|</v>
      </c>
      <c r="H3545" s="32" t="str">
        <f t="shared" si="111"/>
        <v>||1900|</v>
      </c>
      <c r="I3545" s="32">
        <f>IF(G3545="",0,IF(COUNTIF($G$2:G3545,G3545)=1,1,0))</f>
        <v>0</v>
      </c>
      <c r="J3545" s="32">
        <f>IF(H3545="",0,IF(COUNTIF($H$2:H3545,H3545)=1,1,0))</f>
        <v>0</v>
      </c>
    </row>
    <row r="3546" spans="1:10" ht="14.25" hidden="1" customHeight="1" x14ac:dyDescent="0.35">
      <c r="A3546" s="30"/>
      <c r="E3546" s="31"/>
      <c r="G3546" s="32" t="str">
        <f t="shared" si="110"/>
        <v>|||1900|</v>
      </c>
      <c r="H3546" s="32" t="str">
        <f t="shared" si="111"/>
        <v>||1900|</v>
      </c>
      <c r="I3546" s="32">
        <f>IF(G3546="",0,IF(COUNTIF($G$2:G3546,G3546)=1,1,0))</f>
        <v>0</v>
      </c>
      <c r="J3546" s="32">
        <f>IF(H3546="",0,IF(COUNTIF($H$2:H3546,H3546)=1,1,0))</f>
        <v>0</v>
      </c>
    </row>
    <row r="3547" spans="1:10" ht="14.25" hidden="1" customHeight="1" x14ac:dyDescent="0.35">
      <c r="A3547" s="30"/>
      <c r="E3547" s="31"/>
      <c r="G3547" s="32" t="str">
        <f t="shared" si="110"/>
        <v>|||1900|</v>
      </c>
      <c r="H3547" s="32" t="str">
        <f t="shared" si="111"/>
        <v>||1900|</v>
      </c>
      <c r="I3547" s="32">
        <f>IF(G3547="",0,IF(COUNTIF($G$2:G3547,G3547)=1,1,0))</f>
        <v>0</v>
      </c>
      <c r="J3547" s="32">
        <f>IF(H3547="",0,IF(COUNTIF($H$2:H3547,H3547)=1,1,0))</f>
        <v>0</v>
      </c>
    </row>
    <row r="3548" spans="1:10" ht="14.25" hidden="1" customHeight="1" x14ac:dyDescent="0.35">
      <c r="A3548" s="30"/>
      <c r="E3548" s="31"/>
      <c r="G3548" s="32" t="str">
        <f t="shared" si="110"/>
        <v>|||1900|</v>
      </c>
      <c r="H3548" s="32" t="str">
        <f t="shared" si="111"/>
        <v>||1900|</v>
      </c>
      <c r="I3548" s="32">
        <f>IF(G3548="",0,IF(COUNTIF($G$2:G3548,G3548)=1,1,0))</f>
        <v>0</v>
      </c>
      <c r="J3548" s="32">
        <f>IF(H3548="",0,IF(COUNTIF($H$2:H3548,H3548)=1,1,0))</f>
        <v>0</v>
      </c>
    </row>
    <row r="3549" spans="1:10" ht="14.25" hidden="1" customHeight="1" x14ac:dyDescent="0.35">
      <c r="A3549" s="30"/>
      <c r="E3549" s="31"/>
      <c r="G3549" s="32" t="str">
        <f t="shared" si="110"/>
        <v>|||1900|</v>
      </c>
      <c r="H3549" s="32" t="str">
        <f t="shared" si="111"/>
        <v>||1900|</v>
      </c>
      <c r="I3549" s="32">
        <f>IF(G3549="",0,IF(COUNTIF($G$2:G3549,G3549)=1,1,0))</f>
        <v>0</v>
      </c>
      <c r="J3549" s="32">
        <f>IF(H3549="",0,IF(COUNTIF($H$2:H3549,H3549)=1,1,0))</f>
        <v>0</v>
      </c>
    </row>
    <row r="3550" spans="1:10" ht="14.25" hidden="1" customHeight="1" x14ac:dyDescent="0.35">
      <c r="A3550" s="30"/>
      <c r="E3550" s="31"/>
      <c r="G3550" s="32" t="str">
        <f t="shared" si="110"/>
        <v>|||1900|</v>
      </c>
      <c r="H3550" s="32" t="str">
        <f t="shared" si="111"/>
        <v>||1900|</v>
      </c>
      <c r="I3550" s="32">
        <f>IF(G3550="",0,IF(COUNTIF($G$2:G3550,G3550)=1,1,0))</f>
        <v>0</v>
      </c>
      <c r="J3550" s="32">
        <f>IF(H3550="",0,IF(COUNTIF($H$2:H3550,H3550)=1,1,0))</f>
        <v>0</v>
      </c>
    </row>
    <row r="3551" spans="1:10" ht="14.25" hidden="1" customHeight="1" x14ac:dyDescent="0.35">
      <c r="A3551" s="30"/>
      <c r="E3551" s="31"/>
      <c r="G3551" s="32" t="str">
        <f t="shared" si="110"/>
        <v>|||1900|</v>
      </c>
      <c r="H3551" s="32" t="str">
        <f t="shared" si="111"/>
        <v>||1900|</v>
      </c>
      <c r="I3551" s="32">
        <f>IF(G3551="",0,IF(COUNTIF($G$2:G3551,G3551)=1,1,0))</f>
        <v>0</v>
      </c>
      <c r="J3551" s="32">
        <f>IF(H3551="",0,IF(COUNTIF($H$2:H3551,H3551)=1,1,0))</f>
        <v>0</v>
      </c>
    </row>
    <row r="3552" spans="1:10" ht="14.25" hidden="1" customHeight="1" x14ac:dyDescent="0.35">
      <c r="A3552" s="30"/>
      <c r="E3552" s="31"/>
      <c r="G3552" s="32" t="str">
        <f t="shared" si="110"/>
        <v>|||1900|</v>
      </c>
      <c r="H3552" s="32" t="str">
        <f t="shared" si="111"/>
        <v>||1900|</v>
      </c>
      <c r="I3552" s="32">
        <f>IF(G3552="",0,IF(COUNTIF($G$2:G3552,G3552)=1,1,0))</f>
        <v>0</v>
      </c>
      <c r="J3552" s="32">
        <f>IF(H3552="",0,IF(COUNTIF($H$2:H3552,H3552)=1,1,0))</f>
        <v>0</v>
      </c>
    </row>
    <row r="3553" spans="1:10" ht="14.25" hidden="1" customHeight="1" x14ac:dyDescent="0.35">
      <c r="A3553" s="30"/>
      <c r="E3553" s="31"/>
      <c r="G3553" s="32" t="str">
        <f t="shared" si="110"/>
        <v>|||1900|</v>
      </c>
      <c r="H3553" s="32" t="str">
        <f t="shared" si="111"/>
        <v>||1900|</v>
      </c>
      <c r="I3553" s="32">
        <f>IF(G3553="",0,IF(COUNTIF($G$2:G3553,G3553)=1,1,0))</f>
        <v>0</v>
      </c>
      <c r="J3553" s="32">
        <f>IF(H3553="",0,IF(COUNTIF($H$2:H3553,H3553)=1,1,0))</f>
        <v>0</v>
      </c>
    </row>
    <row r="3554" spans="1:10" ht="14.25" hidden="1" customHeight="1" x14ac:dyDescent="0.35">
      <c r="A3554" s="30"/>
      <c r="E3554" s="31"/>
      <c r="G3554" s="32" t="str">
        <f t="shared" si="110"/>
        <v>|||1900|</v>
      </c>
      <c r="H3554" s="32" t="str">
        <f t="shared" si="111"/>
        <v>||1900|</v>
      </c>
      <c r="I3554" s="32">
        <f>IF(G3554="",0,IF(COUNTIF($G$2:G3554,G3554)=1,1,0))</f>
        <v>0</v>
      </c>
      <c r="J3554" s="32">
        <f>IF(H3554="",0,IF(COUNTIF($H$2:H3554,H3554)=1,1,0))</f>
        <v>0</v>
      </c>
    </row>
    <row r="3555" spans="1:10" ht="14.25" hidden="1" customHeight="1" x14ac:dyDescent="0.35">
      <c r="A3555" s="30"/>
      <c r="E3555" s="31"/>
      <c r="G3555" s="32" t="str">
        <f t="shared" si="110"/>
        <v>|||1900|</v>
      </c>
      <c r="H3555" s="32" t="str">
        <f t="shared" si="111"/>
        <v>||1900|</v>
      </c>
      <c r="I3555" s="32">
        <f>IF(G3555="",0,IF(COUNTIF($G$2:G3555,G3555)=1,1,0))</f>
        <v>0</v>
      </c>
      <c r="J3555" s="32">
        <f>IF(H3555="",0,IF(COUNTIF($H$2:H3555,H3555)=1,1,0))</f>
        <v>0</v>
      </c>
    </row>
    <row r="3556" spans="1:10" ht="14.25" hidden="1" customHeight="1" x14ac:dyDescent="0.35">
      <c r="A3556" s="30"/>
      <c r="E3556" s="31"/>
      <c r="G3556" s="32" t="str">
        <f t="shared" si="110"/>
        <v>|||1900|</v>
      </c>
      <c r="H3556" s="32" t="str">
        <f t="shared" si="111"/>
        <v>||1900|</v>
      </c>
      <c r="I3556" s="32">
        <f>IF(G3556="",0,IF(COUNTIF($G$2:G3556,G3556)=1,1,0))</f>
        <v>0</v>
      </c>
      <c r="J3556" s="32">
        <f>IF(H3556="",0,IF(COUNTIF($H$2:H3556,H3556)=1,1,0))</f>
        <v>0</v>
      </c>
    </row>
    <row r="3557" spans="1:10" ht="14.25" hidden="1" customHeight="1" x14ac:dyDescent="0.35">
      <c r="A3557" s="30"/>
      <c r="E3557" s="31"/>
      <c r="G3557" s="32" t="str">
        <f t="shared" si="110"/>
        <v>|||1900|</v>
      </c>
      <c r="H3557" s="32" t="str">
        <f t="shared" si="111"/>
        <v>||1900|</v>
      </c>
      <c r="I3557" s="32">
        <f>IF(G3557="",0,IF(COUNTIF($G$2:G3557,G3557)=1,1,0))</f>
        <v>0</v>
      </c>
      <c r="J3557" s="32">
        <f>IF(H3557="",0,IF(COUNTIF($H$2:H3557,H3557)=1,1,0))</f>
        <v>0</v>
      </c>
    </row>
    <row r="3558" spans="1:10" ht="14.25" hidden="1" customHeight="1" x14ac:dyDescent="0.35">
      <c r="A3558" s="30"/>
      <c r="E3558" s="31"/>
      <c r="G3558" s="32" t="str">
        <f t="shared" si="110"/>
        <v>|||1900|</v>
      </c>
      <c r="H3558" s="32" t="str">
        <f t="shared" si="111"/>
        <v>||1900|</v>
      </c>
      <c r="I3558" s="32">
        <f>IF(G3558="",0,IF(COUNTIF($G$2:G3558,G3558)=1,1,0))</f>
        <v>0</v>
      </c>
      <c r="J3558" s="32">
        <f>IF(H3558="",0,IF(COUNTIF($H$2:H3558,H3558)=1,1,0))</f>
        <v>0</v>
      </c>
    </row>
    <row r="3559" spans="1:10" ht="14.25" hidden="1" customHeight="1" x14ac:dyDescent="0.35">
      <c r="A3559" s="30"/>
      <c r="E3559" s="31"/>
      <c r="G3559" s="32" t="str">
        <f t="shared" si="110"/>
        <v>|||1900|</v>
      </c>
      <c r="H3559" s="32" t="str">
        <f t="shared" si="111"/>
        <v>||1900|</v>
      </c>
      <c r="I3559" s="32">
        <f>IF(G3559="",0,IF(COUNTIF($G$2:G3559,G3559)=1,1,0))</f>
        <v>0</v>
      </c>
      <c r="J3559" s="32">
        <f>IF(H3559="",0,IF(COUNTIF($H$2:H3559,H3559)=1,1,0))</f>
        <v>0</v>
      </c>
    </row>
    <row r="3560" spans="1:10" ht="14.25" hidden="1" customHeight="1" x14ac:dyDescent="0.35">
      <c r="A3560" s="30"/>
      <c r="E3560" s="31"/>
      <c r="G3560" s="32" t="str">
        <f t="shared" si="110"/>
        <v>|||1900|</v>
      </c>
      <c r="H3560" s="32" t="str">
        <f t="shared" si="111"/>
        <v>||1900|</v>
      </c>
      <c r="I3560" s="32">
        <f>IF(G3560="",0,IF(COUNTIF($G$2:G3560,G3560)=1,1,0))</f>
        <v>0</v>
      </c>
      <c r="J3560" s="32">
        <f>IF(H3560="",0,IF(COUNTIF($H$2:H3560,H3560)=1,1,0))</f>
        <v>0</v>
      </c>
    </row>
    <row r="3561" spans="1:10" ht="14.25" hidden="1" customHeight="1" x14ac:dyDescent="0.35">
      <c r="A3561" s="30"/>
      <c r="E3561" s="31"/>
      <c r="G3561" s="32" t="str">
        <f t="shared" si="110"/>
        <v>|||1900|</v>
      </c>
      <c r="H3561" s="32" t="str">
        <f t="shared" si="111"/>
        <v>||1900|</v>
      </c>
      <c r="I3561" s="32">
        <f>IF(G3561="",0,IF(COUNTIF($G$2:G3561,G3561)=1,1,0))</f>
        <v>0</v>
      </c>
      <c r="J3561" s="32">
        <f>IF(H3561="",0,IF(COUNTIF($H$2:H3561,H3561)=1,1,0))</f>
        <v>0</v>
      </c>
    </row>
    <row r="3562" spans="1:10" ht="14.25" hidden="1" customHeight="1" x14ac:dyDescent="0.35">
      <c r="A3562" s="30"/>
      <c r="E3562" s="31"/>
      <c r="G3562" s="32" t="str">
        <f t="shared" si="110"/>
        <v>|||1900|</v>
      </c>
      <c r="H3562" s="32" t="str">
        <f t="shared" si="111"/>
        <v>||1900|</v>
      </c>
      <c r="I3562" s="32">
        <f>IF(G3562="",0,IF(COUNTIF($G$2:G3562,G3562)=1,1,0))</f>
        <v>0</v>
      </c>
      <c r="J3562" s="32">
        <f>IF(H3562="",0,IF(COUNTIF($H$2:H3562,H3562)=1,1,0))</f>
        <v>0</v>
      </c>
    </row>
    <row r="3563" spans="1:10" ht="14.25" hidden="1" customHeight="1" x14ac:dyDescent="0.35">
      <c r="A3563" s="30"/>
      <c r="E3563" s="31"/>
      <c r="G3563" s="32" t="str">
        <f t="shared" si="110"/>
        <v>|||1900|</v>
      </c>
      <c r="H3563" s="32" t="str">
        <f t="shared" si="111"/>
        <v>||1900|</v>
      </c>
      <c r="I3563" s="32">
        <f>IF(G3563="",0,IF(COUNTIF($G$2:G3563,G3563)=1,1,0))</f>
        <v>0</v>
      </c>
      <c r="J3563" s="32">
        <f>IF(H3563="",0,IF(COUNTIF($H$2:H3563,H3563)=1,1,0))</f>
        <v>0</v>
      </c>
    </row>
    <row r="3564" spans="1:10" ht="14.25" hidden="1" customHeight="1" x14ac:dyDescent="0.35">
      <c r="A3564" s="30"/>
      <c r="E3564" s="31"/>
      <c r="G3564" s="32" t="str">
        <f t="shared" si="110"/>
        <v>|||1900|</v>
      </c>
      <c r="H3564" s="32" t="str">
        <f t="shared" si="111"/>
        <v>||1900|</v>
      </c>
      <c r="I3564" s="32">
        <f>IF(G3564="",0,IF(COUNTIF($G$2:G3564,G3564)=1,1,0))</f>
        <v>0</v>
      </c>
      <c r="J3564" s="32">
        <f>IF(H3564="",0,IF(COUNTIF($H$2:H3564,H3564)=1,1,0))</f>
        <v>0</v>
      </c>
    </row>
    <row r="3565" spans="1:10" ht="14.25" hidden="1" customHeight="1" x14ac:dyDescent="0.35">
      <c r="A3565" s="30"/>
      <c r="E3565" s="31"/>
      <c r="G3565" s="32" t="str">
        <f t="shared" si="110"/>
        <v>|||1900|</v>
      </c>
      <c r="H3565" s="32" t="str">
        <f t="shared" si="111"/>
        <v>||1900|</v>
      </c>
      <c r="I3565" s="32">
        <f>IF(G3565="",0,IF(COUNTIF($G$2:G3565,G3565)=1,1,0))</f>
        <v>0</v>
      </c>
      <c r="J3565" s="32">
        <f>IF(H3565="",0,IF(COUNTIF($H$2:H3565,H3565)=1,1,0))</f>
        <v>0</v>
      </c>
    </row>
    <row r="3566" spans="1:10" ht="14.25" hidden="1" customHeight="1" x14ac:dyDescent="0.35">
      <c r="A3566" s="30"/>
      <c r="E3566" s="31"/>
      <c r="G3566" s="32" t="str">
        <f t="shared" si="110"/>
        <v>|||1900|</v>
      </c>
      <c r="H3566" s="32" t="str">
        <f t="shared" si="111"/>
        <v>||1900|</v>
      </c>
      <c r="I3566" s="32">
        <f>IF(G3566="",0,IF(COUNTIF($G$2:G3566,G3566)=1,1,0))</f>
        <v>0</v>
      </c>
      <c r="J3566" s="32">
        <f>IF(H3566="",0,IF(COUNTIF($H$2:H3566,H3566)=1,1,0))</f>
        <v>0</v>
      </c>
    </row>
    <row r="3567" spans="1:10" ht="14.25" hidden="1" customHeight="1" x14ac:dyDescent="0.35">
      <c r="A3567" s="30"/>
      <c r="E3567" s="31"/>
      <c r="G3567" s="32" t="str">
        <f t="shared" si="110"/>
        <v>|||1900|</v>
      </c>
      <c r="H3567" s="32" t="str">
        <f t="shared" si="111"/>
        <v>||1900|</v>
      </c>
      <c r="I3567" s="32">
        <f>IF(G3567="",0,IF(COUNTIF($G$2:G3567,G3567)=1,1,0))</f>
        <v>0</v>
      </c>
      <c r="J3567" s="32">
        <f>IF(H3567="",0,IF(COUNTIF($H$2:H3567,H3567)=1,1,0))</f>
        <v>0</v>
      </c>
    </row>
    <row r="3568" spans="1:10" ht="14.25" hidden="1" customHeight="1" x14ac:dyDescent="0.35">
      <c r="A3568" s="30"/>
      <c r="E3568" s="31"/>
      <c r="G3568" s="32" t="str">
        <f t="shared" si="110"/>
        <v>|||1900|</v>
      </c>
      <c r="H3568" s="32" t="str">
        <f t="shared" si="111"/>
        <v>||1900|</v>
      </c>
      <c r="I3568" s="32">
        <f>IF(G3568="",0,IF(COUNTIF($G$2:G3568,G3568)=1,1,0))</f>
        <v>0</v>
      </c>
      <c r="J3568" s="32">
        <f>IF(H3568="",0,IF(COUNTIF($H$2:H3568,H3568)=1,1,0))</f>
        <v>0</v>
      </c>
    </row>
    <row r="3569" spans="1:10" ht="14.25" hidden="1" customHeight="1" x14ac:dyDescent="0.35">
      <c r="A3569" s="30"/>
      <c r="E3569" s="31"/>
      <c r="G3569" s="32" t="str">
        <f t="shared" si="110"/>
        <v>|||1900|</v>
      </c>
      <c r="H3569" s="32" t="str">
        <f t="shared" si="111"/>
        <v>||1900|</v>
      </c>
      <c r="I3569" s="32">
        <f>IF(G3569="",0,IF(COUNTIF($G$2:G3569,G3569)=1,1,0))</f>
        <v>0</v>
      </c>
      <c r="J3569" s="32">
        <f>IF(H3569="",0,IF(COUNTIF($H$2:H3569,H3569)=1,1,0))</f>
        <v>0</v>
      </c>
    </row>
    <row r="3570" spans="1:10" ht="14.25" hidden="1" customHeight="1" x14ac:dyDescent="0.35">
      <c r="A3570" s="30"/>
      <c r="E3570" s="31"/>
      <c r="G3570" s="32" t="str">
        <f t="shared" si="110"/>
        <v>|||1900|</v>
      </c>
      <c r="H3570" s="32" t="str">
        <f t="shared" si="111"/>
        <v>||1900|</v>
      </c>
      <c r="I3570" s="32">
        <f>IF(G3570="",0,IF(COUNTIF($G$2:G3570,G3570)=1,1,0))</f>
        <v>0</v>
      </c>
      <c r="J3570" s="32">
        <f>IF(H3570="",0,IF(COUNTIF($H$2:H3570,H3570)=1,1,0))</f>
        <v>0</v>
      </c>
    </row>
    <row r="3571" spans="1:10" ht="14.25" hidden="1" customHeight="1" x14ac:dyDescent="0.35">
      <c r="A3571" s="30"/>
      <c r="E3571" s="31"/>
      <c r="G3571" s="32" t="str">
        <f t="shared" si="110"/>
        <v>|||1900|</v>
      </c>
      <c r="H3571" s="32" t="str">
        <f t="shared" si="111"/>
        <v>||1900|</v>
      </c>
      <c r="I3571" s="32">
        <f>IF(G3571="",0,IF(COUNTIF($G$2:G3571,G3571)=1,1,0))</f>
        <v>0</v>
      </c>
      <c r="J3571" s="32">
        <f>IF(H3571="",0,IF(COUNTIF($H$2:H3571,H3571)=1,1,0))</f>
        <v>0</v>
      </c>
    </row>
    <row r="3572" spans="1:10" ht="14.25" hidden="1" customHeight="1" x14ac:dyDescent="0.35">
      <c r="A3572" s="30"/>
      <c r="E3572" s="31"/>
      <c r="G3572" s="32" t="str">
        <f t="shared" si="110"/>
        <v>|||1900|</v>
      </c>
      <c r="H3572" s="32" t="str">
        <f t="shared" si="111"/>
        <v>||1900|</v>
      </c>
      <c r="I3572" s="32">
        <f>IF(G3572="",0,IF(COUNTIF($G$2:G3572,G3572)=1,1,0))</f>
        <v>0</v>
      </c>
      <c r="J3572" s="32">
        <f>IF(H3572="",0,IF(COUNTIF($H$2:H3572,H3572)=1,1,0))</f>
        <v>0</v>
      </c>
    </row>
    <row r="3573" spans="1:10" ht="14.25" hidden="1" customHeight="1" x14ac:dyDescent="0.35">
      <c r="A3573" s="30"/>
      <c r="E3573" s="31"/>
      <c r="G3573" s="32" t="str">
        <f t="shared" si="110"/>
        <v>|||1900|</v>
      </c>
      <c r="H3573" s="32" t="str">
        <f t="shared" si="111"/>
        <v>||1900|</v>
      </c>
      <c r="I3573" s="32">
        <f>IF(G3573="",0,IF(COUNTIF($G$2:G3573,G3573)=1,1,0))</f>
        <v>0</v>
      </c>
      <c r="J3573" s="32">
        <f>IF(H3573="",0,IF(COUNTIF($H$2:H3573,H3573)=1,1,0))</f>
        <v>0</v>
      </c>
    </row>
    <row r="3574" spans="1:10" ht="14.25" hidden="1" customHeight="1" x14ac:dyDescent="0.35">
      <c r="A3574" s="30"/>
      <c r="E3574" s="31"/>
      <c r="G3574" s="32" t="str">
        <f t="shared" si="110"/>
        <v>|||1900|</v>
      </c>
      <c r="H3574" s="32" t="str">
        <f t="shared" si="111"/>
        <v>||1900|</v>
      </c>
      <c r="I3574" s="32">
        <f>IF(G3574="",0,IF(COUNTIF($G$2:G3574,G3574)=1,1,0))</f>
        <v>0</v>
      </c>
      <c r="J3574" s="32">
        <f>IF(H3574="",0,IF(COUNTIF($H$2:H3574,H3574)=1,1,0))</f>
        <v>0</v>
      </c>
    </row>
    <row r="3575" spans="1:10" ht="14.25" hidden="1" customHeight="1" x14ac:dyDescent="0.35">
      <c r="A3575" s="30"/>
      <c r="E3575" s="31"/>
      <c r="G3575" s="32" t="str">
        <f t="shared" si="110"/>
        <v>|||1900|</v>
      </c>
      <c r="H3575" s="32" t="str">
        <f t="shared" si="111"/>
        <v>||1900|</v>
      </c>
      <c r="I3575" s="32">
        <f>IF(G3575="",0,IF(COUNTIF($G$2:G3575,G3575)=1,1,0))</f>
        <v>0</v>
      </c>
      <c r="J3575" s="32">
        <f>IF(H3575="",0,IF(COUNTIF($H$2:H3575,H3575)=1,1,0))</f>
        <v>0</v>
      </c>
    </row>
    <row r="3576" spans="1:10" ht="14.25" hidden="1" customHeight="1" x14ac:dyDescent="0.35">
      <c r="A3576" s="30"/>
      <c r="E3576" s="31"/>
      <c r="G3576" s="32" t="str">
        <f t="shared" si="110"/>
        <v>|||1900|</v>
      </c>
      <c r="H3576" s="32" t="str">
        <f t="shared" si="111"/>
        <v>||1900|</v>
      </c>
      <c r="I3576" s="32">
        <f>IF(G3576="",0,IF(COUNTIF($G$2:G3576,G3576)=1,1,0))</f>
        <v>0</v>
      </c>
      <c r="J3576" s="32">
        <f>IF(H3576="",0,IF(COUNTIF($H$2:H3576,H3576)=1,1,0))</f>
        <v>0</v>
      </c>
    </row>
    <row r="3577" spans="1:10" ht="14.25" hidden="1" customHeight="1" x14ac:dyDescent="0.35">
      <c r="A3577" s="30"/>
      <c r="E3577" s="31"/>
      <c r="G3577" s="32" t="str">
        <f t="shared" si="110"/>
        <v>|||1900|</v>
      </c>
      <c r="H3577" s="32" t="str">
        <f t="shared" si="111"/>
        <v>||1900|</v>
      </c>
      <c r="I3577" s="32">
        <f>IF(G3577="",0,IF(COUNTIF($G$2:G3577,G3577)=1,1,0))</f>
        <v>0</v>
      </c>
      <c r="J3577" s="32">
        <f>IF(H3577="",0,IF(COUNTIF($H$2:H3577,H3577)=1,1,0))</f>
        <v>0</v>
      </c>
    </row>
    <row r="3578" spans="1:10" ht="14.25" hidden="1" customHeight="1" x14ac:dyDescent="0.35">
      <c r="A3578" s="30"/>
      <c r="E3578" s="31"/>
      <c r="G3578" s="32" t="str">
        <f t="shared" si="110"/>
        <v>|||1900|</v>
      </c>
      <c r="H3578" s="32" t="str">
        <f t="shared" si="111"/>
        <v>||1900|</v>
      </c>
      <c r="I3578" s="32">
        <f>IF(G3578="",0,IF(COUNTIF($G$2:G3578,G3578)=1,1,0))</f>
        <v>0</v>
      </c>
      <c r="J3578" s="32">
        <f>IF(H3578="",0,IF(COUNTIF($H$2:H3578,H3578)=1,1,0))</f>
        <v>0</v>
      </c>
    </row>
    <row r="3579" spans="1:10" ht="14.25" hidden="1" customHeight="1" x14ac:dyDescent="0.35">
      <c r="A3579" s="30"/>
      <c r="E3579" s="31"/>
      <c r="G3579" s="32" t="str">
        <f t="shared" si="110"/>
        <v>|||1900|</v>
      </c>
      <c r="H3579" s="32" t="str">
        <f t="shared" si="111"/>
        <v>||1900|</v>
      </c>
      <c r="I3579" s="32">
        <f>IF(G3579="",0,IF(COUNTIF($G$2:G3579,G3579)=1,1,0))</f>
        <v>0</v>
      </c>
      <c r="J3579" s="32">
        <f>IF(H3579="",0,IF(COUNTIF($H$2:H3579,H3579)=1,1,0))</f>
        <v>0</v>
      </c>
    </row>
    <row r="3580" spans="1:10" ht="14.25" hidden="1" customHeight="1" x14ac:dyDescent="0.35">
      <c r="A3580" s="30"/>
      <c r="E3580" s="31"/>
      <c r="G3580" s="32" t="str">
        <f t="shared" si="110"/>
        <v>|||1900|</v>
      </c>
      <c r="H3580" s="32" t="str">
        <f t="shared" si="111"/>
        <v>||1900|</v>
      </c>
      <c r="I3580" s="32">
        <f>IF(G3580="",0,IF(COUNTIF($G$2:G3580,G3580)=1,1,0))</f>
        <v>0</v>
      </c>
      <c r="J3580" s="32">
        <f>IF(H3580="",0,IF(COUNTIF($H$2:H3580,H3580)=1,1,0))</f>
        <v>0</v>
      </c>
    </row>
    <row r="3581" spans="1:10" ht="14.25" hidden="1" customHeight="1" x14ac:dyDescent="0.35">
      <c r="A3581" s="30"/>
      <c r="E3581" s="31"/>
      <c r="G3581" s="32" t="str">
        <f t="shared" si="110"/>
        <v>|||1900|</v>
      </c>
      <c r="H3581" s="32" t="str">
        <f t="shared" si="111"/>
        <v>||1900|</v>
      </c>
      <c r="I3581" s="32">
        <f>IF(G3581="",0,IF(COUNTIF($G$2:G3581,G3581)=1,1,0))</f>
        <v>0</v>
      </c>
      <c r="J3581" s="32">
        <f>IF(H3581="",0,IF(COUNTIF($H$2:H3581,H3581)=1,1,0))</f>
        <v>0</v>
      </c>
    </row>
    <row r="3582" spans="1:10" ht="14.25" hidden="1" customHeight="1" x14ac:dyDescent="0.35">
      <c r="A3582" s="30"/>
      <c r="E3582" s="31"/>
      <c r="G3582" s="32" t="str">
        <f t="shared" si="110"/>
        <v>|||1900|</v>
      </c>
      <c r="H3582" s="32" t="str">
        <f t="shared" si="111"/>
        <v>||1900|</v>
      </c>
      <c r="I3582" s="32">
        <f>IF(G3582="",0,IF(COUNTIF($G$2:G3582,G3582)=1,1,0))</f>
        <v>0</v>
      </c>
      <c r="J3582" s="32">
        <f>IF(H3582="",0,IF(COUNTIF($H$2:H3582,H3582)=1,1,0))</f>
        <v>0</v>
      </c>
    </row>
    <row r="3583" spans="1:10" ht="14.25" hidden="1" customHeight="1" x14ac:dyDescent="0.35">
      <c r="A3583" s="30"/>
      <c r="E3583" s="31"/>
      <c r="G3583" s="32" t="str">
        <f t="shared" si="110"/>
        <v>|||1900|</v>
      </c>
      <c r="H3583" s="32" t="str">
        <f t="shared" si="111"/>
        <v>||1900|</v>
      </c>
      <c r="I3583" s="32">
        <f>IF(G3583="",0,IF(COUNTIF($G$2:G3583,G3583)=1,1,0))</f>
        <v>0</v>
      </c>
      <c r="J3583" s="32">
        <f>IF(H3583="",0,IF(COUNTIF($H$2:H3583,H3583)=1,1,0))</f>
        <v>0</v>
      </c>
    </row>
    <row r="3584" spans="1:10" ht="14.25" hidden="1" customHeight="1" x14ac:dyDescent="0.35">
      <c r="A3584" s="30"/>
      <c r="E3584" s="31"/>
      <c r="G3584" s="32" t="str">
        <f t="shared" si="110"/>
        <v>|||1900|</v>
      </c>
      <c r="H3584" s="32" t="str">
        <f t="shared" si="111"/>
        <v>||1900|</v>
      </c>
      <c r="I3584" s="32">
        <f>IF(G3584="",0,IF(COUNTIF($G$2:G3584,G3584)=1,1,0))</f>
        <v>0</v>
      </c>
      <c r="J3584" s="32">
        <f>IF(H3584="",0,IF(COUNTIF($H$2:H3584,H3584)=1,1,0))</f>
        <v>0</v>
      </c>
    </row>
    <row r="3585" spans="1:10" ht="14.25" hidden="1" customHeight="1" x14ac:dyDescent="0.35">
      <c r="A3585" s="30"/>
      <c r="E3585" s="31"/>
      <c r="G3585" s="32" t="str">
        <f t="shared" si="110"/>
        <v>|||1900|</v>
      </c>
      <c r="H3585" s="32" t="str">
        <f t="shared" si="111"/>
        <v>||1900|</v>
      </c>
      <c r="I3585" s="32">
        <f>IF(G3585="",0,IF(COUNTIF($G$2:G3585,G3585)=1,1,0))</f>
        <v>0</v>
      </c>
      <c r="J3585" s="32">
        <f>IF(H3585="",0,IF(COUNTIF($H$2:H3585,H3585)=1,1,0))</f>
        <v>0</v>
      </c>
    </row>
    <row r="3586" spans="1:10" ht="14.25" hidden="1" customHeight="1" x14ac:dyDescent="0.35">
      <c r="A3586" s="30"/>
      <c r="E3586" s="31"/>
      <c r="G3586" s="32" t="str">
        <f t="shared" ref="G3586:G3649" si="112">IF(D3586="T",
E3586&amp;"|"&amp;F3586,
A3586&amp;"|"&amp;B3586&amp;"|"&amp;C3586&amp;"|"&amp;YEAR(E3586)&amp;"|"&amp;F3586)</f>
        <v>|||1900|</v>
      </c>
      <c r="H3586" s="32" t="str">
        <f t="shared" ref="H3586:H3649" si="113">A3586&amp;"|"&amp;C3586&amp;"|"&amp;YEAR(E3586)&amp;"|"&amp;F3586</f>
        <v>||1900|</v>
      </c>
      <c r="I3586" s="32">
        <f>IF(G3586="",0,IF(COUNTIF($G$2:G3586,G3586)=1,1,0))</f>
        <v>0</v>
      </c>
      <c r="J3586" s="32">
        <f>IF(H3586="",0,IF(COUNTIF($H$2:H3586,H3586)=1,1,0))</f>
        <v>0</v>
      </c>
    </row>
    <row r="3587" spans="1:10" ht="14.25" hidden="1" customHeight="1" x14ac:dyDescent="0.35">
      <c r="A3587" s="30"/>
      <c r="E3587" s="31"/>
      <c r="G3587" s="32" t="str">
        <f t="shared" si="112"/>
        <v>|||1900|</v>
      </c>
      <c r="H3587" s="32" t="str">
        <f t="shared" si="113"/>
        <v>||1900|</v>
      </c>
      <c r="I3587" s="32">
        <f>IF(G3587="",0,IF(COUNTIF($G$2:G3587,G3587)=1,1,0))</f>
        <v>0</v>
      </c>
      <c r="J3587" s="32">
        <f>IF(H3587="",0,IF(COUNTIF($H$2:H3587,H3587)=1,1,0))</f>
        <v>0</v>
      </c>
    </row>
    <row r="3588" spans="1:10" ht="14.25" hidden="1" customHeight="1" x14ac:dyDescent="0.35">
      <c r="A3588" s="30"/>
      <c r="E3588" s="31"/>
      <c r="G3588" s="32" t="str">
        <f t="shared" si="112"/>
        <v>|||1900|</v>
      </c>
      <c r="H3588" s="32" t="str">
        <f t="shared" si="113"/>
        <v>||1900|</v>
      </c>
      <c r="I3588" s="32">
        <f>IF(G3588="",0,IF(COUNTIF($G$2:G3588,G3588)=1,1,0))</f>
        <v>0</v>
      </c>
      <c r="J3588" s="32">
        <f>IF(H3588="",0,IF(COUNTIF($H$2:H3588,H3588)=1,1,0))</f>
        <v>0</v>
      </c>
    </row>
    <row r="3589" spans="1:10" ht="14.25" hidden="1" customHeight="1" x14ac:dyDescent="0.35">
      <c r="A3589" s="30"/>
      <c r="E3589" s="31"/>
      <c r="G3589" s="32" t="str">
        <f t="shared" si="112"/>
        <v>|||1900|</v>
      </c>
      <c r="H3589" s="32" t="str">
        <f t="shared" si="113"/>
        <v>||1900|</v>
      </c>
      <c r="I3589" s="32">
        <f>IF(G3589="",0,IF(COUNTIF($G$2:G3589,G3589)=1,1,0))</f>
        <v>0</v>
      </c>
      <c r="J3589" s="32">
        <f>IF(H3589="",0,IF(COUNTIF($H$2:H3589,H3589)=1,1,0))</f>
        <v>0</v>
      </c>
    </row>
    <row r="3590" spans="1:10" ht="14.25" hidden="1" customHeight="1" x14ac:dyDescent="0.35">
      <c r="A3590" s="30"/>
      <c r="E3590" s="31"/>
      <c r="G3590" s="32" t="str">
        <f t="shared" si="112"/>
        <v>|||1900|</v>
      </c>
      <c r="H3590" s="32" t="str">
        <f t="shared" si="113"/>
        <v>||1900|</v>
      </c>
      <c r="I3590" s="32">
        <f>IF(G3590="",0,IF(COUNTIF($G$2:G3590,G3590)=1,1,0))</f>
        <v>0</v>
      </c>
      <c r="J3590" s="32">
        <f>IF(H3590="",0,IF(COUNTIF($H$2:H3590,H3590)=1,1,0))</f>
        <v>0</v>
      </c>
    </row>
    <row r="3591" spans="1:10" ht="14.25" hidden="1" customHeight="1" x14ac:dyDescent="0.35">
      <c r="A3591" s="30"/>
      <c r="E3591" s="31"/>
      <c r="G3591" s="32" t="str">
        <f t="shared" si="112"/>
        <v>|||1900|</v>
      </c>
      <c r="H3591" s="32" t="str">
        <f t="shared" si="113"/>
        <v>||1900|</v>
      </c>
      <c r="I3591" s="32">
        <f>IF(G3591="",0,IF(COUNTIF($G$2:G3591,G3591)=1,1,0))</f>
        <v>0</v>
      </c>
      <c r="J3591" s="32">
        <f>IF(H3591="",0,IF(COUNTIF($H$2:H3591,H3591)=1,1,0))</f>
        <v>0</v>
      </c>
    </row>
    <row r="3592" spans="1:10" ht="14.25" hidden="1" customHeight="1" x14ac:dyDescent="0.35">
      <c r="A3592" s="30"/>
      <c r="E3592" s="31"/>
      <c r="G3592" s="32" t="str">
        <f t="shared" si="112"/>
        <v>|||1900|</v>
      </c>
      <c r="H3592" s="32" t="str">
        <f t="shared" si="113"/>
        <v>||1900|</v>
      </c>
      <c r="I3592" s="32">
        <f>IF(G3592="",0,IF(COUNTIF($G$2:G3592,G3592)=1,1,0))</f>
        <v>0</v>
      </c>
      <c r="J3592" s="32">
        <f>IF(H3592="",0,IF(COUNTIF($H$2:H3592,H3592)=1,1,0))</f>
        <v>0</v>
      </c>
    </row>
    <row r="3593" spans="1:10" ht="14.25" hidden="1" customHeight="1" x14ac:dyDescent="0.35">
      <c r="A3593" s="30"/>
      <c r="E3593" s="31"/>
      <c r="G3593" s="32" t="str">
        <f t="shared" si="112"/>
        <v>|||1900|</v>
      </c>
      <c r="H3593" s="32" t="str">
        <f t="shared" si="113"/>
        <v>||1900|</v>
      </c>
      <c r="I3593" s="32">
        <f>IF(G3593="",0,IF(COUNTIF($G$2:G3593,G3593)=1,1,0))</f>
        <v>0</v>
      </c>
      <c r="J3593" s="32">
        <f>IF(H3593="",0,IF(COUNTIF($H$2:H3593,H3593)=1,1,0))</f>
        <v>0</v>
      </c>
    </row>
    <row r="3594" spans="1:10" ht="14.25" hidden="1" customHeight="1" x14ac:dyDescent="0.35">
      <c r="A3594" s="30"/>
      <c r="E3594" s="31"/>
      <c r="G3594" s="32" t="str">
        <f t="shared" si="112"/>
        <v>|||1900|</v>
      </c>
      <c r="H3594" s="32" t="str">
        <f t="shared" si="113"/>
        <v>||1900|</v>
      </c>
      <c r="I3594" s="32">
        <f>IF(G3594="",0,IF(COUNTIF($G$2:G3594,G3594)=1,1,0))</f>
        <v>0</v>
      </c>
      <c r="J3594" s="32">
        <f>IF(H3594="",0,IF(COUNTIF($H$2:H3594,H3594)=1,1,0))</f>
        <v>0</v>
      </c>
    </row>
    <row r="3595" spans="1:10" ht="14.25" hidden="1" customHeight="1" x14ac:dyDescent="0.35">
      <c r="A3595" s="30"/>
      <c r="E3595" s="31"/>
      <c r="G3595" s="32" t="str">
        <f t="shared" si="112"/>
        <v>|||1900|</v>
      </c>
      <c r="H3595" s="32" t="str">
        <f t="shared" si="113"/>
        <v>||1900|</v>
      </c>
      <c r="I3595" s="32">
        <f>IF(G3595="",0,IF(COUNTIF($G$2:G3595,G3595)=1,1,0))</f>
        <v>0</v>
      </c>
      <c r="J3595" s="32">
        <f>IF(H3595="",0,IF(COUNTIF($H$2:H3595,H3595)=1,1,0))</f>
        <v>0</v>
      </c>
    </row>
    <row r="3596" spans="1:10" ht="14.25" hidden="1" customHeight="1" x14ac:dyDescent="0.35">
      <c r="A3596" s="30"/>
      <c r="E3596" s="31"/>
      <c r="G3596" s="32" t="str">
        <f t="shared" si="112"/>
        <v>|||1900|</v>
      </c>
      <c r="H3596" s="32" t="str">
        <f t="shared" si="113"/>
        <v>||1900|</v>
      </c>
      <c r="I3596" s="32">
        <f>IF(G3596="",0,IF(COUNTIF($G$2:G3596,G3596)=1,1,0))</f>
        <v>0</v>
      </c>
      <c r="J3596" s="32">
        <f>IF(H3596="",0,IF(COUNTIF($H$2:H3596,H3596)=1,1,0))</f>
        <v>0</v>
      </c>
    </row>
    <row r="3597" spans="1:10" ht="14.25" hidden="1" customHeight="1" x14ac:dyDescent="0.35">
      <c r="A3597" s="30"/>
      <c r="E3597" s="31"/>
      <c r="G3597" s="32" t="str">
        <f t="shared" si="112"/>
        <v>|||1900|</v>
      </c>
      <c r="H3597" s="32" t="str">
        <f t="shared" si="113"/>
        <v>||1900|</v>
      </c>
      <c r="I3597" s="32">
        <f>IF(G3597="",0,IF(COUNTIF($G$2:G3597,G3597)=1,1,0))</f>
        <v>0</v>
      </c>
      <c r="J3597" s="32">
        <f>IF(H3597="",0,IF(COUNTIF($H$2:H3597,H3597)=1,1,0))</f>
        <v>0</v>
      </c>
    </row>
    <row r="3598" spans="1:10" ht="14.25" hidden="1" customHeight="1" x14ac:dyDescent="0.35">
      <c r="A3598" s="30"/>
      <c r="E3598" s="31"/>
      <c r="G3598" s="32" t="str">
        <f t="shared" si="112"/>
        <v>|||1900|</v>
      </c>
      <c r="H3598" s="32" t="str">
        <f t="shared" si="113"/>
        <v>||1900|</v>
      </c>
      <c r="I3598" s="32">
        <f>IF(G3598="",0,IF(COUNTIF($G$2:G3598,G3598)=1,1,0))</f>
        <v>0</v>
      </c>
      <c r="J3598" s="32">
        <f>IF(H3598="",0,IF(COUNTIF($H$2:H3598,H3598)=1,1,0))</f>
        <v>0</v>
      </c>
    </row>
    <row r="3599" spans="1:10" ht="14.25" hidden="1" customHeight="1" x14ac:dyDescent="0.35">
      <c r="A3599" s="30"/>
      <c r="E3599" s="31"/>
      <c r="G3599" s="32" t="str">
        <f t="shared" si="112"/>
        <v>|||1900|</v>
      </c>
      <c r="H3599" s="32" t="str">
        <f t="shared" si="113"/>
        <v>||1900|</v>
      </c>
      <c r="I3599" s="32">
        <f>IF(G3599="",0,IF(COUNTIF($G$2:G3599,G3599)=1,1,0))</f>
        <v>0</v>
      </c>
      <c r="J3599" s="32">
        <f>IF(H3599="",0,IF(COUNTIF($H$2:H3599,H3599)=1,1,0))</f>
        <v>0</v>
      </c>
    </row>
    <row r="3600" spans="1:10" ht="14.25" hidden="1" customHeight="1" x14ac:dyDescent="0.35">
      <c r="A3600" s="30"/>
      <c r="E3600" s="31"/>
      <c r="G3600" s="32" t="str">
        <f t="shared" si="112"/>
        <v>|||1900|</v>
      </c>
      <c r="H3600" s="32" t="str">
        <f t="shared" si="113"/>
        <v>||1900|</v>
      </c>
      <c r="I3600" s="32">
        <f>IF(G3600="",0,IF(COUNTIF($G$2:G3600,G3600)=1,1,0))</f>
        <v>0</v>
      </c>
      <c r="J3600" s="32">
        <f>IF(H3600="",0,IF(COUNTIF($H$2:H3600,H3600)=1,1,0))</f>
        <v>0</v>
      </c>
    </row>
    <row r="3601" spans="1:10" ht="14.25" hidden="1" customHeight="1" x14ac:dyDescent="0.35">
      <c r="A3601" s="30"/>
      <c r="E3601" s="31"/>
      <c r="G3601" s="32" t="str">
        <f t="shared" si="112"/>
        <v>|||1900|</v>
      </c>
      <c r="H3601" s="32" t="str">
        <f t="shared" si="113"/>
        <v>||1900|</v>
      </c>
      <c r="I3601" s="32">
        <f>IF(G3601="",0,IF(COUNTIF($G$2:G3601,G3601)=1,1,0))</f>
        <v>0</v>
      </c>
      <c r="J3601" s="32">
        <f>IF(H3601="",0,IF(COUNTIF($H$2:H3601,H3601)=1,1,0))</f>
        <v>0</v>
      </c>
    </row>
    <row r="3602" spans="1:10" ht="14.25" hidden="1" customHeight="1" x14ac:dyDescent="0.35">
      <c r="A3602" s="30"/>
      <c r="E3602" s="31"/>
      <c r="G3602" s="32" t="str">
        <f t="shared" si="112"/>
        <v>|||1900|</v>
      </c>
      <c r="H3602" s="32" t="str">
        <f t="shared" si="113"/>
        <v>||1900|</v>
      </c>
      <c r="I3602" s="32">
        <f>IF(G3602="",0,IF(COUNTIF($G$2:G3602,G3602)=1,1,0))</f>
        <v>0</v>
      </c>
      <c r="J3602" s="32">
        <f>IF(H3602="",0,IF(COUNTIF($H$2:H3602,H3602)=1,1,0))</f>
        <v>0</v>
      </c>
    </row>
    <row r="3603" spans="1:10" ht="14.25" hidden="1" customHeight="1" x14ac:dyDescent="0.35">
      <c r="A3603" s="30"/>
      <c r="E3603" s="31"/>
      <c r="G3603" s="32" t="str">
        <f t="shared" si="112"/>
        <v>|||1900|</v>
      </c>
      <c r="H3603" s="32" t="str">
        <f t="shared" si="113"/>
        <v>||1900|</v>
      </c>
      <c r="I3603" s="32">
        <f>IF(G3603="",0,IF(COUNTIF($G$2:G3603,G3603)=1,1,0))</f>
        <v>0</v>
      </c>
      <c r="J3603" s="32">
        <f>IF(H3603="",0,IF(COUNTIF($H$2:H3603,H3603)=1,1,0))</f>
        <v>0</v>
      </c>
    </row>
    <row r="3604" spans="1:10" ht="14.25" hidden="1" customHeight="1" x14ac:dyDescent="0.35">
      <c r="A3604" s="30"/>
      <c r="E3604" s="31"/>
      <c r="G3604" s="32" t="str">
        <f t="shared" si="112"/>
        <v>|||1900|</v>
      </c>
      <c r="H3604" s="32" t="str">
        <f t="shared" si="113"/>
        <v>||1900|</v>
      </c>
      <c r="I3604" s="32">
        <f>IF(G3604="",0,IF(COUNTIF($G$2:G3604,G3604)=1,1,0))</f>
        <v>0</v>
      </c>
      <c r="J3604" s="32">
        <f>IF(H3604="",0,IF(COUNTIF($H$2:H3604,H3604)=1,1,0))</f>
        <v>0</v>
      </c>
    </row>
    <row r="3605" spans="1:10" ht="14.25" hidden="1" customHeight="1" x14ac:dyDescent="0.35">
      <c r="A3605" s="30"/>
      <c r="E3605" s="31"/>
      <c r="G3605" s="32" t="str">
        <f t="shared" si="112"/>
        <v>|||1900|</v>
      </c>
      <c r="H3605" s="32" t="str">
        <f t="shared" si="113"/>
        <v>||1900|</v>
      </c>
      <c r="I3605" s="32">
        <f>IF(G3605="",0,IF(COUNTIF($G$2:G3605,G3605)=1,1,0))</f>
        <v>0</v>
      </c>
      <c r="J3605" s="32">
        <f>IF(H3605="",0,IF(COUNTIF($H$2:H3605,H3605)=1,1,0))</f>
        <v>0</v>
      </c>
    </row>
    <row r="3606" spans="1:10" ht="14.25" hidden="1" customHeight="1" x14ac:dyDescent="0.35">
      <c r="A3606" s="30"/>
      <c r="E3606" s="31"/>
      <c r="G3606" s="32" t="str">
        <f t="shared" si="112"/>
        <v>|||1900|</v>
      </c>
      <c r="H3606" s="32" t="str">
        <f t="shared" si="113"/>
        <v>||1900|</v>
      </c>
      <c r="I3606" s="32">
        <f>IF(G3606="",0,IF(COUNTIF($G$2:G3606,G3606)=1,1,0))</f>
        <v>0</v>
      </c>
      <c r="J3606" s="32">
        <f>IF(H3606="",0,IF(COUNTIF($H$2:H3606,H3606)=1,1,0))</f>
        <v>0</v>
      </c>
    </row>
    <row r="3607" spans="1:10" ht="14.25" hidden="1" customHeight="1" x14ac:dyDescent="0.35">
      <c r="A3607" s="30"/>
      <c r="E3607" s="31"/>
      <c r="G3607" s="32" t="str">
        <f t="shared" si="112"/>
        <v>|||1900|</v>
      </c>
      <c r="H3607" s="32" t="str">
        <f t="shared" si="113"/>
        <v>||1900|</v>
      </c>
      <c r="I3607" s="32">
        <f>IF(G3607="",0,IF(COUNTIF($G$2:G3607,G3607)=1,1,0))</f>
        <v>0</v>
      </c>
      <c r="J3607" s="32">
        <f>IF(H3607="",0,IF(COUNTIF($H$2:H3607,H3607)=1,1,0))</f>
        <v>0</v>
      </c>
    </row>
    <row r="3608" spans="1:10" ht="14.25" hidden="1" customHeight="1" x14ac:dyDescent="0.35">
      <c r="A3608" s="30"/>
      <c r="E3608" s="31"/>
      <c r="G3608" s="32" t="str">
        <f t="shared" si="112"/>
        <v>|||1900|</v>
      </c>
      <c r="H3608" s="32" t="str">
        <f t="shared" si="113"/>
        <v>||1900|</v>
      </c>
      <c r="I3608" s="32">
        <f>IF(G3608="",0,IF(COUNTIF($G$2:G3608,G3608)=1,1,0))</f>
        <v>0</v>
      </c>
      <c r="J3608" s="32">
        <f>IF(H3608="",0,IF(COUNTIF($H$2:H3608,H3608)=1,1,0))</f>
        <v>0</v>
      </c>
    </row>
    <row r="3609" spans="1:10" ht="14.25" hidden="1" customHeight="1" x14ac:dyDescent="0.35">
      <c r="A3609" s="30"/>
      <c r="E3609" s="31"/>
      <c r="G3609" s="32" t="str">
        <f t="shared" si="112"/>
        <v>|||1900|</v>
      </c>
      <c r="H3609" s="32" t="str">
        <f t="shared" si="113"/>
        <v>||1900|</v>
      </c>
      <c r="I3609" s="32">
        <f>IF(G3609="",0,IF(COUNTIF($G$2:G3609,G3609)=1,1,0))</f>
        <v>0</v>
      </c>
      <c r="J3609" s="32">
        <f>IF(H3609="",0,IF(COUNTIF($H$2:H3609,H3609)=1,1,0))</f>
        <v>0</v>
      </c>
    </row>
    <row r="3610" spans="1:10" ht="14.25" hidden="1" customHeight="1" x14ac:dyDescent="0.35">
      <c r="A3610" s="30"/>
      <c r="E3610" s="31"/>
      <c r="G3610" s="32" t="str">
        <f t="shared" si="112"/>
        <v>|||1900|</v>
      </c>
      <c r="H3610" s="32" t="str">
        <f t="shared" si="113"/>
        <v>||1900|</v>
      </c>
      <c r="I3610" s="32">
        <f>IF(G3610="",0,IF(COUNTIF($G$2:G3610,G3610)=1,1,0))</f>
        <v>0</v>
      </c>
      <c r="J3610" s="32">
        <f>IF(H3610="",0,IF(COUNTIF($H$2:H3610,H3610)=1,1,0))</f>
        <v>0</v>
      </c>
    </row>
    <row r="3611" spans="1:10" ht="14.25" hidden="1" customHeight="1" x14ac:dyDescent="0.35">
      <c r="A3611" s="30"/>
      <c r="E3611" s="31"/>
      <c r="G3611" s="32" t="str">
        <f t="shared" si="112"/>
        <v>|||1900|</v>
      </c>
      <c r="H3611" s="32" t="str">
        <f t="shared" si="113"/>
        <v>||1900|</v>
      </c>
      <c r="I3611" s="32">
        <f>IF(G3611="",0,IF(COUNTIF($G$2:G3611,G3611)=1,1,0))</f>
        <v>0</v>
      </c>
      <c r="J3611" s="32">
        <f>IF(H3611="",0,IF(COUNTIF($H$2:H3611,H3611)=1,1,0))</f>
        <v>0</v>
      </c>
    </row>
    <row r="3612" spans="1:10" ht="14.25" hidden="1" customHeight="1" x14ac:dyDescent="0.35">
      <c r="A3612" s="30"/>
      <c r="E3612" s="31"/>
      <c r="G3612" s="32" t="str">
        <f t="shared" si="112"/>
        <v>|||1900|</v>
      </c>
      <c r="H3612" s="32" t="str">
        <f t="shared" si="113"/>
        <v>||1900|</v>
      </c>
      <c r="I3612" s="32">
        <f>IF(G3612="",0,IF(COUNTIF($G$2:G3612,G3612)=1,1,0))</f>
        <v>0</v>
      </c>
      <c r="J3612" s="32">
        <f>IF(H3612="",0,IF(COUNTIF($H$2:H3612,H3612)=1,1,0))</f>
        <v>0</v>
      </c>
    </row>
    <row r="3613" spans="1:10" ht="14.25" hidden="1" customHeight="1" x14ac:dyDescent="0.35">
      <c r="A3613" s="30"/>
      <c r="E3613" s="31"/>
      <c r="G3613" s="32" t="str">
        <f t="shared" si="112"/>
        <v>|||1900|</v>
      </c>
      <c r="H3613" s="32" t="str">
        <f t="shared" si="113"/>
        <v>||1900|</v>
      </c>
      <c r="I3613" s="32">
        <f>IF(G3613="",0,IF(COUNTIF($G$2:G3613,G3613)=1,1,0))</f>
        <v>0</v>
      </c>
      <c r="J3613" s="32">
        <f>IF(H3613="",0,IF(COUNTIF($H$2:H3613,H3613)=1,1,0))</f>
        <v>0</v>
      </c>
    </row>
    <row r="3614" spans="1:10" ht="14.25" hidden="1" customHeight="1" x14ac:dyDescent="0.35">
      <c r="A3614" s="30"/>
      <c r="E3614" s="31"/>
      <c r="G3614" s="32" t="str">
        <f t="shared" si="112"/>
        <v>|||1900|</v>
      </c>
      <c r="H3614" s="32" t="str">
        <f t="shared" si="113"/>
        <v>||1900|</v>
      </c>
      <c r="I3614" s="32">
        <f>IF(G3614="",0,IF(COUNTIF($G$2:G3614,G3614)=1,1,0))</f>
        <v>0</v>
      </c>
      <c r="J3614" s="32">
        <f>IF(H3614="",0,IF(COUNTIF($H$2:H3614,H3614)=1,1,0))</f>
        <v>0</v>
      </c>
    </row>
    <row r="3615" spans="1:10" ht="14.25" hidden="1" customHeight="1" x14ac:dyDescent="0.35">
      <c r="A3615" s="30"/>
      <c r="E3615" s="31"/>
      <c r="G3615" s="32" t="str">
        <f t="shared" si="112"/>
        <v>|||1900|</v>
      </c>
      <c r="H3615" s="32" t="str">
        <f t="shared" si="113"/>
        <v>||1900|</v>
      </c>
      <c r="I3615" s="32">
        <f>IF(G3615="",0,IF(COUNTIF($G$2:G3615,G3615)=1,1,0))</f>
        <v>0</v>
      </c>
      <c r="J3615" s="32">
        <f>IF(H3615="",0,IF(COUNTIF($H$2:H3615,H3615)=1,1,0))</f>
        <v>0</v>
      </c>
    </row>
    <row r="3616" spans="1:10" ht="14.25" hidden="1" customHeight="1" x14ac:dyDescent="0.35">
      <c r="A3616" s="30"/>
      <c r="E3616" s="31"/>
      <c r="G3616" s="32" t="str">
        <f t="shared" si="112"/>
        <v>|||1900|</v>
      </c>
      <c r="H3616" s="32" t="str">
        <f t="shared" si="113"/>
        <v>||1900|</v>
      </c>
      <c r="I3616" s="32">
        <f>IF(G3616="",0,IF(COUNTIF($G$2:G3616,G3616)=1,1,0))</f>
        <v>0</v>
      </c>
      <c r="J3616" s="32">
        <f>IF(H3616="",0,IF(COUNTIF($H$2:H3616,H3616)=1,1,0))</f>
        <v>0</v>
      </c>
    </row>
    <row r="3617" spans="1:10" ht="14.25" hidden="1" customHeight="1" x14ac:dyDescent="0.35">
      <c r="A3617" s="30"/>
      <c r="E3617" s="31"/>
      <c r="G3617" s="32" t="str">
        <f t="shared" si="112"/>
        <v>|||1900|</v>
      </c>
      <c r="H3617" s="32" t="str">
        <f t="shared" si="113"/>
        <v>||1900|</v>
      </c>
      <c r="I3617" s="32">
        <f>IF(G3617="",0,IF(COUNTIF($G$2:G3617,G3617)=1,1,0))</f>
        <v>0</v>
      </c>
      <c r="J3617" s="32">
        <f>IF(H3617="",0,IF(COUNTIF($H$2:H3617,H3617)=1,1,0))</f>
        <v>0</v>
      </c>
    </row>
    <row r="3618" spans="1:10" ht="14.25" hidden="1" customHeight="1" x14ac:dyDescent="0.35">
      <c r="A3618" s="30"/>
      <c r="E3618" s="31"/>
      <c r="G3618" s="32" t="str">
        <f t="shared" si="112"/>
        <v>|||1900|</v>
      </c>
      <c r="H3618" s="32" t="str">
        <f t="shared" si="113"/>
        <v>||1900|</v>
      </c>
      <c r="I3618" s="32">
        <f>IF(G3618="",0,IF(COUNTIF($G$2:G3618,G3618)=1,1,0))</f>
        <v>0</v>
      </c>
      <c r="J3618" s="32">
        <f>IF(H3618="",0,IF(COUNTIF($H$2:H3618,H3618)=1,1,0))</f>
        <v>0</v>
      </c>
    </row>
    <row r="3619" spans="1:10" ht="14.25" hidden="1" customHeight="1" x14ac:dyDescent="0.35">
      <c r="A3619" s="30"/>
      <c r="E3619" s="31"/>
      <c r="G3619" s="32" t="str">
        <f t="shared" si="112"/>
        <v>|||1900|</v>
      </c>
      <c r="H3619" s="32" t="str">
        <f t="shared" si="113"/>
        <v>||1900|</v>
      </c>
      <c r="I3619" s="32">
        <f>IF(G3619="",0,IF(COUNTIF($G$2:G3619,G3619)=1,1,0))</f>
        <v>0</v>
      </c>
      <c r="J3619" s="32">
        <f>IF(H3619="",0,IF(COUNTIF($H$2:H3619,H3619)=1,1,0))</f>
        <v>0</v>
      </c>
    </row>
    <row r="3620" spans="1:10" ht="14.25" hidden="1" customHeight="1" x14ac:dyDescent="0.35">
      <c r="A3620" s="30"/>
      <c r="E3620" s="31"/>
      <c r="G3620" s="32" t="str">
        <f t="shared" si="112"/>
        <v>|||1900|</v>
      </c>
      <c r="H3620" s="32" t="str">
        <f t="shared" si="113"/>
        <v>||1900|</v>
      </c>
      <c r="I3620" s="32">
        <f>IF(G3620="",0,IF(COUNTIF($G$2:G3620,G3620)=1,1,0))</f>
        <v>0</v>
      </c>
      <c r="J3620" s="32">
        <f>IF(H3620="",0,IF(COUNTIF($H$2:H3620,H3620)=1,1,0))</f>
        <v>0</v>
      </c>
    </row>
    <row r="3621" spans="1:10" ht="14.25" hidden="1" customHeight="1" x14ac:dyDescent="0.35">
      <c r="A3621" s="30"/>
      <c r="E3621" s="31"/>
      <c r="G3621" s="32" t="str">
        <f t="shared" si="112"/>
        <v>|||1900|</v>
      </c>
      <c r="H3621" s="32" t="str">
        <f t="shared" si="113"/>
        <v>||1900|</v>
      </c>
      <c r="I3621" s="32">
        <f>IF(G3621="",0,IF(COUNTIF($G$2:G3621,G3621)=1,1,0))</f>
        <v>0</v>
      </c>
      <c r="J3621" s="32">
        <f>IF(H3621="",0,IF(COUNTIF($H$2:H3621,H3621)=1,1,0))</f>
        <v>0</v>
      </c>
    </row>
    <row r="3622" spans="1:10" ht="14.25" hidden="1" customHeight="1" x14ac:dyDescent="0.35">
      <c r="A3622" s="30"/>
      <c r="E3622" s="31"/>
      <c r="G3622" s="32" t="str">
        <f t="shared" si="112"/>
        <v>|||1900|</v>
      </c>
      <c r="H3622" s="32" t="str">
        <f t="shared" si="113"/>
        <v>||1900|</v>
      </c>
      <c r="I3622" s="32">
        <f>IF(G3622="",0,IF(COUNTIF($G$2:G3622,G3622)=1,1,0))</f>
        <v>0</v>
      </c>
      <c r="J3622" s="32">
        <f>IF(H3622="",0,IF(COUNTIF($H$2:H3622,H3622)=1,1,0))</f>
        <v>0</v>
      </c>
    </row>
    <row r="3623" spans="1:10" ht="14.25" hidden="1" customHeight="1" x14ac:dyDescent="0.35">
      <c r="A3623" s="30"/>
      <c r="E3623" s="31"/>
      <c r="G3623" s="32" t="str">
        <f t="shared" si="112"/>
        <v>|||1900|</v>
      </c>
      <c r="H3623" s="32" t="str">
        <f t="shared" si="113"/>
        <v>||1900|</v>
      </c>
      <c r="I3623" s="32">
        <f>IF(G3623="",0,IF(COUNTIF($G$2:G3623,G3623)=1,1,0))</f>
        <v>0</v>
      </c>
      <c r="J3623" s="32">
        <f>IF(H3623="",0,IF(COUNTIF($H$2:H3623,H3623)=1,1,0))</f>
        <v>0</v>
      </c>
    </row>
    <row r="3624" spans="1:10" ht="14.25" hidden="1" customHeight="1" x14ac:dyDescent="0.35">
      <c r="A3624" s="30"/>
      <c r="E3624" s="31"/>
      <c r="G3624" s="32" t="str">
        <f t="shared" si="112"/>
        <v>|||1900|</v>
      </c>
      <c r="H3624" s="32" t="str">
        <f t="shared" si="113"/>
        <v>||1900|</v>
      </c>
      <c r="I3624" s="32">
        <f>IF(G3624="",0,IF(COUNTIF($G$2:G3624,G3624)=1,1,0))</f>
        <v>0</v>
      </c>
      <c r="J3624" s="32">
        <f>IF(H3624="",0,IF(COUNTIF($H$2:H3624,H3624)=1,1,0))</f>
        <v>0</v>
      </c>
    </row>
    <row r="3625" spans="1:10" ht="14.25" hidden="1" customHeight="1" x14ac:dyDescent="0.35">
      <c r="A3625" s="30"/>
      <c r="E3625" s="31"/>
      <c r="G3625" s="32" t="str">
        <f t="shared" si="112"/>
        <v>|||1900|</v>
      </c>
      <c r="H3625" s="32" t="str">
        <f t="shared" si="113"/>
        <v>||1900|</v>
      </c>
      <c r="I3625" s="32">
        <f>IF(G3625="",0,IF(COUNTIF($G$2:G3625,G3625)=1,1,0))</f>
        <v>0</v>
      </c>
      <c r="J3625" s="32">
        <f>IF(H3625="",0,IF(COUNTIF($H$2:H3625,H3625)=1,1,0))</f>
        <v>0</v>
      </c>
    </row>
    <row r="3626" spans="1:10" ht="14.25" hidden="1" customHeight="1" x14ac:dyDescent="0.35">
      <c r="A3626" s="30"/>
      <c r="E3626" s="31"/>
      <c r="G3626" s="32" t="str">
        <f t="shared" si="112"/>
        <v>|||1900|</v>
      </c>
      <c r="H3626" s="32" t="str">
        <f t="shared" si="113"/>
        <v>||1900|</v>
      </c>
      <c r="I3626" s="32">
        <f>IF(G3626="",0,IF(COUNTIF($G$2:G3626,G3626)=1,1,0))</f>
        <v>0</v>
      </c>
      <c r="J3626" s="32">
        <f>IF(H3626="",0,IF(COUNTIF($H$2:H3626,H3626)=1,1,0))</f>
        <v>0</v>
      </c>
    </row>
    <row r="3627" spans="1:10" ht="14.25" hidden="1" customHeight="1" x14ac:dyDescent="0.35">
      <c r="A3627" s="30"/>
      <c r="E3627" s="31"/>
      <c r="G3627" s="32" t="str">
        <f t="shared" si="112"/>
        <v>|||1900|</v>
      </c>
      <c r="H3627" s="32" t="str">
        <f t="shared" si="113"/>
        <v>||1900|</v>
      </c>
      <c r="I3627" s="32">
        <f>IF(G3627="",0,IF(COUNTIF($G$2:G3627,G3627)=1,1,0))</f>
        <v>0</v>
      </c>
      <c r="J3627" s="32">
        <f>IF(H3627="",0,IF(COUNTIF($H$2:H3627,H3627)=1,1,0))</f>
        <v>0</v>
      </c>
    </row>
    <row r="3628" spans="1:10" ht="14.25" hidden="1" customHeight="1" x14ac:dyDescent="0.35">
      <c r="A3628" s="30"/>
      <c r="E3628" s="31"/>
      <c r="G3628" s="32" t="str">
        <f t="shared" si="112"/>
        <v>|||1900|</v>
      </c>
      <c r="H3628" s="32" t="str">
        <f t="shared" si="113"/>
        <v>||1900|</v>
      </c>
      <c r="I3628" s="32">
        <f>IF(G3628="",0,IF(COUNTIF($G$2:G3628,G3628)=1,1,0))</f>
        <v>0</v>
      </c>
      <c r="J3628" s="32">
        <f>IF(H3628="",0,IF(COUNTIF($H$2:H3628,H3628)=1,1,0))</f>
        <v>0</v>
      </c>
    </row>
    <row r="3629" spans="1:10" ht="14.25" hidden="1" customHeight="1" x14ac:dyDescent="0.35">
      <c r="A3629" s="30"/>
      <c r="E3629" s="31"/>
      <c r="G3629" s="32" t="str">
        <f t="shared" si="112"/>
        <v>|||1900|</v>
      </c>
      <c r="H3629" s="32" t="str">
        <f t="shared" si="113"/>
        <v>||1900|</v>
      </c>
      <c r="I3629" s="32">
        <f>IF(G3629="",0,IF(COUNTIF($G$2:G3629,G3629)=1,1,0))</f>
        <v>0</v>
      </c>
      <c r="J3629" s="32">
        <f>IF(H3629="",0,IF(COUNTIF($H$2:H3629,H3629)=1,1,0))</f>
        <v>0</v>
      </c>
    </row>
    <row r="3630" spans="1:10" ht="14.25" hidden="1" customHeight="1" x14ac:dyDescent="0.35">
      <c r="A3630" s="30"/>
      <c r="E3630" s="31"/>
      <c r="G3630" s="32" t="str">
        <f t="shared" si="112"/>
        <v>|||1900|</v>
      </c>
      <c r="H3630" s="32" t="str">
        <f t="shared" si="113"/>
        <v>||1900|</v>
      </c>
      <c r="I3630" s="32">
        <f>IF(G3630="",0,IF(COUNTIF($G$2:G3630,G3630)=1,1,0))</f>
        <v>0</v>
      </c>
      <c r="J3630" s="32">
        <f>IF(H3630="",0,IF(COUNTIF($H$2:H3630,H3630)=1,1,0))</f>
        <v>0</v>
      </c>
    </row>
    <row r="3631" spans="1:10" ht="14.25" hidden="1" customHeight="1" x14ac:dyDescent="0.35">
      <c r="A3631" s="30"/>
      <c r="E3631" s="31"/>
      <c r="G3631" s="32" t="str">
        <f t="shared" si="112"/>
        <v>|||1900|</v>
      </c>
      <c r="H3631" s="32" t="str">
        <f t="shared" si="113"/>
        <v>||1900|</v>
      </c>
      <c r="I3631" s="32">
        <f>IF(G3631="",0,IF(COUNTIF($G$2:G3631,G3631)=1,1,0))</f>
        <v>0</v>
      </c>
      <c r="J3631" s="32">
        <f>IF(H3631="",0,IF(COUNTIF($H$2:H3631,H3631)=1,1,0))</f>
        <v>0</v>
      </c>
    </row>
    <row r="3632" spans="1:10" ht="14.25" hidden="1" customHeight="1" x14ac:dyDescent="0.35">
      <c r="A3632" s="30"/>
      <c r="E3632" s="31"/>
      <c r="G3632" s="32" t="str">
        <f t="shared" si="112"/>
        <v>|||1900|</v>
      </c>
      <c r="H3632" s="32" t="str">
        <f t="shared" si="113"/>
        <v>||1900|</v>
      </c>
      <c r="I3632" s="32">
        <f>IF(G3632="",0,IF(COUNTIF($G$2:G3632,G3632)=1,1,0))</f>
        <v>0</v>
      </c>
      <c r="J3632" s="32">
        <f>IF(H3632="",0,IF(COUNTIF($H$2:H3632,H3632)=1,1,0))</f>
        <v>0</v>
      </c>
    </row>
    <row r="3633" spans="1:10" ht="14.25" hidden="1" customHeight="1" x14ac:dyDescent="0.35">
      <c r="A3633" s="30"/>
      <c r="E3633" s="31"/>
      <c r="G3633" s="32" t="str">
        <f t="shared" si="112"/>
        <v>|||1900|</v>
      </c>
      <c r="H3633" s="32" t="str">
        <f t="shared" si="113"/>
        <v>||1900|</v>
      </c>
      <c r="I3633" s="32">
        <f>IF(G3633="",0,IF(COUNTIF($G$2:G3633,G3633)=1,1,0))</f>
        <v>0</v>
      </c>
      <c r="J3633" s="32">
        <f>IF(H3633="",0,IF(COUNTIF($H$2:H3633,H3633)=1,1,0))</f>
        <v>0</v>
      </c>
    </row>
    <row r="3634" spans="1:10" ht="14.25" hidden="1" customHeight="1" x14ac:dyDescent="0.35">
      <c r="A3634" s="30"/>
      <c r="E3634" s="31"/>
      <c r="G3634" s="32" t="str">
        <f t="shared" si="112"/>
        <v>|||1900|</v>
      </c>
      <c r="H3634" s="32" t="str">
        <f t="shared" si="113"/>
        <v>||1900|</v>
      </c>
      <c r="I3634" s="32">
        <f>IF(G3634="",0,IF(COUNTIF($G$2:G3634,G3634)=1,1,0))</f>
        <v>0</v>
      </c>
      <c r="J3634" s="32">
        <f>IF(H3634="",0,IF(COUNTIF($H$2:H3634,H3634)=1,1,0))</f>
        <v>0</v>
      </c>
    </row>
    <row r="3635" spans="1:10" ht="14.25" hidden="1" customHeight="1" x14ac:dyDescent="0.35">
      <c r="A3635" s="30"/>
      <c r="E3635" s="31"/>
      <c r="G3635" s="32" t="str">
        <f t="shared" si="112"/>
        <v>|||1900|</v>
      </c>
      <c r="H3635" s="32" t="str">
        <f t="shared" si="113"/>
        <v>||1900|</v>
      </c>
      <c r="I3635" s="32">
        <f>IF(G3635="",0,IF(COUNTIF($G$2:G3635,G3635)=1,1,0))</f>
        <v>0</v>
      </c>
      <c r="J3635" s="32">
        <f>IF(H3635="",0,IF(COUNTIF($H$2:H3635,H3635)=1,1,0))</f>
        <v>0</v>
      </c>
    </row>
    <row r="3636" spans="1:10" ht="14.25" hidden="1" customHeight="1" x14ac:dyDescent="0.35">
      <c r="A3636" s="30"/>
      <c r="E3636" s="31"/>
      <c r="G3636" s="32" t="str">
        <f t="shared" si="112"/>
        <v>|||1900|</v>
      </c>
      <c r="H3636" s="32" t="str">
        <f t="shared" si="113"/>
        <v>||1900|</v>
      </c>
      <c r="I3636" s="32">
        <f>IF(G3636="",0,IF(COUNTIF($G$2:G3636,G3636)=1,1,0))</f>
        <v>0</v>
      </c>
      <c r="J3636" s="32">
        <f>IF(H3636="",0,IF(COUNTIF($H$2:H3636,H3636)=1,1,0))</f>
        <v>0</v>
      </c>
    </row>
    <row r="3637" spans="1:10" ht="14.25" hidden="1" customHeight="1" x14ac:dyDescent="0.35">
      <c r="A3637" s="30"/>
      <c r="E3637" s="31"/>
      <c r="G3637" s="32" t="str">
        <f t="shared" si="112"/>
        <v>|||1900|</v>
      </c>
      <c r="H3637" s="32" t="str">
        <f t="shared" si="113"/>
        <v>||1900|</v>
      </c>
      <c r="I3637" s="32">
        <f>IF(G3637="",0,IF(COUNTIF($G$2:G3637,G3637)=1,1,0))</f>
        <v>0</v>
      </c>
      <c r="J3637" s="32">
        <f>IF(H3637="",0,IF(COUNTIF($H$2:H3637,H3637)=1,1,0))</f>
        <v>0</v>
      </c>
    </row>
    <row r="3638" spans="1:10" ht="14.25" hidden="1" customHeight="1" x14ac:dyDescent="0.35">
      <c r="A3638" s="30"/>
      <c r="E3638" s="31"/>
      <c r="G3638" s="32" t="str">
        <f t="shared" si="112"/>
        <v>|||1900|</v>
      </c>
      <c r="H3638" s="32" t="str">
        <f t="shared" si="113"/>
        <v>||1900|</v>
      </c>
      <c r="I3638" s="32">
        <f>IF(G3638="",0,IF(COUNTIF($G$2:G3638,G3638)=1,1,0))</f>
        <v>0</v>
      </c>
      <c r="J3638" s="32">
        <f>IF(H3638="",0,IF(COUNTIF($H$2:H3638,H3638)=1,1,0))</f>
        <v>0</v>
      </c>
    </row>
    <row r="3639" spans="1:10" ht="14.25" hidden="1" customHeight="1" x14ac:dyDescent="0.35">
      <c r="A3639" s="30"/>
      <c r="E3639" s="31"/>
      <c r="G3639" s="32" t="str">
        <f t="shared" si="112"/>
        <v>|||1900|</v>
      </c>
      <c r="H3639" s="32" t="str">
        <f t="shared" si="113"/>
        <v>||1900|</v>
      </c>
      <c r="I3639" s="32">
        <f>IF(G3639="",0,IF(COUNTIF($G$2:G3639,G3639)=1,1,0))</f>
        <v>0</v>
      </c>
      <c r="J3639" s="32">
        <f>IF(H3639="",0,IF(COUNTIF($H$2:H3639,H3639)=1,1,0))</f>
        <v>0</v>
      </c>
    </row>
    <row r="3640" spans="1:10" ht="14.25" hidden="1" customHeight="1" x14ac:dyDescent="0.35">
      <c r="A3640" s="30"/>
      <c r="E3640" s="31"/>
      <c r="G3640" s="32" t="str">
        <f t="shared" si="112"/>
        <v>|||1900|</v>
      </c>
      <c r="H3640" s="32" t="str">
        <f t="shared" si="113"/>
        <v>||1900|</v>
      </c>
      <c r="I3640" s="32">
        <f>IF(G3640="",0,IF(COUNTIF($G$2:G3640,G3640)=1,1,0))</f>
        <v>0</v>
      </c>
      <c r="J3640" s="32">
        <f>IF(H3640="",0,IF(COUNTIF($H$2:H3640,H3640)=1,1,0))</f>
        <v>0</v>
      </c>
    </row>
    <row r="3641" spans="1:10" ht="14.25" hidden="1" customHeight="1" x14ac:dyDescent="0.35">
      <c r="A3641" s="30"/>
      <c r="E3641" s="31"/>
      <c r="G3641" s="32" t="str">
        <f t="shared" si="112"/>
        <v>|||1900|</v>
      </c>
      <c r="H3641" s="32" t="str">
        <f t="shared" si="113"/>
        <v>||1900|</v>
      </c>
      <c r="I3641" s="32">
        <f>IF(G3641="",0,IF(COUNTIF($G$2:G3641,G3641)=1,1,0))</f>
        <v>0</v>
      </c>
      <c r="J3641" s="32">
        <f>IF(H3641="",0,IF(COUNTIF($H$2:H3641,H3641)=1,1,0))</f>
        <v>0</v>
      </c>
    </row>
    <row r="3642" spans="1:10" ht="14.25" hidden="1" customHeight="1" x14ac:dyDescent="0.35">
      <c r="A3642" s="30"/>
      <c r="E3642" s="31"/>
      <c r="G3642" s="32" t="str">
        <f t="shared" si="112"/>
        <v>|||1900|</v>
      </c>
      <c r="H3642" s="32" t="str">
        <f t="shared" si="113"/>
        <v>||1900|</v>
      </c>
      <c r="I3642" s="32">
        <f>IF(G3642="",0,IF(COUNTIF($G$2:G3642,G3642)=1,1,0))</f>
        <v>0</v>
      </c>
      <c r="J3642" s="32">
        <f>IF(H3642="",0,IF(COUNTIF($H$2:H3642,H3642)=1,1,0))</f>
        <v>0</v>
      </c>
    </row>
    <row r="3643" spans="1:10" ht="14.25" hidden="1" customHeight="1" x14ac:dyDescent="0.35">
      <c r="A3643" s="30"/>
      <c r="E3643" s="31"/>
      <c r="G3643" s="32" t="str">
        <f t="shared" si="112"/>
        <v>|||1900|</v>
      </c>
      <c r="H3643" s="32" t="str">
        <f t="shared" si="113"/>
        <v>||1900|</v>
      </c>
      <c r="I3643" s="32">
        <f>IF(G3643="",0,IF(COUNTIF($G$2:G3643,G3643)=1,1,0))</f>
        <v>0</v>
      </c>
      <c r="J3643" s="32">
        <f>IF(H3643="",0,IF(COUNTIF($H$2:H3643,H3643)=1,1,0))</f>
        <v>0</v>
      </c>
    </row>
    <row r="3644" spans="1:10" ht="14.25" hidden="1" customHeight="1" x14ac:dyDescent="0.35">
      <c r="A3644" s="30"/>
      <c r="E3644" s="31"/>
      <c r="G3644" s="32" t="str">
        <f t="shared" si="112"/>
        <v>|||1900|</v>
      </c>
      <c r="H3644" s="32" t="str">
        <f t="shared" si="113"/>
        <v>||1900|</v>
      </c>
      <c r="I3644" s="32">
        <f>IF(G3644="",0,IF(COUNTIF($G$2:G3644,G3644)=1,1,0))</f>
        <v>0</v>
      </c>
      <c r="J3644" s="32">
        <f>IF(H3644="",0,IF(COUNTIF($H$2:H3644,H3644)=1,1,0))</f>
        <v>0</v>
      </c>
    </row>
    <row r="3645" spans="1:10" ht="14.25" hidden="1" customHeight="1" x14ac:dyDescent="0.35">
      <c r="A3645" s="30"/>
      <c r="E3645" s="31"/>
      <c r="G3645" s="32" t="str">
        <f t="shared" si="112"/>
        <v>|||1900|</v>
      </c>
      <c r="H3645" s="32" t="str">
        <f t="shared" si="113"/>
        <v>||1900|</v>
      </c>
      <c r="I3645" s="32">
        <f>IF(G3645="",0,IF(COUNTIF($G$2:G3645,G3645)=1,1,0))</f>
        <v>0</v>
      </c>
      <c r="J3645" s="32">
        <f>IF(H3645="",0,IF(COUNTIF($H$2:H3645,H3645)=1,1,0))</f>
        <v>0</v>
      </c>
    </row>
    <row r="3646" spans="1:10" ht="14.25" hidden="1" customHeight="1" x14ac:dyDescent="0.35">
      <c r="A3646" s="30"/>
      <c r="E3646" s="31"/>
      <c r="G3646" s="32" t="str">
        <f t="shared" si="112"/>
        <v>|||1900|</v>
      </c>
      <c r="H3646" s="32" t="str">
        <f t="shared" si="113"/>
        <v>||1900|</v>
      </c>
      <c r="I3646" s="32">
        <f>IF(G3646="",0,IF(COUNTIF($G$2:G3646,G3646)=1,1,0))</f>
        <v>0</v>
      </c>
      <c r="J3646" s="32">
        <f>IF(H3646="",0,IF(COUNTIF($H$2:H3646,H3646)=1,1,0))</f>
        <v>0</v>
      </c>
    </row>
    <row r="3647" spans="1:10" ht="14.25" hidden="1" customHeight="1" x14ac:dyDescent="0.35">
      <c r="A3647" s="30"/>
      <c r="E3647" s="31"/>
      <c r="G3647" s="32" t="str">
        <f t="shared" si="112"/>
        <v>|||1900|</v>
      </c>
      <c r="H3647" s="32" t="str">
        <f t="shared" si="113"/>
        <v>||1900|</v>
      </c>
      <c r="I3647" s="32">
        <f>IF(G3647="",0,IF(COUNTIF($G$2:G3647,G3647)=1,1,0))</f>
        <v>0</v>
      </c>
      <c r="J3647" s="32">
        <f>IF(H3647="",0,IF(COUNTIF($H$2:H3647,H3647)=1,1,0))</f>
        <v>0</v>
      </c>
    </row>
    <row r="3648" spans="1:10" ht="14.25" hidden="1" customHeight="1" x14ac:dyDescent="0.35">
      <c r="A3648" s="30"/>
      <c r="E3648" s="31"/>
      <c r="G3648" s="32" t="str">
        <f t="shared" si="112"/>
        <v>|||1900|</v>
      </c>
      <c r="H3648" s="32" t="str">
        <f t="shared" si="113"/>
        <v>||1900|</v>
      </c>
      <c r="I3648" s="32">
        <f>IF(G3648="",0,IF(COUNTIF($G$2:G3648,G3648)=1,1,0))</f>
        <v>0</v>
      </c>
      <c r="J3648" s="32">
        <f>IF(H3648="",0,IF(COUNTIF($H$2:H3648,H3648)=1,1,0))</f>
        <v>0</v>
      </c>
    </row>
    <row r="3649" spans="1:10" ht="14.25" hidden="1" customHeight="1" x14ac:dyDescent="0.35">
      <c r="A3649" s="30"/>
      <c r="E3649" s="31"/>
      <c r="G3649" s="32" t="str">
        <f t="shared" si="112"/>
        <v>|||1900|</v>
      </c>
      <c r="H3649" s="32" t="str">
        <f t="shared" si="113"/>
        <v>||1900|</v>
      </c>
      <c r="I3649" s="32">
        <f>IF(G3649="",0,IF(COUNTIF($G$2:G3649,G3649)=1,1,0))</f>
        <v>0</v>
      </c>
      <c r="J3649" s="32">
        <f>IF(H3649="",0,IF(COUNTIF($H$2:H3649,H3649)=1,1,0))</f>
        <v>0</v>
      </c>
    </row>
    <row r="3650" spans="1:10" ht="14.25" hidden="1" customHeight="1" x14ac:dyDescent="0.35">
      <c r="A3650" s="30"/>
      <c r="E3650" s="31"/>
      <c r="G3650" s="32" t="str">
        <f t="shared" ref="G3650:G3713" si="114">IF(D3650="T",
E3650&amp;"|"&amp;F3650,
A3650&amp;"|"&amp;B3650&amp;"|"&amp;C3650&amp;"|"&amp;YEAR(E3650)&amp;"|"&amp;F3650)</f>
        <v>|||1900|</v>
      </c>
      <c r="H3650" s="32" t="str">
        <f t="shared" ref="H3650:H3713" si="115">A3650&amp;"|"&amp;C3650&amp;"|"&amp;YEAR(E3650)&amp;"|"&amp;F3650</f>
        <v>||1900|</v>
      </c>
      <c r="I3650" s="32">
        <f>IF(G3650="",0,IF(COUNTIF($G$2:G3650,G3650)=1,1,0))</f>
        <v>0</v>
      </c>
      <c r="J3650" s="32">
        <f>IF(H3650="",0,IF(COUNTIF($H$2:H3650,H3650)=1,1,0))</f>
        <v>0</v>
      </c>
    </row>
    <row r="3651" spans="1:10" ht="14.25" hidden="1" customHeight="1" x14ac:dyDescent="0.35">
      <c r="A3651" s="30"/>
      <c r="E3651" s="31"/>
      <c r="G3651" s="32" t="str">
        <f t="shared" si="114"/>
        <v>|||1900|</v>
      </c>
      <c r="H3651" s="32" t="str">
        <f t="shared" si="115"/>
        <v>||1900|</v>
      </c>
      <c r="I3651" s="32">
        <f>IF(G3651="",0,IF(COUNTIF($G$2:G3651,G3651)=1,1,0))</f>
        <v>0</v>
      </c>
      <c r="J3651" s="32">
        <f>IF(H3651="",0,IF(COUNTIF($H$2:H3651,H3651)=1,1,0))</f>
        <v>0</v>
      </c>
    </row>
    <row r="3652" spans="1:10" ht="14.25" hidden="1" customHeight="1" x14ac:dyDescent="0.35">
      <c r="A3652" s="30"/>
      <c r="E3652" s="31"/>
      <c r="G3652" s="32" t="str">
        <f t="shared" si="114"/>
        <v>|||1900|</v>
      </c>
      <c r="H3652" s="32" t="str">
        <f t="shared" si="115"/>
        <v>||1900|</v>
      </c>
      <c r="I3652" s="32">
        <f>IF(G3652="",0,IF(COUNTIF($G$2:G3652,G3652)=1,1,0))</f>
        <v>0</v>
      </c>
      <c r="J3652" s="32">
        <f>IF(H3652="",0,IF(COUNTIF($H$2:H3652,H3652)=1,1,0))</f>
        <v>0</v>
      </c>
    </row>
    <row r="3653" spans="1:10" ht="14.25" hidden="1" customHeight="1" x14ac:dyDescent="0.35">
      <c r="A3653" s="30"/>
      <c r="E3653" s="31"/>
      <c r="G3653" s="32" t="str">
        <f t="shared" si="114"/>
        <v>|||1900|</v>
      </c>
      <c r="H3653" s="32" t="str">
        <f t="shared" si="115"/>
        <v>||1900|</v>
      </c>
      <c r="I3653" s="32">
        <f>IF(G3653="",0,IF(COUNTIF($G$2:G3653,G3653)=1,1,0))</f>
        <v>0</v>
      </c>
      <c r="J3653" s="32">
        <f>IF(H3653="",0,IF(COUNTIF($H$2:H3653,H3653)=1,1,0))</f>
        <v>0</v>
      </c>
    </row>
    <row r="3654" spans="1:10" ht="14.25" hidden="1" customHeight="1" x14ac:dyDescent="0.35">
      <c r="A3654" s="30"/>
      <c r="E3654" s="31"/>
      <c r="G3654" s="32" t="str">
        <f t="shared" si="114"/>
        <v>|||1900|</v>
      </c>
      <c r="H3654" s="32" t="str">
        <f t="shared" si="115"/>
        <v>||1900|</v>
      </c>
      <c r="I3654" s="32">
        <f>IF(G3654="",0,IF(COUNTIF($G$2:G3654,G3654)=1,1,0))</f>
        <v>0</v>
      </c>
      <c r="J3654" s="32">
        <f>IF(H3654="",0,IF(COUNTIF($H$2:H3654,H3654)=1,1,0))</f>
        <v>0</v>
      </c>
    </row>
    <row r="3655" spans="1:10" ht="14.25" hidden="1" customHeight="1" x14ac:dyDescent="0.35">
      <c r="A3655" s="30"/>
      <c r="E3655" s="31"/>
      <c r="G3655" s="32" t="str">
        <f t="shared" si="114"/>
        <v>|||1900|</v>
      </c>
      <c r="H3655" s="32" t="str">
        <f t="shared" si="115"/>
        <v>||1900|</v>
      </c>
      <c r="I3655" s="32">
        <f>IF(G3655="",0,IF(COUNTIF($G$2:G3655,G3655)=1,1,0))</f>
        <v>0</v>
      </c>
      <c r="J3655" s="32">
        <f>IF(H3655="",0,IF(COUNTIF($H$2:H3655,H3655)=1,1,0))</f>
        <v>0</v>
      </c>
    </row>
    <row r="3656" spans="1:10" ht="14.25" hidden="1" customHeight="1" x14ac:dyDescent="0.35">
      <c r="A3656" s="30"/>
      <c r="E3656" s="31"/>
      <c r="G3656" s="32" t="str">
        <f t="shared" si="114"/>
        <v>|||1900|</v>
      </c>
      <c r="H3656" s="32" t="str">
        <f t="shared" si="115"/>
        <v>||1900|</v>
      </c>
      <c r="I3656" s="32">
        <f>IF(G3656="",0,IF(COUNTIF($G$2:G3656,G3656)=1,1,0))</f>
        <v>0</v>
      </c>
      <c r="J3656" s="32">
        <f>IF(H3656="",0,IF(COUNTIF($H$2:H3656,H3656)=1,1,0))</f>
        <v>0</v>
      </c>
    </row>
    <row r="3657" spans="1:10" ht="14.25" hidden="1" customHeight="1" x14ac:dyDescent="0.35">
      <c r="A3657" s="30"/>
      <c r="E3657" s="31"/>
      <c r="G3657" s="32" t="str">
        <f t="shared" si="114"/>
        <v>|||1900|</v>
      </c>
      <c r="H3657" s="32" t="str">
        <f t="shared" si="115"/>
        <v>||1900|</v>
      </c>
      <c r="I3657" s="32">
        <f>IF(G3657="",0,IF(COUNTIF($G$2:G3657,G3657)=1,1,0))</f>
        <v>0</v>
      </c>
      <c r="J3657" s="32">
        <f>IF(H3657="",0,IF(COUNTIF($H$2:H3657,H3657)=1,1,0))</f>
        <v>0</v>
      </c>
    </row>
    <row r="3658" spans="1:10" ht="14.25" hidden="1" customHeight="1" x14ac:dyDescent="0.35">
      <c r="A3658" s="30"/>
      <c r="E3658" s="31"/>
      <c r="G3658" s="32" t="str">
        <f t="shared" si="114"/>
        <v>|||1900|</v>
      </c>
      <c r="H3658" s="32" t="str">
        <f t="shared" si="115"/>
        <v>||1900|</v>
      </c>
      <c r="I3658" s="32">
        <f>IF(G3658="",0,IF(COUNTIF($G$2:G3658,G3658)=1,1,0))</f>
        <v>0</v>
      </c>
      <c r="J3658" s="32">
        <f>IF(H3658="",0,IF(COUNTIF($H$2:H3658,H3658)=1,1,0))</f>
        <v>0</v>
      </c>
    </row>
    <row r="3659" spans="1:10" ht="14.25" hidden="1" customHeight="1" x14ac:dyDescent="0.35">
      <c r="A3659" s="30"/>
      <c r="E3659" s="31"/>
      <c r="G3659" s="32" t="str">
        <f t="shared" si="114"/>
        <v>|||1900|</v>
      </c>
      <c r="H3659" s="32" t="str">
        <f t="shared" si="115"/>
        <v>||1900|</v>
      </c>
      <c r="I3659" s="32">
        <f>IF(G3659="",0,IF(COUNTIF($G$2:G3659,G3659)=1,1,0))</f>
        <v>0</v>
      </c>
      <c r="J3659" s="32">
        <f>IF(H3659="",0,IF(COUNTIF($H$2:H3659,H3659)=1,1,0))</f>
        <v>0</v>
      </c>
    </row>
    <row r="3660" spans="1:10" ht="14.25" hidden="1" customHeight="1" x14ac:dyDescent="0.35">
      <c r="A3660" s="30"/>
      <c r="E3660" s="31"/>
      <c r="G3660" s="32" t="str">
        <f t="shared" si="114"/>
        <v>|||1900|</v>
      </c>
      <c r="H3660" s="32" t="str">
        <f t="shared" si="115"/>
        <v>||1900|</v>
      </c>
      <c r="I3660" s="32">
        <f>IF(G3660="",0,IF(COUNTIF($G$2:G3660,G3660)=1,1,0))</f>
        <v>0</v>
      </c>
      <c r="J3660" s="32">
        <f>IF(H3660="",0,IF(COUNTIF($H$2:H3660,H3660)=1,1,0))</f>
        <v>0</v>
      </c>
    </row>
    <row r="3661" spans="1:10" ht="14.25" hidden="1" customHeight="1" x14ac:dyDescent="0.35">
      <c r="A3661" s="30"/>
      <c r="E3661" s="31"/>
      <c r="G3661" s="32" t="str">
        <f t="shared" si="114"/>
        <v>|||1900|</v>
      </c>
      <c r="H3661" s="32" t="str">
        <f t="shared" si="115"/>
        <v>||1900|</v>
      </c>
      <c r="I3661" s="32">
        <f>IF(G3661="",0,IF(COUNTIF($G$2:G3661,G3661)=1,1,0))</f>
        <v>0</v>
      </c>
      <c r="J3661" s="32">
        <f>IF(H3661="",0,IF(COUNTIF($H$2:H3661,H3661)=1,1,0))</f>
        <v>0</v>
      </c>
    </row>
    <row r="3662" spans="1:10" ht="14.25" hidden="1" customHeight="1" x14ac:dyDescent="0.35">
      <c r="A3662" s="30"/>
      <c r="E3662" s="31"/>
      <c r="G3662" s="32" t="str">
        <f t="shared" si="114"/>
        <v>|||1900|</v>
      </c>
      <c r="H3662" s="32" t="str">
        <f t="shared" si="115"/>
        <v>||1900|</v>
      </c>
      <c r="I3662" s="32">
        <f>IF(G3662="",0,IF(COUNTIF($G$2:G3662,G3662)=1,1,0))</f>
        <v>0</v>
      </c>
      <c r="J3662" s="32">
        <f>IF(H3662="",0,IF(COUNTIF($H$2:H3662,H3662)=1,1,0))</f>
        <v>0</v>
      </c>
    </row>
    <row r="3663" spans="1:10" ht="14.25" hidden="1" customHeight="1" x14ac:dyDescent="0.35">
      <c r="A3663" s="30"/>
      <c r="E3663" s="31"/>
      <c r="G3663" s="32" t="str">
        <f t="shared" si="114"/>
        <v>|||1900|</v>
      </c>
      <c r="H3663" s="32" t="str">
        <f t="shared" si="115"/>
        <v>||1900|</v>
      </c>
      <c r="I3663" s="32">
        <f>IF(G3663="",0,IF(COUNTIF($G$2:G3663,G3663)=1,1,0))</f>
        <v>0</v>
      </c>
      <c r="J3663" s="32">
        <f>IF(H3663="",0,IF(COUNTIF($H$2:H3663,H3663)=1,1,0))</f>
        <v>0</v>
      </c>
    </row>
    <row r="3664" spans="1:10" ht="14.25" hidden="1" customHeight="1" x14ac:dyDescent="0.35">
      <c r="A3664" s="30"/>
      <c r="E3664" s="31"/>
      <c r="G3664" s="32" t="str">
        <f t="shared" si="114"/>
        <v>|||1900|</v>
      </c>
      <c r="H3664" s="32" t="str">
        <f t="shared" si="115"/>
        <v>||1900|</v>
      </c>
      <c r="I3664" s="32">
        <f>IF(G3664="",0,IF(COUNTIF($G$2:G3664,G3664)=1,1,0))</f>
        <v>0</v>
      </c>
      <c r="J3664" s="32">
        <f>IF(H3664="",0,IF(COUNTIF($H$2:H3664,H3664)=1,1,0))</f>
        <v>0</v>
      </c>
    </row>
    <row r="3665" spans="1:10" ht="14.25" hidden="1" customHeight="1" x14ac:dyDescent="0.35">
      <c r="A3665" s="30"/>
      <c r="E3665" s="31"/>
      <c r="G3665" s="32" t="str">
        <f t="shared" si="114"/>
        <v>|||1900|</v>
      </c>
      <c r="H3665" s="32" t="str">
        <f t="shared" si="115"/>
        <v>||1900|</v>
      </c>
      <c r="I3665" s="32">
        <f>IF(G3665="",0,IF(COUNTIF($G$2:G3665,G3665)=1,1,0))</f>
        <v>0</v>
      </c>
      <c r="J3665" s="32">
        <f>IF(H3665="",0,IF(COUNTIF($H$2:H3665,H3665)=1,1,0))</f>
        <v>0</v>
      </c>
    </row>
    <row r="3666" spans="1:10" ht="14.25" hidden="1" customHeight="1" x14ac:dyDescent="0.35">
      <c r="A3666" s="30"/>
      <c r="E3666" s="31"/>
      <c r="G3666" s="32" t="str">
        <f t="shared" si="114"/>
        <v>|||1900|</v>
      </c>
      <c r="H3666" s="32" t="str">
        <f t="shared" si="115"/>
        <v>||1900|</v>
      </c>
      <c r="I3666" s="32">
        <f>IF(G3666="",0,IF(COUNTIF($G$2:G3666,G3666)=1,1,0))</f>
        <v>0</v>
      </c>
      <c r="J3666" s="32">
        <f>IF(H3666="",0,IF(COUNTIF($H$2:H3666,H3666)=1,1,0))</f>
        <v>0</v>
      </c>
    </row>
    <row r="3667" spans="1:10" ht="14.25" hidden="1" customHeight="1" x14ac:dyDescent="0.35">
      <c r="A3667" s="30"/>
      <c r="E3667" s="31"/>
      <c r="G3667" s="32" t="str">
        <f t="shared" si="114"/>
        <v>|||1900|</v>
      </c>
      <c r="H3667" s="32" t="str">
        <f t="shared" si="115"/>
        <v>||1900|</v>
      </c>
      <c r="I3667" s="32">
        <f>IF(G3667="",0,IF(COUNTIF($G$2:G3667,G3667)=1,1,0))</f>
        <v>0</v>
      </c>
      <c r="J3667" s="32">
        <f>IF(H3667="",0,IF(COUNTIF($H$2:H3667,H3667)=1,1,0))</f>
        <v>0</v>
      </c>
    </row>
    <row r="3668" spans="1:10" ht="14.25" hidden="1" customHeight="1" x14ac:dyDescent="0.35">
      <c r="A3668" s="30"/>
      <c r="E3668" s="31"/>
      <c r="G3668" s="32" t="str">
        <f t="shared" si="114"/>
        <v>|||1900|</v>
      </c>
      <c r="H3668" s="32" t="str">
        <f t="shared" si="115"/>
        <v>||1900|</v>
      </c>
      <c r="I3668" s="32">
        <f>IF(G3668="",0,IF(COUNTIF($G$2:G3668,G3668)=1,1,0))</f>
        <v>0</v>
      </c>
      <c r="J3668" s="32">
        <f>IF(H3668="",0,IF(COUNTIF($H$2:H3668,H3668)=1,1,0))</f>
        <v>0</v>
      </c>
    </row>
    <row r="3669" spans="1:10" ht="14.25" hidden="1" customHeight="1" x14ac:dyDescent="0.35">
      <c r="A3669" s="30"/>
      <c r="E3669" s="31"/>
      <c r="G3669" s="32" t="str">
        <f t="shared" si="114"/>
        <v>|||1900|</v>
      </c>
      <c r="H3669" s="32" t="str">
        <f t="shared" si="115"/>
        <v>||1900|</v>
      </c>
      <c r="I3669" s="32">
        <f>IF(G3669="",0,IF(COUNTIF($G$2:G3669,G3669)=1,1,0))</f>
        <v>0</v>
      </c>
      <c r="J3669" s="32">
        <f>IF(H3669="",0,IF(COUNTIF($H$2:H3669,H3669)=1,1,0))</f>
        <v>0</v>
      </c>
    </row>
    <row r="3670" spans="1:10" ht="14.25" hidden="1" customHeight="1" x14ac:dyDescent="0.35">
      <c r="A3670" s="30"/>
      <c r="E3670" s="31"/>
      <c r="G3670" s="32" t="str">
        <f t="shared" si="114"/>
        <v>|||1900|</v>
      </c>
      <c r="H3670" s="32" t="str">
        <f t="shared" si="115"/>
        <v>||1900|</v>
      </c>
      <c r="I3670" s="32">
        <f>IF(G3670="",0,IF(COUNTIF($G$2:G3670,G3670)=1,1,0))</f>
        <v>0</v>
      </c>
      <c r="J3670" s="32">
        <f>IF(H3670="",0,IF(COUNTIF($H$2:H3670,H3670)=1,1,0))</f>
        <v>0</v>
      </c>
    </row>
    <row r="3671" spans="1:10" ht="14.25" hidden="1" customHeight="1" x14ac:dyDescent="0.35">
      <c r="A3671" s="30"/>
      <c r="E3671" s="31"/>
      <c r="G3671" s="32" t="str">
        <f t="shared" si="114"/>
        <v>|||1900|</v>
      </c>
      <c r="H3671" s="32" t="str">
        <f t="shared" si="115"/>
        <v>||1900|</v>
      </c>
      <c r="I3671" s="32">
        <f>IF(G3671="",0,IF(COUNTIF($G$2:G3671,G3671)=1,1,0))</f>
        <v>0</v>
      </c>
      <c r="J3671" s="32">
        <f>IF(H3671="",0,IF(COUNTIF($H$2:H3671,H3671)=1,1,0))</f>
        <v>0</v>
      </c>
    </row>
    <row r="3672" spans="1:10" ht="14.25" hidden="1" customHeight="1" x14ac:dyDescent="0.35">
      <c r="A3672" s="30"/>
      <c r="E3672" s="31"/>
      <c r="G3672" s="32" t="str">
        <f t="shared" si="114"/>
        <v>|||1900|</v>
      </c>
      <c r="H3672" s="32" t="str">
        <f t="shared" si="115"/>
        <v>||1900|</v>
      </c>
      <c r="I3672" s="32">
        <f>IF(G3672="",0,IF(COUNTIF($G$2:G3672,G3672)=1,1,0))</f>
        <v>0</v>
      </c>
      <c r="J3672" s="32">
        <f>IF(H3672="",0,IF(COUNTIF($H$2:H3672,H3672)=1,1,0))</f>
        <v>0</v>
      </c>
    </row>
    <row r="3673" spans="1:10" ht="14.25" hidden="1" customHeight="1" x14ac:dyDescent="0.35">
      <c r="A3673" s="30"/>
      <c r="E3673" s="31"/>
      <c r="G3673" s="32" t="str">
        <f t="shared" si="114"/>
        <v>|||1900|</v>
      </c>
      <c r="H3673" s="32" t="str">
        <f t="shared" si="115"/>
        <v>||1900|</v>
      </c>
      <c r="I3673" s="32">
        <f>IF(G3673="",0,IF(COUNTIF($G$2:G3673,G3673)=1,1,0))</f>
        <v>0</v>
      </c>
      <c r="J3673" s="32">
        <f>IF(H3673="",0,IF(COUNTIF($H$2:H3673,H3673)=1,1,0))</f>
        <v>0</v>
      </c>
    </row>
    <row r="3674" spans="1:10" ht="14.25" hidden="1" customHeight="1" x14ac:dyDescent="0.35">
      <c r="A3674" s="30"/>
      <c r="E3674" s="31"/>
      <c r="G3674" s="32" t="str">
        <f t="shared" si="114"/>
        <v>|||1900|</v>
      </c>
      <c r="H3674" s="32" t="str">
        <f t="shared" si="115"/>
        <v>||1900|</v>
      </c>
      <c r="I3674" s="32">
        <f>IF(G3674="",0,IF(COUNTIF($G$2:G3674,G3674)=1,1,0))</f>
        <v>0</v>
      </c>
      <c r="J3674" s="32">
        <f>IF(H3674="",0,IF(COUNTIF($H$2:H3674,H3674)=1,1,0))</f>
        <v>0</v>
      </c>
    </row>
    <row r="3675" spans="1:10" ht="14.25" hidden="1" customHeight="1" x14ac:dyDescent="0.35">
      <c r="A3675" s="30"/>
      <c r="E3675" s="31"/>
      <c r="G3675" s="32" t="str">
        <f t="shared" si="114"/>
        <v>|||1900|</v>
      </c>
      <c r="H3675" s="32" t="str">
        <f t="shared" si="115"/>
        <v>||1900|</v>
      </c>
      <c r="I3675" s="32">
        <f>IF(G3675="",0,IF(COUNTIF($G$2:G3675,G3675)=1,1,0))</f>
        <v>0</v>
      </c>
      <c r="J3675" s="32">
        <f>IF(H3675="",0,IF(COUNTIF($H$2:H3675,H3675)=1,1,0))</f>
        <v>0</v>
      </c>
    </row>
    <row r="3676" spans="1:10" ht="14.25" hidden="1" customHeight="1" x14ac:dyDescent="0.35">
      <c r="A3676" s="30"/>
      <c r="E3676" s="31"/>
      <c r="G3676" s="32" t="str">
        <f t="shared" si="114"/>
        <v>|||1900|</v>
      </c>
      <c r="H3676" s="32" t="str">
        <f t="shared" si="115"/>
        <v>||1900|</v>
      </c>
      <c r="I3676" s="32">
        <f>IF(G3676="",0,IF(COUNTIF($G$2:G3676,G3676)=1,1,0))</f>
        <v>0</v>
      </c>
      <c r="J3676" s="32">
        <f>IF(H3676="",0,IF(COUNTIF($H$2:H3676,H3676)=1,1,0))</f>
        <v>0</v>
      </c>
    </row>
    <row r="3677" spans="1:10" ht="14.25" hidden="1" customHeight="1" x14ac:dyDescent="0.35">
      <c r="A3677" s="30"/>
      <c r="E3677" s="31"/>
      <c r="G3677" s="32" t="str">
        <f t="shared" si="114"/>
        <v>|||1900|</v>
      </c>
      <c r="H3677" s="32" t="str">
        <f t="shared" si="115"/>
        <v>||1900|</v>
      </c>
      <c r="I3677" s="32">
        <f>IF(G3677="",0,IF(COUNTIF($G$2:G3677,G3677)=1,1,0))</f>
        <v>0</v>
      </c>
      <c r="J3677" s="32">
        <f>IF(H3677="",0,IF(COUNTIF($H$2:H3677,H3677)=1,1,0))</f>
        <v>0</v>
      </c>
    </row>
    <row r="3678" spans="1:10" ht="14.25" hidden="1" customHeight="1" x14ac:dyDescent="0.35">
      <c r="A3678" s="30"/>
      <c r="E3678" s="31"/>
      <c r="G3678" s="32" t="str">
        <f t="shared" si="114"/>
        <v>|||1900|</v>
      </c>
      <c r="H3678" s="32" t="str">
        <f t="shared" si="115"/>
        <v>||1900|</v>
      </c>
      <c r="I3678" s="32">
        <f>IF(G3678="",0,IF(COUNTIF($G$2:G3678,G3678)=1,1,0))</f>
        <v>0</v>
      </c>
      <c r="J3678" s="32">
        <f>IF(H3678="",0,IF(COUNTIF($H$2:H3678,H3678)=1,1,0))</f>
        <v>0</v>
      </c>
    </row>
    <row r="3679" spans="1:10" ht="14.25" hidden="1" customHeight="1" x14ac:dyDescent="0.35">
      <c r="A3679" s="30"/>
      <c r="E3679" s="31"/>
      <c r="G3679" s="32" t="str">
        <f t="shared" si="114"/>
        <v>|||1900|</v>
      </c>
      <c r="H3679" s="32" t="str">
        <f t="shared" si="115"/>
        <v>||1900|</v>
      </c>
      <c r="I3679" s="32">
        <f>IF(G3679="",0,IF(COUNTIF($G$2:G3679,G3679)=1,1,0))</f>
        <v>0</v>
      </c>
      <c r="J3679" s="32">
        <f>IF(H3679="",0,IF(COUNTIF($H$2:H3679,H3679)=1,1,0))</f>
        <v>0</v>
      </c>
    </row>
    <row r="3680" spans="1:10" ht="14.25" hidden="1" customHeight="1" x14ac:dyDescent="0.35">
      <c r="A3680" s="30"/>
      <c r="E3680" s="31"/>
      <c r="G3680" s="32" t="str">
        <f t="shared" si="114"/>
        <v>|||1900|</v>
      </c>
      <c r="H3680" s="32" t="str">
        <f t="shared" si="115"/>
        <v>||1900|</v>
      </c>
      <c r="I3680" s="32">
        <f>IF(G3680="",0,IF(COUNTIF($G$2:G3680,G3680)=1,1,0))</f>
        <v>0</v>
      </c>
      <c r="J3680" s="32">
        <f>IF(H3680="",0,IF(COUNTIF($H$2:H3680,H3680)=1,1,0))</f>
        <v>0</v>
      </c>
    </row>
    <row r="3681" spans="1:10" ht="14.25" hidden="1" customHeight="1" x14ac:dyDescent="0.35">
      <c r="A3681" s="30"/>
      <c r="E3681" s="31"/>
      <c r="G3681" s="32" t="str">
        <f t="shared" si="114"/>
        <v>|||1900|</v>
      </c>
      <c r="H3681" s="32" t="str">
        <f t="shared" si="115"/>
        <v>||1900|</v>
      </c>
      <c r="I3681" s="32">
        <f>IF(G3681="",0,IF(COUNTIF($G$2:G3681,G3681)=1,1,0))</f>
        <v>0</v>
      </c>
      <c r="J3681" s="32">
        <f>IF(H3681="",0,IF(COUNTIF($H$2:H3681,H3681)=1,1,0))</f>
        <v>0</v>
      </c>
    </row>
    <row r="3682" spans="1:10" ht="14.25" hidden="1" customHeight="1" x14ac:dyDescent="0.35">
      <c r="A3682" s="30"/>
      <c r="E3682" s="31"/>
      <c r="G3682" s="32" t="str">
        <f t="shared" si="114"/>
        <v>|||1900|</v>
      </c>
      <c r="H3682" s="32" t="str">
        <f t="shared" si="115"/>
        <v>||1900|</v>
      </c>
      <c r="I3682" s="32">
        <f>IF(G3682="",0,IF(COUNTIF($G$2:G3682,G3682)=1,1,0))</f>
        <v>0</v>
      </c>
      <c r="J3682" s="32">
        <f>IF(H3682="",0,IF(COUNTIF($H$2:H3682,H3682)=1,1,0))</f>
        <v>0</v>
      </c>
    </row>
    <row r="3683" spans="1:10" ht="14.25" hidden="1" customHeight="1" x14ac:dyDescent="0.35">
      <c r="A3683" s="30"/>
      <c r="E3683" s="31"/>
      <c r="G3683" s="32" t="str">
        <f t="shared" si="114"/>
        <v>|||1900|</v>
      </c>
      <c r="H3683" s="32" t="str">
        <f t="shared" si="115"/>
        <v>||1900|</v>
      </c>
      <c r="I3683" s="32">
        <f>IF(G3683="",0,IF(COUNTIF($G$2:G3683,G3683)=1,1,0))</f>
        <v>0</v>
      </c>
      <c r="J3683" s="32">
        <f>IF(H3683="",0,IF(COUNTIF($H$2:H3683,H3683)=1,1,0))</f>
        <v>0</v>
      </c>
    </row>
    <row r="3684" spans="1:10" ht="14.25" hidden="1" customHeight="1" x14ac:dyDescent="0.35">
      <c r="A3684" s="30"/>
      <c r="E3684" s="31"/>
      <c r="G3684" s="32" t="str">
        <f t="shared" si="114"/>
        <v>|||1900|</v>
      </c>
      <c r="H3684" s="32" t="str">
        <f t="shared" si="115"/>
        <v>||1900|</v>
      </c>
      <c r="I3684" s="32">
        <f>IF(G3684="",0,IF(COUNTIF($G$2:G3684,G3684)=1,1,0))</f>
        <v>0</v>
      </c>
      <c r="J3684" s="32">
        <f>IF(H3684="",0,IF(COUNTIF($H$2:H3684,H3684)=1,1,0))</f>
        <v>0</v>
      </c>
    </row>
    <row r="3685" spans="1:10" ht="14.25" hidden="1" customHeight="1" x14ac:dyDescent="0.35">
      <c r="A3685" s="30"/>
      <c r="E3685" s="31"/>
      <c r="G3685" s="32" t="str">
        <f t="shared" si="114"/>
        <v>|||1900|</v>
      </c>
      <c r="H3685" s="32" t="str">
        <f t="shared" si="115"/>
        <v>||1900|</v>
      </c>
      <c r="I3685" s="32">
        <f>IF(G3685="",0,IF(COUNTIF($G$2:G3685,G3685)=1,1,0))</f>
        <v>0</v>
      </c>
      <c r="J3685" s="32">
        <f>IF(H3685="",0,IF(COUNTIF($H$2:H3685,H3685)=1,1,0))</f>
        <v>0</v>
      </c>
    </row>
    <row r="3686" spans="1:10" ht="14.25" hidden="1" customHeight="1" x14ac:dyDescent="0.35">
      <c r="A3686" s="30"/>
      <c r="E3686" s="31"/>
      <c r="G3686" s="32" t="str">
        <f t="shared" si="114"/>
        <v>|||1900|</v>
      </c>
      <c r="H3686" s="32" t="str">
        <f t="shared" si="115"/>
        <v>||1900|</v>
      </c>
      <c r="I3686" s="32">
        <f>IF(G3686="",0,IF(COUNTIF($G$2:G3686,G3686)=1,1,0))</f>
        <v>0</v>
      </c>
      <c r="J3686" s="32">
        <f>IF(H3686="",0,IF(COUNTIF($H$2:H3686,H3686)=1,1,0))</f>
        <v>0</v>
      </c>
    </row>
    <row r="3687" spans="1:10" ht="14.25" hidden="1" customHeight="1" x14ac:dyDescent="0.35">
      <c r="A3687" s="30"/>
      <c r="E3687" s="31"/>
      <c r="G3687" s="32" t="str">
        <f t="shared" si="114"/>
        <v>|||1900|</v>
      </c>
      <c r="H3687" s="32" t="str">
        <f t="shared" si="115"/>
        <v>||1900|</v>
      </c>
      <c r="I3687" s="32">
        <f>IF(G3687="",0,IF(COUNTIF($G$2:G3687,G3687)=1,1,0))</f>
        <v>0</v>
      </c>
      <c r="J3687" s="32">
        <f>IF(H3687="",0,IF(COUNTIF($H$2:H3687,H3687)=1,1,0))</f>
        <v>0</v>
      </c>
    </row>
    <row r="3688" spans="1:10" ht="14.25" hidden="1" customHeight="1" x14ac:dyDescent="0.35">
      <c r="A3688" s="30"/>
      <c r="E3688" s="31"/>
      <c r="G3688" s="32" t="str">
        <f t="shared" si="114"/>
        <v>|||1900|</v>
      </c>
      <c r="H3688" s="32" t="str">
        <f t="shared" si="115"/>
        <v>||1900|</v>
      </c>
      <c r="I3688" s="32">
        <f>IF(G3688="",0,IF(COUNTIF($G$2:G3688,G3688)=1,1,0))</f>
        <v>0</v>
      </c>
      <c r="J3688" s="32">
        <f>IF(H3688="",0,IF(COUNTIF($H$2:H3688,H3688)=1,1,0))</f>
        <v>0</v>
      </c>
    </row>
    <row r="3689" spans="1:10" ht="14.25" hidden="1" customHeight="1" x14ac:dyDescent="0.35">
      <c r="A3689" s="30"/>
      <c r="E3689" s="31"/>
      <c r="G3689" s="32" t="str">
        <f t="shared" si="114"/>
        <v>|||1900|</v>
      </c>
      <c r="H3689" s="32" t="str">
        <f t="shared" si="115"/>
        <v>||1900|</v>
      </c>
      <c r="I3689" s="32">
        <f>IF(G3689="",0,IF(COUNTIF($G$2:G3689,G3689)=1,1,0))</f>
        <v>0</v>
      </c>
      <c r="J3689" s="32">
        <f>IF(H3689="",0,IF(COUNTIF($H$2:H3689,H3689)=1,1,0))</f>
        <v>0</v>
      </c>
    </row>
    <row r="3690" spans="1:10" ht="14.25" hidden="1" customHeight="1" x14ac:dyDescent="0.35">
      <c r="A3690" s="30"/>
      <c r="E3690" s="31"/>
      <c r="G3690" s="32" t="str">
        <f t="shared" si="114"/>
        <v>|||1900|</v>
      </c>
      <c r="H3690" s="32" t="str">
        <f t="shared" si="115"/>
        <v>||1900|</v>
      </c>
      <c r="I3690" s="32">
        <f>IF(G3690="",0,IF(COUNTIF($G$2:G3690,G3690)=1,1,0))</f>
        <v>0</v>
      </c>
      <c r="J3690" s="32">
        <f>IF(H3690="",0,IF(COUNTIF($H$2:H3690,H3690)=1,1,0))</f>
        <v>0</v>
      </c>
    </row>
    <row r="3691" spans="1:10" ht="14.25" hidden="1" customHeight="1" x14ac:dyDescent="0.35">
      <c r="A3691" s="30"/>
      <c r="E3691" s="31"/>
      <c r="G3691" s="32" t="str">
        <f t="shared" si="114"/>
        <v>|||1900|</v>
      </c>
      <c r="H3691" s="32" t="str">
        <f t="shared" si="115"/>
        <v>||1900|</v>
      </c>
      <c r="I3691" s="32">
        <f>IF(G3691="",0,IF(COUNTIF($G$2:G3691,G3691)=1,1,0))</f>
        <v>0</v>
      </c>
      <c r="J3691" s="32">
        <f>IF(H3691="",0,IF(COUNTIF($H$2:H3691,H3691)=1,1,0))</f>
        <v>0</v>
      </c>
    </row>
    <row r="3692" spans="1:10" ht="14.25" hidden="1" customHeight="1" x14ac:dyDescent="0.35">
      <c r="A3692" s="30"/>
      <c r="E3692" s="31"/>
      <c r="G3692" s="32" t="str">
        <f t="shared" si="114"/>
        <v>|||1900|</v>
      </c>
      <c r="H3692" s="32" t="str">
        <f t="shared" si="115"/>
        <v>||1900|</v>
      </c>
      <c r="I3692" s="32">
        <f>IF(G3692="",0,IF(COUNTIF($G$2:G3692,G3692)=1,1,0))</f>
        <v>0</v>
      </c>
      <c r="J3692" s="32">
        <f>IF(H3692="",0,IF(COUNTIF($H$2:H3692,H3692)=1,1,0))</f>
        <v>0</v>
      </c>
    </row>
    <row r="3693" spans="1:10" ht="14.25" hidden="1" customHeight="1" x14ac:dyDescent="0.35">
      <c r="A3693" s="30"/>
      <c r="E3693" s="31"/>
      <c r="G3693" s="32" t="str">
        <f t="shared" si="114"/>
        <v>|||1900|</v>
      </c>
      <c r="H3693" s="32" t="str">
        <f t="shared" si="115"/>
        <v>||1900|</v>
      </c>
      <c r="I3693" s="32">
        <f>IF(G3693="",0,IF(COUNTIF($G$2:G3693,G3693)=1,1,0))</f>
        <v>0</v>
      </c>
      <c r="J3693" s="32">
        <f>IF(H3693="",0,IF(COUNTIF($H$2:H3693,H3693)=1,1,0))</f>
        <v>0</v>
      </c>
    </row>
    <row r="3694" spans="1:10" ht="14.25" hidden="1" customHeight="1" x14ac:dyDescent="0.35">
      <c r="A3694" s="30"/>
      <c r="E3694" s="31"/>
      <c r="G3694" s="32" t="str">
        <f t="shared" si="114"/>
        <v>|||1900|</v>
      </c>
      <c r="H3694" s="32" t="str">
        <f t="shared" si="115"/>
        <v>||1900|</v>
      </c>
      <c r="I3694" s="32">
        <f>IF(G3694="",0,IF(COUNTIF($G$2:G3694,G3694)=1,1,0))</f>
        <v>0</v>
      </c>
      <c r="J3694" s="32">
        <f>IF(H3694="",0,IF(COUNTIF($H$2:H3694,H3694)=1,1,0))</f>
        <v>0</v>
      </c>
    </row>
    <row r="3695" spans="1:10" ht="14.25" hidden="1" customHeight="1" x14ac:dyDescent="0.35">
      <c r="A3695" s="30"/>
      <c r="E3695" s="31"/>
      <c r="G3695" s="32" t="str">
        <f t="shared" si="114"/>
        <v>|||1900|</v>
      </c>
      <c r="H3695" s="32" t="str">
        <f t="shared" si="115"/>
        <v>||1900|</v>
      </c>
      <c r="I3695" s="32">
        <f>IF(G3695="",0,IF(COUNTIF($G$2:G3695,G3695)=1,1,0))</f>
        <v>0</v>
      </c>
      <c r="J3695" s="32">
        <f>IF(H3695="",0,IF(COUNTIF($H$2:H3695,H3695)=1,1,0))</f>
        <v>0</v>
      </c>
    </row>
    <row r="3696" spans="1:10" ht="14.25" hidden="1" customHeight="1" x14ac:dyDescent="0.35">
      <c r="A3696" s="30"/>
      <c r="E3696" s="31"/>
      <c r="G3696" s="32" t="str">
        <f t="shared" si="114"/>
        <v>|||1900|</v>
      </c>
      <c r="H3696" s="32" t="str">
        <f t="shared" si="115"/>
        <v>||1900|</v>
      </c>
      <c r="I3696" s="32">
        <f>IF(G3696="",0,IF(COUNTIF($G$2:G3696,G3696)=1,1,0))</f>
        <v>0</v>
      </c>
      <c r="J3696" s="32">
        <f>IF(H3696="",0,IF(COUNTIF($H$2:H3696,H3696)=1,1,0))</f>
        <v>0</v>
      </c>
    </row>
    <row r="3697" spans="1:10" ht="14.25" hidden="1" customHeight="1" x14ac:dyDescent="0.35">
      <c r="A3697" s="30"/>
      <c r="E3697" s="31"/>
      <c r="G3697" s="32" t="str">
        <f t="shared" si="114"/>
        <v>|||1900|</v>
      </c>
      <c r="H3697" s="32" t="str">
        <f t="shared" si="115"/>
        <v>||1900|</v>
      </c>
      <c r="I3697" s="32">
        <f>IF(G3697="",0,IF(COUNTIF($G$2:G3697,G3697)=1,1,0))</f>
        <v>0</v>
      </c>
      <c r="J3697" s="32">
        <f>IF(H3697="",0,IF(COUNTIF($H$2:H3697,H3697)=1,1,0))</f>
        <v>0</v>
      </c>
    </row>
    <row r="3698" spans="1:10" ht="14.25" hidden="1" customHeight="1" x14ac:dyDescent="0.35">
      <c r="A3698" s="30"/>
      <c r="E3698" s="31"/>
      <c r="G3698" s="32" t="str">
        <f t="shared" si="114"/>
        <v>|||1900|</v>
      </c>
      <c r="H3698" s="32" t="str">
        <f t="shared" si="115"/>
        <v>||1900|</v>
      </c>
      <c r="I3698" s="32">
        <f>IF(G3698="",0,IF(COUNTIF($G$2:G3698,G3698)=1,1,0))</f>
        <v>0</v>
      </c>
      <c r="J3698" s="32">
        <f>IF(H3698="",0,IF(COUNTIF($H$2:H3698,H3698)=1,1,0))</f>
        <v>0</v>
      </c>
    </row>
    <row r="3699" spans="1:10" ht="14.25" hidden="1" customHeight="1" x14ac:dyDescent="0.35">
      <c r="A3699" s="30"/>
      <c r="E3699" s="31"/>
      <c r="G3699" s="32" t="str">
        <f t="shared" si="114"/>
        <v>|||1900|</v>
      </c>
      <c r="H3699" s="32" t="str">
        <f t="shared" si="115"/>
        <v>||1900|</v>
      </c>
      <c r="I3699" s="32">
        <f>IF(G3699="",0,IF(COUNTIF($G$2:G3699,G3699)=1,1,0))</f>
        <v>0</v>
      </c>
      <c r="J3699" s="32">
        <f>IF(H3699="",0,IF(COUNTIF($H$2:H3699,H3699)=1,1,0))</f>
        <v>0</v>
      </c>
    </row>
    <row r="3700" spans="1:10" ht="14.25" hidden="1" customHeight="1" x14ac:dyDescent="0.35">
      <c r="A3700" s="30"/>
      <c r="E3700" s="31"/>
      <c r="G3700" s="32" t="str">
        <f t="shared" si="114"/>
        <v>|||1900|</v>
      </c>
      <c r="H3700" s="32" t="str">
        <f t="shared" si="115"/>
        <v>||1900|</v>
      </c>
      <c r="I3700" s="32">
        <f>IF(G3700="",0,IF(COUNTIF($G$2:G3700,G3700)=1,1,0))</f>
        <v>0</v>
      </c>
      <c r="J3700" s="32">
        <f>IF(H3700="",0,IF(COUNTIF($H$2:H3700,H3700)=1,1,0))</f>
        <v>0</v>
      </c>
    </row>
    <row r="3701" spans="1:10" ht="14.25" hidden="1" customHeight="1" x14ac:dyDescent="0.35">
      <c r="A3701" s="30"/>
      <c r="E3701" s="31"/>
      <c r="G3701" s="32" t="str">
        <f t="shared" si="114"/>
        <v>|||1900|</v>
      </c>
      <c r="H3701" s="32" t="str">
        <f t="shared" si="115"/>
        <v>||1900|</v>
      </c>
      <c r="I3701" s="32">
        <f>IF(G3701="",0,IF(COUNTIF($G$2:G3701,G3701)=1,1,0))</f>
        <v>0</v>
      </c>
      <c r="J3701" s="32">
        <f>IF(H3701="",0,IF(COUNTIF($H$2:H3701,H3701)=1,1,0))</f>
        <v>0</v>
      </c>
    </row>
    <row r="3702" spans="1:10" ht="14.25" hidden="1" customHeight="1" x14ac:dyDescent="0.35">
      <c r="A3702" s="30"/>
      <c r="E3702" s="31"/>
      <c r="G3702" s="32" t="str">
        <f t="shared" si="114"/>
        <v>|||1900|</v>
      </c>
      <c r="H3702" s="32" t="str">
        <f t="shared" si="115"/>
        <v>||1900|</v>
      </c>
      <c r="I3702" s="32">
        <f>IF(G3702="",0,IF(COUNTIF($G$2:G3702,G3702)=1,1,0))</f>
        <v>0</v>
      </c>
      <c r="J3702" s="32">
        <f>IF(H3702="",0,IF(COUNTIF($H$2:H3702,H3702)=1,1,0))</f>
        <v>0</v>
      </c>
    </row>
    <row r="3703" spans="1:10" ht="14.25" hidden="1" customHeight="1" x14ac:dyDescent="0.35">
      <c r="A3703" s="30"/>
      <c r="E3703" s="31"/>
      <c r="G3703" s="32" t="str">
        <f t="shared" si="114"/>
        <v>|||1900|</v>
      </c>
      <c r="H3703" s="32" t="str">
        <f t="shared" si="115"/>
        <v>||1900|</v>
      </c>
      <c r="I3703" s="32">
        <f>IF(G3703="",0,IF(COUNTIF($G$2:G3703,G3703)=1,1,0))</f>
        <v>0</v>
      </c>
      <c r="J3703" s="32">
        <f>IF(H3703="",0,IF(COUNTIF($H$2:H3703,H3703)=1,1,0))</f>
        <v>0</v>
      </c>
    </row>
    <row r="3704" spans="1:10" ht="14.25" hidden="1" customHeight="1" x14ac:dyDescent="0.35">
      <c r="A3704" s="30"/>
      <c r="E3704" s="31"/>
      <c r="G3704" s="32" t="str">
        <f t="shared" si="114"/>
        <v>|||1900|</v>
      </c>
      <c r="H3704" s="32" t="str">
        <f t="shared" si="115"/>
        <v>||1900|</v>
      </c>
      <c r="I3704" s="32">
        <f>IF(G3704="",0,IF(COUNTIF($G$2:G3704,G3704)=1,1,0))</f>
        <v>0</v>
      </c>
      <c r="J3704" s="32">
        <f>IF(H3704="",0,IF(COUNTIF($H$2:H3704,H3704)=1,1,0))</f>
        <v>0</v>
      </c>
    </row>
    <row r="3705" spans="1:10" ht="14.25" hidden="1" customHeight="1" x14ac:dyDescent="0.35">
      <c r="A3705" s="30"/>
      <c r="E3705" s="31"/>
      <c r="G3705" s="32" t="str">
        <f t="shared" si="114"/>
        <v>|||1900|</v>
      </c>
      <c r="H3705" s="32" t="str">
        <f t="shared" si="115"/>
        <v>||1900|</v>
      </c>
      <c r="I3705" s="32">
        <f>IF(G3705="",0,IF(COUNTIF($G$2:G3705,G3705)=1,1,0))</f>
        <v>0</v>
      </c>
      <c r="J3705" s="32">
        <f>IF(H3705="",0,IF(COUNTIF($H$2:H3705,H3705)=1,1,0))</f>
        <v>0</v>
      </c>
    </row>
    <row r="3706" spans="1:10" ht="14.25" hidden="1" customHeight="1" x14ac:dyDescent="0.35">
      <c r="A3706" s="30"/>
      <c r="E3706" s="31"/>
      <c r="G3706" s="32" t="str">
        <f t="shared" si="114"/>
        <v>|||1900|</v>
      </c>
      <c r="H3706" s="32" t="str">
        <f t="shared" si="115"/>
        <v>||1900|</v>
      </c>
      <c r="I3706" s="32">
        <f>IF(G3706="",0,IF(COUNTIF($G$2:G3706,G3706)=1,1,0))</f>
        <v>0</v>
      </c>
      <c r="J3706" s="32">
        <f>IF(H3706="",0,IF(COUNTIF($H$2:H3706,H3706)=1,1,0))</f>
        <v>0</v>
      </c>
    </row>
    <row r="3707" spans="1:10" ht="14.25" hidden="1" customHeight="1" x14ac:dyDescent="0.35">
      <c r="A3707" s="30"/>
      <c r="E3707" s="31"/>
      <c r="G3707" s="32" t="str">
        <f t="shared" si="114"/>
        <v>|||1900|</v>
      </c>
      <c r="H3707" s="32" t="str">
        <f t="shared" si="115"/>
        <v>||1900|</v>
      </c>
      <c r="I3707" s="32">
        <f>IF(G3707="",0,IF(COUNTIF($G$2:G3707,G3707)=1,1,0))</f>
        <v>0</v>
      </c>
      <c r="J3707" s="32">
        <f>IF(H3707="",0,IF(COUNTIF($H$2:H3707,H3707)=1,1,0))</f>
        <v>0</v>
      </c>
    </row>
    <row r="3708" spans="1:10" ht="14.25" hidden="1" customHeight="1" x14ac:dyDescent="0.35">
      <c r="A3708" s="30"/>
      <c r="E3708" s="31"/>
      <c r="G3708" s="32" t="str">
        <f t="shared" si="114"/>
        <v>|||1900|</v>
      </c>
      <c r="H3708" s="32" t="str">
        <f t="shared" si="115"/>
        <v>||1900|</v>
      </c>
      <c r="I3708" s="32">
        <f>IF(G3708="",0,IF(COUNTIF($G$2:G3708,G3708)=1,1,0))</f>
        <v>0</v>
      </c>
      <c r="J3708" s="32">
        <f>IF(H3708="",0,IF(COUNTIF($H$2:H3708,H3708)=1,1,0))</f>
        <v>0</v>
      </c>
    </row>
    <row r="3709" spans="1:10" ht="14.25" hidden="1" customHeight="1" x14ac:dyDescent="0.35">
      <c r="A3709" s="30"/>
      <c r="E3709" s="31"/>
      <c r="G3709" s="32" t="str">
        <f t="shared" si="114"/>
        <v>|||1900|</v>
      </c>
      <c r="H3709" s="32" t="str">
        <f t="shared" si="115"/>
        <v>||1900|</v>
      </c>
      <c r="I3709" s="32">
        <f>IF(G3709="",0,IF(COUNTIF($G$2:G3709,G3709)=1,1,0))</f>
        <v>0</v>
      </c>
      <c r="J3709" s="32">
        <f>IF(H3709="",0,IF(COUNTIF($H$2:H3709,H3709)=1,1,0))</f>
        <v>0</v>
      </c>
    </row>
    <row r="3710" spans="1:10" ht="14.25" hidden="1" customHeight="1" x14ac:dyDescent="0.35">
      <c r="A3710" s="30"/>
      <c r="E3710" s="31"/>
      <c r="G3710" s="32" t="str">
        <f t="shared" si="114"/>
        <v>|||1900|</v>
      </c>
      <c r="H3710" s="32" t="str">
        <f t="shared" si="115"/>
        <v>||1900|</v>
      </c>
      <c r="I3710" s="32">
        <f>IF(G3710="",0,IF(COUNTIF($G$2:G3710,G3710)=1,1,0))</f>
        <v>0</v>
      </c>
      <c r="J3710" s="32">
        <f>IF(H3710="",0,IF(COUNTIF($H$2:H3710,H3710)=1,1,0))</f>
        <v>0</v>
      </c>
    </row>
    <row r="3711" spans="1:10" ht="14.25" hidden="1" customHeight="1" x14ac:dyDescent="0.35">
      <c r="A3711" s="30"/>
      <c r="E3711" s="31"/>
      <c r="G3711" s="32" t="str">
        <f t="shared" si="114"/>
        <v>|||1900|</v>
      </c>
      <c r="H3711" s="32" t="str">
        <f t="shared" si="115"/>
        <v>||1900|</v>
      </c>
      <c r="I3711" s="32">
        <f>IF(G3711="",0,IF(COUNTIF($G$2:G3711,G3711)=1,1,0))</f>
        <v>0</v>
      </c>
      <c r="J3711" s="32">
        <f>IF(H3711="",0,IF(COUNTIF($H$2:H3711,H3711)=1,1,0))</f>
        <v>0</v>
      </c>
    </row>
    <row r="3712" spans="1:10" ht="14.25" hidden="1" customHeight="1" x14ac:dyDescent="0.35">
      <c r="A3712" s="30"/>
      <c r="E3712" s="31"/>
      <c r="G3712" s="32" t="str">
        <f t="shared" si="114"/>
        <v>|||1900|</v>
      </c>
      <c r="H3712" s="32" t="str">
        <f t="shared" si="115"/>
        <v>||1900|</v>
      </c>
      <c r="I3712" s="32">
        <f>IF(G3712="",0,IF(COUNTIF($G$2:G3712,G3712)=1,1,0))</f>
        <v>0</v>
      </c>
      <c r="J3712" s="32">
        <f>IF(H3712="",0,IF(COUNTIF($H$2:H3712,H3712)=1,1,0))</f>
        <v>0</v>
      </c>
    </row>
    <row r="3713" spans="1:10" ht="14.25" hidden="1" customHeight="1" x14ac:dyDescent="0.35">
      <c r="A3713" s="30"/>
      <c r="E3713" s="31"/>
      <c r="G3713" s="32" t="str">
        <f t="shared" si="114"/>
        <v>|||1900|</v>
      </c>
      <c r="H3713" s="32" t="str">
        <f t="shared" si="115"/>
        <v>||1900|</v>
      </c>
      <c r="I3713" s="32">
        <f>IF(G3713="",0,IF(COUNTIF($G$2:G3713,G3713)=1,1,0))</f>
        <v>0</v>
      </c>
      <c r="J3713" s="32">
        <f>IF(H3713="",0,IF(COUNTIF($H$2:H3713,H3713)=1,1,0))</f>
        <v>0</v>
      </c>
    </row>
    <row r="3714" spans="1:10" ht="14.25" hidden="1" customHeight="1" x14ac:dyDescent="0.35">
      <c r="A3714" s="30"/>
      <c r="E3714" s="31"/>
      <c r="G3714" s="32" t="str">
        <f t="shared" ref="G3714:G3777" si="116">IF(D3714="T",
E3714&amp;"|"&amp;F3714,
A3714&amp;"|"&amp;B3714&amp;"|"&amp;C3714&amp;"|"&amp;YEAR(E3714)&amp;"|"&amp;F3714)</f>
        <v>|||1900|</v>
      </c>
      <c r="H3714" s="32" t="str">
        <f t="shared" ref="H3714:H3777" si="117">A3714&amp;"|"&amp;C3714&amp;"|"&amp;YEAR(E3714)&amp;"|"&amp;F3714</f>
        <v>||1900|</v>
      </c>
      <c r="I3714" s="32">
        <f>IF(G3714="",0,IF(COUNTIF($G$2:G3714,G3714)=1,1,0))</f>
        <v>0</v>
      </c>
      <c r="J3714" s="32">
        <f>IF(H3714="",0,IF(COUNTIF($H$2:H3714,H3714)=1,1,0))</f>
        <v>0</v>
      </c>
    </row>
    <row r="3715" spans="1:10" ht="14.25" hidden="1" customHeight="1" x14ac:dyDescent="0.35">
      <c r="A3715" s="30"/>
      <c r="E3715" s="31"/>
      <c r="G3715" s="32" t="str">
        <f t="shared" si="116"/>
        <v>|||1900|</v>
      </c>
      <c r="H3715" s="32" t="str">
        <f t="shared" si="117"/>
        <v>||1900|</v>
      </c>
      <c r="I3715" s="32">
        <f>IF(G3715="",0,IF(COUNTIF($G$2:G3715,G3715)=1,1,0))</f>
        <v>0</v>
      </c>
      <c r="J3715" s="32">
        <f>IF(H3715="",0,IF(COUNTIF($H$2:H3715,H3715)=1,1,0))</f>
        <v>0</v>
      </c>
    </row>
    <row r="3716" spans="1:10" ht="14.25" hidden="1" customHeight="1" x14ac:dyDescent="0.35">
      <c r="A3716" s="30"/>
      <c r="E3716" s="31"/>
      <c r="G3716" s="32" t="str">
        <f t="shared" si="116"/>
        <v>|||1900|</v>
      </c>
      <c r="H3716" s="32" t="str">
        <f t="shared" si="117"/>
        <v>||1900|</v>
      </c>
      <c r="I3716" s="32">
        <f>IF(G3716="",0,IF(COUNTIF($G$2:G3716,G3716)=1,1,0))</f>
        <v>0</v>
      </c>
      <c r="J3716" s="32">
        <f>IF(H3716="",0,IF(COUNTIF($H$2:H3716,H3716)=1,1,0))</f>
        <v>0</v>
      </c>
    </row>
    <row r="3717" spans="1:10" ht="14.25" hidden="1" customHeight="1" x14ac:dyDescent="0.35">
      <c r="A3717" s="30"/>
      <c r="E3717" s="31"/>
      <c r="G3717" s="32" t="str">
        <f t="shared" si="116"/>
        <v>|||1900|</v>
      </c>
      <c r="H3717" s="32" t="str">
        <f t="shared" si="117"/>
        <v>||1900|</v>
      </c>
      <c r="I3717" s="32">
        <f>IF(G3717="",0,IF(COUNTIF($G$2:G3717,G3717)=1,1,0))</f>
        <v>0</v>
      </c>
      <c r="J3717" s="32">
        <f>IF(H3717="",0,IF(COUNTIF($H$2:H3717,H3717)=1,1,0))</f>
        <v>0</v>
      </c>
    </row>
    <row r="3718" spans="1:10" ht="14.25" hidden="1" customHeight="1" x14ac:dyDescent="0.35">
      <c r="A3718" s="30"/>
      <c r="E3718" s="31"/>
      <c r="G3718" s="32" t="str">
        <f t="shared" si="116"/>
        <v>|||1900|</v>
      </c>
      <c r="H3718" s="32" t="str">
        <f t="shared" si="117"/>
        <v>||1900|</v>
      </c>
      <c r="I3718" s="32">
        <f>IF(G3718="",0,IF(COUNTIF($G$2:G3718,G3718)=1,1,0))</f>
        <v>0</v>
      </c>
      <c r="J3718" s="32">
        <f>IF(H3718="",0,IF(COUNTIF($H$2:H3718,H3718)=1,1,0))</f>
        <v>0</v>
      </c>
    </row>
    <row r="3719" spans="1:10" ht="14.25" hidden="1" customHeight="1" x14ac:dyDescent="0.35">
      <c r="A3719" s="30"/>
      <c r="E3719" s="31"/>
      <c r="G3719" s="32" t="str">
        <f t="shared" si="116"/>
        <v>|||1900|</v>
      </c>
      <c r="H3719" s="32" t="str">
        <f t="shared" si="117"/>
        <v>||1900|</v>
      </c>
      <c r="I3719" s="32">
        <f>IF(G3719="",0,IF(COUNTIF($G$2:G3719,G3719)=1,1,0))</f>
        <v>0</v>
      </c>
      <c r="J3719" s="32">
        <f>IF(H3719="",0,IF(COUNTIF($H$2:H3719,H3719)=1,1,0))</f>
        <v>0</v>
      </c>
    </row>
    <row r="3720" spans="1:10" ht="14.25" hidden="1" customHeight="1" x14ac:dyDescent="0.35">
      <c r="A3720" s="30"/>
      <c r="E3720" s="31"/>
      <c r="G3720" s="32" t="str">
        <f t="shared" si="116"/>
        <v>|||1900|</v>
      </c>
      <c r="H3720" s="32" t="str">
        <f t="shared" si="117"/>
        <v>||1900|</v>
      </c>
      <c r="I3720" s="32">
        <f>IF(G3720="",0,IF(COUNTIF($G$2:G3720,G3720)=1,1,0))</f>
        <v>0</v>
      </c>
      <c r="J3720" s="32">
        <f>IF(H3720="",0,IF(COUNTIF($H$2:H3720,H3720)=1,1,0))</f>
        <v>0</v>
      </c>
    </row>
    <row r="3721" spans="1:10" ht="14.25" hidden="1" customHeight="1" x14ac:dyDescent="0.35">
      <c r="A3721" s="30"/>
      <c r="E3721" s="31"/>
      <c r="G3721" s="32" t="str">
        <f t="shared" si="116"/>
        <v>|||1900|</v>
      </c>
      <c r="H3721" s="32" t="str">
        <f t="shared" si="117"/>
        <v>||1900|</v>
      </c>
      <c r="I3721" s="32">
        <f>IF(G3721="",0,IF(COUNTIF($G$2:G3721,G3721)=1,1,0))</f>
        <v>0</v>
      </c>
      <c r="J3721" s="32">
        <f>IF(H3721="",0,IF(COUNTIF($H$2:H3721,H3721)=1,1,0))</f>
        <v>0</v>
      </c>
    </row>
    <row r="3722" spans="1:10" ht="14.25" hidden="1" customHeight="1" x14ac:dyDescent="0.35">
      <c r="A3722" s="30"/>
      <c r="E3722" s="31"/>
      <c r="G3722" s="32" t="str">
        <f t="shared" si="116"/>
        <v>|||1900|</v>
      </c>
      <c r="H3722" s="32" t="str">
        <f t="shared" si="117"/>
        <v>||1900|</v>
      </c>
      <c r="I3722" s="32">
        <f>IF(G3722="",0,IF(COUNTIF($G$2:G3722,G3722)=1,1,0))</f>
        <v>0</v>
      </c>
      <c r="J3722" s="32">
        <f>IF(H3722="",0,IF(COUNTIF($H$2:H3722,H3722)=1,1,0))</f>
        <v>0</v>
      </c>
    </row>
    <row r="3723" spans="1:10" ht="14.25" hidden="1" customHeight="1" x14ac:dyDescent="0.35">
      <c r="A3723" s="30"/>
      <c r="E3723" s="31"/>
      <c r="G3723" s="32" t="str">
        <f t="shared" si="116"/>
        <v>|||1900|</v>
      </c>
      <c r="H3723" s="32" t="str">
        <f t="shared" si="117"/>
        <v>||1900|</v>
      </c>
      <c r="I3723" s="32">
        <f>IF(G3723="",0,IF(COUNTIF($G$2:G3723,G3723)=1,1,0))</f>
        <v>0</v>
      </c>
      <c r="J3723" s="32">
        <f>IF(H3723="",0,IF(COUNTIF($H$2:H3723,H3723)=1,1,0))</f>
        <v>0</v>
      </c>
    </row>
    <row r="3724" spans="1:10" ht="14.25" hidden="1" customHeight="1" x14ac:dyDescent="0.35">
      <c r="A3724" s="30"/>
      <c r="E3724" s="31"/>
      <c r="G3724" s="32" t="str">
        <f t="shared" si="116"/>
        <v>|||1900|</v>
      </c>
      <c r="H3724" s="32" t="str">
        <f t="shared" si="117"/>
        <v>||1900|</v>
      </c>
      <c r="I3724" s="32">
        <f>IF(G3724="",0,IF(COUNTIF($G$2:G3724,G3724)=1,1,0))</f>
        <v>0</v>
      </c>
      <c r="J3724" s="32">
        <f>IF(H3724="",0,IF(COUNTIF($H$2:H3724,H3724)=1,1,0))</f>
        <v>0</v>
      </c>
    </row>
    <row r="3725" spans="1:10" ht="14.25" hidden="1" customHeight="1" x14ac:dyDescent="0.35">
      <c r="A3725" s="30"/>
      <c r="E3725" s="31"/>
      <c r="G3725" s="32" t="str">
        <f t="shared" si="116"/>
        <v>|||1900|</v>
      </c>
      <c r="H3725" s="32" t="str">
        <f t="shared" si="117"/>
        <v>||1900|</v>
      </c>
      <c r="I3725" s="32">
        <f>IF(G3725="",0,IF(COUNTIF($G$2:G3725,G3725)=1,1,0))</f>
        <v>0</v>
      </c>
      <c r="J3725" s="32">
        <f>IF(H3725="",0,IF(COUNTIF($H$2:H3725,H3725)=1,1,0))</f>
        <v>0</v>
      </c>
    </row>
    <row r="3726" spans="1:10" ht="14.25" hidden="1" customHeight="1" x14ac:dyDescent="0.35">
      <c r="A3726" s="30"/>
      <c r="E3726" s="31"/>
      <c r="G3726" s="32" t="str">
        <f t="shared" si="116"/>
        <v>|||1900|</v>
      </c>
      <c r="H3726" s="32" t="str">
        <f t="shared" si="117"/>
        <v>||1900|</v>
      </c>
      <c r="I3726" s="32">
        <f>IF(G3726="",0,IF(COUNTIF($G$2:G3726,G3726)=1,1,0))</f>
        <v>0</v>
      </c>
      <c r="J3726" s="32">
        <f>IF(H3726="",0,IF(COUNTIF($H$2:H3726,H3726)=1,1,0))</f>
        <v>0</v>
      </c>
    </row>
    <row r="3727" spans="1:10" ht="14.25" hidden="1" customHeight="1" x14ac:dyDescent="0.35">
      <c r="A3727" s="30"/>
      <c r="E3727" s="31"/>
      <c r="G3727" s="32" t="str">
        <f t="shared" si="116"/>
        <v>|||1900|</v>
      </c>
      <c r="H3727" s="32" t="str">
        <f t="shared" si="117"/>
        <v>||1900|</v>
      </c>
      <c r="I3727" s="32">
        <f>IF(G3727="",0,IF(COUNTIF($G$2:G3727,G3727)=1,1,0))</f>
        <v>0</v>
      </c>
      <c r="J3727" s="32">
        <f>IF(H3727="",0,IF(COUNTIF($H$2:H3727,H3727)=1,1,0))</f>
        <v>0</v>
      </c>
    </row>
    <row r="3728" spans="1:10" ht="14.25" hidden="1" customHeight="1" x14ac:dyDescent="0.35">
      <c r="A3728" s="30"/>
      <c r="E3728" s="31"/>
      <c r="G3728" s="32" t="str">
        <f t="shared" si="116"/>
        <v>|||1900|</v>
      </c>
      <c r="H3728" s="32" t="str">
        <f t="shared" si="117"/>
        <v>||1900|</v>
      </c>
      <c r="I3728" s="32">
        <f>IF(G3728="",0,IF(COUNTIF($G$2:G3728,G3728)=1,1,0))</f>
        <v>0</v>
      </c>
      <c r="J3728" s="32">
        <f>IF(H3728="",0,IF(COUNTIF($H$2:H3728,H3728)=1,1,0))</f>
        <v>0</v>
      </c>
    </row>
    <row r="3729" spans="1:10" ht="14.25" hidden="1" customHeight="1" x14ac:dyDescent="0.35">
      <c r="A3729" s="30"/>
      <c r="E3729" s="31"/>
      <c r="G3729" s="32" t="str">
        <f t="shared" si="116"/>
        <v>|||1900|</v>
      </c>
      <c r="H3729" s="32" t="str">
        <f t="shared" si="117"/>
        <v>||1900|</v>
      </c>
      <c r="I3729" s="32">
        <f>IF(G3729="",0,IF(COUNTIF($G$2:G3729,G3729)=1,1,0))</f>
        <v>0</v>
      </c>
      <c r="J3729" s="32">
        <f>IF(H3729="",0,IF(COUNTIF($H$2:H3729,H3729)=1,1,0))</f>
        <v>0</v>
      </c>
    </row>
    <row r="3730" spans="1:10" ht="14.25" hidden="1" customHeight="1" x14ac:dyDescent="0.35">
      <c r="A3730" s="30"/>
      <c r="E3730" s="31"/>
      <c r="G3730" s="32" t="str">
        <f t="shared" si="116"/>
        <v>|||1900|</v>
      </c>
      <c r="H3730" s="32" t="str">
        <f t="shared" si="117"/>
        <v>||1900|</v>
      </c>
      <c r="I3730" s="32">
        <f>IF(G3730="",0,IF(COUNTIF($G$2:G3730,G3730)=1,1,0))</f>
        <v>0</v>
      </c>
      <c r="J3730" s="32">
        <f>IF(H3730="",0,IF(COUNTIF($H$2:H3730,H3730)=1,1,0))</f>
        <v>0</v>
      </c>
    </row>
    <row r="3731" spans="1:10" ht="14.25" hidden="1" customHeight="1" x14ac:dyDescent="0.35">
      <c r="A3731" s="30"/>
      <c r="E3731" s="31"/>
      <c r="G3731" s="32" t="str">
        <f t="shared" si="116"/>
        <v>|||1900|</v>
      </c>
      <c r="H3731" s="32" t="str">
        <f t="shared" si="117"/>
        <v>||1900|</v>
      </c>
      <c r="I3731" s="32">
        <f>IF(G3731="",0,IF(COUNTIF($G$2:G3731,G3731)=1,1,0))</f>
        <v>0</v>
      </c>
      <c r="J3731" s="32">
        <f>IF(H3731="",0,IF(COUNTIF($H$2:H3731,H3731)=1,1,0))</f>
        <v>0</v>
      </c>
    </row>
    <row r="3732" spans="1:10" ht="14.25" hidden="1" customHeight="1" x14ac:dyDescent="0.35">
      <c r="A3732" s="30"/>
      <c r="E3732" s="31"/>
      <c r="G3732" s="32" t="str">
        <f t="shared" si="116"/>
        <v>|||1900|</v>
      </c>
      <c r="H3732" s="32" t="str">
        <f t="shared" si="117"/>
        <v>||1900|</v>
      </c>
      <c r="I3732" s="32">
        <f>IF(G3732="",0,IF(COUNTIF($G$2:G3732,G3732)=1,1,0))</f>
        <v>0</v>
      </c>
      <c r="J3732" s="32">
        <f>IF(H3732="",0,IF(COUNTIF($H$2:H3732,H3732)=1,1,0))</f>
        <v>0</v>
      </c>
    </row>
    <row r="3733" spans="1:10" ht="14.25" hidden="1" customHeight="1" x14ac:dyDescent="0.35">
      <c r="A3733" s="30"/>
      <c r="E3733" s="31"/>
      <c r="G3733" s="32" t="str">
        <f t="shared" si="116"/>
        <v>|||1900|</v>
      </c>
      <c r="H3733" s="32" t="str">
        <f t="shared" si="117"/>
        <v>||1900|</v>
      </c>
      <c r="I3733" s="32">
        <f>IF(G3733="",0,IF(COUNTIF($G$2:G3733,G3733)=1,1,0))</f>
        <v>0</v>
      </c>
      <c r="J3733" s="32">
        <f>IF(H3733="",0,IF(COUNTIF($H$2:H3733,H3733)=1,1,0))</f>
        <v>0</v>
      </c>
    </row>
    <row r="3734" spans="1:10" ht="14.25" hidden="1" customHeight="1" x14ac:dyDescent="0.35">
      <c r="A3734" s="30"/>
      <c r="E3734" s="31"/>
      <c r="G3734" s="32" t="str">
        <f t="shared" si="116"/>
        <v>|||1900|</v>
      </c>
      <c r="H3734" s="32" t="str">
        <f t="shared" si="117"/>
        <v>||1900|</v>
      </c>
      <c r="I3734" s="32">
        <f>IF(G3734="",0,IF(COUNTIF($G$2:G3734,G3734)=1,1,0))</f>
        <v>0</v>
      </c>
      <c r="J3734" s="32">
        <f>IF(H3734="",0,IF(COUNTIF($H$2:H3734,H3734)=1,1,0))</f>
        <v>0</v>
      </c>
    </row>
    <row r="3735" spans="1:10" ht="14.25" hidden="1" customHeight="1" x14ac:dyDescent="0.35">
      <c r="A3735" s="30"/>
      <c r="E3735" s="31"/>
      <c r="G3735" s="32" t="str">
        <f t="shared" si="116"/>
        <v>|||1900|</v>
      </c>
      <c r="H3735" s="32" t="str">
        <f t="shared" si="117"/>
        <v>||1900|</v>
      </c>
      <c r="I3735" s="32">
        <f>IF(G3735="",0,IF(COUNTIF($G$2:G3735,G3735)=1,1,0))</f>
        <v>0</v>
      </c>
      <c r="J3735" s="32">
        <f>IF(H3735="",0,IF(COUNTIF($H$2:H3735,H3735)=1,1,0))</f>
        <v>0</v>
      </c>
    </row>
    <row r="3736" spans="1:10" ht="14.25" hidden="1" customHeight="1" x14ac:dyDescent="0.35">
      <c r="A3736" s="30"/>
      <c r="E3736" s="31"/>
      <c r="G3736" s="32" t="str">
        <f t="shared" si="116"/>
        <v>|||1900|</v>
      </c>
      <c r="H3736" s="32" t="str">
        <f t="shared" si="117"/>
        <v>||1900|</v>
      </c>
      <c r="I3736" s="32">
        <f>IF(G3736="",0,IF(COUNTIF($G$2:G3736,G3736)=1,1,0))</f>
        <v>0</v>
      </c>
      <c r="J3736" s="32">
        <f>IF(H3736="",0,IF(COUNTIF($H$2:H3736,H3736)=1,1,0))</f>
        <v>0</v>
      </c>
    </row>
    <row r="3737" spans="1:10" ht="14.25" hidden="1" customHeight="1" x14ac:dyDescent="0.35">
      <c r="A3737" s="30"/>
      <c r="E3737" s="31"/>
      <c r="G3737" s="32" t="str">
        <f t="shared" si="116"/>
        <v>|||1900|</v>
      </c>
      <c r="H3737" s="32" t="str">
        <f t="shared" si="117"/>
        <v>||1900|</v>
      </c>
      <c r="I3737" s="32">
        <f>IF(G3737="",0,IF(COUNTIF($G$2:G3737,G3737)=1,1,0))</f>
        <v>0</v>
      </c>
      <c r="J3737" s="32">
        <f>IF(H3737="",0,IF(COUNTIF($H$2:H3737,H3737)=1,1,0))</f>
        <v>0</v>
      </c>
    </row>
    <row r="3738" spans="1:10" ht="14.25" hidden="1" customHeight="1" x14ac:dyDescent="0.35">
      <c r="A3738" s="30"/>
      <c r="E3738" s="31"/>
      <c r="G3738" s="32" t="str">
        <f t="shared" si="116"/>
        <v>|||1900|</v>
      </c>
      <c r="H3738" s="32" t="str">
        <f t="shared" si="117"/>
        <v>||1900|</v>
      </c>
      <c r="I3738" s="32">
        <f>IF(G3738="",0,IF(COUNTIF($G$2:G3738,G3738)=1,1,0))</f>
        <v>0</v>
      </c>
      <c r="J3738" s="32">
        <f>IF(H3738="",0,IF(COUNTIF($H$2:H3738,H3738)=1,1,0))</f>
        <v>0</v>
      </c>
    </row>
    <row r="3739" spans="1:10" ht="14.25" hidden="1" customHeight="1" x14ac:dyDescent="0.35">
      <c r="A3739" s="30"/>
      <c r="E3739" s="31"/>
      <c r="G3739" s="32" t="str">
        <f t="shared" si="116"/>
        <v>|||1900|</v>
      </c>
      <c r="H3739" s="32" t="str">
        <f t="shared" si="117"/>
        <v>||1900|</v>
      </c>
      <c r="I3739" s="32">
        <f>IF(G3739="",0,IF(COUNTIF($G$2:G3739,G3739)=1,1,0))</f>
        <v>0</v>
      </c>
      <c r="J3739" s="32">
        <f>IF(H3739="",0,IF(COUNTIF($H$2:H3739,H3739)=1,1,0))</f>
        <v>0</v>
      </c>
    </row>
    <row r="3740" spans="1:10" ht="14.25" hidden="1" customHeight="1" x14ac:dyDescent="0.35">
      <c r="A3740" s="30"/>
      <c r="E3740" s="31"/>
      <c r="G3740" s="32" t="str">
        <f t="shared" si="116"/>
        <v>|||1900|</v>
      </c>
      <c r="H3740" s="32" t="str">
        <f t="shared" si="117"/>
        <v>||1900|</v>
      </c>
      <c r="I3740" s="32">
        <f>IF(G3740="",0,IF(COUNTIF($G$2:G3740,G3740)=1,1,0))</f>
        <v>0</v>
      </c>
      <c r="J3740" s="32">
        <f>IF(H3740="",0,IF(COUNTIF($H$2:H3740,H3740)=1,1,0))</f>
        <v>0</v>
      </c>
    </row>
    <row r="3741" spans="1:10" ht="14.25" hidden="1" customHeight="1" x14ac:dyDescent="0.35">
      <c r="A3741" s="30"/>
      <c r="E3741" s="31"/>
      <c r="G3741" s="32" t="str">
        <f t="shared" si="116"/>
        <v>|||1900|</v>
      </c>
      <c r="H3741" s="32" t="str">
        <f t="shared" si="117"/>
        <v>||1900|</v>
      </c>
      <c r="I3741" s="32">
        <f>IF(G3741="",0,IF(COUNTIF($G$2:G3741,G3741)=1,1,0))</f>
        <v>0</v>
      </c>
      <c r="J3741" s="32">
        <f>IF(H3741="",0,IF(COUNTIF($H$2:H3741,H3741)=1,1,0))</f>
        <v>0</v>
      </c>
    </row>
    <row r="3742" spans="1:10" ht="14.25" hidden="1" customHeight="1" x14ac:dyDescent="0.35">
      <c r="A3742" s="30"/>
      <c r="E3742" s="31"/>
      <c r="G3742" s="32" t="str">
        <f t="shared" si="116"/>
        <v>|||1900|</v>
      </c>
      <c r="H3742" s="32" t="str">
        <f t="shared" si="117"/>
        <v>||1900|</v>
      </c>
      <c r="I3742" s="32">
        <f>IF(G3742="",0,IF(COUNTIF($G$2:G3742,G3742)=1,1,0))</f>
        <v>0</v>
      </c>
      <c r="J3742" s="32">
        <f>IF(H3742="",0,IF(COUNTIF($H$2:H3742,H3742)=1,1,0))</f>
        <v>0</v>
      </c>
    </row>
    <row r="3743" spans="1:10" ht="14.25" hidden="1" customHeight="1" x14ac:dyDescent="0.35">
      <c r="A3743" s="30"/>
      <c r="E3743" s="31"/>
      <c r="G3743" s="32" t="str">
        <f t="shared" si="116"/>
        <v>|||1900|</v>
      </c>
      <c r="H3743" s="32" t="str">
        <f t="shared" si="117"/>
        <v>||1900|</v>
      </c>
      <c r="I3743" s="32">
        <f>IF(G3743="",0,IF(COUNTIF($G$2:G3743,G3743)=1,1,0))</f>
        <v>0</v>
      </c>
      <c r="J3743" s="32">
        <f>IF(H3743="",0,IF(COUNTIF($H$2:H3743,H3743)=1,1,0))</f>
        <v>0</v>
      </c>
    </row>
    <row r="3744" spans="1:10" ht="14.25" hidden="1" customHeight="1" x14ac:dyDescent="0.35">
      <c r="A3744" s="30"/>
      <c r="E3744" s="31"/>
      <c r="G3744" s="32" t="str">
        <f t="shared" si="116"/>
        <v>|||1900|</v>
      </c>
      <c r="H3744" s="32" t="str">
        <f t="shared" si="117"/>
        <v>||1900|</v>
      </c>
      <c r="I3744" s="32">
        <f>IF(G3744="",0,IF(COUNTIF($G$2:G3744,G3744)=1,1,0))</f>
        <v>0</v>
      </c>
      <c r="J3744" s="32">
        <f>IF(H3744="",0,IF(COUNTIF($H$2:H3744,H3744)=1,1,0))</f>
        <v>0</v>
      </c>
    </row>
    <row r="3745" spans="1:10" ht="14.25" hidden="1" customHeight="1" x14ac:dyDescent="0.35">
      <c r="A3745" s="30"/>
      <c r="E3745" s="31"/>
      <c r="G3745" s="32" t="str">
        <f t="shared" si="116"/>
        <v>|||1900|</v>
      </c>
      <c r="H3745" s="32" t="str">
        <f t="shared" si="117"/>
        <v>||1900|</v>
      </c>
      <c r="I3745" s="32">
        <f>IF(G3745="",0,IF(COUNTIF($G$2:G3745,G3745)=1,1,0))</f>
        <v>0</v>
      </c>
      <c r="J3745" s="32">
        <f>IF(H3745="",0,IF(COUNTIF($H$2:H3745,H3745)=1,1,0))</f>
        <v>0</v>
      </c>
    </row>
    <row r="3746" spans="1:10" ht="14.25" hidden="1" customHeight="1" x14ac:dyDescent="0.35">
      <c r="A3746" s="30"/>
      <c r="E3746" s="31"/>
      <c r="G3746" s="32" t="str">
        <f t="shared" si="116"/>
        <v>|||1900|</v>
      </c>
      <c r="H3746" s="32" t="str">
        <f t="shared" si="117"/>
        <v>||1900|</v>
      </c>
      <c r="I3746" s="32">
        <f>IF(G3746="",0,IF(COUNTIF($G$2:G3746,G3746)=1,1,0))</f>
        <v>0</v>
      </c>
      <c r="J3746" s="32">
        <f>IF(H3746="",0,IF(COUNTIF($H$2:H3746,H3746)=1,1,0))</f>
        <v>0</v>
      </c>
    </row>
    <row r="3747" spans="1:10" ht="14.25" hidden="1" customHeight="1" x14ac:dyDescent="0.35">
      <c r="A3747" s="30"/>
      <c r="E3747" s="31"/>
      <c r="G3747" s="32" t="str">
        <f t="shared" si="116"/>
        <v>|||1900|</v>
      </c>
      <c r="H3747" s="32" t="str">
        <f t="shared" si="117"/>
        <v>||1900|</v>
      </c>
      <c r="I3747" s="32">
        <f>IF(G3747="",0,IF(COUNTIF($G$2:G3747,G3747)=1,1,0))</f>
        <v>0</v>
      </c>
      <c r="J3747" s="32">
        <f>IF(H3747="",0,IF(COUNTIF($H$2:H3747,H3747)=1,1,0))</f>
        <v>0</v>
      </c>
    </row>
    <row r="3748" spans="1:10" ht="14.25" hidden="1" customHeight="1" x14ac:dyDescent="0.35">
      <c r="A3748" s="30"/>
      <c r="E3748" s="31"/>
      <c r="G3748" s="32" t="str">
        <f t="shared" si="116"/>
        <v>|||1900|</v>
      </c>
      <c r="H3748" s="32" t="str">
        <f t="shared" si="117"/>
        <v>||1900|</v>
      </c>
      <c r="I3748" s="32">
        <f>IF(G3748="",0,IF(COUNTIF($G$2:G3748,G3748)=1,1,0))</f>
        <v>0</v>
      </c>
      <c r="J3748" s="32">
        <f>IF(H3748="",0,IF(COUNTIF($H$2:H3748,H3748)=1,1,0))</f>
        <v>0</v>
      </c>
    </row>
    <row r="3749" spans="1:10" ht="14.25" hidden="1" customHeight="1" x14ac:dyDescent="0.35">
      <c r="A3749" s="30"/>
      <c r="E3749" s="31"/>
      <c r="G3749" s="32" t="str">
        <f t="shared" si="116"/>
        <v>|||1900|</v>
      </c>
      <c r="H3749" s="32" t="str">
        <f t="shared" si="117"/>
        <v>||1900|</v>
      </c>
      <c r="I3749" s="32">
        <f>IF(G3749="",0,IF(COUNTIF($G$2:G3749,G3749)=1,1,0))</f>
        <v>0</v>
      </c>
      <c r="J3749" s="32">
        <f>IF(H3749="",0,IF(COUNTIF($H$2:H3749,H3749)=1,1,0))</f>
        <v>0</v>
      </c>
    </row>
    <row r="3750" spans="1:10" ht="14.25" hidden="1" customHeight="1" x14ac:dyDescent="0.35">
      <c r="A3750" s="30"/>
      <c r="E3750" s="31"/>
      <c r="G3750" s="32" t="str">
        <f t="shared" si="116"/>
        <v>|||1900|</v>
      </c>
      <c r="H3750" s="32" t="str">
        <f t="shared" si="117"/>
        <v>||1900|</v>
      </c>
      <c r="I3750" s="32">
        <f>IF(G3750="",0,IF(COUNTIF($G$2:G3750,G3750)=1,1,0))</f>
        <v>0</v>
      </c>
      <c r="J3750" s="32">
        <f>IF(H3750="",0,IF(COUNTIF($H$2:H3750,H3750)=1,1,0))</f>
        <v>0</v>
      </c>
    </row>
    <row r="3751" spans="1:10" ht="14.25" hidden="1" customHeight="1" x14ac:dyDescent="0.35">
      <c r="A3751" s="30"/>
      <c r="E3751" s="31"/>
      <c r="G3751" s="32" t="str">
        <f t="shared" si="116"/>
        <v>|||1900|</v>
      </c>
      <c r="H3751" s="32" t="str">
        <f t="shared" si="117"/>
        <v>||1900|</v>
      </c>
      <c r="I3751" s="32">
        <f>IF(G3751="",0,IF(COUNTIF($G$2:G3751,G3751)=1,1,0))</f>
        <v>0</v>
      </c>
      <c r="J3751" s="32">
        <f>IF(H3751="",0,IF(COUNTIF($H$2:H3751,H3751)=1,1,0))</f>
        <v>0</v>
      </c>
    </row>
    <row r="3752" spans="1:10" ht="14.25" hidden="1" customHeight="1" x14ac:dyDescent="0.35">
      <c r="A3752" s="30"/>
      <c r="E3752" s="31"/>
      <c r="G3752" s="32" t="str">
        <f t="shared" si="116"/>
        <v>|||1900|</v>
      </c>
      <c r="H3752" s="32" t="str">
        <f t="shared" si="117"/>
        <v>||1900|</v>
      </c>
      <c r="I3752" s="32">
        <f>IF(G3752="",0,IF(COUNTIF($G$2:G3752,G3752)=1,1,0))</f>
        <v>0</v>
      </c>
      <c r="J3752" s="32">
        <f>IF(H3752="",0,IF(COUNTIF($H$2:H3752,H3752)=1,1,0))</f>
        <v>0</v>
      </c>
    </row>
    <row r="3753" spans="1:10" ht="14.25" hidden="1" customHeight="1" x14ac:dyDescent="0.35">
      <c r="A3753" s="30"/>
      <c r="E3753" s="31"/>
      <c r="G3753" s="32" t="str">
        <f t="shared" si="116"/>
        <v>|||1900|</v>
      </c>
      <c r="H3753" s="32" t="str">
        <f t="shared" si="117"/>
        <v>||1900|</v>
      </c>
      <c r="I3753" s="32">
        <f>IF(G3753="",0,IF(COUNTIF($G$2:G3753,G3753)=1,1,0))</f>
        <v>0</v>
      </c>
      <c r="J3753" s="32">
        <f>IF(H3753="",0,IF(COUNTIF($H$2:H3753,H3753)=1,1,0))</f>
        <v>0</v>
      </c>
    </row>
    <row r="3754" spans="1:10" ht="14.25" hidden="1" customHeight="1" x14ac:dyDescent="0.35">
      <c r="A3754" s="30"/>
      <c r="E3754" s="31"/>
      <c r="G3754" s="32" t="str">
        <f t="shared" si="116"/>
        <v>|||1900|</v>
      </c>
      <c r="H3754" s="32" t="str">
        <f t="shared" si="117"/>
        <v>||1900|</v>
      </c>
      <c r="I3754" s="32">
        <f>IF(G3754="",0,IF(COUNTIF($G$2:G3754,G3754)=1,1,0))</f>
        <v>0</v>
      </c>
      <c r="J3754" s="32">
        <f>IF(H3754="",0,IF(COUNTIF($H$2:H3754,H3754)=1,1,0))</f>
        <v>0</v>
      </c>
    </row>
    <row r="3755" spans="1:10" ht="14.25" hidden="1" customHeight="1" x14ac:dyDescent="0.35">
      <c r="A3755" s="30"/>
      <c r="E3755" s="31"/>
      <c r="G3755" s="32" t="str">
        <f t="shared" si="116"/>
        <v>|||1900|</v>
      </c>
      <c r="H3755" s="32" t="str">
        <f t="shared" si="117"/>
        <v>||1900|</v>
      </c>
      <c r="I3755" s="32">
        <f>IF(G3755="",0,IF(COUNTIF($G$2:G3755,G3755)=1,1,0))</f>
        <v>0</v>
      </c>
      <c r="J3755" s="32">
        <f>IF(H3755="",0,IF(COUNTIF($H$2:H3755,H3755)=1,1,0))</f>
        <v>0</v>
      </c>
    </row>
    <row r="3756" spans="1:10" ht="14.25" hidden="1" customHeight="1" x14ac:dyDescent="0.35">
      <c r="A3756" s="30"/>
      <c r="E3756" s="31"/>
      <c r="G3756" s="32" t="str">
        <f t="shared" si="116"/>
        <v>|||1900|</v>
      </c>
      <c r="H3756" s="32" t="str">
        <f t="shared" si="117"/>
        <v>||1900|</v>
      </c>
      <c r="I3756" s="32">
        <f>IF(G3756="",0,IF(COUNTIF($G$2:G3756,G3756)=1,1,0))</f>
        <v>0</v>
      </c>
      <c r="J3756" s="32">
        <f>IF(H3756="",0,IF(COUNTIF($H$2:H3756,H3756)=1,1,0))</f>
        <v>0</v>
      </c>
    </row>
    <row r="3757" spans="1:10" ht="14.25" hidden="1" customHeight="1" x14ac:dyDescent="0.35">
      <c r="A3757" s="30"/>
      <c r="E3757" s="31"/>
      <c r="G3757" s="32" t="str">
        <f t="shared" si="116"/>
        <v>|||1900|</v>
      </c>
      <c r="H3757" s="32" t="str">
        <f t="shared" si="117"/>
        <v>||1900|</v>
      </c>
      <c r="I3757" s="32">
        <f>IF(G3757="",0,IF(COUNTIF($G$2:G3757,G3757)=1,1,0))</f>
        <v>0</v>
      </c>
      <c r="J3757" s="32">
        <f>IF(H3757="",0,IF(COUNTIF($H$2:H3757,H3757)=1,1,0))</f>
        <v>0</v>
      </c>
    </row>
    <row r="3758" spans="1:10" ht="14.25" hidden="1" customHeight="1" x14ac:dyDescent="0.35">
      <c r="A3758" s="30"/>
      <c r="E3758" s="31"/>
      <c r="G3758" s="32" t="str">
        <f t="shared" si="116"/>
        <v>|||1900|</v>
      </c>
      <c r="H3758" s="32" t="str">
        <f t="shared" si="117"/>
        <v>||1900|</v>
      </c>
      <c r="I3758" s="32">
        <f>IF(G3758="",0,IF(COUNTIF($G$2:G3758,G3758)=1,1,0))</f>
        <v>0</v>
      </c>
      <c r="J3758" s="32">
        <f>IF(H3758="",0,IF(COUNTIF($H$2:H3758,H3758)=1,1,0))</f>
        <v>0</v>
      </c>
    </row>
    <row r="3759" spans="1:10" ht="14.25" hidden="1" customHeight="1" x14ac:dyDescent="0.35">
      <c r="A3759" s="30"/>
      <c r="E3759" s="31"/>
      <c r="G3759" s="32" t="str">
        <f t="shared" si="116"/>
        <v>|||1900|</v>
      </c>
      <c r="H3759" s="32" t="str">
        <f t="shared" si="117"/>
        <v>||1900|</v>
      </c>
      <c r="I3759" s="32">
        <f>IF(G3759="",0,IF(COUNTIF($G$2:G3759,G3759)=1,1,0))</f>
        <v>0</v>
      </c>
      <c r="J3759" s="32">
        <f>IF(H3759="",0,IF(COUNTIF($H$2:H3759,H3759)=1,1,0))</f>
        <v>0</v>
      </c>
    </row>
    <row r="3760" spans="1:10" ht="14.25" hidden="1" customHeight="1" x14ac:dyDescent="0.35">
      <c r="A3760" s="30"/>
      <c r="E3760" s="31"/>
      <c r="G3760" s="32" t="str">
        <f t="shared" si="116"/>
        <v>|||1900|</v>
      </c>
      <c r="H3760" s="32" t="str">
        <f t="shared" si="117"/>
        <v>||1900|</v>
      </c>
      <c r="I3760" s="32">
        <f>IF(G3760="",0,IF(COUNTIF($G$2:G3760,G3760)=1,1,0))</f>
        <v>0</v>
      </c>
      <c r="J3760" s="32">
        <f>IF(H3760="",0,IF(COUNTIF($H$2:H3760,H3760)=1,1,0))</f>
        <v>0</v>
      </c>
    </row>
    <row r="3761" spans="1:10" ht="14.25" hidden="1" customHeight="1" x14ac:dyDescent="0.35">
      <c r="A3761" s="30"/>
      <c r="E3761" s="31"/>
      <c r="G3761" s="32" t="str">
        <f t="shared" si="116"/>
        <v>|||1900|</v>
      </c>
      <c r="H3761" s="32" t="str">
        <f t="shared" si="117"/>
        <v>||1900|</v>
      </c>
      <c r="I3761" s="32">
        <f>IF(G3761="",0,IF(COUNTIF($G$2:G3761,G3761)=1,1,0))</f>
        <v>0</v>
      </c>
      <c r="J3761" s="32">
        <f>IF(H3761="",0,IF(COUNTIF($H$2:H3761,H3761)=1,1,0))</f>
        <v>0</v>
      </c>
    </row>
    <row r="3762" spans="1:10" ht="14.25" hidden="1" customHeight="1" x14ac:dyDescent="0.35">
      <c r="A3762" s="30"/>
      <c r="E3762" s="31"/>
      <c r="G3762" s="32" t="str">
        <f t="shared" si="116"/>
        <v>|||1900|</v>
      </c>
      <c r="H3762" s="32" t="str">
        <f t="shared" si="117"/>
        <v>||1900|</v>
      </c>
      <c r="I3762" s="32">
        <f>IF(G3762="",0,IF(COUNTIF($G$2:G3762,G3762)=1,1,0))</f>
        <v>0</v>
      </c>
      <c r="J3762" s="32">
        <f>IF(H3762="",0,IF(COUNTIF($H$2:H3762,H3762)=1,1,0))</f>
        <v>0</v>
      </c>
    </row>
    <row r="3763" spans="1:10" ht="14.25" hidden="1" customHeight="1" x14ac:dyDescent="0.35">
      <c r="A3763" s="30"/>
      <c r="E3763" s="31"/>
      <c r="G3763" s="32" t="str">
        <f t="shared" si="116"/>
        <v>|||1900|</v>
      </c>
      <c r="H3763" s="32" t="str">
        <f t="shared" si="117"/>
        <v>||1900|</v>
      </c>
      <c r="I3763" s="32">
        <f>IF(G3763="",0,IF(COUNTIF($G$2:G3763,G3763)=1,1,0))</f>
        <v>0</v>
      </c>
      <c r="J3763" s="32">
        <f>IF(H3763="",0,IF(COUNTIF($H$2:H3763,H3763)=1,1,0))</f>
        <v>0</v>
      </c>
    </row>
    <row r="3764" spans="1:10" ht="14.25" hidden="1" customHeight="1" x14ac:dyDescent="0.35">
      <c r="A3764" s="30"/>
      <c r="E3764" s="31"/>
      <c r="G3764" s="32" t="str">
        <f t="shared" si="116"/>
        <v>|||1900|</v>
      </c>
      <c r="H3764" s="32" t="str">
        <f t="shared" si="117"/>
        <v>||1900|</v>
      </c>
      <c r="I3764" s="32">
        <f>IF(G3764="",0,IF(COUNTIF($G$2:G3764,G3764)=1,1,0))</f>
        <v>0</v>
      </c>
      <c r="J3764" s="32">
        <f>IF(H3764="",0,IF(COUNTIF($H$2:H3764,H3764)=1,1,0))</f>
        <v>0</v>
      </c>
    </row>
    <row r="3765" spans="1:10" ht="14.25" hidden="1" customHeight="1" x14ac:dyDescent="0.35">
      <c r="A3765" s="30"/>
      <c r="E3765" s="31"/>
      <c r="G3765" s="32" t="str">
        <f t="shared" si="116"/>
        <v>|||1900|</v>
      </c>
      <c r="H3765" s="32" t="str">
        <f t="shared" si="117"/>
        <v>||1900|</v>
      </c>
      <c r="I3765" s="32">
        <f>IF(G3765="",0,IF(COUNTIF($G$2:G3765,G3765)=1,1,0))</f>
        <v>0</v>
      </c>
      <c r="J3765" s="32">
        <f>IF(H3765="",0,IF(COUNTIF($H$2:H3765,H3765)=1,1,0))</f>
        <v>0</v>
      </c>
    </row>
    <row r="3766" spans="1:10" ht="14.25" hidden="1" customHeight="1" x14ac:dyDescent="0.35">
      <c r="A3766" s="30"/>
      <c r="E3766" s="31"/>
      <c r="G3766" s="32" t="str">
        <f t="shared" si="116"/>
        <v>|||1900|</v>
      </c>
      <c r="H3766" s="32" t="str">
        <f t="shared" si="117"/>
        <v>||1900|</v>
      </c>
      <c r="I3766" s="32">
        <f>IF(G3766="",0,IF(COUNTIF($G$2:G3766,G3766)=1,1,0))</f>
        <v>0</v>
      </c>
      <c r="J3766" s="32">
        <f>IF(H3766="",0,IF(COUNTIF($H$2:H3766,H3766)=1,1,0))</f>
        <v>0</v>
      </c>
    </row>
    <row r="3767" spans="1:10" ht="14.25" hidden="1" customHeight="1" x14ac:dyDescent="0.35">
      <c r="A3767" s="30"/>
      <c r="E3767" s="31"/>
      <c r="G3767" s="32" t="str">
        <f t="shared" si="116"/>
        <v>|||1900|</v>
      </c>
      <c r="H3767" s="32" t="str">
        <f t="shared" si="117"/>
        <v>||1900|</v>
      </c>
      <c r="I3767" s="32">
        <f>IF(G3767="",0,IF(COUNTIF($G$2:G3767,G3767)=1,1,0))</f>
        <v>0</v>
      </c>
      <c r="J3767" s="32">
        <f>IF(H3767="",0,IF(COUNTIF($H$2:H3767,H3767)=1,1,0))</f>
        <v>0</v>
      </c>
    </row>
    <row r="3768" spans="1:10" ht="14.25" hidden="1" customHeight="1" x14ac:dyDescent="0.35">
      <c r="A3768" s="30"/>
      <c r="E3768" s="31"/>
      <c r="G3768" s="32" t="str">
        <f t="shared" si="116"/>
        <v>|||1900|</v>
      </c>
      <c r="H3768" s="32" t="str">
        <f t="shared" si="117"/>
        <v>||1900|</v>
      </c>
      <c r="I3768" s="32">
        <f>IF(G3768="",0,IF(COUNTIF($G$2:G3768,G3768)=1,1,0))</f>
        <v>0</v>
      </c>
      <c r="J3768" s="32">
        <f>IF(H3768="",0,IF(COUNTIF($H$2:H3768,H3768)=1,1,0))</f>
        <v>0</v>
      </c>
    </row>
    <row r="3769" spans="1:10" ht="14.25" hidden="1" customHeight="1" x14ac:dyDescent="0.35">
      <c r="A3769" s="30"/>
      <c r="E3769" s="31"/>
      <c r="G3769" s="32" t="str">
        <f t="shared" si="116"/>
        <v>|||1900|</v>
      </c>
      <c r="H3769" s="32" t="str">
        <f t="shared" si="117"/>
        <v>||1900|</v>
      </c>
      <c r="I3769" s="32">
        <f>IF(G3769="",0,IF(COUNTIF($G$2:G3769,G3769)=1,1,0))</f>
        <v>0</v>
      </c>
      <c r="J3769" s="32">
        <f>IF(H3769="",0,IF(COUNTIF($H$2:H3769,H3769)=1,1,0))</f>
        <v>0</v>
      </c>
    </row>
    <row r="3770" spans="1:10" ht="14.25" hidden="1" customHeight="1" x14ac:dyDescent="0.35">
      <c r="A3770" s="30"/>
      <c r="E3770" s="31"/>
      <c r="G3770" s="32" t="str">
        <f t="shared" si="116"/>
        <v>|||1900|</v>
      </c>
      <c r="H3770" s="32" t="str">
        <f t="shared" si="117"/>
        <v>||1900|</v>
      </c>
      <c r="I3770" s="32">
        <f>IF(G3770="",0,IF(COUNTIF($G$2:G3770,G3770)=1,1,0))</f>
        <v>0</v>
      </c>
      <c r="J3770" s="32">
        <f>IF(H3770="",0,IF(COUNTIF($H$2:H3770,H3770)=1,1,0))</f>
        <v>0</v>
      </c>
    </row>
    <row r="3771" spans="1:10" ht="14.25" hidden="1" customHeight="1" x14ac:dyDescent="0.35">
      <c r="A3771" s="30"/>
      <c r="E3771" s="31"/>
      <c r="G3771" s="32" t="str">
        <f t="shared" si="116"/>
        <v>|||1900|</v>
      </c>
      <c r="H3771" s="32" t="str">
        <f t="shared" si="117"/>
        <v>||1900|</v>
      </c>
      <c r="I3771" s="32">
        <f>IF(G3771="",0,IF(COUNTIF($G$2:G3771,G3771)=1,1,0))</f>
        <v>0</v>
      </c>
      <c r="J3771" s="32">
        <f>IF(H3771="",0,IF(COUNTIF($H$2:H3771,H3771)=1,1,0))</f>
        <v>0</v>
      </c>
    </row>
    <row r="3772" spans="1:10" ht="14.25" hidden="1" customHeight="1" x14ac:dyDescent="0.35">
      <c r="A3772" s="30"/>
      <c r="E3772" s="31"/>
      <c r="G3772" s="32" t="str">
        <f t="shared" si="116"/>
        <v>|||1900|</v>
      </c>
      <c r="H3772" s="32" t="str">
        <f t="shared" si="117"/>
        <v>||1900|</v>
      </c>
      <c r="I3772" s="32">
        <f>IF(G3772="",0,IF(COUNTIF($G$2:G3772,G3772)=1,1,0))</f>
        <v>0</v>
      </c>
      <c r="J3772" s="32">
        <f>IF(H3772="",0,IF(COUNTIF($H$2:H3772,H3772)=1,1,0))</f>
        <v>0</v>
      </c>
    </row>
    <row r="3773" spans="1:10" ht="14.25" hidden="1" customHeight="1" x14ac:dyDescent="0.35">
      <c r="A3773" s="30"/>
      <c r="E3773" s="31"/>
      <c r="G3773" s="32" t="str">
        <f t="shared" si="116"/>
        <v>|||1900|</v>
      </c>
      <c r="H3773" s="32" t="str">
        <f t="shared" si="117"/>
        <v>||1900|</v>
      </c>
      <c r="I3773" s="32">
        <f>IF(G3773="",0,IF(COUNTIF($G$2:G3773,G3773)=1,1,0))</f>
        <v>0</v>
      </c>
      <c r="J3773" s="32">
        <f>IF(H3773="",0,IF(COUNTIF($H$2:H3773,H3773)=1,1,0))</f>
        <v>0</v>
      </c>
    </row>
    <row r="3774" spans="1:10" ht="14.25" hidden="1" customHeight="1" x14ac:dyDescent="0.35">
      <c r="A3774" s="30"/>
      <c r="E3774" s="31"/>
      <c r="G3774" s="32" t="str">
        <f t="shared" si="116"/>
        <v>|||1900|</v>
      </c>
      <c r="H3774" s="32" t="str">
        <f t="shared" si="117"/>
        <v>||1900|</v>
      </c>
      <c r="I3774" s="32">
        <f>IF(G3774="",0,IF(COUNTIF($G$2:G3774,G3774)=1,1,0))</f>
        <v>0</v>
      </c>
      <c r="J3774" s="32">
        <f>IF(H3774="",0,IF(COUNTIF($H$2:H3774,H3774)=1,1,0))</f>
        <v>0</v>
      </c>
    </row>
    <row r="3775" spans="1:10" ht="14.25" hidden="1" customHeight="1" x14ac:dyDescent="0.35">
      <c r="A3775" s="30"/>
      <c r="E3775" s="31"/>
      <c r="G3775" s="32" t="str">
        <f t="shared" si="116"/>
        <v>|||1900|</v>
      </c>
      <c r="H3775" s="32" t="str">
        <f t="shared" si="117"/>
        <v>||1900|</v>
      </c>
      <c r="I3775" s="32">
        <f>IF(G3775="",0,IF(COUNTIF($G$2:G3775,G3775)=1,1,0))</f>
        <v>0</v>
      </c>
      <c r="J3775" s="32">
        <f>IF(H3775="",0,IF(COUNTIF($H$2:H3775,H3775)=1,1,0))</f>
        <v>0</v>
      </c>
    </row>
    <row r="3776" spans="1:10" ht="14.25" hidden="1" customHeight="1" x14ac:dyDescent="0.35">
      <c r="A3776" s="30"/>
      <c r="E3776" s="31"/>
      <c r="G3776" s="32" t="str">
        <f t="shared" si="116"/>
        <v>|||1900|</v>
      </c>
      <c r="H3776" s="32" t="str">
        <f t="shared" si="117"/>
        <v>||1900|</v>
      </c>
      <c r="I3776" s="32">
        <f>IF(G3776="",0,IF(COUNTIF($G$2:G3776,G3776)=1,1,0))</f>
        <v>0</v>
      </c>
      <c r="J3776" s="32">
        <f>IF(H3776="",0,IF(COUNTIF($H$2:H3776,H3776)=1,1,0))</f>
        <v>0</v>
      </c>
    </row>
    <row r="3777" spans="1:10" ht="14.25" hidden="1" customHeight="1" x14ac:dyDescent="0.35">
      <c r="A3777" s="30"/>
      <c r="E3777" s="31"/>
      <c r="G3777" s="32" t="str">
        <f t="shared" si="116"/>
        <v>|||1900|</v>
      </c>
      <c r="H3777" s="32" t="str">
        <f t="shared" si="117"/>
        <v>||1900|</v>
      </c>
      <c r="I3777" s="32">
        <f>IF(G3777="",0,IF(COUNTIF($G$2:G3777,G3777)=1,1,0))</f>
        <v>0</v>
      </c>
      <c r="J3777" s="32">
        <f>IF(H3777="",0,IF(COUNTIF($H$2:H3777,H3777)=1,1,0))</f>
        <v>0</v>
      </c>
    </row>
    <row r="3778" spans="1:10" ht="14.25" hidden="1" customHeight="1" x14ac:dyDescent="0.35">
      <c r="A3778" s="30"/>
      <c r="E3778" s="31"/>
      <c r="G3778" s="32" t="str">
        <f t="shared" ref="G3778:G3841" si="118">IF(D3778="T",
E3778&amp;"|"&amp;F3778,
A3778&amp;"|"&amp;B3778&amp;"|"&amp;C3778&amp;"|"&amp;YEAR(E3778)&amp;"|"&amp;F3778)</f>
        <v>|||1900|</v>
      </c>
      <c r="H3778" s="32" t="str">
        <f t="shared" ref="H3778:H3841" si="119">A3778&amp;"|"&amp;C3778&amp;"|"&amp;YEAR(E3778)&amp;"|"&amp;F3778</f>
        <v>||1900|</v>
      </c>
      <c r="I3778" s="32">
        <f>IF(G3778="",0,IF(COUNTIF($G$2:G3778,G3778)=1,1,0))</f>
        <v>0</v>
      </c>
      <c r="J3778" s="32">
        <f>IF(H3778="",0,IF(COUNTIF($H$2:H3778,H3778)=1,1,0))</f>
        <v>0</v>
      </c>
    </row>
    <row r="3779" spans="1:10" ht="14.25" hidden="1" customHeight="1" x14ac:dyDescent="0.35">
      <c r="A3779" s="30"/>
      <c r="E3779" s="31"/>
      <c r="G3779" s="32" t="str">
        <f t="shared" si="118"/>
        <v>|||1900|</v>
      </c>
      <c r="H3779" s="32" t="str">
        <f t="shared" si="119"/>
        <v>||1900|</v>
      </c>
      <c r="I3779" s="32">
        <f>IF(G3779="",0,IF(COUNTIF($G$2:G3779,G3779)=1,1,0))</f>
        <v>0</v>
      </c>
      <c r="J3779" s="32">
        <f>IF(H3779="",0,IF(COUNTIF($H$2:H3779,H3779)=1,1,0))</f>
        <v>0</v>
      </c>
    </row>
    <row r="3780" spans="1:10" ht="14.25" hidden="1" customHeight="1" x14ac:dyDescent="0.35">
      <c r="A3780" s="30"/>
      <c r="E3780" s="31"/>
      <c r="G3780" s="32" t="str">
        <f t="shared" si="118"/>
        <v>|||1900|</v>
      </c>
      <c r="H3780" s="32" t="str">
        <f t="shared" si="119"/>
        <v>||1900|</v>
      </c>
      <c r="I3780" s="32">
        <f>IF(G3780="",0,IF(COUNTIF($G$2:G3780,G3780)=1,1,0))</f>
        <v>0</v>
      </c>
      <c r="J3780" s="32">
        <f>IF(H3780="",0,IF(COUNTIF($H$2:H3780,H3780)=1,1,0))</f>
        <v>0</v>
      </c>
    </row>
    <row r="3781" spans="1:10" ht="14.25" hidden="1" customHeight="1" x14ac:dyDescent="0.35">
      <c r="A3781" s="30"/>
      <c r="E3781" s="31"/>
      <c r="G3781" s="32" t="str">
        <f t="shared" si="118"/>
        <v>|||1900|</v>
      </c>
      <c r="H3781" s="32" t="str">
        <f t="shared" si="119"/>
        <v>||1900|</v>
      </c>
      <c r="I3781" s="32">
        <f>IF(G3781="",0,IF(COUNTIF($G$2:G3781,G3781)=1,1,0))</f>
        <v>0</v>
      </c>
      <c r="J3781" s="32">
        <f>IF(H3781="",0,IF(COUNTIF($H$2:H3781,H3781)=1,1,0))</f>
        <v>0</v>
      </c>
    </row>
    <row r="3782" spans="1:10" ht="14.25" hidden="1" customHeight="1" x14ac:dyDescent="0.35">
      <c r="A3782" s="30"/>
      <c r="E3782" s="31"/>
      <c r="G3782" s="32" t="str">
        <f t="shared" si="118"/>
        <v>|||1900|</v>
      </c>
      <c r="H3782" s="32" t="str">
        <f t="shared" si="119"/>
        <v>||1900|</v>
      </c>
      <c r="I3782" s="32">
        <f>IF(G3782="",0,IF(COUNTIF($G$2:G3782,G3782)=1,1,0))</f>
        <v>0</v>
      </c>
      <c r="J3782" s="32">
        <f>IF(H3782="",0,IF(COUNTIF($H$2:H3782,H3782)=1,1,0))</f>
        <v>0</v>
      </c>
    </row>
    <row r="3783" spans="1:10" ht="14.25" hidden="1" customHeight="1" x14ac:dyDescent="0.35">
      <c r="A3783" s="30"/>
      <c r="E3783" s="31"/>
      <c r="G3783" s="32" t="str">
        <f t="shared" si="118"/>
        <v>|||1900|</v>
      </c>
      <c r="H3783" s="32" t="str">
        <f t="shared" si="119"/>
        <v>||1900|</v>
      </c>
      <c r="I3783" s="32">
        <f>IF(G3783="",0,IF(COUNTIF($G$2:G3783,G3783)=1,1,0))</f>
        <v>0</v>
      </c>
      <c r="J3783" s="32">
        <f>IF(H3783="",0,IF(COUNTIF($H$2:H3783,H3783)=1,1,0))</f>
        <v>0</v>
      </c>
    </row>
    <row r="3784" spans="1:10" ht="14.25" hidden="1" customHeight="1" x14ac:dyDescent="0.35">
      <c r="A3784" s="30"/>
      <c r="E3784" s="31"/>
      <c r="G3784" s="32" t="str">
        <f t="shared" si="118"/>
        <v>|||1900|</v>
      </c>
      <c r="H3784" s="32" t="str">
        <f t="shared" si="119"/>
        <v>||1900|</v>
      </c>
      <c r="I3784" s="32">
        <f>IF(G3784="",0,IF(COUNTIF($G$2:G3784,G3784)=1,1,0))</f>
        <v>0</v>
      </c>
      <c r="J3784" s="32">
        <f>IF(H3784="",0,IF(COUNTIF($H$2:H3784,H3784)=1,1,0))</f>
        <v>0</v>
      </c>
    </row>
    <row r="3785" spans="1:10" ht="14.25" hidden="1" customHeight="1" x14ac:dyDescent="0.35">
      <c r="A3785" s="30"/>
      <c r="E3785" s="31"/>
      <c r="G3785" s="32" t="str">
        <f t="shared" si="118"/>
        <v>|||1900|</v>
      </c>
      <c r="H3785" s="32" t="str">
        <f t="shared" si="119"/>
        <v>||1900|</v>
      </c>
      <c r="I3785" s="32">
        <f>IF(G3785="",0,IF(COUNTIF($G$2:G3785,G3785)=1,1,0))</f>
        <v>0</v>
      </c>
      <c r="J3785" s="32">
        <f>IF(H3785="",0,IF(COUNTIF($H$2:H3785,H3785)=1,1,0))</f>
        <v>0</v>
      </c>
    </row>
    <row r="3786" spans="1:10" ht="14.25" hidden="1" customHeight="1" x14ac:dyDescent="0.35">
      <c r="A3786" s="30"/>
      <c r="E3786" s="31"/>
      <c r="G3786" s="32" t="str">
        <f t="shared" si="118"/>
        <v>|||1900|</v>
      </c>
      <c r="H3786" s="32" t="str">
        <f t="shared" si="119"/>
        <v>||1900|</v>
      </c>
      <c r="I3786" s="32">
        <f>IF(G3786="",0,IF(COUNTIF($G$2:G3786,G3786)=1,1,0))</f>
        <v>0</v>
      </c>
      <c r="J3786" s="32">
        <f>IF(H3786="",0,IF(COUNTIF($H$2:H3786,H3786)=1,1,0))</f>
        <v>0</v>
      </c>
    </row>
    <row r="3787" spans="1:10" ht="14.25" hidden="1" customHeight="1" x14ac:dyDescent="0.35">
      <c r="A3787" s="30"/>
      <c r="E3787" s="31"/>
      <c r="G3787" s="32" t="str">
        <f t="shared" si="118"/>
        <v>|||1900|</v>
      </c>
      <c r="H3787" s="32" t="str">
        <f t="shared" si="119"/>
        <v>||1900|</v>
      </c>
      <c r="I3787" s="32">
        <f>IF(G3787="",0,IF(COUNTIF($G$2:G3787,G3787)=1,1,0))</f>
        <v>0</v>
      </c>
      <c r="J3787" s="32">
        <f>IF(H3787="",0,IF(COUNTIF($H$2:H3787,H3787)=1,1,0))</f>
        <v>0</v>
      </c>
    </row>
    <row r="3788" spans="1:10" ht="14.25" hidden="1" customHeight="1" x14ac:dyDescent="0.35">
      <c r="A3788" s="30"/>
      <c r="E3788" s="31"/>
      <c r="G3788" s="32" t="str">
        <f t="shared" si="118"/>
        <v>|||1900|</v>
      </c>
      <c r="H3788" s="32" t="str">
        <f t="shared" si="119"/>
        <v>||1900|</v>
      </c>
      <c r="I3788" s="32">
        <f>IF(G3788="",0,IF(COUNTIF($G$2:G3788,G3788)=1,1,0))</f>
        <v>0</v>
      </c>
      <c r="J3788" s="32">
        <f>IF(H3788="",0,IF(COUNTIF($H$2:H3788,H3788)=1,1,0))</f>
        <v>0</v>
      </c>
    </row>
    <row r="3789" spans="1:10" ht="14.25" hidden="1" customHeight="1" x14ac:dyDescent="0.35">
      <c r="A3789" s="30"/>
      <c r="E3789" s="31"/>
      <c r="G3789" s="32" t="str">
        <f t="shared" si="118"/>
        <v>|||1900|</v>
      </c>
      <c r="H3789" s="32" t="str">
        <f t="shared" si="119"/>
        <v>||1900|</v>
      </c>
      <c r="I3789" s="32">
        <f>IF(G3789="",0,IF(COUNTIF($G$2:G3789,G3789)=1,1,0))</f>
        <v>0</v>
      </c>
      <c r="J3789" s="32">
        <f>IF(H3789="",0,IF(COUNTIF($H$2:H3789,H3789)=1,1,0))</f>
        <v>0</v>
      </c>
    </row>
    <row r="3790" spans="1:10" ht="14.25" hidden="1" customHeight="1" x14ac:dyDescent="0.35">
      <c r="A3790" s="30"/>
      <c r="E3790" s="31"/>
      <c r="G3790" s="32" t="str">
        <f t="shared" si="118"/>
        <v>|||1900|</v>
      </c>
      <c r="H3790" s="32" t="str">
        <f t="shared" si="119"/>
        <v>||1900|</v>
      </c>
      <c r="I3790" s="32">
        <f>IF(G3790="",0,IF(COUNTIF($G$2:G3790,G3790)=1,1,0))</f>
        <v>0</v>
      </c>
      <c r="J3790" s="32">
        <f>IF(H3790="",0,IF(COUNTIF($H$2:H3790,H3790)=1,1,0))</f>
        <v>0</v>
      </c>
    </row>
    <row r="3791" spans="1:10" ht="14.25" hidden="1" customHeight="1" x14ac:dyDescent="0.35">
      <c r="A3791" s="30"/>
      <c r="E3791" s="31"/>
      <c r="G3791" s="32" t="str">
        <f t="shared" si="118"/>
        <v>|||1900|</v>
      </c>
      <c r="H3791" s="32" t="str">
        <f t="shared" si="119"/>
        <v>||1900|</v>
      </c>
      <c r="I3791" s="32">
        <f>IF(G3791="",0,IF(COUNTIF($G$2:G3791,G3791)=1,1,0))</f>
        <v>0</v>
      </c>
      <c r="J3791" s="32">
        <f>IF(H3791="",0,IF(COUNTIF($H$2:H3791,H3791)=1,1,0))</f>
        <v>0</v>
      </c>
    </row>
    <row r="3792" spans="1:10" ht="14.25" hidden="1" customHeight="1" x14ac:dyDescent="0.35">
      <c r="A3792" s="30"/>
      <c r="E3792" s="31"/>
      <c r="G3792" s="32" t="str">
        <f t="shared" si="118"/>
        <v>|||1900|</v>
      </c>
      <c r="H3792" s="32" t="str">
        <f t="shared" si="119"/>
        <v>||1900|</v>
      </c>
      <c r="I3792" s="32">
        <f>IF(G3792="",0,IF(COUNTIF($G$2:G3792,G3792)=1,1,0))</f>
        <v>0</v>
      </c>
      <c r="J3792" s="32">
        <f>IF(H3792="",0,IF(COUNTIF($H$2:H3792,H3792)=1,1,0))</f>
        <v>0</v>
      </c>
    </row>
    <row r="3793" spans="1:10" ht="14.25" hidden="1" customHeight="1" x14ac:dyDescent="0.35">
      <c r="A3793" s="30"/>
      <c r="E3793" s="31"/>
      <c r="G3793" s="32" t="str">
        <f t="shared" si="118"/>
        <v>|||1900|</v>
      </c>
      <c r="H3793" s="32" t="str">
        <f t="shared" si="119"/>
        <v>||1900|</v>
      </c>
      <c r="I3793" s="32">
        <f>IF(G3793="",0,IF(COUNTIF($G$2:G3793,G3793)=1,1,0))</f>
        <v>0</v>
      </c>
      <c r="J3793" s="32">
        <f>IF(H3793="",0,IF(COUNTIF($H$2:H3793,H3793)=1,1,0))</f>
        <v>0</v>
      </c>
    </row>
    <row r="3794" spans="1:10" ht="14.25" hidden="1" customHeight="1" x14ac:dyDescent="0.35">
      <c r="A3794" s="30"/>
      <c r="E3794" s="31"/>
      <c r="G3794" s="32" t="str">
        <f t="shared" si="118"/>
        <v>|||1900|</v>
      </c>
      <c r="H3794" s="32" t="str">
        <f t="shared" si="119"/>
        <v>||1900|</v>
      </c>
      <c r="I3794" s="32">
        <f>IF(G3794="",0,IF(COUNTIF($G$2:G3794,G3794)=1,1,0))</f>
        <v>0</v>
      </c>
      <c r="J3794" s="32">
        <f>IF(H3794="",0,IF(COUNTIF($H$2:H3794,H3794)=1,1,0))</f>
        <v>0</v>
      </c>
    </row>
    <row r="3795" spans="1:10" ht="14.25" hidden="1" customHeight="1" x14ac:dyDescent="0.35">
      <c r="A3795" s="30"/>
      <c r="E3795" s="31"/>
      <c r="G3795" s="32" t="str">
        <f t="shared" si="118"/>
        <v>|||1900|</v>
      </c>
      <c r="H3795" s="32" t="str">
        <f t="shared" si="119"/>
        <v>||1900|</v>
      </c>
      <c r="I3795" s="32">
        <f>IF(G3795="",0,IF(COUNTIF($G$2:G3795,G3795)=1,1,0))</f>
        <v>0</v>
      </c>
      <c r="J3795" s="32">
        <f>IF(H3795="",0,IF(COUNTIF($H$2:H3795,H3795)=1,1,0))</f>
        <v>0</v>
      </c>
    </row>
    <row r="3796" spans="1:10" ht="14.25" hidden="1" customHeight="1" x14ac:dyDescent="0.35">
      <c r="A3796" s="30"/>
      <c r="E3796" s="31"/>
      <c r="G3796" s="32" t="str">
        <f t="shared" si="118"/>
        <v>|||1900|</v>
      </c>
      <c r="H3796" s="32" t="str">
        <f t="shared" si="119"/>
        <v>||1900|</v>
      </c>
      <c r="I3796" s="32">
        <f>IF(G3796="",0,IF(COUNTIF($G$2:G3796,G3796)=1,1,0))</f>
        <v>0</v>
      </c>
      <c r="J3796" s="32">
        <f>IF(H3796="",0,IF(COUNTIF($H$2:H3796,H3796)=1,1,0))</f>
        <v>0</v>
      </c>
    </row>
    <row r="3797" spans="1:10" ht="14.25" hidden="1" customHeight="1" x14ac:dyDescent="0.35">
      <c r="A3797" s="30"/>
      <c r="E3797" s="31"/>
      <c r="G3797" s="32" t="str">
        <f t="shared" si="118"/>
        <v>|||1900|</v>
      </c>
      <c r="H3797" s="32" t="str">
        <f t="shared" si="119"/>
        <v>||1900|</v>
      </c>
      <c r="I3797" s="32">
        <f>IF(G3797="",0,IF(COUNTIF($G$2:G3797,G3797)=1,1,0))</f>
        <v>0</v>
      </c>
      <c r="J3797" s="32">
        <f>IF(H3797="",0,IF(COUNTIF($H$2:H3797,H3797)=1,1,0))</f>
        <v>0</v>
      </c>
    </row>
    <row r="3798" spans="1:10" ht="14.25" hidden="1" customHeight="1" x14ac:dyDescent="0.35">
      <c r="A3798" s="30"/>
      <c r="E3798" s="31"/>
      <c r="G3798" s="32" t="str">
        <f t="shared" si="118"/>
        <v>|||1900|</v>
      </c>
      <c r="H3798" s="32" t="str">
        <f t="shared" si="119"/>
        <v>||1900|</v>
      </c>
      <c r="I3798" s="32">
        <f>IF(G3798="",0,IF(COUNTIF($G$2:G3798,G3798)=1,1,0))</f>
        <v>0</v>
      </c>
      <c r="J3798" s="32">
        <f>IF(H3798="",0,IF(COUNTIF($H$2:H3798,H3798)=1,1,0))</f>
        <v>0</v>
      </c>
    </row>
    <row r="3799" spans="1:10" ht="14.25" hidden="1" customHeight="1" x14ac:dyDescent="0.35">
      <c r="A3799" s="30"/>
      <c r="E3799" s="31"/>
      <c r="G3799" s="32" t="str">
        <f t="shared" si="118"/>
        <v>|||1900|</v>
      </c>
      <c r="H3799" s="32" t="str">
        <f t="shared" si="119"/>
        <v>||1900|</v>
      </c>
      <c r="I3799" s="32">
        <f>IF(G3799="",0,IF(COUNTIF($G$2:G3799,G3799)=1,1,0))</f>
        <v>0</v>
      </c>
      <c r="J3799" s="32">
        <f>IF(H3799="",0,IF(COUNTIF($H$2:H3799,H3799)=1,1,0))</f>
        <v>0</v>
      </c>
    </row>
    <row r="3800" spans="1:10" ht="14.25" hidden="1" customHeight="1" x14ac:dyDescent="0.35">
      <c r="A3800" s="30"/>
      <c r="E3800" s="31"/>
      <c r="G3800" s="32" t="str">
        <f t="shared" si="118"/>
        <v>|||1900|</v>
      </c>
      <c r="H3800" s="32" t="str">
        <f t="shared" si="119"/>
        <v>||1900|</v>
      </c>
      <c r="I3800" s="32">
        <f>IF(G3800="",0,IF(COUNTIF($G$2:G3800,G3800)=1,1,0))</f>
        <v>0</v>
      </c>
      <c r="J3800" s="32">
        <f>IF(H3800="",0,IF(COUNTIF($H$2:H3800,H3800)=1,1,0))</f>
        <v>0</v>
      </c>
    </row>
    <row r="3801" spans="1:10" ht="14.25" hidden="1" customHeight="1" x14ac:dyDescent="0.35">
      <c r="A3801" s="30"/>
      <c r="E3801" s="31"/>
      <c r="G3801" s="32" t="str">
        <f t="shared" si="118"/>
        <v>|||1900|</v>
      </c>
      <c r="H3801" s="32" t="str">
        <f t="shared" si="119"/>
        <v>||1900|</v>
      </c>
      <c r="I3801" s="32">
        <f>IF(G3801="",0,IF(COUNTIF($G$2:G3801,G3801)=1,1,0))</f>
        <v>0</v>
      </c>
      <c r="J3801" s="32">
        <f>IF(H3801="",0,IF(COUNTIF($H$2:H3801,H3801)=1,1,0))</f>
        <v>0</v>
      </c>
    </row>
    <row r="3802" spans="1:10" ht="14.25" hidden="1" customHeight="1" x14ac:dyDescent="0.35">
      <c r="A3802" s="30"/>
      <c r="E3802" s="31"/>
      <c r="G3802" s="32" t="str">
        <f t="shared" si="118"/>
        <v>|||1900|</v>
      </c>
      <c r="H3802" s="32" t="str">
        <f t="shared" si="119"/>
        <v>||1900|</v>
      </c>
      <c r="I3802" s="32">
        <f>IF(G3802="",0,IF(COUNTIF($G$2:G3802,G3802)=1,1,0))</f>
        <v>0</v>
      </c>
      <c r="J3802" s="32">
        <f>IF(H3802="",0,IF(COUNTIF($H$2:H3802,H3802)=1,1,0))</f>
        <v>0</v>
      </c>
    </row>
    <row r="3803" spans="1:10" ht="14.25" hidden="1" customHeight="1" x14ac:dyDescent="0.35">
      <c r="A3803" s="30"/>
      <c r="E3803" s="31"/>
      <c r="G3803" s="32" t="str">
        <f t="shared" si="118"/>
        <v>|||1900|</v>
      </c>
      <c r="H3803" s="32" t="str">
        <f t="shared" si="119"/>
        <v>||1900|</v>
      </c>
      <c r="I3803" s="32">
        <f>IF(G3803="",0,IF(COUNTIF($G$2:G3803,G3803)=1,1,0))</f>
        <v>0</v>
      </c>
      <c r="J3803" s="32">
        <f>IF(H3803="",0,IF(COUNTIF($H$2:H3803,H3803)=1,1,0))</f>
        <v>0</v>
      </c>
    </row>
    <row r="3804" spans="1:10" ht="14.25" hidden="1" customHeight="1" x14ac:dyDescent="0.35">
      <c r="A3804" s="30"/>
      <c r="E3804" s="31"/>
      <c r="G3804" s="32" t="str">
        <f t="shared" si="118"/>
        <v>|||1900|</v>
      </c>
      <c r="H3804" s="32" t="str">
        <f t="shared" si="119"/>
        <v>||1900|</v>
      </c>
      <c r="I3804" s="32">
        <f>IF(G3804="",0,IF(COUNTIF($G$2:G3804,G3804)=1,1,0))</f>
        <v>0</v>
      </c>
      <c r="J3804" s="32">
        <f>IF(H3804="",0,IF(COUNTIF($H$2:H3804,H3804)=1,1,0))</f>
        <v>0</v>
      </c>
    </row>
    <row r="3805" spans="1:10" ht="14.25" hidden="1" customHeight="1" x14ac:dyDescent="0.35">
      <c r="A3805" s="30"/>
      <c r="E3805" s="31"/>
      <c r="G3805" s="32" t="str">
        <f t="shared" si="118"/>
        <v>|||1900|</v>
      </c>
      <c r="H3805" s="32" t="str">
        <f t="shared" si="119"/>
        <v>||1900|</v>
      </c>
      <c r="I3805" s="32">
        <f>IF(G3805="",0,IF(COUNTIF($G$2:G3805,G3805)=1,1,0))</f>
        <v>0</v>
      </c>
      <c r="J3805" s="32">
        <f>IF(H3805="",0,IF(COUNTIF($H$2:H3805,H3805)=1,1,0))</f>
        <v>0</v>
      </c>
    </row>
    <row r="3806" spans="1:10" ht="14.25" hidden="1" customHeight="1" x14ac:dyDescent="0.35">
      <c r="A3806" s="30"/>
      <c r="E3806" s="31"/>
      <c r="G3806" s="32" t="str">
        <f t="shared" si="118"/>
        <v>|||1900|</v>
      </c>
      <c r="H3806" s="32" t="str">
        <f t="shared" si="119"/>
        <v>||1900|</v>
      </c>
      <c r="I3806" s="32">
        <f>IF(G3806="",0,IF(COUNTIF($G$2:G3806,G3806)=1,1,0))</f>
        <v>0</v>
      </c>
      <c r="J3806" s="32">
        <f>IF(H3806="",0,IF(COUNTIF($H$2:H3806,H3806)=1,1,0))</f>
        <v>0</v>
      </c>
    </row>
    <row r="3807" spans="1:10" ht="14.25" hidden="1" customHeight="1" x14ac:dyDescent="0.35">
      <c r="A3807" s="30"/>
      <c r="E3807" s="31"/>
      <c r="G3807" s="32" t="str">
        <f t="shared" si="118"/>
        <v>|||1900|</v>
      </c>
      <c r="H3807" s="32" t="str">
        <f t="shared" si="119"/>
        <v>||1900|</v>
      </c>
      <c r="I3807" s="32">
        <f>IF(G3807="",0,IF(COUNTIF($G$2:G3807,G3807)=1,1,0))</f>
        <v>0</v>
      </c>
      <c r="J3807" s="32">
        <f>IF(H3807="",0,IF(COUNTIF($H$2:H3807,H3807)=1,1,0))</f>
        <v>0</v>
      </c>
    </row>
    <row r="3808" spans="1:10" ht="14.25" hidden="1" customHeight="1" x14ac:dyDescent="0.35">
      <c r="A3808" s="30"/>
      <c r="E3808" s="31"/>
      <c r="G3808" s="32" t="str">
        <f t="shared" si="118"/>
        <v>|||1900|</v>
      </c>
      <c r="H3808" s="32" t="str">
        <f t="shared" si="119"/>
        <v>||1900|</v>
      </c>
      <c r="I3808" s="32">
        <f>IF(G3808="",0,IF(COUNTIF($G$2:G3808,G3808)=1,1,0))</f>
        <v>0</v>
      </c>
      <c r="J3808" s="32">
        <f>IF(H3808="",0,IF(COUNTIF($H$2:H3808,H3808)=1,1,0))</f>
        <v>0</v>
      </c>
    </row>
    <row r="3809" spans="1:10" ht="14.25" hidden="1" customHeight="1" x14ac:dyDescent="0.35">
      <c r="A3809" s="30"/>
      <c r="E3809" s="31"/>
      <c r="G3809" s="32" t="str">
        <f t="shared" si="118"/>
        <v>|||1900|</v>
      </c>
      <c r="H3809" s="32" t="str">
        <f t="shared" si="119"/>
        <v>||1900|</v>
      </c>
      <c r="I3809" s="32">
        <f>IF(G3809="",0,IF(COUNTIF($G$2:G3809,G3809)=1,1,0))</f>
        <v>0</v>
      </c>
      <c r="J3809" s="32">
        <f>IF(H3809="",0,IF(COUNTIF($H$2:H3809,H3809)=1,1,0))</f>
        <v>0</v>
      </c>
    </row>
    <row r="3810" spans="1:10" ht="14.25" hidden="1" customHeight="1" x14ac:dyDescent="0.35">
      <c r="A3810" s="30"/>
      <c r="E3810" s="31"/>
      <c r="G3810" s="32" t="str">
        <f t="shared" si="118"/>
        <v>|||1900|</v>
      </c>
      <c r="H3810" s="32" t="str">
        <f t="shared" si="119"/>
        <v>||1900|</v>
      </c>
      <c r="I3810" s="32">
        <f>IF(G3810="",0,IF(COUNTIF($G$2:G3810,G3810)=1,1,0))</f>
        <v>0</v>
      </c>
      <c r="J3810" s="32">
        <f>IF(H3810="",0,IF(COUNTIF($H$2:H3810,H3810)=1,1,0))</f>
        <v>0</v>
      </c>
    </row>
    <row r="3811" spans="1:10" ht="14.25" hidden="1" customHeight="1" x14ac:dyDescent="0.35">
      <c r="A3811" s="30"/>
      <c r="E3811" s="31"/>
      <c r="G3811" s="32" t="str">
        <f t="shared" si="118"/>
        <v>|||1900|</v>
      </c>
      <c r="H3811" s="32" t="str">
        <f t="shared" si="119"/>
        <v>||1900|</v>
      </c>
      <c r="I3811" s="32">
        <f>IF(G3811="",0,IF(COUNTIF($G$2:G3811,G3811)=1,1,0))</f>
        <v>0</v>
      </c>
      <c r="J3811" s="32">
        <f>IF(H3811="",0,IF(COUNTIF($H$2:H3811,H3811)=1,1,0))</f>
        <v>0</v>
      </c>
    </row>
    <row r="3812" spans="1:10" ht="14.25" hidden="1" customHeight="1" x14ac:dyDescent="0.35">
      <c r="A3812" s="30"/>
      <c r="E3812" s="31"/>
      <c r="G3812" s="32" t="str">
        <f t="shared" si="118"/>
        <v>|||1900|</v>
      </c>
      <c r="H3812" s="32" t="str">
        <f t="shared" si="119"/>
        <v>||1900|</v>
      </c>
      <c r="I3812" s="32">
        <f>IF(G3812="",0,IF(COUNTIF($G$2:G3812,G3812)=1,1,0))</f>
        <v>0</v>
      </c>
      <c r="J3812" s="32">
        <f>IF(H3812="",0,IF(COUNTIF($H$2:H3812,H3812)=1,1,0))</f>
        <v>0</v>
      </c>
    </row>
    <row r="3813" spans="1:10" ht="14.25" hidden="1" customHeight="1" x14ac:dyDescent="0.35">
      <c r="A3813" s="30"/>
      <c r="E3813" s="31"/>
      <c r="G3813" s="32" t="str">
        <f t="shared" si="118"/>
        <v>|||1900|</v>
      </c>
      <c r="H3813" s="32" t="str">
        <f t="shared" si="119"/>
        <v>||1900|</v>
      </c>
      <c r="I3813" s="32">
        <f>IF(G3813="",0,IF(COUNTIF($G$2:G3813,G3813)=1,1,0))</f>
        <v>0</v>
      </c>
      <c r="J3813" s="32">
        <f>IF(H3813="",0,IF(COUNTIF($H$2:H3813,H3813)=1,1,0))</f>
        <v>0</v>
      </c>
    </row>
    <row r="3814" spans="1:10" ht="14.25" hidden="1" customHeight="1" x14ac:dyDescent="0.35">
      <c r="A3814" s="30"/>
      <c r="E3814" s="31"/>
      <c r="G3814" s="32" t="str">
        <f t="shared" si="118"/>
        <v>|||1900|</v>
      </c>
      <c r="H3814" s="32" t="str">
        <f t="shared" si="119"/>
        <v>||1900|</v>
      </c>
      <c r="I3814" s="32">
        <f>IF(G3814="",0,IF(COUNTIF($G$2:G3814,G3814)=1,1,0))</f>
        <v>0</v>
      </c>
      <c r="J3814" s="32">
        <f>IF(H3814="",0,IF(COUNTIF($H$2:H3814,H3814)=1,1,0))</f>
        <v>0</v>
      </c>
    </row>
    <row r="3815" spans="1:10" ht="14.25" hidden="1" customHeight="1" x14ac:dyDescent="0.35">
      <c r="A3815" s="30"/>
      <c r="E3815" s="31"/>
      <c r="G3815" s="32" t="str">
        <f t="shared" si="118"/>
        <v>|||1900|</v>
      </c>
      <c r="H3815" s="32" t="str">
        <f t="shared" si="119"/>
        <v>||1900|</v>
      </c>
      <c r="I3815" s="32">
        <f>IF(G3815="",0,IF(COUNTIF($G$2:G3815,G3815)=1,1,0))</f>
        <v>0</v>
      </c>
      <c r="J3815" s="32">
        <f>IF(H3815="",0,IF(COUNTIF($H$2:H3815,H3815)=1,1,0))</f>
        <v>0</v>
      </c>
    </row>
    <row r="3816" spans="1:10" ht="14.25" hidden="1" customHeight="1" x14ac:dyDescent="0.35">
      <c r="A3816" s="30"/>
      <c r="E3816" s="31"/>
      <c r="G3816" s="32" t="str">
        <f t="shared" si="118"/>
        <v>|||1900|</v>
      </c>
      <c r="H3816" s="32" t="str">
        <f t="shared" si="119"/>
        <v>||1900|</v>
      </c>
      <c r="I3816" s="32">
        <f>IF(G3816="",0,IF(COUNTIF($G$2:G3816,G3816)=1,1,0))</f>
        <v>0</v>
      </c>
      <c r="J3816" s="32">
        <f>IF(H3816="",0,IF(COUNTIF($H$2:H3816,H3816)=1,1,0))</f>
        <v>0</v>
      </c>
    </row>
    <row r="3817" spans="1:10" ht="14.25" hidden="1" customHeight="1" x14ac:dyDescent="0.35">
      <c r="A3817" s="30"/>
      <c r="E3817" s="31"/>
      <c r="G3817" s="32" t="str">
        <f t="shared" si="118"/>
        <v>|||1900|</v>
      </c>
      <c r="H3817" s="32" t="str">
        <f t="shared" si="119"/>
        <v>||1900|</v>
      </c>
      <c r="I3817" s="32">
        <f>IF(G3817="",0,IF(COUNTIF($G$2:G3817,G3817)=1,1,0))</f>
        <v>0</v>
      </c>
      <c r="J3817" s="32">
        <f>IF(H3817="",0,IF(COUNTIF($H$2:H3817,H3817)=1,1,0))</f>
        <v>0</v>
      </c>
    </row>
    <row r="3818" spans="1:10" ht="14.25" hidden="1" customHeight="1" x14ac:dyDescent="0.35">
      <c r="A3818" s="30"/>
      <c r="E3818" s="31"/>
      <c r="G3818" s="32" t="str">
        <f t="shared" si="118"/>
        <v>|||1900|</v>
      </c>
      <c r="H3818" s="32" t="str">
        <f t="shared" si="119"/>
        <v>||1900|</v>
      </c>
      <c r="I3818" s="32">
        <f>IF(G3818="",0,IF(COUNTIF($G$2:G3818,G3818)=1,1,0))</f>
        <v>0</v>
      </c>
      <c r="J3818" s="32">
        <f>IF(H3818="",0,IF(COUNTIF($H$2:H3818,H3818)=1,1,0))</f>
        <v>0</v>
      </c>
    </row>
    <row r="3819" spans="1:10" ht="14.25" hidden="1" customHeight="1" x14ac:dyDescent="0.35">
      <c r="A3819" s="30"/>
      <c r="E3819" s="31"/>
      <c r="G3819" s="32" t="str">
        <f t="shared" si="118"/>
        <v>|||1900|</v>
      </c>
      <c r="H3819" s="32" t="str">
        <f t="shared" si="119"/>
        <v>||1900|</v>
      </c>
      <c r="I3819" s="32">
        <f>IF(G3819="",0,IF(COUNTIF($G$2:G3819,G3819)=1,1,0))</f>
        <v>0</v>
      </c>
      <c r="J3819" s="32">
        <f>IF(H3819="",0,IF(COUNTIF($H$2:H3819,H3819)=1,1,0))</f>
        <v>0</v>
      </c>
    </row>
    <row r="3820" spans="1:10" ht="14.25" hidden="1" customHeight="1" x14ac:dyDescent="0.35">
      <c r="A3820" s="30"/>
      <c r="E3820" s="31"/>
      <c r="G3820" s="32" t="str">
        <f t="shared" si="118"/>
        <v>|||1900|</v>
      </c>
      <c r="H3820" s="32" t="str">
        <f t="shared" si="119"/>
        <v>||1900|</v>
      </c>
      <c r="I3820" s="32">
        <f>IF(G3820="",0,IF(COUNTIF($G$2:G3820,G3820)=1,1,0))</f>
        <v>0</v>
      </c>
      <c r="J3820" s="32">
        <f>IF(H3820="",0,IF(COUNTIF($H$2:H3820,H3820)=1,1,0))</f>
        <v>0</v>
      </c>
    </row>
    <row r="3821" spans="1:10" ht="14.25" hidden="1" customHeight="1" x14ac:dyDescent="0.35">
      <c r="A3821" s="30"/>
      <c r="E3821" s="31"/>
      <c r="G3821" s="32" t="str">
        <f t="shared" si="118"/>
        <v>|||1900|</v>
      </c>
      <c r="H3821" s="32" t="str">
        <f t="shared" si="119"/>
        <v>||1900|</v>
      </c>
      <c r="I3821" s="32">
        <f>IF(G3821="",0,IF(COUNTIF($G$2:G3821,G3821)=1,1,0))</f>
        <v>0</v>
      </c>
      <c r="J3821" s="32">
        <f>IF(H3821="",0,IF(COUNTIF($H$2:H3821,H3821)=1,1,0))</f>
        <v>0</v>
      </c>
    </row>
    <row r="3822" spans="1:10" ht="14.25" hidden="1" customHeight="1" x14ac:dyDescent="0.35">
      <c r="A3822" s="30"/>
      <c r="E3822" s="31"/>
      <c r="G3822" s="32" t="str">
        <f t="shared" si="118"/>
        <v>|||1900|</v>
      </c>
      <c r="H3822" s="32" t="str">
        <f t="shared" si="119"/>
        <v>||1900|</v>
      </c>
      <c r="I3822" s="32">
        <f>IF(G3822="",0,IF(COUNTIF($G$2:G3822,G3822)=1,1,0))</f>
        <v>0</v>
      </c>
      <c r="J3822" s="32">
        <f>IF(H3822="",0,IF(COUNTIF($H$2:H3822,H3822)=1,1,0))</f>
        <v>0</v>
      </c>
    </row>
    <row r="3823" spans="1:10" ht="14.25" hidden="1" customHeight="1" x14ac:dyDescent="0.35">
      <c r="A3823" s="30"/>
      <c r="E3823" s="31"/>
      <c r="G3823" s="32" t="str">
        <f t="shared" si="118"/>
        <v>|||1900|</v>
      </c>
      <c r="H3823" s="32" t="str">
        <f t="shared" si="119"/>
        <v>||1900|</v>
      </c>
      <c r="I3823" s="32">
        <f>IF(G3823="",0,IF(COUNTIF($G$2:G3823,G3823)=1,1,0))</f>
        <v>0</v>
      </c>
      <c r="J3823" s="32">
        <f>IF(H3823="",0,IF(COUNTIF($H$2:H3823,H3823)=1,1,0))</f>
        <v>0</v>
      </c>
    </row>
    <row r="3824" spans="1:10" ht="14.25" hidden="1" customHeight="1" x14ac:dyDescent="0.35">
      <c r="A3824" s="30"/>
      <c r="E3824" s="31"/>
      <c r="G3824" s="32" t="str">
        <f t="shared" si="118"/>
        <v>|||1900|</v>
      </c>
      <c r="H3824" s="32" t="str">
        <f t="shared" si="119"/>
        <v>||1900|</v>
      </c>
      <c r="I3824" s="32">
        <f>IF(G3824="",0,IF(COUNTIF($G$2:G3824,G3824)=1,1,0))</f>
        <v>0</v>
      </c>
      <c r="J3824" s="32">
        <f>IF(H3824="",0,IF(COUNTIF($H$2:H3824,H3824)=1,1,0))</f>
        <v>0</v>
      </c>
    </row>
    <row r="3825" spans="1:10" ht="14.25" hidden="1" customHeight="1" x14ac:dyDescent="0.35">
      <c r="A3825" s="30"/>
      <c r="E3825" s="31"/>
      <c r="G3825" s="32" t="str">
        <f t="shared" si="118"/>
        <v>|||1900|</v>
      </c>
      <c r="H3825" s="32" t="str">
        <f t="shared" si="119"/>
        <v>||1900|</v>
      </c>
      <c r="I3825" s="32">
        <f>IF(G3825="",0,IF(COUNTIF($G$2:G3825,G3825)=1,1,0))</f>
        <v>0</v>
      </c>
      <c r="J3825" s="32">
        <f>IF(H3825="",0,IF(COUNTIF($H$2:H3825,H3825)=1,1,0))</f>
        <v>0</v>
      </c>
    </row>
    <row r="3826" spans="1:10" ht="14.25" hidden="1" customHeight="1" x14ac:dyDescent="0.35">
      <c r="A3826" s="30"/>
      <c r="E3826" s="31"/>
      <c r="G3826" s="32" t="str">
        <f t="shared" si="118"/>
        <v>|||1900|</v>
      </c>
      <c r="H3826" s="32" t="str">
        <f t="shared" si="119"/>
        <v>||1900|</v>
      </c>
      <c r="I3826" s="32">
        <f>IF(G3826="",0,IF(COUNTIF($G$2:G3826,G3826)=1,1,0))</f>
        <v>0</v>
      </c>
      <c r="J3826" s="32">
        <f>IF(H3826="",0,IF(COUNTIF($H$2:H3826,H3826)=1,1,0))</f>
        <v>0</v>
      </c>
    </row>
    <row r="3827" spans="1:10" ht="14.25" hidden="1" customHeight="1" x14ac:dyDescent="0.35">
      <c r="A3827" s="30"/>
      <c r="E3827" s="31"/>
      <c r="G3827" s="32" t="str">
        <f t="shared" si="118"/>
        <v>|||1900|</v>
      </c>
      <c r="H3827" s="32" t="str">
        <f t="shared" si="119"/>
        <v>||1900|</v>
      </c>
      <c r="I3827" s="32">
        <f>IF(G3827="",0,IF(COUNTIF($G$2:G3827,G3827)=1,1,0))</f>
        <v>0</v>
      </c>
      <c r="J3827" s="32">
        <f>IF(H3827="",0,IF(COUNTIF($H$2:H3827,H3827)=1,1,0))</f>
        <v>0</v>
      </c>
    </row>
    <row r="3828" spans="1:10" ht="14.25" hidden="1" customHeight="1" x14ac:dyDescent="0.35">
      <c r="A3828" s="30"/>
      <c r="E3828" s="31"/>
      <c r="G3828" s="32" t="str">
        <f t="shared" si="118"/>
        <v>|||1900|</v>
      </c>
      <c r="H3828" s="32" t="str">
        <f t="shared" si="119"/>
        <v>||1900|</v>
      </c>
      <c r="I3828" s="32">
        <f>IF(G3828="",0,IF(COUNTIF($G$2:G3828,G3828)=1,1,0))</f>
        <v>0</v>
      </c>
      <c r="J3828" s="32">
        <f>IF(H3828="",0,IF(COUNTIF($H$2:H3828,H3828)=1,1,0))</f>
        <v>0</v>
      </c>
    </row>
    <row r="3829" spans="1:10" ht="14.25" hidden="1" customHeight="1" x14ac:dyDescent="0.35">
      <c r="A3829" s="30"/>
      <c r="E3829" s="31"/>
      <c r="G3829" s="32" t="str">
        <f t="shared" si="118"/>
        <v>|||1900|</v>
      </c>
      <c r="H3829" s="32" t="str">
        <f t="shared" si="119"/>
        <v>||1900|</v>
      </c>
      <c r="I3829" s="32">
        <f>IF(G3829="",0,IF(COUNTIF($G$2:G3829,G3829)=1,1,0))</f>
        <v>0</v>
      </c>
      <c r="J3829" s="32">
        <f>IF(H3829="",0,IF(COUNTIF($H$2:H3829,H3829)=1,1,0))</f>
        <v>0</v>
      </c>
    </row>
    <row r="3830" spans="1:10" ht="14.25" hidden="1" customHeight="1" x14ac:dyDescent="0.35">
      <c r="A3830" s="30"/>
      <c r="E3830" s="31"/>
      <c r="G3830" s="32" t="str">
        <f t="shared" si="118"/>
        <v>|||1900|</v>
      </c>
      <c r="H3830" s="32" t="str">
        <f t="shared" si="119"/>
        <v>||1900|</v>
      </c>
      <c r="I3830" s="32">
        <f>IF(G3830="",0,IF(COUNTIF($G$2:G3830,G3830)=1,1,0))</f>
        <v>0</v>
      </c>
      <c r="J3830" s="32">
        <f>IF(H3830="",0,IF(COUNTIF($H$2:H3830,H3830)=1,1,0))</f>
        <v>0</v>
      </c>
    </row>
    <row r="3831" spans="1:10" ht="14.25" hidden="1" customHeight="1" x14ac:dyDescent="0.35">
      <c r="A3831" s="30"/>
      <c r="E3831" s="31"/>
      <c r="G3831" s="32" t="str">
        <f t="shared" si="118"/>
        <v>|||1900|</v>
      </c>
      <c r="H3831" s="32" t="str">
        <f t="shared" si="119"/>
        <v>||1900|</v>
      </c>
      <c r="I3831" s="32">
        <f>IF(G3831="",0,IF(COUNTIF($G$2:G3831,G3831)=1,1,0))</f>
        <v>0</v>
      </c>
      <c r="J3831" s="32">
        <f>IF(H3831="",0,IF(COUNTIF($H$2:H3831,H3831)=1,1,0))</f>
        <v>0</v>
      </c>
    </row>
    <row r="3832" spans="1:10" ht="14.25" hidden="1" customHeight="1" x14ac:dyDescent="0.35">
      <c r="A3832" s="30"/>
      <c r="E3832" s="31"/>
      <c r="G3832" s="32" t="str">
        <f t="shared" si="118"/>
        <v>|||1900|</v>
      </c>
      <c r="H3832" s="32" t="str">
        <f t="shared" si="119"/>
        <v>||1900|</v>
      </c>
      <c r="I3832" s="32">
        <f>IF(G3832="",0,IF(COUNTIF($G$2:G3832,G3832)=1,1,0))</f>
        <v>0</v>
      </c>
      <c r="J3832" s="32">
        <f>IF(H3832="",0,IF(COUNTIF($H$2:H3832,H3832)=1,1,0))</f>
        <v>0</v>
      </c>
    </row>
    <row r="3833" spans="1:10" ht="14.25" hidden="1" customHeight="1" x14ac:dyDescent="0.35">
      <c r="A3833" s="30"/>
      <c r="E3833" s="31"/>
      <c r="G3833" s="32" t="str">
        <f t="shared" si="118"/>
        <v>|||1900|</v>
      </c>
      <c r="H3833" s="32" t="str">
        <f t="shared" si="119"/>
        <v>||1900|</v>
      </c>
      <c r="I3833" s="32">
        <f>IF(G3833="",0,IF(COUNTIF($G$2:G3833,G3833)=1,1,0))</f>
        <v>0</v>
      </c>
      <c r="J3833" s="32">
        <f>IF(H3833="",0,IF(COUNTIF($H$2:H3833,H3833)=1,1,0))</f>
        <v>0</v>
      </c>
    </row>
    <row r="3834" spans="1:10" ht="14.25" hidden="1" customHeight="1" x14ac:dyDescent="0.35">
      <c r="A3834" s="30"/>
      <c r="E3834" s="31"/>
      <c r="G3834" s="32" t="str">
        <f t="shared" si="118"/>
        <v>|||1900|</v>
      </c>
      <c r="H3834" s="32" t="str">
        <f t="shared" si="119"/>
        <v>||1900|</v>
      </c>
      <c r="I3834" s="32">
        <f>IF(G3834="",0,IF(COUNTIF($G$2:G3834,G3834)=1,1,0))</f>
        <v>0</v>
      </c>
      <c r="J3834" s="32">
        <f>IF(H3834="",0,IF(COUNTIF($H$2:H3834,H3834)=1,1,0))</f>
        <v>0</v>
      </c>
    </row>
    <row r="3835" spans="1:10" ht="14.25" hidden="1" customHeight="1" x14ac:dyDescent="0.35">
      <c r="A3835" s="30"/>
      <c r="E3835" s="31"/>
      <c r="G3835" s="32" t="str">
        <f t="shared" si="118"/>
        <v>|||1900|</v>
      </c>
      <c r="H3835" s="32" t="str">
        <f t="shared" si="119"/>
        <v>||1900|</v>
      </c>
      <c r="I3835" s="32">
        <f>IF(G3835="",0,IF(COUNTIF($G$2:G3835,G3835)=1,1,0))</f>
        <v>0</v>
      </c>
      <c r="J3835" s="32">
        <f>IF(H3835="",0,IF(COUNTIF($H$2:H3835,H3835)=1,1,0))</f>
        <v>0</v>
      </c>
    </row>
    <row r="3836" spans="1:10" ht="14.25" hidden="1" customHeight="1" x14ac:dyDescent="0.35">
      <c r="A3836" s="30"/>
      <c r="E3836" s="31"/>
      <c r="G3836" s="32" t="str">
        <f t="shared" si="118"/>
        <v>|||1900|</v>
      </c>
      <c r="H3836" s="32" t="str">
        <f t="shared" si="119"/>
        <v>||1900|</v>
      </c>
      <c r="I3836" s="32">
        <f>IF(G3836="",0,IF(COUNTIF($G$2:G3836,G3836)=1,1,0))</f>
        <v>0</v>
      </c>
      <c r="J3836" s="32">
        <f>IF(H3836="",0,IF(COUNTIF($H$2:H3836,H3836)=1,1,0))</f>
        <v>0</v>
      </c>
    </row>
    <row r="3837" spans="1:10" ht="14.25" hidden="1" customHeight="1" x14ac:dyDescent="0.35">
      <c r="A3837" s="30"/>
      <c r="E3837" s="31"/>
      <c r="G3837" s="32" t="str">
        <f t="shared" si="118"/>
        <v>|||1900|</v>
      </c>
      <c r="H3837" s="32" t="str">
        <f t="shared" si="119"/>
        <v>||1900|</v>
      </c>
      <c r="I3837" s="32">
        <f>IF(G3837="",0,IF(COUNTIF($G$2:G3837,G3837)=1,1,0))</f>
        <v>0</v>
      </c>
      <c r="J3837" s="32">
        <f>IF(H3837="",0,IF(COUNTIF($H$2:H3837,H3837)=1,1,0))</f>
        <v>0</v>
      </c>
    </row>
    <row r="3838" spans="1:10" ht="14.25" hidden="1" customHeight="1" x14ac:dyDescent="0.35">
      <c r="A3838" s="30"/>
      <c r="E3838" s="31"/>
      <c r="G3838" s="32" t="str">
        <f t="shared" si="118"/>
        <v>|||1900|</v>
      </c>
      <c r="H3838" s="32" t="str">
        <f t="shared" si="119"/>
        <v>||1900|</v>
      </c>
      <c r="I3838" s="32">
        <f>IF(G3838="",0,IF(COUNTIF($G$2:G3838,G3838)=1,1,0))</f>
        <v>0</v>
      </c>
      <c r="J3838" s="32">
        <f>IF(H3838="",0,IF(COUNTIF($H$2:H3838,H3838)=1,1,0))</f>
        <v>0</v>
      </c>
    </row>
    <row r="3839" spans="1:10" ht="14.25" hidden="1" customHeight="1" x14ac:dyDescent="0.35">
      <c r="A3839" s="30"/>
      <c r="E3839" s="31"/>
      <c r="G3839" s="32" t="str">
        <f t="shared" si="118"/>
        <v>|||1900|</v>
      </c>
      <c r="H3839" s="32" t="str">
        <f t="shared" si="119"/>
        <v>||1900|</v>
      </c>
      <c r="I3839" s="32">
        <f>IF(G3839="",0,IF(COUNTIF($G$2:G3839,G3839)=1,1,0))</f>
        <v>0</v>
      </c>
      <c r="J3839" s="32">
        <f>IF(H3839="",0,IF(COUNTIF($H$2:H3839,H3839)=1,1,0))</f>
        <v>0</v>
      </c>
    </row>
    <row r="3840" spans="1:10" ht="14.25" hidden="1" customHeight="1" x14ac:dyDescent="0.35">
      <c r="A3840" s="30"/>
      <c r="E3840" s="31"/>
      <c r="G3840" s="32" t="str">
        <f t="shared" si="118"/>
        <v>|||1900|</v>
      </c>
      <c r="H3840" s="32" t="str">
        <f t="shared" si="119"/>
        <v>||1900|</v>
      </c>
      <c r="I3840" s="32">
        <f>IF(G3840="",0,IF(COUNTIF($G$2:G3840,G3840)=1,1,0))</f>
        <v>0</v>
      </c>
      <c r="J3840" s="32">
        <f>IF(H3840="",0,IF(COUNTIF($H$2:H3840,H3840)=1,1,0))</f>
        <v>0</v>
      </c>
    </row>
    <row r="3841" spans="1:10" ht="14.25" hidden="1" customHeight="1" x14ac:dyDescent="0.35">
      <c r="A3841" s="30"/>
      <c r="E3841" s="31"/>
      <c r="G3841" s="32" t="str">
        <f t="shared" si="118"/>
        <v>|||1900|</v>
      </c>
      <c r="H3841" s="32" t="str">
        <f t="shared" si="119"/>
        <v>||1900|</v>
      </c>
      <c r="I3841" s="32">
        <f>IF(G3841="",0,IF(COUNTIF($G$2:G3841,G3841)=1,1,0))</f>
        <v>0</v>
      </c>
      <c r="J3841" s="32">
        <f>IF(H3841="",0,IF(COUNTIF($H$2:H3841,H3841)=1,1,0))</f>
        <v>0</v>
      </c>
    </row>
    <row r="3842" spans="1:10" ht="14.25" hidden="1" customHeight="1" x14ac:dyDescent="0.35">
      <c r="A3842" s="30"/>
      <c r="E3842" s="31"/>
      <c r="G3842" s="32" t="str">
        <f t="shared" ref="G3842:G3905" si="120">IF(D3842="T",
E3842&amp;"|"&amp;F3842,
A3842&amp;"|"&amp;B3842&amp;"|"&amp;C3842&amp;"|"&amp;YEAR(E3842)&amp;"|"&amp;F3842)</f>
        <v>|||1900|</v>
      </c>
      <c r="H3842" s="32" t="str">
        <f t="shared" ref="H3842:H3905" si="121">A3842&amp;"|"&amp;C3842&amp;"|"&amp;YEAR(E3842)&amp;"|"&amp;F3842</f>
        <v>||1900|</v>
      </c>
      <c r="I3842" s="32">
        <f>IF(G3842="",0,IF(COUNTIF($G$2:G3842,G3842)=1,1,0))</f>
        <v>0</v>
      </c>
      <c r="J3842" s="32">
        <f>IF(H3842="",0,IF(COUNTIF($H$2:H3842,H3842)=1,1,0))</f>
        <v>0</v>
      </c>
    </row>
    <row r="3843" spans="1:10" ht="14.25" hidden="1" customHeight="1" x14ac:dyDescent="0.35">
      <c r="A3843" s="30"/>
      <c r="E3843" s="31"/>
      <c r="G3843" s="32" t="str">
        <f t="shared" si="120"/>
        <v>|||1900|</v>
      </c>
      <c r="H3843" s="32" t="str">
        <f t="shared" si="121"/>
        <v>||1900|</v>
      </c>
      <c r="I3843" s="32">
        <f>IF(G3843="",0,IF(COUNTIF($G$2:G3843,G3843)=1,1,0))</f>
        <v>0</v>
      </c>
      <c r="J3843" s="32">
        <f>IF(H3843="",0,IF(COUNTIF($H$2:H3843,H3843)=1,1,0))</f>
        <v>0</v>
      </c>
    </row>
    <row r="3844" spans="1:10" ht="14.25" hidden="1" customHeight="1" x14ac:dyDescent="0.35">
      <c r="A3844" s="30"/>
      <c r="E3844" s="31"/>
      <c r="G3844" s="32" t="str">
        <f t="shared" si="120"/>
        <v>|||1900|</v>
      </c>
      <c r="H3844" s="32" t="str">
        <f t="shared" si="121"/>
        <v>||1900|</v>
      </c>
      <c r="I3844" s="32">
        <f>IF(G3844="",0,IF(COUNTIF($G$2:G3844,G3844)=1,1,0))</f>
        <v>0</v>
      </c>
      <c r="J3844" s="32">
        <f>IF(H3844="",0,IF(COUNTIF($H$2:H3844,H3844)=1,1,0))</f>
        <v>0</v>
      </c>
    </row>
    <row r="3845" spans="1:10" ht="14.25" hidden="1" customHeight="1" x14ac:dyDescent="0.35">
      <c r="A3845" s="30"/>
      <c r="E3845" s="31"/>
      <c r="G3845" s="32" t="str">
        <f t="shared" si="120"/>
        <v>|||1900|</v>
      </c>
      <c r="H3845" s="32" t="str">
        <f t="shared" si="121"/>
        <v>||1900|</v>
      </c>
      <c r="I3845" s="32">
        <f>IF(G3845="",0,IF(COUNTIF($G$2:G3845,G3845)=1,1,0))</f>
        <v>0</v>
      </c>
      <c r="J3845" s="32">
        <f>IF(H3845="",0,IF(COUNTIF($H$2:H3845,H3845)=1,1,0))</f>
        <v>0</v>
      </c>
    </row>
    <row r="3846" spans="1:10" ht="14.25" hidden="1" customHeight="1" x14ac:dyDescent="0.35">
      <c r="A3846" s="30"/>
      <c r="E3846" s="31"/>
      <c r="G3846" s="32" t="str">
        <f t="shared" si="120"/>
        <v>|||1900|</v>
      </c>
      <c r="H3846" s="32" t="str">
        <f t="shared" si="121"/>
        <v>||1900|</v>
      </c>
      <c r="I3846" s="32">
        <f>IF(G3846="",0,IF(COUNTIF($G$2:G3846,G3846)=1,1,0))</f>
        <v>0</v>
      </c>
      <c r="J3846" s="32">
        <f>IF(H3846="",0,IF(COUNTIF($H$2:H3846,H3846)=1,1,0))</f>
        <v>0</v>
      </c>
    </row>
    <row r="3847" spans="1:10" ht="14.25" hidden="1" customHeight="1" x14ac:dyDescent="0.35">
      <c r="A3847" s="30"/>
      <c r="E3847" s="31"/>
      <c r="G3847" s="32" t="str">
        <f t="shared" si="120"/>
        <v>|||1900|</v>
      </c>
      <c r="H3847" s="32" t="str">
        <f t="shared" si="121"/>
        <v>||1900|</v>
      </c>
      <c r="I3847" s="32">
        <f>IF(G3847="",0,IF(COUNTIF($G$2:G3847,G3847)=1,1,0))</f>
        <v>0</v>
      </c>
      <c r="J3847" s="32">
        <f>IF(H3847="",0,IF(COUNTIF($H$2:H3847,H3847)=1,1,0))</f>
        <v>0</v>
      </c>
    </row>
    <row r="3848" spans="1:10" ht="14.25" hidden="1" customHeight="1" x14ac:dyDescent="0.35">
      <c r="A3848" s="30"/>
      <c r="E3848" s="31"/>
      <c r="G3848" s="32" t="str">
        <f t="shared" si="120"/>
        <v>|||1900|</v>
      </c>
      <c r="H3848" s="32" t="str">
        <f t="shared" si="121"/>
        <v>||1900|</v>
      </c>
      <c r="I3848" s="32">
        <f>IF(G3848="",0,IF(COUNTIF($G$2:G3848,G3848)=1,1,0))</f>
        <v>0</v>
      </c>
      <c r="J3848" s="32">
        <f>IF(H3848="",0,IF(COUNTIF($H$2:H3848,H3848)=1,1,0))</f>
        <v>0</v>
      </c>
    </row>
    <row r="3849" spans="1:10" ht="14.25" hidden="1" customHeight="1" x14ac:dyDescent="0.35">
      <c r="A3849" s="30"/>
      <c r="E3849" s="31"/>
      <c r="G3849" s="32" t="str">
        <f t="shared" si="120"/>
        <v>|||1900|</v>
      </c>
      <c r="H3849" s="32" t="str">
        <f t="shared" si="121"/>
        <v>||1900|</v>
      </c>
      <c r="I3849" s="32">
        <f>IF(G3849="",0,IF(COUNTIF($G$2:G3849,G3849)=1,1,0))</f>
        <v>0</v>
      </c>
      <c r="J3849" s="32">
        <f>IF(H3849="",0,IF(COUNTIF($H$2:H3849,H3849)=1,1,0))</f>
        <v>0</v>
      </c>
    </row>
    <row r="3850" spans="1:10" ht="14.25" hidden="1" customHeight="1" x14ac:dyDescent="0.35">
      <c r="A3850" s="30"/>
      <c r="E3850" s="31"/>
      <c r="G3850" s="32" t="str">
        <f t="shared" si="120"/>
        <v>|||1900|</v>
      </c>
      <c r="H3850" s="32" t="str">
        <f t="shared" si="121"/>
        <v>||1900|</v>
      </c>
      <c r="I3850" s="32">
        <f>IF(G3850="",0,IF(COUNTIF($G$2:G3850,G3850)=1,1,0))</f>
        <v>0</v>
      </c>
      <c r="J3850" s="32">
        <f>IF(H3850="",0,IF(COUNTIF($H$2:H3850,H3850)=1,1,0))</f>
        <v>0</v>
      </c>
    </row>
    <row r="3851" spans="1:10" ht="14.25" hidden="1" customHeight="1" x14ac:dyDescent="0.35">
      <c r="A3851" s="30"/>
      <c r="E3851" s="31"/>
      <c r="G3851" s="32" t="str">
        <f t="shared" si="120"/>
        <v>|||1900|</v>
      </c>
      <c r="H3851" s="32" t="str">
        <f t="shared" si="121"/>
        <v>||1900|</v>
      </c>
      <c r="I3851" s="32">
        <f>IF(G3851="",0,IF(COUNTIF($G$2:G3851,G3851)=1,1,0))</f>
        <v>0</v>
      </c>
      <c r="J3851" s="32">
        <f>IF(H3851="",0,IF(COUNTIF($H$2:H3851,H3851)=1,1,0))</f>
        <v>0</v>
      </c>
    </row>
    <row r="3852" spans="1:10" ht="14.25" hidden="1" customHeight="1" x14ac:dyDescent="0.35">
      <c r="A3852" s="30"/>
      <c r="E3852" s="31"/>
      <c r="G3852" s="32" t="str">
        <f t="shared" si="120"/>
        <v>|||1900|</v>
      </c>
      <c r="H3852" s="32" t="str">
        <f t="shared" si="121"/>
        <v>||1900|</v>
      </c>
      <c r="I3852" s="32">
        <f>IF(G3852="",0,IF(COUNTIF($G$2:G3852,G3852)=1,1,0))</f>
        <v>0</v>
      </c>
      <c r="J3852" s="32">
        <f>IF(H3852="",0,IF(COUNTIF($H$2:H3852,H3852)=1,1,0))</f>
        <v>0</v>
      </c>
    </row>
    <row r="3853" spans="1:10" ht="14.25" hidden="1" customHeight="1" x14ac:dyDescent="0.35">
      <c r="A3853" s="30"/>
      <c r="E3853" s="31"/>
      <c r="G3853" s="32" t="str">
        <f t="shared" si="120"/>
        <v>|||1900|</v>
      </c>
      <c r="H3853" s="32" t="str">
        <f t="shared" si="121"/>
        <v>||1900|</v>
      </c>
      <c r="I3853" s="32">
        <f>IF(G3853="",0,IF(COUNTIF($G$2:G3853,G3853)=1,1,0))</f>
        <v>0</v>
      </c>
      <c r="J3853" s="32">
        <f>IF(H3853="",0,IF(COUNTIF($H$2:H3853,H3853)=1,1,0))</f>
        <v>0</v>
      </c>
    </row>
    <row r="3854" spans="1:10" ht="14.25" hidden="1" customHeight="1" x14ac:dyDescent="0.35">
      <c r="A3854" s="30"/>
      <c r="E3854" s="31"/>
      <c r="G3854" s="32" t="str">
        <f t="shared" si="120"/>
        <v>|||1900|</v>
      </c>
      <c r="H3854" s="32" t="str">
        <f t="shared" si="121"/>
        <v>||1900|</v>
      </c>
      <c r="I3854" s="32">
        <f>IF(G3854="",0,IF(COUNTIF($G$2:G3854,G3854)=1,1,0))</f>
        <v>0</v>
      </c>
      <c r="J3854" s="32">
        <f>IF(H3854="",0,IF(COUNTIF($H$2:H3854,H3854)=1,1,0))</f>
        <v>0</v>
      </c>
    </row>
    <row r="3855" spans="1:10" ht="14.25" hidden="1" customHeight="1" x14ac:dyDescent="0.35">
      <c r="A3855" s="30"/>
      <c r="E3855" s="31"/>
      <c r="G3855" s="32" t="str">
        <f t="shared" si="120"/>
        <v>|||1900|</v>
      </c>
      <c r="H3855" s="32" t="str">
        <f t="shared" si="121"/>
        <v>||1900|</v>
      </c>
      <c r="I3855" s="32">
        <f>IF(G3855="",0,IF(COUNTIF($G$2:G3855,G3855)=1,1,0))</f>
        <v>0</v>
      </c>
      <c r="J3855" s="32">
        <f>IF(H3855="",0,IF(COUNTIF($H$2:H3855,H3855)=1,1,0))</f>
        <v>0</v>
      </c>
    </row>
    <row r="3856" spans="1:10" ht="14.25" hidden="1" customHeight="1" x14ac:dyDescent="0.35">
      <c r="A3856" s="30"/>
      <c r="E3856" s="31"/>
      <c r="G3856" s="32" t="str">
        <f t="shared" si="120"/>
        <v>|||1900|</v>
      </c>
      <c r="H3856" s="32" t="str">
        <f t="shared" si="121"/>
        <v>||1900|</v>
      </c>
      <c r="I3856" s="32">
        <f>IF(G3856="",0,IF(COUNTIF($G$2:G3856,G3856)=1,1,0))</f>
        <v>0</v>
      </c>
      <c r="J3856" s="32">
        <f>IF(H3856="",0,IF(COUNTIF($H$2:H3856,H3856)=1,1,0))</f>
        <v>0</v>
      </c>
    </row>
    <row r="3857" spans="1:10" ht="14.25" hidden="1" customHeight="1" x14ac:dyDescent="0.35">
      <c r="A3857" s="30"/>
      <c r="E3857" s="31"/>
      <c r="G3857" s="32" t="str">
        <f t="shared" si="120"/>
        <v>|||1900|</v>
      </c>
      <c r="H3857" s="32" t="str">
        <f t="shared" si="121"/>
        <v>||1900|</v>
      </c>
      <c r="I3857" s="32">
        <f>IF(G3857="",0,IF(COUNTIF($G$2:G3857,G3857)=1,1,0))</f>
        <v>0</v>
      </c>
      <c r="J3857" s="32">
        <f>IF(H3857="",0,IF(COUNTIF($H$2:H3857,H3857)=1,1,0))</f>
        <v>0</v>
      </c>
    </row>
    <row r="3858" spans="1:10" ht="14.25" hidden="1" customHeight="1" x14ac:dyDescent="0.35">
      <c r="A3858" s="30"/>
      <c r="E3858" s="31"/>
      <c r="G3858" s="32" t="str">
        <f t="shared" si="120"/>
        <v>|||1900|</v>
      </c>
      <c r="H3858" s="32" t="str">
        <f t="shared" si="121"/>
        <v>||1900|</v>
      </c>
      <c r="I3858" s="32">
        <f>IF(G3858="",0,IF(COUNTIF($G$2:G3858,G3858)=1,1,0))</f>
        <v>0</v>
      </c>
      <c r="J3858" s="32">
        <f>IF(H3858="",0,IF(COUNTIF($H$2:H3858,H3858)=1,1,0))</f>
        <v>0</v>
      </c>
    </row>
    <row r="3859" spans="1:10" ht="14.25" hidden="1" customHeight="1" x14ac:dyDescent="0.35">
      <c r="A3859" s="30"/>
      <c r="E3859" s="31"/>
      <c r="G3859" s="32" t="str">
        <f t="shared" si="120"/>
        <v>|||1900|</v>
      </c>
      <c r="H3859" s="32" t="str">
        <f t="shared" si="121"/>
        <v>||1900|</v>
      </c>
      <c r="I3859" s="32">
        <f>IF(G3859="",0,IF(COUNTIF($G$2:G3859,G3859)=1,1,0))</f>
        <v>0</v>
      </c>
      <c r="J3859" s="32">
        <f>IF(H3859="",0,IF(COUNTIF($H$2:H3859,H3859)=1,1,0))</f>
        <v>0</v>
      </c>
    </row>
    <row r="3860" spans="1:10" ht="14.25" hidden="1" customHeight="1" x14ac:dyDescent="0.35">
      <c r="A3860" s="30"/>
      <c r="E3860" s="31"/>
      <c r="G3860" s="32" t="str">
        <f t="shared" si="120"/>
        <v>|||1900|</v>
      </c>
      <c r="H3860" s="32" t="str">
        <f t="shared" si="121"/>
        <v>||1900|</v>
      </c>
      <c r="I3860" s="32">
        <f>IF(G3860="",0,IF(COUNTIF($G$2:G3860,G3860)=1,1,0))</f>
        <v>0</v>
      </c>
      <c r="J3860" s="32">
        <f>IF(H3860="",0,IF(COUNTIF($H$2:H3860,H3860)=1,1,0))</f>
        <v>0</v>
      </c>
    </row>
    <row r="3861" spans="1:10" ht="14.25" hidden="1" customHeight="1" x14ac:dyDescent="0.35">
      <c r="A3861" s="30"/>
      <c r="E3861" s="31"/>
      <c r="G3861" s="32" t="str">
        <f t="shared" si="120"/>
        <v>|||1900|</v>
      </c>
      <c r="H3861" s="32" t="str">
        <f t="shared" si="121"/>
        <v>||1900|</v>
      </c>
      <c r="I3861" s="32">
        <f>IF(G3861="",0,IF(COUNTIF($G$2:G3861,G3861)=1,1,0))</f>
        <v>0</v>
      </c>
      <c r="J3861" s="32">
        <f>IF(H3861="",0,IF(COUNTIF($H$2:H3861,H3861)=1,1,0))</f>
        <v>0</v>
      </c>
    </row>
    <row r="3862" spans="1:10" ht="14.25" hidden="1" customHeight="1" x14ac:dyDescent="0.35">
      <c r="A3862" s="30"/>
      <c r="E3862" s="31"/>
      <c r="G3862" s="32" t="str">
        <f t="shared" si="120"/>
        <v>|||1900|</v>
      </c>
      <c r="H3862" s="32" t="str">
        <f t="shared" si="121"/>
        <v>||1900|</v>
      </c>
      <c r="I3862" s="32">
        <f>IF(G3862="",0,IF(COUNTIF($G$2:G3862,G3862)=1,1,0))</f>
        <v>0</v>
      </c>
      <c r="J3862" s="32">
        <f>IF(H3862="",0,IF(COUNTIF($H$2:H3862,H3862)=1,1,0))</f>
        <v>0</v>
      </c>
    </row>
    <row r="3863" spans="1:10" ht="14.25" hidden="1" customHeight="1" x14ac:dyDescent="0.35">
      <c r="A3863" s="30"/>
      <c r="E3863" s="31"/>
      <c r="G3863" s="32" t="str">
        <f t="shared" si="120"/>
        <v>|||1900|</v>
      </c>
      <c r="H3863" s="32" t="str">
        <f t="shared" si="121"/>
        <v>||1900|</v>
      </c>
      <c r="I3863" s="32">
        <f>IF(G3863="",0,IF(COUNTIF($G$2:G3863,G3863)=1,1,0))</f>
        <v>0</v>
      </c>
      <c r="J3863" s="32">
        <f>IF(H3863="",0,IF(COUNTIF($H$2:H3863,H3863)=1,1,0))</f>
        <v>0</v>
      </c>
    </row>
    <row r="3864" spans="1:10" ht="14.25" hidden="1" customHeight="1" x14ac:dyDescent="0.35">
      <c r="A3864" s="30"/>
      <c r="E3864" s="31"/>
      <c r="G3864" s="32" t="str">
        <f t="shared" si="120"/>
        <v>|||1900|</v>
      </c>
      <c r="H3864" s="32" t="str">
        <f t="shared" si="121"/>
        <v>||1900|</v>
      </c>
      <c r="I3864" s="32">
        <f>IF(G3864="",0,IF(COUNTIF($G$2:G3864,G3864)=1,1,0))</f>
        <v>0</v>
      </c>
      <c r="J3864" s="32">
        <f>IF(H3864="",0,IF(COUNTIF($H$2:H3864,H3864)=1,1,0))</f>
        <v>0</v>
      </c>
    </row>
    <row r="3865" spans="1:10" ht="14.25" hidden="1" customHeight="1" x14ac:dyDescent="0.35">
      <c r="A3865" s="30"/>
      <c r="E3865" s="31"/>
      <c r="G3865" s="32" t="str">
        <f t="shared" si="120"/>
        <v>|||1900|</v>
      </c>
      <c r="H3865" s="32" t="str">
        <f t="shared" si="121"/>
        <v>||1900|</v>
      </c>
      <c r="I3865" s="32">
        <f>IF(G3865="",0,IF(COUNTIF($G$2:G3865,G3865)=1,1,0))</f>
        <v>0</v>
      </c>
      <c r="J3865" s="32">
        <f>IF(H3865="",0,IF(COUNTIF($H$2:H3865,H3865)=1,1,0))</f>
        <v>0</v>
      </c>
    </row>
    <row r="3866" spans="1:10" ht="14.25" hidden="1" customHeight="1" x14ac:dyDescent="0.35">
      <c r="A3866" s="30"/>
      <c r="E3866" s="31"/>
      <c r="G3866" s="32" t="str">
        <f t="shared" si="120"/>
        <v>|||1900|</v>
      </c>
      <c r="H3866" s="32" t="str">
        <f t="shared" si="121"/>
        <v>||1900|</v>
      </c>
      <c r="I3866" s="32">
        <f>IF(G3866="",0,IF(COUNTIF($G$2:G3866,G3866)=1,1,0))</f>
        <v>0</v>
      </c>
      <c r="J3866" s="32">
        <f>IF(H3866="",0,IF(COUNTIF($H$2:H3866,H3866)=1,1,0))</f>
        <v>0</v>
      </c>
    </row>
    <row r="3867" spans="1:10" ht="14.25" hidden="1" customHeight="1" x14ac:dyDescent="0.35">
      <c r="A3867" s="30"/>
      <c r="E3867" s="31"/>
      <c r="G3867" s="32" t="str">
        <f t="shared" si="120"/>
        <v>|||1900|</v>
      </c>
      <c r="H3867" s="32" t="str">
        <f t="shared" si="121"/>
        <v>||1900|</v>
      </c>
      <c r="I3867" s="32">
        <f>IF(G3867="",0,IF(COUNTIF($G$2:G3867,G3867)=1,1,0))</f>
        <v>0</v>
      </c>
      <c r="J3867" s="32">
        <f>IF(H3867="",0,IF(COUNTIF($H$2:H3867,H3867)=1,1,0))</f>
        <v>0</v>
      </c>
    </row>
    <row r="3868" spans="1:10" ht="14.25" hidden="1" customHeight="1" x14ac:dyDescent="0.35">
      <c r="A3868" s="30"/>
      <c r="E3868" s="31"/>
      <c r="G3868" s="32" t="str">
        <f t="shared" si="120"/>
        <v>|||1900|</v>
      </c>
      <c r="H3868" s="32" t="str">
        <f t="shared" si="121"/>
        <v>||1900|</v>
      </c>
      <c r="I3868" s="32">
        <f>IF(G3868="",0,IF(COUNTIF($G$2:G3868,G3868)=1,1,0))</f>
        <v>0</v>
      </c>
      <c r="J3868" s="32">
        <f>IF(H3868="",0,IF(COUNTIF($H$2:H3868,H3868)=1,1,0))</f>
        <v>0</v>
      </c>
    </row>
    <row r="3869" spans="1:10" ht="14.25" hidden="1" customHeight="1" x14ac:dyDescent="0.35">
      <c r="A3869" s="30"/>
      <c r="E3869" s="31"/>
      <c r="G3869" s="32" t="str">
        <f t="shared" si="120"/>
        <v>|||1900|</v>
      </c>
      <c r="H3869" s="32" t="str">
        <f t="shared" si="121"/>
        <v>||1900|</v>
      </c>
      <c r="I3869" s="32">
        <f>IF(G3869="",0,IF(COUNTIF($G$2:G3869,G3869)=1,1,0))</f>
        <v>0</v>
      </c>
      <c r="J3869" s="32">
        <f>IF(H3869="",0,IF(COUNTIF($H$2:H3869,H3869)=1,1,0))</f>
        <v>0</v>
      </c>
    </row>
    <row r="3870" spans="1:10" ht="14.25" hidden="1" customHeight="1" x14ac:dyDescent="0.35">
      <c r="A3870" s="30"/>
      <c r="E3870" s="31"/>
      <c r="G3870" s="32" t="str">
        <f t="shared" si="120"/>
        <v>|||1900|</v>
      </c>
      <c r="H3870" s="32" t="str">
        <f t="shared" si="121"/>
        <v>||1900|</v>
      </c>
      <c r="I3870" s="32">
        <f>IF(G3870="",0,IF(COUNTIF($G$2:G3870,G3870)=1,1,0))</f>
        <v>0</v>
      </c>
      <c r="J3870" s="32">
        <f>IF(H3870="",0,IF(COUNTIF($H$2:H3870,H3870)=1,1,0))</f>
        <v>0</v>
      </c>
    </row>
    <row r="3871" spans="1:10" ht="14.25" hidden="1" customHeight="1" x14ac:dyDescent="0.35">
      <c r="A3871" s="30"/>
      <c r="E3871" s="31"/>
      <c r="G3871" s="32" t="str">
        <f t="shared" si="120"/>
        <v>|||1900|</v>
      </c>
      <c r="H3871" s="32" t="str">
        <f t="shared" si="121"/>
        <v>||1900|</v>
      </c>
      <c r="I3871" s="32">
        <f>IF(G3871="",0,IF(COUNTIF($G$2:G3871,G3871)=1,1,0))</f>
        <v>0</v>
      </c>
      <c r="J3871" s="32">
        <f>IF(H3871="",0,IF(COUNTIF($H$2:H3871,H3871)=1,1,0))</f>
        <v>0</v>
      </c>
    </row>
    <row r="3872" spans="1:10" ht="14.25" hidden="1" customHeight="1" x14ac:dyDescent="0.35">
      <c r="A3872" s="30"/>
      <c r="E3872" s="31"/>
      <c r="G3872" s="32" t="str">
        <f t="shared" si="120"/>
        <v>|||1900|</v>
      </c>
      <c r="H3872" s="32" t="str">
        <f t="shared" si="121"/>
        <v>||1900|</v>
      </c>
      <c r="I3872" s="32">
        <f>IF(G3872="",0,IF(COUNTIF($G$2:G3872,G3872)=1,1,0))</f>
        <v>0</v>
      </c>
      <c r="J3872" s="32">
        <f>IF(H3872="",0,IF(COUNTIF($H$2:H3872,H3872)=1,1,0))</f>
        <v>0</v>
      </c>
    </row>
    <row r="3873" spans="1:10" ht="14.25" hidden="1" customHeight="1" x14ac:dyDescent="0.35">
      <c r="A3873" s="30"/>
      <c r="E3873" s="31"/>
      <c r="G3873" s="32" t="str">
        <f t="shared" si="120"/>
        <v>|||1900|</v>
      </c>
      <c r="H3873" s="32" t="str">
        <f t="shared" si="121"/>
        <v>||1900|</v>
      </c>
      <c r="I3873" s="32">
        <f>IF(G3873="",0,IF(COUNTIF($G$2:G3873,G3873)=1,1,0))</f>
        <v>0</v>
      </c>
      <c r="J3873" s="32">
        <f>IF(H3873="",0,IF(COUNTIF($H$2:H3873,H3873)=1,1,0))</f>
        <v>0</v>
      </c>
    </row>
    <row r="3874" spans="1:10" ht="14.25" hidden="1" customHeight="1" x14ac:dyDescent="0.35">
      <c r="A3874" s="30"/>
      <c r="E3874" s="31"/>
      <c r="G3874" s="32" t="str">
        <f t="shared" si="120"/>
        <v>|||1900|</v>
      </c>
      <c r="H3874" s="32" t="str">
        <f t="shared" si="121"/>
        <v>||1900|</v>
      </c>
      <c r="I3874" s="32">
        <f>IF(G3874="",0,IF(COUNTIF($G$2:G3874,G3874)=1,1,0))</f>
        <v>0</v>
      </c>
      <c r="J3874" s="32">
        <f>IF(H3874="",0,IF(COUNTIF($H$2:H3874,H3874)=1,1,0))</f>
        <v>0</v>
      </c>
    </row>
    <row r="3875" spans="1:10" ht="14.25" hidden="1" customHeight="1" x14ac:dyDescent="0.35">
      <c r="A3875" s="30"/>
      <c r="E3875" s="31"/>
      <c r="G3875" s="32" t="str">
        <f t="shared" si="120"/>
        <v>|||1900|</v>
      </c>
      <c r="H3875" s="32" t="str">
        <f t="shared" si="121"/>
        <v>||1900|</v>
      </c>
      <c r="I3875" s="32">
        <f>IF(G3875="",0,IF(COUNTIF($G$2:G3875,G3875)=1,1,0))</f>
        <v>0</v>
      </c>
      <c r="J3875" s="32">
        <f>IF(H3875="",0,IF(COUNTIF($H$2:H3875,H3875)=1,1,0))</f>
        <v>0</v>
      </c>
    </row>
    <row r="3876" spans="1:10" ht="14.25" hidden="1" customHeight="1" x14ac:dyDescent="0.35">
      <c r="A3876" s="30"/>
      <c r="E3876" s="31"/>
      <c r="G3876" s="32" t="str">
        <f t="shared" si="120"/>
        <v>|||1900|</v>
      </c>
      <c r="H3876" s="32" t="str">
        <f t="shared" si="121"/>
        <v>||1900|</v>
      </c>
      <c r="I3876" s="32">
        <f>IF(G3876="",0,IF(COUNTIF($G$2:G3876,G3876)=1,1,0))</f>
        <v>0</v>
      </c>
      <c r="J3876" s="32">
        <f>IF(H3876="",0,IF(COUNTIF($H$2:H3876,H3876)=1,1,0))</f>
        <v>0</v>
      </c>
    </row>
    <row r="3877" spans="1:10" ht="14.25" hidden="1" customHeight="1" x14ac:dyDescent="0.35">
      <c r="A3877" s="30"/>
      <c r="E3877" s="31"/>
      <c r="G3877" s="32" t="str">
        <f t="shared" si="120"/>
        <v>|||1900|</v>
      </c>
      <c r="H3877" s="32" t="str">
        <f t="shared" si="121"/>
        <v>||1900|</v>
      </c>
      <c r="I3877" s="32">
        <f>IF(G3877="",0,IF(COUNTIF($G$2:G3877,G3877)=1,1,0))</f>
        <v>0</v>
      </c>
      <c r="J3877" s="32">
        <f>IF(H3877="",0,IF(COUNTIF($H$2:H3877,H3877)=1,1,0))</f>
        <v>0</v>
      </c>
    </row>
    <row r="3878" spans="1:10" ht="14.25" hidden="1" customHeight="1" x14ac:dyDescent="0.35">
      <c r="A3878" s="30"/>
      <c r="E3878" s="31"/>
      <c r="G3878" s="32" t="str">
        <f t="shared" si="120"/>
        <v>|||1900|</v>
      </c>
      <c r="H3878" s="32" t="str">
        <f t="shared" si="121"/>
        <v>||1900|</v>
      </c>
      <c r="I3878" s="32">
        <f>IF(G3878="",0,IF(COUNTIF($G$2:G3878,G3878)=1,1,0))</f>
        <v>0</v>
      </c>
      <c r="J3878" s="32">
        <f>IF(H3878="",0,IF(COUNTIF($H$2:H3878,H3878)=1,1,0))</f>
        <v>0</v>
      </c>
    </row>
    <row r="3879" spans="1:10" ht="14.25" hidden="1" customHeight="1" x14ac:dyDescent="0.35">
      <c r="A3879" s="30"/>
      <c r="E3879" s="31"/>
      <c r="G3879" s="32" t="str">
        <f t="shared" si="120"/>
        <v>|||1900|</v>
      </c>
      <c r="H3879" s="32" t="str">
        <f t="shared" si="121"/>
        <v>||1900|</v>
      </c>
      <c r="I3879" s="32">
        <f>IF(G3879="",0,IF(COUNTIF($G$2:G3879,G3879)=1,1,0))</f>
        <v>0</v>
      </c>
      <c r="J3879" s="32">
        <f>IF(H3879="",0,IF(COUNTIF($H$2:H3879,H3879)=1,1,0))</f>
        <v>0</v>
      </c>
    </row>
    <row r="3880" spans="1:10" ht="14.25" hidden="1" customHeight="1" x14ac:dyDescent="0.35">
      <c r="A3880" s="30"/>
      <c r="E3880" s="31"/>
      <c r="G3880" s="32" t="str">
        <f t="shared" si="120"/>
        <v>|||1900|</v>
      </c>
      <c r="H3880" s="32" t="str">
        <f t="shared" si="121"/>
        <v>||1900|</v>
      </c>
      <c r="I3880" s="32">
        <f>IF(G3880="",0,IF(COUNTIF($G$2:G3880,G3880)=1,1,0))</f>
        <v>0</v>
      </c>
      <c r="J3880" s="32">
        <f>IF(H3880="",0,IF(COUNTIF($H$2:H3880,H3880)=1,1,0))</f>
        <v>0</v>
      </c>
    </row>
    <row r="3881" spans="1:10" ht="14.25" hidden="1" customHeight="1" x14ac:dyDescent="0.35">
      <c r="A3881" s="30"/>
      <c r="E3881" s="31"/>
      <c r="G3881" s="32" t="str">
        <f t="shared" si="120"/>
        <v>|||1900|</v>
      </c>
      <c r="H3881" s="32" t="str">
        <f t="shared" si="121"/>
        <v>||1900|</v>
      </c>
      <c r="I3881" s="32">
        <f>IF(G3881="",0,IF(COUNTIF($G$2:G3881,G3881)=1,1,0))</f>
        <v>0</v>
      </c>
      <c r="J3881" s="32">
        <f>IF(H3881="",0,IF(COUNTIF($H$2:H3881,H3881)=1,1,0))</f>
        <v>0</v>
      </c>
    </row>
    <row r="3882" spans="1:10" ht="14.25" hidden="1" customHeight="1" x14ac:dyDescent="0.35">
      <c r="A3882" s="30"/>
      <c r="E3882" s="31"/>
      <c r="G3882" s="32" t="str">
        <f t="shared" si="120"/>
        <v>|||1900|</v>
      </c>
      <c r="H3882" s="32" t="str">
        <f t="shared" si="121"/>
        <v>||1900|</v>
      </c>
      <c r="I3882" s="32">
        <f>IF(G3882="",0,IF(COUNTIF($G$2:G3882,G3882)=1,1,0))</f>
        <v>0</v>
      </c>
      <c r="J3882" s="32">
        <f>IF(H3882="",0,IF(COUNTIF($H$2:H3882,H3882)=1,1,0))</f>
        <v>0</v>
      </c>
    </row>
    <row r="3883" spans="1:10" ht="14.25" hidden="1" customHeight="1" x14ac:dyDescent="0.35">
      <c r="A3883" s="30"/>
      <c r="E3883" s="31"/>
      <c r="G3883" s="32" t="str">
        <f t="shared" si="120"/>
        <v>|||1900|</v>
      </c>
      <c r="H3883" s="32" t="str">
        <f t="shared" si="121"/>
        <v>||1900|</v>
      </c>
      <c r="I3883" s="32">
        <f>IF(G3883="",0,IF(COUNTIF($G$2:G3883,G3883)=1,1,0))</f>
        <v>0</v>
      </c>
      <c r="J3883" s="32">
        <f>IF(H3883="",0,IF(COUNTIF($H$2:H3883,H3883)=1,1,0))</f>
        <v>0</v>
      </c>
    </row>
    <row r="3884" spans="1:10" ht="14.25" hidden="1" customHeight="1" x14ac:dyDescent="0.35">
      <c r="A3884" s="30"/>
      <c r="E3884" s="31"/>
      <c r="G3884" s="32" t="str">
        <f t="shared" si="120"/>
        <v>|||1900|</v>
      </c>
      <c r="H3884" s="32" t="str">
        <f t="shared" si="121"/>
        <v>||1900|</v>
      </c>
      <c r="I3884" s="32">
        <f>IF(G3884="",0,IF(COUNTIF($G$2:G3884,G3884)=1,1,0))</f>
        <v>0</v>
      </c>
      <c r="J3884" s="32">
        <f>IF(H3884="",0,IF(COUNTIF($H$2:H3884,H3884)=1,1,0))</f>
        <v>0</v>
      </c>
    </row>
    <row r="3885" spans="1:10" ht="14.25" hidden="1" customHeight="1" x14ac:dyDescent="0.35">
      <c r="A3885" s="30"/>
      <c r="E3885" s="31"/>
      <c r="G3885" s="32" t="str">
        <f t="shared" si="120"/>
        <v>|||1900|</v>
      </c>
      <c r="H3885" s="32" t="str">
        <f t="shared" si="121"/>
        <v>||1900|</v>
      </c>
      <c r="I3885" s="32">
        <f>IF(G3885="",0,IF(COUNTIF($G$2:G3885,G3885)=1,1,0))</f>
        <v>0</v>
      </c>
      <c r="J3885" s="32">
        <f>IF(H3885="",0,IF(COUNTIF($H$2:H3885,H3885)=1,1,0))</f>
        <v>0</v>
      </c>
    </row>
    <row r="3886" spans="1:10" ht="14.25" hidden="1" customHeight="1" x14ac:dyDescent="0.35">
      <c r="A3886" s="30"/>
      <c r="E3886" s="31"/>
      <c r="G3886" s="32" t="str">
        <f t="shared" si="120"/>
        <v>|||1900|</v>
      </c>
      <c r="H3886" s="32" t="str">
        <f t="shared" si="121"/>
        <v>||1900|</v>
      </c>
      <c r="I3886" s="32">
        <f>IF(G3886="",0,IF(COUNTIF($G$2:G3886,G3886)=1,1,0))</f>
        <v>0</v>
      </c>
      <c r="J3886" s="32">
        <f>IF(H3886="",0,IF(COUNTIF($H$2:H3886,H3886)=1,1,0))</f>
        <v>0</v>
      </c>
    </row>
    <row r="3887" spans="1:10" ht="14.25" hidden="1" customHeight="1" x14ac:dyDescent="0.35">
      <c r="A3887" s="30"/>
      <c r="E3887" s="31"/>
      <c r="G3887" s="32" t="str">
        <f t="shared" si="120"/>
        <v>|||1900|</v>
      </c>
      <c r="H3887" s="32" t="str">
        <f t="shared" si="121"/>
        <v>||1900|</v>
      </c>
      <c r="I3887" s="32">
        <f>IF(G3887="",0,IF(COUNTIF($G$2:G3887,G3887)=1,1,0))</f>
        <v>0</v>
      </c>
      <c r="J3887" s="32">
        <f>IF(H3887="",0,IF(COUNTIF($H$2:H3887,H3887)=1,1,0))</f>
        <v>0</v>
      </c>
    </row>
    <row r="3888" spans="1:10" ht="14.25" hidden="1" customHeight="1" x14ac:dyDescent="0.35">
      <c r="A3888" s="30"/>
      <c r="E3888" s="31"/>
      <c r="G3888" s="32" t="str">
        <f t="shared" si="120"/>
        <v>|||1900|</v>
      </c>
      <c r="H3888" s="32" t="str">
        <f t="shared" si="121"/>
        <v>||1900|</v>
      </c>
      <c r="I3888" s="32">
        <f>IF(G3888="",0,IF(COUNTIF($G$2:G3888,G3888)=1,1,0))</f>
        <v>0</v>
      </c>
      <c r="J3888" s="32">
        <f>IF(H3888="",0,IF(COUNTIF($H$2:H3888,H3888)=1,1,0))</f>
        <v>0</v>
      </c>
    </row>
    <row r="3889" spans="1:10" ht="14.25" hidden="1" customHeight="1" x14ac:dyDescent="0.35">
      <c r="A3889" s="30"/>
      <c r="E3889" s="31"/>
      <c r="G3889" s="32" t="str">
        <f t="shared" si="120"/>
        <v>|||1900|</v>
      </c>
      <c r="H3889" s="32" t="str">
        <f t="shared" si="121"/>
        <v>||1900|</v>
      </c>
      <c r="I3889" s="32">
        <f>IF(G3889="",0,IF(COUNTIF($G$2:G3889,G3889)=1,1,0))</f>
        <v>0</v>
      </c>
      <c r="J3889" s="32">
        <f>IF(H3889="",0,IF(COUNTIF($H$2:H3889,H3889)=1,1,0))</f>
        <v>0</v>
      </c>
    </row>
    <row r="3890" spans="1:10" ht="14.25" hidden="1" customHeight="1" x14ac:dyDescent="0.35">
      <c r="A3890" s="30"/>
      <c r="E3890" s="31"/>
      <c r="G3890" s="32" t="str">
        <f t="shared" si="120"/>
        <v>|||1900|</v>
      </c>
      <c r="H3890" s="32" t="str">
        <f t="shared" si="121"/>
        <v>||1900|</v>
      </c>
      <c r="I3890" s="32">
        <f>IF(G3890="",0,IF(COUNTIF($G$2:G3890,G3890)=1,1,0))</f>
        <v>0</v>
      </c>
      <c r="J3890" s="32">
        <f>IF(H3890="",0,IF(COUNTIF($H$2:H3890,H3890)=1,1,0))</f>
        <v>0</v>
      </c>
    </row>
    <row r="3891" spans="1:10" ht="14.25" hidden="1" customHeight="1" x14ac:dyDescent="0.35">
      <c r="A3891" s="30"/>
      <c r="E3891" s="31"/>
      <c r="G3891" s="32" t="str">
        <f t="shared" si="120"/>
        <v>|||1900|</v>
      </c>
      <c r="H3891" s="32" t="str">
        <f t="shared" si="121"/>
        <v>||1900|</v>
      </c>
      <c r="I3891" s="32">
        <f>IF(G3891="",0,IF(COUNTIF($G$2:G3891,G3891)=1,1,0))</f>
        <v>0</v>
      </c>
      <c r="J3891" s="32">
        <f>IF(H3891="",0,IF(COUNTIF($H$2:H3891,H3891)=1,1,0))</f>
        <v>0</v>
      </c>
    </row>
    <row r="3892" spans="1:10" ht="14.25" hidden="1" customHeight="1" x14ac:dyDescent="0.35">
      <c r="A3892" s="30"/>
      <c r="E3892" s="31"/>
      <c r="G3892" s="32" t="str">
        <f t="shared" si="120"/>
        <v>|||1900|</v>
      </c>
      <c r="H3892" s="32" t="str">
        <f t="shared" si="121"/>
        <v>||1900|</v>
      </c>
      <c r="I3892" s="32">
        <f>IF(G3892="",0,IF(COUNTIF($G$2:G3892,G3892)=1,1,0))</f>
        <v>0</v>
      </c>
      <c r="J3892" s="32">
        <f>IF(H3892="",0,IF(COUNTIF($H$2:H3892,H3892)=1,1,0))</f>
        <v>0</v>
      </c>
    </row>
    <row r="3893" spans="1:10" ht="14.25" hidden="1" customHeight="1" x14ac:dyDescent="0.35">
      <c r="A3893" s="30"/>
      <c r="E3893" s="31"/>
      <c r="G3893" s="32" t="str">
        <f t="shared" si="120"/>
        <v>|||1900|</v>
      </c>
      <c r="H3893" s="32" t="str">
        <f t="shared" si="121"/>
        <v>||1900|</v>
      </c>
      <c r="I3893" s="32">
        <f>IF(G3893="",0,IF(COUNTIF($G$2:G3893,G3893)=1,1,0))</f>
        <v>0</v>
      </c>
      <c r="J3893" s="32">
        <f>IF(H3893="",0,IF(COUNTIF($H$2:H3893,H3893)=1,1,0))</f>
        <v>0</v>
      </c>
    </row>
    <row r="3894" spans="1:10" ht="14.25" hidden="1" customHeight="1" x14ac:dyDescent="0.35">
      <c r="A3894" s="30"/>
      <c r="E3894" s="31"/>
      <c r="G3894" s="32" t="str">
        <f t="shared" si="120"/>
        <v>|||1900|</v>
      </c>
      <c r="H3894" s="32" t="str">
        <f t="shared" si="121"/>
        <v>||1900|</v>
      </c>
      <c r="I3894" s="32">
        <f>IF(G3894="",0,IF(COUNTIF($G$2:G3894,G3894)=1,1,0))</f>
        <v>0</v>
      </c>
      <c r="J3894" s="32">
        <f>IF(H3894="",0,IF(COUNTIF($H$2:H3894,H3894)=1,1,0))</f>
        <v>0</v>
      </c>
    </row>
    <row r="3895" spans="1:10" ht="14.25" hidden="1" customHeight="1" x14ac:dyDescent="0.35">
      <c r="A3895" s="30"/>
      <c r="E3895" s="31"/>
      <c r="G3895" s="32" t="str">
        <f t="shared" si="120"/>
        <v>|||1900|</v>
      </c>
      <c r="H3895" s="32" t="str">
        <f t="shared" si="121"/>
        <v>||1900|</v>
      </c>
      <c r="I3895" s="32">
        <f>IF(G3895="",0,IF(COUNTIF($G$2:G3895,G3895)=1,1,0))</f>
        <v>0</v>
      </c>
      <c r="J3895" s="32">
        <f>IF(H3895="",0,IF(COUNTIF($H$2:H3895,H3895)=1,1,0))</f>
        <v>0</v>
      </c>
    </row>
    <row r="3896" spans="1:10" ht="14.25" hidden="1" customHeight="1" x14ac:dyDescent="0.35">
      <c r="A3896" s="30"/>
      <c r="E3896" s="31"/>
      <c r="G3896" s="32" t="str">
        <f t="shared" si="120"/>
        <v>|||1900|</v>
      </c>
      <c r="H3896" s="32" t="str">
        <f t="shared" si="121"/>
        <v>||1900|</v>
      </c>
      <c r="I3896" s="32">
        <f>IF(G3896="",0,IF(COUNTIF($G$2:G3896,G3896)=1,1,0))</f>
        <v>0</v>
      </c>
      <c r="J3896" s="32">
        <f>IF(H3896="",0,IF(COUNTIF($H$2:H3896,H3896)=1,1,0))</f>
        <v>0</v>
      </c>
    </row>
    <row r="3897" spans="1:10" ht="14.25" hidden="1" customHeight="1" x14ac:dyDescent="0.35">
      <c r="A3897" s="30"/>
      <c r="E3897" s="31"/>
      <c r="G3897" s="32" t="str">
        <f t="shared" si="120"/>
        <v>|||1900|</v>
      </c>
      <c r="H3897" s="32" t="str">
        <f t="shared" si="121"/>
        <v>||1900|</v>
      </c>
      <c r="I3897" s="32">
        <f>IF(G3897="",0,IF(COUNTIF($G$2:G3897,G3897)=1,1,0))</f>
        <v>0</v>
      </c>
      <c r="J3897" s="32">
        <f>IF(H3897="",0,IF(COUNTIF($H$2:H3897,H3897)=1,1,0))</f>
        <v>0</v>
      </c>
    </row>
    <row r="3898" spans="1:10" ht="14.25" hidden="1" customHeight="1" x14ac:dyDescent="0.35">
      <c r="A3898" s="30"/>
      <c r="E3898" s="31"/>
      <c r="G3898" s="32" t="str">
        <f t="shared" si="120"/>
        <v>|||1900|</v>
      </c>
      <c r="H3898" s="32" t="str">
        <f t="shared" si="121"/>
        <v>||1900|</v>
      </c>
      <c r="I3898" s="32">
        <f>IF(G3898="",0,IF(COUNTIF($G$2:G3898,G3898)=1,1,0))</f>
        <v>0</v>
      </c>
      <c r="J3898" s="32">
        <f>IF(H3898="",0,IF(COUNTIF($H$2:H3898,H3898)=1,1,0))</f>
        <v>0</v>
      </c>
    </row>
    <row r="3899" spans="1:10" ht="14.25" hidden="1" customHeight="1" x14ac:dyDescent="0.35">
      <c r="A3899" s="30"/>
      <c r="E3899" s="31"/>
      <c r="G3899" s="32" t="str">
        <f t="shared" si="120"/>
        <v>|||1900|</v>
      </c>
      <c r="H3899" s="32" t="str">
        <f t="shared" si="121"/>
        <v>||1900|</v>
      </c>
      <c r="I3899" s="32">
        <f>IF(G3899="",0,IF(COUNTIF($G$2:G3899,G3899)=1,1,0))</f>
        <v>0</v>
      </c>
      <c r="J3899" s="32">
        <f>IF(H3899="",0,IF(COUNTIF($H$2:H3899,H3899)=1,1,0))</f>
        <v>0</v>
      </c>
    </row>
    <row r="3900" spans="1:10" ht="14.25" hidden="1" customHeight="1" x14ac:dyDescent="0.35">
      <c r="A3900" s="30"/>
      <c r="E3900" s="31"/>
      <c r="G3900" s="32" t="str">
        <f t="shared" si="120"/>
        <v>|||1900|</v>
      </c>
      <c r="H3900" s="32" t="str">
        <f t="shared" si="121"/>
        <v>||1900|</v>
      </c>
      <c r="I3900" s="32">
        <f>IF(G3900="",0,IF(COUNTIF($G$2:G3900,G3900)=1,1,0))</f>
        <v>0</v>
      </c>
      <c r="J3900" s="32">
        <f>IF(H3900="",0,IF(COUNTIF($H$2:H3900,H3900)=1,1,0))</f>
        <v>0</v>
      </c>
    </row>
    <row r="3901" spans="1:10" ht="14.25" hidden="1" customHeight="1" x14ac:dyDescent="0.35">
      <c r="A3901" s="30"/>
      <c r="E3901" s="31"/>
      <c r="G3901" s="32" t="str">
        <f t="shared" si="120"/>
        <v>|||1900|</v>
      </c>
      <c r="H3901" s="32" t="str">
        <f t="shared" si="121"/>
        <v>||1900|</v>
      </c>
      <c r="I3901" s="32">
        <f>IF(G3901="",0,IF(COUNTIF($G$2:G3901,G3901)=1,1,0))</f>
        <v>0</v>
      </c>
      <c r="J3901" s="32">
        <f>IF(H3901="",0,IF(COUNTIF($H$2:H3901,H3901)=1,1,0))</f>
        <v>0</v>
      </c>
    </row>
    <row r="3902" spans="1:10" ht="14.25" hidden="1" customHeight="1" x14ac:dyDescent="0.35">
      <c r="A3902" s="30"/>
      <c r="E3902" s="31"/>
      <c r="G3902" s="32" t="str">
        <f t="shared" si="120"/>
        <v>|||1900|</v>
      </c>
      <c r="H3902" s="32" t="str">
        <f t="shared" si="121"/>
        <v>||1900|</v>
      </c>
      <c r="I3902" s="32">
        <f>IF(G3902="",0,IF(COUNTIF($G$2:G3902,G3902)=1,1,0))</f>
        <v>0</v>
      </c>
      <c r="J3902" s="32">
        <f>IF(H3902="",0,IF(COUNTIF($H$2:H3902,H3902)=1,1,0))</f>
        <v>0</v>
      </c>
    </row>
    <row r="3903" spans="1:10" ht="14.25" hidden="1" customHeight="1" x14ac:dyDescent="0.35">
      <c r="A3903" s="30"/>
      <c r="E3903" s="31"/>
      <c r="G3903" s="32" t="str">
        <f t="shared" si="120"/>
        <v>|||1900|</v>
      </c>
      <c r="H3903" s="32" t="str">
        <f t="shared" si="121"/>
        <v>||1900|</v>
      </c>
      <c r="I3903" s="32">
        <f>IF(G3903="",0,IF(COUNTIF($G$2:G3903,G3903)=1,1,0))</f>
        <v>0</v>
      </c>
      <c r="J3903" s="32">
        <f>IF(H3903="",0,IF(COUNTIF($H$2:H3903,H3903)=1,1,0))</f>
        <v>0</v>
      </c>
    </row>
    <row r="3904" spans="1:10" ht="14.25" hidden="1" customHeight="1" x14ac:dyDescent="0.35">
      <c r="A3904" s="30"/>
      <c r="E3904" s="31"/>
      <c r="G3904" s="32" t="str">
        <f t="shared" si="120"/>
        <v>|||1900|</v>
      </c>
      <c r="H3904" s="32" t="str">
        <f t="shared" si="121"/>
        <v>||1900|</v>
      </c>
      <c r="I3904" s="32">
        <f>IF(G3904="",0,IF(COUNTIF($G$2:G3904,G3904)=1,1,0))</f>
        <v>0</v>
      </c>
      <c r="J3904" s="32">
        <f>IF(H3904="",0,IF(COUNTIF($H$2:H3904,H3904)=1,1,0))</f>
        <v>0</v>
      </c>
    </row>
    <row r="3905" spans="1:10" ht="14.25" hidden="1" customHeight="1" x14ac:dyDescent="0.35">
      <c r="A3905" s="30"/>
      <c r="E3905" s="31"/>
      <c r="G3905" s="32" t="str">
        <f t="shared" si="120"/>
        <v>|||1900|</v>
      </c>
      <c r="H3905" s="32" t="str">
        <f t="shared" si="121"/>
        <v>||1900|</v>
      </c>
      <c r="I3905" s="32">
        <f>IF(G3905="",0,IF(COUNTIF($G$2:G3905,G3905)=1,1,0))</f>
        <v>0</v>
      </c>
      <c r="J3905" s="32">
        <f>IF(H3905="",0,IF(COUNTIF($H$2:H3905,H3905)=1,1,0))</f>
        <v>0</v>
      </c>
    </row>
    <row r="3906" spans="1:10" ht="14.25" hidden="1" customHeight="1" x14ac:dyDescent="0.35">
      <c r="A3906" s="30"/>
      <c r="E3906" s="31"/>
      <c r="G3906" s="32" t="str">
        <f t="shared" ref="G3906:G3969" si="122">IF(D3906="T",
E3906&amp;"|"&amp;F3906,
A3906&amp;"|"&amp;B3906&amp;"|"&amp;C3906&amp;"|"&amp;YEAR(E3906)&amp;"|"&amp;F3906)</f>
        <v>|||1900|</v>
      </c>
      <c r="H3906" s="32" t="str">
        <f t="shared" ref="H3906:H3969" si="123">A3906&amp;"|"&amp;C3906&amp;"|"&amp;YEAR(E3906)&amp;"|"&amp;F3906</f>
        <v>||1900|</v>
      </c>
      <c r="I3906" s="32">
        <f>IF(G3906="",0,IF(COUNTIF($G$2:G3906,G3906)=1,1,0))</f>
        <v>0</v>
      </c>
      <c r="J3906" s="32">
        <f>IF(H3906="",0,IF(COUNTIF($H$2:H3906,H3906)=1,1,0))</f>
        <v>0</v>
      </c>
    </row>
    <row r="3907" spans="1:10" ht="14.25" hidden="1" customHeight="1" x14ac:dyDescent="0.35">
      <c r="A3907" s="30"/>
      <c r="E3907" s="31"/>
      <c r="G3907" s="32" t="str">
        <f t="shared" si="122"/>
        <v>|||1900|</v>
      </c>
      <c r="H3907" s="32" t="str">
        <f t="shared" si="123"/>
        <v>||1900|</v>
      </c>
      <c r="I3907" s="32">
        <f>IF(G3907="",0,IF(COUNTIF($G$2:G3907,G3907)=1,1,0))</f>
        <v>0</v>
      </c>
      <c r="J3907" s="32">
        <f>IF(H3907="",0,IF(COUNTIF($H$2:H3907,H3907)=1,1,0))</f>
        <v>0</v>
      </c>
    </row>
    <row r="3908" spans="1:10" ht="14.25" hidden="1" customHeight="1" x14ac:dyDescent="0.35">
      <c r="A3908" s="30"/>
      <c r="E3908" s="31"/>
      <c r="G3908" s="32" t="str">
        <f t="shared" si="122"/>
        <v>|||1900|</v>
      </c>
      <c r="H3908" s="32" t="str">
        <f t="shared" si="123"/>
        <v>||1900|</v>
      </c>
      <c r="I3908" s="32">
        <f>IF(G3908="",0,IF(COUNTIF($G$2:G3908,G3908)=1,1,0))</f>
        <v>0</v>
      </c>
      <c r="J3908" s="32">
        <f>IF(H3908="",0,IF(COUNTIF($H$2:H3908,H3908)=1,1,0))</f>
        <v>0</v>
      </c>
    </row>
    <row r="3909" spans="1:10" ht="14.25" hidden="1" customHeight="1" x14ac:dyDescent="0.35">
      <c r="A3909" s="30"/>
      <c r="E3909" s="31"/>
      <c r="G3909" s="32" t="str">
        <f t="shared" si="122"/>
        <v>|||1900|</v>
      </c>
      <c r="H3909" s="32" t="str">
        <f t="shared" si="123"/>
        <v>||1900|</v>
      </c>
      <c r="I3909" s="32">
        <f>IF(G3909="",0,IF(COUNTIF($G$2:G3909,G3909)=1,1,0))</f>
        <v>0</v>
      </c>
      <c r="J3909" s="32">
        <f>IF(H3909="",0,IF(COUNTIF($H$2:H3909,H3909)=1,1,0))</f>
        <v>0</v>
      </c>
    </row>
    <row r="3910" spans="1:10" ht="14.25" hidden="1" customHeight="1" x14ac:dyDescent="0.35">
      <c r="A3910" s="30"/>
      <c r="E3910" s="31"/>
      <c r="G3910" s="32" t="str">
        <f t="shared" si="122"/>
        <v>|||1900|</v>
      </c>
      <c r="H3910" s="32" t="str">
        <f t="shared" si="123"/>
        <v>||1900|</v>
      </c>
      <c r="I3910" s="32">
        <f>IF(G3910="",0,IF(COUNTIF($G$2:G3910,G3910)=1,1,0))</f>
        <v>0</v>
      </c>
      <c r="J3910" s="32">
        <f>IF(H3910="",0,IF(COUNTIF($H$2:H3910,H3910)=1,1,0))</f>
        <v>0</v>
      </c>
    </row>
    <row r="3911" spans="1:10" ht="14.25" hidden="1" customHeight="1" x14ac:dyDescent="0.35">
      <c r="A3911" s="30"/>
      <c r="E3911" s="31"/>
      <c r="G3911" s="32" t="str">
        <f t="shared" si="122"/>
        <v>|||1900|</v>
      </c>
      <c r="H3911" s="32" t="str">
        <f t="shared" si="123"/>
        <v>||1900|</v>
      </c>
      <c r="I3911" s="32">
        <f>IF(G3911="",0,IF(COUNTIF($G$2:G3911,G3911)=1,1,0))</f>
        <v>0</v>
      </c>
      <c r="J3911" s="32">
        <f>IF(H3911="",0,IF(COUNTIF($H$2:H3911,H3911)=1,1,0))</f>
        <v>0</v>
      </c>
    </row>
    <row r="3912" spans="1:10" ht="14.25" hidden="1" customHeight="1" x14ac:dyDescent="0.35">
      <c r="A3912" s="30"/>
      <c r="E3912" s="31"/>
      <c r="G3912" s="32" t="str">
        <f t="shared" si="122"/>
        <v>|||1900|</v>
      </c>
      <c r="H3912" s="32" t="str">
        <f t="shared" si="123"/>
        <v>||1900|</v>
      </c>
      <c r="I3912" s="32">
        <f>IF(G3912="",0,IF(COUNTIF($G$2:G3912,G3912)=1,1,0))</f>
        <v>0</v>
      </c>
      <c r="J3912" s="32">
        <f>IF(H3912="",0,IF(COUNTIF($H$2:H3912,H3912)=1,1,0))</f>
        <v>0</v>
      </c>
    </row>
    <row r="3913" spans="1:10" ht="14.25" hidden="1" customHeight="1" x14ac:dyDescent="0.35">
      <c r="A3913" s="30"/>
      <c r="E3913" s="31"/>
      <c r="G3913" s="32" t="str">
        <f t="shared" si="122"/>
        <v>|||1900|</v>
      </c>
      <c r="H3913" s="32" t="str">
        <f t="shared" si="123"/>
        <v>||1900|</v>
      </c>
      <c r="I3913" s="32">
        <f>IF(G3913="",0,IF(COUNTIF($G$2:G3913,G3913)=1,1,0))</f>
        <v>0</v>
      </c>
      <c r="J3913" s="32">
        <f>IF(H3913="",0,IF(COUNTIF($H$2:H3913,H3913)=1,1,0))</f>
        <v>0</v>
      </c>
    </row>
    <row r="3914" spans="1:10" ht="14.25" hidden="1" customHeight="1" x14ac:dyDescent="0.35">
      <c r="A3914" s="30"/>
      <c r="E3914" s="31"/>
      <c r="G3914" s="32" t="str">
        <f t="shared" si="122"/>
        <v>|||1900|</v>
      </c>
      <c r="H3914" s="32" t="str">
        <f t="shared" si="123"/>
        <v>||1900|</v>
      </c>
      <c r="I3914" s="32">
        <f>IF(G3914="",0,IF(COUNTIF($G$2:G3914,G3914)=1,1,0))</f>
        <v>0</v>
      </c>
      <c r="J3914" s="32">
        <f>IF(H3914="",0,IF(COUNTIF($H$2:H3914,H3914)=1,1,0))</f>
        <v>0</v>
      </c>
    </row>
    <row r="3915" spans="1:10" ht="14.25" hidden="1" customHeight="1" x14ac:dyDescent="0.35">
      <c r="A3915" s="30"/>
      <c r="E3915" s="31"/>
      <c r="G3915" s="32" t="str">
        <f t="shared" si="122"/>
        <v>|||1900|</v>
      </c>
      <c r="H3915" s="32" t="str">
        <f t="shared" si="123"/>
        <v>||1900|</v>
      </c>
      <c r="I3915" s="32">
        <f>IF(G3915="",0,IF(COUNTIF($G$2:G3915,G3915)=1,1,0))</f>
        <v>0</v>
      </c>
      <c r="J3915" s="32">
        <f>IF(H3915="",0,IF(COUNTIF($H$2:H3915,H3915)=1,1,0))</f>
        <v>0</v>
      </c>
    </row>
    <row r="3916" spans="1:10" ht="14.25" hidden="1" customHeight="1" x14ac:dyDescent="0.35">
      <c r="A3916" s="30"/>
      <c r="E3916" s="31"/>
      <c r="G3916" s="32" t="str">
        <f t="shared" si="122"/>
        <v>|||1900|</v>
      </c>
      <c r="H3916" s="32" t="str">
        <f t="shared" si="123"/>
        <v>||1900|</v>
      </c>
      <c r="I3916" s="32">
        <f>IF(G3916="",0,IF(COUNTIF($G$2:G3916,G3916)=1,1,0))</f>
        <v>0</v>
      </c>
      <c r="J3916" s="32">
        <f>IF(H3916="",0,IF(COUNTIF($H$2:H3916,H3916)=1,1,0))</f>
        <v>0</v>
      </c>
    </row>
    <row r="3917" spans="1:10" ht="14.25" hidden="1" customHeight="1" x14ac:dyDescent="0.35">
      <c r="A3917" s="30"/>
      <c r="E3917" s="31"/>
      <c r="G3917" s="32" t="str">
        <f t="shared" si="122"/>
        <v>|||1900|</v>
      </c>
      <c r="H3917" s="32" t="str">
        <f t="shared" si="123"/>
        <v>||1900|</v>
      </c>
      <c r="I3917" s="32">
        <f>IF(G3917="",0,IF(COUNTIF($G$2:G3917,G3917)=1,1,0))</f>
        <v>0</v>
      </c>
      <c r="J3917" s="32">
        <f>IF(H3917="",0,IF(COUNTIF($H$2:H3917,H3917)=1,1,0))</f>
        <v>0</v>
      </c>
    </row>
    <row r="3918" spans="1:10" ht="14.25" hidden="1" customHeight="1" x14ac:dyDescent="0.35">
      <c r="A3918" s="30"/>
      <c r="E3918" s="31"/>
      <c r="G3918" s="32" t="str">
        <f t="shared" si="122"/>
        <v>|||1900|</v>
      </c>
      <c r="H3918" s="32" t="str">
        <f t="shared" si="123"/>
        <v>||1900|</v>
      </c>
      <c r="I3918" s="32">
        <f>IF(G3918="",0,IF(COUNTIF($G$2:G3918,G3918)=1,1,0))</f>
        <v>0</v>
      </c>
      <c r="J3918" s="32">
        <f>IF(H3918="",0,IF(COUNTIF($H$2:H3918,H3918)=1,1,0))</f>
        <v>0</v>
      </c>
    </row>
    <row r="3919" spans="1:10" ht="14.25" hidden="1" customHeight="1" x14ac:dyDescent="0.35">
      <c r="A3919" s="30"/>
      <c r="E3919" s="31"/>
      <c r="G3919" s="32" t="str">
        <f t="shared" si="122"/>
        <v>|||1900|</v>
      </c>
      <c r="H3919" s="32" t="str">
        <f t="shared" si="123"/>
        <v>||1900|</v>
      </c>
      <c r="I3919" s="32">
        <f>IF(G3919="",0,IF(COUNTIF($G$2:G3919,G3919)=1,1,0))</f>
        <v>0</v>
      </c>
      <c r="J3919" s="32">
        <f>IF(H3919="",0,IF(COUNTIF($H$2:H3919,H3919)=1,1,0))</f>
        <v>0</v>
      </c>
    </row>
    <row r="3920" spans="1:10" ht="14.25" hidden="1" customHeight="1" x14ac:dyDescent="0.35">
      <c r="A3920" s="30"/>
      <c r="E3920" s="31"/>
      <c r="G3920" s="32" t="str">
        <f t="shared" si="122"/>
        <v>|||1900|</v>
      </c>
      <c r="H3920" s="32" t="str">
        <f t="shared" si="123"/>
        <v>||1900|</v>
      </c>
      <c r="I3920" s="32">
        <f>IF(G3920="",0,IF(COUNTIF($G$2:G3920,G3920)=1,1,0))</f>
        <v>0</v>
      </c>
      <c r="J3920" s="32">
        <f>IF(H3920="",0,IF(COUNTIF($H$2:H3920,H3920)=1,1,0))</f>
        <v>0</v>
      </c>
    </row>
    <row r="3921" spans="1:10" ht="14.25" hidden="1" customHeight="1" x14ac:dyDescent="0.35">
      <c r="A3921" s="30"/>
      <c r="E3921" s="31"/>
      <c r="G3921" s="32" t="str">
        <f t="shared" si="122"/>
        <v>|||1900|</v>
      </c>
      <c r="H3921" s="32" t="str">
        <f t="shared" si="123"/>
        <v>||1900|</v>
      </c>
      <c r="I3921" s="32">
        <f>IF(G3921="",0,IF(COUNTIF($G$2:G3921,G3921)=1,1,0))</f>
        <v>0</v>
      </c>
      <c r="J3921" s="32">
        <f>IF(H3921="",0,IF(COUNTIF($H$2:H3921,H3921)=1,1,0))</f>
        <v>0</v>
      </c>
    </row>
    <row r="3922" spans="1:10" ht="14.25" hidden="1" customHeight="1" x14ac:dyDescent="0.35">
      <c r="A3922" s="30"/>
      <c r="E3922" s="31"/>
      <c r="G3922" s="32" t="str">
        <f t="shared" si="122"/>
        <v>|||1900|</v>
      </c>
      <c r="H3922" s="32" t="str">
        <f t="shared" si="123"/>
        <v>||1900|</v>
      </c>
      <c r="I3922" s="32">
        <f>IF(G3922="",0,IF(COUNTIF($G$2:G3922,G3922)=1,1,0))</f>
        <v>0</v>
      </c>
      <c r="J3922" s="32">
        <f>IF(H3922="",0,IF(COUNTIF($H$2:H3922,H3922)=1,1,0))</f>
        <v>0</v>
      </c>
    </row>
    <row r="3923" spans="1:10" ht="14.25" hidden="1" customHeight="1" x14ac:dyDescent="0.35">
      <c r="A3923" s="30"/>
      <c r="E3923" s="31"/>
      <c r="G3923" s="32" t="str">
        <f t="shared" si="122"/>
        <v>|||1900|</v>
      </c>
      <c r="H3923" s="32" t="str">
        <f t="shared" si="123"/>
        <v>||1900|</v>
      </c>
      <c r="I3923" s="32">
        <f>IF(G3923="",0,IF(COUNTIF($G$2:G3923,G3923)=1,1,0))</f>
        <v>0</v>
      </c>
      <c r="J3923" s="32">
        <f>IF(H3923="",0,IF(COUNTIF($H$2:H3923,H3923)=1,1,0))</f>
        <v>0</v>
      </c>
    </row>
    <row r="3924" spans="1:10" ht="14.25" hidden="1" customHeight="1" x14ac:dyDescent="0.35">
      <c r="A3924" s="30"/>
      <c r="E3924" s="31"/>
      <c r="G3924" s="32" t="str">
        <f t="shared" si="122"/>
        <v>|||1900|</v>
      </c>
      <c r="H3924" s="32" t="str">
        <f t="shared" si="123"/>
        <v>||1900|</v>
      </c>
      <c r="I3924" s="32">
        <f>IF(G3924="",0,IF(COUNTIF($G$2:G3924,G3924)=1,1,0))</f>
        <v>0</v>
      </c>
      <c r="J3924" s="32">
        <f>IF(H3924="",0,IF(COUNTIF($H$2:H3924,H3924)=1,1,0))</f>
        <v>0</v>
      </c>
    </row>
    <row r="3925" spans="1:10" ht="14.25" hidden="1" customHeight="1" x14ac:dyDescent="0.35">
      <c r="A3925" s="30"/>
      <c r="E3925" s="31"/>
      <c r="G3925" s="32" t="str">
        <f t="shared" si="122"/>
        <v>|||1900|</v>
      </c>
      <c r="H3925" s="32" t="str">
        <f t="shared" si="123"/>
        <v>||1900|</v>
      </c>
      <c r="I3925" s="32">
        <f>IF(G3925="",0,IF(COUNTIF($G$2:G3925,G3925)=1,1,0))</f>
        <v>0</v>
      </c>
      <c r="J3925" s="32">
        <f>IF(H3925="",0,IF(COUNTIF($H$2:H3925,H3925)=1,1,0))</f>
        <v>0</v>
      </c>
    </row>
    <row r="3926" spans="1:10" ht="14.25" hidden="1" customHeight="1" x14ac:dyDescent="0.35">
      <c r="A3926" s="30"/>
      <c r="E3926" s="31"/>
      <c r="G3926" s="32" t="str">
        <f t="shared" si="122"/>
        <v>|||1900|</v>
      </c>
      <c r="H3926" s="32" t="str">
        <f t="shared" si="123"/>
        <v>||1900|</v>
      </c>
      <c r="I3926" s="32">
        <f>IF(G3926="",0,IF(COUNTIF($G$2:G3926,G3926)=1,1,0))</f>
        <v>0</v>
      </c>
      <c r="J3926" s="32">
        <f>IF(H3926="",0,IF(COUNTIF($H$2:H3926,H3926)=1,1,0))</f>
        <v>0</v>
      </c>
    </row>
    <row r="3927" spans="1:10" ht="14.25" hidden="1" customHeight="1" x14ac:dyDescent="0.35">
      <c r="A3927" s="30"/>
      <c r="E3927" s="31"/>
      <c r="G3927" s="32" t="str">
        <f t="shared" si="122"/>
        <v>|||1900|</v>
      </c>
      <c r="H3927" s="32" t="str">
        <f t="shared" si="123"/>
        <v>||1900|</v>
      </c>
      <c r="I3927" s="32">
        <f>IF(G3927="",0,IF(COUNTIF($G$2:G3927,G3927)=1,1,0))</f>
        <v>0</v>
      </c>
      <c r="J3927" s="32">
        <f>IF(H3927="",0,IF(COUNTIF($H$2:H3927,H3927)=1,1,0))</f>
        <v>0</v>
      </c>
    </row>
    <row r="3928" spans="1:10" ht="14.25" hidden="1" customHeight="1" x14ac:dyDescent="0.35">
      <c r="A3928" s="30"/>
      <c r="E3928" s="31"/>
      <c r="G3928" s="32" t="str">
        <f t="shared" si="122"/>
        <v>|||1900|</v>
      </c>
      <c r="H3928" s="32" t="str">
        <f t="shared" si="123"/>
        <v>||1900|</v>
      </c>
      <c r="I3928" s="32">
        <f>IF(G3928="",0,IF(COUNTIF($G$2:G3928,G3928)=1,1,0))</f>
        <v>0</v>
      </c>
      <c r="J3928" s="32">
        <f>IF(H3928="",0,IF(COUNTIF($H$2:H3928,H3928)=1,1,0))</f>
        <v>0</v>
      </c>
    </row>
    <row r="3929" spans="1:10" ht="14.25" hidden="1" customHeight="1" x14ac:dyDescent="0.35">
      <c r="A3929" s="30"/>
      <c r="E3929" s="31"/>
      <c r="G3929" s="32" t="str">
        <f t="shared" si="122"/>
        <v>|||1900|</v>
      </c>
      <c r="H3929" s="32" t="str">
        <f t="shared" si="123"/>
        <v>||1900|</v>
      </c>
      <c r="I3929" s="32">
        <f>IF(G3929="",0,IF(COUNTIF($G$2:G3929,G3929)=1,1,0))</f>
        <v>0</v>
      </c>
      <c r="J3929" s="32">
        <f>IF(H3929="",0,IF(COUNTIF($H$2:H3929,H3929)=1,1,0))</f>
        <v>0</v>
      </c>
    </row>
    <row r="3930" spans="1:10" ht="14.25" hidden="1" customHeight="1" x14ac:dyDescent="0.35">
      <c r="A3930" s="30"/>
      <c r="E3930" s="31"/>
      <c r="G3930" s="32" t="str">
        <f t="shared" si="122"/>
        <v>|||1900|</v>
      </c>
      <c r="H3930" s="32" t="str">
        <f t="shared" si="123"/>
        <v>||1900|</v>
      </c>
      <c r="I3930" s="32">
        <f>IF(G3930="",0,IF(COUNTIF($G$2:G3930,G3930)=1,1,0))</f>
        <v>0</v>
      </c>
      <c r="J3930" s="32">
        <f>IF(H3930="",0,IF(COUNTIF($H$2:H3930,H3930)=1,1,0))</f>
        <v>0</v>
      </c>
    </row>
    <row r="3931" spans="1:10" ht="14.25" hidden="1" customHeight="1" x14ac:dyDescent="0.35">
      <c r="A3931" s="30"/>
      <c r="E3931" s="31"/>
      <c r="G3931" s="32" t="str">
        <f t="shared" si="122"/>
        <v>|||1900|</v>
      </c>
      <c r="H3931" s="32" t="str">
        <f t="shared" si="123"/>
        <v>||1900|</v>
      </c>
      <c r="I3931" s="32">
        <f>IF(G3931="",0,IF(COUNTIF($G$2:G3931,G3931)=1,1,0))</f>
        <v>0</v>
      </c>
      <c r="J3931" s="32">
        <f>IF(H3931="",0,IF(COUNTIF($H$2:H3931,H3931)=1,1,0))</f>
        <v>0</v>
      </c>
    </row>
    <row r="3932" spans="1:10" ht="14.25" hidden="1" customHeight="1" x14ac:dyDescent="0.35">
      <c r="A3932" s="30"/>
      <c r="E3932" s="31"/>
      <c r="G3932" s="32" t="str">
        <f t="shared" si="122"/>
        <v>|||1900|</v>
      </c>
      <c r="H3932" s="32" t="str">
        <f t="shared" si="123"/>
        <v>||1900|</v>
      </c>
      <c r="I3932" s="32">
        <f>IF(G3932="",0,IF(COUNTIF($G$2:G3932,G3932)=1,1,0))</f>
        <v>0</v>
      </c>
      <c r="J3932" s="32">
        <f>IF(H3932="",0,IF(COUNTIF($H$2:H3932,H3932)=1,1,0))</f>
        <v>0</v>
      </c>
    </row>
    <row r="3933" spans="1:10" ht="14.25" hidden="1" customHeight="1" x14ac:dyDescent="0.35">
      <c r="A3933" s="30"/>
      <c r="E3933" s="31"/>
      <c r="G3933" s="32" t="str">
        <f t="shared" si="122"/>
        <v>|||1900|</v>
      </c>
      <c r="H3933" s="32" t="str">
        <f t="shared" si="123"/>
        <v>||1900|</v>
      </c>
      <c r="I3933" s="32">
        <f>IF(G3933="",0,IF(COUNTIF($G$2:G3933,G3933)=1,1,0))</f>
        <v>0</v>
      </c>
      <c r="J3933" s="32">
        <f>IF(H3933="",0,IF(COUNTIF($H$2:H3933,H3933)=1,1,0))</f>
        <v>0</v>
      </c>
    </row>
    <row r="3934" spans="1:10" ht="14.25" hidden="1" customHeight="1" x14ac:dyDescent="0.35">
      <c r="A3934" s="30"/>
      <c r="E3934" s="31"/>
      <c r="G3934" s="32" t="str">
        <f t="shared" si="122"/>
        <v>|||1900|</v>
      </c>
      <c r="H3934" s="32" t="str">
        <f t="shared" si="123"/>
        <v>||1900|</v>
      </c>
      <c r="I3934" s="32">
        <f>IF(G3934="",0,IF(COUNTIF($G$2:G3934,G3934)=1,1,0))</f>
        <v>0</v>
      </c>
      <c r="J3934" s="32">
        <f>IF(H3934="",0,IF(COUNTIF($H$2:H3934,H3934)=1,1,0))</f>
        <v>0</v>
      </c>
    </row>
    <row r="3935" spans="1:10" ht="14.25" hidden="1" customHeight="1" x14ac:dyDescent="0.35">
      <c r="A3935" s="30"/>
      <c r="E3935" s="31"/>
      <c r="G3935" s="32" t="str">
        <f t="shared" si="122"/>
        <v>|||1900|</v>
      </c>
      <c r="H3935" s="32" t="str">
        <f t="shared" si="123"/>
        <v>||1900|</v>
      </c>
      <c r="I3935" s="32">
        <f>IF(G3935="",0,IF(COUNTIF($G$2:G3935,G3935)=1,1,0))</f>
        <v>0</v>
      </c>
      <c r="J3935" s="32">
        <f>IF(H3935="",0,IF(COUNTIF($H$2:H3935,H3935)=1,1,0))</f>
        <v>0</v>
      </c>
    </row>
    <row r="3936" spans="1:10" ht="14.25" hidden="1" customHeight="1" x14ac:dyDescent="0.35">
      <c r="A3936" s="30"/>
      <c r="E3936" s="31"/>
      <c r="G3936" s="32" t="str">
        <f t="shared" si="122"/>
        <v>|||1900|</v>
      </c>
      <c r="H3936" s="32" t="str">
        <f t="shared" si="123"/>
        <v>||1900|</v>
      </c>
      <c r="I3936" s="32">
        <f>IF(G3936="",0,IF(COUNTIF($G$2:G3936,G3936)=1,1,0))</f>
        <v>0</v>
      </c>
      <c r="J3936" s="32">
        <f>IF(H3936="",0,IF(COUNTIF($H$2:H3936,H3936)=1,1,0))</f>
        <v>0</v>
      </c>
    </row>
    <row r="3937" spans="1:10" ht="14.25" hidden="1" customHeight="1" x14ac:dyDescent="0.35">
      <c r="A3937" s="30"/>
      <c r="E3937" s="31"/>
      <c r="G3937" s="32" t="str">
        <f t="shared" si="122"/>
        <v>|||1900|</v>
      </c>
      <c r="H3937" s="32" t="str">
        <f t="shared" si="123"/>
        <v>||1900|</v>
      </c>
      <c r="I3937" s="32">
        <f>IF(G3937="",0,IF(COUNTIF($G$2:G3937,G3937)=1,1,0))</f>
        <v>0</v>
      </c>
      <c r="J3937" s="32">
        <f>IF(H3937="",0,IF(COUNTIF($H$2:H3937,H3937)=1,1,0))</f>
        <v>0</v>
      </c>
    </row>
    <row r="3938" spans="1:10" ht="14.25" hidden="1" customHeight="1" x14ac:dyDescent="0.35">
      <c r="A3938" s="30"/>
      <c r="E3938" s="31"/>
      <c r="G3938" s="32" t="str">
        <f t="shared" si="122"/>
        <v>|||1900|</v>
      </c>
      <c r="H3938" s="32" t="str">
        <f t="shared" si="123"/>
        <v>||1900|</v>
      </c>
      <c r="I3938" s="32">
        <f>IF(G3938="",0,IF(COUNTIF($G$2:G3938,G3938)=1,1,0))</f>
        <v>0</v>
      </c>
      <c r="J3938" s="32">
        <f>IF(H3938="",0,IF(COUNTIF($H$2:H3938,H3938)=1,1,0))</f>
        <v>0</v>
      </c>
    </row>
    <row r="3939" spans="1:10" ht="14.25" hidden="1" customHeight="1" x14ac:dyDescent="0.35">
      <c r="A3939" s="30"/>
      <c r="E3939" s="31"/>
      <c r="G3939" s="32" t="str">
        <f t="shared" si="122"/>
        <v>|||1900|</v>
      </c>
      <c r="H3939" s="32" t="str">
        <f t="shared" si="123"/>
        <v>||1900|</v>
      </c>
      <c r="I3939" s="32">
        <f>IF(G3939="",0,IF(COUNTIF($G$2:G3939,G3939)=1,1,0))</f>
        <v>0</v>
      </c>
      <c r="J3939" s="32">
        <f>IF(H3939="",0,IF(COUNTIF($H$2:H3939,H3939)=1,1,0))</f>
        <v>0</v>
      </c>
    </row>
    <row r="3940" spans="1:10" ht="14.25" hidden="1" customHeight="1" x14ac:dyDescent="0.35">
      <c r="A3940" s="30"/>
      <c r="E3940" s="31"/>
      <c r="G3940" s="32" t="str">
        <f t="shared" si="122"/>
        <v>|||1900|</v>
      </c>
      <c r="H3940" s="32" t="str">
        <f t="shared" si="123"/>
        <v>||1900|</v>
      </c>
      <c r="I3940" s="32">
        <f>IF(G3940="",0,IF(COUNTIF($G$2:G3940,G3940)=1,1,0))</f>
        <v>0</v>
      </c>
      <c r="J3940" s="32">
        <f>IF(H3940="",0,IF(COUNTIF($H$2:H3940,H3940)=1,1,0))</f>
        <v>0</v>
      </c>
    </row>
    <row r="3941" spans="1:10" ht="14.25" hidden="1" customHeight="1" x14ac:dyDescent="0.35">
      <c r="A3941" s="30"/>
      <c r="E3941" s="31"/>
      <c r="G3941" s="32" t="str">
        <f t="shared" si="122"/>
        <v>|||1900|</v>
      </c>
      <c r="H3941" s="32" t="str">
        <f t="shared" si="123"/>
        <v>||1900|</v>
      </c>
      <c r="I3941" s="32">
        <f>IF(G3941="",0,IF(COUNTIF($G$2:G3941,G3941)=1,1,0))</f>
        <v>0</v>
      </c>
      <c r="J3941" s="32">
        <f>IF(H3941="",0,IF(COUNTIF($H$2:H3941,H3941)=1,1,0))</f>
        <v>0</v>
      </c>
    </row>
    <row r="3942" spans="1:10" ht="14.25" hidden="1" customHeight="1" x14ac:dyDescent="0.35">
      <c r="A3942" s="30"/>
      <c r="E3942" s="31"/>
      <c r="G3942" s="32" t="str">
        <f t="shared" si="122"/>
        <v>|||1900|</v>
      </c>
      <c r="H3942" s="32" t="str">
        <f t="shared" si="123"/>
        <v>||1900|</v>
      </c>
      <c r="I3942" s="32">
        <f>IF(G3942="",0,IF(COUNTIF($G$2:G3942,G3942)=1,1,0))</f>
        <v>0</v>
      </c>
      <c r="J3942" s="32">
        <f>IF(H3942="",0,IF(COUNTIF($H$2:H3942,H3942)=1,1,0))</f>
        <v>0</v>
      </c>
    </row>
    <row r="3943" spans="1:10" ht="14.25" hidden="1" customHeight="1" x14ac:dyDescent="0.35">
      <c r="A3943" s="30"/>
      <c r="E3943" s="31"/>
      <c r="G3943" s="32" t="str">
        <f t="shared" si="122"/>
        <v>|||1900|</v>
      </c>
      <c r="H3943" s="32" t="str">
        <f t="shared" si="123"/>
        <v>||1900|</v>
      </c>
      <c r="I3943" s="32">
        <f>IF(G3943="",0,IF(COUNTIF($G$2:G3943,G3943)=1,1,0))</f>
        <v>0</v>
      </c>
      <c r="J3943" s="32">
        <f>IF(H3943="",0,IF(COUNTIF($H$2:H3943,H3943)=1,1,0))</f>
        <v>0</v>
      </c>
    </row>
    <row r="3944" spans="1:10" ht="14.25" hidden="1" customHeight="1" x14ac:dyDescent="0.35">
      <c r="A3944" s="30"/>
      <c r="E3944" s="31"/>
      <c r="G3944" s="32" t="str">
        <f t="shared" si="122"/>
        <v>|||1900|</v>
      </c>
      <c r="H3944" s="32" t="str">
        <f t="shared" si="123"/>
        <v>||1900|</v>
      </c>
      <c r="I3944" s="32">
        <f>IF(G3944="",0,IF(COUNTIF($G$2:G3944,G3944)=1,1,0))</f>
        <v>0</v>
      </c>
      <c r="J3944" s="32">
        <f>IF(H3944="",0,IF(COUNTIF($H$2:H3944,H3944)=1,1,0))</f>
        <v>0</v>
      </c>
    </row>
    <row r="3945" spans="1:10" ht="14.25" hidden="1" customHeight="1" x14ac:dyDescent="0.35">
      <c r="A3945" s="30"/>
      <c r="E3945" s="31"/>
      <c r="G3945" s="32" t="str">
        <f t="shared" si="122"/>
        <v>|||1900|</v>
      </c>
      <c r="H3945" s="32" t="str">
        <f t="shared" si="123"/>
        <v>||1900|</v>
      </c>
      <c r="I3945" s="32">
        <f>IF(G3945="",0,IF(COUNTIF($G$2:G3945,G3945)=1,1,0))</f>
        <v>0</v>
      </c>
      <c r="J3945" s="32">
        <f>IF(H3945="",0,IF(COUNTIF($H$2:H3945,H3945)=1,1,0))</f>
        <v>0</v>
      </c>
    </row>
    <row r="3946" spans="1:10" ht="14.25" hidden="1" customHeight="1" x14ac:dyDescent="0.35">
      <c r="A3946" s="30"/>
      <c r="E3946" s="31"/>
      <c r="G3946" s="32" t="str">
        <f t="shared" si="122"/>
        <v>|||1900|</v>
      </c>
      <c r="H3946" s="32" t="str">
        <f t="shared" si="123"/>
        <v>||1900|</v>
      </c>
      <c r="I3946" s="32">
        <f>IF(G3946="",0,IF(COUNTIF($G$2:G3946,G3946)=1,1,0))</f>
        <v>0</v>
      </c>
      <c r="J3946" s="32">
        <f>IF(H3946="",0,IF(COUNTIF($H$2:H3946,H3946)=1,1,0))</f>
        <v>0</v>
      </c>
    </row>
    <row r="3947" spans="1:10" ht="14.25" hidden="1" customHeight="1" x14ac:dyDescent="0.35">
      <c r="A3947" s="30"/>
      <c r="E3947" s="31"/>
      <c r="G3947" s="32" t="str">
        <f t="shared" si="122"/>
        <v>|||1900|</v>
      </c>
      <c r="H3947" s="32" t="str">
        <f t="shared" si="123"/>
        <v>||1900|</v>
      </c>
      <c r="I3947" s="32">
        <f>IF(G3947="",0,IF(COUNTIF($G$2:G3947,G3947)=1,1,0))</f>
        <v>0</v>
      </c>
      <c r="J3947" s="32">
        <f>IF(H3947="",0,IF(COUNTIF($H$2:H3947,H3947)=1,1,0))</f>
        <v>0</v>
      </c>
    </row>
    <row r="3948" spans="1:10" ht="14.25" hidden="1" customHeight="1" x14ac:dyDescent="0.35">
      <c r="A3948" s="30"/>
      <c r="E3948" s="31"/>
      <c r="G3948" s="32" t="str">
        <f t="shared" si="122"/>
        <v>|||1900|</v>
      </c>
      <c r="H3948" s="32" t="str">
        <f t="shared" si="123"/>
        <v>||1900|</v>
      </c>
      <c r="I3948" s="32">
        <f>IF(G3948="",0,IF(COUNTIF($G$2:G3948,G3948)=1,1,0))</f>
        <v>0</v>
      </c>
      <c r="J3948" s="32">
        <f>IF(H3948="",0,IF(COUNTIF($H$2:H3948,H3948)=1,1,0))</f>
        <v>0</v>
      </c>
    </row>
    <row r="3949" spans="1:10" ht="14.25" hidden="1" customHeight="1" x14ac:dyDescent="0.35">
      <c r="A3949" s="30"/>
      <c r="E3949" s="31"/>
      <c r="G3949" s="32" t="str">
        <f t="shared" si="122"/>
        <v>|||1900|</v>
      </c>
      <c r="H3949" s="32" t="str">
        <f t="shared" si="123"/>
        <v>||1900|</v>
      </c>
      <c r="I3949" s="32">
        <f>IF(G3949="",0,IF(COUNTIF($G$2:G3949,G3949)=1,1,0))</f>
        <v>0</v>
      </c>
      <c r="J3949" s="32">
        <f>IF(H3949="",0,IF(COUNTIF($H$2:H3949,H3949)=1,1,0))</f>
        <v>0</v>
      </c>
    </row>
    <row r="3950" spans="1:10" ht="14.25" hidden="1" customHeight="1" x14ac:dyDescent="0.35">
      <c r="A3950" s="30"/>
      <c r="E3950" s="31"/>
      <c r="G3950" s="32" t="str">
        <f t="shared" si="122"/>
        <v>|||1900|</v>
      </c>
      <c r="H3950" s="32" t="str">
        <f t="shared" si="123"/>
        <v>||1900|</v>
      </c>
      <c r="I3950" s="32">
        <f>IF(G3950="",0,IF(COUNTIF($G$2:G3950,G3950)=1,1,0))</f>
        <v>0</v>
      </c>
      <c r="J3950" s="32">
        <f>IF(H3950="",0,IF(COUNTIF($H$2:H3950,H3950)=1,1,0))</f>
        <v>0</v>
      </c>
    </row>
    <row r="3951" spans="1:10" ht="14.25" hidden="1" customHeight="1" x14ac:dyDescent="0.35">
      <c r="A3951" s="30"/>
      <c r="E3951" s="31"/>
      <c r="G3951" s="32" t="str">
        <f t="shared" si="122"/>
        <v>|||1900|</v>
      </c>
      <c r="H3951" s="32" t="str">
        <f t="shared" si="123"/>
        <v>||1900|</v>
      </c>
      <c r="I3951" s="32">
        <f>IF(G3951="",0,IF(COUNTIF($G$2:G3951,G3951)=1,1,0))</f>
        <v>0</v>
      </c>
      <c r="J3951" s="32">
        <f>IF(H3951="",0,IF(COUNTIF($H$2:H3951,H3951)=1,1,0))</f>
        <v>0</v>
      </c>
    </row>
    <row r="3952" spans="1:10" ht="14.25" hidden="1" customHeight="1" x14ac:dyDescent="0.35">
      <c r="A3952" s="30"/>
      <c r="E3952" s="31"/>
      <c r="G3952" s="32" t="str">
        <f t="shared" si="122"/>
        <v>|||1900|</v>
      </c>
      <c r="H3952" s="32" t="str">
        <f t="shared" si="123"/>
        <v>||1900|</v>
      </c>
      <c r="I3952" s="32">
        <f>IF(G3952="",0,IF(COUNTIF($G$2:G3952,G3952)=1,1,0))</f>
        <v>0</v>
      </c>
      <c r="J3952" s="32">
        <f>IF(H3952="",0,IF(COUNTIF($H$2:H3952,H3952)=1,1,0))</f>
        <v>0</v>
      </c>
    </row>
    <row r="3953" spans="1:10" ht="14.25" hidden="1" customHeight="1" x14ac:dyDescent="0.35">
      <c r="A3953" s="30"/>
      <c r="E3953" s="31"/>
      <c r="G3953" s="32" t="str">
        <f t="shared" si="122"/>
        <v>|||1900|</v>
      </c>
      <c r="H3953" s="32" t="str">
        <f t="shared" si="123"/>
        <v>||1900|</v>
      </c>
      <c r="I3953" s="32">
        <f>IF(G3953="",0,IF(COUNTIF($G$2:G3953,G3953)=1,1,0))</f>
        <v>0</v>
      </c>
      <c r="J3953" s="32">
        <f>IF(H3953="",0,IF(COUNTIF($H$2:H3953,H3953)=1,1,0))</f>
        <v>0</v>
      </c>
    </row>
    <row r="3954" spans="1:10" ht="14.25" hidden="1" customHeight="1" x14ac:dyDescent="0.35">
      <c r="A3954" s="30"/>
      <c r="E3954" s="31"/>
      <c r="G3954" s="32" t="str">
        <f t="shared" si="122"/>
        <v>|||1900|</v>
      </c>
      <c r="H3954" s="32" t="str">
        <f t="shared" si="123"/>
        <v>||1900|</v>
      </c>
      <c r="I3954" s="32">
        <f>IF(G3954="",0,IF(COUNTIF($G$2:G3954,G3954)=1,1,0))</f>
        <v>0</v>
      </c>
      <c r="J3954" s="32">
        <f>IF(H3954="",0,IF(COUNTIF($H$2:H3954,H3954)=1,1,0))</f>
        <v>0</v>
      </c>
    </row>
    <row r="3955" spans="1:10" ht="14.25" hidden="1" customHeight="1" x14ac:dyDescent="0.35">
      <c r="A3955" s="30"/>
      <c r="E3955" s="31"/>
      <c r="G3955" s="32" t="str">
        <f t="shared" si="122"/>
        <v>|||1900|</v>
      </c>
      <c r="H3955" s="32" t="str">
        <f t="shared" si="123"/>
        <v>||1900|</v>
      </c>
      <c r="I3955" s="32">
        <f>IF(G3955="",0,IF(COUNTIF($G$2:G3955,G3955)=1,1,0))</f>
        <v>0</v>
      </c>
      <c r="J3955" s="32">
        <f>IF(H3955="",0,IF(COUNTIF($H$2:H3955,H3955)=1,1,0))</f>
        <v>0</v>
      </c>
    </row>
    <row r="3956" spans="1:10" ht="14.25" hidden="1" customHeight="1" x14ac:dyDescent="0.35">
      <c r="A3956" s="30"/>
      <c r="E3956" s="31"/>
      <c r="G3956" s="32" t="str">
        <f t="shared" si="122"/>
        <v>|||1900|</v>
      </c>
      <c r="H3956" s="32" t="str">
        <f t="shared" si="123"/>
        <v>||1900|</v>
      </c>
      <c r="I3956" s="32">
        <f>IF(G3956="",0,IF(COUNTIF($G$2:G3956,G3956)=1,1,0))</f>
        <v>0</v>
      </c>
      <c r="J3956" s="32">
        <f>IF(H3956="",0,IF(COUNTIF($H$2:H3956,H3956)=1,1,0))</f>
        <v>0</v>
      </c>
    </row>
    <row r="3957" spans="1:10" ht="14.25" hidden="1" customHeight="1" x14ac:dyDescent="0.35">
      <c r="A3957" s="30"/>
      <c r="E3957" s="31"/>
      <c r="G3957" s="32" t="str">
        <f t="shared" si="122"/>
        <v>|||1900|</v>
      </c>
      <c r="H3957" s="32" t="str">
        <f t="shared" si="123"/>
        <v>||1900|</v>
      </c>
      <c r="I3957" s="32">
        <f>IF(G3957="",0,IF(COUNTIF($G$2:G3957,G3957)=1,1,0))</f>
        <v>0</v>
      </c>
      <c r="J3957" s="32">
        <f>IF(H3957="",0,IF(COUNTIF($H$2:H3957,H3957)=1,1,0))</f>
        <v>0</v>
      </c>
    </row>
    <row r="3958" spans="1:10" ht="14.25" hidden="1" customHeight="1" x14ac:dyDescent="0.35">
      <c r="A3958" s="30"/>
      <c r="E3958" s="31"/>
      <c r="G3958" s="32" t="str">
        <f t="shared" si="122"/>
        <v>|||1900|</v>
      </c>
      <c r="H3958" s="32" t="str">
        <f t="shared" si="123"/>
        <v>||1900|</v>
      </c>
      <c r="I3958" s="32">
        <f>IF(G3958="",0,IF(COUNTIF($G$2:G3958,G3958)=1,1,0))</f>
        <v>0</v>
      </c>
      <c r="J3958" s="32">
        <f>IF(H3958="",0,IF(COUNTIF($H$2:H3958,H3958)=1,1,0))</f>
        <v>0</v>
      </c>
    </row>
    <row r="3959" spans="1:10" ht="14.25" hidden="1" customHeight="1" x14ac:dyDescent="0.35">
      <c r="A3959" s="30"/>
      <c r="E3959" s="31"/>
      <c r="G3959" s="32" t="str">
        <f t="shared" si="122"/>
        <v>|||1900|</v>
      </c>
      <c r="H3959" s="32" t="str">
        <f t="shared" si="123"/>
        <v>||1900|</v>
      </c>
      <c r="I3959" s="32">
        <f>IF(G3959="",0,IF(COUNTIF($G$2:G3959,G3959)=1,1,0))</f>
        <v>0</v>
      </c>
      <c r="J3959" s="32">
        <f>IF(H3959="",0,IF(COUNTIF($H$2:H3959,H3959)=1,1,0))</f>
        <v>0</v>
      </c>
    </row>
    <row r="3960" spans="1:10" ht="14.25" hidden="1" customHeight="1" x14ac:dyDescent="0.35">
      <c r="A3960" s="30"/>
      <c r="E3960" s="31"/>
      <c r="G3960" s="32" t="str">
        <f t="shared" si="122"/>
        <v>|||1900|</v>
      </c>
      <c r="H3960" s="32" t="str">
        <f t="shared" si="123"/>
        <v>||1900|</v>
      </c>
      <c r="I3960" s="32">
        <f>IF(G3960="",0,IF(COUNTIF($G$2:G3960,G3960)=1,1,0))</f>
        <v>0</v>
      </c>
      <c r="J3960" s="32">
        <f>IF(H3960="",0,IF(COUNTIF($H$2:H3960,H3960)=1,1,0))</f>
        <v>0</v>
      </c>
    </row>
    <row r="3961" spans="1:10" ht="14.25" hidden="1" customHeight="1" x14ac:dyDescent="0.35">
      <c r="A3961" s="30"/>
      <c r="E3961" s="31"/>
      <c r="G3961" s="32" t="str">
        <f t="shared" si="122"/>
        <v>|||1900|</v>
      </c>
      <c r="H3961" s="32" t="str">
        <f t="shared" si="123"/>
        <v>||1900|</v>
      </c>
      <c r="I3961" s="32">
        <f>IF(G3961="",0,IF(COUNTIF($G$2:G3961,G3961)=1,1,0))</f>
        <v>0</v>
      </c>
      <c r="J3961" s="32">
        <f>IF(H3961="",0,IF(COUNTIF($H$2:H3961,H3961)=1,1,0))</f>
        <v>0</v>
      </c>
    </row>
    <row r="3962" spans="1:10" ht="14.25" hidden="1" customHeight="1" x14ac:dyDescent="0.35">
      <c r="A3962" s="30"/>
      <c r="E3962" s="31"/>
      <c r="G3962" s="32" t="str">
        <f t="shared" si="122"/>
        <v>|||1900|</v>
      </c>
      <c r="H3962" s="32" t="str">
        <f t="shared" si="123"/>
        <v>||1900|</v>
      </c>
      <c r="I3962" s="32">
        <f>IF(G3962="",0,IF(COUNTIF($G$2:G3962,G3962)=1,1,0))</f>
        <v>0</v>
      </c>
      <c r="J3962" s="32">
        <f>IF(H3962="",0,IF(COUNTIF($H$2:H3962,H3962)=1,1,0))</f>
        <v>0</v>
      </c>
    </row>
    <row r="3963" spans="1:10" ht="14.25" hidden="1" customHeight="1" x14ac:dyDescent="0.35">
      <c r="A3963" s="30"/>
      <c r="E3963" s="31"/>
      <c r="G3963" s="32" t="str">
        <f t="shared" si="122"/>
        <v>|||1900|</v>
      </c>
      <c r="H3963" s="32" t="str">
        <f t="shared" si="123"/>
        <v>||1900|</v>
      </c>
      <c r="I3963" s="32">
        <f>IF(G3963="",0,IF(COUNTIF($G$2:G3963,G3963)=1,1,0))</f>
        <v>0</v>
      </c>
      <c r="J3963" s="32">
        <f>IF(H3963="",0,IF(COUNTIF($H$2:H3963,H3963)=1,1,0))</f>
        <v>0</v>
      </c>
    </row>
    <row r="3964" spans="1:10" ht="14.25" hidden="1" customHeight="1" x14ac:dyDescent="0.35">
      <c r="A3964" s="30"/>
      <c r="E3964" s="31"/>
      <c r="G3964" s="32" t="str">
        <f t="shared" si="122"/>
        <v>|||1900|</v>
      </c>
      <c r="H3964" s="32" t="str">
        <f t="shared" si="123"/>
        <v>||1900|</v>
      </c>
      <c r="I3964" s="32">
        <f>IF(G3964="",0,IF(COUNTIF($G$2:G3964,G3964)=1,1,0))</f>
        <v>0</v>
      </c>
      <c r="J3964" s="32">
        <f>IF(H3964="",0,IF(COUNTIF($H$2:H3964,H3964)=1,1,0))</f>
        <v>0</v>
      </c>
    </row>
    <row r="3965" spans="1:10" ht="14.25" hidden="1" customHeight="1" x14ac:dyDescent="0.35">
      <c r="A3965" s="30"/>
      <c r="E3965" s="31"/>
      <c r="G3965" s="32" t="str">
        <f t="shared" si="122"/>
        <v>|||1900|</v>
      </c>
      <c r="H3965" s="32" t="str">
        <f t="shared" si="123"/>
        <v>||1900|</v>
      </c>
      <c r="I3965" s="32">
        <f>IF(G3965="",0,IF(COUNTIF($G$2:G3965,G3965)=1,1,0))</f>
        <v>0</v>
      </c>
      <c r="J3965" s="32">
        <f>IF(H3965="",0,IF(COUNTIF($H$2:H3965,H3965)=1,1,0))</f>
        <v>0</v>
      </c>
    </row>
    <row r="3966" spans="1:10" ht="14.25" hidden="1" customHeight="1" x14ac:dyDescent="0.35">
      <c r="A3966" s="30"/>
      <c r="E3966" s="31"/>
      <c r="G3966" s="32" t="str">
        <f t="shared" si="122"/>
        <v>|||1900|</v>
      </c>
      <c r="H3966" s="32" t="str">
        <f t="shared" si="123"/>
        <v>||1900|</v>
      </c>
      <c r="I3966" s="32">
        <f>IF(G3966="",0,IF(COUNTIF($G$2:G3966,G3966)=1,1,0))</f>
        <v>0</v>
      </c>
      <c r="J3966" s="32">
        <f>IF(H3966="",0,IF(COUNTIF($H$2:H3966,H3966)=1,1,0))</f>
        <v>0</v>
      </c>
    </row>
    <row r="3967" spans="1:10" ht="14.25" hidden="1" customHeight="1" x14ac:dyDescent="0.35">
      <c r="A3967" s="30"/>
      <c r="E3967" s="31"/>
      <c r="G3967" s="32" t="str">
        <f t="shared" si="122"/>
        <v>|||1900|</v>
      </c>
      <c r="H3967" s="32" t="str">
        <f t="shared" si="123"/>
        <v>||1900|</v>
      </c>
      <c r="I3967" s="32">
        <f>IF(G3967="",0,IF(COUNTIF($G$2:G3967,G3967)=1,1,0))</f>
        <v>0</v>
      </c>
      <c r="J3967" s="32">
        <f>IF(H3967="",0,IF(COUNTIF($H$2:H3967,H3967)=1,1,0))</f>
        <v>0</v>
      </c>
    </row>
    <row r="3968" spans="1:10" ht="14.25" hidden="1" customHeight="1" x14ac:dyDescent="0.35">
      <c r="A3968" s="30"/>
      <c r="E3968" s="31"/>
      <c r="G3968" s="32" t="str">
        <f t="shared" si="122"/>
        <v>|||1900|</v>
      </c>
      <c r="H3968" s="32" t="str">
        <f t="shared" si="123"/>
        <v>||1900|</v>
      </c>
      <c r="I3968" s="32">
        <f>IF(G3968="",0,IF(COUNTIF($G$2:G3968,G3968)=1,1,0))</f>
        <v>0</v>
      </c>
      <c r="J3968" s="32">
        <f>IF(H3968="",0,IF(COUNTIF($H$2:H3968,H3968)=1,1,0))</f>
        <v>0</v>
      </c>
    </row>
    <row r="3969" spans="1:10" ht="14.25" hidden="1" customHeight="1" x14ac:dyDescent="0.35">
      <c r="A3969" s="30"/>
      <c r="E3969" s="31"/>
      <c r="G3969" s="32" t="str">
        <f t="shared" si="122"/>
        <v>|||1900|</v>
      </c>
      <c r="H3969" s="32" t="str">
        <f t="shared" si="123"/>
        <v>||1900|</v>
      </c>
      <c r="I3969" s="32">
        <f>IF(G3969="",0,IF(COUNTIF($G$2:G3969,G3969)=1,1,0))</f>
        <v>0</v>
      </c>
      <c r="J3969" s="32">
        <f>IF(H3969="",0,IF(COUNTIF($H$2:H3969,H3969)=1,1,0))</f>
        <v>0</v>
      </c>
    </row>
    <row r="3970" spans="1:10" ht="14.25" hidden="1" customHeight="1" x14ac:dyDescent="0.35">
      <c r="A3970" s="30"/>
      <c r="E3970" s="31"/>
      <c r="G3970" s="32" t="str">
        <f t="shared" ref="G3970:G4033" si="124">IF(D3970="T",
E3970&amp;"|"&amp;F3970,
A3970&amp;"|"&amp;B3970&amp;"|"&amp;C3970&amp;"|"&amp;YEAR(E3970)&amp;"|"&amp;F3970)</f>
        <v>|||1900|</v>
      </c>
      <c r="H3970" s="32" t="str">
        <f t="shared" ref="H3970:H4033" si="125">A3970&amp;"|"&amp;C3970&amp;"|"&amp;YEAR(E3970)&amp;"|"&amp;F3970</f>
        <v>||1900|</v>
      </c>
      <c r="I3970" s="32">
        <f>IF(G3970="",0,IF(COUNTIF($G$2:G3970,G3970)=1,1,0))</f>
        <v>0</v>
      </c>
      <c r="J3970" s="32">
        <f>IF(H3970="",0,IF(COUNTIF($H$2:H3970,H3970)=1,1,0))</f>
        <v>0</v>
      </c>
    </row>
    <row r="3971" spans="1:10" ht="14.25" hidden="1" customHeight="1" x14ac:dyDescent="0.35">
      <c r="A3971" s="30"/>
      <c r="E3971" s="31"/>
      <c r="G3971" s="32" t="str">
        <f t="shared" si="124"/>
        <v>|||1900|</v>
      </c>
      <c r="H3971" s="32" t="str">
        <f t="shared" si="125"/>
        <v>||1900|</v>
      </c>
      <c r="I3971" s="32">
        <f>IF(G3971="",0,IF(COUNTIF($G$2:G3971,G3971)=1,1,0))</f>
        <v>0</v>
      </c>
      <c r="J3971" s="32">
        <f>IF(H3971="",0,IF(COUNTIF($H$2:H3971,H3971)=1,1,0))</f>
        <v>0</v>
      </c>
    </row>
    <row r="3972" spans="1:10" ht="14.25" hidden="1" customHeight="1" x14ac:dyDescent="0.35">
      <c r="A3972" s="30"/>
      <c r="E3972" s="31"/>
      <c r="G3972" s="32" t="str">
        <f t="shared" si="124"/>
        <v>|||1900|</v>
      </c>
      <c r="H3972" s="32" t="str">
        <f t="shared" si="125"/>
        <v>||1900|</v>
      </c>
      <c r="I3972" s="32">
        <f>IF(G3972="",0,IF(COUNTIF($G$2:G3972,G3972)=1,1,0))</f>
        <v>0</v>
      </c>
      <c r="J3972" s="32">
        <f>IF(H3972="",0,IF(COUNTIF($H$2:H3972,H3972)=1,1,0))</f>
        <v>0</v>
      </c>
    </row>
    <row r="3973" spans="1:10" ht="14.25" hidden="1" customHeight="1" x14ac:dyDescent="0.35">
      <c r="A3973" s="30"/>
      <c r="E3973" s="31"/>
      <c r="G3973" s="32" t="str">
        <f t="shared" si="124"/>
        <v>|||1900|</v>
      </c>
      <c r="H3973" s="32" t="str">
        <f t="shared" si="125"/>
        <v>||1900|</v>
      </c>
      <c r="I3973" s="32">
        <f>IF(G3973="",0,IF(COUNTIF($G$2:G3973,G3973)=1,1,0))</f>
        <v>0</v>
      </c>
      <c r="J3973" s="32">
        <f>IF(H3973="",0,IF(COUNTIF($H$2:H3973,H3973)=1,1,0))</f>
        <v>0</v>
      </c>
    </row>
    <row r="3974" spans="1:10" ht="14.25" hidden="1" customHeight="1" x14ac:dyDescent="0.35">
      <c r="A3974" s="30"/>
      <c r="E3974" s="31"/>
      <c r="G3974" s="32" t="str">
        <f t="shared" si="124"/>
        <v>|||1900|</v>
      </c>
      <c r="H3974" s="32" t="str">
        <f t="shared" si="125"/>
        <v>||1900|</v>
      </c>
      <c r="I3974" s="32">
        <f>IF(G3974="",0,IF(COUNTIF($G$2:G3974,G3974)=1,1,0))</f>
        <v>0</v>
      </c>
      <c r="J3974" s="32">
        <f>IF(H3974="",0,IF(COUNTIF($H$2:H3974,H3974)=1,1,0))</f>
        <v>0</v>
      </c>
    </row>
    <row r="3975" spans="1:10" ht="14.25" hidden="1" customHeight="1" x14ac:dyDescent="0.35">
      <c r="A3975" s="30"/>
      <c r="E3975" s="31"/>
      <c r="G3975" s="32" t="str">
        <f t="shared" si="124"/>
        <v>|||1900|</v>
      </c>
      <c r="H3975" s="32" t="str">
        <f t="shared" si="125"/>
        <v>||1900|</v>
      </c>
      <c r="I3975" s="32">
        <f>IF(G3975="",0,IF(COUNTIF($G$2:G3975,G3975)=1,1,0))</f>
        <v>0</v>
      </c>
      <c r="J3975" s="32">
        <f>IF(H3975="",0,IF(COUNTIF($H$2:H3975,H3975)=1,1,0))</f>
        <v>0</v>
      </c>
    </row>
    <row r="3976" spans="1:10" ht="14.25" hidden="1" customHeight="1" x14ac:dyDescent="0.35">
      <c r="A3976" s="30"/>
      <c r="E3976" s="31"/>
      <c r="G3976" s="32" t="str">
        <f t="shared" si="124"/>
        <v>|||1900|</v>
      </c>
      <c r="H3976" s="32" t="str">
        <f t="shared" si="125"/>
        <v>||1900|</v>
      </c>
      <c r="I3976" s="32">
        <f>IF(G3976="",0,IF(COUNTIF($G$2:G3976,G3976)=1,1,0))</f>
        <v>0</v>
      </c>
      <c r="J3976" s="32">
        <f>IF(H3976="",0,IF(COUNTIF($H$2:H3976,H3976)=1,1,0))</f>
        <v>0</v>
      </c>
    </row>
    <row r="3977" spans="1:10" ht="14.25" hidden="1" customHeight="1" x14ac:dyDescent="0.35">
      <c r="A3977" s="30"/>
      <c r="E3977" s="31"/>
      <c r="G3977" s="32" t="str">
        <f t="shared" si="124"/>
        <v>|||1900|</v>
      </c>
      <c r="H3977" s="32" t="str">
        <f t="shared" si="125"/>
        <v>||1900|</v>
      </c>
      <c r="I3977" s="32">
        <f>IF(G3977="",0,IF(COUNTIF($G$2:G3977,G3977)=1,1,0))</f>
        <v>0</v>
      </c>
      <c r="J3977" s="32">
        <f>IF(H3977="",0,IF(COUNTIF($H$2:H3977,H3977)=1,1,0))</f>
        <v>0</v>
      </c>
    </row>
    <row r="3978" spans="1:10" ht="14.25" hidden="1" customHeight="1" x14ac:dyDescent="0.35">
      <c r="A3978" s="30"/>
      <c r="E3978" s="31"/>
      <c r="G3978" s="32" t="str">
        <f t="shared" si="124"/>
        <v>|||1900|</v>
      </c>
      <c r="H3978" s="32" t="str">
        <f t="shared" si="125"/>
        <v>||1900|</v>
      </c>
      <c r="I3978" s="32">
        <f>IF(G3978="",0,IF(COUNTIF($G$2:G3978,G3978)=1,1,0))</f>
        <v>0</v>
      </c>
      <c r="J3978" s="32">
        <f>IF(H3978="",0,IF(COUNTIF($H$2:H3978,H3978)=1,1,0))</f>
        <v>0</v>
      </c>
    </row>
    <row r="3979" spans="1:10" ht="14.25" hidden="1" customHeight="1" x14ac:dyDescent="0.35">
      <c r="A3979" s="30"/>
      <c r="E3979" s="31"/>
      <c r="G3979" s="32" t="str">
        <f t="shared" si="124"/>
        <v>|||1900|</v>
      </c>
      <c r="H3979" s="32" t="str">
        <f t="shared" si="125"/>
        <v>||1900|</v>
      </c>
      <c r="I3979" s="32">
        <f>IF(G3979="",0,IF(COUNTIF($G$2:G3979,G3979)=1,1,0))</f>
        <v>0</v>
      </c>
      <c r="J3979" s="32">
        <f>IF(H3979="",0,IF(COUNTIF($H$2:H3979,H3979)=1,1,0))</f>
        <v>0</v>
      </c>
    </row>
    <row r="3980" spans="1:10" ht="14.25" hidden="1" customHeight="1" x14ac:dyDescent="0.35">
      <c r="A3980" s="30"/>
      <c r="E3980" s="31"/>
      <c r="G3980" s="32" t="str">
        <f t="shared" si="124"/>
        <v>|||1900|</v>
      </c>
      <c r="H3980" s="32" t="str">
        <f t="shared" si="125"/>
        <v>||1900|</v>
      </c>
      <c r="I3980" s="32">
        <f>IF(G3980="",0,IF(COUNTIF($G$2:G3980,G3980)=1,1,0))</f>
        <v>0</v>
      </c>
      <c r="J3980" s="32">
        <f>IF(H3980="",0,IF(COUNTIF($H$2:H3980,H3980)=1,1,0))</f>
        <v>0</v>
      </c>
    </row>
    <row r="3981" spans="1:10" ht="14.25" hidden="1" customHeight="1" x14ac:dyDescent="0.35">
      <c r="A3981" s="30"/>
      <c r="E3981" s="31"/>
      <c r="G3981" s="32" t="str">
        <f t="shared" si="124"/>
        <v>|||1900|</v>
      </c>
      <c r="H3981" s="32" t="str">
        <f t="shared" si="125"/>
        <v>||1900|</v>
      </c>
      <c r="I3981" s="32">
        <f>IF(G3981="",0,IF(COUNTIF($G$2:G3981,G3981)=1,1,0))</f>
        <v>0</v>
      </c>
      <c r="J3981" s="32">
        <f>IF(H3981="",0,IF(COUNTIF($H$2:H3981,H3981)=1,1,0))</f>
        <v>0</v>
      </c>
    </row>
    <row r="3982" spans="1:10" ht="14.25" hidden="1" customHeight="1" x14ac:dyDescent="0.35">
      <c r="A3982" s="30"/>
      <c r="E3982" s="31"/>
      <c r="G3982" s="32" t="str">
        <f t="shared" si="124"/>
        <v>|||1900|</v>
      </c>
      <c r="H3982" s="32" t="str">
        <f t="shared" si="125"/>
        <v>||1900|</v>
      </c>
      <c r="I3982" s="32">
        <f>IF(G3982="",0,IF(COUNTIF($G$2:G3982,G3982)=1,1,0))</f>
        <v>0</v>
      </c>
      <c r="J3982" s="32">
        <f>IF(H3982="",0,IF(COUNTIF($H$2:H3982,H3982)=1,1,0))</f>
        <v>0</v>
      </c>
    </row>
    <row r="3983" spans="1:10" ht="14.25" hidden="1" customHeight="1" x14ac:dyDescent="0.35">
      <c r="A3983" s="30"/>
      <c r="E3983" s="31"/>
      <c r="G3983" s="32" t="str">
        <f t="shared" si="124"/>
        <v>|||1900|</v>
      </c>
      <c r="H3983" s="32" t="str">
        <f t="shared" si="125"/>
        <v>||1900|</v>
      </c>
      <c r="I3983" s="32">
        <f>IF(G3983="",0,IF(COUNTIF($G$2:G3983,G3983)=1,1,0))</f>
        <v>0</v>
      </c>
      <c r="J3983" s="32">
        <f>IF(H3983="",0,IF(COUNTIF($H$2:H3983,H3983)=1,1,0))</f>
        <v>0</v>
      </c>
    </row>
    <row r="3984" spans="1:10" ht="14.25" hidden="1" customHeight="1" x14ac:dyDescent="0.35">
      <c r="A3984" s="30"/>
      <c r="E3984" s="31"/>
      <c r="G3984" s="32" t="str">
        <f t="shared" si="124"/>
        <v>|||1900|</v>
      </c>
      <c r="H3984" s="32" t="str">
        <f t="shared" si="125"/>
        <v>||1900|</v>
      </c>
      <c r="I3984" s="32">
        <f>IF(G3984="",0,IF(COUNTIF($G$2:G3984,G3984)=1,1,0))</f>
        <v>0</v>
      </c>
      <c r="J3984" s="32">
        <f>IF(H3984="",0,IF(COUNTIF($H$2:H3984,H3984)=1,1,0))</f>
        <v>0</v>
      </c>
    </row>
    <row r="3985" spans="1:10" ht="14.25" hidden="1" customHeight="1" x14ac:dyDescent="0.35">
      <c r="A3985" s="30"/>
      <c r="E3985" s="31"/>
      <c r="G3985" s="32" t="str">
        <f t="shared" si="124"/>
        <v>|||1900|</v>
      </c>
      <c r="H3985" s="32" t="str">
        <f t="shared" si="125"/>
        <v>||1900|</v>
      </c>
      <c r="I3985" s="32">
        <f>IF(G3985="",0,IF(COUNTIF($G$2:G3985,G3985)=1,1,0))</f>
        <v>0</v>
      </c>
      <c r="J3985" s="32">
        <f>IF(H3985="",0,IF(COUNTIF($H$2:H3985,H3985)=1,1,0))</f>
        <v>0</v>
      </c>
    </row>
    <row r="3986" spans="1:10" ht="14.25" hidden="1" customHeight="1" x14ac:dyDescent="0.35">
      <c r="A3986" s="30"/>
      <c r="E3986" s="31"/>
      <c r="G3986" s="32" t="str">
        <f t="shared" si="124"/>
        <v>|||1900|</v>
      </c>
      <c r="H3986" s="32" t="str">
        <f t="shared" si="125"/>
        <v>||1900|</v>
      </c>
      <c r="I3986" s="32">
        <f>IF(G3986="",0,IF(COUNTIF($G$2:G3986,G3986)=1,1,0))</f>
        <v>0</v>
      </c>
      <c r="J3986" s="32">
        <f>IF(H3986="",0,IF(COUNTIF($H$2:H3986,H3986)=1,1,0))</f>
        <v>0</v>
      </c>
    </row>
    <row r="3987" spans="1:10" ht="14.25" hidden="1" customHeight="1" x14ac:dyDescent="0.35">
      <c r="A3987" s="30"/>
      <c r="E3987" s="31"/>
      <c r="G3987" s="32" t="str">
        <f t="shared" si="124"/>
        <v>|||1900|</v>
      </c>
      <c r="H3987" s="32" t="str">
        <f t="shared" si="125"/>
        <v>||1900|</v>
      </c>
      <c r="I3987" s="32">
        <f>IF(G3987="",0,IF(COUNTIF($G$2:G3987,G3987)=1,1,0))</f>
        <v>0</v>
      </c>
      <c r="J3987" s="32">
        <f>IF(H3987="",0,IF(COUNTIF($H$2:H3987,H3987)=1,1,0))</f>
        <v>0</v>
      </c>
    </row>
    <row r="3988" spans="1:10" ht="14.25" hidden="1" customHeight="1" x14ac:dyDescent="0.35">
      <c r="A3988" s="30"/>
      <c r="E3988" s="31"/>
      <c r="G3988" s="32" t="str">
        <f t="shared" si="124"/>
        <v>|||1900|</v>
      </c>
      <c r="H3988" s="32" t="str">
        <f t="shared" si="125"/>
        <v>||1900|</v>
      </c>
      <c r="I3988" s="32">
        <f>IF(G3988="",0,IF(COUNTIF($G$2:G3988,G3988)=1,1,0))</f>
        <v>0</v>
      </c>
      <c r="J3988" s="32">
        <f>IF(H3988="",0,IF(COUNTIF($H$2:H3988,H3988)=1,1,0))</f>
        <v>0</v>
      </c>
    </row>
    <row r="3989" spans="1:10" ht="14.25" hidden="1" customHeight="1" x14ac:dyDescent="0.35">
      <c r="A3989" s="30"/>
      <c r="E3989" s="31"/>
      <c r="G3989" s="32" t="str">
        <f t="shared" si="124"/>
        <v>|||1900|</v>
      </c>
      <c r="H3989" s="32" t="str">
        <f t="shared" si="125"/>
        <v>||1900|</v>
      </c>
      <c r="I3989" s="32">
        <f>IF(G3989="",0,IF(COUNTIF($G$2:G3989,G3989)=1,1,0))</f>
        <v>0</v>
      </c>
      <c r="J3989" s="32">
        <f>IF(H3989="",0,IF(COUNTIF($H$2:H3989,H3989)=1,1,0))</f>
        <v>0</v>
      </c>
    </row>
    <row r="3990" spans="1:10" ht="14.25" hidden="1" customHeight="1" x14ac:dyDescent="0.35">
      <c r="A3990" s="30"/>
      <c r="E3990" s="31"/>
      <c r="G3990" s="32" t="str">
        <f t="shared" si="124"/>
        <v>|||1900|</v>
      </c>
      <c r="H3990" s="32" t="str">
        <f t="shared" si="125"/>
        <v>||1900|</v>
      </c>
      <c r="I3990" s="32">
        <f>IF(G3990="",0,IF(COUNTIF($G$2:G3990,G3990)=1,1,0))</f>
        <v>0</v>
      </c>
      <c r="J3990" s="32">
        <f>IF(H3990="",0,IF(COUNTIF($H$2:H3990,H3990)=1,1,0))</f>
        <v>0</v>
      </c>
    </row>
    <row r="3991" spans="1:10" ht="14.25" hidden="1" customHeight="1" x14ac:dyDescent="0.35">
      <c r="A3991" s="30"/>
      <c r="E3991" s="31"/>
      <c r="G3991" s="32" t="str">
        <f t="shared" si="124"/>
        <v>|||1900|</v>
      </c>
      <c r="H3991" s="32" t="str">
        <f t="shared" si="125"/>
        <v>||1900|</v>
      </c>
      <c r="I3991" s="32">
        <f>IF(G3991="",0,IF(COUNTIF($G$2:G3991,G3991)=1,1,0))</f>
        <v>0</v>
      </c>
      <c r="J3991" s="32">
        <f>IF(H3991="",0,IF(COUNTIF($H$2:H3991,H3991)=1,1,0))</f>
        <v>0</v>
      </c>
    </row>
    <row r="3992" spans="1:10" ht="14.25" hidden="1" customHeight="1" x14ac:dyDescent="0.35">
      <c r="A3992" s="30"/>
      <c r="E3992" s="31"/>
      <c r="G3992" s="32" t="str">
        <f t="shared" si="124"/>
        <v>|||1900|</v>
      </c>
      <c r="H3992" s="32" t="str">
        <f t="shared" si="125"/>
        <v>||1900|</v>
      </c>
      <c r="I3992" s="32">
        <f>IF(G3992="",0,IF(COUNTIF($G$2:G3992,G3992)=1,1,0))</f>
        <v>0</v>
      </c>
      <c r="J3992" s="32">
        <f>IF(H3992="",0,IF(COUNTIF($H$2:H3992,H3992)=1,1,0))</f>
        <v>0</v>
      </c>
    </row>
    <row r="3993" spans="1:10" ht="14.25" hidden="1" customHeight="1" x14ac:dyDescent="0.35">
      <c r="A3993" s="30"/>
      <c r="E3993" s="31"/>
      <c r="G3993" s="32" t="str">
        <f t="shared" si="124"/>
        <v>|||1900|</v>
      </c>
      <c r="H3993" s="32" t="str">
        <f t="shared" si="125"/>
        <v>||1900|</v>
      </c>
      <c r="I3993" s="32">
        <f>IF(G3993="",0,IF(COUNTIF($G$2:G3993,G3993)=1,1,0))</f>
        <v>0</v>
      </c>
      <c r="J3993" s="32">
        <f>IF(H3993="",0,IF(COUNTIF($H$2:H3993,H3993)=1,1,0))</f>
        <v>0</v>
      </c>
    </row>
    <row r="3994" spans="1:10" ht="14.25" hidden="1" customHeight="1" x14ac:dyDescent="0.35">
      <c r="A3994" s="30"/>
      <c r="E3994" s="31"/>
      <c r="G3994" s="32" t="str">
        <f t="shared" si="124"/>
        <v>|||1900|</v>
      </c>
      <c r="H3994" s="32" t="str">
        <f t="shared" si="125"/>
        <v>||1900|</v>
      </c>
      <c r="I3994" s="32">
        <f>IF(G3994="",0,IF(COUNTIF($G$2:G3994,G3994)=1,1,0))</f>
        <v>0</v>
      </c>
      <c r="J3994" s="32">
        <f>IF(H3994="",0,IF(COUNTIF($H$2:H3994,H3994)=1,1,0))</f>
        <v>0</v>
      </c>
    </row>
    <row r="3995" spans="1:10" ht="14.25" hidden="1" customHeight="1" x14ac:dyDescent="0.35">
      <c r="A3995" s="30"/>
      <c r="E3995" s="31"/>
      <c r="G3995" s="32" t="str">
        <f t="shared" si="124"/>
        <v>|||1900|</v>
      </c>
      <c r="H3995" s="32" t="str">
        <f t="shared" si="125"/>
        <v>||1900|</v>
      </c>
      <c r="I3995" s="32">
        <f>IF(G3995="",0,IF(COUNTIF($G$2:G3995,G3995)=1,1,0))</f>
        <v>0</v>
      </c>
      <c r="J3995" s="32">
        <f>IF(H3995="",0,IF(COUNTIF($H$2:H3995,H3995)=1,1,0))</f>
        <v>0</v>
      </c>
    </row>
    <row r="3996" spans="1:10" ht="14.25" hidden="1" customHeight="1" x14ac:dyDescent="0.35">
      <c r="A3996" s="30"/>
      <c r="E3996" s="31"/>
      <c r="G3996" s="32" t="str">
        <f t="shared" si="124"/>
        <v>|||1900|</v>
      </c>
      <c r="H3996" s="32" t="str">
        <f t="shared" si="125"/>
        <v>||1900|</v>
      </c>
      <c r="I3996" s="32">
        <f>IF(G3996="",0,IF(COUNTIF($G$2:G3996,G3996)=1,1,0))</f>
        <v>0</v>
      </c>
      <c r="J3996" s="32">
        <f>IF(H3996="",0,IF(COUNTIF($H$2:H3996,H3996)=1,1,0))</f>
        <v>0</v>
      </c>
    </row>
    <row r="3997" spans="1:10" ht="14.25" hidden="1" customHeight="1" x14ac:dyDescent="0.35">
      <c r="A3997" s="30"/>
      <c r="E3997" s="31"/>
      <c r="G3997" s="32" t="str">
        <f t="shared" si="124"/>
        <v>|||1900|</v>
      </c>
      <c r="H3997" s="32" t="str">
        <f t="shared" si="125"/>
        <v>||1900|</v>
      </c>
      <c r="I3997" s="32">
        <f>IF(G3997="",0,IF(COUNTIF($G$2:G3997,G3997)=1,1,0))</f>
        <v>0</v>
      </c>
      <c r="J3997" s="32">
        <f>IF(H3997="",0,IF(COUNTIF($H$2:H3997,H3997)=1,1,0))</f>
        <v>0</v>
      </c>
    </row>
    <row r="3998" spans="1:10" ht="14.25" hidden="1" customHeight="1" x14ac:dyDescent="0.35">
      <c r="A3998" s="30"/>
      <c r="E3998" s="31"/>
      <c r="G3998" s="32" t="str">
        <f t="shared" si="124"/>
        <v>|||1900|</v>
      </c>
      <c r="H3998" s="32" t="str">
        <f t="shared" si="125"/>
        <v>||1900|</v>
      </c>
      <c r="I3998" s="32">
        <f>IF(G3998="",0,IF(COUNTIF($G$2:G3998,G3998)=1,1,0))</f>
        <v>0</v>
      </c>
      <c r="J3998" s="32">
        <f>IF(H3998="",0,IF(COUNTIF($H$2:H3998,H3998)=1,1,0))</f>
        <v>0</v>
      </c>
    </row>
    <row r="3999" spans="1:10" ht="14.25" hidden="1" customHeight="1" x14ac:dyDescent="0.35">
      <c r="A3999" s="30"/>
      <c r="E3999" s="31"/>
      <c r="G3999" s="32" t="str">
        <f t="shared" si="124"/>
        <v>|||1900|</v>
      </c>
      <c r="H3999" s="32" t="str">
        <f t="shared" si="125"/>
        <v>||1900|</v>
      </c>
      <c r="I3999" s="32">
        <f>IF(G3999="",0,IF(COUNTIF($G$2:G3999,G3999)=1,1,0))</f>
        <v>0</v>
      </c>
      <c r="J3999" s="32">
        <f>IF(H3999="",0,IF(COUNTIF($H$2:H3999,H3999)=1,1,0))</f>
        <v>0</v>
      </c>
    </row>
    <row r="4000" spans="1:10" ht="14.25" hidden="1" customHeight="1" x14ac:dyDescent="0.35">
      <c r="A4000" s="30"/>
      <c r="E4000" s="31"/>
      <c r="G4000" s="32" t="str">
        <f t="shared" si="124"/>
        <v>|||1900|</v>
      </c>
      <c r="H4000" s="32" t="str">
        <f t="shared" si="125"/>
        <v>||1900|</v>
      </c>
      <c r="I4000" s="32">
        <f>IF(G4000="",0,IF(COUNTIF($G$2:G4000,G4000)=1,1,0))</f>
        <v>0</v>
      </c>
      <c r="J4000" s="32">
        <f>IF(H4000="",0,IF(COUNTIF($H$2:H4000,H4000)=1,1,0))</f>
        <v>0</v>
      </c>
    </row>
    <row r="4001" spans="1:10" ht="14.25" hidden="1" customHeight="1" x14ac:dyDescent="0.35">
      <c r="A4001" s="30"/>
      <c r="E4001" s="31"/>
      <c r="G4001" s="32" t="str">
        <f t="shared" si="124"/>
        <v>|||1900|</v>
      </c>
      <c r="H4001" s="32" t="str">
        <f t="shared" si="125"/>
        <v>||1900|</v>
      </c>
      <c r="I4001" s="32">
        <f>IF(G4001="",0,IF(COUNTIF($G$2:G4001,G4001)=1,1,0))</f>
        <v>0</v>
      </c>
      <c r="J4001" s="32">
        <f>IF(H4001="",0,IF(COUNTIF($H$2:H4001,H4001)=1,1,0))</f>
        <v>0</v>
      </c>
    </row>
    <row r="4002" spans="1:10" ht="14.25" hidden="1" customHeight="1" x14ac:dyDescent="0.35">
      <c r="A4002" s="30"/>
      <c r="E4002" s="31"/>
      <c r="G4002" s="32" t="str">
        <f t="shared" si="124"/>
        <v>|||1900|</v>
      </c>
      <c r="H4002" s="32" t="str">
        <f t="shared" si="125"/>
        <v>||1900|</v>
      </c>
      <c r="I4002" s="32">
        <f>IF(G4002="",0,IF(COUNTIF($G$2:G4002,G4002)=1,1,0))</f>
        <v>0</v>
      </c>
      <c r="J4002" s="32">
        <f>IF(H4002="",0,IF(COUNTIF($H$2:H4002,H4002)=1,1,0))</f>
        <v>0</v>
      </c>
    </row>
    <row r="4003" spans="1:10" ht="14.25" hidden="1" customHeight="1" x14ac:dyDescent="0.35">
      <c r="A4003" s="30"/>
      <c r="E4003" s="31"/>
      <c r="G4003" s="32" t="str">
        <f t="shared" si="124"/>
        <v>|||1900|</v>
      </c>
      <c r="H4003" s="32" t="str">
        <f t="shared" si="125"/>
        <v>||1900|</v>
      </c>
      <c r="I4003" s="32">
        <f>IF(G4003="",0,IF(COUNTIF($G$2:G4003,G4003)=1,1,0))</f>
        <v>0</v>
      </c>
      <c r="J4003" s="32">
        <f>IF(H4003="",0,IF(COUNTIF($H$2:H4003,H4003)=1,1,0))</f>
        <v>0</v>
      </c>
    </row>
    <row r="4004" spans="1:10" ht="14.25" hidden="1" customHeight="1" x14ac:dyDescent="0.35">
      <c r="A4004" s="30"/>
      <c r="E4004" s="31"/>
      <c r="G4004" s="32" t="str">
        <f t="shared" si="124"/>
        <v>|||1900|</v>
      </c>
      <c r="H4004" s="32" t="str">
        <f t="shared" si="125"/>
        <v>||1900|</v>
      </c>
      <c r="I4004" s="32">
        <f>IF(G4004="",0,IF(COUNTIF($G$2:G4004,G4004)=1,1,0))</f>
        <v>0</v>
      </c>
      <c r="J4004" s="32">
        <f>IF(H4004="",0,IF(COUNTIF($H$2:H4004,H4004)=1,1,0))</f>
        <v>0</v>
      </c>
    </row>
    <row r="4005" spans="1:10" ht="14.25" hidden="1" customHeight="1" x14ac:dyDescent="0.35">
      <c r="A4005" s="30"/>
      <c r="E4005" s="31"/>
      <c r="G4005" s="32" t="str">
        <f t="shared" si="124"/>
        <v>|||1900|</v>
      </c>
      <c r="H4005" s="32" t="str">
        <f t="shared" si="125"/>
        <v>||1900|</v>
      </c>
      <c r="I4005" s="32">
        <f>IF(G4005="",0,IF(COUNTIF($G$2:G4005,G4005)=1,1,0))</f>
        <v>0</v>
      </c>
      <c r="J4005" s="32">
        <f>IF(H4005="",0,IF(COUNTIF($H$2:H4005,H4005)=1,1,0))</f>
        <v>0</v>
      </c>
    </row>
    <row r="4006" spans="1:10" ht="14.25" hidden="1" customHeight="1" x14ac:dyDescent="0.35">
      <c r="A4006" s="30"/>
      <c r="E4006" s="31"/>
      <c r="G4006" s="32" t="str">
        <f t="shared" si="124"/>
        <v>|||1900|</v>
      </c>
      <c r="H4006" s="32" t="str">
        <f t="shared" si="125"/>
        <v>||1900|</v>
      </c>
      <c r="I4006" s="32">
        <f>IF(G4006="",0,IF(COUNTIF($G$2:G4006,G4006)=1,1,0))</f>
        <v>0</v>
      </c>
      <c r="J4006" s="32">
        <f>IF(H4006="",0,IF(COUNTIF($H$2:H4006,H4006)=1,1,0))</f>
        <v>0</v>
      </c>
    </row>
    <row r="4007" spans="1:10" ht="14.25" hidden="1" customHeight="1" x14ac:dyDescent="0.35">
      <c r="A4007" s="30"/>
      <c r="E4007" s="31"/>
      <c r="G4007" s="32" t="str">
        <f t="shared" si="124"/>
        <v>|||1900|</v>
      </c>
      <c r="H4007" s="32" t="str">
        <f t="shared" si="125"/>
        <v>||1900|</v>
      </c>
      <c r="I4007" s="32">
        <f>IF(G4007="",0,IF(COUNTIF($G$2:G4007,G4007)=1,1,0))</f>
        <v>0</v>
      </c>
      <c r="J4007" s="32">
        <f>IF(H4007="",0,IF(COUNTIF($H$2:H4007,H4007)=1,1,0))</f>
        <v>0</v>
      </c>
    </row>
    <row r="4008" spans="1:10" ht="14.25" hidden="1" customHeight="1" x14ac:dyDescent="0.35">
      <c r="A4008" s="30"/>
      <c r="E4008" s="31"/>
      <c r="G4008" s="32" t="str">
        <f t="shared" si="124"/>
        <v>|||1900|</v>
      </c>
      <c r="H4008" s="32" t="str">
        <f t="shared" si="125"/>
        <v>||1900|</v>
      </c>
      <c r="I4008" s="32">
        <f>IF(G4008="",0,IF(COUNTIF($G$2:G4008,G4008)=1,1,0))</f>
        <v>0</v>
      </c>
      <c r="J4008" s="32">
        <f>IF(H4008="",0,IF(COUNTIF($H$2:H4008,H4008)=1,1,0))</f>
        <v>0</v>
      </c>
    </row>
    <row r="4009" spans="1:10" ht="14.25" hidden="1" customHeight="1" x14ac:dyDescent="0.35">
      <c r="A4009" s="30"/>
      <c r="E4009" s="31"/>
      <c r="G4009" s="32" t="str">
        <f t="shared" si="124"/>
        <v>|||1900|</v>
      </c>
      <c r="H4009" s="32" t="str">
        <f t="shared" si="125"/>
        <v>||1900|</v>
      </c>
      <c r="I4009" s="32">
        <f>IF(G4009="",0,IF(COUNTIF($G$2:G4009,G4009)=1,1,0))</f>
        <v>0</v>
      </c>
      <c r="J4009" s="32">
        <f>IF(H4009="",0,IF(COUNTIF($H$2:H4009,H4009)=1,1,0))</f>
        <v>0</v>
      </c>
    </row>
    <row r="4010" spans="1:10" ht="14.25" hidden="1" customHeight="1" x14ac:dyDescent="0.35">
      <c r="A4010" s="30"/>
      <c r="E4010" s="31"/>
      <c r="G4010" s="32" t="str">
        <f t="shared" si="124"/>
        <v>|||1900|</v>
      </c>
      <c r="H4010" s="32" t="str">
        <f t="shared" si="125"/>
        <v>||1900|</v>
      </c>
      <c r="I4010" s="32">
        <f>IF(G4010="",0,IF(COUNTIF($G$2:G4010,G4010)=1,1,0))</f>
        <v>0</v>
      </c>
      <c r="J4010" s="32">
        <f>IF(H4010="",0,IF(COUNTIF($H$2:H4010,H4010)=1,1,0))</f>
        <v>0</v>
      </c>
    </row>
    <row r="4011" spans="1:10" ht="14.25" hidden="1" customHeight="1" x14ac:dyDescent="0.35">
      <c r="A4011" s="30"/>
      <c r="E4011" s="31"/>
      <c r="G4011" s="32" t="str">
        <f t="shared" si="124"/>
        <v>|||1900|</v>
      </c>
      <c r="H4011" s="32" t="str">
        <f t="shared" si="125"/>
        <v>||1900|</v>
      </c>
      <c r="I4011" s="32">
        <f>IF(G4011="",0,IF(COUNTIF($G$2:G4011,G4011)=1,1,0))</f>
        <v>0</v>
      </c>
      <c r="J4011" s="32">
        <f>IF(H4011="",0,IF(COUNTIF($H$2:H4011,H4011)=1,1,0))</f>
        <v>0</v>
      </c>
    </row>
    <row r="4012" spans="1:10" ht="14.25" hidden="1" customHeight="1" x14ac:dyDescent="0.35">
      <c r="A4012" s="30"/>
      <c r="E4012" s="31"/>
      <c r="G4012" s="32" t="str">
        <f t="shared" si="124"/>
        <v>|||1900|</v>
      </c>
      <c r="H4012" s="32" t="str">
        <f t="shared" si="125"/>
        <v>||1900|</v>
      </c>
      <c r="I4012" s="32">
        <f>IF(G4012="",0,IF(COUNTIF($G$2:G4012,G4012)=1,1,0))</f>
        <v>0</v>
      </c>
      <c r="J4012" s="32">
        <f>IF(H4012="",0,IF(COUNTIF($H$2:H4012,H4012)=1,1,0))</f>
        <v>0</v>
      </c>
    </row>
    <row r="4013" spans="1:10" ht="14.25" hidden="1" customHeight="1" x14ac:dyDescent="0.35">
      <c r="A4013" s="30"/>
      <c r="E4013" s="31"/>
      <c r="G4013" s="32" t="str">
        <f t="shared" si="124"/>
        <v>|||1900|</v>
      </c>
      <c r="H4013" s="32" t="str">
        <f t="shared" si="125"/>
        <v>||1900|</v>
      </c>
      <c r="I4013" s="32">
        <f>IF(G4013="",0,IF(COUNTIF($G$2:G4013,G4013)=1,1,0))</f>
        <v>0</v>
      </c>
      <c r="J4013" s="32">
        <f>IF(H4013="",0,IF(COUNTIF($H$2:H4013,H4013)=1,1,0))</f>
        <v>0</v>
      </c>
    </row>
    <row r="4014" spans="1:10" ht="14.25" hidden="1" customHeight="1" x14ac:dyDescent="0.35">
      <c r="A4014" s="30"/>
      <c r="E4014" s="31"/>
      <c r="G4014" s="32" t="str">
        <f t="shared" si="124"/>
        <v>|||1900|</v>
      </c>
      <c r="H4014" s="32" t="str">
        <f t="shared" si="125"/>
        <v>||1900|</v>
      </c>
      <c r="I4014" s="32">
        <f>IF(G4014="",0,IF(COUNTIF($G$2:G4014,G4014)=1,1,0))</f>
        <v>0</v>
      </c>
      <c r="J4014" s="32">
        <f>IF(H4014="",0,IF(COUNTIF($H$2:H4014,H4014)=1,1,0))</f>
        <v>0</v>
      </c>
    </row>
    <row r="4015" spans="1:10" ht="14.25" hidden="1" customHeight="1" x14ac:dyDescent="0.35">
      <c r="A4015" s="30"/>
      <c r="E4015" s="31"/>
      <c r="G4015" s="32" t="str">
        <f t="shared" si="124"/>
        <v>|||1900|</v>
      </c>
      <c r="H4015" s="32" t="str">
        <f t="shared" si="125"/>
        <v>||1900|</v>
      </c>
      <c r="I4015" s="32">
        <f>IF(G4015="",0,IF(COUNTIF($G$2:G4015,G4015)=1,1,0))</f>
        <v>0</v>
      </c>
      <c r="J4015" s="32">
        <f>IF(H4015="",0,IF(COUNTIF($H$2:H4015,H4015)=1,1,0))</f>
        <v>0</v>
      </c>
    </row>
    <row r="4016" spans="1:10" ht="14.25" hidden="1" customHeight="1" x14ac:dyDescent="0.35">
      <c r="A4016" s="30"/>
      <c r="E4016" s="31"/>
      <c r="G4016" s="32" t="str">
        <f t="shared" si="124"/>
        <v>|||1900|</v>
      </c>
      <c r="H4016" s="32" t="str">
        <f t="shared" si="125"/>
        <v>||1900|</v>
      </c>
      <c r="I4016" s="32">
        <f>IF(G4016="",0,IF(COUNTIF($G$2:G4016,G4016)=1,1,0))</f>
        <v>0</v>
      </c>
      <c r="J4016" s="32">
        <f>IF(H4016="",0,IF(COUNTIF($H$2:H4016,H4016)=1,1,0))</f>
        <v>0</v>
      </c>
    </row>
    <row r="4017" spans="1:10" ht="14.25" hidden="1" customHeight="1" x14ac:dyDescent="0.35">
      <c r="A4017" s="30"/>
      <c r="E4017" s="31"/>
      <c r="G4017" s="32" t="str">
        <f t="shared" si="124"/>
        <v>|||1900|</v>
      </c>
      <c r="H4017" s="32" t="str">
        <f t="shared" si="125"/>
        <v>||1900|</v>
      </c>
      <c r="I4017" s="32">
        <f>IF(G4017="",0,IF(COUNTIF($G$2:G4017,G4017)=1,1,0))</f>
        <v>0</v>
      </c>
      <c r="J4017" s="32">
        <f>IF(H4017="",0,IF(COUNTIF($H$2:H4017,H4017)=1,1,0))</f>
        <v>0</v>
      </c>
    </row>
    <row r="4018" spans="1:10" ht="14.25" hidden="1" customHeight="1" x14ac:dyDescent="0.35">
      <c r="A4018" s="30"/>
      <c r="E4018" s="31"/>
      <c r="G4018" s="32" t="str">
        <f t="shared" si="124"/>
        <v>|||1900|</v>
      </c>
      <c r="H4018" s="32" t="str">
        <f t="shared" si="125"/>
        <v>||1900|</v>
      </c>
      <c r="I4018" s="32">
        <f>IF(G4018="",0,IF(COUNTIF($G$2:G4018,G4018)=1,1,0))</f>
        <v>0</v>
      </c>
      <c r="J4018" s="32">
        <f>IF(H4018="",0,IF(COUNTIF($H$2:H4018,H4018)=1,1,0))</f>
        <v>0</v>
      </c>
    </row>
    <row r="4019" spans="1:10" ht="14.25" hidden="1" customHeight="1" x14ac:dyDescent="0.35">
      <c r="A4019" s="30"/>
      <c r="E4019" s="31"/>
      <c r="G4019" s="32" t="str">
        <f t="shared" si="124"/>
        <v>|||1900|</v>
      </c>
      <c r="H4019" s="32" t="str">
        <f t="shared" si="125"/>
        <v>||1900|</v>
      </c>
      <c r="I4019" s="32">
        <f>IF(G4019="",0,IF(COUNTIF($G$2:G4019,G4019)=1,1,0))</f>
        <v>0</v>
      </c>
      <c r="J4019" s="32">
        <f>IF(H4019="",0,IF(COUNTIF($H$2:H4019,H4019)=1,1,0))</f>
        <v>0</v>
      </c>
    </row>
    <row r="4020" spans="1:10" ht="14.25" hidden="1" customHeight="1" x14ac:dyDescent="0.35">
      <c r="A4020" s="30"/>
      <c r="E4020" s="31"/>
      <c r="G4020" s="32" t="str">
        <f t="shared" si="124"/>
        <v>|||1900|</v>
      </c>
      <c r="H4020" s="32" t="str">
        <f t="shared" si="125"/>
        <v>||1900|</v>
      </c>
      <c r="I4020" s="32">
        <f>IF(G4020="",0,IF(COUNTIF($G$2:G4020,G4020)=1,1,0))</f>
        <v>0</v>
      </c>
      <c r="J4020" s="32">
        <f>IF(H4020="",0,IF(COUNTIF($H$2:H4020,H4020)=1,1,0))</f>
        <v>0</v>
      </c>
    </row>
    <row r="4021" spans="1:10" ht="14.25" hidden="1" customHeight="1" x14ac:dyDescent="0.35">
      <c r="A4021" s="30"/>
      <c r="E4021" s="31"/>
      <c r="G4021" s="32" t="str">
        <f t="shared" si="124"/>
        <v>|||1900|</v>
      </c>
      <c r="H4021" s="32" t="str">
        <f t="shared" si="125"/>
        <v>||1900|</v>
      </c>
      <c r="I4021" s="32">
        <f>IF(G4021="",0,IF(COUNTIF($G$2:G4021,G4021)=1,1,0))</f>
        <v>0</v>
      </c>
      <c r="J4021" s="32">
        <f>IF(H4021="",0,IF(COUNTIF($H$2:H4021,H4021)=1,1,0))</f>
        <v>0</v>
      </c>
    </row>
    <row r="4022" spans="1:10" ht="14.25" hidden="1" customHeight="1" x14ac:dyDescent="0.35">
      <c r="A4022" s="30"/>
      <c r="E4022" s="31"/>
      <c r="G4022" s="32" t="str">
        <f t="shared" si="124"/>
        <v>|||1900|</v>
      </c>
      <c r="H4022" s="32" t="str">
        <f t="shared" si="125"/>
        <v>||1900|</v>
      </c>
      <c r="I4022" s="32">
        <f>IF(G4022="",0,IF(COUNTIF($G$2:G4022,G4022)=1,1,0))</f>
        <v>0</v>
      </c>
      <c r="J4022" s="32">
        <f>IF(H4022="",0,IF(COUNTIF($H$2:H4022,H4022)=1,1,0))</f>
        <v>0</v>
      </c>
    </row>
    <row r="4023" spans="1:10" ht="14.25" hidden="1" customHeight="1" x14ac:dyDescent="0.35">
      <c r="A4023" s="30"/>
      <c r="E4023" s="31"/>
      <c r="G4023" s="32" t="str">
        <f t="shared" si="124"/>
        <v>|||1900|</v>
      </c>
      <c r="H4023" s="32" t="str">
        <f t="shared" si="125"/>
        <v>||1900|</v>
      </c>
      <c r="I4023" s="32">
        <f>IF(G4023="",0,IF(COUNTIF($G$2:G4023,G4023)=1,1,0))</f>
        <v>0</v>
      </c>
      <c r="J4023" s="32">
        <f>IF(H4023="",0,IF(COUNTIF($H$2:H4023,H4023)=1,1,0))</f>
        <v>0</v>
      </c>
    </row>
    <row r="4024" spans="1:10" ht="14.25" hidden="1" customHeight="1" x14ac:dyDescent="0.35">
      <c r="A4024" s="30"/>
      <c r="E4024" s="31"/>
      <c r="G4024" s="32" t="str">
        <f t="shared" si="124"/>
        <v>|||1900|</v>
      </c>
      <c r="H4024" s="32" t="str">
        <f t="shared" si="125"/>
        <v>||1900|</v>
      </c>
      <c r="I4024" s="32">
        <f>IF(G4024="",0,IF(COUNTIF($G$2:G4024,G4024)=1,1,0))</f>
        <v>0</v>
      </c>
      <c r="J4024" s="32">
        <f>IF(H4024="",0,IF(COUNTIF($H$2:H4024,H4024)=1,1,0))</f>
        <v>0</v>
      </c>
    </row>
    <row r="4025" spans="1:10" ht="14.25" hidden="1" customHeight="1" x14ac:dyDescent="0.35">
      <c r="A4025" s="30"/>
      <c r="E4025" s="31"/>
      <c r="G4025" s="32" t="str">
        <f t="shared" si="124"/>
        <v>|||1900|</v>
      </c>
      <c r="H4025" s="32" t="str">
        <f t="shared" si="125"/>
        <v>||1900|</v>
      </c>
      <c r="I4025" s="32">
        <f>IF(G4025="",0,IF(COUNTIF($G$2:G4025,G4025)=1,1,0))</f>
        <v>0</v>
      </c>
      <c r="J4025" s="32">
        <f>IF(H4025="",0,IF(COUNTIF($H$2:H4025,H4025)=1,1,0))</f>
        <v>0</v>
      </c>
    </row>
    <row r="4026" spans="1:10" ht="14.25" hidden="1" customHeight="1" x14ac:dyDescent="0.35">
      <c r="A4026" s="30"/>
      <c r="E4026" s="31"/>
      <c r="G4026" s="32" t="str">
        <f t="shared" si="124"/>
        <v>|||1900|</v>
      </c>
      <c r="H4026" s="32" t="str">
        <f t="shared" si="125"/>
        <v>||1900|</v>
      </c>
      <c r="I4026" s="32">
        <f>IF(G4026="",0,IF(COUNTIF($G$2:G4026,G4026)=1,1,0))</f>
        <v>0</v>
      </c>
      <c r="J4026" s="32">
        <f>IF(H4026="",0,IF(COUNTIF($H$2:H4026,H4026)=1,1,0))</f>
        <v>0</v>
      </c>
    </row>
    <row r="4027" spans="1:10" ht="14.25" hidden="1" customHeight="1" x14ac:dyDescent="0.35">
      <c r="A4027" s="30"/>
      <c r="E4027" s="31"/>
      <c r="G4027" s="32" t="str">
        <f t="shared" si="124"/>
        <v>|||1900|</v>
      </c>
      <c r="H4027" s="32" t="str">
        <f t="shared" si="125"/>
        <v>||1900|</v>
      </c>
      <c r="I4027" s="32">
        <f>IF(G4027="",0,IF(COUNTIF($G$2:G4027,G4027)=1,1,0))</f>
        <v>0</v>
      </c>
      <c r="J4027" s="32">
        <f>IF(H4027="",0,IF(COUNTIF($H$2:H4027,H4027)=1,1,0))</f>
        <v>0</v>
      </c>
    </row>
    <row r="4028" spans="1:10" ht="14.25" hidden="1" customHeight="1" x14ac:dyDescent="0.35">
      <c r="A4028" s="30"/>
      <c r="E4028" s="31"/>
      <c r="G4028" s="32" t="str">
        <f t="shared" si="124"/>
        <v>|||1900|</v>
      </c>
      <c r="H4028" s="32" t="str">
        <f t="shared" si="125"/>
        <v>||1900|</v>
      </c>
      <c r="I4028" s="32">
        <f>IF(G4028="",0,IF(COUNTIF($G$2:G4028,G4028)=1,1,0))</f>
        <v>0</v>
      </c>
      <c r="J4028" s="32">
        <f>IF(H4028="",0,IF(COUNTIF($H$2:H4028,H4028)=1,1,0))</f>
        <v>0</v>
      </c>
    </row>
    <row r="4029" spans="1:10" ht="14.25" hidden="1" customHeight="1" x14ac:dyDescent="0.35">
      <c r="A4029" s="30"/>
      <c r="E4029" s="31"/>
      <c r="G4029" s="32" t="str">
        <f t="shared" si="124"/>
        <v>|||1900|</v>
      </c>
      <c r="H4029" s="32" t="str">
        <f t="shared" si="125"/>
        <v>||1900|</v>
      </c>
      <c r="I4029" s="32">
        <f>IF(G4029="",0,IF(COUNTIF($G$2:G4029,G4029)=1,1,0))</f>
        <v>0</v>
      </c>
      <c r="J4029" s="32">
        <f>IF(H4029="",0,IF(COUNTIF($H$2:H4029,H4029)=1,1,0))</f>
        <v>0</v>
      </c>
    </row>
    <row r="4030" spans="1:10" ht="14.25" hidden="1" customHeight="1" x14ac:dyDescent="0.35">
      <c r="A4030" s="30"/>
      <c r="E4030" s="31"/>
      <c r="G4030" s="32" t="str">
        <f t="shared" si="124"/>
        <v>|||1900|</v>
      </c>
      <c r="H4030" s="32" t="str">
        <f t="shared" si="125"/>
        <v>||1900|</v>
      </c>
      <c r="I4030" s="32">
        <f>IF(G4030="",0,IF(COUNTIF($G$2:G4030,G4030)=1,1,0))</f>
        <v>0</v>
      </c>
      <c r="J4030" s="32">
        <f>IF(H4030="",0,IF(COUNTIF($H$2:H4030,H4030)=1,1,0))</f>
        <v>0</v>
      </c>
    </row>
    <row r="4031" spans="1:10" ht="14.25" hidden="1" customHeight="1" x14ac:dyDescent="0.35">
      <c r="A4031" s="30"/>
      <c r="E4031" s="31"/>
      <c r="G4031" s="32" t="str">
        <f t="shared" si="124"/>
        <v>|||1900|</v>
      </c>
      <c r="H4031" s="32" t="str">
        <f t="shared" si="125"/>
        <v>||1900|</v>
      </c>
      <c r="I4031" s="32">
        <f>IF(G4031="",0,IF(COUNTIF($G$2:G4031,G4031)=1,1,0))</f>
        <v>0</v>
      </c>
      <c r="J4031" s="32">
        <f>IF(H4031="",0,IF(COUNTIF($H$2:H4031,H4031)=1,1,0))</f>
        <v>0</v>
      </c>
    </row>
    <row r="4032" spans="1:10" ht="14.25" hidden="1" customHeight="1" x14ac:dyDescent="0.35">
      <c r="A4032" s="30"/>
      <c r="E4032" s="31"/>
      <c r="G4032" s="32" t="str">
        <f t="shared" si="124"/>
        <v>|||1900|</v>
      </c>
      <c r="H4032" s="32" t="str">
        <f t="shared" si="125"/>
        <v>||1900|</v>
      </c>
      <c r="I4032" s="32">
        <f>IF(G4032="",0,IF(COUNTIF($G$2:G4032,G4032)=1,1,0))</f>
        <v>0</v>
      </c>
      <c r="J4032" s="32">
        <f>IF(H4032="",0,IF(COUNTIF($H$2:H4032,H4032)=1,1,0))</f>
        <v>0</v>
      </c>
    </row>
    <row r="4033" spans="1:10" ht="14.25" hidden="1" customHeight="1" x14ac:dyDescent="0.35">
      <c r="A4033" s="30"/>
      <c r="E4033" s="31"/>
      <c r="G4033" s="32" t="str">
        <f t="shared" si="124"/>
        <v>|||1900|</v>
      </c>
      <c r="H4033" s="32" t="str">
        <f t="shared" si="125"/>
        <v>||1900|</v>
      </c>
      <c r="I4033" s="32">
        <f>IF(G4033="",0,IF(COUNTIF($G$2:G4033,G4033)=1,1,0))</f>
        <v>0</v>
      </c>
      <c r="J4033" s="32">
        <f>IF(H4033="",0,IF(COUNTIF($H$2:H4033,H4033)=1,1,0))</f>
        <v>0</v>
      </c>
    </row>
    <row r="4034" spans="1:10" ht="14.25" hidden="1" customHeight="1" x14ac:dyDescent="0.35">
      <c r="A4034" s="30"/>
      <c r="E4034" s="31"/>
      <c r="G4034" s="32" t="str">
        <f t="shared" ref="G4034:G4097" si="126">IF(D4034="T",
E4034&amp;"|"&amp;F4034,
A4034&amp;"|"&amp;B4034&amp;"|"&amp;C4034&amp;"|"&amp;YEAR(E4034)&amp;"|"&amp;F4034)</f>
        <v>|||1900|</v>
      </c>
      <c r="H4034" s="32" t="str">
        <f t="shared" ref="H4034:H4097" si="127">A4034&amp;"|"&amp;C4034&amp;"|"&amp;YEAR(E4034)&amp;"|"&amp;F4034</f>
        <v>||1900|</v>
      </c>
      <c r="I4034" s="32">
        <f>IF(G4034="",0,IF(COUNTIF($G$2:G4034,G4034)=1,1,0))</f>
        <v>0</v>
      </c>
      <c r="J4034" s="32">
        <f>IF(H4034="",0,IF(COUNTIF($H$2:H4034,H4034)=1,1,0))</f>
        <v>0</v>
      </c>
    </row>
    <row r="4035" spans="1:10" ht="14.25" hidden="1" customHeight="1" x14ac:dyDescent="0.35">
      <c r="A4035" s="30"/>
      <c r="E4035" s="31"/>
      <c r="G4035" s="32" t="str">
        <f t="shared" si="126"/>
        <v>|||1900|</v>
      </c>
      <c r="H4035" s="32" t="str">
        <f t="shared" si="127"/>
        <v>||1900|</v>
      </c>
      <c r="I4035" s="32">
        <f>IF(G4035="",0,IF(COUNTIF($G$2:G4035,G4035)=1,1,0))</f>
        <v>0</v>
      </c>
      <c r="J4035" s="32">
        <f>IF(H4035="",0,IF(COUNTIF($H$2:H4035,H4035)=1,1,0))</f>
        <v>0</v>
      </c>
    </row>
    <row r="4036" spans="1:10" ht="14.25" hidden="1" customHeight="1" x14ac:dyDescent="0.35">
      <c r="A4036" s="30"/>
      <c r="E4036" s="31"/>
      <c r="G4036" s="32" t="str">
        <f t="shared" si="126"/>
        <v>|||1900|</v>
      </c>
      <c r="H4036" s="32" t="str">
        <f t="shared" si="127"/>
        <v>||1900|</v>
      </c>
      <c r="I4036" s="32">
        <f>IF(G4036="",0,IF(COUNTIF($G$2:G4036,G4036)=1,1,0))</f>
        <v>0</v>
      </c>
      <c r="J4036" s="32">
        <f>IF(H4036="",0,IF(COUNTIF($H$2:H4036,H4036)=1,1,0))</f>
        <v>0</v>
      </c>
    </row>
    <row r="4037" spans="1:10" ht="14.25" hidden="1" customHeight="1" x14ac:dyDescent="0.35">
      <c r="A4037" s="30"/>
      <c r="E4037" s="31"/>
      <c r="G4037" s="32" t="str">
        <f t="shared" si="126"/>
        <v>|||1900|</v>
      </c>
      <c r="H4037" s="32" t="str">
        <f t="shared" si="127"/>
        <v>||1900|</v>
      </c>
      <c r="I4037" s="32">
        <f>IF(G4037="",0,IF(COUNTIF($G$2:G4037,G4037)=1,1,0))</f>
        <v>0</v>
      </c>
      <c r="J4037" s="32">
        <f>IF(H4037="",0,IF(COUNTIF($H$2:H4037,H4037)=1,1,0))</f>
        <v>0</v>
      </c>
    </row>
    <row r="4038" spans="1:10" ht="14.25" hidden="1" customHeight="1" x14ac:dyDescent="0.35">
      <c r="A4038" s="30"/>
      <c r="E4038" s="31"/>
      <c r="G4038" s="32" t="str">
        <f t="shared" si="126"/>
        <v>|||1900|</v>
      </c>
      <c r="H4038" s="32" t="str">
        <f t="shared" si="127"/>
        <v>||1900|</v>
      </c>
      <c r="I4038" s="32">
        <f>IF(G4038="",0,IF(COUNTIF($G$2:G4038,G4038)=1,1,0))</f>
        <v>0</v>
      </c>
      <c r="J4038" s="32">
        <f>IF(H4038="",0,IF(COUNTIF($H$2:H4038,H4038)=1,1,0))</f>
        <v>0</v>
      </c>
    </row>
    <row r="4039" spans="1:10" ht="14.25" hidden="1" customHeight="1" x14ac:dyDescent="0.35">
      <c r="A4039" s="30"/>
      <c r="E4039" s="31"/>
      <c r="G4039" s="32" t="str">
        <f t="shared" si="126"/>
        <v>|||1900|</v>
      </c>
      <c r="H4039" s="32" t="str">
        <f t="shared" si="127"/>
        <v>||1900|</v>
      </c>
      <c r="I4039" s="32">
        <f>IF(G4039="",0,IF(COUNTIF($G$2:G4039,G4039)=1,1,0))</f>
        <v>0</v>
      </c>
      <c r="J4039" s="32">
        <f>IF(H4039="",0,IF(COUNTIF($H$2:H4039,H4039)=1,1,0))</f>
        <v>0</v>
      </c>
    </row>
    <row r="4040" spans="1:10" ht="14.25" hidden="1" customHeight="1" x14ac:dyDescent="0.35">
      <c r="A4040" s="30"/>
      <c r="E4040" s="31"/>
      <c r="G4040" s="32" t="str">
        <f t="shared" si="126"/>
        <v>|||1900|</v>
      </c>
      <c r="H4040" s="32" t="str">
        <f t="shared" si="127"/>
        <v>||1900|</v>
      </c>
      <c r="I4040" s="32">
        <f>IF(G4040="",0,IF(COUNTIF($G$2:G4040,G4040)=1,1,0))</f>
        <v>0</v>
      </c>
      <c r="J4040" s="32">
        <f>IF(H4040="",0,IF(COUNTIF($H$2:H4040,H4040)=1,1,0))</f>
        <v>0</v>
      </c>
    </row>
    <row r="4041" spans="1:10" ht="14.25" hidden="1" customHeight="1" x14ac:dyDescent="0.35">
      <c r="A4041" s="30"/>
      <c r="E4041" s="31"/>
      <c r="G4041" s="32" t="str">
        <f t="shared" si="126"/>
        <v>|||1900|</v>
      </c>
      <c r="H4041" s="32" t="str">
        <f t="shared" si="127"/>
        <v>||1900|</v>
      </c>
      <c r="I4041" s="32">
        <f>IF(G4041="",0,IF(COUNTIF($G$2:G4041,G4041)=1,1,0))</f>
        <v>0</v>
      </c>
      <c r="J4041" s="32">
        <f>IF(H4041="",0,IF(COUNTIF($H$2:H4041,H4041)=1,1,0))</f>
        <v>0</v>
      </c>
    </row>
    <row r="4042" spans="1:10" ht="14.25" hidden="1" customHeight="1" x14ac:dyDescent="0.35">
      <c r="A4042" s="30"/>
      <c r="E4042" s="31"/>
      <c r="G4042" s="32" t="str">
        <f t="shared" si="126"/>
        <v>|||1900|</v>
      </c>
      <c r="H4042" s="32" t="str">
        <f t="shared" si="127"/>
        <v>||1900|</v>
      </c>
      <c r="I4042" s="32">
        <f>IF(G4042="",0,IF(COUNTIF($G$2:G4042,G4042)=1,1,0))</f>
        <v>0</v>
      </c>
      <c r="J4042" s="32">
        <f>IF(H4042="",0,IF(COUNTIF($H$2:H4042,H4042)=1,1,0))</f>
        <v>0</v>
      </c>
    </row>
    <row r="4043" spans="1:10" ht="14.25" hidden="1" customHeight="1" x14ac:dyDescent="0.35">
      <c r="A4043" s="30"/>
      <c r="E4043" s="31"/>
      <c r="G4043" s="32" t="str">
        <f t="shared" si="126"/>
        <v>|||1900|</v>
      </c>
      <c r="H4043" s="32" t="str">
        <f t="shared" si="127"/>
        <v>||1900|</v>
      </c>
      <c r="I4043" s="32">
        <f>IF(G4043="",0,IF(COUNTIF($G$2:G4043,G4043)=1,1,0))</f>
        <v>0</v>
      </c>
      <c r="J4043" s="32">
        <f>IF(H4043="",0,IF(COUNTIF($H$2:H4043,H4043)=1,1,0))</f>
        <v>0</v>
      </c>
    </row>
    <row r="4044" spans="1:10" ht="14.25" hidden="1" customHeight="1" x14ac:dyDescent="0.35">
      <c r="A4044" s="30"/>
      <c r="E4044" s="31"/>
      <c r="G4044" s="32" t="str">
        <f t="shared" si="126"/>
        <v>|||1900|</v>
      </c>
      <c r="H4044" s="32" t="str">
        <f t="shared" si="127"/>
        <v>||1900|</v>
      </c>
      <c r="I4044" s="32">
        <f>IF(G4044="",0,IF(COUNTIF($G$2:G4044,G4044)=1,1,0))</f>
        <v>0</v>
      </c>
      <c r="J4044" s="32">
        <f>IF(H4044="",0,IF(COUNTIF($H$2:H4044,H4044)=1,1,0))</f>
        <v>0</v>
      </c>
    </row>
    <row r="4045" spans="1:10" ht="14.25" hidden="1" customHeight="1" x14ac:dyDescent="0.35">
      <c r="A4045" s="30"/>
      <c r="E4045" s="31"/>
      <c r="G4045" s="32" t="str">
        <f t="shared" si="126"/>
        <v>|||1900|</v>
      </c>
      <c r="H4045" s="32" t="str">
        <f t="shared" si="127"/>
        <v>||1900|</v>
      </c>
      <c r="I4045" s="32">
        <f>IF(G4045="",0,IF(COUNTIF($G$2:G4045,G4045)=1,1,0))</f>
        <v>0</v>
      </c>
      <c r="J4045" s="32">
        <f>IF(H4045="",0,IF(COUNTIF($H$2:H4045,H4045)=1,1,0))</f>
        <v>0</v>
      </c>
    </row>
    <row r="4046" spans="1:10" ht="14.25" hidden="1" customHeight="1" x14ac:dyDescent="0.35">
      <c r="A4046" s="30"/>
      <c r="E4046" s="31"/>
      <c r="G4046" s="32" t="str">
        <f t="shared" si="126"/>
        <v>|||1900|</v>
      </c>
      <c r="H4046" s="32" t="str">
        <f t="shared" si="127"/>
        <v>||1900|</v>
      </c>
      <c r="I4046" s="32">
        <f>IF(G4046="",0,IF(COUNTIF($G$2:G4046,G4046)=1,1,0))</f>
        <v>0</v>
      </c>
      <c r="J4046" s="32">
        <f>IF(H4046="",0,IF(COUNTIF($H$2:H4046,H4046)=1,1,0))</f>
        <v>0</v>
      </c>
    </row>
    <row r="4047" spans="1:10" ht="14.25" hidden="1" customHeight="1" x14ac:dyDescent="0.35">
      <c r="A4047" s="30"/>
      <c r="E4047" s="31"/>
      <c r="G4047" s="32" t="str">
        <f t="shared" si="126"/>
        <v>|||1900|</v>
      </c>
      <c r="H4047" s="32" t="str">
        <f t="shared" si="127"/>
        <v>||1900|</v>
      </c>
      <c r="I4047" s="32">
        <f>IF(G4047="",0,IF(COUNTIF($G$2:G4047,G4047)=1,1,0))</f>
        <v>0</v>
      </c>
      <c r="J4047" s="32">
        <f>IF(H4047="",0,IF(COUNTIF($H$2:H4047,H4047)=1,1,0))</f>
        <v>0</v>
      </c>
    </row>
    <row r="4048" spans="1:10" ht="14.25" hidden="1" customHeight="1" x14ac:dyDescent="0.35">
      <c r="A4048" s="30"/>
      <c r="E4048" s="31"/>
      <c r="G4048" s="32" t="str">
        <f t="shared" si="126"/>
        <v>|||1900|</v>
      </c>
      <c r="H4048" s="32" t="str">
        <f t="shared" si="127"/>
        <v>||1900|</v>
      </c>
      <c r="I4048" s="32">
        <f>IF(G4048="",0,IF(COUNTIF($G$2:G4048,G4048)=1,1,0))</f>
        <v>0</v>
      </c>
      <c r="J4048" s="32">
        <f>IF(H4048="",0,IF(COUNTIF($H$2:H4048,H4048)=1,1,0))</f>
        <v>0</v>
      </c>
    </row>
    <row r="4049" spans="1:10" ht="14.25" hidden="1" customHeight="1" x14ac:dyDescent="0.35">
      <c r="A4049" s="30"/>
      <c r="E4049" s="31"/>
      <c r="G4049" s="32" t="str">
        <f t="shared" si="126"/>
        <v>|||1900|</v>
      </c>
      <c r="H4049" s="32" t="str">
        <f t="shared" si="127"/>
        <v>||1900|</v>
      </c>
      <c r="I4049" s="32">
        <f>IF(G4049="",0,IF(COUNTIF($G$2:G4049,G4049)=1,1,0))</f>
        <v>0</v>
      </c>
      <c r="J4049" s="32">
        <f>IF(H4049="",0,IF(COUNTIF($H$2:H4049,H4049)=1,1,0))</f>
        <v>0</v>
      </c>
    </row>
    <row r="4050" spans="1:10" ht="14.25" hidden="1" customHeight="1" x14ac:dyDescent="0.35">
      <c r="A4050" s="30"/>
      <c r="E4050" s="31"/>
      <c r="G4050" s="32" t="str">
        <f t="shared" si="126"/>
        <v>|||1900|</v>
      </c>
      <c r="H4050" s="32" t="str">
        <f t="shared" si="127"/>
        <v>||1900|</v>
      </c>
      <c r="I4050" s="32">
        <f>IF(G4050="",0,IF(COUNTIF($G$2:G4050,G4050)=1,1,0))</f>
        <v>0</v>
      </c>
      <c r="J4050" s="32">
        <f>IF(H4050="",0,IF(COUNTIF($H$2:H4050,H4050)=1,1,0))</f>
        <v>0</v>
      </c>
    </row>
    <row r="4051" spans="1:10" ht="14.25" hidden="1" customHeight="1" x14ac:dyDescent="0.35">
      <c r="A4051" s="30"/>
      <c r="E4051" s="31"/>
      <c r="G4051" s="32" t="str">
        <f t="shared" si="126"/>
        <v>|||1900|</v>
      </c>
      <c r="H4051" s="32" t="str">
        <f t="shared" si="127"/>
        <v>||1900|</v>
      </c>
      <c r="I4051" s="32">
        <f>IF(G4051="",0,IF(COUNTIF($G$2:G4051,G4051)=1,1,0))</f>
        <v>0</v>
      </c>
      <c r="J4051" s="32">
        <f>IF(H4051="",0,IF(COUNTIF($H$2:H4051,H4051)=1,1,0))</f>
        <v>0</v>
      </c>
    </row>
    <row r="4052" spans="1:10" ht="14.25" hidden="1" customHeight="1" x14ac:dyDescent="0.35">
      <c r="A4052" s="30"/>
      <c r="E4052" s="31"/>
      <c r="G4052" s="32" t="str">
        <f t="shared" si="126"/>
        <v>|||1900|</v>
      </c>
      <c r="H4052" s="32" t="str">
        <f t="shared" si="127"/>
        <v>||1900|</v>
      </c>
      <c r="I4052" s="32">
        <f>IF(G4052="",0,IF(COUNTIF($G$2:G4052,G4052)=1,1,0))</f>
        <v>0</v>
      </c>
      <c r="J4052" s="32">
        <f>IF(H4052="",0,IF(COUNTIF($H$2:H4052,H4052)=1,1,0))</f>
        <v>0</v>
      </c>
    </row>
    <row r="4053" spans="1:10" ht="14.25" hidden="1" customHeight="1" x14ac:dyDescent="0.35">
      <c r="A4053" s="30"/>
      <c r="E4053" s="31"/>
      <c r="G4053" s="32" t="str">
        <f t="shared" si="126"/>
        <v>|||1900|</v>
      </c>
      <c r="H4053" s="32" t="str">
        <f t="shared" si="127"/>
        <v>||1900|</v>
      </c>
      <c r="I4053" s="32">
        <f>IF(G4053="",0,IF(COUNTIF($G$2:G4053,G4053)=1,1,0))</f>
        <v>0</v>
      </c>
      <c r="J4053" s="32">
        <f>IF(H4053="",0,IF(COUNTIF($H$2:H4053,H4053)=1,1,0))</f>
        <v>0</v>
      </c>
    </row>
    <row r="4054" spans="1:10" ht="14.25" hidden="1" customHeight="1" x14ac:dyDescent="0.35">
      <c r="A4054" s="30"/>
      <c r="E4054" s="31"/>
      <c r="G4054" s="32" t="str">
        <f t="shared" si="126"/>
        <v>|||1900|</v>
      </c>
      <c r="H4054" s="32" t="str">
        <f t="shared" si="127"/>
        <v>||1900|</v>
      </c>
      <c r="I4054" s="32">
        <f>IF(G4054="",0,IF(COUNTIF($G$2:G4054,G4054)=1,1,0))</f>
        <v>0</v>
      </c>
      <c r="J4054" s="32">
        <f>IF(H4054="",0,IF(COUNTIF($H$2:H4054,H4054)=1,1,0))</f>
        <v>0</v>
      </c>
    </row>
    <row r="4055" spans="1:10" ht="14.25" hidden="1" customHeight="1" x14ac:dyDescent="0.35">
      <c r="A4055" s="30"/>
      <c r="E4055" s="31"/>
      <c r="G4055" s="32" t="str">
        <f t="shared" si="126"/>
        <v>|||1900|</v>
      </c>
      <c r="H4055" s="32" t="str">
        <f t="shared" si="127"/>
        <v>||1900|</v>
      </c>
      <c r="I4055" s="32">
        <f>IF(G4055="",0,IF(COUNTIF($G$2:G4055,G4055)=1,1,0))</f>
        <v>0</v>
      </c>
      <c r="J4055" s="32">
        <f>IF(H4055="",0,IF(COUNTIF($H$2:H4055,H4055)=1,1,0))</f>
        <v>0</v>
      </c>
    </row>
    <row r="4056" spans="1:10" ht="14.25" hidden="1" customHeight="1" x14ac:dyDescent="0.35">
      <c r="A4056" s="30"/>
      <c r="E4056" s="31"/>
      <c r="G4056" s="32" t="str">
        <f t="shared" si="126"/>
        <v>|||1900|</v>
      </c>
      <c r="H4056" s="32" t="str">
        <f t="shared" si="127"/>
        <v>||1900|</v>
      </c>
      <c r="I4056" s="32">
        <f>IF(G4056="",0,IF(COUNTIF($G$2:G4056,G4056)=1,1,0))</f>
        <v>0</v>
      </c>
      <c r="J4056" s="32">
        <f>IF(H4056="",0,IF(COUNTIF($H$2:H4056,H4056)=1,1,0))</f>
        <v>0</v>
      </c>
    </row>
    <row r="4057" spans="1:10" ht="14.25" hidden="1" customHeight="1" x14ac:dyDescent="0.35">
      <c r="A4057" s="30"/>
      <c r="E4057" s="31"/>
      <c r="G4057" s="32" t="str">
        <f t="shared" si="126"/>
        <v>|||1900|</v>
      </c>
      <c r="H4057" s="32" t="str">
        <f t="shared" si="127"/>
        <v>||1900|</v>
      </c>
      <c r="I4057" s="32">
        <f>IF(G4057="",0,IF(COUNTIF($G$2:G4057,G4057)=1,1,0))</f>
        <v>0</v>
      </c>
      <c r="J4057" s="32">
        <f>IF(H4057="",0,IF(COUNTIF($H$2:H4057,H4057)=1,1,0))</f>
        <v>0</v>
      </c>
    </row>
    <row r="4058" spans="1:10" ht="14.25" hidden="1" customHeight="1" x14ac:dyDescent="0.35">
      <c r="A4058" s="30"/>
      <c r="E4058" s="31"/>
      <c r="G4058" s="32" t="str">
        <f t="shared" si="126"/>
        <v>|||1900|</v>
      </c>
      <c r="H4058" s="32" t="str">
        <f t="shared" si="127"/>
        <v>||1900|</v>
      </c>
      <c r="I4058" s="32">
        <f>IF(G4058="",0,IF(COUNTIF($G$2:G4058,G4058)=1,1,0))</f>
        <v>0</v>
      </c>
      <c r="J4058" s="32">
        <f>IF(H4058="",0,IF(COUNTIF($H$2:H4058,H4058)=1,1,0))</f>
        <v>0</v>
      </c>
    </row>
    <row r="4059" spans="1:10" ht="14.25" hidden="1" customHeight="1" x14ac:dyDescent="0.35">
      <c r="A4059" s="30"/>
      <c r="E4059" s="31"/>
      <c r="G4059" s="32" t="str">
        <f t="shared" si="126"/>
        <v>|||1900|</v>
      </c>
      <c r="H4059" s="32" t="str">
        <f t="shared" si="127"/>
        <v>||1900|</v>
      </c>
      <c r="I4059" s="32">
        <f>IF(G4059="",0,IF(COUNTIF($G$2:G4059,G4059)=1,1,0))</f>
        <v>0</v>
      </c>
      <c r="J4059" s="32">
        <f>IF(H4059="",0,IF(COUNTIF($H$2:H4059,H4059)=1,1,0))</f>
        <v>0</v>
      </c>
    </row>
    <row r="4060" spans="1:10" ht="14.25" hidden="1" customHeight="1" x14ac:dyDescent="0.35">
      <c r="A4060" s="30"/>
      <c r="E4060" s="31"/>
      <c r="G4060" s="32" t="str">
        <f t="shared" si="126"/>
        <v>|||1900|</v>
      </c>
      <c r="H4060" s="32" t="str">
        <f t="shared" si="127"/>
        <v>||1900|</v>
      </c>
      <c r="I4060" s="32">
        <f>IF(G4060="",0,IF(COUNTIF($G$2:G4060,G4060)=1,1,0))</f>
        <v>0</v>
      </c>
      <c r="J4060" s="32">
        <f>IF(H4060="",0,IF(COUNTIF($H$2:H4060,H4060)=1,1,0))</f>
        <v>0</v>
      </c>
    </row>
    <row r="4061" spans="1:10" ht="14.25" hidden="1" customHeight="1" x14ac:dyDescent="0.35">
      <c r="A4061" s="30"/>
      <c r="E4061" s="31"/>
      <c r="G4061" s="32" t="str">
        <f t="shared" si="126"/>
        <v>|||1900|</v>
      </c>
      <c r="H4061" s="32" t="str">
        <f t="shared" si="127"/>
        <v>||1900|</v>
      </c>
      <c r="I4061" s="32">
        <f>IF(G4061="",0,IF(COUNTIF($G$2:G4061,G4061)=1,1,0))</f>
        <v>0</v>
      </c>
      <c r="J4061" s="32">
        <f>IF(H4061="",0,IF(COUNTIF($H$2:H4061,H4061)=1,1,0))</f>
        <v>0</v>
      </c>
    </row>
    <row r="4062" spans="1:10" ht="14.25" hidden="1" customHeight="1" x14ac:dyDescent="0.35">
      <c r="A4062" s="30"/>
      <c r="E4062" s="31"/>
      <c r="G4062" s="32" t="str">
        <f t="shared" si="126"/>
        <v>|||1900|</v>
      </c>
      <c r="H4062" s="32" t="str">
        <f t="shared" si="127"/>
        <v>||1900|</v>
      </c>
      <c r="I4062" s="32">
        <f>IF(G4062="",0,IF(COUNTIF($G$2:G4062,G4062)=1,1,0))</f>
        <v>0</v>
      </c>
      <c r="J4062" s="32">
        <f>IF(H4062="",0,IF(COUNTIF($H$2:H4062,H4062)=1,1,0))</f>
        <v>0</v>
      </c>
    </row>
    <row r="4063" spans="1:10" ht="14.25" hidden="1" customHeight="1" x14ac:dyDescent="0.35">
      <c r="A4063" s="30"/>
      <c r="E4063" s="31"/>
      <c r="G4063" s="32" t="str">
        <f t="shared" si="126"/>
        <v>|||1900|</v>
      </c>
      <c r="H4063" s="32" t="str">
        <f t="shared" si="127"/>
        <v>||1900|</v>
      </c>
      <c r="I4063" s="32">
        <f>IF(G4063="",0,IF(COUNTIF($G$2:G4063,G4063)=1,1,0))</f>
        <v>0</v>
      </c>
      <c r="J4063" s="32">
        <f>IF(H4063="",0,IF(COUNTIF($H$2:H4063,H4063)=1,1,0))</f>
        <v>0</v>
      </c>
    </row>
    <row r="4064" spans="1:10" ht="14.25" hidden="1" customHeight="1" x14ac:dyDescent="0.35">
      <c r="A4064" s="30"/>
      <c r="E4064" s="31"/>
      <c r="G4064" s="32" t="str">
        <f t="shared" si="126"/>
        <v>|||1900|</v>
      </c>
      <c r="H4064" s="32" t="str">
        <f t="shared" si="127"/>
        <v>||1900|</v>
      </c>
      <c r="I4064" s="32">
        <f>IF(G4064="",0,IF(COUNTIF($G$2:G4064,G4064)=1,1,0))</f>
        <v>0</v>
      </c>
      <c r="J4064" s="32">
        <f>IF(H4064="",0,IF(COUNTIF($H$2:H4064,H4064)=1,1,0))</f>
        <v>0</v>
      </c>
    </row>
    <row r="4065" spans="1:10" ht="14.25" hidden="1" customHeight="1" x14ac:dyDescent="0.35">
      <c r="A4065" s="30"/>
      <c r="E4065" s="31"/>
      <c r="G4065" s="32" t="str">
        <f t="shared" si="126"/>
        <v>|||1900|</v>
      </c>
      <c r="H4065" s="32" t="str">
        <f t="shared" si="127"/>
        <v>||1900|</v>
      </c>
      <c r="I4065" s="32">
        <f>IF(G4065="",0,IF(COUNTIF($G$2:G4065,G4065)=1,1,0))</f>
        <v>0</v>
      </c>
      <c r="J4065" s="32">
        <f>IF(H4065="",0,IF(COUNTIF($H$2:H4065,H4065)=1,1,0))</f>
        <v>0</v>
      </c>
    </row>
    <row r="4066" spans="1:10" ht="14.25" hidden="1" customHeight="1" x14ac:dyDescent="0.35">
      <c r="A4066" s="30"/>
      <c r="E4066" s="31"/>
      <c r="G4066" s="32" t="str">
        <f t="shared" si="126"/>
        <v>|||1900|</v>
      </c>
      <c r="H4066" s="32" t="str">
        <f t="shared" si="127"/>
        <v>||1900|</v>
      </c>
      <c r="I4066" s="32">
        <f>IF(G4066="",0,IF(COUNTIF($G$2:G4066,G4066)=1,1,0))</f>
        <v>0</v>
      </c>
      <c r="J4066" s="32">
        <f>IF(H4066="",0,IF(COUNTIF($H$2:H4066,H4066)=1,1,0))</f>
        <v>0</v>
      </c>
    </row>
    <row r="4067" spans="1:10" ht="14.25" hidden="1" customHeight="1" x14ac:dyDescent="0.35">
      <c r="A4067" s="30"/>
      <c r="E4067" s="31"/>
      <c r="G4067" s="32" t="str">
        <f t="shared" si="126"/>
        <v>|||1900|</v>
      </c>
      <c r="H4067" s="32" t="str">
        <f t="shared" si="127"/>
        <v>||1900|</v>
      </c>
      <c r="I4067" s="32">
        <f>IF(G4067="",0,IF(COUNTIF($G$2:G4067,G4067)=1,1,0))</f>
        <v>0</v>
      </c>
      <c r="J4067" s="32">
        <f>IF(H4067="",0,IF(COUNTIF($H$2:H4067,H4067)=1,1,0))</f>
        <v>0</v>
      </c>
    </row>
    <row r="4068" spans="1:10" ht="14.25" hidden="1" customHeight="1" x14ac:dyDescent="0.35">
      <c r="A4068" s="30"/>
      <c r="E4068" s="31"/>
      <c r="G4068" s="32" t="str">
        <f t="shared" si="126"/>
        <v>|||1900|</v>
      </c>
      <c r="H4068" s="32" t="str">
        <f t="shared" si="127"/>
        <v>||1900|</v>
      </c>
      <c r="I4068" s="32">
        <f>IF(G4068="",0,IF(COUNTIF($G$2:G4068,G4068)=1,1,0))</f>
        <v>0</v>
      </c>
      <c r="J4068" s="32">
        <f>IF(H4068="",0,IF(COUNTIF($H$2:H4068,H4068)=1,1,0))</f>
        <v>0</v>
      </c>
    </row>
    <row r="4069" spans="1:10" ht="14.25" hidden="1" customHeight="1" x14ac:dyDescent="0.35">
      <c r="A4069" s="30"/>
      <c r="E4069" s="31"/>
      <c r="G4069" s="32" t="str">
        <f t="shared" si="126"/>
        <v>|||1900|</v>
      </c>
      <c r="H4069" s="32" t="str">
        <f t="shared" si="127"/>
        <v>||1900|</v>
      </c>
      <c r="I4069" s="32">
        <f>IF(G4069="",0,IF(COUNTIF($G$2:G4069,G4069)=1,1,0))</f>
        <v>0</v>
      </c>
      <c r="J4069" s="32">
        <f>IF(H4069="",0,IF(COUNTIF($H$2:H4069,H4069)=1,1,0))</f>
        <v>0</v>
      </c>
    </row>
    <row r="4070" spans="1:10" ht="14.25" hidden="1" customHeight="1" x14ac:dyDescent="0.35">
      <c r="A4070" s="30"/>
      <c r="E4070" s="31"/>
      <c r="G4070" s="32" t="str">
        <f t="shared" si="126"/>
        <v>|||1900|</v>
      </c>
      <c r="H4070" s="32" t="str">
        <f t="shared" si="127"/>
        <v>||1900|</v>
      </c>
      <c r="I4070" s="32">
        <f>IF(G4070="",0,IF(COUNTIF($G$2:G4070,G4070)=1,1,0))</f>
        <v>0</v>
      </c>
      <c r="J4070" s="32">
        <f>IF(H4070="",0,IF(COUNTIF($H$2:H4070,H4070)=1,1,0))</f>
        <v>0</v>
      </c>
    </row>
    <row r="4071" spans="1:10" ht="14.25" hidden="1" customHeight="1" x14ac:dyDescent="0.35">
      <c r="A4071" s="30"/>
      <c r="E4071" s="31"/>
      <c r="G4071" s="32" t="str">
        <f t="shared" si="126"/>
        <v>|||1900|</v>
      </c>
      <c r="H4071" s="32" t="str">
        <f t="shared" si="127"/>
        <v>||1900|</v>
      </c>
      <c r="I4071" s="32">
        <f>IF(G4071="",0,IF(COUNTIF($G$2:G4071,G4071)=1,1,0))</f>
        <v>0</v>
      </c>
      <c r="J4071" s="32">
        <f>IF(H4071="",0,IF(COUNTIF($H$2:H4071,H4071)=1,1,0))</f>
        <v>0</v>
      </c>
    </row>
    <row r="4072" spans="1:10" ht="14.25" hidden="1" customHeight="1" x14ac:dyDescent="0.35">
      <c r="A4072" s="30"/>
      <c r="E4072" s="31"/>
      <c r="G4072" s="32" t="str">
        <f t="shared" si="126"/>
        <v>|||1900|</v>
      </c>
      <c r="H4072" s="32" t="str">
        <f t="shared" si="127"/>
        <v>||1900|</v>
      </c>
      <c r="I4072" s="32">
        <f>IF(G4072="",0,IF(COUNTIF($G$2:G4072,G4072)=1,1,0))</f>
        <v>0</v>
      </c>
      <c r="J4072" s="32">
        <f>IF(H4072="",0,IF(COUNTIF($H$2:H4072,H4072)=1,1,0))</f>
        <v>0</v>
      </c>
    </row>
    <row r="4073" spans="1:10" ht="14.25" hidden="1" customHeight="1" x14ac:dyDescent="0.35">
      <c r="A4073" s="30"/>
      <c r="E4073" s="31"/>
      <c r="G4073" s="32" t="str">
        <f t="shared" si="126"/>
        <v>|||1900|</v>
      </c>
      <c r="H4073" s="32" t="str">
        <f t="shared" si="127"/>
        <v>||1900|</v>
      </c>
      <c r="I4073" s="32">
        <f>IF(G4073="",0,IF(COUNTIF($G$2:G4073,G4073)=1,1,0))</f>
        <v>0</v>
      </c>
      <c r="J4073" s="32">
        <f>IF(H4073="",0,IF(COUNTIF($H$2:H4073,H4073)=1,1,0))</f>
        <v>0</v>
      </c>
    </row>
    <row r="4074" spans="1:10" ht="14.25" hidden="1" customHeight="1" x14ac:dyDescent="0.35">
      <c r="A4074" s="30"/>
      <c r="E4074" s="31"/>
      <c r="G4074" s="32" t="str">
        <f t="shared" si="126"/>
        <v>|||1900|</v>
      </c>
      <c r="H4074" s="32" t="str">
        <f t="shared" si="127"/>
        <v>||1900|</v>
      </c>
      <c r="I4074" s="32">
        <f>IF(G4074="",0,IF(COUNTIF($G$2:G4074,G4074)=1,1,0))</f>
        <v>0</v>
      </c>
      <c r="J4074" s="32">
        <f>IF(H4074="",0,IF(COUNTIF($H$2:H4074,H4074)=1,1,0))</f>
        <v>0</v>
      </c>
    </row>
    <row r="4075" spans="1:10" ht="14.25" hidden="1" customHeight="1" x14ac:dyDescent="0.35">
      <c r="A4075" s="30"/>
      <c r="E4075" s="31"/>
      <c r="G4075" s="32" t="str">
        <f t="shared" si="126"/>
        <v>|||1900|</v>
      </c>
      <c r="H4075" s="32" t="str">
        <f t="shared" si="127"/>
        <v>||1900|</v>
      </c>
      <c r="I4075" s="32">
        <f>IF(G4075="",0,IF(COUNTIF($G$2:G4075,G4075)=1,1,0))</f>
        <v>0</v>
      </c>
      <c r="J4075" s="32">
        <f>IF(H4075="",0,IF(COUNTIF($H$2:H4075,H4075)=1,1,0))</f>
        <v>0</v>
      </c>
    </row>
    <row r="4076" spans="1:10" ht="14.25" hidden="1" customHeight="1" x14ac:dyDescent="0.35">
      <c r="A4076" s="30"/>
      <c r="E4076" s="31"/>
      <c r="G4076" s="32" t="str">
        <f t="shared" si="126"/>
        <v>|||1900|</v>
      </c>
      <c r="H4076" s="32" t="str">
        <f t="shared" si="127"/>
        <v>||1900|</v>
      </c>
      <c r="I4076" s="32">
        <f>IF(G4076="",0,IF(COUNTIF($G$2:G4076,G4076)=1,1,0))</f>
        <v>0</v>
      </c>
      <c r="J4076" s="32">
        <f>IF(H4076="",0,IF(COUNTIF($H$2:H4076,H4076)=1,1,0))</f>
        <v>0</v>
      </c>
    </row>
    <row r="4077" spans="1:10" ht="14.25" hidden="1" customHeight="1" x14ac:dyDescent="0.35">
      <c r="A4077" s="30"/>
      <c r="E4077" s="31"/>
      <c r="G4077" s="32" t="str">
        <f t="shared" si="126"/>
        <v>|||1900|</v>
      </c>
      <c r="H4077" s="32" t="str">
        <f t="shared" si="127"/>
        <v>||1900|</v>
      </c>
      <c r="I4077" s="32">
        <f>IF(G4077="",0,IF(COUNTIF($G$2:G4077,G4077)=1,1,0))</f>
        <v>0</v>
      </c>
      <c r="J4077" s="32">
        <f>IF(H4077="",0,IF(COUNTIF($H$2:H4077,H4077)=1,1,0))</f>
        <v>0</v>
      </c>
    </row>
    <row r="4078" spans="1:10" ht="14.25" hidden="1" customHeight="1" x14ac:dyDescent="0.35">
      <c r="A4078" s="30"/>
      <c r="E4078" s="31"/>
      <c r="G4078" s="32" t="str">
        <f t="shared" si="126"/>
        <v>|||1900|</v>
      </c>
      <c r="H4078" s="32" t="str">
        <f t="shared" si="127"/>
        <v>||1900|</v>
      </c>
      <c r="I4078" s="32">
        <f>IF(G4078="",0,IF(COUNTIF($G$2:G4078,G4078)=1,1,0))</f>
        <v>0</v>
      </c>
      <c r="J4078" s="32">
        <f>IF(H4078="",0,IF(COUNTIF($H$2:H4078,H4078)=1,1,0))</f>
        <v>0</v>
      </c>
    </row>
    <row r="4079" spans="1:10" ht="14.25" hidden="1" customHeight="1" x14ac:dyDescent="0.35">
      <c r="A4079" s="30"/>
      <c r="E4079" s="31"/>
      <c r="G4079" s="32" t="str">
        <f t="shared" si="126"/>
        <v>|||1900|</v>
      </c>
      <c r="H4079" s="32" t="str">
        <f t="shared" si="127"/>
        <v>||1900|</v>
      </c>
      <c r="I4079" s="32">
        <f>IF(G4079="",0,IF(COUNTIF($G$2:G4079,G4079)=1,1,0))</f>
        <v>0</v>
      </c>
      <c r="J4079" s="32">
        <f>IF(H4079="",0,IF(COUNTIF($H$2:H4079,H4079)=1,1,0))</f>
        <v>0</v>
      </c>
    </row>
    <row r="4080" spans="1:10" ht="14.25" hidden="1" customHeight="1" x14ac:dyDescent="0.35">
      <c r="A4080" s="30"/>
      <c r="E4080" s="31"/>
      <c r="G4080" s="32" t="str">
        <f t="shared" si="126"/>
        <v>|||1900|</v>
      </c>
      <c r="H4080" s="32" t="str">
        <f t="shared" si="127"/>
        <v>||1900|</v>
      </c>
      <c r="I4080" s="32">
        <f>IF(G4080="",0,IF(COUNTIF($G$2:G4080,G4080)=1,1,0))</f>
        <v>0</v>
      </c>
      <c r="J4080" s="32">
        <f>IF(H4080="",0,IF(COUNTIF($H$2:H4080,H4080)=1,1,0))</f>
        <v>0</v>
      </c>
    </row>
    <row r="4081" spans="1:10" ht="14.25" hidden="1" customHeight="1" x14ac:dyDescent="0.35">
      <c r="A4081" s="30"/>
      <c r="E4081" s="31"/>
      <c r="G4081" s="32" t="str">
        <f t="shared" si="126"/>
        <v>|||1900|</v>
      </c>
      <c r="H4081" s="32" t="str">
        <f t="shared" si="127"/>
        <v>||1900|</v>
      </c>
      <c r="I4081" s="32">
        <f>IF(G4081="",0,IF(COUNTIF($G$2:G4081,G4081)=1,1,0))</f>
        <v>0</v>
      </c>
      <c r="J4081" s="32">
        <f>IF(H4081="",0,IF(COUNTIF($H$2:H4081,H4081)=1,1,0))</f>
        <v>0</v>
      </c>
    </row>
    <row r="4082" spans="1:10" ht="14.25" hidden="1" customHeight="1" x14ac:dyDescent="0.35">
      <c r="A4082" s="30"/>
      <c r="E4082" s="31"/>
      <c r="G4082" s="32" t="str">
        <f t="shared" si="126"/>
        <v>|||1900|</v>
      </c>
      <c r="H4082" s="32" t="str">
        <f t="shared" si="127"/>
        <v>||1900|</v>
      </c>
      <c r="I4082" s="32">
        <f>IF(G4082="",0,IF(COUNTIF($G$2:G4082,G4082)=1,1,0))</f>
        <v>0</v>
      </c>
      <c r="J4082" s="32">
        <f>IF(H4082="",0,IF(COUNTIF($H$2:H4082,H4082)=1,1,0))</f>
        <v>0</v>
      </c>
    </row>
    <row r="4083" spans="1:10" ht="14.25" hidden="1" customHeight="1" x14ac:dyDescent="0.35">
      <c r="A4083" s="30"/>
      <c r="E4083" s="31"/>
      <c r="G4083" s="32" t="str">
        <f t="shared" si="126"/>
        <v>|||1900|</v>
      </c>
      <c r="H4083" s="32" t="str">
        <f t="shared" si="127"/>
        <v>||1900|</v>
      </c>
      <c r="I4083" s="32">
        <f>IF(G4083="",0,IF(COUNTIF($G$2:G4083,G4083)=1,1,0))</f>
        <v>0</v>
      </c>
      <c r="J4083" s="32">
        <f>IF(H4083="",0,IF(COUNTIF($H$2:H4083,H4083)=1,1,0))</f>
        <v>0</v>
      </c>
    </row>
    <row r="4084" spans="1:10" ht="14.25" hidden="1" customHeight="1" x14ac:dyDescent="0.35">
      <c r="A4084" s="30"/>
      <c r="E4084" s="31"/>
      <c r="G4084" s="32" t="str">
        <f t="shared" si="126"/>
        <v>|||1900|</v>
      </c>
      <c r="H4084" s="32" t="str">
        <f t="shared" si="127"/>
        <v>||1900|</v>
      </c>
      <c r="I4084" s="32">
        <f>IF(G4084="",0,IF(COUNTIF($G$2:G4084,G4084)=1,1,0))</f>
        <v>0</v>
      </c>
      <c r="J4084" s="32">
        <f>IF(H4084="",0,IF(COUNTIF($H$2:H4084,H4084)=1,1,0))</f>
        <v>0</v>
      </c>
    </row>
    <row r="4085" spans="1:10" ht="14.25" hidden="1" customHeight="1" x14ac:dyDescent="0.35">
      <c r="A4085" s="30"/>
      <c r="E4085" s="31"/>
      <c r="G4085" s="32" t="str">
        <f t="shared" si="126"/>
        <v>|||1900|</v>
      </c>
      <c r="H4085" s="32" t="str">
        <f t="shared" si="127"/>
        <v>||1900|</v>
      </c>
      <c r="I4085" s="32">
        <f>IF(G4085="",0,IF(COUNTIF($G$2:G4085,G4085)=1,1,0))</f>
        <v>0</v>
      </c>
      <c r="J4085" s="32">
        <f>IF(H4085="",0,IF(COUNTIF($H$2:H4085,H4085)=1,1,0))</f>
        <v>0</v>
      </c>
    </row>
    <row r="4086" spans="1:10" ht="14.25" hidden="1" customHeight="1" x14ac:dyDescent="0.35">
      <c r="A4086" s="30"/>
      <c r="E4086" s="31"/>
      <c r="G4086" s="32" t="str">
        <f t="shared" si="126"/>
        <v>|||1900|</v>
      </c>
      <c r="H4086" s="32" t="str">
        <f t="shared" si="127"/>
        <v>||1900|</v>
      </c>
      <c r="I4086" s="32">
        <f>IF(G4086="",0,IF(COUNTIF($G$2:G4086,G4086)=1,1,0))</f>
        <v>0</v>
      </c>
      <c r="J4086" s="32">
        <f>IF(H4086="",0,IF(COUNTIF($H$2:H4086,H4086)=1,1,0))</f>
        <v>0</v>
      </c>
    </row>
    <row r="4087" spans="1:10" ht="14.25" hidden="1" customHeight="1" x14ac:dyDescent="0.35">
      <c r="A4087" s="30"/>
      <c r="E4087" s="31"/>
      <c r="G4087" s="32" t="str">
        <f t="shared" si="126"/>
        <v>|||1900|</v>
      </c>
      <c r="H4087" s="32" t="str">
        <f t="shared" si="127"/>
        <v>||1900|</v>
      </c>
      <c r="I4087" s="32">
        <f>IF(G4087="",0,IF(COUNTIF($G$2:G4087,G4087)=1,1,0))</f>
        <v>0</v>
      </c>
      <c r="J4087" s="32">
        <f>IF(H4087="",0,IF(COUNTIF($H$2:H4087,H4087)=1,1,0))</f>
        <v>0</v>
      </c>
    </row>
    <row r="4088" spans="1:10" ht="14.25" hidden="1" customHeight="1" x14ac:dyDescent="0.35">
      <c r="A4088" s="30"/>
      <c r="E4088" s="31"/>
      <c r="G4088" s="32" t="str">
        <f t="shared" si="126"/>
        <v>|||1900|</v>
      </c>
      <c r="H4088" s="32" t="str">
        <f t="shared" si="127"/>
        <v>||1900|</v>
      </c>
      <c r="I4088" s="32">
        <f>IF(G4088="",0,IF(COUNTIF($G$2:G4088,G4088)=1,1,0))</f>
        <v>0</v>
      </c>
      <c r="J4088" s="32">
        <f>IF(H4088="",0,IF(COUNTIF($H$2:H4088,H4088)=1,1,0))</f>
        <v>0</v>
      </c>
    </row>
    <row r="4089" spans="1:10" ht="14.25" hidden="1" customHeight="1" x14ac:dyDescent="0.35">
      <c r="A4089" s="30"/>
      <c r="E4089" s="31"/>
      <c r="G4089" s="32" t="str">
        <f t="shared" si="126"/>
        <v>|||1900|</v>
      </c>
      <c r="H4089" s="32" t="str">
        <f t="shared" si="127"/>
        <v>||1900|</v>
      </c>
      <c r="I4089" s="32">
        <f>IF(G4089="",0,IF(COUNTIF($G$2:G4089,G4089)=1,1,0))</f>
        <v>0</v>
      </c>
      <c r="J4089" s="32">
        <f>IF(H4089="",0,IF(COUNTIF($H$2:H4089,H4089)=1,1,0))</f>
        <v>0</v>
      </c>
    </row>
    <row r="4090" spans="1:10" ht="14.25" hidden="1" customHeight="1" x14ac:dyDescent="0.35">
      <c r="A4090" s="30"/>
      <c r="E4090" s="31"/>
      <c r="G4090" s="32" t="str">
        <f t="shared" si="126"/>
        <v>|||1900|</v>
      </c>
      <c r="H4090" s="32" t="str">
        <f t="shared" si="127"/>
        <v>||1900|</v>
      </c>
      <c r="I4090" s="32">
        <f>IF(G4090="",0,IF(COUNTIF($G$2:G4090,G4090)=1,1,0))</f>
        <v>0</v>
      </c>
      <c r="J4090" s="32">
        <f>IF(H4090="",0,IF(COUNTIF($H$2:H4090,H4090)=1,1,0))</f>
        <v>0</v>
      </c>
    </row>
    <row r="4091" spans="1:10" ht="14.25" hidden="1" customHeight="1" x14ac:dyDescent="0.35">
      <c r="A4091" s="30"/>
      <c r="E4091" s="31"/>
      <c r="G4091" s="32" t="str">
        <f t="shared" si="126"/>
        <v>|||1900|</v>
      </c>
      <c r="H4091" s="32" t="str">
        <f t="shared" si="127"/>
        <v>||1900|</v>
      </c>
      <c r="I4091" s="32">
        <f>IF(G4091="",0,IF(COUNTIF($G$2:G4091,G4091)=1,1,0))</f>
        <v>0</v>
      </c>
      <c r="J4091" s="32">
        <f>IF(H4091="",0,IF(COUNTIF($H$2:H4091,H4091)=1,1,0))</f>
        <v>0</v>
      </c>
    </row>
    <row r="4092" spans="1:10" ht="14.25" hidden="1" customHeight="1" x14ac:dyDescent="0.35">
      <c r="A4092" s="30"/>
      <c r="E4092" s="31"/>
      <c r="G4092" s="32" t="str">
        <f t="shared" si="126"/>
        <v>|||1900|</v>
      </c>
      <c r="H4092" s="32" t="str">
        <f t="shared" si="127"/>
        <v>||1900|</v>
      </c>
      <c r="I4092" s="32">
        <f>IF(G4092="",0,IF(COUNTIF($G$2:G4092,G4092)=1,1,0))</f>
        <v>0</v>
      </c>
      <c r="J4092" s="32">
        <f>IF(H4092="",0,IF(COUNTIF($H$2:H4092,H4092)=1,1,0))</f>
        <v>0</v>
      </c>
    </row>
    <row r="4093" spans="1:10" ht="14.25" hidden="1" customHeight="1" x14ac:dyDescent="0.35">
      <c r="A4093" s="30"/>
      <c r="E4093" s="31"/>
      <c r="G4093" s="32" t="str">
        <f t="shared" si="126"/>
        <v>|||1900|</v>
      </c>
      <c r="H4093" s="32" t="str">
        <f t="shared" si="127"/>
        <v>||1900|</v>
      </c>
      <c r="I4093" s="32">
        <f>IF(G4093="",0,IF(COUNTIF($G$2:G4093,G4093)=1,1,0))</f>
        <v>0</v>
      </c>
      <c r="J4093" s="32">
        <f>IF(H4093="",0,IF(COUNTIF($H$2:H4093,H4093)=1,1,0))</f>
        <v>0</v>
      </c>
    </row>
    <row r="4094" spans="1:10" ht="14.25" hidden="1" customHeight="1" x14ac:dyDescent="0.35">
      <c r="A4094" s="30"/>
      <c r="E4094" s="31"/>
      <c r="G4094" s="32" t="str">
        <f t="shared" si="126"/>
        <v>|||1900|</v>
      </c>
      <c r="H4094" s="32" t="str">
        <f t="shared" si="127"/>
        <v>||1900|</v>
      </c>
      <c r="I4094" s="32">
        <f>IF(G4094="",0,IF(COUNTIF($G$2:G4094,G4094)=1,1,0))</f>
        <v>0</v>
      </c>
      <c r="J4094" s="32">
        <f>IF(H4094="",0,IF(COUNTIF($H$2:H4094,H4094)=1,1,0))</f>
        <v>0</v>
      </c>
    </row>
    <row r="4095" spans="1:10" ht="14.25" hidden="1" customHeight="1" x14ac:dyDescent="0.35">
      <c r="A4095" s="30"/>
      <c r="E4095" s="31"/>
      <c r="G4095" s="32" t="str">
        <f t="shared" si="126"/>
        <v>|||1900|</v>
      </c>
      <c r="H4095" s="32" t="str">
        <f t="shared" si="127"/>
        <v>||1900|</v>
      </c>
      <c r="I4095" s="32">
        <f>IF(G4095="",0,IF(COUNTIF($G$2:G4095,G4095)=1,1,0))</f>
        <v>0</v>
      </c>
      <c r="J4095" s="32">
        <f>IF(H4095="",0,IF(COUNTIF($H$2:H4095,H4095)=1,1,0))</f>
        <v>0</v>
      </c>
    </row>
    <row r="4096" spans="1:10" ht="14.25" hidden="1" customHeight="1" x14ac:dyDescent="0.35">
      <c r="A4096" s="30"/>
      <c r="E4096" s="31"/>
      <c r="G4096" s="32" t="str">
        <f t="shared" si="126"/>
        <v>|||1900|</v>
      </c>
      <c r="H4096" s="32" t="str">
        <f t="shared" si="127"/>
        <v>||1900|</v>
      </c>
      <c r="I4096" s="32">
        <f>IF(G4096="",0,IF(COUNTIF($G$2:G4096,G4096)=1,1,0))</f>
        <v>0</v>
      </c>
      <c r="J4096" s="32">
        <f>IF(H4096="",0,IF(COUNTIF($H$2:H4096,H4096)=1,1,0))</f>
        <v>0</v>
      </c>
    </row>
    <row r="4097" spans="1:10" ht="14.25" hidden="1" customHeight="1" x14ac:dyDescent="0.35">
      <c r="A4097" s="30"/>
      <c r="E4097" s="31"/>
      <c r="G4097" s="32" t="str">
        <f t="shared" si="126"/>
        <v>|||1900|</v>
      </c>
      <c r="H4097" s="32" t="str">
        <f t="shared" si="127"/>
        <v>||1900|</v>
      </c>
      <c r="I4097" s="32">
        <f>IF(G4097="",0,IF(COUNTIF($G$2:G4097,G4097)=1,1,0))</f>
        <v>0</v>
      </c>
      <c r="J4097" s="32">
        <f>IF(H4097="",0,IF(COUNTIF($H$2:H4097,H4097)=1,1,0))</f>
        <v>0</v>
      </c>
    </row>
    <row r="4098" spans="1:10" ht="14.25" hidden="1" customHeight="1" x14ac:dyDescent="0.35">
      <c r="A4098" s="30"/>
      <c r="E4098" s="31"/>
      <c r="G4098" s="32" t="str">
        <f t="shared" ref="G4098:G4161" si="128">IF(D4098="T",
E4098&amp;"|"&amp;F4098,
A4098&amp;"|"&amp;B4098&amp;"|"&amp;C4098&amp;"|"&amp;YEAR(E4098)&amp;"|"&amp;F4098)</f>
        <v>|||1900|</v>
      </c>
      <c r="H4098" s="32" t="str">
        <f t="shared" ref="H4098:H4161" si="129">A4098&amp;"|"&amp;C4098&amp;"|"&amp;YEAR(E4098)&amp;"|"&amp;F4098</f>
        <v>||1900|</v>
      </c>
      <c r="I4098" s="32">
        <f>IF(G4098="",0,IF(COUNTIF($G$2:G4098,G4098)=1,1,0))</f>
        <v>0</v>
      </c>
      <c r="J4098" s="32">
        <f>IF(H4098="",0,IF(COUNTIF($H$2:H4098,H4098)=1,1,0))</f>
        <v>0</v>
      </c>
    </row>
    <row r="4099" spans="1:10" ht="14.25" hidden="1" customHeight="1" x14ac:dyDescent="0.35">
      <c r="A4099" s="30"/>
      <c r="E4099" s="31"/>
      <c r="G4099" s="32" t="str">
        <f t="shared" si="128"/>
        <v>|||1900|</v>
      </c>
      <c r="H4099" s="32" t="str">
        <f t="shared" si="129"/>
        <v>||1900|</v>
      </c>
      <c r="I4099" s="32">
        <f>IF(G4099="",0,IF(COUNTIF($G$2:G4099,G4099)=1,1,0))</f>
        <v>0</v>
      </c>
      <c r="J4099" s="32">
        <f>IF(H4099="",0,IF(COUNTIF($H$2:H4099,H4099)=1,1,0))</f>
        <v>0</v>
      </c>
    </row>
    <row r="4100" spans="1:10" ht="14.25" hidden="1" customHeight="1" x14ac:dyDescent="0.35">
      <c r="A4100" s="30"/>
      <c r="E4100" s="31"/>
      <c r="G4100" s="32" t="str">
        <f t="shared" si="128"/>
        <v>|||1900|</v>
      </c>
      <c r="H4100" s="32" t="str">
        <f t="shared" si="129"/>
        <v>||1900|</v>
      </c>
      <c r="I4100" s="32">
        <f>IF(G4100="",0,IF(COUNTIF($G$2:G4100,G4100)=1,1,0))</f>
        <v>0</v>
      </c>
      <c r="J4100" s="32">
        <f>IF(H4100="",0,IF(COUNTIF($H$2:H4100,H4100)=1,1,0))</f>
        <v>0</v>
      </c>
    </row>
    <row r="4101" spans="1:10" ht="14.25" hidden="1" customHeight="1" x14ac:dyDescent="0.35">
      <c r="A4101" s="30"/>
      <c r="E4101" s="31"/>
      <c r="G4101" s="32" t="str">
        <f t="shared" si="128"/>
        <v>|||1900|</v>
      </c>
      <c r="H4101" s="32" t="str">
        <f t="shared" si="129"/>
        <v>||1900|</v>
      </c>
      <c r="I4101" s="32">
        <f>IF(G4101="",0,IF(COUNTIF($G$2:G4101,G4101)=1,1,0))</f>
        <v>0</v>
      </c>
      <c r="J4101" s="32">
        <f>IF(H4101="",0,IF(COUNTIF($H$2:H4101,H4101)=1,1,0))</f>
        <v>0</v>
      </c>
    </row>
    <row r="4102" spans="1:10" ht="14.25" hidden="1" customHeight="1" x14ac:dyDescent="0.35">
      <c r="A4102" s="30"/>
      <c r="E4102" s="31"/>
      <c r="G4102" s="32" t="str">
        <f t="shared" si="128"/>
        <v>|||1900|</v>
      </c>
      <c r="H4102" s="32" t="str">
        <f t="shared" si="129"/>
        <v>||1900|</v>
      </c>
      <c r="I4102" s="32">
        <f>IF(G4102="",0,IF(COUNTIF($G$2:G4102,G4102)=1,1,0))</f>
        <v>0</v>
      </c>
      <c r="J4102" s="32">
        <f>IF(H4102="",0,IF(COUNTIF($H$2:H4102,H4102)=1,1,0))</f>
        <v>0</v>
      </c>
    </row>
    <row r="4103" spans="1:10" ht="14.25" hidden="1" customHeight="1" x14ac:dyDescent="0.35">
      <c r="A4103" s="30"/>
      <c r="E4103" s="31"/>
      <c r="G4103" s="32" t="str">
        <f t="shared" si="128"/>
        <v>|||1900|</v>
      </c>
      <c r="H4103" s="32" t="str">
        <f t="shared" si="129"/>
        <v>||1900|</v>
      </c>
      <c r="I4103" s="32">
        <f>IF(G4103="",0,IF(COUNTIF($G$2:G4103,G4103)=1,1,0))</f>
        <v>0</v>
      </c>
      <c r="J4103" s="32">
        <f>IF(H4103="",0,IF(COUNTIF($H$2:H4103,H4103)=1,1,0))</f>
        <v>0</v>
      </c>
    </row>
    <row r="4104" spans="1:10" ht="14.25" hidden="1" customHeight="1" x14ac:dyDescent="0.35">
      <c r="A4104" s="30"/>
      <c r="E4104" s="31"/>
      <c r="G4104" s="32" t="str">
        <f t="shared" si="128"/>
        <v>|||1900|</v>
      </c>
      <c r="H4104" s="32" t="str">
        <f t="shared" si="129"/>
        <v>||1900|</v>
      </c>
      <c r="I4104" s="32">
        <f>IF(G4104="",0,IF(COUNTIF($G$2:G4104,G4104)=1,1,0))</f>
        <v>0</v>
      </c>
      <c r="J4104" s="32">
        <f>IF(H4104="",0,IF(COUNTIF($H$2:H4104,H4104)=1,1,0))</f>
        <v>0</v>
      </c>
    </row>
    <row r="4105" spans="1:10" ht="14.25" hidden="1" customHeight="1" x14ac:dyDescent="0.35">
      <c r="A4105" s="30"/>
      <c r="E4105" s="31"/>
      <c r="G4105" s="32" t="str">
        <f t="shared" si="128"/>
        <v>|||1900|</v>
      </c>
      <c r="H4105" s="32" t="str">
        <f t="shared" si="129"/>
        <v>||1900|</v>
      </c>
      <c r="I4105" s="32">
        <f>IF(G4105="",0,IF(COUNTIF($G$2:G4105,G4105)=1,1,0))</f>
        <v>0</v>
      </c>
      <c r="J4105" s="32">
        <f>IF(H4105="",0,IF(COUNTIF($H$2:H4105,H4105)=1,1,0))</f>
        <v>0</v>
      </c>
    </row>
    <row r="4106" spans="1:10" ht="14.25" hidden="1" customHeight="1" x14ac:dyDescent="0.35">
      <c r="A4106" s="30"/>
      <c r="E4106" s="31"/>
      <c r="G4106" s="32" t="str">
        <f t="shared" si="128"/>
        <v>|||1900|</v>
      </c>
      <c r="H4106" s="32" t="str">
        <f t="shared" si="129"/>
        <v>||1900|</v>
      </c>
      <c r="I4106" s="32">
        <f>IF(G4106="",0,IF(COUNTIF($G$2:G4106,G4106)=1,1,0))</f>
        <v>0</v>
      </c>
      <c r="J4106" s="32">
        <f>IF(H4106="",0,IF(COUNTIF($H$2:H4106,H4106)=1,1,0))</f>
        <v>0</v>
      </c>
    </row>
    <row r="4107" spans="1:10" ht="14.25" hidden="1" customHeight="1" x14ac:dyDescent="0.35">
      <c r="A4107" s="30"/>
      <c r="E4107" s="31"/>
      <c r="G4107" s="32" t="str">
        <f t="shared" si="128"/>
        <v>|||1900|</v>
      </c>
      <c r="H4107" s="32" t="str">
        <f t="shared" si="129"/>
        <v>||1900|</v>
      </c>
      <c r="I4107" s="32">
        <f>IF(G4107="",0,IF(COUNTIF($G$2:G4107,G4107)=1,1,0))</f>
        <v>0</v>
      </c>
      <c r="J4107" s="32">
        <f>IF(H4107="",0,IF(COUNTIF($H$2:H4107,H4107)=1,1,0))</f>
        <v>0</v>
      </c>
    </row>
    <row r="4108" spans="1:10" ht="14.25" hidden="1" customHeight="1" x14ac:dyDescent="0.35">
      <c r="A4108" s="30"/>
      <c r="E4108" s="31"/>
      <c r="G4108" s="32" t="str">
        <f t="shared" si="128"/>
        <v>|||1900|</v>
      </c>
      <c r="H4108" s="32" t="str">
        <f t="shared" si="129"/>
        <v>||1900|</v>
      </c>
      <c r="I4108" s="32">
        <f>IF(G4108="",0,IF(COUNTIF($G$2:G4108,G4108)=1,1,0))</f>
        <v>0</v>
      </c>
      <c r="J4108" s="32">
        <f>IF(H4108="",0,IF(COUNTIF($H$2:H4108,H4108)=1,1,0))</f>
        <v>0</v>
      </c>
    </row>
    <row r="4109" spans="1:10" ht="14.25" hidden="1" customHeight="1" x14ac:dyDescent="0.35">
      <c r="A4109" s="30"/>
      <c r="E4109" s="31"/>
      <c r="G4109" s="32" t="str">
        <f t="shared" si="128"/>
        <v>|||1900|</v>
      </c>
      <c r="H4109" s="32" t="str">
        <f t="shared" si="129"/>
        <v>||1900|</v>
      </c>
      <c r="I4109" s="32">
        <f>IF(G4109="",0,IF(COUNTIF($G$2:G4109,G4109)=1,1,0))</f>
        <v>0</v>
      </c>
      <c r="J4109" s="32">
        <f>IF(H4109="",0,IF(COUNTIF($H$2:H4109,H4109)=1,1,0))</f>
        <v>0</v>
      </c>
    </row>
    <row r="4110" spans="1:10" ht="14.25" hidden="1" customHeight="1" x14ac:dyDescent="0.35">
      <c r="A4110" s="30"/>
      <c r="E4110" s="31"/>
      <c r="G4110" s="32" t="str">
        <f t="shared" si="128"/>
        <v>|||1900|</v>
      </c>
      <c r="H4110" s="32" t="str">
        <f t="shared" si="129"/>
        <v>||1900|</v>
      </c>
      <c r="I4110" s="32">
        <f>IF(G4110="",0,IF(COUNTIF($G$2:G4110,G4110)=1,1,0))</f>
        <v>0</v>
      </c>
      <c r="J4110" s="32">
        <f>IF(H4110="",0,IF(COUNTIF($H$2:H4110,H4110)=1,1,0))</f>
        <v>0</v>
      </c>
    </row>
    <row r="4111" spans="1:10" ht="14.25" hidden="1" customHeight="1" x14ac:dyDescent="0.35">
      <c r="A4111" s="30"/>
      <c r="E4111" s="31"/>
      <c r="G4111" s="32" t="str">
        <f t="shared" si="128"/>
        <v>|||1900|</v>
      </c>
      <c r="H4111" s="32" t="str">
        <f t="shared" si="129"/>
        <v>||1900|</v>
      </c>
      <c r="I4111" s="32">
        <f>IF(G4111="",0,IF(COUNTIF($G$2:G4111,G4111)=1,1,0))</f>
        <v>0</v>
      </c>
      <c r="J4111" s="32">
        <f>IF(H4111="",0,IF(COUNTIF($H$2:H4111,H4111)=1,1,0))</f>
        <v>0</v>
      </c>
    </row>
    <row r="4112" spans="1:10" ht="14.25" hidden="1" customHeight="1" x14ac:dyDescent="0.35">
      <c r="A4112" s="30"/>
      <c r="E4112" s="31"/>
      <c r="G4112" s="32" t="str">
        <f t="shared" si="128"/>
        <v>|||1900|</v>
      </c>
      <c r="H4112" s="32" t="str">
        <f t="shared" si="129"/>
        <v>||1900|</v>
      </c>
      <c r="I4112" s="32">
        <f>IF(G4112="",0,IF(COUNTIF($G$2:G4112,G4112)=1,1,0))</f>
        <v>0</v>
      </c>
      <c r="J4112" s="32">
        <f>IF(H4112="",0,IF(COUNTIF($H$2:H4112,H4112)=1,1,0))</f>
        <v>0</v>
      </c>
    </row>
    <row r="4113" spans="1:10" ht="14.25" hidden="1" customHeight="1" x14ac:dyDescent="0.35">
      <c r="A4113" s="30"/>
      <c r="E4113" s="31"/>
      <c r="G4113" s="32" t="str">
        <f t="shared" si="128"/>
        <v>|||1900|</v>
      </c>
      <c r="H4113" s="32" t="str">
        <f t="shared" si="129"/>
        <v>||1900|</v>
      </c>
      <c r="I4113" s="32">
        <f>IF(G4113="",0,IF(COUNTIF($G$2:G4113,G4113)=1,1,0))</f>
        <v>0</v>
      </c>
      <c r="J4113" s="32">
        <f>IF(H4113="",0,IF(COUNTIF($H$2:H4113,H4113)=1,1,0))</f>
        <v>0</v>
      </c>
    </row>
    <row r="4114" spans="1:10" ht="14.25" hidden="1" customHeight="1" x14ac:dyDescent="0.35">
      <c r="A4114" s="30"/>
      <c r="E4114" s="31"/>
      <c r="G4114" s="32" t="str">
        <f t="shared" si="128"/>
        <v>|||1900|</v>
      </c>
      <c r="H4114" s="32" t="str">
        <f t="shared" si="129"/>
        <v>||1900|</v>
      </c>
      <c r="I4114" s="32">
        <f>IF(G4114="",0,IF(COUNTIF($G$2:G4114,G4114)=1,1,0))</f>
        <v>0</v>
      </c>
      <c r="J4114" s="32">
        <f>IF(H4114="",0,IF(COUNTIF($H$2:H4114,H4114)=1,1,0))</f>
        <v>0</v>
      </c>
    </row>
    <row r="4115" spans="1:10" ht="14.25" hidden="1" customHeight="1" x14ac:dyDescent="0.35">
      <c r="A4115" s="30"/>
      <c r="E4115" s="31"/>
      <c r="G4115" s="32" t="str">
        <f t="shared" si="128"/>
        <v>|||1900|</v>
      </c>
      <c r="H4115" s="32" t="str">
        <f t="shared" si="129"/>
        <v>||1900|</v>
      </c>
      <c r="I4115" s="32">
        <f>IF(G4115="",0,IF(COUNTIF($G$2:G4115,G4115)=1,1,0))</f>
        <v>0</v>
      </c>
      <c r="J4115" s="32">
        <f>IF(H4115="",0,IF(COUNTIF($H$2:H4115,H4115)=1,1,0))</f>
        <v>0</v>
      </c>
    </row>
    <row r="4116" spans="1:10" ht="14.25" hidden="1" customHeight="1" x14ac:dyDescent="0.35">
      <c r="A4116" s="30"/>
      <c r="E4116" s="31"/>
      <c r="G4116" s="32" t="str">
        <f t="shared" si="128"/>
        <v>|||1900|</v>
      </c>
      <c r="H4116" s="32" t="str">
        <f t="shared" si="129"/>
        <v>||1900|</v>
      </c>
      <c r="I4116" s="32">
        <f>IF(G4116="",0,IF(COUNTIF($G$2:G4116,G4116)=1,1,0))</f>
        <v>0</v>
      </c>
      <c r="J4116" s="32">
        <f>IF(H4116="",0,IF(COUNTIF($H$2:H4116,H4116)=1,1,0))</f>
        <v>0</v>
      </c>
    </row>
    <row r="4117" spans="1:10" ht="14.25" hidden="1" customHeight="1" x14ac:dyDescent="0.35">
      <c r="A4117" s="30"/>
      <c r="E4117" s="31"/>
      <c r="G4117" s="32" t="str">
        <f t="shared" si="128"/>
        <v>|||1900|</v>
      </c>
      <c r="H4117" s="32" t="str">
        <f t="shared" si="129"/>
        <v>||1900|</v>
      </c>
      <c r="I4117" s="32">
        <f>IF(G4117="",0,IF(COUNTIF($G$2:G4117,G4117)=1,1,0))</f>
        <v>0</v>
      </c>
      <c r="J4117" s="32">
        <f>IF(H4117="",0,IF(COUNTIF($H$2:H4117,H4117)=1,1,0))</f>
        <v>0</v>
      </c>
    </row>
    <row r="4118" spans="1:10" ht="14.25" hidden="1" customHeight="1" x14ac:dyDescent="0.35">
      <c r="A4118" s="30"/>
      <c r="E4118" s="31"/>
      <c r="G4118" s="32" t="str">
        <f t="shared" si="128"/>
        <v>|||1900|</v>
      </c>
      <c r="H4118" s="32" t="str">
        <f t="shared" si="129"/>
        <v>||1900|</v>
      </c>
      <c r="I4118" s="32">
        <f>IF(G4118="",0,IF(COUNTIF($G$2:G4118,G4118)=1,1,0))</f>
        <v>0</v>
      </c>
      <c r="J4118" s="32">
        <f>IF(H4118="",0,IF(COUNTIF($H$2:H4118,H4118)=1,1,0))</f>
        <v>0</v>
      </c>
    </row>
    <row r="4119" spans="1:10" ht="14.25" hidden="1" customHeight="1" x14ac:dyDescent="0.35">
      <c r="A4119" s="30"/>
      <c r="E4119" s="31"/>
      <c r="G4119" s="32" t="str">
        <f t="shared" si="128"/>
        <v>|||1900|</v>
      </c>
      <c r="H4119" s="32" t="str">
        <f t="shared" si="129"/>
        <v>||1900|</v>
      </c>
      <c r="I4119" s="32">
        <f>IF(G4119="",0,IF(COUNTIF($G$2:G4119,G4119)=1,1,0))</f>
        <v>0</v>
      </c>
      <c r="J4119" s="32">
        <f>IF(H4119="",0,IF(COUNTIF($H$2:H4119,H4119)=1,1,0))</f>
        <v>0</v>
      </c>
    </row>
    <row r="4120" spans="1:10" ht="14.25" hidden="1" customHeight="1" x14ac:dyDescent="0.35">
      <c r="A4120" s="30"/>
      <c r="E4120" s="31"/>
      <c r="G4120" s="32" t="str">
        <f t="shared" si="128"/>
        <v>|||1900|</v>
      </c>
      <c r="H4120" s="32" t="str">
        <f t="shared" si="129"/>
        <v>||1900|</v>
      </c>
      <c r="I4120" s="32">
        <f>IF(G4120="",0,IF(COUNTIF($G$2:G4120,G4120)=1,1,0))</f>
        <v>0</v>
      </c>
      <c r="J4120" s="32">
        <f>IF(H4120="",0,IF(COUNTIF($H$2:H4120,H4120)=1,1,0))</f>
        <v>0</v>
      </c>
    </row>
    <row r="4121" spans="1:10" ht="14.25" hidden="1" customHeight="1" x14ac:dyDescent="0.35">
      <c r="A4121" s="30"/>
      <c r="E4121" s="31"/>
      <c r="G4121" s="32" t="str">
        <f t="shared" si="128"/>
        <v>|||1900|</v>
      </c>
      <c r="H4121" s="32" t="str">
        <f t="shared" si="129"/>
        <v>||1900|</v>
      </c>
      <c r="I4121" s="32">
        <f>IF(G4121="",0,IF(COUNTIF($G$2:G4121,G4121)=1,1,0))</f>
        <v>0</v>
      </c>
      <c r="J4121" s="32">
        <f>IF(H4121="",0,IF(COUNTIF($H$2:H4121,H4121)=1,1,0))</f>
        <v>0</v>
      </c>
    </row>
    <row r="4122" spans="1:10" ht="14.25" hidden="1" customHeight="1" x14ac:dyDescent="0.35">
      <c r="A4122" s="30"/>
      <c r="E4122" s="31"/>
      <c r="G4122" s="32" t="str">
        <f t="shared" si="128"/>
        <v>|||1900|</v>
      </c>
      <c r="H4122" s="32" t="str">
        <f t="shared" si="129"/>
        <v>||1900|</v>
      </c>
      <c r="I4122" s="32">
        <f>IF(G4122="",0,IF(COUNTIF($G$2:G4122,G4122)=1,1,0))</f>
        <v>0</v>
      </c>
      <c r="J4122" s="32">
        <f>IF(H4122="",0,IF(COUNTIF($H$2:H4122,H4122)=1,1,0))</f>
        <v>0</v>
      </c>
    </row>
    <row r="4123" spans="1:10" ht="14.25" hidden="1" customHeight="1" x14ac:dyDescent="0.35">
      <c r="A4123" s="30"/>
      <c r="E4123" s="31"/>
      <c r="G4123" s="32" t="str">
        <f t="shared" si="128"/>
        <v>|||1900|</v>
      </c>
      <c r="H4123" s="32" t="str">
        <f t="shared" si="129"/>
        <v>||1900|</v>
      </c>
      <c r="I4123" s="32">
        <f>IF(G4123="",0,IF(COUNTIF($G$2:G4123,G4123)=1,1,0))</f>
        <v>0</v>
      </c>
      <c r="J4123" s="32">
        <f>IF(H4123="",0,IF(COUNTIF($H$2:H4123,H4123)=1,1,0))</f>
        <v>0</v>
      </c>
    </row>
    <row r="4124" spans="1:10" ht="14.25" hidden="1" customHeight="1" x14ac:dyDescent="0.35">
      <c r="A4124" s="30"/>
      <c r="E4124" s="31"/>
      <c r="G4124" s="32" t="str">
        <f t="shared" si="128"/>
        <v>|||1900|</v>
      </c>
      <c r="H4124" s="32" t="str">
        <f t="shared" si="129"/>
        <v>||1900|</v>
      </c>
      <c r="I4124" s="32">
        <f>IF(G4124="",0,IF(COUNTIF($G$2:G4124,G4124)=1,1,0))</f>
        <v>0</v>
      </c>
      <c r="J4124" s="32">
        <f>IF(H4124="",0,IF(COUNTIF($H$2:H4124,H4124)=1,1,0))</f>
        <v>0</v>
      </c>
    </row>
    <row r="4125" spans="1:10" ht="14.25" hidden="1" customHeight="1" x14ac:dyDescent="0.35">
      <c r="A4125" s="30"/>
      <c r="E4125" s="31"/>
      <c r="G4125" s="32" t="str">
        <f t="shared" si="128"/>
        <v>|||1900|</v>
      </c>
      <c r="H4125" s="32" t="str">
        <f t="shared" si="129"/>
        <v>||1900|</v>
      </c>
      <c r="I4125" s="32">
        <f>IF(G4125="",0,IF(COUNTIF($G$2:G4125,G4125)=1,1,0))</f>
        <v>0</v>
      </c>
      <c r="J4125" s="32">
        <f>IF(H4125="",0,IF(COUNTIF($H$2:H4125,H4125)=1,1,0))</f>
        <v>0</v>
      </c>
    </row>
    <row r="4126" spans="1:10" ht="14.25" hidden="1" customHeight="1" x14ac:dyDescent="0.35">
      <c r="A4126" s="30"/>
      <c r="E4126" s="31"/>
      <c r="G4126" s="32" t="str">
        <f t="shared" si="128"/>
        <v>|||1900|</v>
      </c>
      <c r="H4126" s="32" t="str">
        <f t="shared" si="129"/>
        <v>||1900|</v>
      </c>
      <c r="I4126" s="32">
        <f>IF(G4126="",0,IF(COUNTIF($G$2:G4126,G4126)=1,1,0))</f>
        <v>0</v>
      </c>
      <c r="J4126" s="32">
        <f>IF(H4126="",0,IF(COUNTIF($H$2:H4126,H4126)=1,1,0))</f>
        <v>0</v>
      </c>
    </row>
    <row r="4127" spans="1:10" ht="14.25" hidden="1" customHeight="1" x14ac:dyDescent="0.35">
      <c r="A4127" s="30"/>
      <c r="E4127" s="31"/>
      <c r="G4127" s="32" t="str">
        <f t="shared" si="128"/>
        <v>|||1900|</v>
      </c>
      <c r="H4127" s="32" t="str">
        <f t="shared" si="129"/>
        <v>||1900|</v>
      </c>
      <c r="I4127" s="32">
        <f>IF(G4127="",0,IF(COUNTIF($G$2:G4127,G4127)=1,1,0))</f>
        <v>0</v>
      </c>
      <c r="J4127" s="32">
        <f>IF(H4127="",0,IF(COUNTIF($H$2:H4127,H4127)=1,1,0))</f>
        <v>0</v>
      </c>
    </row>
    <row r="4128" spans="1:10" ht="14.25" hidden="1" customHeight="1" x14ac:dyDescent="0.35">
      <c r="A4128" s="30"/>
      <c r="E4128" s="31"/>
      <c r="G4128" s="32" t="str">
        <f t="shared" si="128"/>
        <v>|||1900|</v>
      </c>
      <c r="H4128" s="32" t="str">
        <f t="shared" si="129"/>
        <v>||1900|</v>
      </c>
      <c r="I4128" s="32">
        <f>IF(G4128="",0,IF(COUNTIF($G$2:G4128,G4128)=1,1,0))</f>
        <v>0</v>
      </c>
      <c r="J4128" s="32">
        <f>IF(H4128="",0,IF(COUNTIF($H$2:H4128,H4128)=1,1,0))</f>
        <v>0</v>
      </c>
    </row>
    <row r="4129" spans="1:10" ht="14.25" hidden="1" customHeight="1" x14ac:dyDescent="0.35">
      <c r="A4129" s="30"/>
      <c r="E4129" s="31"/>
      <c r="G4129" s="32" t="str">
        <f t="shared" si="128"/>
        <v>|||1900|</v>
      </c>
      <c r="H4129" s="32" t="str">
        <f t="shared" si="129"/>
        <v>||1900|</v>
      </c>
      <c r="I4129" s="32">
        <f>IF(G4129="",0,IF(COUNTIF($G$2:G4129,G4129)=1,1,0))</f>
        <v>0</v>
      </c>
      <c r="J4129" s="32">
        <f>IF(H4129="",0,IF(COUNTIF($H$2:H4129,H4129)=1,1,0))</f>
        <v>0</v>
      </c>
    </row>
    <row r="4130" spans="1:10" ht="14.25" hidden="1" customHeight="1" x14ac:dyDescent="0.35">
      <c r="A4130" s="30"/>
      <c r="E4130" s="31"/>
      <c r="G4130" s="32" t="str">
        <f t="shared" si="128"/>
        <v>|||1900|</v>
      </c>
      <c r="H4130" s="32" t="str">
        <f t="shared" si="129"/>
        <v>||1900|</v>
      </c>
      <c r="I4130" s="32">
        <f>IF(G4130="",0,IF(COUNTIF($G$2:G4130,G4130)=1,1,0))</f>
        <v>0</v>
      </c>
      <c r="J4130" s="32">
        <f>IF(H4130="",0,IF(COUNTIF($H$2:H4130,H4130)=1,1,0))</f>
        <v>0</v>
      </c>
    </row>
    <row r="4131" spans="1:10" ht="14.25" hidden="1" customHeight="1" x14ac:dyDescent="0.35">
      <c r="A4131" s="30"/>
      <c r="E4131" s="31"/>
      <c r="G4131" s="32" t="str">
        <f t="shared" si="128"/>
        <v>|||1900|</v>
      </c>
      <c r="H4131" s="32" t="str">
        <f t="shared" si="129"/>
        <v>||1900|</v>
      </c>
      <c r="I4131" s="32">
        <f>IF(G4131="",0,IF(COUNTIF($G$2:G4131,G4131)=1,1,0))</f>
        <v>0</v>
      </c>
      <c r="J4131" s="32">
        <f>IF(H4131="",0,IF(COUNTIF($H$2:H4131,H4131)=1,1,0))</f>
        <v>0</v>
      </c>
    </row>
    <row r="4132" spans="1:10" ht="14.25" hidden="1" customHeight="1" x14ac:dyDescent="0.35">
      <c r="A4132" s="30"/>
      <c r="E4132" s="31"/>
      <c r="G4132" s="32" t="str">
        <f t="shared" si="128"/>
        <v>|||1900|</v>
      </c>
      <c r="H4132" s="32" t="str">
        <f t="shared" si="129"/>
        <v>||1900|</v>
      </c>
      <c r="I4132" s="32">
        <f>IF(G4132="",0,IF(COUNTIF($G$2:G4132,G4132)=1,1,0))</f>
        <v>0</v>
      </c>
      <c r="J4132" s="32">
        <f>IF(H4132="",0,IF(COUNTIF($H$2:H4132,H4132)=1,1,0))</f>
        <v>0</v>
      </c>
    </row>
    <row r="4133" spans="1:10" ht="14.25" hidden="1" customHeight="1" x14ac:dyDescent="0.35">
      <c r="A4133" s="30"/>
      <c r="E4133" s="31"/>
      <c r="G4133" s="32" t="str">
        <f t="shared" si="128"/>
        <v>|||1900|</v>
      </c>
      <c r="H4133" s="32" t="str">
        <f t="shared" si="129"/>
        <v>||1900|</v>
      </c>
      <c r="I4133" s="32">
        <f>IF(G4133="",0,IF(COUNTIF($G$2:G4133,G4133)=1,1,0))</f>
        <v>0</v>
      </c>
      <c r="J4133" s="32">
        <f>IF(H4133="",0,IF(COUNTIF($H$2:H4133,H4133)=1,1,0))</f>
        <v>0</v>
      </c>
    </row>
    <row r="4134" spans="1:10" ht="14.25" hidden="1" customHeight="1" x14ac:dyDescent="0.35">
      <c r="A4134" s="30"/>
      <c r="E4134" s="31"/>
      <c r="G4134" s="32" t="str">
        <f t="shared" si="128"/>
        <v>|||1900|</v>
      </c>
      <c r="H4134" s="32" t="str">
        <f t="shared" si="129"/>
        <v>||1900|</v>
      </c>
      <c r="I4134" s="32">
        <f>IF(G4134="",0,IF(COUNTIF($G$2:G4134,G4134)=1,1,0))</f>
        <v>0</v>
      </c>
      <c r="J4134" s="32">
        <f>IF(H4134="",0,IF(COUNTIF($H$2:H4134,H4134)=1,1,0))</f>
        <v>0</v>
      </c>
    </row>
    <row r="4135" spans="1:10" ht="14.25" hidden="1" customHeight="1" x14ac:dyDescent="0.35">
      <c r="A4135" s="30"/>
      <c r="E4135" s="31"/>
      <c r="G4135" s="32" t="str">
        <f t="shared" si="128"/>
        <v>|||1900|</v>
      </c>
      <c r="H4135" s="32" t="str">
        <f t="shared" si="129"/>
        <v>||1900|</v>
      </c>
      <c r="I4135" s="32">
        <f>IF(G4135="",0,IF(COUNTIF($G$2:G4135,G4135)=1,1,0))</f>
        <v>0</v>
      </c>
      <c r="J4135" s="32">
        <f>IF(H4135="",0,IF(COUNTIF($H$2:H4135,H4135)=1,1,0))</f>
        <v>0</v>
      </c>
    </row>
    <row r="4136" spans="1:10" ht="14.25" hidden="1" customHeight="1" x14ac:dyDescent="0.35">
      <c r="A4136" s="30"/>
      <c r="E4136" s="31"/>
      <c r="G4136" s="32" t="str">
        <f t="shared" si="128"/>
        <v>|||1900|</v>
      </c>
      <c r="H4136" s="32" t="str">
        <f t="shared" si="129"/>
        <v>||1900|</v>
      </c>
      <c r="I4136" s="32">
        <f>IF(G4136="",0,IF(COUNTIF($G$2:G4136,G4136)=1,1,0))</f>
        <v>0</v>
      </c>
      <c r="J4136" s="32">
        <f>IF(H4136="",0,IF(COUNTIF($H$2:H4136,H4136)=1,1,0))</f>
        <v>0</v>
      </c>
    </row>
    <row r="4137" spans="1:10" ht="14.25" hidden="1" customHeight="1" x14ac:dyDescent="0.35">
      <c r="A4137" s="30"/>
      <c r="E4137" s="31"/>
      <c r="G4137" s="32" t="str">
        <f t="shared" si="128"/>
        <v>|||1900|</v>
      </c>
      <c r="H4137" s="32" t="str">
        <f t="shared" si="129"/>
        <v>||1900|</v>
      </c>
      <c r="I4137" s="32">
        <f>IF(G4137="",0,IF(COUNTIF($G$2:G4137,G4137)=1,1,0))</f>
        <v>0</v>
      </c>
      <c r="J4137" s="32">
        <f>IF(H4137="",0,IF(COUNTIF($H$2:H4137,H4137)=1,1,0))</f>
        <v>0</v>
      </c>
    </row>
    <row r="4138" spans="1:10" ht="14.25" hidden="1" customHeight="1" x14ac:dyDescent="0.35">
      <c r="A4138" s="30"/>
      <c r="E4138" s="31"/>
      <c r="G4138" s="32" t="str">
        <f t="shared" si="128"/>
        <v>|||1900|</v>
      </c>
      <c r="H4138" s="32" t="str">
        <f t="shared" si="129"/>
        <v>||1900|</v>
      </c>
      <c r="I4138" s="32">
        <f>IF(G4138="",0,IF(COUNTIF($G$2:G4138,G4138)=1,1,0))</f>
        <v>0</v>
      </c>
      <c r="J4138" s="32">
        <f>IF(H4138="",0,IF(COUNTIF($H$2:H4138,H4138)=1,1,0))</f>
        <v>0</v>
      </c>
    </row>
    <row r="4139" spans="1:10" ht="14.25" hidden="1" customHeight="1" x14ac:dyDescent="0.35">
      <c r="A4139" s="30"/>
      <c r="E4139" s="31"/>
      <c r="G4139" s="32" t="str">
        <f t="shared" si="128"/>
        <v>|||1900|</v>
      </c>
      <c r="H4139" s="32" t="str">
        <f t="shared" si="129"/>
        <v>||1900|</v>
      </c>
      <c r="I4139" s="32">
        <f>IF(G4139="",0,IF(COUNTIF($G$2:G4139,G4139)=1,1,0))</f>
        <v>0</v>
      </c>
      <c r="J4139" s="32">
        <f>IF(H4139="",0,IF(COUNTIF($H$2:H4139,H4139)=1,1,0))</f>
        <v>0</v>
      </c>
    </row>
    <row r="4140" spans="1:10" ht="14.25" hidden="1" customHeight="1" x14ac:dyDescent="0.35">
      <c r="A4140" s="30"/>
      <c r="E4140" s="31"/>
      <c r="G4140" s="32" t="str">
        <f t="shared" si="128"/>
        <v>|||1900|</v>
      </c>
      <c r="H4140" s="32" t="str">
        <f t="shared" si="129"/>
        <v>||1900|</v>
      </c>
      <c r="I4140" s="32">
        <f>IF(G4140="",0,IF(COUNTIF($G$2:G4140,G4140)=1,1,0))</f>
        <v>0</v>
      </c>
      <c r="J4140" s="32">
        <f>IF(H4140="",0,IF(COUNTIF($H$2:H4140,H4140)=1,1,0))</f>
        <v>0</v>
      </c>
    </row>
    <row r="4141" spans="1:10" ht="14.25" hidden="1" customHeight="1" x14ac:dyDescent="0.35">
      <c r="A4141" s="30"/>
      <c r="E4141" s="31"/>
      <c r="G4141" s="32" t="str">
        <f t="shared" si="128"/>
        <v>|||1900|</v>
      </c>
      <c r="H4141" s="32" t="str">
        <f t="shared" si="129"/>
        <v>||1900|</v>
      </c>
      <c r="I4141" s="32">
        <f>IF(G4141="",0,IF(COUNTIF($G$2:G4141,G4141)=1,1,0))</f>
        <v>0</v>
      </c>
      <c r="J4141" s="32">
        <f>IF(H4141="",0,IF(COUNTIF($H$2:H4141,H4141)=1,1,0))</f>
        <v>0</v>
      </c>
    </row>
    <row r="4142" spans="1:10" ht="14.25" hidden="1" customHeight="1" x14ac:dyDescent="0.35">
      <c r="A4142" s="30"/>
      <c r="E4142" s="31"/>
      <c r="G4142" s="32" t="str">
        <f t="shared" si="128"/>
        <v>|||1900|</v>
      </c>
      <c r="H4142" s="32" t="str">
        <f t="shared" si="129"/>
        <v>||1900|</v>
      </c>
      <c r="I4142" s="32">
        <f>IF(G4142="",0,IF(COUNTIF($G$2:G4142,G4142)=1,1,0))</f>
        <v>0</v>
      </c>
      <c r="J4142" s="32">
        <f>IF(H4142="",0,IF(COUNTIF($H$2:H4142,H4142)=1,1,0))</f>
        <v>0</v>
      </c>
    </row>
    <row r="4143" spans="1:10" ht="14.25" hidden="1" customHeight="1" x14ac:dyDescent="0.35">
      <c r="A4143" s="30"/>
      <c r="E4143" s="31"/>
      <c r="G4143" s="32" t="str">
        <f t="shared" si="128"/>
        <v>|||1900|</v>
      </c>
      <c r="H4143" s="32" t="str">
        <f t="shared" si="129"/>
        <v>||1900|</v>
      </c>
      <c r="I4143" s="32">
        <f>IF(G4143="",0,IF(COUNTIF($G$2:G4143,G4143)=1,1,0))</f>
        <v>0</v>
      </c>
      <c r="J4143" s="32">
        <f>IF(H4143="",0,IF(COUNTIF($H$2:H4143,H4143)=1,1,0))</f>
        <v>0</v>
      </c>
    </row>
    <row r="4144" spans="1:10" ht="14.25" hidden="1" customHeight="1" x14ac:dyDescent="0.35">
      <c r="A4144" s="30"/>
      <c r="E4144" s="31"/>
      <c r="G4144" s="32" t="str">
        <f t="shared" si="128"/>
        <v>|||1900|</v>
      </c>
      <c r="H4144" s="32" t="str">
        <f t="shared" si="129"/>
        <v>||1900|</v>
      </c>
      <c r="I4144" s="32">
        <f>IF(G4144="",0,IF(COUNTIF($G$2:G4144,G4144)=1,1,0))</f>
        <v>0</v>
      </c>
      <c r="J4144" s="32">
        <f>IF(H4144="",0,IF(COUNTIF($H$2:H4144,H4144)=1,1,0))</f>
        <v>0</v>
      </c>
    </row>
    <row r="4145" spans="1:10" ht="14.25" hidden="1" customHeight="1" x14ac:dyDescent="0.35">
      <c r="A4145" s="30"/>
      <c r="E4145" s="31"/>
      <c r="G4145" s="32" t="str">
        <f t="shared" si="128"/>
        <v>|||1900|</v>
      </c>
      <c r="H4145" s="32" t="str">
        <f t="shared" si="129"/>
        <v>||1900|</v>
      </c>
      <c r="I4145" s="32">
        <f>IF(G4145="",0,IF(COUNTIF($G$2:G4145,G4145)=1,1,0))</f>
        <v>0</v>
      </c>
      <c r="J4145" s="32">
        <f>IF(H4145="",0,IF(COUNTIF($H$2:H4145,H4145)=1,1,0))</f>
        <v>0</v>
      </c>
    </row>
    <row r="4146" spans="1:10" ht="14.25" hidden="1" customHeight="1" x14ac:dyDescent="0.35">
      <c r="A4146" s="30"/>
      <c r="E4146" s="31"/>
      <c r="G4146" s="32" t="str">
        <f t="shared" si="128"/>
        <v>|||1900|</v>
      </c>
      <c r="H4146" s="32" t="str">
        <f t="shared" si="129"/>
        <v>||1900|</v>
      </c>
      <c r="I4146" s="32">
        <f>IF(G4146="",0,IF(COUNTIF($G$2:G4146,G4146)=1,1,0))</f>
        <v>0</v>
      </c>
      <c r="J4146" s="32">
        <f>IF(H4146="",0,IF(COUNTIF($H$2:H4146,H4146)=1,1,0))</f>
        <v>0</v>
      </c>
    </row>
    <row r="4147" spans="1:10" ht="14.25" hidden="1" customHeight="1" x14ac:dyDescent="0.35">
      <c r="A4147" s="30"/>
      <c r="E4147" s="31"/>
      <c r="G4147" s="32" t="str">
        <f t="shared" si="128"/>
        <v>|||1900|</v>
      </c>
      <c r="H4147" s="32" t="str">
        <f t="shared" si="129"/>
        <v>||1900|</v>
      </c>
      <c r="I4147" s="32">
        <f>IF(G4147="",0,IF(COUNTIF($G$2:G4147,G4147)=1,1,0))</f>
        <v>0</v>
      </c>
      <c r="J4147" s="32">
        <f>IF(H4147="",0,IF(COUNTIF($H$2:H4147,H4147)=1,1,0))</f>
        <v>0</v>
      </c>
    </row>
    <row r="4148" spans="1:10" ht="14.25" hidden="1" customHeight="1" x14ac:dyDescent="0.35">
      <c r="A4148" s="30"/>
      <c r="E4148" s="31"/>
      <c r="G4148" s="32" t="str">
        <f t="shared" si="128"/>
        <v>|||1900|</v>
      </c>
      <c r="H4148" s="32" t="str">
        <f t="shared" si="129"/>
        <v>||1900|</v>
      </c>
      <c r="I4148" s="32">
        <f>IF(G4148="",0,IF(COUNTIF($G$2:G4148,G4148)=1,1,0))</f>
        <v>0</v>
      </c>
      <c r="J4148" s="32">
        <f>IF(H4148="",0,IF(COUNTIF($H$2:H4148,H4148)=1,1,0))</f>
        <v>0</v>
      </c>
    </row>
    <row r="4149" spans="1:10" ht="14.25" hidden="1" customHeight="1" x14ac:dyDescent="0.35">
      <c r="A4149" s="30"/>
      <c r="E4149" s="31"/>
      <c r="G4149" s="32" t="str">
        <f t="shared" si="128"/>
        <v>|||1900|</v>
      </c>
      <c r="H4149" s="32" t="str">
        <f t="shared" si="129"/>
        <v>||1900|</v>
      </c>
      <c r="I4149" s="32">
        <f>IF(G4149="",0,IF(COUNTIF($G$2:G4149,G4149)=1,1,0))</f>
        <v>0</v>
      </c>
      <c r="J4149" s="32">
        <f>IF(H4149="",0,IF(COUNTIF($H$2:H4149,H4149)=1,1,0))</f>
        <v>0</v>
      </c>
    </row>
    <row r="4150" spans="1:10" ht="14.25" hidden="1" customHeight="1" x14ac:dyDescent="0.35">
      <c r="A4150" s="30"/>
      <c r="E4150" s="31"/>
      <c r="G4150" s="32" t="str">
        <f t="shared" si="128"/>
        <v>|||1900|</v>
      </c>
      <c r="H4150" s="32" t="str">
        <f t="shared" si="129"/>
        <v>||1900|</v>
      </c>
      <c r="I4150" s="32">
        <f>IF(G4150="",0,IF(COUNTIF($G$2:G4150,G4150)=1,1,0))</f>
        <v>0</v>
      </c>
      <c r="J4150" s="32">
        <f>IF(H4150="",0,IF(COUNTIF($H$2:H4150,H4150)=1,1,0))</f>
        <v>0</v>
      </c>
    </row>
    <row r="4151" spans="1:10" ht="14.25" hidden="1" customHeight="1" x14ac:dyDescent="0.35">
      <c r="A4151" s="30"/>
      <c r="E4151" s="31"/>
      <c r="G4151" s="32" t="str">
        <f t="shared" si="128"/>
        <v>|||1900|</v>
      </c>
      <c r="H4151" s="32" t="str">
        <f t="shared" si="129"/>
        <v>||1900|</v>
      </c>
      <c r="I4151" s="32">
        <f>IF(G4151="",0,IF(COUNTIF($G$2:G4151,G4151)=1,1,0))</f>
        <v>0</v>
      </c>
      <c r="J4151" s="32">
        <f>IF(H4151="",0,IF(COUNTIF($H$2:H4151,H4151)=1,1,0))</f>
        <v>0</v>
      </c>
    </row>
    <row r="4152" spans="1:10" ht="14.25" hidden="1" customHeight="1" x14ac:dyDescent="0.35">
      <c r="A4152" s="30"/>
      <c r="E4152" s="31"/>
      <c r="G4152" s="32" t="str">
        <f t="shared" si="128"/>
        <v>|||1900|</v>
      </c>
      <c r="H4152" s="32" t="str">
        <f t="shared" si="129"/>
        <v>||1900|</v>
      </c>
      <c r="I4152" s="32">
        <f>IF(G4152="",0,IF(COUNTIF($G$2:G4152,G4152)=1,1,0))</f>
        <v>0</v>
      </c>
      <c r="J4152" s="32">
        <f>IF(H4152="",0,IF(COUNTIF($H$2:H4152,H4152)=1,1,0))</f>
        <v>0</v>
      </c>
    </row>
    <row r="4153" spans="1:10" ht="14.25" hidden="1" customHeight="1" x14ac:dyDescent="0.35">
      <c r="A4153" s="30"/>
      <c r="E4153" s="31"/>
      <c r="G4153" s="32" t="str">
        <f t="shared" si="128"/>
        <v>|||1900|</v>
      </c>
      <c r="H4153" s="32" t="str">
        <f t="shared" si="129"/>
        <v>||1900|</v>
      </c>
      <c r="I4153" s="32">
        <f>IF(G4153="",0,IF(COUNTIF($G$2:G4153,G4153)=1,1,0))</f>
        <v>0</v>
      </c>
      <c r="J4153" s="32">
        <f>IF(H4153="",0,IF(COUNTIF($H$2:H4153,H4153)=1,1,0))</f>
        <v>0</v>
      </c>
    </row>
    <row r="4154" spans="1:10" ht="14.25" hidden="1" customHeight="1" x14ac:dyDescent="0.35">
      <c r="A4154" s="30"/>
      <c r="E4154" s="31"/>
      <c r="G4154" s="32" t="str">
        <f t="shared" si="128"/>
        <v>|||1900|</v>
      </c>
      <c r="H4154" s="32" t="str">
        <f t="shared" si="129"/>
        <v>||1900|</v>
      </c>
      <c r="I4154" s="32">
        <f>IF(G4154="",0,IF(COUNTIF($G$2:G4154,G4154)=1,1,0))</f>
        <v>0</v>
      </c>
      <c r="J4154" s="32">
        <f>IF(H4154="",0,IF(COUNTIF($H$2:H4154,H4154)=1,1,0))</f>
        <v>0</v>
      </c>
    </row>
    <row r="4155" spans="1:10" ht="14.25" hidden="1" customHeight="1" x14ac:dyDescent="0.35">
      <c r="A4155" s="30"/>
      <c r="E4155" s="31"/>
      <c r="G4155" s="32" t="str">
        <f t="shared" si="128"/>
        <v>|||1900|</v>
      </c>
      <c r="H4155" s="32" t="str">
        <f t="shared" si="129"/>
        <v>||1900|</v>
      </c>
      <c r="I4155" s="32">
        <f>IF(G4155="",0,IF(COUNTIF($G$2:G4155,G4155)=1,1,0))</f>
        <v>0</v>
      </c>
      <c r="J4155" s="32">
        <f>IF(H4155="",0,IF(COUNTIF($H$2:H4155,H4155)=1,1,0))</f>
        <v>0</v>
      </c>
    </row>
    <row r="4156" spans="1:10" ht="14.25" hidden="1" customHeight="1" x14ac:dyDescent="0.35">
      <c r="A4156" s="30"/>
      <c r="E4156" s="31"/>
      <c r="G4156" s="32" t="str">
        <f t="shared" si="128"/>
        <v>|||1900|</v>
      </c>
      <c r="H4156" s="32" t="str">
        <f t="shared" si="129"/>
        <v>||1900|</v>
      </c>
      <c r="I4156" s="32">
        <f>IF(G4156="",0,IF(COUNTIF($G$2:G4156,G4156)=1,1,0))</f>
        <v>0</v>
      </c>
      <c r="J4156" s="32">
        <f>IF(H4156="",0,IF(COUNTIF($H$2:H4156,H4156)=1,1,0))</f>
        <v>0</v>
      </c>
    </row>
    <row r="4157" spans="1:10" ht="14.25" hidden="1" customHeight="1" x14ac:dyDescent="0.35">
      <c r="A4157" s="30"/>
      <c r="E4157" s="31"/>
      <c r="G4157" s="32" t="str">
        <f t="shared" si="128"/>
        <v>|||1900|</v>
      </c>
      <c r="H4157" s="32" t="str">
        <f t="shared" si="129"/>
        <v>||1900|</v>
      </c>
      <c r="I4157" s="32">
        <f>IF(G4157="",0,IF(COUNTIF($G$2:G4157,G4157)=1,1,0))</f>
        <v>0</v>
      </c>
      <c r="J4157" s="32">
        <f>IF(H4157="",0,IF(COUNTIF($H$2:H4157,H4157)=1,1,0))</f>
        <v>0</v>
      </c>
    </row>
    <row r="4158" spans="1:10" ht="14.25" hidden="1" customHeight="1" x14ac:dyDescent="0.35">
      <c r="A4158" s="30"/>
      <c r="E4158" s="31"/>
      <c r="G4158" s="32" t="str">
        <f t="shared" si="128"/>
        <v>|||1900|</v>
      </c>
      <c r="H4158" s="32" t="str">
        <f t="shared" si="129"/>
        <v>||1900|</v>
      </c>
      <c r="I4158" s="32">
        <f>IF(G4158="",0,IF(COUNTIF($G$2:G4158,G4158)=1,1,0))</f>
        <v>0</v>
      </c>
      <c r="J4158" s="32">
        <f>IF(H4158="",0,IF(COUNTIF($H$2:H4158,H4158)=1,1,0))</f>
        <v>0</v>
      </c>
    </row>
    <row r="4159" spans="1:10" ht="14.25" hidden="1" customHeight="1" x14ac:dyDescent="0.35">
      <c r="A4159" s="30"/>
      <c r="E4159" s="31"/>
      <c r="G4159" s="32" t="str">
        <f t="shared" si="128"/>
        <v>|||1900|</v>
      </c>
      <c r="H4159" s="32" t="str">
        <f t="shared" si="129"/>
        <v>||1900|</v>
      </c>
      <c r="I4159" s="32">
        <f>IF(G4159="",0,IF(COUNTIF($G$2:G4159,G4159)=1,1,0))</f>
        <v>0</v>
      </c>
      <c r="J4159" s="32">
        <f>IF(H4159="",0,IF(COUNTIF($H$2:H4159,H4159)=1,1,0))</f>
        <v>0</v>
      </c>
    </row>
    <row r="4160" spans="1:10" ht="14.25" hidden="1" customHeight="1" x14ac:dyDescent="0.35">
      <c r="A4160" s="30"/>
      <c r="E4160" s="31"/>
      <c r="G4160" s="32" t="str">
        <f t="shared" si="128"/>
        <v>|||1900|</v>
      </c>
      <c r="H4160" s="32" t="str">
        <f t="shared" si="129"/>
        <v>||1900|</v>
      </c>
      <c r="I4160" s="32">
        <f>IF(G4160="",0,IF(COUNTIF($G$2:G4160,G4160)=1,1,0))</f>
        <v>0</v>
      </c>
      <c r="J4160" s="32">
        <f>IF(H4160="",0,IF(COUNTIF($H$2:H4160,H4160)=1,1,0))</f>
        <v>0</v>
      </c>
    </row>
    <row r="4161" spans="1:10" ht="14.25" hidden="1" customHeight="1" x14ac:dyDescent="0.35">
      <c r="A4161" s="30"/>
      <c r="E4161" s="31"/>
      <c r="G4161" s="32" t="str">
        <f t="shared" si="128"/>
        <v>|||1900|</v>
      </c>
      <c r="H4161" s="32" t="str">
        <f t="shared" si="129"/>
        <v>||1900|</v>
      </c>
      <c r="I4161" s="32">
        <f>IF(G4161="",0,IF(COUNTIF($G$2:G4161,G4161)=1,1,0))</f>
        <v>0</v>
      </c>
      <c r="J4161" s="32">
        <f>IF(H4161="",0,IF(COUNTIF($H$2:H4161,H4161)=1,1,0))</f>
        <v>0</v>
      </c>
    </row>
    <row r="4162" spans="1:10" ht="14.25" hidden="1" customHeight="1" x14ac:dyDescent="0.35">
      <c r="A4162" s="30"/>
      <c r="E4162" s="31"/>
      <c r="G4162" s="32" t="str">
        <f t="shared" ref="G4162:G4225" si="130">IF(D4162="T",
E4162&amp;"|"&amp;F4162,
A4162&amp;"|"&amp;B4162&amp;"|"&amp;C4162&amp;"|"&amp;YEAR(E4162)&amp;"|"&amp;F4162)</f>
        <v>|||1900|</v>
      </c>
      <c r="H4162" s="32" t="str">
        <f t="shared" ref="H4162:H4225" si="131">A4162&amp;"|"&amp;C4162&amp;"|"&amp;YEAR(E4162)&amp;"|"&amp;F4162</f>
        <v>||1900|</v>
      </c>
      <c r="I4162" s="32">
        <f>IF(G4162="",0,IF(COUNTIF($G$2:G4162,G4162)=1,1,0))</f>
        <v>0</v>
      </c>
      <c r="J4162" s="32">
        <f>IF(H4162="",0,IF(COUNTIF($H$2:H4162,H4162)=1,1,0))</f>
        <v>0</v>
      </c>
    </row>
    <row r="4163" spans="1:10" ht="14.25" hidden="1" customHeight="1" x14ac:dyDescent="0.35">
      <c r="A4163" s="30"/>
      <c r="E4163" s="31"/>
      <c r="G4163" s="32" t="str">
        <f t="shared" si="130"/>
        <v>|||1900|</v>
      </c>
      <c r="H4163" s="32" t="str">
        <f t="shared" si="131"/>
        <v>||1900|</v>
      </c>
      <c r="I4163" s="32">
        <f>IF(G4163="",0,IF(COUNTIF($G$2:G4163,G4163)=1,1,0))</f>
        <v>0</v>
      </c>
      <c r="J4163" s="32">
        <f>IF(H4163="",0,IF(COUNTIF($H$2:H4163,H4163)=1,1,0))</f>
        <v>0</v>
      </c>
    </row>
    <row r="4164" spans="1:10" ht="14.25" hidden="1" customHeight="1" x14ac:dyDescent="0.35">
      <c r="A4164" s="30"/>
      <c r="E4164" s="31"/>
      <c r="G4164" s="32" t="str">
        <f t="shared" si="130"/>
        <v>|||1900|</v>
      </c>
      <c r="H4164" s="32" t="str">
        <f t="shared" si="131"/>
        <v>||1900|</v>
      </c>
      <c r="I4164" s="32">
        <f>IF(G4164="",0,IF(COUNTIF($G$2:G4164,G4164)=1,1,0))</f>
        <v>0</v>
      </c>
      <c r="J4164" s="32">
        <f>IF(H4164="",0,IF(COUNTIF($H$2:H4164,H4164)=1,1,0))</f>
        <v>0</v>
      </c>
    </row>
    <row r="4165" spans="1:10" ht="14.25" hidden="1" customHeight="1" x14ac:dyDescent="0.35">
      <c r="A4165" s="30"/>
      <c r="E4165" s="31"/>
      <c r="G4165" s="32" t="str">
        <f t="shared" si="130"/>
        <v>|||1900|</v>
      </c>
      <c r="H4165" s="32" t="str">
        <f t="shared" si="131"/>
        <v>||1900|</v>
      </c>
      <c r="I4165" s="32">
        <f>IF(G4165="",0,IF(COUNTIF($G$2:G4165,G4165)=1,1,0))</f>
        <v>0</v>
      </c>
      <c r="J4165" s="32">
        <f>IF(H4165="",0,IF(COUNTIF($H$2:H4165,H4165)=1,1,0))</f>
        <v>0</v>
      </c>
    </row>
    <row r="4166" spans="1:10" ht="14.25" hidden="1" customHeight="1" x14ac:dyDescent="0.35">
      <c r="A4166" s="30"/>
      <c r="E4166" s="31"/>
      <c r="G4166" s="32" t="str">
        <f t="shared" si="130"/>
        <v>|||1900|</v>
      </c>
      <c r="H4166" s="32" t="str">
        <f t="shared" si="131"/>
        <v>||1900|</v>
      </c>
      <c r="I4166" s="32">
        <f>IF(G4166="",0,IF(COUNTIF($G$2:G4166,G4166)=1,1,0))</f>
        <v>0</v>
      </c>
      <c r="J4166" s="32">
        <f>IF(H4166="",0,IF(COUNTIF($H$2:H4166,H4166)=1,1,0))</f>
        <v>0</v>
      </c>
    </row>
    <row r="4167" spans="1:10" ht="14.25" hidden="1" customHeight="1" x14ac:dyDescent="0.35">
      <c r="A4167" s="30"/>
      <c r="E4167" s="31"/>
      <c r="G4167" s="32" t="str">
        <f t="shared" si="130"/>
        <v>|||1900|</v>
      </c>
      <c r="H4167" s="32" t="str">
        <f t="shared" si="131"/>
        <v>||1900|</v>
      </c>
      <c r="I4167" s="32">
        <f>IF(G4167="",0,IF(COUNTIF($G$2:G4167,G4167)=1,1,0))</f>
        <v>0</v>
      </c>
      <c r="J4167" s="32">
        <f>IF(H4167="",0,IF(COUNTIF($H$2:H4167,H4167)=1,1,0))</f>
        <v>0</v>
      </c>
    </row>
    <row r="4168" spans="1:10" ht="14.25" hidden="1" customHeight="1" x14ac:dyDescent="0.35">
      <c r="A4168" s="30"/>
      <c r="E4168" s="31"/>
      <c r="G4168" s="32" t="str">
        <f t="shared" si="130"/>
        <v>|||1900|</v>
      </c>
      <c r="H4168" s="32" t="str">
        <f t="shared" si="131"/>
        <v>||1900|</v>
      </c>
      <c r="I4168" s="32">
        <f>IF(G4168="",0,IF(COUNTIF($G$2:G4168,G4168)=1,1,0))</f>
        <v>0</v>
      </c>
      <c r="J4168" s="32">
        <f>IF(H4168="",0,IF(COUNTIF($H$2:H4168,H4168)=1,1,0))</f>
        <v>0</v>
      </c>
    </row>
    <row r="4169" spans="1:10" ht="14.25" hidden="1" customHeight="1" x14ac:dyDescent="0.35">
      <c r="A4169" s="30"/>
      <c r="E4169" s="31"/>
      <c r="G4169" s="32" t="str">
        <f t="shared" si="130"/>
        <v>|||1900|</v>
      </c>
      <c r="H4169" s="32" t="str">
        <f t="shared" si="131"/>
        <v>||1900|</v>
      </c>
      <c r="I4169" s="32">
        <f>IF(G4169="",0,IF(COUNTIF($G$2:G4169,G4169)=1,1,0))</f>
        <v>0</v>
      </c>
      <c r="J4169" s="32">
        <f>IF(H4169="",0,IF(COUNTIF($H$2:H4169,H4169)=1,1,0))</f>
        <v>0</v>
      </c>
    </row>
    <row r="4170" spans="1:10" ht="14.25" hidden="1" customHeight="1" x14ac:dyDescent="0.35">
      <c r="A4170" s="30"/>
      <c r="E4170" s="31"/>
      <c r="G4170" s="32" t="str">
        <f t="shared" si="130"/>
        <v>|||1900|</v>
      </c>
      <c r="H4170" s="32" t="str">
        <f t="shared" si="131"/>
        <v>||1900|</v>
      </c>
      <c r="I4170" s="32">
        <f>IF(G4170="",0,IF(COUNTIF($G$2:G4170,G4170)=1,1,0))</f>
        <v>0</v>
      </c>
      <c r="J4170" s="32">
        <f>IF(H4170="",0,IF(COUNTIF($H$2:H4170,H4170)=1,1,0))</f>
        <v>0</v>
      </c>
    </row>
    <row r="4171" spans="1:10" ht="14.25" hidden="1" customHeight="1" x14ac:dyDescent="0.35">
      <c r="A4171" s="30"/>
      <c r="E4171" s="31"/>
      <c r="G4171" s="32" t="str">
        <f t="shared" si="130"/>
        <v>|||1900|</v>
      </c>
      <c r="H4171" s="32" t="str">
        <f t="shared" si="131"/>
        <v>||1900|</v>
      </c>
      <c r="I4171" s="32">
        <f>IF(G4171="",0,IF(COUNTIF($G$2:G4171,G4171)=1,1,0))</f>
        <v>0</v>
      </c>
      <c r="J4171" s="32">
        <f>IF(H4171="",0,IF(COUNTIF($H$2:H4171,H4171)=1,1,0))</f>
        <v>0</v>
      </c>
    </row>
    <row r="4172" spans="1:10" ht="14.25" hidden="1" customHeight="1" x14ac:dyDescent="0.35">
      <c r="A4172" s="30"/>
      <c r="E4172" s="31"/>
      <c r="G4172" s="32" t="str">
        <f t="shared" si="130"/>
        <v>|||1900|</v>
      </c>
      <c r="H4172" s="32" t="str">
        <f t="shared" si="131"/>
        <v>||1900|</v>
      </c>
      <c r="I4172" s="32">
        <f>IF(G4172="",0,IF(COUNTIF($G$2:G4172,G4172)=1,1,0))</f>
        <v>0</v>
      </c>
      <c r="J4172" s="32">
        <f>IF(H4172="",0,IF(COUNTIF($H$2:H4172,H4172)=1,1,0))</f>
        <v>0</v>
      </c>
    </row>
    <row r="4173" spans="1:10" ht="14.25" hidden="1" customHeight="1" x14ac:dyDescent="0.35">
      <c r="A4173" s="30"/>
      <c r="E4173" s="31"/>
      <c r="G4173" s="32" t="str">
        <f t="shared" si="130"/>
        <v>|||1900|</v>
      </c>
      <c r="H4173" s="32" t="str">
        <f t="shared" si="131"/>
        <v>||1900|</v>
      </c>
      <c r="I4173" s="32">
        <f>IF(G4173="",0,IF(COUNTIF($G$2:G4173,G4173)=1,1,0))</f>
        <v>0</v>
      </c>
      <c r="J4173" s="32">
        <f>IF(H4173="",0,IF(COUNTIF($H$2:H4173,H4173)=1,1,0))</f>
        <v>0</v>
      </c>
    </row>
    <row r="4174" spans="1:10" ht="14.25" hidden="1" customHeight="1" x14ac:dyDescent="0.35">
      <c r="A4174" s="30"/>
      <c r="E4174" s="31"/>
      <c r="G4174" s="32" t="str">
        <f t="shared" si="130"/>
        <v>|||1900|</v>
      </c>
      <c r="H4174" s="32" t="str">
        <f t="shared" si="131"/>
        <v>||1900|</v>
      </c>
      <c r="I4174" s="32">
        <f>IF(G4174="",0,IF(COUNTIF($G$2:G4174,G4174)=1,1,0))</f>
        <v>0</v>
      </c>
      <c r="J4174" s="32">
        <f>IF(H4174="",0,IF(COUNTIF($H$2:H4174,H4174)=1,1,0))</f>
        <v>0</v>
      </c>
    </row>
    <row r="4175" spans="1:10" ht="14.25" hidden="1" customHeight="1" x14ac:dyDescent="0.35">
      <c r="A4175" s="30"/>
      <c r="E4175" s="31"/>
      <c r="G4175" s="32" t="str">
        <f t="shared" si="130"/>
        <v>|||1900|</v>
      </c>
      <c r="H4175" s="32" t="str">
        <f t="shared" si="131"/>
        <v>||1900|</v>
      </c>
      <c r="I4175" s="32">
        <f>IF(G4175="",0,IF(COUNTIF($G$2:G4175,G4175)=1,1,0))</f>
        <v>0</v>
      </c>
      <c r="J4175" s="32">
        <f>IF(H4175="",0,IF(COUNTIF($H$2:H4175,H4175)=1,1,0))</f>
        <v>0</v>
      </c>
    </row>
    <row r="4176" spans="1:10" ht="14.25" hidden="1" customHeight="1" x14ac:dyDescent="0.35">
      <c r="A4176" s="30"/>
      <c r="E4176" s="31"/>
      <c r="G4176" s="32" t="str">
        <f t="shared" si="130"/>
        <v>|||1900|</v>
      </c>
      <c r="H4176" s="32" t="str">
        <f t="shared" si="131"/>
        <v>||1900|</v>
      </c>
      <c r="I4176" s="32">
        <f>IF(G4176="",0,IF(COUNTIF($G$2:G4176,G4176)=1,1,0))</f>
        <v>0</v>
      </c>
      <c r="J4176" s="32">
        <f>IF(H4176="",0,IF(COUNTIF($H$2:H4176,H4176)=1,1,0))</f>
        <v>0</v>
      </c>
    </row>
    <row r="4177" spans="1:10" ht="14.25" hidden="1" customHeight="1" x14ac:dyDescent="0.35">
      <c r="A4177" s="30"/>
      <c r="E4177" s="31"/>
      <c r="G4177" s="32" t="str">
        <f t="shared" si="130"/>
        <v>|||1900|</v>
      </c>
      <c r="H4177" s="32" t="str">
        <f t="shared" si="131"/>
        <v>||1900|</v>
      </c>
      <c r="I4177" s="32">
        <f>IF(G4177="",0,IF(COUNTIF($G$2:G4177,G4177)=1,1,0))</f>
        <v>0</v>
      </c>
      <c r="J4177" s="32">
        <f>IF(H4177="",0,IF(COUNTIF($H$2:H4177,H4177)=1,1,0))</f>
        <v>0</v>
      </c>
    </row>
    <row r="4178" spans="1:10" ht="14.25" hidden="1" customHeight="1" x14ac:dyDescent="0.35">
      <c r="A4178" s="30"/>
      <c r="E4178" s="31"/>
      <c r="G4178" s="32" t="str">
        <f t="shared" si="130"/>
        <v>|||1900|</v>
      </c>
      <c r="H4178" s="32" t="str">
        <f t="shared" si="131"/>
        <v>||1900|</v>
      </c>
      <c r="I4178" s="32">
        <f>IF(G4178="",0,IF(COUNTIF($G$2:G4178,G4178)=1,1,0))</f>
        <v>0</v>
      </c>
      <c r="J4178" s="32">
        <f>IF(H4178="",0,IF(COUNTIF($H$2:H4178,H4178)=1,1,0))</f>
        <v>0</v>
      </c>
    </row>
    <row r="4179" spans="1:10" ht="14.25" hidden="1" customHeight="1" x14ac:dyDescent="0.35">
      <c r="A4179" s="30"/>
      <c r="E4179" s="31"/>
      <c r="G4179" s="32" t="str">
        <f t="shared" si="130"/>
        <v>|||1900|</v>
      </c>
      <c r="H4179" s="32" t="str">
        <f t="shared" si="131"/>
        <v>||1900|</v>
      </c>
      <c r="I4179" s="32">
        <f>IF(G4179="",0,IF(COUNTIF($G$2:G4179,G4179)=1,1,0))</f>
        <v>0</v>
      </c>
      <c r="J4179" s="32">
        <f>IF(H4179="",0,IF(COUNTIF($H$2:H4179,H4179)=1,1,0))</f>
        <v>0</v>
      </c>
    </row>
    <row r="4180" spans="1:10" ht="14.25" hidden="1" customHeight="1" x14ac:dyDescent="0.35">
      <c r="A4180" s="30"/>
      <c r="E4180" s="31"/>
      <c r="G4180" s="32" t="str">
        <f t="shared" si="130"/>
        <v>|||1900|</v>
      </c>
      <c r="H4180" s="32" t="str">
        <f t="shared" si="131"/>
        <v>||1900|</v>
      </c>
      <c r="I4180" s="32">
        <f>IF(G4180="",0,IF(COUNTIF($G$2:G4180,G4180)=1,1,0))</f>
        <v>0</v>
      </c>
      <c r="J4180" s="32">
        <f>IF(H4180="",0,IF(COUNTIF($H$2:H4180,H4180)=1,1,0))</f>
        <v>0</v>
      </c>
    </row>
    <row r="4181" spans="1:10" ht="14.25" hidden="1" customHeight="1" x14ac:dyDescent="0.35">
      <c r="A4181" s="30"/>
      <c r="E4181" s="31"/>
      <c r="G4181" s="32" t="str">
        <f t="shared" si="130"/>
        <v>|||1900|</v>
      </c>
      <c r="H4181" s="32" t="str">
        <f t="shared" si="131"/>
        <v>||1900|</v>
      </c>
      <c r="I4181" s="32">
        <f>IF(G4181="",0,IF(COUNTIF($G$2:G4181,G4181)=1,1,0))</f>
        <v>0</v>
      </c>
      <c r="J4181" s="32">
        <f>IF(H4181="",0,IF(COUNTIF($H$2:H4181,H4181)=1,1,0))</f>
        <v>0</v>
      </c>
    </row>
    <row r="4182" spans="1:10" ht="14.25" hidden="1" customHeight="1" x14ac:dyDescent="0.35">
      <c r="A4182" s="30"/>
      <c r="E4182" s="31"/>
      <c r="G4182" s="32" t="str">
        <f t="shared" si="130"/>
        <v>|||1900|</v>
      </c>
      <c r="H4182" s="32" t="str">
        <f t="shared" si="131"/>
        <v>||1900|</v>
      </c>
      <c r="I4182" s="32">
        <f>IF(G4182="",0,IF(COUNTIF($G$2:G4182,G4182)=1,1,0))</f>
        <v>0</v>
      </c>
      <c r="J4182" s="32">
        <f>IF(H4182="",0,IF(COUNTIF($H$2:H4182,H4182)=1,1,0))</f>
        <v>0</v>
      </c>
    </row>
    <row r="4183" spans="1:10" ht="14.25" hidden="1" customHeight="1" x14ac:dyDescent="0.35">
      <c r="A4183" s="30"/>
      <c r="E4183" s="31"/>
      <c r="G4183" s="32" t="str">
        <f t="shared" si="130"/>
        <v>|||1900|</v>
      </c>
      <c r="H4183" s="32" t="str">
        <f t="shared" si="131"/>
        <v>||1900|</v>
      </c>
      <c r="I4183" s="32">
        <f>IF(G4183="",0,IF(COUNTIF($G$2:G4183,G4183)=1,1,0))</f>
        <v>0</v>
      </c>
      <c r="J4183" s="32">
        <f>IF(H4183="",0,IF(COUNTIF($H$2:H4183,H4183)=1,1,0))</f>
        <v>0</v>
      </c>
    </row>
    <row r="4184" spans="1:10" ht="14.25" hidden="1" customHeight="1" x14ac:dyDescent="0.35">
      <c r="A4184" s="30"/>
      <c r="E4184" s="31"/>
      <c r="G4184" s="32" t="str">
        <f t="shared" si="130"/>
        <v>|||1900|</v>
      </c>
      <c r="H4184" s="32" t="str">
        <f t="shared" si="131"/>
        <v>||1900|</v>
      </c>
      <c r="I4184" s="32">
        <f>IF(G4184="",0,IF(COUNTIF($G$2:G4184,G4184)=1,1,0))</f>
        <v>0</v>
      </c>
      <c r="J4184" s="32">
        <f>IF(H4184="",0,IF(COUNTIF($H$2:H4184,H4184)=1,1,0))</f>
        <v>0</v>
      </c>
    </row>
    <row r="4185" spans="1:10" ht="14.25" hidden="1" customHeight="1" x14ac:dyDescent="0.35">
      <c r="A4185" s="30"/>
      <c r="E4185" s="31"/>
      <c r="G4185" s="32" t="str">
        <f t="shared" si="130"/>
        <v>|||1900|</v>
      </c>
      <c r="H4185" s="32" t="str">
        <f t="shared" si="131"/>
        <v>||1900|</v>
      </c>
      <c r="I4185" s="32">
        <f>IF(G4185="",0,IF(COUNTIF($G$2:G4185,G4185)=1,1,0))</f>
        <v>0</v>
      </c>
      <c r="J4185" s="32">
        <f>IF(H4185="",0,IF(COUNTIF($H$2:H4185,H4185)=1,1,0))</f>
        <v>0</v>
      </c>
    </row>
    <row r="4186" spans="1:10" ht="14.25" hidden="1" customHeight="1" x14ac:dyDescent="0.35">
      <c r="A4186" s="30"/>
      <c r="E4186" s="31"/>
      <c r="G4186" s="32" t="str">
        <f t="shared" si="130"/>
        <v>|||1900|</v>
      </c>
      <c r="H4186" s="32" t="str">
        <f t="shared" si="131"/>
        <v>||1900|</v>
      </c>
      <c r="I4186" s="32">
        <f>IF(G4186="",0,IF(COUNTIF($G$2:G4186,G4186)=1,1,0))</f>
        <v>0</v>
      </c>
      <c r="J4186" s="32">
        <f>IF(H4186="",0,IF(COUNTIF($H$2:H4186,H4186)=1,1,0))</f>
        <v>0</v>
      </c>
    </row>
    <row r="4187" spans="1:10" ht="14.25" hidden="1" customHeight="1" x14ac:dyDescent="0.35">
      <c r="A4187" s="30"/>
      <c r="E4187" s="31"/>
      <c r="G4187" s="32" t="str">
        <f t="shared" si="130"/>
        <v>|||1900|</v>
      </c>
      <c r="H4187" s="32" t="str">
        <f t="shared" si="131"/>
        <v>||1900|</v>
      </c>
      <c r="I4187" s="32">
        <f>IF(G4187="",0,IF(COUNTIF($G$2:G4187,G4187)=1,1,0))</f>
        <v>0</v>
      </c>
      <c r="J4187" s="32">
        <f>IF(H4187="",0,IF(COUNTIF($H$2:H4187,H4187)=1,1,0))</f>
        <v>0</v>
      </c>
    </row>
    <row r="4188" spans="1:10" ht="14.25" hidden="1" customHeight="1" x14ac:dyDescent="0.35">
      <c r="A4188" s="30"/>
      <c r="E4188" s="31"/>
      <c r="G4188" s="32" t="str">
        <f t="shared" si="130"/>
        <v>|||1900|</v>
      </c>
      <c r="H4188" s="32" t="str">
        <f t="shared" si="131"/>
        <v>||1900|</v>
      </c>
      <c r="I4188" s="32">
        <f>IF(G4188="",0,IF(COUNTIF($G$2:G4188,G4188)=1,1,0))</f>
        <v>0</v>
      </c>
      <c r="J4188" s="32">
        <f>IF(H4188="",0,IF(COUNTIF($H$2:H4188,H4188)=1,1,0))</f>
        <v>0</v>
      </c>
    </row>
    <row r="4189" spans="1:10" ht="14.25" hidden="1" customHeight="1" x14ac:dyDescent="0.35">
      <c r="A4189" s="30"/>
      <c r="E4189" s="31"/>
      <c r="G4189" s="32" t="str">
        <f t="shared" si="130"/>
        <v>|||1900|</v>
      </c>
      <c r="H4189" s="32" t="str">
        <f t="shared" si="131"/>
        <v>||1900|</v>
      </c>
      <c r="I4189" s="32">
        <f>IF(G4189="",0,IF(COUNTIF($G$2:G4189,G4189)=1,1,0))</f>
        <v>0</v>
      </c>
      <c r="J4189" s="32">
        <f>IF(H4189="",0,IF(COUNTIF($H$2:H4189,H4189)=1,1,0))</f>
        <v>0</v>
      </c>
    </row>
    <row r="4190" spans="1:10" ht="14.25" hidden="1" customHeight="1" x14ac:dyDescent="0.35">
      <c r="A4190" s="30"/>
      <c r="E4190" s="31"/>
      <c r="G4190" s="32" t="str">
        <f t="shared" si="130"/>
        <v>|||1900|</v>
      </c>
      <c r="H4190" s="32" t="str">
        <f t="shared" si="131"/>
        <v>||1900|</v>
      </c>
      <c r="I4190" s="32">
        <f>IF(G4190="",0,IF(COUNTIF($G$2:G4190,G4190)=1,1,0))</f>
        <v>0</v>
      </c>
      <c r="J4190" s="32">
        <f>IF(H4190="",0,IF(COUNTIF($H$2:H4190,H4190)=1,1,0))</f>
        <v>0</v>
      </c>
    </row>
    <row r="4191" spans="1:10" ht="14.25" hidden="1" customHeight="1" x14ac:dyDescent="0.35">
      <c r="A4191" s="30"/>
      <c r="E4191" s="31"/>
      <c r="G4191" s="32" t="str">
        <f t="shared" si="130"/>
        <v>|||1900|</v>
      </c>
      <c r="H4191" s="32" t="str">
        <f t="shared" si="131"/>
        <v>||1900|</v>
      </c>
      <c r="I4191" s="32">
        <f>IF(G4191="",0,IF(COUNTIF($G$2:G4191,G4191)=1,1,0))</f>
        <v>0</v>
      </c>
      <c r="J4191" s="32">
        <f>IF(H4191="",0,IF(COUNTIF($H$2:H4191,H4191)=1,1,0))</f>
        <v>0</v>
      </c>
    </row>
    <row r="4192" spans="1:10" ht="14.25" hidden="1" customHeight="1" x14ac:dyDescent="0.35">
      <c r="A4192" s="30"/>
      <c r="E4192" s="31"/>
      <c r="G4192" s="32" t="str">
        <f t="shared" si="130"/>
        <v>|||1900|</v>
      </c>
      <c r="H4192" s="32" t="str">
        <f t="shared" si="131"/>
        <v>||1900|</v>
      </c>
      <c r="I4192" s="32">
        <f>IF(G4192="",0,IF(COUNTIF($G$2:G4192,G4192)=1,1,0))</f>
        <v>0</v>
      </c>
      <c r="J4192" s="32">
        <f>IF(H4192="",0,IF(COUNTIF($H$2:H4192,H4192)=1,1,0))</f>
        <v>0</v>
      </c>
    </row>
    <row r="4193" spans="1:10" ht="14.25" hidden="1" customHeight="1" x14ac:dyDescent="0.35">
      <c r="A4193" s="30"/>
      <c r="E4193" s="31"/>
      <c r="G4193" s="32" t="str">
        <f t="shared" si="130"/>
        <v>|||1900|</v>
      </c>
      <c r="H4193" s="32" t="str">
        <f t="shared" si="131"/>
        <v>||1900|</v>
      </c>
      <c r="I4193" s="32">
        <f>IF(G4193="",0,IF(COUNTIF($G$2:G4193,G4193)=1,1,0))</f>
        <v>0</v>
      </c>
      <c r="J4193" s="32">
        <f>IF(H4193="",0,IF(COUNTIF($H$2:H4193,H4193)=1,1,0))</f>
        <v>0</v>
      </c>
    </row>
    <row r="4194" spans="1:10" ht="14.25" hidden="1" customHeight="1" x14ac:dyDescent="0.35">
      <c r="A4194" s="30"/>
      <c r="E4194" s="31"/>
      <c r="G4194" s="32" t="str">
        <f t="shared" si="130"/>
        <v>|||1900|</v>
      </c>
      <c r="H4194" s="32" t="str">
        <f t="shared" si="131"/>
        <v>||1900|</v>
      </c>
      <c r="I4194" s="32">
        <f>IF(G4194="",0,IF(COUNTIF($G$2:G4194,G4194)=1,1,0))</f>
        <v>0</v>
      </c>
      <c r="J4194" s="32">
        <f>IF(H4194="",0,IF(COUNTIF($H$2:H4194,H4194)=1,1,0))</f>
        <v>0</v>
      </c>
    </row>
    <row r="4195" spans="1:10" ht="14.25" hidden="1" customHeight="1" x14ac:dyDescent="0.35">
      <c r="A4195" s="30"/>
      <c r="E4195" s="31"/>
      <c r="G4195" s="32" t="str">
        <f t="shared" si="130"/>
        <v>|||1900|</v>
      </c>
      <c r="H4195" s="32" t="str">
        <f t="shared" si="131"/>
        <v>||1900|</v>
      </c>
      <c r="I4195" s="32">
        <f>IF(G4195="",0,IF(COUNTIF($G$2:G4195,G4195)=1,1,0))</f>
        <v>0</v>
      </c>
      <c r="J4195" s="32">
        <f>IF(H4195="",0,IF(COUNTIF($H$2:H4195,H4195)=1,1,0))</f>
        <v>0</v>
      </c>
    </row>
    <row r="4196" spans="1:10" ht="14.25" hidden="1" customHeight="1" x14ac:dyDescent="0.35">
      <c r="A4196" s="30"/>
      <c r="E4196" s="31"/>
      <c r="G4196" s="32" t="str">
        <f t="shared" si="130"/>
        <v>|||1900|</v>
      </c>
      <c r="H4196" s="32" t="str">
        <f t="shared" si="131"/>
        <v>||1900|</v>
      </c>
      <c r="I4196" s="32">
        <f>IF(G4196="",0,IF(COUNTIF($G$2:G4196,G4196)=1,1,0))</f>
        <v>0</v>
      </c>
      <c r="J4196" s="32">
        <f>IF(H4196="",0,IF(COUNTIF($H$2:H4196,H4196)=1,1,0))</f>
        <v>0</v>
      </c>
    </row>
    <row r="4197" spans="1:10" ht="14.25" hidden="1" customHeight="1" x14ac:dyDescent="0.35">
      <c r="A4197" s="30"/>
      <c r="E4197" s="31"/>
      <c r="G4197" s="32" t="str">
        <f t="shared" si="130"/>
        <v>|||1900|</v>
      </c>
      <c r="H4197" s="32" t="str">
        <f t="shared" si="131"/>
        <v>||1900|</v>
      </c>
      <c r="I4197" s="32">
        <f>IF(G4197="",0,IF(COUNTIF($G$2:G4197,G4197)=1,1,0))</f>
        <v>0</v>
      </c>
      <c r="J4197" s="32">
        <f>IF(H4197="",0,IF(COUNTIF($H$2:H4197,H4197)=1,1,0))</f>
        <v>0</v>
      </c>
    </row>
    <row r="4198" spans="1:10" ht="14.25" hidden="1" customHeight="1" x14ac:dyDescent="0.35">
      <c r="A4198" s="30"/>
      <c r="E4198" s="31"/>
      <c r="G4198" s="32" t="str">
        <f t="shared" si="130"/>
        <v>|||1900|</v>
      </c>
      <c r="H4198" s="32" t="str">
        <f t="shared" si="131"/>
        <v>||1900|</v>
      </c>
      <c r="I4198" s="32">
        <f>IF(G4198="",0,IF(COUNTIF($G$2:G4198,G4198)=1,1,0))</f>
        <v>0</v>
      </c>
      <c r="J4198" s="32">
        <f>IF(H4198="",0,IF(COUNTIF($H$2:H4198,H4198)=1,1,0))</f>
        <v>0</v>
      </c>
    </row>
    <row r="4199" spans="1:10" ht="14.25" hidden="1" customHeight="1" x14ac:dyDescent="0.35">
      <c r="A4199" s="30"/>
      <c r="E4199" s="31"/>
      <c r="G4199" s="32" t="str">
        <f t="shared" si="130"/>
        <v>|||1900|</v>
      </c>
      <c r="H4199" s="32" t="str">
        <f t="shared" si="131"/>
        <v>||1900|</v>
      </c>
      <c r="I4199" s="32">
        <f>IF(G4199="",0,IF(COUNTIF($G$2:G4199,G4199)=1,1,0))</f>
        <v>0</v>
      </c>
      <c r="J4199" s="32">
        <f>IF(H4199="",0,IF(COUNTIF($H$2:H4199,H4199)=1,1,0))</f>
        <v>0</v>
      </c>
    </row>
    <row r="4200" spans="1:10" ht="14.25" hidden="1" customHeight="1" x14ac:dyDescent="0.35">
      <c r="A4200" s="30"/>
      <c r="E4200" s="31"/>
      <c r="G4200" s="32" t="str">
        <f t="shared" si="130"/>
        <v>|||1900|</v>
      </c>
      <c r="H4200" s="32" t="str">
        <f t="shared" si="131"/>
        <v>||1900|</v>
      </c>
      <c r="I4200" s="32">
        <f>IF(G4200="",0,IF(COUNTIF($G$2:G4200,G4200)=1,1,0))</f>
        <v>0</v>
      </c>
      <c r="J4200" s="32">
        <f>IF(H4200="",0,IF(COUNTIF($H$2:H4200,H4200)=1,1,0))</f>
        <v>0</v>
      </c>
    </row>
    <row r="4201" spans="1:10" ht="14.25" hidden="1" customHeight="1" x14ac:dyDescent="0.35">
      <c r="A4201" s="30"/>
      <c r="E4201" s="31"/>
      <c r="G4201" s="32" t="str">
        <f t="shared" si="130"/>
        <v>|||1900|</v>
      </c>
      <c r="H4201" s="32" t="str">
        <f t="shared" si="131"/>
        <v>||1900|</v>
      </c>
      <c r="I4201" s="32">
        <f>IF(G4201="",0,IF(COUNTIF($G$2:G4201,G4201)=1,1,0))</f>
        <v>0</v>
      </c>
      <c r="J4201" s="32">
        <f>IF(H4201="",0,IF(COUNTIF($H$2:H4201,H4201)=1,1,0))</f>
        <v>0</v>
      </c>
    </row>
    <row r="4202" spans="1:10" ht="14.25" hidden="1" customHeight="1" x14ac:dyDescent="0.35">
      <c r="A4202" s="30"/>
      <c r="E4202" s="31"/>
      <c r="G4202" s="32" t="str">
        <f t="shared" si="130"/>
        <v>|||1900|</v>
      </c>
      <c r="H4202" s="32" t="str">
        <f t="shared" si="131"/>
        <v>||1900|</v>
      </c>
      <c r="I4202" s="32">
        <f>IF(G4202="",0,IF(COUNTIF($G$2:G4202,G4202)=1,1,0))</f>
        <v>0</v>
      </c>
      <c r="J4202" s="32">
        <f>IF(H4202="",0,IF(COUNTIF($H$2:H4202,H4202)=1,1,0))</f>
        <v>0</v>
      </c>
    </row>
    <row r="4203" spans="1:10" ht="14.25" hidden="1" customHeight="1" x14ac:dyDescent="0.35">
      <c r="A4203" s="30"/>
      <c r="E4203" s="31"/>
      <c r="G4203" s="32" t="str">
        <f t="shared" si="130"/>
        <v>|||1900|</v>
      </c>
      <c r="H4203" s="32" t="str">
        <f t="shared" si="131"/>
        <v>||1900|</v>
      </c>
      <c r="I4203" s="32">
        <f>IF(G4203="",0,IF(COUNTIF($G$2:G4203,G4203)=1,1,0))</f>
        <v>0</v>
      </c>
      <c r="J4203" s="32">
        <f>IF(H4203="",0,IF(COUNTIF($H$2:H4203,H4203)=1,1,0))</f>
        <v>0</v>
      </c>
    </row>
    <row r="4204" spans="1:10" ht="14.25" hidden="1" customHeight="1" x14ac:dyDescent="0.35">
      <c r="A4204" s="30"/>
      <c r="E4204" s="31"/>
      <c r="G4204" s="32" t="str">
        <f t="shared" si="130"/>
        <v>|||1900|</v>
      </c>
      <c r="H4204" s="32" t="str">
        <f t="shared" si="131"/>
        <v>||1900|</v>
      </c>
      <c r="I4204" s="32">
        <f>IF(G4204="",0,IF(COUNTIF($G$2:G4204,G4204)=1,1,0))</f>
        <v>0</v>
      </c>
      <c r="J4204" s="32">
        <f>IF(H4204="",0,IF(COUNTIF($H$2:H4204,H4204)=1,1,0))</f>
        <v>0</v>
      </c>
    </row>
    <row r="4205" spans="1:10" ht="14.25" hidden="1" customHeight="1" x14ac:dyDescent="0.35">
      <c r="A4205" s="30"/>
      <c r="E4205" s="31"/>
      <c r="G4205" s="32" t="str">
        <f t="shared" si="130"/>
        <v>|||1900|</v>
      </c>
      <c r="H4205" s="32" t="str">
        <f t="shared" si="131"/>
        <v>||1900|</v>
      </c>
      <c r="I4205" s="32">
        <f>IF(G4205="",0,IF(COUNTIF($G$2:G4205,G4205)=1,1,0))</f>
        <v>0</v>
      </c>
      <c r="J4205" s="32">
        <f>IF(H4205="",0,IF(COUNTIF($H$2:H4205,H4205)=1,1,0))</f>
        <v>0</v>
      </c>
    </row>
    <row r="4206" spans="1:10" ht="14.25" hidden="1" customHeight="1" x14ac:dyDescent="0.35">
      <c r="A4206" s="30"/>
      <c r="E4206" s="31"/>
      <c r="G4206" s="32" t="str">
        <f t="shared" si="130"/>
        <v>|||1900|</v>
      </c>
      <c r="H4206" s="32" t="str">
        <f t="shared" si="131"/>
        <v>||1900|</v>
      </c>
      <c r="I4206" s="32">
        <f>IF(G4206="",0,IF(COUNTIF($G$2:G4206,G4206)=1,1,0))</f>
        <v>0</v>
      </c>
      <c r="J4206" s="32">
        <f>IF(H4206="",0,IF(COUNTIF($H$2:H4206,H4206)=1,1,0))</f>
        <v>0</v>
      </c>
    </row>
    <row r="4207" spans="1:10" ht="14.25" hidden="1" customHeight="1" x14ac:dyDescent="0.35">
      <c r="A4207" s="30"/>
      <c r="E4207" s="31"/>
      <c r="G4207" s="32" t="str">
        <f t="shared" si="130"/>
        <v>|||1900|</v>
      </c>
      <c r="H4207" s="32" t="str">
        <f t="shared" si="131"/>
        <v>||1900|</v>
      </c>
      <c r="I4207" s="32">
        <f>IF(G4207="",0,IF(COUNTIF($G$2:G4207,G4207)=1,1,0))</f>
        <v>0</v>
      </c>
      <c r="J4207" s="32">
        <f>IF(H4207="",0,IF(COUNTIF($H$2:H4207,H4207)=1,1,0))</f>
        <v>0</v>
      </c>
    </row>
    <row r="4208" spans="1:10" ht="14.25" hidden="1" customHeight="1" x14ac:dyDescent="0.35">
      <c r="A4208" s="30"/>
      <c r="E4208" s="31"/>
      <c r="G4208" s="32" t="str">
        <f t="shared" si="130"/>
        <v>|||1900|</v>
      </c>
      <c r="H4208" s="32" t="str">
        <f t="shared" si="131"/>
        <v>||1900|</v>
      </c>
      <c r="I4208" s="32">
        <f>IF(G4208="",0,IF(COUNTIF($G$2:G4208,G4208)=1,1,0))</f>
        <v>0</v>
      </c>
      <c r="J4208" s="32">
        <f>IF(H4208="",0,IF(COUNTIF($H$2:H4208,H4208)=1,1,0))</f>
        <v>0</v>
      </c>
    </row>
    <row r="4209" spans="1:10" ht="14.25" hidden="1" customHeight="1" x14ac:dyDescent="0.35">
      <c r="A4209" s="30"/>
      <c r="E4209" s="31"/>
      <c r="G4209" s="32" t="str">
        <f t="shared" si="130"/>
        <v>|||1900|</v>
      </c>
      <c r="H4209" s="32" t="str">
        <f t="shared" si="131"/>
        <v>||1900|</v>
      </c>
      <c r="I4209" s="32">
        <f>IF(G4209="",0,IF(COUNTIF($G$2:G4209,G4209)=1,1,0))</f>
        <v>0</v>
      </c>
      <c r="J4209" s="32">
        <f>IF(H4209="",0,IF(COUNTIF($H$2:H4209,H4209)=1,1,0))</f>
        <v>0</v>
      </c>
    </row>
    <row r="4210" spans="1:10" ht="14.25" hidden="1" customHeight="1" x14ac:dyDescent="0.35">
      <c r="A4210" s="30"/>
      <c r="E4210" s="31"/>
      <c r="G4210" s="32" t="str">
        <f t="shared" si="130"/>
        <v>|||1900|</v>
      </c>
      <c r="H4210" s="32" t="str">
        <f t="shared" si="131"/>
        <v>||1900|</v>
      </c>
      <c r="I4210" s="32">
        <f>IF(G4210="",0,IF(COUNTIF($G$2:G4210,G4210)=1,1,0))</f>
        <v>0</v>
      </c>
      <c r="J4210" s="32">
        <f>IF(H4210="",0,IF(COUNTIF($H$2:H4210,H4210)=1,1,0))</f>
        <v>0</v>
      </c>
    </row>
    <row r="4211" spans="1:10" ht="14.25" hidden="1" customHeight="1" x14ac:dyDescent="0.35">
      <c r="A4211" s="30"/>
      <c r="E4211" s="31"/>
      <c r="G4211" s="32" t="str">
        <f t="shared" si="130"/>
        <v>|||1900|</v>
      </c>
      <c r="H4211" s="32" t="str">
        <f t="shared" si="131"/>
        <v>||1900|</v>
      </c>
      <c r="I4211" s="32">
        <f>IF(G4211="",0,IF(COUNTIF($G$2:G4211,G4211)=1,1,0))</f>
        <v>0</v>
      </c>
      <c r="J4211" s="32">
        <f>IF(H4211="",0,IF(COUNTIF($H$2:H4211,H4211)=1,1,0))</f>
        <v>0</v>
      </c>
    </row>
    <row r="4212" spans="1:10" ht="14.25" hidden="1" customHeight="1" x14ac:dyDescent="0.35">
      <c r="A4212" s="30"/>
      <c r="E4212" s="31"/>
      <c r="G4212" s="32" t="str">
        <f t="shared" si="130"/>
        <v>|||1900|</v>
      </c>
      <c r="H4212" s="32" t="str">
        <f t="shared" si="131"/>
        <v>||1900|</v>
      </c>
      <c r="I4212" s="32">
        <f>IF(G4212="",0,IF(COUNTIF($G$2:G4212,G4212)=1,1,0))</f>
        <v>0</v>
      </c>
      <c r="J4212" s="32">
        <f>IF(H4212="",0,IF(COUNTIF($H$2:H4212,H4212)=1,1,0))</f>
        <v>0</v>
      </c>
    </row>
    <row r="4213" spans="1:10" ht="14.25" hidden="1" customHeight="1" x14ac:dyDescent="0.35">
      <c r="A4213" s="30"/>
      <c r="E4213" s="31"/>
      <c r="G4213" s="32" t="str">
        <f t="shared" si="130"/>
        <v>|||1900|</v>
      </c>
      <c r="H4213" s="32" t="str">
        <f t="shared" si="131"/>
        <v>||1900|</v>
      </c>
      <c r="I4213" s="32">
        <f>IF(G4213="",0,IF(COUNTIF($G$2:G4213,G4213)=1,1,0))</f>
        <v>0</v>
      </c>
      <c r="J4213" s="32">
        <f>IF(H4213="",0,IF(COUNTIF($H$2:H4213,H4213)=1,1,0))</f>
        <v>0</v>
      </c>
    </row>
    <row r="4214" spans="1:10" ht="14.25" hidden="1" customHeight="1" x14ac:dyDescent="0.35">
      <c r="A4214" s="30"/>
      <c r="E4214" s="31"/>
      <c r="G4214" s="32" t="str">
        <f t="shared" si="130"/>
        <v>|||1900|</v>
      </c>
      <c r="H4214" s="32" t="str">
        <f t="shared" si="131"/>
        <v>||1900|</v>
      </c>
      <c r="I4214" s="32">
        <f>IF(G4214="",0,IF(COUNTIF($G$2:G4214,G4214)=1,1,0))</f>
        <v>0</v>
      </c>
      <c r="J4214" s="32">
        <f>IF(H4214="",0,IF(COUNTIF($H$2:H4214,H4214)=1,1,0))</f>
        <v>0</v>
      </c>
    </row>
    <row r="4215" spans="1:10" ht="14.25" hidden="1" customHeight="1" x14ac:dyDescent="0.35">
      <c r="A4215" s="30"/>
      <c r="E4215" s="31"/>
      <c r="G4215" s="32" t="str">
        <f t="shared" si="130"/>
        <v>|||1900|</v>
      </c>
      <c r="H4215" s="32" t="str">
        <f t="shared" si="131"/>
        <v>||1900|</v>
      </c>
      <c r="I4215" s="32">
        <f>IF(G4215="",0,IF(COUNTIF($G$2:G4215,G4215)=1,1,0))</f>
        <v>0</v>
      </c>
      <c r="J4215" s="32">
        <f>IF(H4215="",0,IF(COUNTIF($H$2:H4215,H4215)=1,1,0))</f>
        <v>0</v>
      </c>
    </row>
    <row r="4216" spans="1:10" ht="14.25" hidden="1" customHeight="1" x14ac:dyDescent="0.35">
      <c r="A4216" s="30"/>
      <c r="E4216" s="31"/>
      <c r="G4216" s="32" t="str">
        <f t="shared" si="130"/>
        <v>|||1900|</v>
      </c>
      <c r="H4216" s="32" t="str">
        <f t="shared" si="131"/>
        <v>||1900|</v>
      </c>
      <c r="I4216" s="32">
        <f>IF(G4216="",0,IF(COUNTIF($G$2:G4216,G4216)=1,1,0))</f>
        <v>0</v>
      </c>
      <c r="J4216" s="32">
        <f>IF(H4216="",0,IF(COUNTIF($H$2:H4216,H4216)=1,1,0))</f>
        <v>0</v>
      </c>
    </row>
    <row r="4217" spans="1:10" ht="14.25" hidden="1" customHeight="1" x14ac:dyDescent="0.35">
      <c r="A4217" s="30"/>
      <c r="E4217" s="31"/>
      <c r="G4217" s="32" t="str">
        <f t="shared" si="130"/>
        <v>|||1900|</v>
      </c>
      <c r="H4217" s="32" t="str">
        <f t="shared" si="131"/>
        <v>||1900|</v>
      </c>
      <c r="I4217" s="32">
        <f>IF(G4217="",0,IF(COUNTIF($G$2:G4217,G4217)=1,1,0))</f>
        <v>0</v>
      </c>
      <c r="J4217" s="32">
        <f>IF(H4217="",0,IF(COUNTIF($H$2:H4217,H4217)=1,1,0))</f>
        <v>0</v>
      </c>
    </row>
    <row r="4218" spans="1:10" ht="14.25" hidden="1" customHeight="1" x14ac:dyDescent="0.35">
      <c r="A4218" s="30"/>
      <c r="E4218" s="31"/>
      <c r="G4218" s="32" t="str">
        <f t="shared" si="130"/>
        <v>|||1900|</v>
      </c>
      <c r="H4218" s="32" t="str">
        <f t="shared" si="131"/>
        <v>||1900|</v>
      </c>
      <c r="I4218" s="32">
        <f>IF(G4218="",0,IF(COUNTIF($G$2:G4218,G4218)=1,1,0))</f>
        <v>0</v>
      </c>
      <c r="J4218" s="32">
        <f>IF(H4218="",0,IF(COUNTIF($H$2:H4218,H4218)=1,1,0))</f>
        <v>0</v>
      </c>
    </row>
    <row r="4219" spans="1:10" ht="14.25" hidden="1" customHeight="1" x14ac:dyDescent="0.35">
      <c r="A4219" s="30"/>
      <c r="E4219" s="31"/>
      <c r="G4219" s="32" t="str">
        <f t="shared" si="130"/>
        <v>|||1900|</v>
      </c>
      <c r="H4219" s="32" t="str">
        <f t="shared" si="131"/>
        <v>||1900|</v>
      </c>
      <c r="I4219" s="32">
        <f>IF(G4219="",0,IF(COUNTIF($G$2:G4219,G4219)=1,1,0))</f>
        <v>0</v>
      </c>
      <c r="J4219" s="32">
        <f>IF(H4219="",0,IF(COUNTIF($H$2:H4219,H4219)=1,1,0))</f>
        <v>0</v>
      </c>
    </row>
    <row r="4220" spans="1:10" ht="14.25" hidden="1" customHeight="1" x14ac:dyDescent="0.35">
      <c r="A4220" s="30"/>
      <c r="E4220" s="31"/>
      <c r="G4220" s="32" t="str">
        <f t="shared" si="130"/>
        <v>|||1900|</v>
      </c>
      <c r="H4220" s="32" t="str">
        <f t="shared" si="131"/>
        <v>||1900|</v>
      </c>
      <c r="I4220" s="32">
        <f>IF(G4220="",0,IF(COUNTIF($G$2:G4220,G4220)=1,1,0))</f>
        <v>0</v>
      </c>
      <c r="J4220" s="32">
        <f>IF(H4220="",0,IF(COUNTIF($H$2:H4220,H4220)=1,1,0))</f>
        <v>0</v>
      </c>
    </row>
    <row r="4221" spans="1:10" ht="14.25" hidden="1" customHeight="1" x14ac:dyDescent="0.35">
      <c r="A4221" s="30"/>
      <c r="E4221" s="31"/>
      <c r="G4221" s="32" t="str">
        <f t="shared" si="130"/>
        <v>|||1900|</v>
      </c>
      <c r="H4221" s="32" t="str">
        <f t="shared" si="131"/>
        <v>||1900|</v>
      </c>
      <c r="I4221" s="32">
        <f>IF(G4221="",0,IF(COUNTIF($G$2:G4221,G4221)=1,1,0))</f>
        <v>0</v>
      </c>
      <c r="J4221" s="32">
        <f>IF(H4221="",0,IF(COUNTIF($H$2:H4221,H4221)=1,1,0))</f>
        <v>0</v>
      </c>
    </row>
    <row r="4222" spans="1:10" ht="14.25" hidden="1" customHeight="1" x14ac:dyDescent="0.35">
      <c r="A4222" s="30"/>
      <c r="E4222" s="31"/>
      <c r="G4222" s="32" t="str">
        <f t="shared" si="130"/>
        <v>|||1900|</v>
      </c>
      <c r="H4222" s="32" t="str">
        <f t="shared" si="131"/>
        <v>||1900|</v>
      </c>
      <c r="I4222" s="32">
        <f>IF(G4222="",0,IF(COUNTIF($G$2:G4222,G4222)=1,1,0))</f>
        <v>0</v>
      </c>
      <c r="J4222" s="32">
        <f>IF(H4222="",0,IF(COUNTIF($H$2:H4222,H4222)=1,1,0))</f>
        <v>0</v>
      </c>
    </row>
    <row r="4223" spans="1:10" ht="14.25" hidden="1" customHeight="1" x14ac:dyDescent="0.35">
      <c r="A4223" s="30"/>
      <c r="E4223" s="31"/>
      <c r="G4223" s="32" t="str">
        <f t="shared" si="130"/>
        <v>|||1900|</v>
      </c>
      <c r="H4223" s="32" t="str">
        <f t="shared" si="131"/>
        <v>||1900|</v>
      </c>
      <c r="I4223" s="32">
        <f>IF(G4223="",0,IF(COUNTIF($G$2:G4223,G4223)=1,1,0))</f>
        <v>0</v>
      </c>
      <c r="J4223" s="32">
        <f>IF(H4223="",0,IF(COUNTIF($H$2:H4223,H4223)=1,1,0))</f>
        <v>0</v>
      </c>
    </row>
    <row r="4224" spans="1:10" ht="14.25" hidden="1" customHeight="1" x14ac:dyDescent="0.35">
      <c r="A4224" s="30"/>
      <c r="E4224" s="31"/>
      <c r="G4224" s="32" t="str">
        <f t="shared" si="130"/>
        <v>|||1900|</v>
      </c>
      <c r="H4224" s="32" t="str">
        <f t="shared" si="131"/>
        <v>||1900|</v>
      </c>
      <c r="I4224" s="32">
        <f>IF(G4224="",0,IF(COUNTIF($G$2:G4224,G4224)=1,1,0))</f>
        <v>0</v>
      </c>
      <c r="J4224" s="32">
        <f>IF(H4224="",0,IF(COUNTIF($H$2:H4224,H4224)=1,1,0))</f>
        <v>0</v>
      </c>
    </row>
    <row r="4225" spans="1:10" ht="14.25" hidden="1" customHeight="1" x14ac:dyDescent="0.35">
      <c r="A4225" s="30"/>
      <c r="E4225" s="31"/>
      <c r="G4225" s="32" t="str">
        <f t="shared" si="130"/>
        <v>|||1900|</v>
      </c>
      <c r="H4225" s="32" t="str">
        <f t="shared" si="131"/>
        <v>||1900|</v>
      </c>
      <c r="I4225" s="32">
        <f>IF(G4225="",0,IF(COUNTIF($G$2:G4225,G4225)=1,1,0))</f>
        <v>0</v>
      </c>
      <c r="J4225" s="32">
        <f>IF(H4225="",0,IF(COUNTIF($H$2:H4225,H4225)=1,1,0))</f>
        <v>0</v>
      </c>
    </row>
    <row r="4226" spans="1:10" ht="14.25" hidden="1" customHeight="1" x14ac:dyDescent="0.35">
      <c r="A4226" s="30"/>
      <c r="E4226" s="31"/>
      <c r="G4226" s="32" t="str">
        <f t="shared" ref="G4226:G4289" si="132">IF(D4226="T",
E4226&amp;"|"&amp;F4226,
A4226&amp;"|"&amp;B4226&amp;"|"&amp;C4226&amp;"|"&amp;YEAR(E4226)&amp;"|"&amp;F4226)</f>
        <v>|||1900|</v>
      </c>
      <c r="H4226" s="32" t="str">
        <f t="shared" ref="H4226:H4289" si="133">A4226&amp;"|"&amp;C4226&amp;"|"&amp;YEAR(E4226)&amp;"|"&amp;F4226</f>
        <v>||1900|</v>
      </c>
      <c r="I4226" s="32">
        <f>IF(G4226="",0,IF(COUNTIF($G$2:G4226,G4226)=1,1,0))</f>
        <v>0</v>
      </c>
      <c r="J4226" s="32">
        <f>IF(H4226="",0,IF(COUNTIF($H$2:H4226,H4226)=1,1,0))</f>
        <v>0</v>
      </c>
    </row>
    <row r="4227" spans="1:10" ht="14.25" hidden="1" customHeight="1" x14ac:dyDescent="0.35">
      <c r="A4227" s="30"/>
      <c r="E4227" s="31"/>
      <c r="G4227" s="32" t="str">
        <f t="shared" si="132"/>
        <v>|||1900|</v>
      </c>
      <c r="H4227" s="32" t="str">
        <f t="shared" si="133"/>
        <v>||1900|</v>
      </c>
      <c r="I4227" s="32">
        <f>IF(G4227="",0,IF(COUNTIF($G$2:G4227,G4227)=1,1,0))</f>
        <v>0</v>
      </c>
      <c r="J4227" s="32">
        <f>IF(H4227="",0,IF(COUNTIF($H$2:H4227,H4227)=1,1,0))</f>
        <v>0</v>
      </c>
    </row>
    <row r="4228" spans="1:10" ht="14.25" hidden="1" customHeight="1" x14ac:dyDescent="0.35">
      <c r="A4228" s="30"/>
      <c r="E4228" s="31"/>
      <c r="G4228" s="32" t="str">
        <f t="shared" si="132"/>
        <v>|||1900|</v>
      </c>
      <c r="H4228" s="32" t="str">
        <f t="shared" si="133"/>
        <v>||1900|</v>
      </c>
      <c r="I4228" s="32">
        <f>IF(G4228="",0,IF(COUNTIF($G$2:G4228,G4228)=1,1,0))</f>
        <v>0</v>
      </c>
      <c r="J4228" s="32">
        <f>IF(H4228="",0,IF(COUNTIF($H$2:H4228,H4228)=1,1,0))</f>
        <v>0</v>
      </c>
    </row>
    <row r="4229" spans="1:10" ht="14.25" hidden="1" customHeight="1" x14ac:dyDescent="0.35">
      <c r="A4229" s="30"/>
      <c r="E4229" s="31"/>
      <c r="G4229" s="32" t="str">
        <f t="shared" si="132"/>
        <v>|||1900|</v>
      </c>
      <c r="H4229" s="32" t="str">
        <f t="shared" si="133"/>
        <v>||1900|</v>
      </c>
      <c r="I4229" s="32">
        <f>IF(G4229="",0,IF(COUNTIF($G$2:G4229,G4229)=1,1,0))</f>
        <v>0</v>
      </c>
      <c r="J4229" s="32">
        <f>IF(H4229="",0,IF(COUNTIF($H$2:H4229,H4229)=1,1,0))</f>
        <v>0</v>
      </c>
    </row>
    <row r="4230" spans="1:10" ht="14.25" hidden="1" customHeight="1" x14ac:dyDescent="0.35">
      <c r="A4230" s="30"/>
      <c r="E4230" s="31"/>
      <c r="G4230" s="32" t="str">
        <f t="shared" si="132"/>
        <v>|||1900|</v>
      </c>
      <c r="H4230" s="32" t="str">
        <f t="shared" si="133"/>
        <v>||1900|</v>
      </c>
      <c r="I4230" s="32">
        <f>IF(G4230="",0,IF(COUNTIF($G$2:G4230,G4230)=1,1,0))</f>
        <v>0</v>
      </c>
      <c r="J4230" s="32">
        <f>IF(H4230="",0,IF(COUNTIF($H$2:H4230,H4230)=1,1,0))</f>
        <v>0</v>
      </c>
    </row>
    <row r="4231" spans="1:10" ht="14.25" hidden="1" customHeight="1" x14ac:dyDescent="0.35">
      <c r="A4231" s="30"/>
      <c r="E4231" s="31"/>
      <c r="G4231" s="32" t="str">
        <f t="shared" si="132"/>
        <v>|||1900|</v>
      </c>
      <c r="H4231" s="32" t="str">
        <f t="shared" si="133"/>
        <v>||1900|</v>
      </c>
      <c r="I4231" s="32">
        <f>IF(G4231="",0,IF(COUNTIF($G$2:G4231,G4231)=1,1,0))</f>
        <v>0</v>
      </c>
      <c r="J4231" s="32">
        <f>IF(H4231="",0,IF(COUNTIF($H$2:H4231,H4231)=1,1,0))</f>
        <v>0</v>
      </c>
    </row>
    <row r="4232" spans="1:10" ht="14.25" hidden="1" customHeight="1" x14ac:dyDescent="0.35">
      <c r="A4232" s="30"/>
      <c r="E4232" s="31"/>
      <c r="G4232" s="32" t="str">
        <f t="shared" si="132"/>
        <v>|||1900|</v>
      </c>
      <c r="H4232" s="32" t="str">
        <f t="shared" si="133"/>
        <v>||1900|</v>
      </c>
      <c r="I4232" s="32">
        <f>IF(G4232="",0,IF(COUNTIF($G$2:G4232,G4232)=1,1,0))</f>
        <v>0</v>
      </c>
      <c r="J4232" s="32">
        <f>IF(H4232="",0,IF(COUNTIF($H$2:H4232,H4232)=1,1,0))</f>
        <v>0</v>
      </c>
    </row>
    <row r="4233" spans="1:10" ht="14.25" hidden="1" customHeight="1" x14ac:dyDescent="0.35">
      <c r="A4233" s="30"/>
      <c r="E4233" s="31"/>
      <c r="G4233" s="32" t="str">
        <f t="shared" si="132"/>
        <v>|||1900|</v>
      </c>
      <c r="H4233" s="32" t="str">
        <f t="shared" si="133"/>
        <v>||1900|</v>
      </c>
      <c r="I4233" s="32">
        <f>IF(G4233="",0,IF(COUNTIF($G$2:G4233,G4233)=1,1,0))</f>
        <v>0</v>
      </c>
      <c r="J4233" s="32">
        <f>IF(H4233="",0,IF(COUNTIF($H$2:H4233,H4233)=1,1,0))</f>
        <v>0</v>
      </c>
    </row>
    <row r="4234" spans="1:10" ht="14.25" hidden="1" customHeight="1" x14ac:dyDescent="0.35">
      <c r="A4234" s="30"/>
      <c r="E4234" s="31"/>
      <c r="G4234" s="32" t="str">
        <f t="shared" si="132"/>
        <v>|||1900|</v>
      </c>
      <c r="H4234" s="32" t="str">
        <f t="shared" si="133"/>
        <v>||1900|</v>
      </c>
      <c r="I4234" s="32">
        <f>IF(G4234="",0,IF(COUNTIF($G$2:G4234,G4234)=1,1,0))</f>
        <v>0</v>
      </c>
      <c r="J4234" s="32">
        <f>IF(H4234="",0,IF(COUNTIF($H$2:H4234,H4234)=1,1,0))</f>
        <v>0</v>
      </c>
    </row>
    <row r="4235" spans="1:10" ht="14.25" hidden="1" customHeight="1" x14ac:dyDescent="0.35">
      <c r="A4235" s="30"/>
      <c r="E4235" s="31"/>
      <c r="G4235" s="32" t="str">
        <f t="shared" si="132"/>
        <v>|||1900|</v>
      </c>
      <c r="H4235" s="32" t="str">
        <f t="shared" si="133"/>
        <v>||1900|</v>
      </c>
      <c r="I4235" s="32">
        <f>IF(G4235="",0,IF(COUNTIF($G$2:G4235,G4235)=1,1,0))</f>
        <v>0</v>
      </c>
      <c r="J4235" s="32">
        <f>IF(H4235="",0,IF(COUNTIF($H$2:H4235,H4235)=1,1,0))</f>
        <v>0</v>
      </c>
    </row>
    <row r="4236" spans="1:10" ht="14.25" hidden="1" customHeight="1" x14ac:dyDescent="0.35">
      <c r="A4236" s="30"/>
      <c r="E4236" s="31"/>
      <c r="G4236" s="32" t="str">
        <f t="shared" si="132"/>
        <v>|||1900|</v>
      </c>
      <c r="H4236" s="32" t="str">
        <f t="shared" si="133"/>
        <v>||1900|</v>
      </c>
      <c r="I4236" s="32">
        <f>IF(G4236="",0,IF(COUNTIF($G$2:G4236,G4236)=1,1,0))</f>
        <v>0</v>
      </c>
      <c r="J4236" s="32">
        <f>IF(H4236="",0,IF(COUNTIF($H$2:H4236,H4236)=1,1,0))</f>
        <v>0</v>
      </c>
    </row>
    <row r="4237" spans="1:10" ht="14.25" hidden="1" customHeight="1" x14ac:dyDescent="0.35">
      <c r="A4237" s="30"/>
      <c r="E4237" s="31"/>
      <c r="G4237" s="32" t="str">
        <f t="shared" si="132"/>
        <v>|||1900|</v>
      </c>
      <c r="H4237" s="32" t="str">
        <f t="shared" si="133"/>
        <v>||1900|</v>
      </c>
      <c r="I4237" s="32">
        <f>IF(G4237="",0,IF(COUNTIF($G$2:G4237,G4237)=1,1,0))</f>
        <v>0</v>
      </c>
      <c r="J4237" s="32">
        <f>IF(H4237="",0,IF(COUNTIF($H$2:H4237,H4237)=1,1,0))</f>
        <v>0</v>
      </c>
    </row>
    <row r="4238" spans="1:10" ht="14.25" hidden="1" customHeight="1" x14ac:dyDescent="0.35">
      <c r="A4238" s="30"/>
      <c r="E4238" s="31"/>
      <c r="G4238" s="32" t="str">
        <f t="shared" si="132"/>
        <v>|||1900|</v>
      </c>
      <c r="H4238" s="32" t="str">
        <f t="shared" si="133"/>
        <v>||1900|</v>
      </c>
      <c r="I4238" s="32">
        <f>IF(G4238="",0,IF(COUNTIF($G$2:G4238,G4238)=1,1,0))</f>
        <v>0</v>
      </c>
      <c r="J4238" s="32">
        <f>IF(H4238="",0,IF(COUNTIF($H$2:H4238,H4238)=1,1,0))</f>
        <v>0</v>
      </c>
    </row>
    <row r="4239" spans="1:10" ht="14.25" hidden="1" customHeight="1" x14ac:dyDescent="0.35">
      <c r="A4239" s="30"/>
      <c r="E4239" s="31"/>
      <c r="G4239" s="32" t="str">
        <f t="shared" si="132"/>
        <v>|||1900|</v>
      </c>
      <c r="H4239" s="32" t="str">
        <f t="shared" si="133"/>
        <v>||1900|</v>
      </c>
      <c r="I4239" s="32">
        <f>IF(G4239="",0,IF(COUNTIF($G$2:G4239,G4239)=1,1,0))</f>
        <v>0</v>
      </c>
      <c r="J4239" s="32">
        <f>IF(H4239="",0,IF(COUNTIF($H$2:H4239,H4239)=1,1,0))</f>
        <v>0</v>
      </c>
    </row>
    <row r="4240" spans="1:10" ht="14.25" hidden="1" customHeight="1" x14ac:dyDescent="0.35">
      <c r="A4240" s="30"/>
      <c r="E4240" s="31"/>
      <c r="G4240" s="32" t="str">
        <f t="shared" si="132"/>
        <v>|||1900|</v>
      </c>
      <c r="H4240" s="32" t="str">
        <f t="shared" si="133"/>
        <v>||1900|</v>
      </c>
      <c r="I4240" s="32">
        <f>IF(G4240="",0,IF(COUNTIF($G$2:G4240,G4240)=1,1,0))</f>
        <v>0</v>
      </c>
      <c r="J4240" s="32">
        <f>IF(H4240="",0,IF(COUNTIF($H$2:H4240,H4240)=1,1,0))</f>
        <v>0</v>
      </c>
    </row>
    <row r="4241" spans="1:10" ht="14.25" hidden="1" customHeight="1" x14ac:dyDescent="0.35">
      <c r="A4241" s="30"/>
      <c r="E4241" s="31"/>
      <c r="G4241" s="32" t="str">
        <f t="shared" si="132"/>
        <v>|||1900|</v>
      </c>
      <c r="H4241" s="32" t="str">
        <f t="shared" si="133"/>
        <v>||1900|</v>
      </c>
      <c r="I4241" s="32">
        <f>IF(G4241="",0,IF(COUNTIF($G$2:G4241,G4241)=1,1,0))</f>
        <v>0</v>
      </c>
      <c r="J4241" s="32">
        <f>IF(H4241="",0,IF(COUNTIF($H$2:H4241,H4241)=1,1,0))</f>
        <v>0</v>
      </c>
    </row>
    <row r="4242" spans="1:10" ht="14.25" hidden="1" customHeight="1" x14ac:dyDescent="0.35">
      <c r="A4242" s="30"/>
      <c r="E4242" s="31"/>
      <c r="G4242" s="32" t="str">
        <f t="shared" si="132"/>
        <v>|||1900|</v>
      </c>
      <c r="H4242" s="32" t="str">
        <f t="shared" si="133"/>
        <v>||1900|</v>
      </c>
      <c r="I4242" s="32">
        <f>IF(G4242="",0,IF(COUNTIF($G$2:G4242,G4242)=1,1,0))</f>
        <v>0</v>
      </c>
      <c r="J4242" s="32">
        <f>IF(H4242="",0,IF(COUNTIF($H$2:H4242,H4242)=1,1,0))</f>
        <v>0</v>
      </c>
    </row>
    <row r="4243" spans="1:10" ht="14.25" hidden="1" customHeight="1" x14ac:dyDescent="0.35">
      <c r="A4243" s="30"/>
      <c r="E4243" s="31"/>
      <c r="G4243" s="32" t="str">
        <f t="shared" si="132"/>
        <v>|||1900|</v>
      </c>
      <c r="H4243" s="32" t="str">
        <f t="shared" si="133"/>
        <v>||1900|</v>
      </c>
      <c r="I4243" s="32">
        <f>IF(G4243="",0,IF(COUNTIF($G$2:G4243,G4243)=1,1,0))</f>
        <v>0</v>
      </c>
      <c r="J4243" s="32">
        <f>IF(H4243="",0,IF(COUNTIF($H$2:H4243,H4243)=1,1,0))</f>
        <v>0</v>
      </c>
    </row>
    <row r="4244" spans="1:10" ht="14.25" hidden="1" customHeight="1" x14ac:dyDescent="0.35">
      <c r="A4244" s="30"/>
      <c r="E4244" s="31"/>
      <c r="G4244" s="32" t="str">
        <f t="shared" si="132"/>
        <v>|||1900|</v>
      </c>
      <c r="H4244" s="32" t="str">
        <f t="shared" si="133"/>
        <v>||1900|</v>
      </c>
      <c r="I4244" s="32">
        <f>IF(G4244="",0,IF(COUNTIF($G$2:G4244,G4244)=1,1,0))</f>
        <v>0</v>
      </c>
      <c r="J4244" s="32">
        <f>IF(H4244="",0,IF(COUNTIF($H$2:H4244,H4244)=1,1,0))</f>
        <v>0</v>
      </c>
    </row>
    <row r="4245" spans="1:10" ht="14.25" hidden="1" customHeight="1" x14ac:dyDescent="0.35">
      <c r="A4245" s="30"/>
      <c r="E4245" s="31"/>
      <c r="G4245" s="32" t="str">
        <f t="shared" si="132"/>
        <v>|||1900|</v>
      </c>
      <c r="H4245" s="32" t="str">
        <f t="shared" si="133"/>
        <v>||1900|</v>
      </c>
      <c r="I4245" s="32">
        <f>IF(G4245="",0,IF(COUNTIF($G$2:G4245,G4245)=1,1,0))</f>
        <v>0</v>
      </c>
      <c r="J4245" s="32">
        <f>IF(H4245="",0,IF(COUNTIF($H$2:H4245,H4245)=1,1,0))</f>
        <v>0</v>
      </c>
    </row>
    <row r="4246" spans="1:10" ht="14.25" hidden="1" customHeight="1" x14ac:dyDescent="0.35">
      <c r="A4246" s="30"/>
      <c r="E4246" s="31"/>
      <c r="G4246" s="32" t="str">
        <f t="shared" si="132"/>
        <v>|||1900|</v>
      </c>
      <c r="H4246" s="32" t="str">
        <f t="shared" si="133"/>
        <v>||1900|</v>
      </c>
      <c r="I4246" s="32">
        <f>IF(G4246="",0,IF(COUNTIF($G$2:G4246,G4246)=1,1,0))</f>
        <v>0</v>
      </c>
      <c r="J4246" s="32">
        <f>IF(H4246="",0,IF(COUNTIF($H$2:H4246,H4246)=1,1,0))</f>
        <v>0</v>
      </c>
    </row>
    <row r="4247" spans="1:10" ht="14.25" hidden="1" customHeight="1" x14ac:dyDescent="0.35">
      <c r="A4247" s="30"/>
      <c r="E4247" s="31"/>
      <c r="G4247" s="32" t="str">
        <f t="shared" si="132"/>
        <v>|||1900|</v>
      </c>
      <c r="H4247" s="32" t="str">
        <f t="shared" si="133"/>
        <v>||1900|</v>
      </c>
      <c r="I4247" s="32">
        <f>IF(G4247="",0,IF(COUNTIF($G$2:G4247,G4247)=1,1,0))</f>
        <v>0</v>
      </c>
      <c r="J4247" s="32">
        <f>IF(H4247="",0,IF(COUNTIF($H$2:H4247,H4247)=1,1,0))</f>
        <v>0</v>
      </c>
    </row>
    <row r="4248" spans="1:10" ht="14.25" hidden="1" customHeight="1" x14ac:dyDescent="0.35">
      <c r="A4248" s="30"/>
      <c r="E4248" s="31"/>
      <c r="G4248" s="32" t="str">
        <f t="shared" si="132"/>
        <v>|||1900|</v>
      </c>
      <c r="H4248" s="32" t="str">
        <f t="shared" si="133"/>
        <v>||1900|</v>
      </c>
      <c r="I4248" s="32">
        <f>IF(G4248="",0,IF(COUNTIF($G$2:G4248,G4248)=1,1,0))</f>
        <v>0</v>
      </c>
      <c r="J4248" s="32">
        <f>IF(H4248="",0,IF(COUNTIF($H$2:H4248,H4248)=1,1,0))</f>
        <v>0</v>
      </c>
    </row>
    <row r="4249" spans="1:10" ht="14.25" hidden="1" customHeight="1" x14ac:dyDescent="0.35">
      <c r="A4249" s="30"/>
      <c r="E4249" s="31"/>
      <c r="G4249" s="32" t="str">
        <f t="shared" si="132"/>
        <v>|||1900|</v>
      </c>
      <c r="H4249" s="32" t="str">
        <f t="shared" si="133"/>
        <v>||1900|</v>
      </c>
      <c r="I4249" s="32">
        <f>IF(G4249="",0,IF(COUNTIF($G$2:G4249,G4249)=1,1,0))</f>
        <v>0</v>
      </c>
      <c r="J4249" s="32">
        <f>IF(H4249="",0,IF(COUNTIF($H$2:H4249,H4249)=1,1,0))</f>
        <v>0</v>
      </c>
    </row>
    <row r="4250" spans="1:10" ht="14.25" hidden="1" customHeight="1" x14ac:dyDescent="0.35">
      <c r="A4250" s="30"/>
      <c r="E4250" s="31"/>
      <c r="G4250" s="32" t="str">
        <f t="shared" si="132"/>
        <v>|||1900|</v>
      </c>
      <c r="H4250" s="32" t="str">
        <f t="shared" si="133"/>
        <v>||1900|</v>
      </c>
      <c r="I4250" s="32">
        <f>IF(G4250="",0,IF(COUNTIF($G$2:G4250,G4250)=1,1,0))</f>
        <v>0</v>
      </c>
      <c r="J4250" s="32">
        <f>IF(H4250="",0,IF(COUNTIF($H$2:H4250,H4250)=1,1,0))</f>
        <v>0</v>
      </c>
    </row>
    <row r="4251" spans="1:10" ht="14.25" hidden="1" customHeight="1" x14ac:dyDescent="0.35">
      <c r="A4251" s="30"/>
      <c r="E4251" s="31"/>
      <c r="G4251" s="32" t="str">
        <f t="shared" si="132"/>
        <v>|||1900|</v>
      </c>
      <c r="H4251" s="32" t="str">
        <f t="shared" si="133"/>
        <v>||1900|</v>
      </c>
      <c r="I4251" s="32">
        <f>IF(G4251="",0,IF(COUNTIF($G$2:G4251,G4251)=1,1,0))</f>
        <v>0</v>
      </c>
      <c r="J4251" s="32">
        <f>IF(H4251="",0,IF(COUNTIF($H$2:H4251,H4251)=1,1,0))</f>
        <v>0</v>
      </c>
    </row>
    <row r="4252" spans="1:10" ht="14.25" hidden="1" customHeight="1" x14ac:dyDescent="0.35">
      <c r="A4252" s="30"/>
      <c r="E4252" s="31"/>
      <c r="G4252" s="32" t="str">
        <f t="shared" si="132"/>
        <v>|||1900|</v>
      </c>
      <c r="H4252" s="32" t="str">
        <f t="shared" si="133"/>
        <v>||1900|</v>
      </c>
      <c r="I4252" s="32">
        <f>IF(G4252="",0,IF(COUNTIF($G$2:G4252,G4252)=1,1,0))</f>
        <v>0</v>
      </c>
      <c r="J4252" s="32">
        <f>IF(H4252="",0,IF(COUNTIF($H$2:H4252,H4252)=1,1,0))</f>
        <v>0</v>
      </c>
    </row>
    <row r="4253" spans="1:10" ht="14.25" hidden="1" customHeight="1" x14ac:dyDescent="0.35">
      <c r="A4253" s="30"/>
      <c r="E4253" s="31"/>
      <c r="G4253" s="32" t="str">
        <f t="shared" si="132"/>
        <v>|||1900|</v>
      </c>
      <c r="H4253" s="32" t="str">
        <f t="shared" si="133"/>
        <v>||1900|</v>
      </c>
      <c r="I4253" s="32">
        <f>IF(G4253="",0,IF(COUNTIF($G$2:G4253,G4253)=1,1,0))</f>
        <v>0</v>
      </c>
      <c r="J4253" s="32">
        <f>IF(H4253="",0,IF(COUNTIF($H$2:H4253,H4253)=1,1,0))</f>
        <v>0</v>
      </c>
    </row>
    <row r="4254" spans="1:10" ht="14.25" hidden="1" customHeight="1" x14ac:dyDescent="0.35">
      <c r="A4254" s="30"/>
      <c r="E4254" s="31"/>
      <c r="G4254" s="32" t="str">
        <f t="shared" si="132"/>
        <v>|||1900|</v>
      </c>
      <c r="H4254" s="32" t="str">
        <f t="shared" si="133"/>
        <v>||1900|</v>
      </c>
      <c r="I4254" s="32">
        <f>IF(G4254="",0,IF(COUNTIF($G$2:G4254,G4254)=1,1,0))</f>
        <v>0</v>
      </c>
      <c r="J4254" s="32">
        <f>IF(H4254="",0,IF(COUNTIF($H$2:H4254,H4254)=1,1,0))</f>
        <v>0</v>
      </c>
    </row>
    <row r="4255" spans="1:10" ht="14.25" hidden="1" customHeight="1" x14ac:dyDescent="0.35">
      <c r="A4255" s="30"/>
      <c r="E4255" s="31"/>
      <c r="G4255" s="32" t="str">
        <f t="shared" si="132"/>
        <v>|||1900|</v>
      </c>
      <c r="H4255" s="32" t="str">
        <f t="shared" si="133"/>
        <v>||1900|</v>
      </c>
      <c r="I4255" s="32">
        <f>IF(G4255="",0,IF(COUNTIF($G$2:G4255,G4255)=1,1,0))</f>
        <v>0</v>
      </c>
      <c r="J4255" s="32">
        <f>IF(H4255="",0,IF(COUNTIF($H$2:H4255,H4255)=1,1,0))</f>
        <v>0</v>
      </c>
    </row>
    <row r="4256" spans="1:10" ht="14.25" hidden="1" customHeight="1" x14ac:dyDescent="0.35">
      <c r="A4256" s="30"/>
      <c r="E4256" s="31"/>
      <c r="G4256" s="32" t="str">
        <f t="shared" si="132"/>
        <v>|||1900|</v>
      </c>
      <c r="H4256" s="32" t="str">
        <f t="shared" si="133"/>
        <v>||1900|</v>
      </c>
      <c r="I4256" s="32">
        <f>IF(G4256="",0,IF(COUNTIF($G$2:G4256,G4256)=1,1,0))</f>
        <v>0</v>
      </c>
      <c r="J4256" s="32">
        <f>IF(H4256="",0,IF(COUNTIF($H$2:H4256,H4256)=1,1,0))</f>
        <v>0</v>
      </c>
    </row>
    <row r="4257" spans="1:10" ht="14.25" hidden="1" customHeight="1" x14ac:dyDescent="0.35">
      <c r="A4257" s="30"/>
      <c r="E4257" s="31"/>
      <c r="G4257" s="32" t="str">
        <f t="shared" si="132"/>
        <v>|||1900|</v>
      </c>
      <c r="H4257" s="32" t="str">
        <f t="shared" si="133"/>
        <v>||1900|</v>
      </c>
      <c r="I4257" s="32">
        <f>IF(G4257="",0,IF(COUNTIF($G$2:G4257,G4257)=1,1,0))</f>
        <v>0</v>
      </c>
      <c r="J4257" s="32">
        <f>IF(H4257="",0,IF(COUNTIF($H$2:H4257,H4257)=1,1,0))</f>
        <v>0</v>
      </c>
    </row>
    <row r="4258" spans="1:10" ht="14.25" hidden="1" customHeight="1" x14ac:dyDescent="0.35">
      <c r="A4258" s="30"/>
      <c r="E4258" s="31"/>
      <c r="G4258" s="32" t="str">
        <f t="shared" si="132"/>
        <v>|||1900|</v>
      </c>
      <c r="H4258" s="32" t="str">
        <f t="shared" si="133"/>
        <v>||1900|</v>
      </c>
      <c r="I4258" s="32">
        <f>IF(G4258="",0,IF(COUNTIF($G$2:G4258,G4258)=1,1,0))</f>
        <v>0</v>
      </c>
      <c r="J4258" s="32">
        <f>IF(H4258="",0,IF(COUNTIF($H$2:H4258,H4258)=1,1,0))</f>
        <v>0</v>
      </c>
    </row>
    <row r="4259" spans="1:10" ht="14.25" hidden="1" customHeight="1" x14ac:dyDescent="0.35">
      <c r="A4259" s="30"/>
      <c r="E4259" s="31"/>
      <c r="G4259" s="32" t="str">
        <f t="shared" si="132"/>
        <v>|||1900|</v>
      </c>
      <c r="H4259" s="32" t="str">
        <f t="shared" si="133"/>
        <v>||1900|</v>
      </c>
      <c r="I4259" s="32">
        <f>IF(G4259="",0,IF(COUNTIF($G$2:G4259,G4259)=1,1,0))</f>
        <v>0</v>
      </c>
      <c r="J4259" s="32">
        <f>IF(H4259="",0,IF(COUNTIF($H$2:H4259,H4259)=1,1,0))</f>
        <v>0</v>
      </c>
    </row>
    <row r="4260" spans="1:10" ht="14.25" hidden="1" customHeight="1" x14ac:dyDescent="0.35">
      <c r="A4260" s="30"/>
      <c r="E4260" s="31"/>
      <c r="G4260" s="32" t="str">
        <f t="shared" si="132"/>
        <v>|||1900|</v>
      </c>
      <c r="H4260" s="32" t="str">
        <f t="shared" si="133"/>
        <v>||1900|</v>
      </c>
      <c r="I4260" s="32">
        <f>IF(G4260="",0,IF(COUNTIF($G$2:G4260,G4260)=1,1,0))</f>
        <v>0</v>
      </c>
      <c r="J4260" s="32">
        <f>IF(H4260="",0,IF(COUNTIF($H$2:H4260,H4260)=1,1,0))</f>
        <v>0</v>
      </c>
    </row>
    <row r="4261" spans="1:10" ht="14.25" hidden="1" customHeight="1" x14ac:dyDescent="0.35">
      <c r="A4261" s="30"/>
      <c r="E4261" s="31"/>
      <c r="G4261" s="32" t="str">
        <f t="shared" si="132"/>
        <v>|||1900|</v>
      </c>
      <c r="H4261" s="32" t="str">
        <f t="shared" si="133"/>
        <v>||1900|</v>
      </c>
      <c r="I4261" s="32">
        <f>IF(G4261="",0,IF(COUNTIF($G$2:G4261,G4261)=1,1,0))</f>
        <v>0</v>
      </c>
      <c r="J4261" s="32">
        <f>IF(H4261="",0,IF(COUNTIF($H$2:H4261,H4261)=1,1,0))</f>
        <v>0</v>
      </c>
    </row>
    <row r="4262" spans="1:10" ht="14.25" hidden="1" customHeight="1" x14ac:dyDescent="0.35">
      <c r="A4262" s="30"/>
      <c r="E4262" s="31"/>
      <c r="G4262" s="32" t="str">
        <f t="shared" si="132"/>
        <v>|||1900|</v>
      </c>
      <c r="H4262" s="32" t="str">
        <f t="shared" si="133"/>
        <v>||1900|</v>
      </c>
      <c r="I4262" s="32">
        <f>IF(G4262="",0,IF(COUNTIF($G$2:G4262,G4262)=1,1,0))</f>
        <v>0</v>
      </c>
      <c r="J4262" s="32">
        <f>IF(H4262="",0,IF(COUNTIF($H$2:H4262,H4262)=1,1,0))</f>
        <v>0</v>
      </c>
    </row>
    <row r="4263" spans="1:10" ht="14.25" hidden="1" customHeight="1" x14ac:dyDescent="0.35">
      <c r="A4263" s="30"/>
      <c r="E4263" s="31"/>
      <c r="G4263" s="32" t="str">
        <f t="shared" si="132"/>
        <v>|||1900|</v>
      </c>
      <c r="H4263" s="32" t="str">
        <f t="shared" si="133"/>
        <v>||1900|</v>
      </c>
      <c r="I4263" s="32">
        <f>IF(G4263="",0,IF(COUNTIF($G$2:G4263,G4263)=1,1,0))</f>
        <v>0</v>
      </c>
      <c r="J4263" s="32">
        <f>IF(H4263="",0,IF(COUNTIF($H$2:H4263,H4263)=1,1,0))</f>
        <v>0</v>
      </c>
    </row>
    <row r="4264" spans="1:10" ht="14.25" hidden="1" customHeight="1" x14ac:dyDescent="0.35">
      <c r="A4264" s="30"/>
      <c r="E4264" s="31"/>
      <c r="G4264" s="32" t="str">
        <f t="shared" si="132"/>
        <v>|||1900|</v>
      </c>
      <c r="H4264" s="32" t="str">
        <f t="shared" si="133"/>
        <v>||1900|</v>
      </c>
      <c r="I4264" s="32">
        <f>IF(G4264="",0,IF(COUNTIF($G$2:G4264,G4264)=1,1,0))</f>
        <v>0</v>
      </c>
      <c r="J4264" s="32">
        <f>IF(H4264="",0,IF(COUNTIF($H$2:H4264,H4264)=1,1,0))</f>
        <v>0</v>
      </c>
    </row>
    <row r="4265" spans="1:10" ht="14.25" hidden="1" customHeight="1" x14ac:dyDescent="0.35">
      <c r="A4265" s="30"/>
      <c r="E4265" s="31"/>
      <c r="G4265" s="32" t="str">
        <f t="shared" si="132"/>
        <v>|||1900|</v>
      </c>
      <c r="H4265" s="32" t="str">
        <f t="shared" si="133"/>
        <v>||1900|</v>
      </c>
      <c r="I4265" s="32">
        <f>IF(G4265="",0,IF(COUNTIF($G$2:G4265,G4265)=1,1,0))</f>
        <v>0</v>
      </c>
      <c r="J4265" s="32">
        <f>IF(H4265="",0,IF(COUNTIF($H$2:H4265,H4265)=1,1,0))</f>
        <v>0</v>
      </c>
    </row>
    <row r="4266" spans="1:10" ht="14.25" hidden="1" customHeight="1" x14ac:dyDescent="0.35">
      <c r="A4266" s="30"/>
      <c r="E4266" s="31"/>
      <c r="G4266" s="32" t="str">
        <f t="shared" si="132"/>
        <v>|||1900|</v>
      </c>
      <c r="H4266" s="32" t="str">
        <f t="shared" si="133"/>
        <v>||1900|</v>
      </c>
      <c r="I4266" s="32">
        <f>IF(G4266="",0,IF(COUNTIF($G$2:G4266,G4266)=1,1,0))</f>
        <v>0</v>
      </c>
      <c r="J4266" s="32">
        <f>IF(H4266="",0,IF(COUNTIF($H$2:H4266,H4266)=1,1,0))</f>
        <v>0</v>
      </c>
    </row>
    <row r="4267" spans="1:10" ht="14.25" hidden="1" customHeight="1" x14ac:dyDescent="0.35">
      <c r="A4267" s="30"/>
      <c r="E4267" s="31"/>
      <c r="G4267" s="32" t="str">
        <f t="shared" si="132"/>
        <v>|||1900|</v>
      </c>
      <c r="H4267" s="32" t="str">
        <f t="shared" si="133"/>
        <v>||1900|</v>
      </c>
      <c r="I4267" s="32">
        <f>IF(G4267="",0,IF(COUNTIF($G$2:G4267,G4267)=1,1,0))</f>
        <v>0</v>
      </c>
      <c r="J4267" s="32">
        <f>IF(H4267="",0,IF(COUNTIF($H$2:H4267,H4267)=1,1,0))</f>
        <v>0</v>
      </c>
    </row>
    <row r="4268" spans="1:10" ht="14.25" hidden="1" customHeight="1" x14ac:dyDescent="0.35">
      <c r="A4268" s="30"/>
      <c r="E4268" s="31"/>
      <c r="G4268" s="32" t="str">
        <f t="shared" si="132"/>
        <v>|||1900|</v>
      </c>
      <c r="H4268" s="32" t="str">
        <f t="shared" si="133"/>
        <v>||1900|</v>
      </c>
      <c r="I4268" s="32">
        <f>IF(G4268="",0,IF(COUNTIF($G$2:G4268,G4268)=1,1,0))</f>
        <v>0</v>
      </c>
      <c r="J4268" s="32">
        <f>IF(H4268="",0,IF(COUNTIF($H$2:H4268,H4268)=1,1,0))</f>
        <v>0</v>
      </c>
    </row>
    <row r="4269" spans="1:10" ht="14.25" hidden="1" customHeight="1" x14ac:dyDescent="0.35">
      <c r="A4269" s="30"/>
      <c r="E4269" s="31"/>
      <c r="G4269" s="32" t="str">
        <f t="shared" si="132"/>
        <v>|||1900|</v>
      </c>
      <c r="H4269" s="32" t="str">
        <f t="shared" si="133"/>
        <v>||1900|</v>
      </c>
      <c r="I4269" s="32">
        <f>IF(G4269="",0,IF(COUNTIF($G$2:G4269,G4269)=1,1,0))</f>
        <v>0</v>
      </c>
      <c r="J4269" s="32">
        <f>IF(H4269="",0,IF(COUNTIF($H$2:H4269,H4269)=1,1,0))</f>
        <v>0</v>
      </c>
    </row>
    <row r="4270" spans="1:10" ht="14.25" hidden="1" customHeight="1" x14ac:dyDescent="0.35">
      <c r="A4270" s="30"/>
      <c r="E4270" s="31"/>
      <c r="G4270" s="32" t="str">
        <f t="shared" si="132"/>
        <v>|||1900|</v>
      </c>
      <c r="H4270" s="32" t="str">
        <f t="shared" si="133"/>
        <v>||1900|</v>
      </c>
      <c r="I4270" s="32">
        <f>IF(G4270="",0,IF(COUNTIF($G$2:G4270,G4270)=1,1,0))</f>
        <v>0</v>
      </c>
      <c r="J4270" s="32">
        <f>IF(H4270="",0,IF(COUNTIF($H$2:H4270,H4270)=1,1,0))</f>
        <v>0</v>
      </c>
    </row>
    <row r="4271" spans="1:10" ht="14.25" hidden="1" customHeight="1" x14ac:dyDescent="0.35">
      <c r="A4271" s="30"/>
      <c r="E4271" s="31"/>
      <c r="G4271" s="32" t="str">
        <f t="shared" si="132"/>
        <v>|||1900|</v>
      </c>
      <c r="H4271" s="32" t="str">
        <f t="shared" si="133"/>
        <v>||1900|</v>
      </c>
      <c r="I4271" s="32">
        <f>IF(G4271="",0,IF(COUNTIF($G$2:G4271,G4271)=1,1,0))</f>
        <v>0</v>
      </c>
      <c r="J4271" s="32">
        <f>IF(H4271="",0,IF(COUNTIF($H$2:H4271,H4271)=1,1,0))</f>
        <v>0</v>
      </c>
    </row>
    <row r="4272" spans="1:10" ht="14.25" hidden="1" customHeight="1" x14ac:dyDescent="0.35">
      <c r="A4272" s="30"/>
      <c r="E4272" s="31"/>
      <c r="G4272" s="32" t="str">
        <f t="shared" si="132"/>
        <v>|||1900|</v>
      </c>
      <c r="H4272" s="32" t="str">
        <f t="shared" si="133"/>
        <v>||1900|</v>
      </c>
      <c r="I4272" s="32">
        <f>IF(G4272="",0,IF(COUNTIF($G$2:G4272,G4272)=1,1,0))</f>
        <v>0</v>
      </c>
      <c r="J4272" s="32">
        <f>IF(H4272="",0,IF(COUNTIF($H$2:H4272,H4272)=1,1,0))</f>
        <v>0</v>
      </c>
    </row>
    <row r="4273" spans="1:10" ht="14.25" hidden="1" customHeight="1" x14ac:dyDescent="0.35">
      <c r="A4273" s="30"/>
      <c r="E4273" s="31"/>
      <c r="G4273" s="32" t="str">
        <f t="shared" si="132"/>
        <v>|||1900|</v>
      </c>
      <c r="H4273" s="32" t="str">
        <f t="shared" si="133"/>
        <v>||1900|</v>
      </c>
      <c r="I4273" s="32">
        <f>IF(G4273="",0,IF(COUNTIF($G$2:G4273,G4273)=1,1,0))</f>
        <v>0</v>
      </c>
      <c r="J4273" s="32">
        <f>IF(H4273="",0,IF(COUNTIF($H$2:H4273,H4273)=1,1,0))</f>
        <v>0</v>
      </c>
    </row>
    <row r="4274" spans="1:10" ht="14.25" hidden="1" customHeight="1" x14ac:dyDescent="0.35">
      <c r="A4274" s="30"/>
      <c r="E4274" s="31"/>
      <c r="G4274" s="32" t="str">
        <f t="shared" si="132"/>
        <v>|||1900|</v>
      </c>
      <c r="H4274" s="32" t="str">
        <f t="shared" si="133"/>
        <v>||1900|</v>
      </c>
      <c r="I4274" s="32">
        <f>IF(G4274="",0,IF(COUNTIF($G$2:G4274,G4274)=1,1,0))</f>
        <v>0</v>
      </c>
      <c r="J4274" s="32">
        <f>IF(H4274="",0,IF(COUNTIF($H$2:H4274,H4274)=1,1,0))</f>
        <v>0</v>
      </c>
    </row>
    <row r="4275" spans="1:10" ht="14.25" hidden="1" customHeight="1" x14ac:dyDescent="0.35">
      <c r="A4275" s="30"/>
      <c r="E4275" s="31"/>
      <c r="G4275" s="32" t="str">
        <f t="shared" si="132"/>
        <v>|||1900|</v>
      </c>
      <c r="H4275" s="32" t="str">
        <f t="shared" si="133"/>
        <v>||1900|</v>
      </c>
      <c r="I4275" s="32">
        <f>IF(G4275="",0,IF(COUNTIF($G$2:G4275,G4275)=1,1,0))</f>
        <v>0</v>
      </c>
      <c r="J4275" s="32">
        <f>IF(H4275="",0,IF(COUNTIF($H$2:H4275,H4275)=1,1,0))</f>
        <v>0</v>
      </c>
    </row>
    <row r="4276" spans="1:10" ht="14.25" hidden="1" customHeight="1" x14ac:dyDescent="0.35">
      <c r="A4276" s="30"/>
      <c r="E4276" s="31"/>
      <c r="G4276" s="32" t="str">
        <f t="shared" si="132"/>
        <v>|||1900|</v>
      </c>
      <c r="H4276" s="32" t="str">
        <f t="shared" si="133"/>
        <v>||1900|</v>
      </c>
      <c r="I4276" s="32">
        <f>IF(G4276="",0,IF(COUNTIF($G$2:G4276,G4276)=1,1,0))</f>
        <v>0</v>
      </c>
      <c r="J4276" s="32">
        <f>IF(H4276="",0,IF(COUNTIF($H$2:H4276,H4276)=1,1,0))</f>
        <v>0</v>
      </c>
    </row>
    <row r="4277" spans="1:10" ht="14.25" hidden="1" customHeight="1" x14ac:dyDescent="0.35">
      <c r="A4277" s="30"/>
      <c r="E4277" s="31"/>
      <c r="G4277" s="32" t="str">
        <f t="shared" si="132"/>
        <v>|||1900|</v>
      </c>
      <c r="H4277" s="32" t="str">
        <f t="shared" si="133"/>
        <v>||1900|</v>
      </c>
      <c r="I4277" s="32">
        <f>IF(G4277="",0,IF(COUNTIF($G$2:G4277,G4277)=1,1,0))</f>
        <v>0</v>
      </c>
      <c r="J4277" s="32">
        <f>IF(H4277="",0,IF(COUNTIF($H$2:H4277,H4277)=1,1,0))</f>
        <v>0</v>
      </c>
    </row>
    <row r="4278" spans="1:10" ht="14.25" hidden="1" customHeight="1" x14ac:dyDescent="0.35">
      <c r="A4278" s="30"/>
      <c r="E4278" s="31"/>
      <c r="G4278" s="32" t="str">
        <f t="shared" si="132"/>
        <v>|||1900|</v>
      </c>
      <c r="H4278" s="32" t="str">
        <f t="shared" si="133"/>
        <v>||1900|</v>
      </c>
      <c r="I4278" s="32">
        <f>IF(G4278="",0,IF(COUNTIF($G$2:G4278,G4278)=1,1,0))</f>
        <v>0</v>
      </c>
      <c r="J4278" s="32">
        <f>IF(H4278="",0,IF(COUNTIF($H$2:H4278,H4278)=1,1,0))</f>
        <v>0</v>
      </c>
    </row>
    <row r="4279" spans="1:10" ht="14.25" hidden="1" customHeight="1" x14ac:dyDescent="0.35">
      <c r="A4279" s="30"/>
      <c r="E4279" s="31"/>
      <c r="G4279" s="32" t="str">
        <f t="shared" si="132"/>
        <v>|||1900|</v>
      </c>
      <c r="H4279" s="32" t="str">
        <f t="shared" si="133"/>
        <v>||1900|</v>
      </c>
      <c r="I4279" s="32">
        <f>IF(G4279="",0,IF(COUNTIF($G$2:G4279,G4279)=1,1,0))</f>
        <v>0</v>
      </c>
      <c r="J4279" s="32">
        <f>IF(H4279="",0,IF(COUNTIF($H$2:H4279,H4279)=1,1,0))</f>
        <v>0</v>
      </c>
    </row>
    <row r="4280" spans="1:10" ht="14.25" hidden="1" customHeight="1" x14ac:dyDescent="0.35">
      <c r="A4280" s="30"/>
      <c r="E4280" s="31"/>
      <c r="G4280" s="32" t="str">
        <f t="shared" si="132"/>
        <v>|||1900|</v>
      </c>
      <c r="H4280" s="32" t="str">
        <f t="shared" si="133"/>
        <v>||1900|</v>
      </c>
      <c r="I4280" s="32">
        <f>IF(G4280="",0,IF(COUNTIF($G$2:G4280,G4280)=1,1,0))</f>
        <v>0</v>
      </c>
      <c r="J4280" s="32">
        <f>IF(H4280="",0,IF(COUNTIF($H$2:H4280,H4280)=1,1,0))</f>
        <v>0</v>
      </c>
    </row>
    <row r="4281" spans="1:10" ht="14.25" hidden="1" customHeight="1" x14ac:dyDescent="0.35">
      <c r="A4281" s="30"/>
      <c r="E4281" s="31"/>
      <c r="G4281" s="32" t="str">
        <f t="shared" si="132"/>
        <v>|||1900|</v>
      </c>
      <c r="H4281" s="32" t="str">
        <f t="shared" si="133"/>
        <v>||1900|</v>
      </c>
      <c r="I4281" s="32">
        <f>IF(G4281="",0,IF(COUNTIF($G$2:G4281,G4281)=1,1,0))</f>
        <v>0</v>
      </c>
      <c r="J4281" s="32">
        <f>IF(H4281="",0,IF(COUNTIF($H$2:H4281,H4281)=1,1,0))</f>
        <v>0</v>
      </c>
    </row>
    <row r="4282" spans="1:10" ht="14.25" hidden="1" customHeight="1" x14ac:dyDescent="0.35">
      <c r="A4282" s="30"/>
      <c r="E4282" s="31"/>
      <c r="G4282" s="32" t="str">
        <f t="shared" si="132"/>
        <v>|||1900|</v>
      </c>
      <c r="H4282" s="32" t="str">
        <f t="shared" si="133"/>
        <v>||1900|</v>
      </c>
      <c r="I4282" s="32">
        <f>IF(G4282="",0,IF(COUNTIF($G$2:G4282,G4282)=1,1,0))</f>
        <v>0</v>
      </c>
      <c r="J4282" s="32">
        <f>IF(H4282="",0,IF(COUNTIF($H$2:H4282,H4282)=1,1,0))</f>
        <v>0</v>
      </c>
    </row>
    <row r="4283" spans="1:10" ht="14.25" hidden="1" customHeight="1" x14ac:dyDescent="0.35">
      <c r="A4283" s="30"/>
      <c r="E4283" s="31"/>
      <c r="G4283" s="32" t="str">
        <f t="shared" si="132"/>
        <v>|||1900|</v>
      </c>
      <c r="H4283" s="32" t="str">
        <f t="shared" si="133"/>
        <v>||1900|</v>
      </c>
      <c r="I4283" s="32">
        <f>IF(G4283="",0,IF(COUNTIF($G$2:G4283,G4283)=1,1,0))</f>
        <v>0</v>
      </c>
      <c r="J4283" s="32">
        <f>IF(H4283="",0,IF(COUNTIF($H$2:H4283,H4283)=1,1,0))</f>
        <v>0</v>
      </c>
    </row>
    <row r="4284" spans="1:10" ht="14.25" hidden="1" customHeight="1" x14ac:dyDescent="0.35">
      <c r="A4284" s="30"/>
      <c r="E4284" s="31"/>
      <c r="G4284" s="32" t="str">
        <f t="shared" si="132"/>
        <v>|||1900|</v>
      </c>
      <c r="H4284" s="32" t="str">
        <f t="shared" si="133"/>
        <v>||1900|</v>
      </c>
      <c r="I4284" s="32">
        <f>IF(G4284="",0,IF(COUNTIF($G$2:G4284,G4284)=1,1,0))</f>
        <v>0</v>
      </c>
      <c r="J4284" s="32">
        <f>IF(H4284="",0,IF(COUNTIF($H$2:H4284,H4284)=1,1,0))</f>
        <v>0</v>
      </c>
    </row>
    <row r="4285" spans="1:10" ht="14.25" hidden="1" customHeight="1" x14ac:dyDescent="0.35">
      <c r="A4285" s="30"/>
      <c r="E4285" s="31"/>
      <c r="G4285" s="32" t="str">
        <f t="shared" si="132"/>
        <v>|||1900|</v>
      </c>
      <c r="H4285" s="32" t="str">
        <f t="shared" si="133"/>
        <v>||1900|</v>
      </c>
      <c r="I4285" s="32">
        <f>IF(G4285="",0,IF(COUNTIF($G$2:G4285,G4285)=1,1,0))</f>
        <v>0</v>
      </c>
      <c r="J4285" s="32">
        <f>IF(H4285="",0,IF(COUNTIF($H$2:H4285,H4285)=1,1,0))</f>
        <v>0</v>
      </c>
    </row>
    <row r="4286" spans="1:10" ht="14.25" hidden="1" customHeight="1" x14ac:dyDescent="0.35">
      <c r="A4286" s="30"/>
      <c r="E4286" s="31"/>
      <c r="G4286" s="32" t="str">
        <f t="shared" si="132"/>
        <v>|||1900|</v>
      </c>
      <c r="H4286" s="32" t="str">
        <f t="shared" si="133"/>
        <v>||1900|</v>
      </c>
      <c r="I4286" s="32">
        <f>IF(G4286="",0,IF(COUNTIF($G$2:G4286,G4286)=1,1,0))</f>
        <v>0</v>
      </c>
      <c r="J4286" s="32">
        <f>IF(H4286="",0,IF(COUNTIF($H$2:H4286,H4286)=1,1,0))</f>
        <v>0</v>
      </c>
    </row>
    <row r="4287" spans="1:10" ht="14.25" hidden="1" customHeight="1" x14ac:dyDescent="0.35">
      <c r="A4287" s="30"/>
      <c r="E4287" s="31"/>
      <c r="G4287" s="32" t="str">
        <f t="shared" si="132"/>
        <v>|||1900|</v>
      </c>
      <c r="H4287" s="32" t="str">
        <f t="shared" si="133"/>
        <v>||1900|</v>
      </c>
      <c r="I4287" s="32">
        <f>IF(G4287="",0,IF(COUNTIF($G$2:G4287,G4287)=1,1,0))</f>
        <v>0</v>
      </c>
      <c r="J4287" s="32">
        <f>IF(H4287="",0,IF(COUNTIF($H$2:H4287,H4287)=1,1,0))</f>
        <v>0</v>
      </c>
    </row>
    <row r="4288" spans="1:10" ht="14.25" hidden="1" customHeight="1" x14ac:dyDescent="0.35">
      <c r="A4288" s="30"/>
      <c r="E4288" s="31"/>
      <c r="G4288" s="32" t="str">
        <f t="shared" si="132"/>
        <v>|||1900|</v>
      </c>
      <c r="H4288" s="32" t="str">
        <f t="shared" si="133"/>
        <v>||1900|</v>
      </c>
      <c r="I4288" s="32">
        <f>IF(G4288="",0,IF(COUNTIF($G$2:G4288,G4288)=1,1,0))</f>
        <v>0</v>
      </c>
      <c r="J4288" s="32">
        <f>IF(H4288="",0,IF(COUNTIF($H$2:H4288,H4288)=1,1,0))</f>
        <v>0</v>
      </c>
    </row>
    <row r="4289" spans="1:10" ht="14.25" hidden="1" customHeight="1" x14ac:dyDescent="0.35">
      <c r="A4289" s="30"/>
      <c r="E4289" s="31"/>
      <c r="G4289" s="32" t="str">
        <f t="shared" si="132"/>
        <v>|||1900|</v>
      </c>
      <c r="H4289" s="32" t="str">
        <f t="shared" si="133"/>
        <v>||1900|</v>
      </c>
      <c r="I4289" s="32">
        <f>IF(G4289="",0,IF(COUNTIF($G$2:G4289,G4289)=1,1,0))</f>
        <v>0</v>
      </c>
      <c r="J4289" s="32">
        <f>IF(H4289="",0,IF(COUNTIF($H$2:H4289,H4289)=1,1,0))</f>
        <v>0</v>
      </c>
    </row>
    <row r="4290" spans="1:10" ht="14.25" hidden="1" customHeight="1" x14ac:dyDescent="0.35">
      <c r="A4290" s="30"/>
      <c r="E4290" s="31"/>
      <c r="G4290" s="32" t="str">
        <f t="shared" ref="G4290:G4353" si="134">IF(D4290="T",
E4290&amp;"|"&amp;F4290,
A4290&amp;"|"&amp;B4290&amp;"|"&amp;C4290&amp;"|"&amp;YEAR(E4290)&amp;"|"&amp;F4290)</f>
        <v>|||1900|</v>
      </c>
      <c r="H4290" s="32" t="str">
        <f t="shared" ref="H4290:H4353" si="135">A4290&amp;"|"&amp;C4290&amp;"|"&amp;YEAR(E4290)&amp;"|"&amp;F4290</f>
        <v>||1900|</v>
      </c>
      <c r="I4290" s="32">
        <f>IF(G4290="",0,IF(COUNTIF($G$2:G4290,G4290)=1,1,0))</f>
        <v>0</v>
      </c>
      <c r="J4290" s="32">
        <f>IF(H4290="",0,IF(COUNTIF($H$2:H4290,H4290)=1,1,0))</f>
        <v>0</v>
      </c>
    </row>
    <row r="4291" spans="1:10" ht="14.25" hidden="1" customHeight="1" x14ac:dyDescent="0.35">
      <c r="A4291" s="30"/>
      <c r="E4291" s="31"/>
      <c r="G4291" s="32" t="str">
        <f t="shared" si="134"/>
        <v>|||1900|</v>
      </c>
      <c r="H4291" s="32" t="str">
        <f t="shared" si="135"/>
        <v>||1900|</v>
      </c>
      <c r="I4291" s="32">
        <f>IF(G4291="",0,IF(COUNTIF($G$2:G4291,G4291)=1,1,0))</f>
        <v>0</v>
      </c>
      <c r="J4291" s="32">
        <f>IF(H4291="",0,IF(COUNTIF($H$2:H4291,H4291)=1,1,0))</f>
        <v>0</v>
      </c>
    </row>
    <row r="4292" spans="1:10" ht="14.25" hidden="1" customHeight="1" x14ac:dyDescent="0.35">
      <c r="A4292" s="30"/>
      <c r="E4292" s="31"/>
      <c r="G4292" s="32" t="str">
        <f t="shared" si="134"/>
        <v>|||1900|</v>
      </c>
      <c r="H4292" s="32" t="str">
        <f t="shared" si="135"/>
        <v>||1900|</v>
      </c>
      <c r="I4292" s="32">
        <f>IF(G4292="",0,IF(COUNTIF($G$2:G4292,G4292)=1,1,0))</f>
        <v>0</v>
      </c>
      <c r="J4292" s="32">
        <f>IF(H4292="",0,IF(COUNTIF($H$2:H4292,H4292)=1,1,0))</f>
        <v>0</v>
      </c>
    </row>
    <row r="4293" spans="1:10" ht="14.25" hidden="1" customHeight="1" x14ac:dyDescent="0.35">
      <c r="A4293" s="30"/>
      <c r="E4293" s="31"/>
      <c r="G4293" s="32" t="str">
        <f t="shared" si="134"/>
        <v>|||1900|</v>
      </c>
      <c r="H4293" s="32" t="str">
        <f t="shared" si="135"/>
        <v>||1900|</v>
      </c>
      <c r="I4293" s="32">
        <f>IF(G4293="",0,IF(COUNTIF($G$2:G4293,G4293)=1,1,0))</f>
        <v>0</v>
      </c>
      <c r="J4293" s="32">
        <f>IF(H4293="",0,IF(COUNTIF($H$2:H4293,H4293)=1,1,0))</f>
        <v>0</v>
      </c>
    </row>
    <row r="4294" spans="1:10" ht="14.25" hidden="1" customHeight="1" x14ac:dyDescent="0.35">
      <c r="A4294" s="30"/>
      <c r="E4294" s="31"/>
      <c r="G4294" s="32" t="str">
        <f t="shared" si="134"/>
        <v>|||1900|</v>
      </c>
      <c r="H4294" s="32" t="str">
        <f t="shared" si="135"/>
        <v>||1900|</v>
      </c>
      <c r="I4294" s="32">
        <f>IF(G4294="",0,IF(COUNTIF($G$2:G4294,G4294)=1,1,0))</f>
        <v>0</v>
      </c>
      <c r="J4294" s="32">
        <f>IF(H4294="",0,IF(COUNTIF($H$2:H4294,H4294)=1,1,0))</f>
        <v>0</v>
      </c>
    </row>
    <row r="4295" spans="1:10" ht="14.25" hidden="1" customHeight="1" x14ac:dyDescent="0.35">
      <c r="A4295" s="30"/>
      <c r="E4295" s="31"/>
      <c r="G4295" s="32" t="str">
        <f t="shared" si="134"/>
        <v>|||1900|</v>
      </c>
      <c r="H4295" s="32" t="str">
        <f t="shared" si="135"/>
        <v>||1900|</v>
      </c>
      <c r="I4295" s="32">
        <f>IF(G4295="",0,IF(COUNTIF($G$2:G4295,G4295)=1,1,0))</f>
        <v>0</v>
      </c>
      <c r="J4295" s="32">
        <f>IF(H4295="",0,IF(COUNTIF($H$2:H4295,H4295)=1,1,0))</f>
        <v>0</v>
      </c>
    </row>
    <row r="4296" spans="1:10" ht="14.25" hidden="1" customHeight="1" x14ac:dyDescent="0.35">
      <c r="A4296" s="30"/>
      <c r="E4296" s="31"/>
      <c r="G4296" s="32" t="str">
        <f t="shared" si="134"/>
        <v>|||1900|</v>
      </c>
      <c r="H4296" s="32" t="str">
        <f t="shared" si="135"/>
        <v>||1900|</v>
      </c>
      <c r="I4296" s="32">
        <f>IF(G4296="",0,IF(COUNTIF($G$2:G4296,G4296)=1,1,0))</f>
        <v>0</v>
      </c>
      <c r="J4296" s="32">
        <f>IF(H4296="",0,IF(COUNTIF($H$2:H4296,H4296)=1,1,0))</f>
        <v>0</v>
      </c>
    </row>
    <row r="4297" spans="1:10" ht="14.25" hidden="1" customHeight="1" x14ac:dyDescent="0.35">
      <c r="A4297" s="30"/>
      <c r="E4297" s="31"/>
      <c r="G4297" s="32" t="str">
        <f t="shared" si="134"/>
        <v>|||1900|</v>
      </c>
      <c r="H4297" s="32" t="str">
        <f t="shared" si="135"/>
        <v>||1900|</v>
      </c>
      <c r="I4297" s="32">
        <f>IF(G4297="",0,IF(COUNTIF($G$2:G4297,G4297)=1,1,0))</f>
        <v>0</v>
      </c>
      <c r="J4297" s="32">
        <f>IF(H4297="",0,IF(COUNTIF($H$2:H4297,H4297)=1,1,0))</f>
        <v>0</v>
      </c>
    </row>
    <row r="4298" spans="1:10" ht="14.25" hidden="1" customHeight="1" x14ac:dyDescent="0.35">
      <c r="A4298" s="30"/>
      <c r="E4298" s="31"/>
      <c r="G4298" s="32" t="str">
        <f t="shared" si="134"/>
        <v>|||1900|</v>
      </c>
      <c r="H4298" s="32" t="str">
        <f t="shared" si="135"/>
        <v>||1900|</v>
      </c>
      <c r="I4298" s="32">
        <f>IF(G4298="",0,IF(COUNTIF($G$2:G4298,G4298)=1,1,0))</f>
        <v>0</v>
      </c>
      <c r="J4298" s="32">
        <f>IF(H4298="",0,IF(COUNTIF($H$2:H4298,H4298)=1,1,0))</f>
        <v>0</v>
      </c>
    </row>
    <row r="4299" spans="1:10" ht="14.25" hidden="1" customHeight="1" x14ac:dyDescent="0.35">
      <c r="A4299" s="30"/>
      <c r="E4299" s="31"/>
      <c r="G4299" s="32" t="str">
        <f t="shared" si="134"/>
        <v>|||1900|</v>
      </c>
      <c r="H4299" s="32" t="str">
        <f t="shared" si="135"/>
        <v>||1900|</v>
      </c>
      <c r="I4299" s="32">
        <f>IF(G4299="",0,IF(COUNTIF($G$2:G4299,G4299)=1,1,0))</f>
        <v>0</v>
      </c>
      <c r="J4299" s="32">
        <f>IF(H4299="",0,IF(COUNTIF($H$2:H4299,H4299)=1,1,0))</f>
        <v>0</v>
      </c>
    </row>
    <row r="4300" spans="1:10" ht="14.25" hidden="1" customHeight="1" x14ac:dyDescent="0.35">
      <c r="A4300" s="30"/>
      <c r="E4300" s="31"/>
      <c r="G4300" s="32" t="str">
        <f t="shared" si="134"/>
        <v>|||1900|</v>
      </c>
      <c r="H4300" s="32" t="str">
        <f t="shared" si="135"/>
        <v>||1900|</v>
      </c>
      <c r="I4300" s="32">
        <f>IF(G4300="",0,IF(COUNTIF($G$2:G4300,G4300)=1,1,0))</f>
        <v>0</v>
      </c>
      <c r="J4300" s="32">
        <f>IF(H4300="",0,IF(COUNTIF($H$2:H4300,H4300)=1,1,0))</f>
        <v>0</v>
      </c>
    </row>
    <row r="4301" spans="1:10" ht="14.25" hidden="1" customHeight="1" x14ac:dyDescent="0.35">
      <c r="A4301" s="30"/>
      <c r="E4301" s="31"/>
      <c r="G4301" s="32" t="str">
        <f t="shared" si="134"/>
        <v>|||1900|</v>
      </c>
      <c r="H4301" s="32" t="str">
        <f t="shared" si="135"/>
        <v>||1900|</v>
      </c>
      <c r="I4301" s="32">
        <f>IF(G4301="",0,IF(COUNTIF($G$2:G4301,G4301)=1,1,0))</f>
        <v>0</v>
      </c>
      <c r="J4301" s="32">
        <f>IF(H4301="",0,IF(COUNTIF($H$2:H4301,H4301)=1,1,0))</f>
        <v>0</v>
      </c>
    </row>
    <row r="4302" spans="1:10" ht="14.25" hidden="1" customHeight="1" x14ac:dyDescent="0.35">
      <c r="A4302" s="30"/>
      <c r="E4302" s="31"/>
      <c r="G4302" s="32" t="str">
        <f t="shared" si="134"/>
        <v>|||1900|</v>
      </c>
      <c r="H4302" s="32" t="str">
        <f t="shared" si="135"/>
        <v>||1900|</v>
      </c>
      <c r="I4302" s="32">
        <f>IF(G4302="",0,IF(COUNTIF($G$2:G4302,G4302)=1,1,0))</f>
        <v>0</v>
      </c>
      <c r="J4302" s="32">
        <f>IF(H4302="",0,IF(COUNTIF($H$2:H4302,H4302)=1,1,0))</f>
        <v>0</v>
      </c>
    </row>
    <row r="4303" spans="1:10" ht="14.25" hidden="1" customHeight="1" x14ac:dyDescent="0.35">
      <c r="A4303" s="30"/>
      <c r="E4303" s="31"/>
      <c r="G4303" s="32" t="str">
        <f t="shared" si="134"/>
        <v>|||1900|</v>
      </c>
      <c r="H4303" s="32" t="str">
        <f t="shared" si="135"/>
        <v>||1900|</v>
      </c>
      <c r="I4303" s="32">
        <f>IF(G4303="",0,IF(COUNTIF($G$2:G4303,G4303)=1,1,0))</f>
        <v>0</v>
      </c>
      <c r="J4303" s="32">
        <f>IF(H4303="",0,IF(COUNTIF($H$2:H4303,H4303)=1,1,0))</f>
        <v>0</v>
      </c>
    </row>
    <row r="4304" spans="1:10" ht="14.25" hidden="1" customHeight="1" x14ac:dyDescent="0.35">
      <c r="A4304" s="30"/>
      <c r="E4304" s="31"/>
      <c r="G4304" s="32" t="str">
        <f t="shared" si="134"/>
        <v>|||1900|</v>
      </c>
      <c r="H4304" s="32" t="str">
        <f t="shared" si="135"/>
        <v>||1900|</v>
      </c>
      <c r="I4304" s="32">
        <f>IF(G4304="",0,IF(COUNTIF($G$2:G4304,G4304)=1,1,0))</f>
        <v>0</v>
      </c>
      <c r="J4304" s="32">
        <f>IF(H4304="",0,IF(COUNTIF($H$2:H4304,H4304)=1,1,0))</f>
        <v>0</v>
      </c>
    </row>
    <row r="4305" spans="1:10" ht="14.25" hidden="1" customHeight="1" x14ac:dyDescent="0.35">
      <c r="A4305" s="30"/>
      <c r="E4305" s="31"/>
      <c r="G4305" s="32" t="str">
        <f t="shared" si="134"/>
        <v>|||1900|</v>
      </c>
      <c r="H4305" s="32" t="str">
        <f t="shared" si="135"/>
        <v>||1900|</v>
      </c>
      <c r="I4305" s="32">
        <f>IF(G4305="",0,IF(COUNTIF($G$2:G4305,G4305)=1,1,0))</f>
        <v>0</v>
      </c>
      <c r="J4305" s="32">
        <f>IF(H4305="",0,IF(COUNTIF($H$2:H4305,H4305)=1,1,0))</f>
        <v>0</v>
      </c>
    </row>
    <row r="4306" spans="1:10" ht="14.25" hidden="1" customHeight="1" x14ac:dyDescent="0.35">
      <c r="A4306" s="30"/>
      <c r="E4306" s="31"/>
      <c r="G4306" s="32" t="str">
        <f t="shared" si="134"/>
        <v>|||1900|</v>
      </c>
      <c r="H4306" s="32" t="str">
        <f t="shared" si="135"/>
        <v>||1900|</v>
      </c>
      <c r="I4306" s="32">
        <f>IF(G4306="",0,IF(COUNTIF($G$2:G4306,G4306)=1,1,0))</f>
        <v>0</v>
      </c>
      <c r="J4306" s="32">
        <f>IF(H4306="",0,IF(COUNTIF($H$2:H4306,H4306)=1,1,0))</f>
        <v>0</v>
      </c>
    </row>
    <row r="4307" spans="1:10" ht="14.25" hidden="1" customHeight="1" x14ac:dyDescent="0.35">
      <c r="A4307" s="30"/>
      <c r="E4307" s="31"/>
      <c r="G4307" s="32" t="str">
        <f t="shared" si="134"/>
        <v>|||1900|</v>
      </c>
      <c r="H4307" s="32" t="str">
        <f t="shared" si="135"/>
        <v>||1900|</v>
      </c>
      <c r="I4307" s="32">
        <f>IF(G4307="",0,IF(COUNTIF($G$2:G4307,G4307)=1,1,0))</f>
        <v>0</v>
      </c>
      <c r="J4307" s="32">
        <f>IF(H4307="",0,IF(COUNTIF($H$2:H4307,H4307)=1,1,0))</f>
        <v>0</v>
      </c>
    </row>
    <row r="4308" spans="1:10" ht="14.25" hidden="1" customHeight="1" x14ac:dyDescent="0.35">
      <c r="A4308" s="30"/>
      <c r="E4308" s="31"/>
      <c r="G4308" s="32" t="str">
        <f t="shared" si="134"/>
        <v>|||1900|</v>
      </c>
      <c r="H4308" s="32" t="str">
        <f t="shared" si="135"/>
        <v>||1900|</v>
      </c>
      <c r="I4308" s="32">
        <f>IF(G4308="",0,IF(COUNTIF($G$2:G4308,G4308)=1,1,0))</f>
        <v>0</v>
      </c>
      <c r="J4308" s="32">
        <f>IF(H4308="",0,IF(COUNTIF($H$2:H4308,H4308)=1,1,0))</f>
        <v>0</v>
      </c>
    </row>
    <row r="4309" spans="1:10" ht="14.25" hidden="1" customHeight="1" x14ac:dyDescent="0.35">
      <c r="A4309" s="30"/>
      <c r="E4309" s="31"/>
      <c r="G4309" s="32" t="str">
        <f t="shared" si="134"/>
        <v>|||1900|</v>
      </c>
      <c r="H4309" s="32" t="str">
        <f t="shared" si="135"/>
        <v>||1900|</v>
      </c>
      <c r="I4309" s="32">
        <f>IF(G4309="",0,IF(COUNTIF($G$2:G4309,G4309)=1,1,0))</f>
        <v>0</v>
      </c>
      <c r="J4309" s="32">
        <f>IF(H4309="",0,IF(COUNTIF($H$2:H4309,H4309)=1,1,0))</f>
        <v>0</v>
      </c>
    </row>
    <row r="4310" spans="1:10" ht="14.25" hidden="1" customHeight="1" x14ac:dyDescent="0.35">
      <c r="A4310" s="30"/>
      <c r="E4310" s="31"/>
      <c r="G4310" s="32" t="str">
        <f t="shared" si="134"/>
        <v>|||1900|</v>
      </c>
      <c r="H4310" s="32" t="str">
        <f t="shared" si="135"/>
        <v>||1900|</v>
      </c>
      <c r="I4310" s="32">
        <f>IF(G4310="",0,IF(COUNTIF($G$2:G4310,G4310)=1,1,0))</f>
        <v>0</v>
      </c>
      <c r="J4310" s="32">
        <f>IF(H4310="",0,IF(COUNTIF($H$2:H4310,H4310)=1,1,0))</f>
        <v>0</v>
      </c>
    </row>
    <row r="4311" spans="1:10" ht="14.25" hidden="1" customHeight="1" x14ac:dyDescent="0.35">
      <c r="A4311" s="30"/>
      <c r="E4311" s="31"/>
      <c r="G4311" s="32" t="str">
        <f t="shared" si="134"/>
        <v>|||1900|</v>
      </c>
      <c r="H4311" s="32" t="str">
        <f t="shared" si="135"/>
        <v>||1900|</v>
      </c>
      <c r="I4311" s="32">
        <f>IF(G4311="",0,IF(COUNTIF($G$2:G4311,G4311)=1,1,0))</f>
        <v>0</v>
      </c>
      <c r="J4311" s="32">
        <f>IF(H4311="",0,IF(COUNTIF($H$2:H4311,H4311)=1,1,0))</f>
        <v>0</v>
      </c>
    </row>
    <row r="4312" spans="1:10" ht="14.25" hidden="1" customHeight="1" x14ac:dyDescent="0.35">
      <c r="A4312" s="30"/>
      <c r="E4312" s="31"/>
      <c r="G4312" s="32" t="str">
        <f t="shared" si="134"/>
        <v>|||1900|</v>
      </c>
      <c r="H4312" s="32" t="str">
        <f t="shared" si="135"/>
        <v>||1900|</v>
      </c>
      <c r="I4312" s="32">
        <f>IF(G4312="",0,IF(COUNTIF($G$2:G4312,G4312)=1,1,0))</f>
        <v>0</v>
      </c>
      <c r="J4312" s="32">
        <f>IF(H4312="",0,IF(COUNTIF($H$2:H4312,H4312)=1,1,0))</f>
        <v>0</v>
      </c>
    </row>
    <row r="4313" spans="1:10" ht="14.25" hidden="1" customHeight="1" x14ac:dyDescent="0.35">
      <c r="A4313" s="30"/>
      <c r="E4313" s="31"/>
      <c r="G4313" s="32" t="str">
        <f t="shared" si="134"/>
        <v>|||1900|</v>
      </c>
      <c r="H4313" s="32" t="str">
        <f t="shared" si="135"/>
        <v>||1900|</v>
      </c>
      <c r="I4313" s="32">
        <f>IF(G4313="",0,IF(COUNTIF($G$2:G4313,G4313)=1,1,0))</f>
        <v>0</v>
      </c>
      <c r="J4313" s="32">
        <f>IF(H4313="",0,IF(COUNTIF($H$2:H4313,H4313)=1,1,0))</f>
        <v>0</v>
      </c>
    </row>
    <row r="4314" spans="1:10" ht="14.25" hidden="1" customHeight="1" x14ac:dyDescent="0.35">
      <c r="A4314" s="30"/>
      <c r="E4314" s="31"/>
      <c r="G4314" s="32" t="str">
        <f t="shared" si="134"/>
        <v>|||1900|</v>
      </c>
      <c r="H4314" s="32" t="str">
        <f t="shared" si="135"/>
        <v>||1900|</v>
      </c>
      <c r="I4314" s="32">
        <f>IF(G4314="",0,IF(COUNTIF($G$2:G4314,G4314)=1,1,0))</f>
        <v>0</v>
      </c>
      <c r="J4314" s="32">
        <f>IF(H4314="",0,IF(COUNTIF($H$2:H4314,H4314)=1,1,0))</f>
        <v>0</v>
      </c>
    </row>
    <row r="4315" spans="1:10" ht="14.25" hidden="1" customHeight="1" x14ac:dyDescent="0.35">
      <c r="A4315" s="30"/>
      <c r="E4315" s="31"/>
      <c r="G4315" s="32" t="str">
        <f t="shared" si="134"/>
        <v>|||1900|</v>
      </c>
      <c r="H4315" s="32" t="str">
        <f t="shared" si="135"/>
        <v>||1900|</v>
      </c>
      <c r="I4315" s="32">
        <f>IF(G4315="",0,IF(COUNTIF($G$2:G4315,G4315)=1,1,0))</f>
        <v>0</v>
      </c>
      <c r="J4315" s="32">
        <f>IF(H4315="",0,IF(COUNTIF($H$2:H4315,H4315)=1,1,0))</f>
        <v>0</v>
      </c>
    </row>
    <row r="4316" spans="1:10" ht="14.25" hidden="1" customHeight="1" x14ac:dyDescent="0.35">
      <c r="A4316" s="30"/>
      <c r="E4316" s="31"/>
      <c r="G4316" s="32" t="str">
        <f t="shared" si="134"/>
        <v>|||1900|</v>
      </c>
      <c r="H4316" s="32" t="str">
        <f t="shared" si="135"/>
        <v>||1900|</v>
      </c>
      <c r="I4316" s="32">
        <f>IF(G4316="",0,IF(COUNTIF($G$2:G4316,G4316)=1,1,0))</f>
        <v>0</v>
      </c>
      <c r="J4316" s="32">
        <f>IF(H4316="",0,IF(COUNTIF($H$2:H4316,H4316)=1,1,0))</f>
        <v>0</v>
      </c>
    </row>
    <row r="4317" spans="1:10" ht="14.25" hidden="1" customHeight="1" x14ac:dyDescent="0.35">
      <c r="A4317" s="30"/>
      <c r="E4317" s="31"/>
      <c r="G4317" s="32" t="str">
        <f t="shared" si="134"/>
        <v>|||1900|</v>
      </c>
      <c r="H4317" s="32" t="str">
        <f t="shared" si="135"/>
        <v>||1900|</v>
      </c>
      <c r="I4317" s="32">
        <f>IF(G4317="",0,IF(COUNTIF($G$2:G4317,G4317)=1,1,0))</f>
        <v>0</v>
      </c>
      <c r="J4317" s="32">
        <f>IF(H4317="",0,IF(COUNTIF($H$2:H4317,H4317)=1,1,0))</f>
        <v>0</v>
      </c>
    </row>
    <row r="4318" spans="1:10" ht="14.25" hidden="1" customHeight="1" x14ac:dyDescent="0.35">
      <c r="A4318" s="30"/>
      <c r="E4318" s="31"/>
      <c r="G4318" s="32" t="str">
        <f t="shared" si="134"/>
        <v>|||1900|</v>
      </c>
      <c r="H4318" s="32" t="str">
        <f t="shared" si="135"/>
        <v>||1900|</v>
      </c>
      <c r="I4318" s="32">
        <f>IF(G4318="",0,IF(COUNTIF($G$2:G4318,G4318)=1,1,0))</f>
        <v>0</v>
      </c>
      <c r="J4318" s="32">
        <f>IF(H4318="",0,IF(COUNTIF($H$2:H4318,H4318)=1,1,0))</f>
        <v>0</v>
      </c>
    </row>
    <row r="4319" spans="1:10" ht="14.25" hidden="1" customHeight="1" x14ac:dyDescent="0.35">
      <c r="A4319" s="30"/>
      <c r="E4319" s="31"/>
      <c r="G4319" s="32" t="str">
        <f t="shared" si="134"/>
        <v>|||1900|</v>
      </c>
      <c r="H4319" s="32" t="str">
        <f t="shared" si="135"/>
        <v>||1900|</v>
      </c>
      <c r="I4319" s="32">
        <f>IF(G4319="",0,IF(COUNTIF($G$2:G4319,G4319)=1,1,0))</f>
        <v>0</v>
      </c>
      <c r="J4319" s="32">
        <f>IF(H4319="",0,IF(COUNTIF($H$2:H4319,H4319)=1,1,0))</f>
        <v>0</v>
      </c>
    </row>
    <row r="4320" spans="1:10" ht="14.25" hidden="1" customHeight="1" x14ac:dyDescent="0.35">
      <c r="A4320" s="30"/>
      <c r="E4320" s="31"/>
      <c r="G4320" s="32" t="str">
        <f t="shared" si="134"/>
        <v>|||1900|</v>
      </c>
      <c r="H4320" s="32" t="str">
        <f t="shared" si="135"/>
        <v>||1900|</v>
      </c>
      <c r="I4320" s="32">
        <f>IF(G4320="",0,IF(COUNTIF($G$2:G4320,G4320)=1,1,0))</f>
        <v>0</v>
      </c>
      <c r="J4320" s="32">
        <f>IF(H4320="",0,IF(COUNTIF($H$2:H4320,H4320)=1,1,0))</f>
        <v>0</v>
      </c>
    </row>
    <row r="4321" spans="1:10" ht="14.25" hidden="1" customHeight="1" x14ac:dyDescent="0.35">
      <c r="A4321" s="30"/>
      <c r="E4321" s="31"/>
      <c r="G4321" s="32" t="str">
        <f t="shared" si="134"/>
        <v>|||1900|</v>
      </c>
      <c r="H4321" s="32" t="str">
        <f t="shared" si="135"/>
        <v>||1900|</v>
      </c>
      <c r="I4321" s="32">
        <f>IF(G4321="",0,IF(COUNTIF($G$2:G4321,G4321)=1,1,0))</f>
        <v>0</v>
      </c>
      <c r="J4321" s="32">
        <f>IF(H4321="",0,IF(COUNTIF($H$2:H4321,H4321)=1,1,0))</f>
        <v>0</v>
      </c>
    </row>
    <row r="4322" spans="1:10" ht="14.25" hidden="1" customHeight="1" x14ac:dyDescent="0.35">
      <c r="A4322" s="30"/>
      <c r="E4322" s="31"/>
      <c r="G4322" s="32" t="str">
        <f t="shared" si="134"/>
        <v>|||1900|</v>
      </c>
      <c r="H4322" s="32" t="str">
        <f t="shared" si="135"/>
        <v>||1900|</v>
      </c>
      <c r="I4322" s="32">
        <f>IF(G4322="",0,IF(COUNTIF($G$2:G4322,G4322)=1,1,0))</f>
        <v>0</v>
      </c>
      <c r="J4322" s="32">
        <f>IF(H4322="",0,IF(COUNTIF($H$2:H4322,H4322)=1,1,0))</f>
        <v>0</v>
      </c>
    </row>
    <row r="4323" spans="1:10" ht="14.25" hidden="1" customHeight="1" x14ac:dyDescent="0.35">
      <c r="A4323" s="30"/>
      <c r="E4323" s="31"/>
      <c r="G4323" s="32" t="str">
        <f t="shared" si="134"/>
        <v>|||1900|</v>
      </c>
      <c r="H4323" s="32" t="str">
        <f t="shared" si="135"/>
        <v>||1900|</v>
      </c>
      <c r="I4323" s="32">
        <f>IF(G4323="",0,IF(COUNTIF($G$2:G4323,G4323)=1,1,0))</f>
        <v>0</v>
      </c>
      <c r="J4323" s="32">
        <f>IF(H4323="",0,IF(COUNTIF($H$2:H4323,H4323)=1,1,0))</f>
        <v>0</v>
      </c>
    </row>
    <row r="4324" spans="1:10" ht="14.25" hidden="1" customHeight="1" x14ac:dyDescent="0.35">
      <c r="A4324" s="30"/>
      <c r="E4324" s="31"/>
      <c r="G4324" s="32" t="str">
        <f t="shared" si="134"/>
        <v>|||1900|</v>
      </c>
      <c r="H4324" s="32" t="str">
        <f t="shared" si="135"/>
        <v>||1900|</v>
      </c>
      <c r="I4324" s="32">
        <f>IF(G4324="",0,IF(COUNTIF($G$2:G4324,G4324)=1,1,0))</f>
        <v>0</v>
      </c>
      <c r="J4324" s="32">
        <f>IF(H4324="",0,IF(COUNTIF($H$2:H4324,H4324)=1,1,0))</f>
        <v>0</v>
      </c>
    </row>
    <row r="4325" spans="1:10" ht="14.25" hidden="1" customHeight="1" x14ac:dyDescent="0.35">
      <c r="A4325" s="30"/>
      <c r="E4325" s="31"/>
      <c r="G4325" s="32" t="str">
        <f t="shared" si="134"/>
        <v>|||1900|</v>
      </c>
      <c r="H4325" s="32" t="str">
        <f t="shared" si="135"/>
        <v>||1900|</v>
      </c>
      <c r="I4325" s="32">
        <f>IF(G4325="",0,IF(COUNTIF($G$2:G4325,G4325)=1,1,0))</f>
        <v>0</v>
      </c>
      <c r="J4325" s="32">
        <f>IF(H4325="",0,IF(COUNTIF($H$2:H4325,H4325)=1,1,0))</f>
        <v>0</v>
      </c>
    </row>
    <row r="4326" spans="1:10" ht="14.25" hidden="1" customHeight="1" x14ac:dyDescent="0.35">
      <c r="A4326" s="30"/>
      <c r="E4326" s="31"/>
      <c r="G4326" s="32" t="str">
        <f t="shared" si="134"/>
        <v>|||1900|</v>
      </c>
      <c r="H4326" s="32" t="str">
        <f t="shared" si="135"/>
        <v>||1900|</v>
      </c>
      <c r="I4326" s="32">
        <f>IF(G4326="",0,IF(COUNTIF($G$2:G4326,G4326)=1,1,0))</f>
        <v>0</v>
      </c>
      <c r="J4326" s="32">
        <f>IF(H4326="",0,IF(COUNTIF($H$2:H4326,H4326)=1,1,0))</f>
        <v>0</v>
      </c>
    </row>
    <row r="4327" spans="1:10" ht="14.25" hidden="1" customHeight="1" x14ac:dyDescent="0.35">
      <c r="A4327" s="30"/>
      <c r="E4327" s="31"/>
      <c r="G4327" s="32" t="str">
        <f t="shared" si="134"/>
        <v>|||1900|</v>
      </c>
      <c r="H4327" s="32" t="str">
        <f t="shared" si="135"/>
        <v>||1900|</v>
      </c>
      <c r="I4327" s="32">
        <f>IF(G4327="",0,IF(COUNTIF($G$2:G4327,G4327)=1,1,0))</f>
        <v>0</v>
      </c>
      <c r="J4327" s="32">
        <f>IF(H4327="",0,IF(COUNTIF($H$2:H4327,H4327)=1,1,0))</f>
        <v>0</v>
      </c>
    </row>
    <row r="4328" spans="1:10" ht="14.25" hidden="1" customHeight="1" x14ac:dyDescent="0.35">
      <c r="A4328" s="30"/>
      <c r="E4328" s="31"/>
      <c r="G4328" s="32" t="str">
        <f t="shared" si="134"/>
        <v>|||1900|</v>
      </c>
      <c r="H4328" s="32" t="str">
        <f t="shared" si="135"/>
        <v>||1900|</v>
      </c>
      <c r="I4328" s="32">
        <f>IF(G4328="",0,IF(COUNTIF($G$2:G4328,G4328)=1,1,0))</f>
        <v>0</v>
      </c>
      <c r="J4328" s="32">
        <f>IF(H4328="",0,IF(COUNTIF($H$2:H4328,H4328)=1,1,0))</f>
        <v>0</v>
      </c>
    </row>
    <row r="4329" spans="1:10" ht="14.25" hidden="1" customHeight="1" x14ac:dyDescent="0.35">
      <c r="A4329" s="30"/>
      <c r="E4329" s="31"/>
      <c r="G4329" s="32" t="str">
        <f t="shared" si="134"/>
        <v>|||1900|</v>
      </c>
      <c r="H4329" s="32" t="str">
        <f t="shared" si="135"/>
        <v>||1900|</v>
      </c>
      <c r="I4329" s="32">
        <f>IF(G4329="",0,IF(COUNTIF($G$2:G4329,G4329)=1,1,0))</f>
        <v>0</v>
      </c>
      <c r="J4329" s="32">
        <f>IF(H4329="",0,IF(COUNTIF($H$2:H4329,H4329)=1,1,0))</f>
        <v>0</v>
      </c>
    </row>
    <row r="4330" spans="1:10" ht="14.25" hidden="1" customHeight="1" x14ac:dyDescent="0.35">
      <c r="A4330" s="30"/>
      <c r="E4330" s="31"/>
      <c r="G4330" s="32" t="str">
        <f t="shared" si="134"/>
        <v>|||1900|</v>
      </c>
      <c r="H4330" s="32" t="str">
        <f t="shared" si="135"/>
        <v>||1900|</v>
      </c>
      <c r="I4330" s="32">
        <f>IF(G4330="",0,IF(COUNTIF($G$2:G4330,G4330)=1,1,0))</f>
        <v>0</v>
      </c>
      <c r="J4330" s="32">
        <f>IF(H4330="",0,IF(COUNTIF($H$2:H4330,H4330)=1,1,0))</f>
        <v>0</v>
      </c>
    </row>
    <row r="4331" spans="1:10" ht="14.25" hidden="1" customHeight="1" x14ac:dyDescent="0.35">
      <c r="A4331" s="30"/>
      <c r="E4331" s="31"/>
      <c r="G4331" s="32" t="str">
        <f t="shared" si="134"/>
        <v>|||1900|</v>
      </c>
      <c r="H4331" s="32" t="str">
        <f t="shared" si="135"/>
        <v>||1900|</v>
      </c>
      <c r="I4331" s="32">
        <f>IF(G4331="",0,IF(COUNTIF($G$2:G4331,G4331)=1,1,0))</f>
        <v>0</v>
      </c>
      <c r="J4331" s="32">
        <f>IF(H4331="",0,IF(COUNTIF($H$2:H4331,H4331)=1,1,0))</f>
        <v>0</v>
      </c>
    </row>
    <row r="4332" spans="1:10" ht="14.25" hidden="1" customHeight="1" x14ac:dyDescent="0.35">
      <c r="A4332" s="30"/>
      <c r="E4332" s="31"/>
      <c r="G4332" s="32" t="str">
        <f t="shared" si="134"/>
        <v>|||1900|</v>
      </c>
      <c r="H4332" s="32" t="str">
        <f t="shared" si="135"/>
        <v>||1900|</v>
      </c>
      <c r="I4332" s="32">
        <f>IF(G4332="",0,IF(COUNTIF($G$2:G4332,G4332)=1,1,0))</f>
        <v>0</v>
      </c>
      <c r="J4332" s="32">
        <f>IF(H4332="",0,IF(COUNTIF($H$2:H4332,H4332)=1,1,0))</f>
        <v>0</v>
      </c>
    </row>
    <row r="4333" spans="1:10" ht="14.25" hidden="1" customHeight="1" x14ac:dyDescent="0.35">
      <c r="A4333" s="30"/>
      <c r="E4333" s="31"/>
      <c r="G4333" s="32" t="str">
        <f t="shared" si="134"/>
        <v>|||1900|</v>
      </c>
      <c r="H4333" s="32" t="str">
        <f t="shared" si="135"/>
        <v>||1900|</v>
      </c>
      <c r="I4333" s="32">
        <f>IF(G4333="",0,IF(COUNTIF($G$2:G4333,G4333)=1,1,0))</f>
        <v>0</v>
      </c>
      <c r="J4333" s="32">
        <f>IF(H4333="",0,IF(COUNTIF($H$2:H4333,H4333)=1,1,0))</f>
        <v>0</v>
      </c>
    </row>
    <row r="4334" spans="1:10" ht="14.25" hidden="1" customHeight="1" x14ac:dyDescent="0.35">
      <c r="A4334" s="30"/>
      <c r="E4334" s="31"/>
      <c r="G4334" s="32" t="str">
        <f t="shared" si="134"/>
        <v>|||1900|</v>
      </c>
      <c r="H4334" s="32" t="str">
        <f t="shared" si="135"/>
        <v>||1900|</v>
      </c>
      <c r="I4334" s="32">
        <f>IF(G4334="",0,IF(COUNTIF($G$2:G4334,G4334)=1,1,0))</f>
        <v>0</v>
      </c>
      <c r="J4334" s="32">
        <f>IF(H4334="",0,IF(COUNTIF($H$2:H4334,H4334)=1,1,0))</f>
        <v>0</v>
      </c>
    </row>
    <row r="4335" spans="1:10" ht="14.25" hidden="1" customHeight="1" x14ac:dyDescent="0.35">
      <c r="A4335" s="30"/>
      <c r="E4335" s="31"/>
      <c r="G4335" s="32" t="str">
        <f t="shared" si="134"/>
        <v>|||1900|</v>
      </c>
      <c r="H4335" s="32" t="str">
        <f t="shared" si="135"/>
        <v>||1900|</v>
      </c>
      <c r="I4335" s="32">
        <f>IF(G4335="",0,IF(COUNTIF($G$2:G4335,G4335)=1,1,0))</f>
        <v>0</v>
      </c>
      <c r="J4335" s="32">
        <f>IF(H4335="",0,IF(COUNTIF($H$2:H4335,H4335)=1,1,0))</f>
        <v>0</v>
      </c>
    </row>
    <row r="4336" spans="1:10" ht="14.25" hidden="1" customHeight="1" x14ac:dyDescent="0.35">
      <c r="A4336" s="30"/>
      <c r="E4336" s="31"/>
      <c r="G4336" s="32" t="str">
        <f t="shared" si="134"/>
        <v>|||1900|</v>
      </c>
      <c r="H4336" s="32" t="str">
        <f t="shared" si="135"/>
        <v>||1900|</v>
      </c>
      <c r="I4336" s="32">
        <f>IF(G4336="",0,IF(COUNTIF($G$2:G4336,G4336)=1,1,0))</f>
        <v>0</v>
      </c>
      <c r="J4336" s="32">
        <f>IF(H4336="",0,IF(COUNTIF($H$2:H4336,H4336)=1,1,0))</f>
        <v>0</v>
      </c>
    </row>
    <row r="4337" spans="1:10" ht="14.25" hidden="1" customHeight="1" x14ac:dyDescent="0.35">
      <c r="A4337" s="30"/>
      <c r="E4337" s="31"/>
      <c r="G4337" s="32" t="str">
        <f t="shared" si="134"/>
        <v>|||1900|</v>
      </c>
      <c r="H4337" s="32" t="str">
        <f t="shared" si="135"/>
        <v>||1900|</v>
      </c>
      <c r="I4337" s="32">
        <f>IF(G4337="",0,IF(COUNTIF($G$2:G4337,G4337)=1,1,0))</f>
        <v>0</v>
      </c>
      <c r="J4337" s="32">
        <f>IF(H4337="",0,IF(COUNTIF($H$2:H4337,H4337)=1,1,0))</f>
        <v>0</v>
      </c>
    </row>
    <row r="4338" spans="1:10" ht="14.25" hidden="1" customHeight="1" x14ac:dyDescent="0.35">
      <c r="A4338" s="30"/>
      <c r="E4338" s="31"/>
      <c r="G4338" s="32" t="str">
        <f t="shared" si="134"/>
        <v>|||1900|</v>
      </c>
      <c r="H4338" s="32" t="str">
        <f t="shared" si="135"/>
        <v>||1900|</v>
      </c>
      <c r="I4338" s="32">
        <f>IF(G4338="",0,IF(COUNTIF($G$2:G4338,G4338)=1,1,0))</f>
        <v>0</v>
      </c>
      <c r="J4338" s="32">
        <f>IF(H4338="",0,IF(COUNTIF($H$2:H4338,H4338)=1,1,0))</f>
        <v>0</v>
      </c>
    </row>
    <row r="4339" spans="1:10" ht="14.25" hidden="1" customHeight="1" x14ac:dyDescent="0.35">
      <c r="A4339" s="30"/>
      <c r="E4339" s="31"/>
      <c r="G4339" s="32" t="str">
        <f t="shared" si="134"/>
        <v>|||1900|</v>
      </c>
      <c r="H4339" s="32" t="str">
        <f t="shared" si="135"/>
        <v>||1900|</v>
      </c>
      <c r="I4339" s="32">
        <f>IF(G4339="",0,IF(COUNTIF($G$2:G4339,G4339)=1,1,0))</f>
        <v>0</v>
      </c>
      <c r="J4339" s="32">
        <f>IF(H4339="",0,IF(COUNTIF($H$2:H4339,H4339)=1,1,0))</f>
        <v>0</v>
      </c>
    </row>
    <row r="4340" spans="1:10" ht="14.25" hidden="1" customHeight="1" x14ac:dyDescent="0.35">
      <c r="A4340" s="30"/>
      <c r="E4340" s="31"/>
      <c r="G4340" s="32" t="str">
        <f t="shared" si="134"/>
        <v>|||1900|</v>
      </c>
      <c r="H4340" s="32" t="str">
        <f t="shared" si="135"/>
        <v>||1900|</v>
      </c>
      <c r="I4340" s="32">
        <f>IF(G4340="",0,IF(COUNTIF($G$2:G4340,G4340)=1,1,0))</f>
        <v>0</v>
      </c>
      <c r="J4340" s="32">
        <f>IF(H4340="",0,IF(COUNTIF($H$2:H4340,H4340)=1,1,0))</f>
        <v>0</v>
      </c>
    </row>
    <row r="4341" spans="1:10" ht="14.25" hidden="1" customHeight="1" x14ac:dyDescent="0.35">
      <c r="A4341" s="30"/>
      <c r="E4341" s="31"/>
      <c r="G4341" s="32" t="str">
        <f t="shared" si="134"/>
        <v>|||1900|</v>
      </c>
      <c r="H4341" s="32" t="str">
        <f t="shared" si="135"/>
        <v>||1900|</v>
      </c>
      <c r="I4341" s="32">
        <f>IF(G4341="",0,IF(COUNTIF($G$2:G4341,G4341)=1,1,0))</f>
        <v>0</v>
      </c>
      <c r="J4341" s="32">
        <f>IF(H4341="",0,IF(COUNTIF($H$2:H4341,H4341)=1,1,0))</f>
        <v>0</v>
      </c>
    </row>
    <row r="4342" spans="1:10" ht="14.25" hidden="1" customHeight="1" x14ac:dyDescent="0.35">
      <c r="A4342" s="30"/>
      <c r="E4342" s="31"/>
      <c r="G4342" s="32" t="str">
        <f t="shared" si="134"/>
        <v>|||1900|</v>
      </c>
      <c r="H4342" s="32" t="str">
        <f t="shared" si="135"/>
        <v>||1900|</v>
      </c>
      <c r="I4342" s="32">
        <f>IF(G4342="",0,IF(COUNTIF($G$2:G4342,G4342)=1,1,0))</f>
        <v>0</v>
      </c>
      <c r="J4342" s="32">
        <f>IF(H4342="",0,IF(COUNTIF($H$2:H4342,H4342)=1,1,0))</f>
        <v>0</v>
      </c>
    </row>
    <row r="4343" spans="1:10" ht="14.25" hidden="1" customHeight="1" x14ac:dyDescent="0.35">
      <c r="A4343" s="30"/>
      <c r="E4343" s="31"/>
      <c r="G4343" s="32" t="str">
        <f t="shared" si="134"/>
        <v>|||1900|</v>
      </c>
      <c r="H4343" s="32" t="str">
        <f t="shared" si="135"/>
        <v>||1900|</v>
      </c>
      <c r="I4343" s="32">
        <f>IF(G4343="",0,IF(COUNTIF($G$2:G4343,G4343)=1,1,0))</f>
        <v>0</v>
      </c>
      <c r="J4343" s="32">
        <f>IF(H4343="",0,IF(COUNTIF($H$2:H4343,H4343)=1,1,0))</f>
        <v>0</v>
      </c>
    </row>
    <row r="4344" spans="1:10" ht="14.25" hidden="1" customHeight="1" x14ac:dyDescent="0.35">
      <c r="A4344" s="30"/>
      <c r="E4344" s="31"/>
      <c r="G4344" s="32" t="str">
        <f t="shared" si="134"/>
        <v>|||1900|</v>
      </c>
      <c r="H4344" s="32" t="str">
        <f t="shared" si="135"/>
        <v>||1900|</v>
      </c>
      <c r="I4344" s="32">
        <f>IF(G4344="",0,IF(COUNTIF($G$2:G4344,G4344)=1,1,0))</f>
        <v>0</v>
      </c>
      <c r="J4344" s="32">
        <f>IF(H4344="",0,IF(COUNTIF($H$2:H4344,H4344)=1,1,0))</f>
        <v>0</v>
      </c>
    </row>
    <row r="4345" spans="1:10" ht="14.25" hidden="1" customHeight="1" x14ac:dyDescent="0.35">
      <c r="A4345" s="30"/>
      <c r="E4345" s="31"/>
      <c r="G4345" s="32" t="str">
        <f t="shared" si="134"/>
        <v>|||1900|</v>
      </c>
      <c r="H4345" s="32" t="str">
        <f t="shared" si="135"/>
        <v>||1900|</v>
      </c>
      <c r="I4345" s="32">
        <f>IF(G4345="",0,IF(COUNTIF($G$2:G4345,G4345)=1,1,0))</f>
        <v>0</v>
      </c>
      <c r="J4345" s="32">
        <f>IF(H4345="",0,IF(COUNTIF($H$2:H4345,H4345)=1,1,0))</f>
        <v>0</v>
      </c>
    </row>
    <row r="4346" spans="1:10" ht="14.25" hidden="1" customHeight="1" x14ac:dyDescent="0.35">
      <c r="A4346" s="30"/>
      <c r="E4346" s="31"/>
      <c r="G4346" s="32" t="str">
        <f t="shared" si="134"/>
        <v>|||1900|</v>
      </c>
      <c r="H4346" s="32" t="str">
        <f t="shared" si="135"/>
        <v>||1900|</v>
      </c>
      <c r="I4346" s="32">
        <f>IF(G4346="",0,IF(COUNTIF($G$2:G4346,G4346)=1,1,0))</f>
        <v>0</v>
      </c>
      <c r="J4346" s="32">
        <f>IF(H4346="",0,IF(COUNTIF($H$2:H4346,H4346)=1,1,0))</f>
        <v>0</v>
      </c>
    </row>
    <row r="4347" spans="1:10" ht="14.25" hidden="1" customHeight="1" x14ac:dyDescent="0.35">
      <c r="A4347" s="30"/>
      <c r="E4347" s="31"/>
      <c r="G4347" s="32" t="str">
        <f t="shared" si="134"/>
        <v>|||1900|</v>
      </c>
      <c r="H4347" s="32" t="str">
        <f t="shared" si="135"/>
        <v>||1900|</v>
      </c>
      <c r="I4347" s="32">
        <f>IF(G4347="",0,IF(COUNTIF($G$2:G4347,G4347)=1,1,0))</f>
        <v>0</v>
      </c>
      <c r="J4347" s="32">
        <f>IF(H4347="",0,IF(COUNTIF($H$2:H4347,H4347)=1,1,0))</f>
        <v>0</v>
      </c>
    </row>
    <row r="4348" spans="1:10" ht="14.25" hidden="1" customHeight="1" x14ac:dyDescent="0.35">
      <c r="A4348" s="30"/>
      <c r="E4348" s="31"/>
      <c r="G4348" s="32" t="str">
        <f t="shared" si="134"/>
        <v>|||1900|</v>
      </c>
      <c r="H4348" s="32" t="str">
        <f t="shared" si="135"/>
        <v>||1900|</v>
      </c>
      <c r="I4348" s="32">
        <f>IF(G4348="",0,IF(COUNTIF($G$2:G4348,G4348)=1,1,0))</f>
        <v>0</v>
      </c>
      <c r="J4348" s="32">
        <f>IF(H4348="",0,IF(COUNTIF($H$2:H4348,H4348)=1,1,0))</f>
        <v>0</v>
      </c>
    </row>
    <row r="4349" spans="1:10" ht="14.25" hidden="1" customHeight="1" x14ac:dyDescent="0.35">
      <c r="A4349" s="30"/>
      <c r="E4349" s="31"/>
      <c r="G4349" s="32" t="str">
        <f t="shared" si="134"/>
        <v>|||1900|</v>
      </c>
      <c r="H4349" s="32" t="str">
        <f t="shared" si="135"/>
        <v>||1900|</v>
      </c>
      <c r="I4349" s="32">
        <f>IF(G4349="",0,IF(COUNTIF($G$2:G4349,G4349)=1,1,0))</f>
        <v>0</v>
      </c>
      <c r="J4349" s="32">
        <f>IF(H4349="",0,IF(COUNTIF($H$2:H4349,H4349)=1,1,0))</f>
        <v>0</v>
      </c>
    </row>
    <row r="4350" spans="1:10" ht="14.25" hidden="1" customHeight="1" x14ac:dyDescent="0.35">
      <c r="A4350" s="30"/>
      <c r="E4350" s="31"/>
      <c r="G4350" s="32" t="str">
        <f t="shared" si="134"/>
        <v>|||1900|</v>
      </c>
      <c r="H4350" s="32" t="str">
        <f t="shared" si="135"/>
        <v>||1900|</v>
      </c>
      <c r="I4350" s="32">
        <f>IF(G4350="",0,IF(COUNTIF($G$2:G4350,G4350)=1,1,0))</f>
        <v>0</v>
      </c>
      <c r="J4350" s="32">
        <f>IF(H4350="",0,IF(COUNTIF($H$2:H4350,H4350)=1,1,0))</f>
        <v>0</v>
      </c>
    </row>
    <row r="4351" spans="1:10" ht="14.25" hidden="1" customHeight="1" x14ac:dyDescent="0.35">
      <c r="A4351" s="30"/>
      <c r="E4351" s="31"/>
      <c r="G4351" s="32" t="str">
        <f t="shared" si="134"/>
        <v>|||1900|</v>
      </c>
      <c r="H4351" s="32" t="str">
        <f t="shared" si="135"/>
        <v>||1900|</v>
      </c>
      <c r="I4351" s="32">
        <f>IF(G4351="",0,IF(COUNTIF($G$2:G4351,G4351)=1,1,0))</f>
        <v>0</v>
      </c>
      <c r="J4351" s="32">
        <f>IF(H4351="",0,IF(COUNTIF($H$2:H4351,H4351)=1,1,0))</f>
        <v>0</v>
      </c>
    </row>
    <row r="4352" spans="1:10" ht="14.25" hidden="1" customHeight="1" x14ac:dyDescent="0.35">
      <c r="A4352" s="30"/>
      <c r="E4352" s="31"/>
      <c r="G4352" s="32" t="str">
        <f t="shared" si="134"/>
        <v>|||1900|</v>
      </c>
      <c r="H4352" s="32" t="str">
        <f t="shared" si="135"/>
        <v>||1900|</v>
      </c>
      <c r="I4352" s="32">
        <f>IF(G4352="",0,IF(COUNTIF($G$2:G4352,G4352)=1,1,0))</f>
        <v>0</v>
      </c>
      <c r="J4352" s="32">
        <f>IF(H4352="",0,IF(COUNTIF($H$2:H4352,H4352)=1,1,0))</f>
        <v>0</v>
      </c>
    </row>
    <row r="4353" spans="1:10" ht="14.25" hidden="1" customHeight="1" x14ac:dyDescent="0.35">
      <c r="A4353" s="30"/>
      <c r="E4353" s="31"/>
      <c r="G4353" s="32" t="str">
        <f t="shared" si="134"/>
        <v>|||1900|</v>
      </c>
      <c r="H4353" s="32" t="str">
        <f t="shared" si="135"/>
        <v>||1900|</v>
      </c>
      <c r="I4353" s="32">
        <f>IF(G4353="",0,IF(COUNTIF($G$2:G4353,G4353)=1,1,0))</f>
        <v>0</v>
      </c>
      <c r="J4353" s="32">
        <f>IF(H4353="",0,IF(COUNTIF($H$2:H4353,H4353)=1,1,0))</f>
        <v>0</v>
      </c>
    </row>
    <row r="4354" spans="1:10" ht="14.25" hidden="1" customHeight="1" x14ac:dyDescent="0.35">
      <c r="A4354" s="30"/>
      <c r="E4354" s="31"/>
      <c r="G4354" s="32" t="str">
        <f t="shared" ref="G4354:G4417" si="136">IF(D4354="T",
E4354&amp;"|"&amp;F4354,
A4354&amp;"|"&amp;B4354&amp;"|"&amp;C4354&amp;"|"&amp;YEAR(E4354)&amp;"|"&amp;F4354)</f>
        <v>|||1900|</v>
      </c>
      <c r="H4354" s="32" t="str">
        <f t="shared" ref="H4354:H4417" si="137">A4354&amp;"|"&amp;C4354&amp;"|"&amp;YEAR(E4354)&amp;"|"&amp;F4354</f>
        <v>||1900|</v>
      </c>
      <c r="I4354" s="32">
        <f>IF(G4354="",0,IF(COUNTIF($G$2:G4354,G4354)=1,1,0))</f>
        <v>0</v>
      </c>
      <c r="J4354" s="32">
        <f>IF(H4354="",0,IF(COUNTIF($H$2:H4354,H4354)=1,1,0))</f>
        <v>0</v>
      </c>
    </row>
    <row r="4355" spans="1:10" ht="14.25" hidden="1" customHeight="1" x14ac:dyDescent="0.35">
      <c r="A4355" s="30"/>
      <c r="E4355" s="31"/>
      <c r="G4355" s="32" t="str">
        <f t="shared" si="136"/>
        <v>|||1900|</v>
      </c>
      <c r="H4355" s="32" t="str">
        <f t="shared" si="137"/>
        <v>||1900|</v>
      </c>
      <c r="I4355" s="32">
        <f>IF(G4355="",0,IF(COUNTIF($G$2:G4355,G4355)=1,1,0))</f>
        <v>0</v>
      </c>
      <c r="J4355" s="32">
        <f>IF(H4355="",0,IF(COUNTIF($H$2:H4355,H4355)=1,1,0))</f>
        <v>0</v>
      </c>
    </row>
    <row r="4356" spans="1:10" ht="14.25" hidden="1" customHeight="1" x14ac:dyDescent="0.35">
      <c r="A4356" s="30"/>
      <c r="E4356" s="31"/>
      <c r="G4356" s="32" t="str">
        <f t="shared" si="136"/>
        <v>|||1900|</v>
      </c>
      <c r="H4356" s="32" t="str">
        <f t="shared" si="137"/>
        <v>||1900|</v>
      </c>
      <c r="I4356" s="32">
        <f>IF(G4356="",0,IF(COUNTIF($G$2:G4356,G4356)=1,1,0))</f>
        <v>0</v>
      </c>
      <c r="J4356" s="32">
        <f>IF(H4356="",0,IF(COUNTIF($H$2:H4356,H4356)=1,1,0))</f>
        <v>0</v>
      </c>
    </row>
    <row r="4357" spans="1:10" ht="14.25" hidden="1" customHeight="1" x14ac:dyDescent="0.35">
      <c r="A4357" s="30"/>
      <c r="E4357" s="31"/>
      <c r="G4357" s="32" t="str">
        <f t="shared" si="136"/>
        <v>|||1900|</v>
      </c>
      <c r="H4357" s="32" t="str">
        <f t="shared" si="137"/>
        <v>||1900|</v>
      </c>
      <c r="I4357" s="32">
        <f>IF(G4357="",0,IF(COUNTIF($G$2:G4357,G4357)=1,1,0))</f>
        <v>0</v>
      </c>
      <c r="J4357" s="32">
        <f>IF(H4357="",0,IF(COUNTIF($H$2:H4357,H4357)=1,1,0))</f>
        <v>0</v>
      </c>
    </row>
    <row r="4358" spans="1:10" ht="14.25" hidden="1" customHeight="1" x14ac:dyDescent="0.35">
      <c r="A4358" s="30"/>
      <c r="E4358" s="31"/>
      <c r="G4358" s="32" t="str">
        <f t="shared" si="136"/>
        <v>|||1900|</v>
      </c>
      <c r="H4358" s="32" t="str">
        <f t="shared" si="137"/>
        <v>||1900|</v>
      </c>
      <c r="I4358" s="32">
        <f>IF(G4358="",0,IF(COUNTIF($G$2:G4358,G4358)=1,1,0))</f>
        <v>0</v>
      </c>
      <c r="J4358" s="32">
        <f>IF(H4358="",0,IF(COUNTIF($H$2:H4358,H4358)=1,1,0))</f>
        <v>0</v>
      </c>
    </row>
    <row r="4359" spans="1:10" ht="14.25" hidden="1" customHeight="1" x14ac:dyDescent="0.35">
      <c r="A4359" s="30"/>
      <c r="E4359" s="31"/>
      <c r="G4359" s="32" t="str">
        <f t="shared" si="136"/>
        <v>|||1900|</v>
      </c>
      <c r="H4359" s="32" t="str">
        <f t="shared" si="137"/>
        <v>||1900|</v>
      </c>
      <c r="I4359" s="32">
        <f>IF(G4359="",0,IF(COUNTIF($G$2:G4359,G4359)=1,1,0))</f>
        <v>0</v>
      </c>
      <c r="J4359" s="32">
        <f>IF(H4359="",0,IF(COUNTIF($H$2:H4359,H4359)=1,1,0))</f>
        <v>0</v>
      </c>
    </row>
    <row r="4360" spans="1:10" ht="14.25" hidden="1" customHeight="1" x14ac:dyDescent="0.35">
      <c r="A4360" s="30"/>
      <c r="E4360" s="31"/>
      <c r="G4360" s="32" t="str">
        <f t="shared" si="136"/>
        <v>|||1900|</v>
      </c>
      <c r="H4360" s="32" t="str">
        <f t="shared" si="137"/>
        <v>||1900|</v>
      </c>
      <c r="I4360" s="32">
        <f>IF(G4360="",0,IF(COUNTIF($G$2:G4360,G4360)=1,1,0))</f>
        <v>0</v>
      </c>
      <c r="J4360" s="32">
        <f>IF(H4360="",0,IF(COUNTIF($H$2:H4360,H4360)=1,1,0))</f>
        <v>0</v>
      </c>
    </row>
    <row r="4361" spans="1:10" ht="14.25" hidden="1" customHeight="1" x14ac:dyDescent="0.35">
      <c r="A4361" s="30"/>
      <c r="E4361" s="31"/>
      <c r="G4361" s="32" t="str">
        <f t="shared" si="136"/>
        <v>|||1900|</v>
      </c>
      <c r="H4361" s="32" t="str">
        <f t="shared" si="137"/>
        <v>||1900|</v>
      </c>
      <c r="I4361" s="32">
        <f>IF(G4361="",0,IF(COUNTIF($G$2:G4361,G4361)=1,1,0))</f>
        <v>0</v>
      </c>
      <c r="J4361" s="32">
        <f>IF(H4361="",0,IF(COUNTIF($H$2:H4361,H4361)=1,1,0))</f>
        <v>0</v>
      </c>
    </row>
    <row r="4362" spans="1:10" ht="14.25" hidden="1" customHeight="1" x14ac:dyDescent="0.35">
      <c r="A4362" s="30"/>
      <c r="E4362" s="31"/>
      <c r="G4362" s="32" t="str">
        <f t="shared" si="136"/>
        <v>|||1900|</v>
      </c>
      <c r="H4362" s="32" t="str">
        <f t="shared" si="137"/>
        <v>||1900|</v>
      </c>
      <c r="I4362" s="32">
        <f>IF(G4362="",0,IF(COUNTIF($G$2:G4362,G4362)=1,1,0))</f>
        <v>0</v>
      </c>
      <c r="J4362" s="32">
        <f>IF(H4362="",0,IF(COUNTIF($H$2:H4362,H4362)=1,1,0))</f>
        <v>0</v>
      </c>
    </row>
    <row r="4363" spans="1:10" ht="14.25" hidden="1" customHeight="1" x14ac:dyDescent="0.35">
      <c r="A4363" s="30"/>
      <c r="E4363" s="31"/>
      <c r="G4363" s="32" t="str">
        <f t="shared" si="136"/>
        <v>|||1900|</v>
      </c>
      <c r="H4363" s="32" t="str">
        <f t="shared" si="137"/>
        <v>||1900|</v>
      </c>
      <c r="I4363" s="32">
        <f>IF(G4363="",0,IF(COUNTIF($G$2:G4363,G4363)=1,1,0))</f>
        <v>0</v>
      </c>
      <c r="J4363" s="32">
        <f>IF(H4363="",0,IF(COUNTIF($H$2:H4363,H4363)=1,1,0))</f>
        <v>0</v>
      </c>
    </row>
    <row r="4364" spans="1:10" ht="14.25" hidden="1" customHeight="1" x14ac:dyDescent="0.35">
      <c r="A4364" s="30"/>
      <c r="E4364" s="31"/>
      <c r="G4364" s="32" t="str">
        <f t="shared" si="136"/>
        <v>|||1900|</v>
      </c>
      <c r="H4364" s="32" t="str">
        <f t="shared" si="137"/>
        <v>||1900|</v>
      </c>
      <c r="I4364" s="32">
        <f>IF(G4364="",0,IF(COUNTIF($G$2:G4364,G4364)=1,1,0))</f>
        <v>0</v>
      </c>
      <c r="J4364" s="32">
        <f>IF(H4364="",0,IF(COUNTIF($H$2:H4364,H4364)=1,1,0))</f>
        <v>0</v>
      </c>
    </row>
    <row r="4365" spans="1:10" ht="14.25" hidden="1" customHeight="1" x14ac:dyDescent="0.35">
      <c r="A4365" s="30"/>
      <c r="E4365" s="31"/>
      <c r="G4365" s="32" t="str">
        <f t="shared" si="136"/>
        <v>|||1900|</v>
      </c>
      <c r="H4365" s="32" t="str">
        <f t="shared" si="137"/>
        <v>||1900|</v>
      </c>
      <c r="I4365" s="32">
        <f>IF(G4365="",0,IF(COUNTIF($G$2:G4365,G4365)=1,1,0))</f>
        <v>0</v>
      </c>
      <c r="J4365" s="32">
        <f>IF(H4365="",0,IF(COUNTIF($H$2:H4365,H4365)=1,1,0))</f>
        <v>0</v>
      </c>
    </row>
    <row r="4366" spans="1:10" ht="14.25" hidden="1" customHeight="1" x14ac:dyDescent="0.35">
      <c r="A4366" s="30"/>
      <c r="E4366" s="31"/>
      <c r="G4366" s="32" t="str">
        <f t="shared" si="136"/>
        <v>|||1900|</v>
      </c>
      <c r="H4366" s="32" t="str">
        <f t="shared" si="137"/>
        <v>||1900|</v>
      </c>
      <c r="I4366" s="32">
        <f>IF(G4366="",0,IF(COUNTIF($G$2:G4366,G4366)=1,1,0))</f>
        <v>0</v>
      </c>
      <c r="J4366" s="32">
        <f>IF(H4366="",0,IF(COUNTIF($H$2:H4366,H4366)=1,1,0))</f>
        <v>0</v>
      </c>
    </row>
    <row r="4367" spans="1:10" ht="14.25" hidden="1" customHeight="1" x14ac:dyDescent="0.35">
      <c r="A4367" s="30"/>
      <c r="E4367" s="31"/>
      <c r="G4367" s="32" t="str">
        <f t="shared" si="136"/>
        <v>|||1900|</v>
      </c>
      <c r="H4367" s="32" t="str">
        <f t="shared" si="137"/>
        <v>||1900|</v>
      </c>
      <c r="I4367" s="32">
        <f>IF(G4367="",0,IF(COUNTIF($G$2:G4367,G4367)=1,1,0))</f>
        <v>0</v>
      </c>
      <c r="J4367" s="32">
        <f>IF(H4367="",0,IF(COUNTIF($H$2:H4367,H4367)=1,1,0))</f>
        <v>0</v>
      </c>
    </row>
    <row r="4368" spans="1:10" ht="14.25" hidden="1" customHeight="1" x14ac:dyDescent="0.35">
      <c r="A4368" s="30"/>
      <c r="E4368" s="31"/>
      <c r="G4368" s="32" t="str">
        <f t="shared" si="136"/>
        <v>|||1900|</v>
      </c>
      <c r="H4368" s="32" t="str">
        <f t="shared" si="137"/>
        <v>||1900|</v>
      </c>
      <c r="I4368" s="32">
        <f>IF(G4368="",0,IF(COUNTIF($G$2:G4368,G4368)=1,1,0))</f>
        <v>0</v>
      </c>
      <c r="J4368" s="32">
        <f>IF(H4368="",0,IF(COUNTIF($H$2:H4368,H4368)=1,1,0))</f>
        <v>0</v>
      </c>
    </row>
    <row r="4369" spans="1:10" ht="14.25" hidden="1" customHeight="1" x14ac:dyDescent="0.35">
      <c r="A4369" s="30"/>
      <c r="E4369" s="31"/>
      <c r="G4369" s="32" t="str">
        <f t="shared" si="136"/>
        <v>|||1900|</v>
      </c>
      <c r="H4369" s="32" t="str">
        <f t="shared" si="137"/>
        <v>||1900|</v>
      </c>
      <c r="I4369" s="32">
        <f>IF(G4369="",0,IF(COUNTIF($G$2:G4369,G4369)=1,1,0))</f>
        <v>0</v>
      </c>
      <c r="J4369" s="32">
        <f>IF(H4369="",0,IF(COUNTIF($H$2:H4369,H4369)=1,1,0))</f>
        <v>0</v>
      </c>
    </row>
    <row r="4370" spans="1:10" ht="14.25" hidden="1" customHeight="1" x14ac:dyDescent="0.35">
      <c r="A4370" s="30"/>
      <c r="E4370" s="31"/>
      <c r="G4370" s="32" t="str">
        <f t="shared" si="136"/>
        <v>|||1900|</v>
      </c>
      <c r="H4370" s="32" t="str">
        <f t="shared" si="137"/>
        <v>||1900|</v>
      </c>
      <c r="I4370" s="32">
        <f>IF(G4370="",0,IF(COUNTIF($G$2:G4370,G4370)=1,1,0))</f>
        <v>0</v>
      </c>
      <c r="J4370" s="32">
        <f>IF(H4370="",0,IF(COUNTIF($H$2:H4370,H4370)=1,1,0))</f>
        <v>0</v>
      </c>
    </row>
    <row r="4371" spans="1:10" ht="14.25" hidden="1" customHeight="1" x14ac:dyDescent="0.35">
      <c r="A4371" s="30"/>
      <c r="E4371" s="31"/>
      <c r="G4371" s="32" t="str">
        <f t="shared" si="136"/>
        <v>|||1900|</v>
      </c>
      <c r="H4371" s="32" t="str">
        <f t="shared" si="137"/>
        <v>||1900|</v>
      </c>
      <c r="I4371" s="32">
        <f>IF(G4371="",0,IF(COUNTIF($G$2:G4371,G4371)=1,1,0))</f>
        <v>0</v>
      </c>
      <c r="J4371" s="32">
        <f>IF(H4371="",0,IF(COUNTIF($H$2:H4371,H4371)=1,1,0))</f>
        <v>0</v>
      </c>
    </row>
    <row r="4372" spans="1:10" ht="14.25" hidden="1" customHeight="1" x14ac:dyDescent="0.35">
      <c r="A4372" s="30"/>
      <c r="E4372" s="31"/>
      <c r="G4372" s="32" t="str">
        <f t="shared" si="136"/>
        <v>|||1900|</v>
      </c>
      <c r="H4372" s="32" t="str">
        <f t="shared" si="137"/>
        <v>||1900|</v>
      </c>
      <c r="I4372" s="32">
        <f>IF(G4372="",0,IF(COUNTIF($G$2:G4372,G4372)=1,1,0))</f>
        <v>0</v>
      </c>
      <c r="J4372" s="32">
        <f>IF(H4372="",0,IF(COUNTIF($H$2:H4372,H4372)=1,1,0))</f>
        <v>0</v>
      </c>
    </row>
    <row r="4373" spans="1:10" ht="14.25" hidden="1" customHeight="1" x14ac:dyDescent="0.35">
      <c r="A4373" s="30"/>
      <c r="E4373" s="31"/>
      <c r="G4373" s="32" t="str">
        <f t="shared" si="136"/>
        <v>|||1900|</v>
      </c>
      <c r="H4373" s="32" t="str">
        <f t="shared" si="137"/>
        <v>||1900|</v>
      </c>
      <c r="I4373" s="32">
        <f>IF(G4373="",0,IF(COUNTIF($G$2:G4373,G4373)=1,1,0))</f>
        <v>0</v>
      </c>
      <c r="J4373" s="32">
        <f>IF(H4373="",0,IF(COUNTIF($H$2:H4373,H4373)=1,1,0))</f>
        <v>0</v>
      </c>
    </row>
    <row r="4374" spans="1:10" ht="14.25" hidden="1" customHeight="1" x14ac:dyDescent="0.35">
      <c r="A4374" s="30"/>
      <c r="E4374" s="31"/>
      <c r="G4374" s="32" t="str">
        <f t="shared" si="136"/>
        <v>|||1900|</v>
      </c>
      <c r="H4374" s="32" t="str">
        <f t="shared" si="137"/>
        <v>||1900|</v>
      </c>
      <c r="I4374" s="32">
        <f>IF(G4374="",0,IF(COUNTIF($G$2:G4374,G4374)=1,1,0))</f>
        <v>0</v>
      </c>
      <c r="J4374" s="32">
        <f>IF(H4374="",0,IF(COUNTIF($H$2:H4374,H4374)=1,1,0))</f>
        <v>0</v>
      </c>
    </row>
    <row r="4375" spans="1:10" ht="14.25" hidden="1" customHeight="1" x14ac:dyDescent="0.35">
      <c r="A4375" s="30"/>
      <c r="E4375" s="31"/>
      <c r="G4375" s="32" t="str">
        <f t="shared" si="136"/>
        <v>|||1900|</v>
      </c>
      <c r="H4375" s="32" t="str">
        <f t="shared" si="137"/>
        <v>||1900|</v>
      </c>
      <c r="I4375" s="32">
        <f>IF(G4375="",0,IF(COUNTIF($G$2:G4375,G4375)=1,1,0))</f>
        <v>0</v>
      </c>
      <c r="J4375" s="32">
        <f>IF(H4375="",0,IF(COUNTIF($H$2:H4375,H4375)=1,1,0))</f>
        <v>0</v>
      </c>
    </row>
    <row r="4376" spans="1:10" ht="14.25" hidden="1" customHeight="1" x14ac:dyDescent="0.35">
      <c r="A4376" s="30"/>
      <c r="E4376" s="31"/>
      <c r="G4376" s="32" t="str">
        <f t="shared" si="136"/>
        <v>|||1900|</v>
      </c>
      <c r="H4376" s="32" t="str">
        <f t="shared" si="137"/>
        <v>||1900|</v>
      </c>
      <c r="I4376" s="32">
        <f>IF(G4376="",0,IF(COUNTIF($G$2:G4376,G4376)=1,1,0))</f>
        <v>0</v>
      </c>
      <c r="J4376" s="32">
        <f>IF(H4376="",0,IF(COUNTIF($H$2:H4376,H4376)=1,1,0))</f>
        <v>0</v>
      </c>
    </row>
    <row r="4377" spans="1:10" ht="14.25" hidden="1" customHeight="1" x14ac:dyDescent="0.35">
      <c r="A4377" s="30"/>
      <c r="E4377" s="31"/>
      <c r="G4377" s="32" t="str">
        <f t="shared" si="136"/>
        <v>|||1900|</v>
      </c>
      <c r="H4377" s="32" t="str">
        <f t="shared" si="137"/>
        <v>||1900|</v>
      </c>
      <c r="I4377" s="32">
        <f>IF(G4377="",0,IF(COUNTIF($G$2:G4377,G4377)=1,1,0))</f>
        <v>0</v>
      </c>
      <c r="J4377" s="32">
        <f>IF(H4377="",0,IF(COUNTIF($H$2:H4377,H4377)=1,1,0))</f>
        <v>0</v>
      </c>
    </row>
    <row r="4378" spans="1:10" ht="14.25" hidden="1" customHeight="1" x14ac:dyDescent="0.35">
      <c r="A4378" s="30"/>
      <c r="E4378" s="31"/>
      <c r="G4378" s="32" t="str">
        <f t="shared" si="136"/>
        <v>|||1900|</v>
      </c>
      <c r="H4378" s="32" t="str">
        <f t="shared" si="137"/>
        <v>||1900|</v>
      </c>
      <c r="I4378" s="32">
        <f>IF(G4378="",0,IF(COUNTIF($G$2:G4378,G4378)=1,1,0))</f>
        <v>0</v>
      </c>
      <c r="J4378" s="32">
        <f>IF(H4378="",0,IF(COUNTIF($H$2:H4378,H4378)=1,1,0))</f>
        <v>0</v>
      </c>
    </row>
    <row r="4379" spans="1:10" ht="14.25" hidden="1" customHeight="1" x14ac:dyDescent="0.35">
      <c r="A4379" s="30"/>
      <c r="E4379" s="31"/>
      <c r="G4379" s="32" t="str">
        <f t="shared" si="136"/>
        <v>|||1900|</v>
      </c>
      <c r="H4379" s="32" t="str">
        <f t="shared" si="137"/>
        <v>||1900|</v>
      </c>
      <c r="I4379" s="32">
        <f>IF(G4379="",0,IF(COUNTIF($G$2:G4379,G4379)=1,1,0))</f>
        <v>0</v>
      </c>
      <c r="J4379" s="32">
        <f>IF(H4379="",0,IF(COUNTIF($H$2:H4379,H4379)=1,1,0))</f>
        <v>0</v>
      </c>
    </row>
    <row r="4380" spans="1:10" ht="14.25" hidden="1" customHeight="1" x14ac:dyDescent="0.35">
      <c r="A4380" s="30"/>
      <c r="E4380" s="31"/>
      <c r="G4380" s="32" t="str">
        <f t="shared" si="136"/>
        <v>|||1900|</v>
      </c>
      <c r="H4380" s="32" t="str">
        <f t="shared" si="137"/>
        <v>||1900|</v>
      </c>
      <c r="I4380" s="32">
        <f>IF(G4380="",0,IF(COUNTIF($G$2:G4380,G4380)=1,1,0))</f>
        <v>0</v>
      </c>
      <c r="J4380" s="32">
        <f>IF(H4380="",0,IF(COUNTIF($H$2:H4380,H4380)=1,1,0))</f>
        <v>0</v>
      </c>
    </row>
    <row r="4381" spans="1:10" ht="14.25" hidden="1" customHeight="1" x14ac:dyDescent="0.35">
      <c r="A4381" s="30"/>
      <c r="E4381" s="31"/>
      <c r="G4381" s="32" t="str">
        <f t="shared" si="136"/>
        <v>|||1900|</v>
      </c>
      <c r="H4381" s="32" t="str">
        <f t="shared" si="137"/>
        <v>||1900|</v>
      </c>
      <c r="I4381" s="32">
        <f>IF(G4381="",0,IF(COUNTIF($G$2:G4381,G4381)=1,1,0))</f>
        <v>0</v>
      </c>
      <c r="J4381" s="32">
        <f>IF(H4381="",0,IF(COUNTIF($H$2:H4381,H4381)=1,1,0))</f>
        <v>0</v>
      </c>
    </row>
    <row r="4382" spans="1:10" ht="14.25" hidden="1" customHeight="1" x14ac:dyDescent="0.35">
      <c r="A4382" s="30"/>
      <c r="E4382" s="31"/>
      <c r="G4382" s="32" t="str">
        <f t="shared" si="136"/>
        <v>|||1900|</v>
      </c>
      <c r="H4382" s="32" t="str">
        <f t="shared" si="137"/>
        <v>||1900|</v>
      </c>
      <c r="I4382" s="32">
        <f>IF(G4382="",0,IF(COUNTIF($G$2:G4382,G4382)=1,1,0))</f>
        <v>0</v>
      </c>
      <c r="J4382" s="32">
        <f>IF(H4382="",0,IF(COUNTIF($H$2:H4382,H4382)=1,1,0))</f>
        <v>0</v>
      </c>
    </row>
    <row r="4383" spans="1:10" ht="14.25" hidden="1" customHeight="1" x14ac:dyDescent="0.35">
      <c r="A4383" s="30"/>
      <c r="E4383" s="31"/>
      <c r="G4383" s="32" t="str">
        <f t="shared" si="136"/>
        <v>|||1900|</v>
      </c>
      <c r="H4383" s="32" t="str">
        <f t="shared" si="137"/>
        <v>||1900|</v>
      </c>
      <c r="I4383" s="32">
        <f>IF(G4383="",0,IF(COUNTIF($G$2:G4383,G4383)=1,1,0))</f>
        <v>0</v>
      </c>
      <c r="J4383" s="32">
        <f>IF(H4383="",0,IF(COUNTIF($H$2:H4383,H4383)=1,1,0))</f>
        <v>0</v>
      </c>
    </row>
    <row r="4384" spans="1:10" ht="14.25" hidden="1" customHeight="1" x14ac:dyDescent="0.35">
      <c r="A4384" s="30"/>
      <c r="E4384" s="31"/>
      <c r="G4384" s="32" t="str">
        <f t="shared" si="136"/>
        <v>|||1900|</v>
      </c>
      <c r="H4384" s="32" t="str">
        <f t="shared" si="137"/>
        <v>||1900|</v>
      </c>
      <c r="I4384" s="32">
        <f>IF(G4384="",0,IF(COUNTIF($G$2:G4384,G4384)=1,1,0))</f>
        <v>0</v>
      </c>
      <c r="J4384" s="32">
        <f>IF(H4384="",0,IF(COUNTIF($H$2:H4384,H4384)=1,1,0))</f>
        <v>0</v>
      </c>
    </row>
    <row r="4385" spans="1:10" ht="14.25" hidden="1" customHeight="1" x14ac:dyDescent="0.35">
      <c r="A4385" s="30"/>
      <c r="E4385" s="31"/>
      <c r="G4385" s="32" t="str">
        <f t="shared" si="136"/>
        <v>|||1900|</v>
      </c>
      <c r="H4385" s="32" t="str">
        <f t="shared" si="137"/>
        <v>||1900|</v>
      </c>
      <c r="I4385" s="32">
        <f>IF(G4385="",0,IF(COUNTIF($G$2:G4385,G4385)=1,1,0))</f>
        <v>0</v>
      </c>
      <c r="J4385" s="32">
        <f>IF(H4385="",0,IF(COUNTIF($H$2:H4385,H4385)=1,1,0))</f>
        <v>0</v>
      </c>
    </row>
    <row r="4386" spans="1:10" ht="14.25" hidden="1" customHeight="1" x14ac:dyDescent="0.35">
      <c r="A4386" s="30"/>
      <c r="E4386" s="31"/>
      <c r="G4386" s="32" t="str">
        <f t="shared" si="136"/>
        <v>|||1900|</v>
      </c>
      <c r="H4386" s="32" t="str">
        <f t="shared" si="137"/>
        <v>||1900|</v>
      </c>
      <c r="I4386" s="32">
        <f>IF(G4386="",0,IF(COUNTIF($G$2:G4386,G4386)=1,1,0))</f>
        <v>0</v>
      </c>
      <c r="J4386" s="32">
        <f>IF(H4386="",0,IF(COUNTIF($H$2:H4386,H4386)=1,1,0))</f>
        <v>0</v>
      </c>
    </row>
    <row r="4387" spans="1:10" ht="14.25" hidden="1" customHeight="1" x14ac:dyDescent="0.35">
      <c r="A4387" s="30"/>
      <c r="E4387" s="31"/>
      <c r="G4387" s="32" t="str">
        <f t="shared" si="136"/>
        <v>|||1900|</v>
      </c>
      <c r="H4387" s="32" t="str">
        <f t="shared" si="137"/>
        <v>||1900|</v>
      </c>
      <c r="I4387" s="32">
        <f>IF(G4387="",0,IF(COUNTIF($G$2:G4387,G4387)=1,1,0))</f>
        <v>0</v>
      </c>
      <c r="J4387" s="32">
        <f>IF(H4387="",0,IF(COUNTIF($H$2:H4387,H4387)=1,1,0))</f>
        <v>0</v>
      </c>
    </row>
    <row r="4388" spans="1:10" ht="14.25" hidden="1" customHeight="1" x14ac:dyDescent="0.35">
      <c r="A4388" s="30"/>
      <c r="E4388" s="31"/>
      <c r="G4388" s="32" t="str">
        <f t="shared" si="136"/>
        <v>|||1900|</v>
      </c>
      <c r="H4388" s="32" t="str">
        <f t="shared" si="137"/>
        <v>||1900|</v>
      </c>
      <c r="I4388" s="32">
        <f>IF(G4388="",0,IF(COUNTIF($G$2:G4388,G4388)=1,1,0))</f>
        <v>0</v>
      </c>
      <c r="J4388" s="32">
        <f>IF(H4388="",0,IF(COUNTIF($H$2:H4388,H4388)=1,1,0))</f>
        <v>0</v>
      </c>
    </row>
    <row r="4389" spans="1:10" ht="14.25" hidden="1" customHeight="1" x14ac:dyDescent="0.35">
      <c r="A4389" s="30"/>
      <c r="E4389" s="31"/>
      <c r="G4389" s="32" t="str">
        <f t="shared" si="136"/>
        <v>|||1900|</v>
      </c>
      <c r="H4389" s="32" t="str">
        <f t="shared" si="137"/>
        <v>||1900|</v>
      </c>
      <c r="I4389" s="32">
        <f>IF(G4389="",0,IF(COUNTIF($G$2:G4389,G4389)=1,1,0))</f>
        <v>0</v>
      </c>
      <c r="J4389" s="32">
        <f>IF(H4389="",0,IF(COUNTIF($H$2:H4389,H4389)=1,1,0))</f>
        <v>0</v>
      </c>
    </row>
    <row r="4390" spans="1:10" ht="14.25" hidden="1" customHeight="1" x14ac:dyDescent="0.35">
      <c r="A4390" s="30"/>
      <c r="E4390" s="31"/>
      <c r="G4390" s="32" t="str">
        <f t="shared" si="136"/>
        <v>|||1900|</v>
      </c>
      <c r="H4390" s="32" t="str">
        <f t="shared" si="137"/>
        <v>||1900|</v>
      </c>
      <c r="I4390" s="32">
        <f>IF(G4390="",0,IF(COUNTIF($G$2:G4390,G4390)=1,1,0))</f>
        <v>0</v>
      </c>
      <c r="J4390" s="32">
        <f>IF(H4390="",0,IF(COUNTIF($H$2:H4390,H4390)=1,1,0))</f>
        <v>0</v>
      </c>
    </row>
    <row r="4391" spans="1:10" ht="14.25" hidden="1" customHeight="1" x14ac:dyDescent="0.35">
      <c r="A4391" s="30"/>
      <c r="E4391" s="31"/>
      <c r="G4391" s="32" t="str">
        <f t="shared" si="136"/>
        <v>|||1900|</v>
      </c>
      <c r="H4391" s="32" t="str">
        <f t="shared" si="137"/>
        <v>||1900|</v>
      </c>
      <c r="I4391" s="32">
        <f>IF(G4391="",0,IF(COUNTIF($G$2:G4391,G4391)=1,1,0))</f>
        <v>0</v>
      </c>
      <c r="J4391" s="32">
        <f>IF(H4391="",0,IF(COUNTIF($H$2:H4391,H4391)=1,1,0))</f>
        <v>0</v>
      </c>
    </row>
    <row r="4392" spans="1:10" ht="14.25" hidden="1" customHeight="1" x14ac:dyDescent="0.35">
      <c r="A4392" s="30"/>
      <c r="E4392" s="31"/>
      <c r="G4392" s="32" t="str">
        <f t="shared" si="136"/>
        <v>|||1900|</v>
      </c>
      <c r="H4392" s="32" t="str">
        <f t="shared" si="137"/>
        <v>||1900|</v>
      </c>
      <c r="I4392" s="32">
        <f>IF(G4392="",0,IF(COUNTIF($G$2:G4392,G4392)=1,1,0))</f>
        <v>0</v>
      </c>
      <c r="J4392" s="32">
        <f>IF(H4392="",0,IF(COUNTIF($H$2:H4392,H4392)=1,1,0))</f>
        <v>0</v>
      </c>
    </row>
    <row r="4393" spans="1:10" ht="14.25" hidden="1" customHeight="1" x14ac:dyDescent="0.35">
      <c r="A4393" s="30"/>
      <c r="E4393" s="31"/>
      <c r="G4393" s="32" t="str">
        <f t="shared" si="136"/>
        <v>|||1900|</v>
      </c>
      <c r="H4393" s="32" t="str">
        <f t="shared" si="137"/>
        <v>||1900|</v>
      </c>
      <c r="I4393" s="32">
        <f>IF(G4393="",0,IF(COUNTIF($G$2:G4393,G4393)=1,1,0))</f>
        <v>0</v>
      </c>
      <c r="J4393" s="32">
        <f>IF(H4393="",0,IF(COUNTIF($H$2:H4393,H4393)=1,1,0))</f>
        <v>0</v>
      </c>
    </row>
    <row r="4394" spans="1:10" ht="14.25" hidden="1" customHeight="1" x14ac:dyDescent="0.35">
      <c r="A4394" s="30"/>
      <c r="E4394" s="31"/>
      <c r="G4394" s="32" t="str">
        <f t="shared" si="136"/>
        <v>|||1900|</v>
      </c>
      <c r="H4394" s="32" t="str">
        <f t="shared" si="137"/>
        <v>||1900|</v>
      </c>
      <c r="I4394" s="32">
        <f>IF(G4394="",0,IF(COUNTIF($G$2:G4394,G4394)=1,1,0))</f>
        <v>0</v>
      </c>
      <c r="J4394" s="32">
        <f>IF(H4394="",0,IF(COUNTIF($H$2:H4394,H4394)=1,1,0))</f>
        <v>0</v>
      </c>
    </row>
    <row r="4395" spans="1:10" ht="14.25" hidden="1" customHeight="1" x14ac:dyDescent="0.35">
      <c r="A4395" s="30"/>
      <c r="E4395" s="31"/>
      <c r="G4395" s="32" t="str">
        <f t="shared" si="136"/>
        <v>|||1900|</v>
      </c>
      <c r="H4395" s="32" t="str">
        <f t="shared" si="137"/>
        <v>||1900|</v>
      </c>
      <c r="I4395" s="32">
        <f>IF(G4395="",0,IF(COUNTIF($G$2:G4395,G4395)=1,1,0))</f>
        <v>0</v>
      </c>
      <c r="J4395" s="32">
        <f>IF(H4395="",0,IF(COUNTIF($H$2:H4395,H4395)=1,1,0))</f>
        <v>0</v>
      </c>
    </row>
    <row r="4396" spans="1:10" ht="14.25" hidden="1" customHeight="1" x14ac:dyDescent="0.35">
      <c r="A4396" s="30"/>
      <c r="E4396" s="31"/>
      <c r="G4396" s="32" t="str">
        <f t="shared" si="136"/>
        <v>|||1900|</v>
      </c>
      <c r="H4396" s="32" t="str">
        <f t="shared" si="137"/>
        <v>||1900|</v>
      </c>
      <c r="I4396" s="32">
        <f>IF(G4396="",0,IF(COUNTIF($G$2:G4396,G4396)=1,1,0))</f>
        <v>0</v>
      </c>
      <c r="J4396" s="32">
        <f>IF(H4396="",0,IF(COUNTIF($H$2:H4396,H4396)=1,1,0))</f>
        <v>0</v>
      </c>
    </row>
    <row r="4397" spans="1:10" ht="14.25" hidden="1" customHeight="1" x14ac:dyDescent="0.35">
      <c r="A4397" s="30"/>
      <c r="E4397" s="31"/>
      <c r="G4397" s="32" t="str">
        <f t="shared" si="136"/>
        <v>|||1900|</v>
      </c>
      <c r="H4397" s="32" t="str">
        <f t="shared" si="137"/>
        <v>||1900|</v>
      </c>
      <c r="I4397" s="32">
        <f>IF(G4397="",0,IF(COUNTIF($G$2:G4397,G4397)=1,1,0))</f>
        <v>0</v>
      </c>
      <c r="J4397" s="32">
        <f>IF(H4397="",0,IF(COUNTIF($H$2:H4397,H4397)=1,1,0))</f>
        <v>0</v>
      </c>
    </row>
    <row r="4398" spans="1:10" ht="14.25" hidden="1" customHeight="1" x14ac:dyDescent="0.35">
      <c r="A4398" s="30"/>
      <c r="E4398" s="31"/>
      <c r="G4398" s="32" t="str">
        <f t="shared" si="136"/>
        <v>|||1900|</v>
      </c>
      <c r="H4398" s="32" t="str">
        <f t="shared" si="137"/>
        <v>||1900|</v>
      </c>
      <c r="I4398" s="32">
        <f>IF(G4398="",0,IF(COUNTIF($G$2:G4398,G4398)=1,1,0))</f>
        <v>0</v>
      </c>
      <c r="J4398" s="32">
        <f>IF(H4398="",0,IF(COUNTIF($H$2:H4398,H4398)=1,1,0))</f>
        <v>0</v>
      </c>
    </row>
    <row r="4399" spans="1:10" ht="14.25" hidden="1" customHeight="1" x14ac:dyDescent="0.35">
      <c r="A4399" s="30"/>
      <c r="E4399" s="31"/>
      <c r="G4399" s="32" t="str">
        <f t="shared" si="136"/>
        <v>|||1900|</v>
      </c>
      <c r="H4399" s="32" t="str">
        <f t="shared" si="137"/>
        <v>||1900|</v>
      </c>
      <c r="I4399" s="32">
        <f>IF(G4399="",0,IF(COUNTIF($G$2:G4399,G4399)=1,1,0))</f>
        <v>0</v>
      </c>
      <c r="J4399" s="32">
        <f>IF(H4399="",0,IF(COUNTIF($H$2:H4399,H4399)=1,1,0))</f>
        <v>0</v>
      </c>
    </row>
    <row r="4400" spans="1:10" ht="14.25" hidden="1" customHeight="1" x14ac:dyDescent="0.35">
      <c r="A4400" s="30"/>
      <c r="E4400" s="31"/>
      <c r="G4400" s="32" t="str">
        <f t="shared" si="136"/>
        <v>|||1900|</v>
      </c>
      <c r="H4400" s="32" t="str">
        <f t="shared" si="137"/>
        <v>||1900|</v>
      </c>
      <c r="I4400" s="32">
        <f>IF(G4400="",0,IF(COUNTIF($G$2:G4400,G4400)=1,1,0))</f>
        <v>0</v>
      </c>
      <c r="J4400" s="32">
        <f>IF(H4400="",0,IF(COUNTIF($H$2:H4400,H4400)=1,1,0))</f>
        <v>0</v>
      </c>
    </row>
    <row r="4401" spans="1:10" ht="14.25" hidden="1" customHeight="1" x14ac:dyDescent="0.35">
      <c r="A4401" s="30"/>
      <c r="E4401" s="31"/>
      <c r="G4401" s="32" t="str">
        <f t="shared" si="136"/>
        <v>|||1900|</v>
      </c>
      <c r="H4401" s="32" t="str">
        <f t="shared" si="137"/>
        <v>||1900|</v>
      </c>
      <c r="I4401" s="32">
        <f>IF(G4401="",0,IF(COUNTIF($G$2:G4401,G4401)=1,1,0))</f>
        <v>0</v>
      </c>
      <c r="J4401" s="32">
        <f>IF(H4401="",0,IF(COUNTIF($H$2:H4401,H4401)=1,1,0))</f>
        <v>0</v>
      </c>
    </row>
    <row r="4402" spans="1:10" ht="14.25" hidden="1" customHeight="1" x14ac:dyDescent="0.35">
      <c r="A4402" s="30"/>
      <c r="E4402" s="31"/>
      <c r="G4402" s="32" t="str">
        <f t="shared" si="136"/>
        <v>|||1900|</v>
      </c>
      <c r="H4402" s="32" t="str">
        <f t="shared" si="137"/>
        <v>||1900|</v>
      </c>
      <c r="I4402" s="32">
        <f>IF(G4402="",0,IF(COUNTIF($G$2:G4402,G4402)=1,1,0))</f>
        <v>0</v>
      </c>
      <c r="J4402" s="32">
        <f>IF(H4402="",0,IF(COUNTIF($H$2:H4402,H4402)=1,1,0))</f>
        <v>0</v>
      </c>
    </row>
    <row r="4403" spans="1:10" ht="14.25" hidden="1" customHeight="1" x14ac:dyDescent="0.35">
      <c r="A4403" s="30"/>
      <c r="E4403" s="31"/>
      <c r="G4403" s="32" t="str">
        <f t="shared" si="136"/>
        <v>|||1900|</v>
      </c>
      <c r="H4403" s="32" t="str">
        <f t="shared" si="137"/>
        <v>||1900|</v>
      </c>
      <c r="I4403" s="32">
        <f>IF(G4403="",0,IF(COUNTIF($G$2:G4403,G4403)=1,1,0))</f>
        <v>0</v>
      </c>
      <c r="J4403" s="32">
        <f>IF(H4403="",0,IF(COUNTIF($H$2:H4403,H4403)=1,1,0))</f>
        <v>0</v>
      </c>
    </row>
    <row r="4404" spans="1:10" ht="14.25" hidden="1" customHeight="1" x14ac:dyDescent="0.35">
      <c r="A4404" s="30"/>
      <c r="E4404" s="31"/>
      <c r="G4404" s="32" t="str">
        <f t="shared" si="136"/>
        <v>|||1900|</v>
      </c>
      <c r="H4404" s="32" t="str">
        <f t="shared" si="137"/>
        <v>||1900|</v>
      </c>
      <c r="I4404" s="32">
        <f>IF(G4404="",0,IF(COUNTIF($G$2:G4404,G4404)=1,1,0))</f>
        <v>0</v>
      </c>
      <c r="J4404" s="32">
        <f>IF(H4404="",0,IF(COUNTIF($H$2:H4404,H4404)=1,1,0))</f>
        <v>0</v>
      </c>
    </row>
    <row r="4405" spans="1:10" ht="14.25" hidden="1" customHeight="1" x14ac:dyDescent="0.35">
      <c r="A4405" s="30"/>
      <c r="E4405" s="31"/>
      <c r="G4405" s="32" t="str">
        <f t="shared" si="136"/>
        <v>|||1900|</v>
      </c>
      <c r="H4405" s="32" t="str">
        <f t="shared" si="137"/>
        <v>||1900|</v>
      </c>
      <c r="I4405" s="32">
        <f>IF(G4405="",0,IF(COUNTIF($G$2:G4405,G4405)=1,1,0))</f>
        <v>0</v>
      </c>
      <c r="J4405" s="32">
        <f>IF(H4405="",0,IF(COUNTIF($H$2:H4405,H4405)=1,1,0))</f>
        <v>0</v>
      </c>
    </row>
    <row r="4406" spans="1:10" ht="14.25" hidden="1" customHeight="1" x14ac:dyDescent="0.35">
      <c r="A4406" s="30"/>
      <c r="E4406" s="31"/>
      <c r="G4406" s="32" t="str">
        <f t="shared" si="136"/>
        <v>|||1900|</v>
      </c>
      <c r="H4406" s="32" t="str">
        <f t="shared" si="137"/>
        <v>||1900|</v>
      </c>
      <c r="I4406" s="32">
        <f>IF(G4406="",0,IF(COUNTIF($G$2:G4406,G4406)=1,1,0))</f>
        <v>0</v>
      </c>
      <c r="J4406" s="32">
        <f>IF(H4406="",0,IF(COUNTIF($H$2:H4406,H4406)=1,1,0))</f>
        <v>0</v>
      </c>
    </row>
    <row r="4407" spans="1:10" ht="14.25" hidden="1" customHeight="1" x14ac:dyDescent="0.35">
      <c r="A4407" s="30"/>
      <c r="E4407" s="31"/>
      <c r="G4407" s="32" t="str">
        <f t="shared" si="136"/>
        <v>|||1900|</v>
      </c>
      <c r="H4407" s="32" t="str">
        <f t="shared" si="137"/>
        <v>||1900|</v>
      </c>
      <c r="I4407" s="32">
        <f>IF(G4407="",0,IF(COUNTIF($G$2:G4407,G4407)=1,1,0))</f>
        <v>0</v>
      </c>
      <c r="J4407" s="32">
        <f>IF(H4407="",0,IF(COUNTIF($H$2:H4407,H4407)=1,1,0))</f>
        <v>0</v>
      </c>
    </row>
    <row r="4408" spans="1:10" ht="14.25" hidden="1" customHeight="1" x14ac:dyDescent="0.35">
      <c r="A4408" s="30"/>
      <c r="E4408" s="31"/>
      <c r="G4408" s="32" t="str">
        <f t="shared" si="136"/>
        <v>|||1900|</v>
      </c>
      <c r="H4408" s="32" t="str">
        <f t="shared" si="137"/>
        <v>||1900|</v>
      </c>
      <c r="I4408" s="32">
        <f>IF(G4408="",0,IF(COUNTIF($G$2:G4408,G4408)=1,1,0))</f>
        <v>0</v>
      </c>
      <c r="J4408" s="32">
        <f>IF(H4408="",0,IF(COUNTIF($H$2:H4408,H4408)=1,1,0))</f>
        <v>0</v>
      </c>
    </row>
    <row r="4409" spans="1:10" ht="14.25" hidden="1" customHeight="1" x14ac:dyDescent="0.35">
      <c r="A4409" s="30"/>
      <c r="E4409" s="31"/>
      <c r="G4409" s="32" t="str">
        <f t="shared" si="136"/>
        <v>|||1900|</v>
      </c>
      <c r="H4409" s="32" t="str">
        <f t="shared" si="137"/>
        <v>||1900|</v>
      </c>
      <c r="I4409" s="32">
        <f>IF(G4409="",0,IF(COUNTIF($G$2:G4409,G4409)=1,1,0))</f>
        <v>0</v>
      </c>
      <c r="J4409" s="32">
        <f>IF(H4409="",0,IF(COUNTIF($H$2:H4409,H4409)=1,1,0))</f>
        <v>0</v>
      </c>
    </row>
    <row r="4410" spans="1:10" ht="14.25" hidden="1" customHeight="1" x14ac:dyDescent="0.35">
      <c r="A4410" s="30"/>
      <c r="E4410" s="31"/>
      <c r="G4410" s="32" t="str">
        <f t="shared" si="136"/>
        <v>|||1900|</v>
      </c>
      <c r="H4410" s="32" t="str">
        <f t="shared" si="137"/>
        <v>||1900|</v>
      </c>
      <c r="I4410" s="32">
        <f>IF(G4410="",0,IF(COUNTIF($G$2:G4410,G4410)=1,1,0))</f>
        <v>0</v>
      </c>
      <c r="J4410" s="32">
        <f>IF(H4410="",0,IF(COUNTIF($H$2:H4410,H4410)=1,1,0))</f>
        <v>0</v>
      </c>
    </row>
    <row r="4411" spans="1:10" ht="14.25" hidden="1" customHeight="1" x14ac:dyDescent="0.35">
      <c r="A4411" s="30"/>
      <c r="E4411" s="31"/>
      <c r="G4411" s="32" t="str">
        <f t="shared" si="136"/>
        <v>|||1900|</v>
      </c>
      <c r="H4411" s="32" t="str">
        <f t="shared" si="137"/>
        <v>||1900|</v>
      </c>
      <c r="I4411" s="32">
        <f>IF(G4411="",0,IF(COUNTIF($G$2:G4411,G4411)=1,1,0))</f>
        <v>0</v>
      </c>
      <c r="J4411" s="32">
        <f>IF(H4411="",0,IF(COUNTIF($H$2:H4411,H4411)=1,1,0))</f>
        <v>0</v>
      </c>
    </row>
    <row r="4412" spans="1:10" ht="14.25" hidden="1" customHeight="1" x14ac:dyDescent="0.35">
      <c r="A4412" s="30"/>
      <c r="E4412" s="31"/>
      <c r="G4412" s="32" t="str">
        <f t="shared" si="136"/>
        <v>|||1900|</v>
      </c>
      <c r="H4412" s="32" t="str">
        <f t="shared" si="137"/>
        <v>||1900|</v>
      </c>
      <c r="I4412" s="32">
        <f>IF(G4412="",0,IF(COUNTIF($G$2:G4412,G4412)=1,1,0))</f>
        <v>0</v>
      </c>
      <c r="J4412" s="32">
        <f>IF(H4412="",0,IF(COUNTIF($H$2:H4412,H4412)=1,1,0))</f>
        <v>0</v>
      </c>
    </row>
    <row r="4413" spans="1:10" ht="14.25" hidden="1" customHeight="1" x14ac:dyDescent="0.35">
      <c r="A4413" s="30"/>
      <c r="E4413" s="31"/>
      <c r="G4413" s="32" t="str">
        <f t="shared" si="136"/>
        <v>|||1900|</v>
      </c>
      <c r="H4413" s="32" t="str">
        <f t="shared" si="137"/>
        <v>||1900|</v>
      </c>
      <c r="I4413" s="32">
        <f>IF(G4413="",0,IF(COUNTIF($G$2:G4413,G4413)=1,1,0))</f>
        <v>0</v>
      </c>
      <c r="J4413" s="32">
        <f>IF(H4413="",0,IF(COUNTIF($H$2:H4413,H4413)=1,1,0))</f>
        <v>0</v>
      </c>
    </row>
    <row r="4414" spans="1:10" ht="14.25" hidden="1" customHeight="1" x14ac:dyDescent="0.35">
      <c r="A4414" s="30"/>
      <c r="E4414" s="31"/>
      <c r="G4414" s="32" t="str">
        <f t="shared" si="136"/>
        <v>|||1900|</v>
      </c>
      <c r="H4414" s="32" t="str">
        <f t="shared" si="137"/>
        <v>||1900|</v>
      </c>
      <c r="I4414" s="32">
        <f>IF(G4414="",0,IF(COUNTIF($G$2:G4414,G4414)=1,1,0))</f>
        <v>0</v>
      </c>
      <c r="J4414" s="32">
        <f>IF(H4414="",0,IF(COUNTIF($H$2:H4414,H4414)=1,1,0))</f>
        <v>0</v>
      </c>
    </row>
    <row r="4415" spans="1:10" ht="14.25" hidden="1" customHeight="1" x14ac:dyDescent="0.35">
      <c r="A4415" s="30"/>
      <c r="E4415" s="31"/>
      <c r="G4415" s="32" t="str">
        <f t="shared" si="136"/>
        <v>|||1900|</v>
      </c>
      <c r="H4415" s="32" t="str">
        <f t="shared" si="137"/>
        <v>||1900|</v>
      </c>
      <c r="I4415" s="32">
        <f>IF(G4415="",0,IF(COUNTIF($G$2:G4415,G4415)=1,1,0))</f>
        <v>0</v>
      </c>
      <c r="J4415" s="32">
        <f>IF(H4415="",0,IF(COUNTIF($H$2:H4415,H4415)=1,1,0))</f>
        <v>0</v>
      </c>
    </row>
    <row r="4416" spans="1:10" ht="14.25" hidden="1" customHeight="1" x14ac:dyDescent="0.35">
      <c r="A4416" s="30"/>
      <c r="E4416" s="31"/>
      <c r="G4416" s="32" t="str">
        <f t="shared" si="136"/>
        <v>|||1900|</v>
      </c>
      <c r="H4416" s="32" t="str">
        <f t="shared" si="137"/>
        <v>||1900|</v>
      </c>
      <c r="I4416" s="32">
        <f>IF(G4416="",0,IF(COUNTIF($G$2:G4416,G4416)=1,1,0))</f>
        <v>0</v>
      </c>
      <c r="J4416" s="32">
        <f>IF(H4416="",0,IF(COUNTIF($H$2:H4416,H4416)=1,1,0))</f>
        <v>0</v>
      </c>
    </row>
    <row r="4417" spans="1:10" ht="14.25" hidden="1" customHeight="1" x14ac:dyDescent="0.35">
      <c r="A4417" s="30"/>
      <c r="E4417" s="31"/>
      <c r="G4417" s="32" t="str">
        <f t="shared" si="136"/>
        <v>|||1900|</v>
      </c>
      <c r="H4417" s="32" t="str">
        <f t="shared" si="137"/>
        <v>||1900|</v>
      </c>
      <c r="I4417" s="32">
        <f>IF(G4417="",0,IF(COUNTIF($G$2:G4417,G4417)=1,1,0))</f>
        <v>0</v>
      </c>
      <c r="J4417" s="32">
        <f>IF(H4417="",0,IF(COUNTIF($H$2:H4417,H4417)=1,1,0))</f>
        <v>0</v>
      </c>
    </row>
    <row r="4418" spans="1:10" ht="14.25" hidden="1" customHeight="1" x14ac:dyDescent="0.35">
      <c r="A4418" s="30"/>
      <c r="E4418" s="31"/>
      <c r="G4418" s="32" t="str">
        <f t="shared" ref="G4418:G4481" si="138">IF(D4418="T",
E4418&amp;"|"&amp;F4418,
A4418&amp;"|"&amp;B4418&amp;"|"&amp;C4418&amp;"|"&amp;YEAR(E4418)&amp;"|"&amp;F4418)</f>
        <v>|||1900|</v>
      </c>
      <c r="H4418" s="32" t="str">
        <f t="shared" ref="H4418:H4481" si="139">A4418&amp;"|"&amp;C4418&amp;"|"&amp;YEAR(E4418)&amp;"|"&amp;F4418</f>
        <v>||1900|</v>
      </c>
      <c r="I4418" s="32">
        <f>IF(G4418="",0,IF(COUNTIF($G$2:G4418,G4418)=1,1,0))</f>
        <v>0</v>
      </c>
      <c r="J4418" s="32">
        <f>IF(H4418="",0,IF(COUNTIF($H$2:H4418,H4418)=1,1,0))</f>
        <v>0</v>
      </c>
    </row>
    <row r="4419" spans="1:10" ht="14.25" hidden="1" customHeight="1" x14ac:dyDescent="0.35">
      <c r="A4419" s="30"/>
      <c r="E4419" s="31"/>
      <c r="G4419" s="32" t="str">
        <f t="shared" si="138"/>
        <v>|||1900|</v>
      </c>
      <c r="H4419" s="32" t="str">
        <f t="shared" si="139"/>
        <v>||1900|</v>
      </c>
      <c r="I4419" s="32">
        <f>IF(G4419="",0,IF(COUNTIF($G$2:G4419,G4419)=1,1,0))</f>
        <v>0</v>
      </c>
      <c r="J4419" s="32">
        <f>IF(H4419="",0,IF(COUNTIF($H$2:H4419,H4419)=1,1,0))</f>
        <v>0</v>
      </c>
    </row>
    <row r="4420" spans="1:10" ht="14.25" hidden="1" customHeight="1" x14ac:dyDescent="0.35">
      <c r="A4420" s="30"/>
      <c r="E4420" s="31"/>
      <c r="G4420" s="32" t="str">
        <f t="shared" si="138"/>
        <v>|||1900|</v>
      </c>
      <c r="H4420" s="32" t="str">
        <f t="shared" si="139"/>
        <v>||1900|</v>
      </c>
      <c r="I4420" s="32">
        <f>IF(G4420="",0,IF(COUNTIF($G$2:G4420,G4420)=1,1,0))</f>
        <v>0</v>
      </c>
      <c r="J4420" s="32">
        <f>IF(H4420="",0,IF(COUNTIF($H$2:H4420,H4420)=1,1,0))</f>
        <v>0</v>
      </c>
    </row>
    <row r="4421" spans="1:10" ht="14.25" hidden="1" customHeight="1" x14ac:dyDescent="0.35">
      <c r="A4421" s="30"/>
      <c r="E4421" s="31"/>
      <c r="G4421" s="32" t="str">
        <f t="shared" si="138"/>
        <v>|||1900|</v>
      </c>
      <c r="H4421" s="32" t="str">
        <f t="shared" si="139"/>
        <v>||1900|</v>
      </c>
      <c r="I4421" s="32">
        <f>IF(G4421="",0,IF(COUNTIF($G$2:G4421,G4421)=1,1,0))</f>
        <v>0</v>
      </c>
      <c r="J4421" s="32">
        <f>IF(H4421="",0,IF(COUNTIF($H$2:H4421,H4421)=1,1,0))</f>
        <v>0</v>
      </c>
    </row>
    <row r="4422" spans="1:10" ht="14.25" hidden="1" customHeight="1" x14ac:dyDescent="0.35">
      <c r="A4422" s="30"/>
      <c r="E4422" s="31"/>
      <c r="G4422" s="32" t="str">
        <f t="shared" si="138"/>
        <v>|||1900|</v>
      </c>
      <c r="H4422" s="32" t="str">
        <f t="shared" si="139"/>
        <v>||1900|</v>
      </c>
      <c r="I4422" s="32">
        <f>IF(G4422="",0,IF(COUNTIF($G$2:G4422,G4422)=1,1,0))</f>
        <v>0</v>
      </c>
      <c r="J4422" s="32">
        <f>IF(H4422="",0,IF(COUNTIF($H$2:H4422,H4422)=1,1,0))</f>
        <v>0</v>
      </c>
    </row>
    <row r="4423" spans="1:10" ht="14.25" hidden="1" customHeight="1" x14ac:dyDescent="0.35">
      <c r="A4423" s="30"/>
      <c r="E4423" s="31"/>
      <c r="G4423" s="32" t="str">
        <f t="shared" si="138"/>
        <v>|||1900|</v>
      </c>
      <c r="H4423" s="32" t="str">
        <f t="shared" si="139"/>
        <v>||1900|</v>
      </c>
      <c r="I4423" s="32">
        <f>IF(G4423="",0,IF(COUNTIF($G$2:G4423,G4423)=1,1,0))</f>
        <v>0</v>
      </c>
      <c r="J4423" s="32">
        <f>IF(H4423="",0,IF(COUNTIF($H$2:H4423,H4423)=1,1,0))</f>
        <v>0</v>
      </c>
    </row>
    <row r="4424" spans="1:10" ht="14.25" hidden="1" customHeight="1" x14ac:dyDescent="0.35">
      <c r="A4424" s="30"/>
      <c r="E4424" s="31"/>
      <c r="G4424" s="32" t="str">
        <f t="shared" si="138"/>
        <v>|||1900|</v>
      </c>
      <c r="H4424" s="32" t="str">
        <f t="shared" si="139"/>
        <v>||1900|</v>
      </c>
      <c r="I4424" s="32">
        <f>IF(G4424="",0,IF(COUNTIF($G$2:G4424,G4424)=1,1,0))</f>
        <v>0</v>
      </c>
      <c r="J4424" s="32">
        <f>IF(H4424="",0,IF(COUNTIF($H$2:H4424,H4424)=1,1,0))</f>
        <v>0</v>
      </c>
    </row>
    <row r="4425" spans="1:10" ht="14.25" hidden="1" customHeight="1" x14ac:dyDescent="0.35">
      <c r="A4425" s="30"/>
      <c r="E4425" s="31"/>
      <c r="G4425" s="32" t="str">
        <f t="shared" si="138"/>
        <v>|||1900|</v>
      </c>
      <c r="H4425" s="32" t="str">
        <f t="shared" si="139"/>
        <v>||1900|</v>
      </c>
      <c r="I4425" s="32">
        <f>IF(G4425="",0,IF(COUNTIF($G$2:G4425,G4425)=1,1,0))</f>
        <v>0</v>
      </c>
      <c r="J4425" s="32">
        <f>IF(H4425="",0,IF(COUNTIF($H$2:H4425,H4425)=1,1,0))</f>
        <v>0</v>
      </c>
    </row>
    <row r="4426" spans="1:10" ht="14.25" hidden="1" customHeight="1" x14ac:dyDescent="0.35">
      <c r="A4426" s="30"/>
      <c r="E4426" s="31"/>
      <c r="G4426" s="32" t="str">
        <f t="shared" si="138"/>
        <v>|||1900|</v>
      </c>
      <c r="H4426" s="32" t="str">
        <f t="shared" si="139"/>
        <v>||1900|</v>
      </c>
      <c r="I4426" s="32">
        <f>IF(G4426="",0,IF(COUNTIF($G$2:G4426,G4426)=1,1,0))</f>
        <v>0</v>
      </c>
      <c r="J4426" s="32">
        <f>IF(H4426="",0,IF(COUNTIF($H$2:H4426,H4426)=1,1,0))</f>
        <v>0</v>
      </c>
    </row>
    <row r="4427" spans="1:10" ht="14.25" hidden="1" customHeight="1" x14ac:dyDescent="0.35">
      <c r="A4427" s="30"/>
      <c r="E4427" s="31"/>
      <c r="G4427" s="32" t="str">
        <f t="shared" si="138"/>
        <v>|||1900|</v>
      </c>
      <c r="H4427" s="32" t="str">
        <f t="shared" si="139"/>
        <v>||1900|</v>
      </c>
      <c r="I4427" s="32">
        <f>IF(G4427="",0,IF(COUNTIF($G$2:G4427,G4427)=1,1,0))</f>
        <v>0</v>
      </c>
      <c r="J4427" s="32">
        <f>IF(H4427="",0,IF(COUNTIF($H$2:H4427,H4427)=1,1,0))</f>
        <v>0</v>
      </c>
    </row>
    <row r="4428" spans="1:10" ht="14.25" hidden="1" customHeight="1" x14ac:dyDescent="0.35">
      <c r="A4428" s="30"/>
      <c r="E4428" s="31"/>
      <c r="G4428" s="32" t="str">
        <f t="shared" si="138"/>
        <v>|||1900|</v>
      </c>
      <c r="H4428" s="32" t="str">
        <f t="shared" si="139"/>
        <v>||1900|</v>
      </c>
      <c r="I4428" s="32">
        <f>IF(G4428="",0,IF(COUNTIF($G$2:G4428,G4428)=1,1,0))</f>
        <v>0</v>
      </c>
      <c r="J4428" s="32">
        <f>IF(H4428="",0,IF(COUNTIF($H$2:H4428,H4428)=1,1,0))</f>
        <v>0</v>
      </c>
    </row>
    <row r="4429" spans="1:10" ht="14.25" hidden="1" customHeight="1" x14ac:dyDescent="0.35">
      <c r="A4429" s="30"/>
      <c r="E4429" s="31"/>
      <c r="G4429" s="32" t="str">
        <f t="shared" si="138"/>
        <v>|||1900|</v>
      </c>
      <c r="H4429" s="32" t="str">
        <f t="shared" si="139"/>
        <v>||1900|</v>
      </c>
      <c r="I4429" s="32">
        <f>IF(G4429="",0,IF(COUNTIF($G$2:G4429,G4429)=1,1,0))</f>
        <v>0</v>
      </c>
      <c r="J4429" s="32">
        <f>IF(H4429="",0,IF(COUNTIF($H$2:H4429,H4429)=1,1,0))</f>
        <v>0</v>
      </c>
    </row>
    <row r="4430" spans="1:10" ht="14.25" hidden="1" customHeight="1" x14ac:dyDescent="0.35">
      <c r="A4430" s="30"/>
      <c r="E4430" s="31"/>
      <c r="G4430" s="32" t="str">
        <f t="shared" si="138"/>
        <v>|||1900|</v>
      </c>
      <c r="H4430" s="32" t="str">
        <f t="shared" si="139"/>
        <v>||1900|</v>
      </c>
      <c r="I4430" s="32">
        <f>IF(G4430="",0,IF(COUNTIF($G$2:G4430,G4430)=1,1,0))</f>
        <v>0</v>
      </c>
      <c r="J4430" s="32">
        <f>IF(H4430="",0,IF(COUNTIF($H$2:H4430,H4430)=1,1,0))</f>
        <v>0</v>
      </c>
    </row>
    <row r="4431" spans="1:10" ht="14.25" hidden="1" customHeight="1" x14ac:dyDescent="0.35">
      <c r="A4431" s="30"/>
      <c r="E4431" s="31"/>
      <c r="G4431" s="32" t="str">
        <f t="shared" si="138"/>
        <v>|||1900|</v>
      </c>
      <c r="H4431" s="32" t="str">
        <f t="shared" si="139"/>
        <v>||1900|</v>
      </c>
      <c r="I4431" s="32">
        <f>IF(G4431="",0,IF(COUNTIF($G$2:G4431,G4431)=1,1,0))</f>
        <v>0</v>
      </c>
      <c r="J4431" s="32">
        <f>IF(H4431="",0,IF(COUNTIF($H$2:H4431,H4431)=1,1,0))</f>
        <v>0</v>
      </c>
    </row>
    <row r="4432" spans="1:10" ht="14.25" hidden="1" customHeight="1" x14ac:dyDescent="0.35">
      <c r="A4432" s="30"/>
      <c r="E4432" s="31"/>
      <c r="G4432" s="32" t="str">
        <f t="shared" si="138"/>
        <v>|||1900|</v>
      </c>
      <c r="H4432" s="32" t="str">
        <f t="shared" si="139"/>
        <v>||1900|</v>
      </c>
      <c r="I4432" s="32">
        <f>IF(G4432="",0,IF(COUNTIF($G$2:G4432,G4432)=1,1,0))</f>
        <v>0</v>
      </c>
      <c r="J4432" s="32">
        <f>IF(H4432="",0,IF(COUNTIF($H$2:H4432,H4432)=1,1,0))</f>
        <v>0</v>
      </c>
    </row>
    <row r="4433" spans="1:10" ht="14.25" hidden="1" customHeight="1" x14ac:dyDescent="0.35">
      <c r="A4433" s="30"/>
      <c r="E4433" s="31"/>
      <c r="G4433" s="32" t="str">
        <f t="shared" si="138"/>
        <v>|||1900|</v>
      </c>
      <c r="H4433" s="32" t="str">
        <f t="shared" si="139"/>
        <v>||1900|</v>
      </c>
      <c r="I4433" s="32">
        <f>IF(G4433="",0,IF(COUNTIF($G$2:G4433,G4433)=1,1,0))</f>
        <v>0</v>
      </c>
      <c r="J4433" s="32">
        <f>IF(H4433="",0,IF(COUNTIF($H$2:H4433,H4433)=1,1,0))</f>
        <v>0</v>
      </c>
    </row>
    <row r="4434" spans="1:10" ht="14.25" hidden="1" customHeight="1" x14ac:dyDescent="0.35">
      <c r="A4434" s="30"/>
      <c r="E4434" s="31"/>
      <c r="G4434" s="32" t="str">
        <f t="shared" si="138"/>
        <v>|||1900|</v>
      </c>
      <c r="H4434" s="32" t="str">
        <f t="shared" si="139"/>
        <v>||1900|</v>
      </c>
      <c r="I4434" s="32">
        <f>IF(G4434="",0,IF(COUNTIF($G$2:G4434,G4434)=1,1,0))</f>
        <v>0</v>
      </c>
      <c r="J4434" s="32">
        <f>IF(H4434="",0,IF(COUNTIF($H$2:H4434,H4434)=1,1,0))</f>
        <v>0</v>
      </c>
    </row>
    <row r="4435" spans="1:10" ht="14.25" hidden="1" customHeight="1" x14ac:dyDescent="0.35">
      <c r="A4435" s="30"/>
      <c r="E4435" s="31"/>
      <c r="G4435" s="32" t="str">
        <f t="shared" si="138"/>
        <v>|||1900|</v>
      </c>
      <c r="H4435" s="32" t="str">
        <f t="shared" si="139"/>
        <v>||1900|</v>
      </c>
      <c r="I4435" s="32">
        <f>IF(G4435="",0,IF(COUNTIF($G$2:G4435,G4435)=1,1,0))</f>
        <v>0</v>
      </c>
      <c r="J4435" s="32">
        <f>IF(H4435="",0,IF(COUNTIF($H$2:H4435,H4435)=1,1,0))</f>
        <v>0</v>
      </c>
    </row>
    <row r="4436" spans="1:10" ht="14.25" hidden="1" customHeight="1" x14ac:dyDescent="0.35">
      <c r="A4436" s="30"/>
      <c r="E4436" s="31"/>
      <c r="G4436" s="32" t="str">
        <f t="shared" si="138"/>
        <v>|||1900|</v>
      </c>
      <c r="H4436" s="32" t="str">
        <f t="shared" si="139"/>
        <v>||1900|</v>
      </c>
      <c r="I4436" s="32">
        <f>IF(G4436="",0,IF(COUNTIF($G$2:G4436,G4436)=1,1,0))</f>
        <v>0</v>
      </c>
      <c r="J4436" s="32">
        <f>IF(H4436="",0,IF(COUNTIF($H$2:H4436,H4436)=1,1,0))</f>
        <v>0</v>
      </c>
    </row>
    <row r="4437" spans="1:10" ht="14.25" hidden="1" customHeight="1" x14ac:dyDescent="0.35">
      <c r="A4437" s="30"/>
      <c r="E4437" s="31"/>
      <c r="G4437" s="32" t="str">
        <f t="shared" si="138"/>
        <v>|||1900|</v>
      </c>
      <c r="H4437" s="32" t="str">
        <f t="shared" si="139"/>
        <v>||1900|</v>
      </c>
      <c r="I4437" s="32">
        <f>IF(G4437="",0,IF(COUNTIF($G$2:G4437,G4437)=1,1,0))</f>
        <v>0</v>
      </c>
      <c r="J4437" s="32">
        <f>IF(H4437="",0,IF(COUNTIF($H$2:H4437,H4437)=1,1,0))</f>
        <v>0</v>
      </c>
    </row>
    <row r="4438" spans="1:10" ht="14.25" hidden="1" customHeight="1" x14ac:dyDescent="0.35">
      <c r="A4438" s="30"/>
      <c r="E4438" s="31"/>
      <c r="G4438" s="32" t="str">
        <f t="shared" si="138"/>
        <v>|||1900|</v>
      </c>
      <c r="H4438" s="32" t="str">
        <f t="shared" si="139"/>
        <v>||1900|</v>
      </c>
      <c r="I4438" s="32">
        <f>IF(G4438="",0,IF(COUNTIF($G$2:G4438,G4438)=1,1,0))</f>
        <v>0</v>
      </c>
      <c r="J4438" s="32">
        <f>IF(H4438="",0,IF(COUNTIF($H$2:H4438,H4438)=1,1,0))</f>
        <v>0</v>
      </c>
    </row>
    <row r="4439" spans="1:10" ht="14.25" hidden="1" customHeight="1" x14ac:dyDescent="0.35">
      <c r="A4439" s="30"/>
      <c r="E4439" s="31"/>
      <c r="G4439" s="32" t="str">
        <f t="shared" si="138"/>
        <v>|||1900|</v>
      </c>
      <c r="H4439" s="32" t="str">
        <f t="shared" si="139"/>
        <v>||1900|</v>
      </c>
      <c r="I4439" s="32">
        <f>IF(G4439="",0,IF(COUNTIF($G$2:G4439,G4439)=1,1,0))</f>
        <v>0</v>
      </c>
      <c r="J4439" s="32">
        <f>IF(H4439="",0,IF(COUNTIF($H$2:H4439,H4439)=1,1,0))</f>
        <v>0</v>
      </c>
    </row>
    <row r="4440" spans="1:10" ht="14.25" hidden="1" customHeight="1" x14ac:dyDescent="0.35">
      <c r="A4440" s="30"/>
      <c r="E4440" s="31"/>
      <c r="G4440" s="32" t="str">
        <f t="shared" si="138"/>
        <v>|||1900|</v>
      </c>
      <c r="H4440" s="32" t="str">
        <f t="shared" si="139"/>
        <v>||1900|</v>
      </c>
      <c r="I4440" s="32">
        <f>IF(G4440="",0,IF(COUNTIF($G$2:G4440,G4440)=1,1,0))</f>
        <v>0</v>
      </c>
      <c r="J4440" s="32">
        <f>IF(H4440="",0,IF(COUNTIF($H$2:H4440,H4440)=1,1,0))</f>
        <v>0</v>
      </c>
    </row>
    <row r="4441" spans="1:10" ht="14.25" hidden="1" customHeight="1" x14ac:dyDescent="0.35">
      <c r="A4441" s="30"/>
      <c r="E4441" s="31"/>
      <c r="G4441" s="32" t="str">
        <f t="shared" si="138"/>
        <v>|||1900|</v>
      </c>
      <c r="H4441" s="32" t="str">
        <f t="shared" si="139"/>
        <v>||1900|</v>
      </c>
      <c r="I4441" s="32">
        <f>IF(G4441="",0,IF(COUNTIF($G$2:G4441,G4441)=1,1,0))</f>
        <v>0</v>
      </c>
      <c r="J4441" s="32">
        <f>IF(H4441="",0,IF(COUNTIF($H$2:H4441,H4441)=1,1,0))</f>
        <v>0</v>
      </c>
    </row>
    <row r="4442" spans="1:10" ht="14.25" hidden="1" customHeight="1" x14ac:dyDescent="0.35">
      <c r="A4442" s="30"/>
      <c r="E4442" s="31"/>
      <c r="G4442" s="32" t="str">
        <f t="shared" si="138"/>
        <v>|||1900|</v>
      </c>
      <c r="H4442" s="32" t="str">
        <f t="shared" si="139"/>
        <v>||1900|</v>
      </c>
      <c r="I4442" s="32">
        <f>IF(G4442="",0,IF(COUNTIF($G$2:G4442,G4442)=1,1,0))</f>
        <v>0</v>
      </c>
      <c r="J4442" s="32">
        <f>IF(H4442="",0,IF(COUNTIF($H$2:H4442,H4442)=1,1,0))</f>
        <v>0</v>
      </c>
    </row>
    <row r="4443" spans="1:10" ht="14.25" hidden="1" customHeight="1" x14ac:dyDescent="0.35">
      <c r="A4443" s="30"/>
      <c r="E4443" s="31"/>
      <c r="G4443" s="32" t="str">
        <f t="shared" si="138"/>
        <v>|||1900|</v>
      </c>
      <c r="H4443" s="32" t="str">
        <f t="shared" si="139"/>
        <v>||1900|</v>
      </c>
      <c r="I4443" s="32">
        <f>IF(G4443="",0,IF(COUNTIF($G$2:G4443,G4443)=1,1,0))</f>
        <v>0</v>
      </c>
      <c r="J4443" s="32">
        <f>IF(H4443="",0,IF(COUNTIF($H$2:H4443,H4443)=1,1,0))</f>
        <v>0</v>
      </c>
    </row>
    <row r="4444" spans="1:10" ht="14.25" hidden="1" customHeight="1" x14ac:dyDescent="0.35">
      <c r="A4444" s="30"/>
      <c r="E4444" s="31"/>
      <c r="G4444" s="32" t="str">
        <f t="shared" si="138"/>
        <v>|||1900|</v>
      </c>
      <c r="H4444" s="32" t="str">
        <f t="shared" si="139"/>
        <v>||1900|</v>
      </c>
      <c r="I4444" s="32">
        <f>IF(G4444="",0,IF(COUNTIF($G$2:G4444,G4444)=1,1,0))</f>
        <v>0</v>
      </c>
      <c r="J4444" s="32">
        <f>IF(H4444="",0,IF(COUNTIF($H$2:H4444,H4444)=1,1,0))</f>
        <v>0</v>
      </c>
    </row>
    <row r="4445" spans="1:10" ht="14.25" hidden="1" customHeight="1" x14ac:dyDescent="0.35">
      <c r="A4445" s="30"/>
      <c r="E4445" s="31"/>
      <c r="G4445" s="32" t="str">
        <f t="shared" si="138"/>
        <v>|||1900|</v>
      </c>
      <c r="H4445" s="32" t="str">
        <f t="shared" si="139"/>
        <v>||1900|</v>
      </c>
      <c r="I4445" s="32">
        <f>IF(G4445="",0,IF(COUNTIF($G$2:G4445,G4445)=1,1,0))</f>
        <v>0</v>
      </c>
      <c r="J4445" s="32">
        <f>IF(H4445="",0,IF(COUNTIF($H$2:H4445,H4445)=1,1,0))</f>
        <v>0</v>
      </c>
    </row>
    <row r="4446" spans="1:10" ht="14.25" hidden="1" customHeight="1" x14ac:dyDescent="0.35">
      <c r="A4446" s="30"/>
      <c r="E4446" s="31"/>
      <c r="G4446" s="32" t="str">
        <f t="shared" si="138"/>
        <v>|||1900|</v>
      </c>
      <c r="H4446" s="32" t="str">
        <f t="shared" si="139"/>
        <v>||1900|</v>
      </c>
      <c r="I4446" s="32">
        <f>IF(G4446="",0,IF(COUNTIF($G$2:G4446,G4446)=1,1,0))</f>
        <v>0</v>
      </c>
      <c r="J4446" s="32">
        <f>IF(H4446="",0,IF(COUNTIF($H$2:H4446,H4446)=1,1,0))</f>
        <v>0</v>
      </c>
    </row>
    <row r="4447" spans="1:10" ht="14.25" hidden="1" customHeight="1" x14ac:dyDescent="0.35">
      <c r="A4447" s="30"/>
      <c r="E4447" s="31"/>
      <c r="G4447" s="32" t="str">
        <f t="shared" si="138"/>
        <v>|||1900|</v>
      </c>
      <c r="H4447" s="32" t="str">
        <f t="shared" si="139"/>
        <v>||1900|</v>
      </c>
      <c r="I4447" s="32">
        <f>IF(G4447="",0,IF(COUNTIF($G$2:G4447,G4447)=1,1,0))</f>
        <v>0</v>
      </c>
      <c r="J4447" s="32">
        <f>IF(H4447="",0,IF(COUNTIF($H$2:H4447,H4447)=1,1,0))</f>
        <v>0</v>
      </c>
    </row>
    <row r="4448" spans="1:10" ht="14.25" hidden="1" customHeight="1" x14ac:dyDescent="0.35">
      <c r="A4448" s="30"/>
      <c r="E4448" s="31"/>
      <c r="G4448" s="32" t="str">
        <f t="shared" si="138"/>
        <v>|||1900|</v>
      </c>
      <c r="H4448" s="32" t="str">
        <f t="shared" si="139"/>
        <v>||1900|</v>
      </c>
      <c r="I4448" s="32">
        <f>IF(G4448="",0,IF(COUNTIF($G$2:G4448,G4448)=1,1,0))</f>
        <v>0</v>
      </c>
      <c r="J4448" s="32">
        <f>IF(H4448="",0,IF(COUNTIF($H$2:H4448,H4448)=1,1,0))</f>
        <v>0</v>
      </c>
    </row>
    <row r="4449" spans="1:10" ht="14.25" hidden="1" customHeight="1" x14ac:dyDescent="0.35">
      <c r="A4449" s="30"/>
      <c r="E4449" s="31"/>
      <c r="G4449" s="32" t="str">
        <f t="shared" si="138"/>
        <v>|||1900|</v>
      </c>
      <c r="H4449" s="32" t="str">
        <f t="shared" si="139"/>
        <v>||1900|</v>
      </c>
      <c r="I4449" s="32">
        <f>IF(G4449="",0,IF(COUNTIF($G$2:G4449,G4449)=1,1,0))</f>
        <v>0</v>
      </c>
      <c r="J4449" s="32">
        <f>IF(H4449="",0,IF(COUNTIF($H$2:H4449,H4449)=1,1,0))</f>
        <v>0</v>
      </c>
    </row>
    <row r="4450" spans="1:10" ht="14.25" hidden="1" customHeight="1" x14ac:dyDescent="0.35">
      <c r="A4450" s="30"/>
      <c r="E4450" s="31"/>
      <c r="G4450" s="32" t="str">
        <f t="shared" si="138"/>
        <v>|||1900|</v>
      </c>
      <c r="H4450" s="32" t="str">
        <f t="shared" si="139"/>
        <v>||1900|</v>
      </c>
      <c r="I4450" s="32">
        <f>IF(G4450="",0,IF(COUNTIF($G$2:G4450,G4450)=1,1,0))</f>
        <v>0</v>
      </c>
      <c r="J4450" s="32">
        <f>IF(H4450="",0,IF(COUNTIF($H$2:H4450,H4450)=1,1,0))</f>
        <v>0</v>
      </c>
    </row>
    <row r="4451" spans="1:10" ht="14.25" hidden="1" customHeight="1" x14ac:dyDescent="0.35">
      <c r="A4451" s="30"/>
      <c r="E4451" s="31"/>
      <c r="G4451" s="32" t="str">
        <f t="shared" si="138"/>
        <v>|||1900|</v>
      </c>
      <c r="H4451" s="32" t="str">
        <f t="shared" si="139"/>
        <v>||1900|</v>
      </c>
      <c r="I4451" s="32">
        <f>IF(G4451="",0,IF(COUNTIF($G$2:G4451,G4451)=1,1,0))</f>
        <v>0</v>
      </c>
      <c r="J4451" s="32">
        <f>IF(H4451="",0,IF(COUNTIF($H$2:H4451,H4451)=1,1,0))</f>
        <v>0</v>
      </c>
    </row>
    <row r="4452" spans="1:10" ht="14.25" hidden="1" customHeight="1" x14ac:dyDescent="0.35">
      <c r="A4452" s="30"/>
      <c r="E4452" s="31"/>
      <c r="G4452" s="32" t="str">
        <f t="shared" si="138"/>
        <v>|||1900|</v>
      </c>
      <c r="H4452" s="32" t="str">
        <f t="shared" si="139"/>
        <v>||1900|</v>
      </c>
      <c r="I4452" s="32">
        <f>IF(G4452="",0,IF(COUNTIF($G$2:G4452,G4452)=1,1,0))</f>
        <v>0</v>
      </c>
      <c r="J4452" s="32">
        <f>IF(H4452="",0,IF(COUNTIF($H$2:H4452,H4452)=1,1,0))</f>
        <v>0</v>
      </c>
    </row>
    <row r="4453" spans="1:10" ht="14.25" hidden="1" customHeight="1" x14ac:dyDescent="0.35">
      <c r="A4453" s="30"/>
      <c r="E4453" s="31"/>
      <c r="G4453" s="32" t="str">
        <f t="shared" si="138"/>
        <v>|||1900|</v>
      </c>
      <c r="H4453" s="32" t="str">
        <f t="shared" si="139"/>
        <v>||1900|</v>
      </c>
      <c r="I4453" s="32">
        <f>IF(G4453="",0,IF(COUNTIF($G$2:G4453,G4453)=1,1,0))</f>
        <v>0</v>
      </c>
      <c r="J4453" s="32">
        <f>IF(H4453="",0,IF(COUNTIF($H$2:H4453,H4453)=1,1,0))</f>
        <v>0</v>
      </c>
    </row>
    <row r="4454" spans="1:10" ht="14.25" hidden="1" customHeight="1" x14ac:dyDescent="0.35">
      <c r="A4454" s="30"/>
      <c r="E4454" s="31"/>
      <c r="G4454" s="32" t="str">
        <f t="shared" si="138"/>
        <v>|||1900|</v>
      </c>
      <c r="H4454" s="32" t="str">
        <f t="shared" si="139"/>
        <v>||1900|</v>
      </c>
      <c r="I4454" s="32">
        <f>IF(G4454="",0,IF(COUNTIF($G$2:G4454,G4454)=1,1,0))</f>
        <v>0</v>
      </c>
      <c r="J4454" s="32">
        <f>IF(H4454="",0,IF(COUNTIF($H$2:H4454,H4454)=1,1,0))</f>
        <v>0</v>
      </c>
    </row>
    <row r="4455" spans="1:10" ht="14.25" hidden="1" customHeight="1" x14ac:dyDescent="0.35">
      <c r="A4455" s="30"/>
      <c r="E4455" s="31"/>
      <c r="G4455" s="32" t="str">
        <f t="shared" si="138"/>
        <v>|||1900|</v>
      </c>
      <c r="H4455" s="32" t="str">
        <f t="shared" si="139"/>
        <v>||1900|</v>
      </c>
      <c r="I4455" s="32">
        <f>IF(G4455="",0,IF(COUNTIF($G$2:G4455,G4455)=1,1,0))</f>
        <v>0</v>
      </c>
      <c r="J4455" s="32">
        <f>IF(H4455="",0,IF(COUNTIF($H$2:H4455,H4455)=1,1,0))</f>
        <v>0</v>
      </c>
    </row>
    <row r="4456" spans="1:10" ht="14.25" hidden="1" customHeight="1" x14ac:dyDescent="0.35">
      <c r="A4456" s="30"/>
      <c r="E4456" s="31"/>
      <c r="G4456" s="32" t="str">
        <f t="shared" si="138"/>
        <v>|||1900|</v>
      </c>
      <c r="H4456" s="32" t="str">
        <f t="shared" si="139"/>
        <v>||1900|</v>
      </c>
      <c r="I4456" s="32">
        <f>IF(G4456="",0,IF(COUNTIF($G$2:G4456,G4456)=1,1,0))</f>
        <v>0</v>
      </c>
      <c r="J4456" s="32">
        <f>IF(H4456="",0,IF(COUNTIF($H$2:H4456,H4456)=1,1,0))</f>
        <v>0</v>
      </c>
    </row>
    <row r="4457" spans="1:10" ht="14.25" hidden="1" customHeight="1" x14ac:dyDescent="0.35">
      <c r="A4457" s="30"/>
      <c r="E4457" s="31"/>
      <c r="G4457" s="32" t="str">
        <f t="shared" si="138"/>
        <v>|||1900|</v>
      </c>
      <c r="H4457" s="32" t="str">
        <f t="shared" si="139"/>
        <v>||1900|</v>
      </c>
      <c r="I4457" s="32">
        <f>IF(G4457="",0,IF(COUNTIF($G$2:G4457,G4457)=1,1,0))</f>
        <v>0</v>
      </c>
      <c r="J4457" s="32">
        <f>IF(H4457="",0,IF(COUNTIF($H$2:H4457,H4457)=1,1,0))</f>
        <v>0</v>
      </c>
    </row>
    <row r="4458" spans="1:10" ht="14.25" hidden="1" customHeight="1" x14ac:dyDescent="0.35">
      <c r="A4458" s="30"/>
      <c r="E4458" s="31"/>
      <c r="G4458" s="32" t="str">
        <f t="shared" si="138"/>
        <v>|||1900|</v>
      </c>
      <c r="H4458" s="32" t="str">
        <f t="shared" si="139"/>
        <v>||1900|</v>
      </c>
      <c r="I4458" s="32">
        <f>IF(G4458="",0,IF(COUNTIF($G$2:G4458,G4458)=1,1,0))</f>
        <v>0</v>
      </c>
      <c r="J4458" s="32">
        <f>IF(H4458="",0,IF(COUNTIF($H$2:H4458,H4458)=1,1,0))</f>
        <v>0</v>
      </c>
    </row>
    <row r="4459" spans="1:10" ht="14.25" hidden="1" customHeight="1" x14ac:dyDescent="0.35">
      <c r="A4459" s="30"/>
      <c r="E4459" s="31"/>
      <c r="G4459" s="32" t="str">
        <f t="shared" si="138"/>
        <v>|||1900|</v>
      </c>
      <c r="H4459" s="32" t="str">
        <f t="shared" si="139"/>
        <v>||1900|</v>
      </c>
      <c r="I4459" s="32">
        <f>IF(G4459="",0,IF(COUNTIF($G$2:G4459,G4459)=1,1,0))</f>
        <v>0</v>
      </c>
      <c r="J4459" s="32">
        <f>IF(H4459="",0,IF(COUNTIF($H$2:H4459,H4459)=1,1,0))</f>
        <v>0</v>
      </c>
    </row>
    <row r="4460" spans="1:10" ht="14.25" hidden="1" customHeight="1" x14ac:dyDescent="0.35">
      <c r="A4460" s="30"/>
      <c r="E4460" s="31"/>
      <c r="G4460" s="32" t="str">
        <f t="shared" si="138"/>
        <v>|||1900|</v>
      </c>
      <c r="H4460" s="32" t="str">
        <f t="shared" si="139"/>
        <v>||1900|</v>
      </c>
      <c r="I4460" s="32">
        <f>IF(G4460="",0,IF(COUNTIF($G$2:G4460,G4460)=1,1,0))</f>
        <v>0</v>
      </c>
      <c r="J4460" s="32">
        <f>IF(H4460="",0,IF(COUNTIF($H$2:H4460,H4460)=1,1,0))</f>
        <v>0</v>
      </c>
    </row>
    <row r="4461" spans="1:10" ht="14.25" hidden="1" customHeight="1" x14ac:dyDescent="0.35">
      <c r="A4461" s="30"/>
      <c r="E4461" s="31"/>
      <c r="G4461" s="32" t="str">
        <f t="shared" si="138"/>
        <v>|||1900|</v>
      </c>
      <c r="H4461" s="32" t="str">
        <f t="shared" si="139"/>
        <v>||1900|</v>
      </c>
      <c r="I4461" s="32">
        <f>IF(G4461="",0,IF(COUNTIF($G$2:G4461,G4461)=1,1,0))</f>
        <v>0</v>
      </c>
      <c r="J4461" s="32">
        <f>IF(H4461="",0,IF(COUNTIF($H$2:H4461,H4461)=1,1,0))</f>
        <v>0</v>
      </c>
    </row>
    <row r="4462" spans="1:10" ht="14.25" hidden="1" customHeight="1" x14ac:dyDescent="0.35">
      <c r="A4462" s="30"/>
      <c r="E4462" s="31"/>
      <c r="G4462" s="32" t="str">
        <f t="shared" si="138"/>
        <v>|||1900|</v>
      </c>
      <c r="H4462" s="32" t="str">
        <f t="shared" si="139"/>
        <v>||1900|</v>
      </c>
      <c r="I4462" s="32">
        <f>IF(G4462="",0,IF(COUNTIF($G$2:G4462,G4462)=1,1,0))</f>
        <v>0</v>
      </c>
      <c r="J4462" s="32">
        <f>IF(H4462="",0,IF(COUNTIF($H$2:H4462,H4462)=1,1,0))</f>
        <v>0</v>
      </c>
    </row>
    <row r="4463" spans="1:10" ht="14.25" hidden="1" customHeight="1" x14ac:dyDescent="0.35">
      <c r="A4463" s="30"/>
      <c r="E4463" s="31"/>
      <c r="G4463" s="32" t="str">
        <f t="shared" si="138"/>
        <v>|||1900|</v>
      </c>
      <c r="H4463" s="32" t="str">
        <f t="shared" si="139"/>
        <v>||1900|</v>
      </c>
      <c r="I4463" s="32">
        <f>IF(G4463="",0,IF(COUNTIF($G$2:G4463,G4463)=1,1,0))</f>
        <v>0</v>
      </c>
      <c r="J4463" s="32">
        <f>IF(H4463="",0,IF(COUNTIF($H$2:H4463,H4463)=1,1,0))</f>
        <v>0</v>
      </c>
    </row>
    <row r="4464" spans="1:10" ht="14.25" hidden="1" customHeight="1" x14ac:dyDescent="0.35">
      <c r="A4464" s="30"/>
      <c r="E4464" s="31"/>
      <c r="G4464" s="32" t="str">
        <f t="shared" si="138"/>
        <v>|||1900|</v>
      </c>
      <c r="H4464" s="32" t="str">
        <f t="shared" si="139"/>
        <v>||1900|</v>
      </c>
      <c r="I4464" s="32">
        <f>IF(G4464="",0,IF(COUNTIF($G$2:G4464,G4464)=1,1,0))</f>
        <v>0</v>
      </c>
      <c r="J4464" s="32">
        <f>IF(H4464="",0,IF(COUNTIF($H$2:H4464,H4464)=1,1,0))</f>
        <v>0</v>
      </c>
    </row>
    <row r="4465" spans="1:10" ht="14.25" hidden="1" customHeight="1" x14ac:dyDescent="0.35">
      <c r="A4465" s="30"/>
      <c r="E4465" s="31"/>
      <c r="G4465" s="32" t="str">
        <f t="shared" si="138"/>
        <v>|||1900|</v>
      </c>
      <c r="H4465" s="32" t="str">
        <f t="shared" si="139"/>
        <v>||1900|</v>
      </c>
      <c r="I4465" s="32">
        <f>IF(G4465="",0,IF(COUNTIF($G$2:G4465,G4465)=1,1,0))</f>
        <v>0</v>
      </c>
      <c r="J4465" s="32">
        <f>IF(H4465="",0,IF(COUNTIF($H$2:H4465,H4465)=1,1,0))</f>
        <v>0</v>
      </c>
    </row>
    <row r="4466" spans="1:10" ht="14.25" hidden="1" customHeight="1" x14ac:dyDescent="0.35">
      <c r="A4466" s="30"/>
      <c r="E4466" s="31"/>
      <c r="G4466" s="32" t="str">
        <f t="shared" si="138"/>
        <v>|||1900|</v>
      </c>
      <c r="H4466" s="32" t="str">
        <f t="shared" si="139"/>
        <v>||1900|</v>
      </c>
      <c r="I4466" s="32">
        <f>IF(G4466="",0,IF(COUNTIF($G$2:G4466,G4466)=1,1,0))</f>
        <v>0</v>
      </c>
      <c r="J4466" s="32">
        <f>IF(H4466="",0,IF(COUNTIF($H$2:H4466,H4466)=1,1,0))</f>
        <v>0</v>
      </c>
    </row>
    <row r="4467" spans="1:10" ht="14.25" hidden="1" customHeight="1" x14ac:dyDescent="0.35">
      <c r="A4467" s="30"/>
      <c r="E4467" s="31"/>
      <c r="G4467" s="32" t="str">
        <f t="shared" si="138"/>
        <v>|||1900|</v>
      </c>
      <c r="H4467" s="32" t="str">
        <f t="shared" si="139"/>
        <v>||1900|</v>
      </c>
      <c r="I4467" s="32">
        <f>IF(G4467="",0,IF(COUNTIF($G$2:G4467,G4467)=1,1,0))</f>
        <v>0</v>
      </c>
      <c r="J4467" s="32">
        <f>IF(H4467="",0,IF(COUNTIF($H$2:H4467,H4467)=1,1,0))</f>
        <v>0</v>
      </c>
    </row>
    <row r="4468" spans="1:10" ht="14.25" hidden="1" customHeight="1" x14ac:dyDescent="0.35">
      <c r="A4468" s="30"/>
      <c r="E4468" s="31"/>
      <c r="G4468" s="32" t="str">
        <f t="shared" si="138"/>
        <v>|||1900|</v>
      </c>
      <c r="H4468" s="32" t="str">
        <f t="shared" si="139"/>
        <v>||1900|</v>
      </c>
      <c r="I4468" s="32">
        <f>IF(G4468="",0,IF(COUNTIF($G$2:G4468,G4468)=1,1,0))</f>
        <v>0</v>
      </c>
      <c r="J4468" s="32">
        <f>IF(H4468="",0,IF(COUNTIF($H$2:H4468,H4468)=1,1,0))</f>
        <v>0</v>
      </c>
    </row>
    <row r="4469" spans="1:10" ht="14.25" hidden="1" customHeight="1" x14ac:dyDescent="0.35">
      <c r="A4469" s="30"/>
      <c r="E4469" s="31"/>
      <c r="G4469" s="32" t="str">
        <f t="shared" si="138"/>
        <v>|||1900|</v>
      </c>
      <c r="H4469" s="32" t="str">
        <f t="shared" si="139"/>
        <v>||1900|</v>
      </c>
      <c r="I4469" s="32">
        <f>IF(G4469="",0,IF(COUNTIF($G$2:G4469,G4469)=1,1,0))</f>
        <v>0</v>
      </c>
      <c r="J4469" s="32">
        <f>IF(H4469="",0,IF(COUNTIF($H$2:H4469,H4469)=1,1,0))</f>
        <v>0</v>
      </c>
    </row>
    <row r="4470" spans="1:10" ht="14.25" hidden="1" customHeight="1" x14ac:dyDescent="0.35">
      <c r="A4470" s="30"/>
      <c r="E4470" s="31"/>
      <c r="G4470" s="32" t="str">
        <f t="shared" si="138"/>
        <v>|||1900|</v>
      </c>
      <c r="H4470" s="32" t="str">
        <f t="shared" si="139"/>
        <v>||1900|</v>
      </c>
      <c r="I4470" s="32">
        <f>IF(G4470="",0,IF(COUNTIF($G$2:G4470,G4470)=1,1,0))</f>
        <v>0</v>
      </c>
      <c r="J4470" s="32">
        <f>IF(H4470="",0,IF(COUNTIF($H$2:H4470,H4470)=1,1,0))</f>
        <v>0</v>
      </c>
    </row>
    <row r="4471" spans="1:10" ht="14.25" hidden="1" customHeight="1" x14ac:dyDescent="0.35">
      <c r="A4471" s="30"/>
      <c r="E4471" s="31"/>
      <c r="G4471" s="32" t="str">
        <f t="shared" si="138"/>
        <v>|||1900|</v>
      </c>
      <c r="H4471" s="32" t="str">
        <f t="shared" si="139"/>
        <v>||1900|</v>
      </c>
      <c r="I4471" s="32">
        <f>IF(G4471="",0,IF(COUNTIF($G$2:G4471,G4471)=1,1,0))</f>
        <v>0</v>
      </c>
      <c r="J4471" s="32">
        <f>IF(H4471="",0,IF(COUNTIF($H$2:H4471,H4471)=1,1,0))</f>
        <v>0</v>
      </c>
    </row>
    <row r="4472" spans="1:10" ht="14.25" hidden="1" customHeight="1" x14ac:dyDescent="0.35">
      <c r="A4472" s="30"/>
      <c r="E4472" s="31"/>
      <c r="G4472" s="32" t="str">
        <f t="shared" si="138"/>
        <v>|||1900|</v>
      </c>
      <c r="H4472" s="32" t="str">
        <f t="shared" si="139"/>
        <v>||1900|</v>
      </c>
      <c r="I4472" s="32">
        <f>IF(G4472="",0,IF(COUNTIF($G$2:G4472,G4472)=1,1,0))</f>
        <v>0</v>
      </c>
      <c r="J4472" s="32">
        <f>IF(H4472="",0,IF(COUNTIF($H$2:H4472,H4472)=1,1,0))</f>
        <v>0</v>
      </c>
    </row>
    <row r="4473" spans="1:10" ht="14.25" hidden="1" customHeight="1" x14ac:dyDescent="0.35">
      <c r="A4473" s="30"/>
      <c r="E4473" s="31"/>
      <c r="G4473" s="32" t="str">
        <f t="shared" si="138"/>
        <v>|||1900|</v>
      </c>
      <c r="H4473" s="32" t="str">
        <f t="shared" si="139"/>
        <v>||1900|</v>
      </c>
      <c r="I4473" s="32">
        <f>IF(G4473="",0,IF(COUNTIF($G$2:G4473,G4473)=1,1,0))</f>
        <v>0</v>
      </c>
      <c r="J4473" s="32">
        <f>IF(H4473="",0,IF(COUNTIF($H$2:H4473,H4473)=1,1,0))</f>
        <v>0</v>
      </c>
    </row>
    <row r="4474" spans="1:10" ht="14.25" hidden="1" customHeight="1" x14ac:dyDescent="0.35">
      <c r="A4474" s="30"/>
      <c r="E4474" s="31"/>
      <c r="G4474" s="32" t="str">
        <f t="shared" si="138"/>
        <v>|||1900|</v>
      </c>
      <c r="H4474" s="32" t="str">
        <f t="shared" si="139"/>
        <v>||1900|</v>
      </c>
      <c r="I4474" s="32">
        <f>IF(G4474="",0,IF(COUNTIF($G$2:G4474,G4474)=1,1,0))</f>
        <v>0</v>
      </c>
      <c r="J4474" s="32">
        <f>IF(H4474="",0,IF(COUNTIF($H$2:H4474,H4474)=1,1,0))</f>
        <v>0</v>
      </c>
    </row>
    <row r="4475" spans="1:10" ht="14.25" hidden="1" customHeight="1" x14ac:dyDescent="0.35">
      <c r="A4475" s="30"/>
      <c r="E4475" s="31"/>
      <c r="G4475" s="32" t="str">
        <f t="shared" si="138"/>
        <v>|||1900|</v>
      </c>
      <c r="H4475" s="32" t="str">
        <f t="shared" si="139"/>
        <v>||1900|</v>
      </c>
      <c r="I4475" s="32">
        <f>IF(G4475="",0,IF(COUNTIF($G$2:G4475,G4475)=1,1,0))</f>
        <v>0</v>
      </c>
      <c r="J4475" s="32">
        <f>IF(H4475="",0,IF(COUNTIF($H$2:H4475,H4475)=1,1,0))</f>
        <v>0</v>
      </c>
    </row>
    <row r="4476" spans="1:10" ht="14.25" hidden="1" customHeight="1" x14ac:dyDescent="0.35">
      <c r="A4476" s="30"/>
      <c r="E4476" s="31"/>
      <c r="G4476" s="32" t="str">
        <f t="shared" si="138"/>
        <v>|||1900|</v>
      </c>
      <c r="H4476" s="32" t="str">
        <f t="shared" si="139"/>
        <v>||1900|</v>
      </c>
      <c r="I4476" s="32">
        <f>IF(G4476="",0,IF(COUNTIF($G$2:G4476,G4476)=1,1,0))</f>
        <v>0</v>
      </c>
      <c r="J4476" s="32">
        <f>IF(H4476="",0,IF(COUNTIF($H$2:H4476,H4476)=1,1,0))</f>
        <v>0</v>
      </c>
    </row>
    <row r="4477" spans="1:10" ht="14.25" hidden="1" customHeight="1" x14ac:dyDescent="0.35">
      <c r="A4477" s="30"/>
      <c r="E4477" s="31"/>
      <c r="G4477" s="32" t="str">
        <f t="shared" si="138"/>
        <v>|||1900|</v>
      </c>
      <c r="H4477" s="32" t="str">
        <f t="shared" si="139"/>
        <v>||1900|</v>
      </c>
      <c r="I4477" s="32">
        <f>IF(G4477="",0,IF(COUNTIF($G$2:G4477,G4477)=1,1,0))</f>
        <v>0</v>
      </c>
      <c r="J4477" s="32">
        <f>IF(H4477="",0,IF(COUNTIF($H$2:H4477,H4477)=1,1,0))</f>
        <v>0</v>
      </c>
    </row>
    <row r="4478" spans="1:10" ht="14.25" hidden="1" customHeight="1" x14ac:dyDescent="0.35">
      <c r="A4478" s="30"/>
      <c r="E4478" s="31"/>
      <c r="G4478" s="32" t="str">
        <f t="shared" si="138"/>
        <v>|||1900|</v>
      </c>
      <c r="H4478" s="32" t="str">
        <f t="shared" si="139"/>
        <v>||1900|</v>
      </c>
      <c r="I4478" s="32">
        <f>IF(G4478="",0,IF(COUNTIF($G$2:G4478,G4478)=1,1,0))</f>
        <v>0</v>
      </c>
      <c r="J4478" s="32">
        <f>IF(H4478="",0,IF(COUNTIF($H$2:H4478,H4478)=1,1,0))</f>
        <v>0</v>
      </c>
    </row>
    <row r="4479" spans="1:10" ht="14.25" hidden="1" customHeight="1" x14ac:dyDescent="0.35">
      <c r="A4479" s="30"/>
      <c r="E4479" s="31"/>
      <c r="G4479" s="32" t="str">
        <f t="shared" si="138"/>
        <v>|||1900|</v>
      </c>
      <c r="H4479" s="32" t="str">
        <f t="shared" si="139"/>
        <v>||1900|</v>
      </c>
      <c r="I4479" s="32">
        <f>IF(G4479="",0,IF(COUNTIF($G$2:G4479,G4479)=1,1,0))</f>
        <v>0</v>
      </c>
      <c r="J4479" s="32">
        <f>IF(H4479="",0,IF(COUNTIF($H$2:H4479,H4479)=1,1,0))</f>
        <v>0</v>
      </c>
    </row>
    <row r="4480" spans="1:10" ht="14.25" hidden="1" customHeight="1" x14ac:dyDescent="0.35">
      <c r="A4480" s="30"/>
      <c r="E4480" s="31"/>
      <c r="G4480" s="32" t="str">
        <f t="shared" si="138"/>
        <v>|||1900|</v>
      </c>
      <c r="H4480" s="32" t="str">
        <f t="shared" si="139"/>
        <v>||1900|</v>
      </c>
      <c r="I4480" s="32">
        <f>IF(G4480="",0,IF(COUNTIF($G$2:G4480,G4480)=1,1,0))</f>
        <v>0</v>
      </c>
      <c r="J4480" s="32">
        <f>IF(H4480="",0,IF(COUNTIF($H$2:H4480,H4480)=1,1,0))</f>
        <v>0</v>
      </c>
    </row>
    <row r="4481" spans="1:10" ht="14.25" hidden="1" customHeight="1" x14ac:dyDescent="0.35">
      <c r="A4481" s="30"/>
      <c r="E4481" s="31"/>
      <c r="G4481" s="32" t="str">
        <f t="shared" si="138"/>
        <v>|||1900|</v>
      </c>
      <c r="H4481" s="32" t="str">
        <f t="shared" si="139"/>
        <v>||1900|</v>
      </c>
      <c r="I4481" s="32">
        <f>IF(G4481="",0,IF(COUNTIF($G$2:G4481,G4481)=1,1,0))</f>
        <v>0</v>
      </c>
      <c r="J4481" s="32">
        <f>IF(H4481="",0,IF(COUNTIF($H$2:H4481,H4481)=1,1,0))</f>
        <v>0</v>
      </c>
    </row>
    <row r="4482" spans="1:10" ht="14.25" hidden="1" customHeight="1" x14ac:dyDescent="0.35">
      <c r="A4482" s="30"/>
      <c r="E4482" s="31"/>
      <c r="G4482" s="32" t="str">
        <f t="shared" ref="G4482:G4545" si="140">IF(D4482="T",
E4482&amp;"|"&amp;F4482,
A4482&amp;"|"&amp;B4482&amp;"|"&amp;C4482&amp;"|"&amp;YEAR(E4482)&amp;"|"&amp;F4482)</f>
        <v>|||1900|</v>
      </c>
      <c r="H4482" s="32" t="str">
        <f t="shared" ref="H4482:H4545" si="141">A4482&amp;"|"&amp;C4482&amp;"|"&amp;YEAR(E4482)&amp;"|"&amp;F4482</f>
        <v>||1900|</v>
      </c>
      <c r="I4482" s="32">
        <f>IF(G4482="",0,IF(COUNTIF($G$2:G4482,G4482)=1,1,0))</f>
        <v>0</v>
      </c>
      <c r="J4482" s="32">
        <f>IF(H4482="",0,IF(COUNTIF($H$2:H4482,H4482)=1,1,0))</f>
        <v>0</v>
      </c>
    </row>
    <row r="4483" spans="1:10" ht="14.25" hidden="1" customHeight="1" x14ac:dyDescent="0.35">
      <c r="A4483" s="30"/>
      <c r="E4483" s="31"/>
      <c r="G4483" s="32" t="str">
        <f t="shared" si="140"/>
        <v>|||1900|</v>
      </c>
      <c r="H4483" s="32" t="str">
        <f t="shared" si="141"/>
        <v>||1900|</v>
      </c>
      <c r="I4483" s="32">
        <f>IF(G4483="",0,IF(COUNTIF($G$2:G4483,G4483)=1,1,0))</f>
        <v>0</v>
      </c>
      <c r="J4483" s="32">
        <f>IF(H4483="",0,IF(COUNTIF($H$2:H4483,H4483)=1,1,0))</f>
        <v>0</v>
      </c>
    </row>
    <row r="4484" spans="1:10" ht="14.25" hidden="1" customHeight="1" x14ac:dyDescent="0.35">
      <c r="A4484" s="30"/>
      <c r="E4484" s="31"/>
      <c r="G4484" s="32" t="str">
        <f t="shared" si="140"/>
        <v>|||1900|</v>
      </c>
      <c r="H4484" s="32" t="str">
        <f t="shared" si="141"/>
        <v>||1900|</v>
      </c>
      <c r="I4484" s="32">
        <f>IF(G4484="",0,IF(COUNTIF($G$2:G4484,G4484)=1,1,0))</f>
        <v>0</v>
      </c>
      <c r="J4484" s="32">
        <f>IF(H4484="",0,IF(COUNTIF($H$2:H4484,H4484)=1,1,0))</f>
        <v>0</v>
      </c>
    </row>
    <row r="4485" spans="1:10" ht="14.25" hidden="1" customHeight="1" x14ac:dyDescent="0.35">
      <c r="A4485" s="30"/>
      <c r="E4485" s="31"/>
      <c r="G4485" s="32" t="str">
        <f t="shared" si="140"/>
        <v>|||1900|</v>
      </c>
      <c r="H4485" s="32" t="str">
        <f t="shared" si="141"/>
        <v>||1900|</v>
      </c>
      <c r="I4485" s="32">
        <f>IF(G4485="",0,IF(COUNTIF($G$2:G4485,G4485)=1,1,0))</f>
        <v>0</v>
      </c>
      <c r="J4485" s="32">
        <f>IF(H4485="",0,IF(COUNTIF($H$2:H4485,H4485)=1,1,0))</f>
        <v>0</v>
      </c>
    </row>
    <row r="4486" spans="1:10" ht="14.25" hidden="1" customHeight="1" x14ac:dyDescent="0.35">
      <c r="A4486" s="30"/>
      <c r="E4486" s="31"/>
      <c r="G4486" s="32" t="str">
        <f t="shared" si="140"/>
        <v>|||1900|</v>
      </c>
      <c r="H4486" s="32" t="str">
        <f t="shared" si="141"/>
        <v>||1900|</v>
      </c>
      <c r="I4486" s="32">
        <f>IF(G4486="",0,IF(COUNTIF($G$2:G4486,G4486)=1,1,0))</f>
        <v>0</v>
      </c>
      <c r="J4486" s="32">
        <f>IF(H4486="",0,IF(COUNTIF($H$2:H4486,H4486)=1,1,0))</f>
        <v>0</v>
      </c>
    </row>
    <row r="4487" spans="1:10" ht="14.25" hidden="1" customHeight="1" x14ac:dyDescent="0.35">
      <c r="A4487" s="30"/>
      <c r="E4487" s="31"/>
      <c r="G4487" s="32" t="str">
        <f t="shared" si="140"/>
        <v>|||1900|</v>
      </c>
      <c r="H4487" s="32" t="str">
        <f t="shared" si="141"/>
        <v>||1900|</v>
      </c>
      <c r="I4487" s="32">
        <f>IF(G4487="",0,IF(COUNTIF($G$2:G4487,G4487)=1,1,0))</f>
        <v>0</v>
      </c>
      <c r="J4487" s="32">
        <f>IF(H4487="",0,IF(COUNTIF($H$2:H4487,H4487)=1,1,0))</f>
        <v>0</v>
      </c>
    </row>
    <row r="4488" spans="1:10" ht="14.25" hidden="1" customHeight="1" x14ac:dyDescent="0.35">
      <c r="A4488" s="30"/>
      <c r="E4488" s="31"/>
      <c r="G4488" s="32" t="str">
        <f t="shared" si="140"/>
        <v>|||1900|</v>
      </c>
      <c r="H4488" s="32" t="str">
        <f t="shared" si="141"/>
        <v>||1900|</v>
      </c>
      <c r="I4488" s="32">
        <f>IF(G4488="",0,IF(COUNTIF($G$2:G4488,G4488)=1,1,0))</f>
        <v>0</v>
      </c>
      <c r="J4488" s="32">
        <f>IF(H4488="",0,IF(COUNTIF($H$2:H4488,H4488)=1,1,0))</f>
        <v>0</v>
      </c>
    </row>
    <row r="4489" spans="1:10" ht="14.25" hidden="1" customHeight="1" x14ac:dyDescent="0.35">
      <c r="A4489" s="30"/>
      <c r="E4489" s="31"/>
      <c r="G4489" s="32" t="str">
        <f t="shared" si="140"/>
        <v>|||1900|</v>
      </c>
      <c r="H4489" s="32" t="str">
        <f t="shared" si="141"/>
        <v>||1900|</v>
      </c>
      <c r="I4489" s="32">
        <f>IF(G4489="",0,IF(COUNTIF($G$2:G4489,G4489)=1,1,0))</f>
        <v>0</v>
      </c>
      <c r="J4489" s="32">
        <f>IF(H4489="",0,IF(COUNTIF($H$2:H4489,H4489)=1,1,0))</f>
        <v>0</v>
      </c>
    </row>
    <row r="4490" spans="1:10" ht="14.25" hidden="1" customHeight="1" x14ac:dyDescent="0.35">
      <c r="A4490" s="30"/>
      <c r="E4490" s="31"/>
      <c r="G4490" s="32" t="str">
        <f t="shared" si="140"/>
        <v>|||1900|</v>
      </c>
      <c r="H4490" s="32" t="str">
        <f t="shared" si="141"/>
        <v>||1900|</v>
      </c>
      <c r="I4490" s="32">
        <f>IF(G4490="",0,IF(COUNTIF($G$2:G4490,G4490)=1,1,0))</f>
        <v>0</v>
      </c>
      <c r="J4490" s="32">
        <f>IF(H4490="",0,IF(COUNTIF($H$2:H4490,H4490)=1,1,0))</f>
        <v>0</v>
      </c>
    </row>
    <row r="4491" spans="1:10" ht="14.25" hidden="1" customHeight="1" x14ac:dyDescent="0.35">
      <c r="A4491" s="30"/>
      <c r="E4491" s="31"/>
      <c r="G4491" s="32" t="str">
        <f t="shared" si="140"/>
        <v>|||1900|</v>
      </c>
      <c r="H4491" s="32" t="str">
        <f t="shared" si="141"/>
        <v>||1900|</v>
      </c>
      <c r="I4491" s="32">
        <f>IF(G4491="",0,IF(COUNTIF($G$2:G4491,G4491)=1,1,0))</f>
        <v>0</v>
      </c>
      <c r="J4491" s="32">
        <f>IF(H4491="",0,IF(COUNTIF($H$2:H4491,H4491)=1,1,0))</f>
        <v>0</v>
      </c>
    </row>
    <row r="4492" spans="1:10" ht="14.25" hidden="1" customHeight="1" x14ac:dyDescent="0.35">
      <c r="A4492" s="30"/>
      <c r="E4492" s="31"/>
      <c r="G4492" s="32" t="str">
        <f t="shared" si="140"/>
        <v>|||1900|</v>
      </c>
      <c r="H4492" s="32" t="str">
        <f t="shared" si="141"/>
        <v>||1900|</v>
      </c>
      <c r="I4492" s="32">
        <f>IF(G4492="",0,IF(COUNTIF($G$2:G4492,G4492)=1,1,0))</f>
        <v>0</v>
      </c>
      <c r="J4492" s="32">
        <f>IF(H4492="",0,IF(COUNTIF($H$2:H4492,H4492)=1,1,0))</f>
        <v>0</v>
      </c>
    </row>
    <row r="4493" spans="1:10" ht="14.25" hidden="1" customHeight="1" x14ac:dyDescent="0.35">
      <c r="A4493" s="30"/>
      <c r="E4493" s="31"/>
      <c r="G4493" s="32" t="str">
        <f t="shared" si="140"/>
        <v>|||1900|</v>
      </c>
      <c r="H4493" s="32" t="str">
        <f t="shared" si="141"/>
        <v>||1900|</v>
      </c>
      <c r="I4493" s="32">
        <f>IF(G4493="",0,IF(COUNTIF($G$2:G4493,G4493)=1,1,0))</f>
        <v>0</v>
      </c>
      <c r="J4493" s="32">
        <f>IF(H4493="",0,IF(COUNTIF($H$2:H4493,H4493)=1,1,0))</f>
        <v>0</v>
      </c>
    </row>
    <row r="4494" spans="1:10" ht="14.25" hidden="1" customHeight="1" x14ac:dyDescent="0.35">
      <c r="A4494" s="30"/>
      <c r="E4494" s="31"/>
      <c r="G4494" s="32" t="str">
        <f t="shared" si="140"/>
        <v>|||1900|</v>
      </c>
      <c r="H4494" s="32" t="str">
        <f t="shared" si="141"/>
        <v>||1900|</v>
      </c>
      <c r="I4494" s="32">
        <f>IF(G4494="",0,IF(COUNTIF($G$2:G4494,G4494)=1,1,0))</f>
        <v>0</v>
      </c>
      <c r="J4494" s="32">
        <f>IF(H4494="",0,IF(COUNTIF($H$2:H4494,H4494)=1,1,0))</f>
        <v>0</v>
      </c>
    </row>
    <row r="4495" spans="1:10" ht="14.25" hidden="1" customHeight="1" x14ac:dyDescent="0.35">
      <c r="A4495" s="30"/>
      <c r="E4495" s="31"/>
      <c r="G4495" s="32" t="str">
        <f t="shared" si="140"/>
        <v>|||1900|</v>
      </c>
      <c r="H4495" s="32" t="str">
        <f t="shared" si="141"/>
        <v>||1900|</v>
      </c>
      <c r="I4495" s="32">
        <f>IF(G4495="",0,IF(COUNTIF($G$2:G4495,G4495)=1,1,0))</f>
        <v>0</v>
      </c>
      <c r="J4495" s="32">
        <f>IF(H4495="",0,IF(COUNTIF($H$2:H4495,H4495)=1,1,0))</f>
        <v>0</v>
      </c>
    </row>
    <row r="4496" spans="1:10" ht="14.25" hidden="1" customHeight="1" x14ac:dyDescent="0.35">
      <c r="A4496" s="30"/>
      <c r="E4496" s="31"/>
      <c r="G4496" s="32" t="str">
        <f t="shared" si="140"/>
        <v>|||1900|</v>
      </c>
      <c r="H4496" s="32" t="str">
        <f t="shared" si="141"/>
        <v>||1900|</v>
      </c>
      <c r="I4496" s="32">
        <f>IF(G4496="",0,IF(COUNTIF($G$2:G4496,G4496)=1,1,0))</f>
        <v>0</v>
      </c>
      <c r="J4496" s="32">
        <f>IF(H4496="",0,IF(COUNTIF($H$2:H4496,H4496)=1,1,0))</f>
        <v>0</v>
      </c>
    </row>
    <row r="4497" spans="1:10" ht="14.25" hidden="1" customHeight="1" x14ac:dyDescent="0.35">
      <c r="A4497" s="30"/>
      <c r="E4497" s="31"/>
      <c r="G4497" s="32" t="str">
        <f t="shared" si="140"/>
        <v>|||1900|</v>
      </c>
      <c r="H4497" s="32" t="str">
        <f t="shared" si="141"/>
        <v>||1900|</v>
      </c>
      <c r="I4497" s="32">
        <f>IF(G4497="",0,IF(COUNTIF($G$2:G4497,G4497)=1,1,0))</f>
        <v>0</v>
      </c>
      <c r="J4497" s="32">
        <f>IF(H4497="",0,IF(COUNTIF($H$2:H4497,H4497)=1,1,0))</f>
        <v>0</v>
      </c>
    </row>
    <row r="4498" spans="1:10" ht="14.25" hidden="1" customHeight="1" x14ac:dyDescent="0.35">
      <c r="A4498" s="30"/>
      <c r="E4498" s="31"/>
      <c r="G4498" s="32" t="str">
        <f t="shared" si="140"/>
        <v>|||1900|</v>
      </c>
      <c r="H4498" s="32" t="str">
        <f t="shared" si="141"/>
        <v>||1900|</v>
      </c>
      <c r="I4498" s="32">
        <f>IF(G4498="",0,IF(COUNTIF($G$2:G4498,G4498)=1,1,0))</f>
        <v>0</v>
      </c>
      <c r="J4498" s="32">
        <f>IF(H4498="",0,IF(COUNTIF($H$2:H4498,H4498)=1,1,0))</f>
        <v>0</v>
      </c>
    </row>
    <row r="4499" spans="1:10" ht="14.25" hidden="1" customHeight="1" x14ac:dyDescent="0.35">
      <c r="A4499" s="30"/>
      <c r="E4499" s="31"/>
      <c r="G4499" s="32" t="str">
        <f t="shared" si="140"/>
        <v>|||1900|</v>
      </c>
      <c r="H4499" s="32" t="str">
        <f t="shared" si="141"/>
        <v>||1900|</v>
      </c>
      <c r="I4499" s="32">
        <f>IF(G4499="",0,IF(COUNTIF($G$2:G4499,G4499)=1,1,0))</f>
        <v>0</v>
      </c>
      <c r="J4499" s="32">
        <f>IF(H4499="",0,IF(COUNTIF($H$2:H4499,H4499)=1,1,0))</f>
        <v>0</v>
      </c>
    </row>
    <row r="4500" spans="1:10" ht="14.25" hidden="1" customHeight="1" x14ac:dyDescent="0.35">
      <c r="A4500" s="30"/>
      <c r="E4500" s="31"/>
      <c r="G4500" s="32" t="str">
        <f t="shared" si="140"/>
        <v>|||1900|</v>
      </c>
      <c r="H4500" s="32" t="str">
        <f t="shared" si="141"/>
        <v>||1900|</v>
      </c>
      <c r="I4500" s="32">
        <f>IF(G4500="",0,IF(COUNTIF($G$2:G4500,G4500)=1,1,0))</f>
        <v>0</v>
      </c>
      <c r="J4500" s="32">
        <f>IF(H4500="",0,IF(COUNTIF($H$2:H4500,H4500)=1,1,0))</f>
        <v>0</v>
      </c>
    </row>
    <row r="4501" spans="1:10" ht="14.25" hidden="1" customHeight="1" x14ac:dyDescent="0.35">
      <c r="A4501" s="30"/>
      <c r="E4501" s="31"/>
      <c r="G4501" s="32" t="str">
        <f t="shared" si="140"/>
        <v>|||1900|</v>
      </c>
      <c r="H4501" s="32" t="str">
        <f t="shared" si="141"/>
        <v>||1900|</v>
      </c>
      <c r="I4501" s="32">
        <f>IF(G4501="",0,IF(COUNTIF($G$2:G4501,G4501)=1,1,0))</f>
        <v>0</v>
      </c>
      <c r="J4501" s="32">
        <f>IF(H4501="",0,IF(COUNTIF($H$2:H4501,H4501)=1,1,0))</f>
        <v>0</v>
      </c>
    </row>
    <row r="4502" spans="1:10" ht="14.25" hidden="1" customHeight="1" x14ac:dyDescent="0.35">
      <c r="A4502" s="30"/>
      <c r="E4502" s="31"/>
      <c r="G4502" s="32" t="str">
        <f t="shared" si="140"/>
        <v>|||1900|</v>
      </c>
      <c r="H4502" s="32" t="str">
        <f t="shared" si="141"/>
        <v>||1900|</v>
      </c>
      <c r="I4502" s="32">
        <f>IF(G4502="",0,IF(COUNTIF($G$2:G4502,G4502)=1,1,0))</f>
        <v>0</v>
      </c>
      <c r="J4502" s="32">
        <f>IF(H4502="",0,IF(COUNTIF($H$2:H4502,H4502)=1,1,0))</f>
        <v>0</v>
      </c>
    </row>
    <row r="4503" spans="1:10" ht="14.25" hidden="1" customHeight="1" x14ac:dyDescent="0.35">
      <c r="A4503" s="30"/>
      <c r="E4503" s="31"/>
      <c r="G4503" s="32" t="str">
        <f t="shared" si="140"/>
        <v>|||1900|</v>
      </c>
      <c r="H4503" s="32" t="str">
        <f t="shared" si="141"/>
        <v>||1900|</v>
      </c>
      <c r="I4503" s="32">
        <f>IF(G4503="",0,IF(COUNTIF($G$2:G4503,G4503)=1,1,0))</f>
        <v>0</v>
      </c>
      <c r="J4503" s="32">
        <f>IF(H4503="",0,IF(COUNTIF($H$2:H4503,H4503)=1,1,0))</f>
        <v>0</v>
      </c>
    </row>
    <row r="4504" spans="1:10" ht="14.25" hidden="1" customHeight="1" x14ac:dyDescent="0.35">
      <c r="A4504" s="30"/>
      <c r="E4504" s="31"/>
      <c r="G4504" s="32" t="str">
        <f t="shared" si="140"/>
        <v>|||1900|</v>
      </c>
      <c r="H4504" s="32" t="str">
        <f t="shared" si="141"/>
        <v>||1900|</v>
      </c>
      <c r="I4504" s="32">
        <f>IF(G4504="",0,IF(COUNTIF($G$2:G4504,G4504)=1,1,0))</f>
        <v>0</v>
      </c>
      <c r="J4504" s="32">
        <f>IF(H4504="",0,IF(COUNTIF($H$2:H4504,H4504)=1,1,0))</f>
        <v>0</v>
      </c>
    </row>
    <row r="4505" spans="1:10" ht="14.25" hidden="1" customHeight="1" x14ac:dyDescent="0.35">
      <c r="A4505" s="30"/>
      <c r="E4505" s="31"/>
      <c r="G4505" s="32" t="str">
        <f t="shared" si="140"/>
        <v>|||1900|</v>
      </c>
      <c r="H4505" s="32" t="str">
        <f t="shared" si="141"/>
        <v>||1900|</v>
      </c>
      <c r="I4505" s="32">
        <f>IF(G4505="",0,IF(COUNTIF($G$2:G4505,G4505)=1,1,0))</f>
        <v>0</v>
      </c>
      <c r="J4505" s="32">
        <f>IF(H4505="",0,IF(COUNTIF($H$2:H4505,H4505)=1,1,0))</f>
        <v>0</v>
      </c>
    </row>
    <row r="4506" spans="1:10" ht="14.25" hidden="1" customHeight="1" x14ac:dyDescent="0.35">
      <c r="A4506" s="30"/>
      <c r="E4506" s="31"/>
      <c r="G4506" s="32" t="str">
        <f t="shared" si="140"/>
        <v>|||1900|</v>
      </c>
      <c r="H4506" s="32" t="str">
        <f t="shared" si="141"/>
        <v>||1900|</v>
      </c>
      <c r="I4506" s="32">
        <f>IF(G4506="",0,IF(COUNTIF($G$2:G4506,G4506)=1,1,0))</f>
        <v>0</v>
      </c>
      <c r="J4506" s="32">
        <f>IF(H4506="",0,IF(COUNTIF($H$2:H4506,H4506)=1,1,0))</f>
        <v>0</v>
      </c>
    </row>
    <row r="4507" spans="1:10" ht="14.25" hidden="1" customHeight="1" x14ac:dyDescent="0.35">
      <c r="A4507" s="30"/>
      <c r="E4507" s="31"/>
      <c r="G4507" s="32" t="str">
        <f t="shared" si="140"/>
        <v>|||1900|</v>
      </c>
      <c r="H4507" s="32" t="str">
        <f t="shared" si="141"/>
        <v>||1900|</v>
      </c>
      <c r="I4507" s="32">
        <f>IF(G4507="",0,IF(COUNTIF($G$2:G4507,G4507)=1,1,0))</f>
        <v>0</v>
      </c>
      <c r="J4507" s="32">
        <f>IF(H4507="",0,IF(COUNTIF($H$2:H4507,H4507)=1,1,0))</f>
        <v>0</v>
      </c>
    </row>
    <row r="4508" spans="1:10" ht="14.25" hidden="1" customHeight="1" x14ac:dyDescent="0.35">
      <c r="A4508" s="30"/>
      <c r="E4508" s="31"/>
      <c r="G4508" s="32" t="str">
        <f t="shared" si="140"/>
        <v>|||1900|</v>
      </c>
      <c r="H4508" s="32" t="str">
        <f t="shared" si="141"/>
        <v>||1900|</v>
      </c>
      <c r="I4508" s="32">
        <f>IF(G4508="",0,IF(COUNTIF($G$2:G4508,G4508)=1,1,0))</f>
        <v>0</v>
      </c>
      <c r="J4508" s="32">
        <f>IF(H4508="",0,IF(COUNTIF($H$2:H4508,H4508)=1,1,0))</f>
        <v>0</v>
      </c>
    </row>
    <row r="4509" spans="1:10" ht="14.25" hidden="1" customHeight="1" x14ac:dyDescent="0.35">
      <c r="A4509" s="30"/>
      <c r="E4509" s="31"/>
      <c r="G4509" s="32" t="str">
        <f t="shared" si="140"/>
        <v>|||1900|</v>
      </c>
      <c r="H4509" s="32" t="str">
        <f t="shared" si="141"/>
        <v>||1900|</v>
      </c>
      <c r="I4509" s="32">
        <f>IF(G4509="",0,IF(COUNTIF($G$2:G4509,G4509)=1,1,0))</f>
        <v>0</v>
      </c>
      <c r="J4509" s="32">
        <f>IF(H4509="",0,IF(COUNTIF($H$2:H4509,H4509)=1,1,0))</f>
        <v>0</v>
      </c>
    </row>
    <row r="4510" spans="1:10" ht="14.25" hidden="1" customHeight="1" x14ac:dyDescent="0.35">
      <c r="A4510" s="30"/>
      <c r="E4510" s="31"/>
      <c r="G4510" s="32" t="str">
        <f t="shared" si="140"/>
        <v>|||1900|</v>
      </c>
      <c r="H4510" s="32" t="str">
        <f t="shared" si="141"/>
        <v>||1900|</v>
      </c>
      <c r="I4510" s="32">
        <f>IF(G4510="",0,IF(COUNTIF($G$2:G4510,G4510)=1,1,0))</f>
        <v>0</v>
      </c>
      <c r="J4510" s="32">
        <f>IF(H4510="",0,IF(COUNTIF($H$2:H4510,H4510)=1,1,0))</f>
        <v>0</v>
      </c>
    </row>
    <row r="4511" spans="1:10" ht="14.25" hidden="1" customHeight="1" x14ac:dyDescent="0.35">
      <c r="A4511" s="30"/>
      <c r="E4511" s="31"/>
      <c r="G4511" s="32" t="str">
        <f t="shared" si="140"/>
        <v>|||1900|</v>
      </c>
      <c r="H4511" s="32" t="str">
        <f t="shared" si="141"/>
        <v>||1900|</v>
      </c>
      <c r="I4511" s="32">
        <f>IF(G4511="",0,IF(COUNTIF($G$2:G4511,G4511)=1,1,0))</f>
        <v>0</v>
      </c>
      <c r="J4511" s="32">
        <f>IF(H4511="",0,IF(COUNTIF($H$2:H4511,H4511)=1,1,0))</f>
        <v>0</v>
      </c>
    </row>
    <row r="4512" spans="1:10" ht="14.25" hidden="1" customHeight="1" x14ac:dyDescent="0.35">
      <c r="A4512" s="30"/>
      <c r="E4512" s="31"/>
      <c r="G4512" s="32" t="str">
        <f t="shared" si="140"/>
        <v>|||1900|</v>
      </c>
      <c r="H4512" s="32" t="str">
        <f t="shared" si="141"/>
        <v>||1900|</v>
      </c>
      <c r="I4512" s="32">
        <f>IF(G4512="",0,IF(COUNTIF($G$2:G4512,G4512)=1,1,0))</f>
        <v>0</v>
      </c>
      <c r="J4512" s="32">
        <f>IF(H4512="",0,IF(COUNTIF($H$2:H4512,H4512)=1,1,0))</f>
        <v>0</v>
      </c>
    </row>
    <row r="4513" spans="1:10" ht="14.25" hidden="1" customHeight="1" x14ac:dyDescent="0.35">
      <c r="A4513" s="30"/>
      <c r="E4513" s="31"/>
      <c r="G4513" s="32" t="str">
        <f t="shared" si="140"/>
        <v>|||1900|</v>
      </c>
      <c r="H4513" s="32" t="str">
        <f t="shared" si="141"/>
        <v>||1900|</v>
      </c>
      <c r="I4513" s="32">
        <f>IF(G4513="",0,IF(COUNTIF($G$2:G4513,G4513)=1,1,0))</f>
        <v>0</v>
      </c>
      <c r="J4513" s="32">
        <f>IF(H4513="",0,IF(COUNTIF($H$2:H4513,H4513)=1,1,0))</f>
        <v>0</v>
      </c>
    </row>
    <row r="4514" spans="1:10" ht="14.25" hidden="1" customHeight="1" x14ac:dyDescent="0.35">
      <c r="A4514" s="30"/>
      <c r="E4514" s="31"/>
      <c r="G4514" s="32" t="str">
        <f t="shared" si="140"/>
        <v>|||1900|</v>
      </c>
      <c r="H4514" s="32" t="str">
        <f t="shared" si="141"/>
        <v>||1900|</v>
      </c>
      <c r="I4514" s="32">
        <f>IF(G4514="",0,IF(COUNTIF($G$2:G4514,G4514)=1,1,0))</f>
        <v>0</v>
      </c>
      <c r="J4514" s="32">
        <f>IF(H4514="",0,IF(COUNTIF($H$2:H4514,H4514)=1,1,0))</f>
        <v>0</v>
      </c>
    </row>
    <row r="4515" spans="1:10" ht="14.25" hidden="1" customHeight="1" x14ac:dyDescent="0.35">
      <c r="A4515" s="30"/>
      <c r="E4515" s="31"/>
      <c r="G4515" s="32" t="str">
        <f t="shared" si="140"/>
        <v>|||1900|</v>
      </c>
      <c r="H4515" s="32" t="str">
        <f t="shared" si="141"/>
        <v>||1900|</v>
      </c>
      <c r="I4515" s="32">
        <f>IF(G4515="",0,IF(COUNTIF($G$2:G4515,G4515)=1,1,0))</f>
        <v>0</v>
      </c>
      <c r="J4515" s="32">
        <f>IF(H4515="",0,IF(COUNTIF($H$2:H4515,H4515)=1,1,0))</f>
        <v>0</v>
      </c>
    </row>
    <row r="4516" spans="1:10" ht="14.25" hidden="1" customHeight="1" x14ac:dyDescent="0.35">
      <c r="A4516" s="30"/>
      <c r="E4516" s="31"/>
      <c r="G4516" s="32" t="str">
        <f t="shared" si="140"/>
        <v>|||1900|</v>
      </c>
      <c r="H4516" s="32" t="str">
        <f t="shared" si="141"/>
        <v>||1900|</v>
      </c>
      <c r="I4516" s="32">
        <f>IF(G4516="",0,IF(COUNTIF($G$2:G4516,G4516)=1,1,0))</f>
        <v>0</v>
      </c>
      <c r="J4516" s="32">
        <f>IF(H4516="",0,IF(COUNTIF($H$2:H4516,H4516)=1,1,0))</f>
        <v>0</v>
      </c>
    </row>
    <row r="4517" spans="1:10" ht="14.25" hidden="1" customHeight="1" x14ac:dyDescent="0.35">
      <c r="A4517" s="30"/>
      <c r="E4517" s="31"/>
      <c r="G4517" s="32" t="str">
        <f t="shared" si="140"/>
        <v>|||1900|</v>
      </c>
      <c r="H4517" s="32" t="str">
        <f t="shared" si="141"/>
        <v>||1900|</v>
      </c>
      <c r="I4517" s="32">
        <f>IF(G4517="",0,IF(COUNTIF($G$2:G4517,G4517)=1,1,0))</f>
        <v>0</v>
      </c>
      <c r="J4517" s="32">
        <f>IF(H4517="",0,IF(COUNTIF($H$2:H4517,H4517)=1,1,0))</f>
        <v>0</v>
      </c>
    </row>
    <row r="4518" spans="1:10" ht="14.25" hidden="1" customHeight="1" x14ac:dyDescent="0.35">
      <c r="A4518" s="30"/>
      <c r="E4518" s="31"/>
      <c r="G4518" s="32" t="str">
        <f t="shared" si="140"/>
        <v>|||1900|</v>
      </c>
      <c r="H4518" s="32" t="str">
        <f t="shared" si="141"/>
        <v>||1900|</v>
      </c>
      <c r="I4518" s="32">
        <f>IF(G4518="",0,IF(COUNTIF($G$2:G4518,G4518)=1,1,0))</f>
        <v>0</v>
      </c>
      <c r="J4518" s="32">
        <f>IF(H4518="",0,IF(COUNTIF($H$2:H4518,H4518)=1,1,0))</f>
        <v>0</v>
      </c>
    </row>
    <row r="4519" spans="1:10" ht="14.25" hidden="1" customHeight="1" x14ac:dyDescent="0.35">
      <c r="A4519" s="30"/>
      <c r="E4519" s="31"/>
      <c r="G4519" s="32" t="str">
        <f t="shared" si="140"/>
        <v>|||1900|</v>
      </c>
      <c r="H4519" s="32" t="str">
        <f t="shared" si="141"/>
        <v>||1900|</v>
      </c>
      <c r="I4519" s="32">
        <f>IF(G4519="",0,IF(COUNTIF($G$2:G4519,G4519)=1,1,0))</f>
        <v>0</v>
      </c>
      <c r="J4519" s="32">
        <f>IF(H4519="",0,IF(COUNTIF($H$2:H4519,H4519)=1,1,0))</f>
        <v>0</v>
      </c>
    </row>
    <row r="4520" spans="1:10" ht="14.25" hidden="1" customHeight="1" x14ac:dyDescent="0.35">
      <c r="A4520" s="30"/>
      <c r="E4520" s="31"/>
      <c r="G4520" s="32" t="str">
        <f t="shared" si="140"/>
        <v>|||1900|</v>
      </c>
      <c r="H4520" s="32" t="str">
        <f t="shared" si="141"/>
        <v>||1900|</v>
      </c>
      <c r="I4520" s="32">
        <f>IF(G4520="",0,IF(COUNTIF($G$2:G4520,G4520)=1,1,0))</f>
        <v>0</v>
      </c>
      <c r="J4520" s="32">
        <f>IF(H4520="",0,IF(COUNTIF($H$2:H4520,H4520)=1,1,0))</f>
        <v>0</v>
      </c>
    </row>
    <row r="4521" spans="1:10" ht="14.25" hidden="1" customHeight="1" x14ac:dyDescent="0.35">
      <c r="A4521" s="30"/>
      <c r="E4521" s="31"/>
      <c r="G4521" s="32" t="str">
        <f t="shared" si="140"/>
        <v>|||1900|</v>
      </c>
      <c r="H4521" s="32" t="str">
        <f t="shared" si="141"/>
        <v>||1900|</v>
      </c>
      <c r="I4521" s="32">
        <f>IF(G4521="",0,IF(COUNTIF($G$2:G4521,G4521)=1,1,0))</f>
        <v>0</v>
      </c>
      <c r="J4521" s="32">
        <f>IF(H4521="",0,IF(COUNTIF($H$2:H4521,H4521)=1,1,0))</f>
        <v>0</v>
      </c>
    </row>
    <row r="4522" spans="1:10" ht="14.25" hidden="1" customHeight="1" x14ac:dyDescent="0.35">
      <c r="A4522" s="30"/>
      <c r="E4522" s="31"/>
      <c r="G4522" s="32" t="str">
        <f t="shared" si="140"/>
        <v>|||1900|</v>
      </c>
      <c r="H4522" s="32" t="str">
        <f t="shared" si="141"/>
        <v>||1900|</v>
      </c>
      <c r="I4522" s="32">
        <f>IF(G4522="",0,IF(COUNTIF($G$2:G4522,G4522)=1,1,0))</f>
        <v>0</v>
      </c>
      <c r="J4522" s="32">
        <f>IF(H4522="",0,IF(COUNTIF($H$2:H4522,H4522)=1,1,0))</f>
        <v>0</v>
      </c>
    </row>
    <row r="4523" spans="1:10" ht="14.25" hidden="1" customHeight="1" x14ac:dyDescent="0.35">
      <c r="A4523" s="30"/>
      <c r="E4523" s="31"/>
      <c r="G4523" s="32" t="str">
        <f t="shared" si="140"/>
        <v>|||1900|</v>
      </c>
      <c r="H4523" s="32" t="str">
        <f t="shared" si="141"/>
        <v>||1900|</v>
      </c>
      <c r="I4523" s="32">
        <f>IF(G4523="",0,IF(COUNTIF($G$2:G4523,G4523)=1,1,0))</f>
        <v>0</v>
      </c>
      <c r="J4523" s="32">
        <f>IF(H4523="",0,IF(COUNTIF($H$2:H4523,H4523)=1,1,0))</f>
        <v>0</v>
      </c>
    </row>
    <row r="4524" spans="1:10" ht="14.25" hidden="1" customHeight="1" x14ac:dyDescent="0.35">
      <c r="A4524" s="30"/>
      <c r="E4524" s="31"/>
      <c r="G4524" s="32" t="str">
        <f t="shared" si="140"/>
        <v>|||1900|</v>
      </c>
      <c r="H4524" s="32" t="str">
        <f t="shared" si="141"/>
        <v>||1900|</v>
      </c>
      <c r="I4524" s="32">
        <f>IF(G4524="",0,IF(COUNTIF($G$2:G4524,G4524)=1,1,0))</f>
        <v>0</v>
      </c>
      <c r="J4524" s="32">
        <f>IF(H4524="",0,IF(COUNTIF($H$2:H4524,H4524)=1,1,0))</f>
        <v>0</v>
      </c>
    </row>
    <row r="4525" spans="1:10" ht="14.25" hidden="1" customHeight="1" x14ac:dyDescent="0.35">
      <c r="A4525" s="30"/>
      <c r="E4525" s="31"/>
      <c r="G4525" s="32" t="str">
        <f t="shared" si="140"/>
        <v>|||1900|</v>
      </c>
      <c r="H4525" s="32" t="str">
        <f t="shared" si="141"/>
        <v>||1900|</v>
      </c>
      <c r="I4525" s="32">
        <f>IF(G4525="",0,IF(COUNTIF($G$2:G4525,G4525)=1,1,0))</f>
        <v>0</v>
      </c>
      <c r="J4525" s="32">
        <f>IF(H4525="",0,IF(COUNTIF($H$2:H4525,H4525)=1,1,0))</f>
        <v>0</v>
      </c>
    </row>
    <row r="4526" spans="1:10" ht="14.25" hidden="1" customHeight="1" x14ac:dyDescent="0.35">
      <c r="A4526" s="30"/>
      <c r="E4526" s="31"/>
      <c r="G4526" s="32" t="str">
        <f t="shared" si="140"/>
        <v>|||1900|</v>
      </c>
      <c r="H4526" s="32" t="str">
        <f t="shared" si="141"/>
        <v>||1900|</v>
      </c>
      <c r="I4526" s="32">
        <f>IF(G4526="",0,IF(COUNTIF($G$2:G4526,G4526)=1,1,0))</f>
        <v>0</v>
      </c>
      <c r="J4526" s="32">
        <f>IF(H4526="",0,IF(COUNTIF($H$2:H4526,H4526)=1,1,0))</f>
        <v>0</v>
      </c>
    </row>
    <row r="4527" spans="1:10" ht="14.25" hidden="1" customHeight="1" x14ac:dyDescent="0.35">
      <c r="A4527" s="30"/>
      <c r="E4527" s="31"/>
      <c r="G4527" s="32" t="str">
        <f t="shared" si="140"/>
        <v>|||1900|</v>
      </c>
      <c r="H4527" s="32" t="str">
        <f t="shared" si="141"/>
        <v>||1900|</v>
      </c>
      <c r="I4527" s="32">
        <f>IF(G4527="",0,IF(COUNTIF($G$2:G4527,G4527)=1,1,0))</f>
        <v>0</v>
      </c>
      <c r="J4527" s="32">
        <f>IF(H4527="",0,IF(COUNTIF($H$2:H4527,H4527)=1,1,0))</f>
        <v>0</v>
      </c>
    </row>
    <row r="4528" spans="1:10" ht="14.25" hidden="1" customHeight="1" x14ac:dyDescent="0.35">
      <c r="A4528" s="30"/>
      <c r="E4528" s="31"/>
      <c r="G4528" s="32" t="str">
        <f t="shared" si="140"/>
        <v>|||1900|</v>
      </c>
      <c r="H4528" s="32" t="str">
        <f t="shared" si="141"/>
        <v>||1900|</v>
      </c>
      <c r="I4528" s="32">
        <f>IF(G4528="",0,IF(COUNTIF($G$2:G4528,G4528)=1,1,0))</f>
        <v>0</v>
      </c>
      <c r="J4528" s="32">
        <f>IF(H4528="",0,IF(COUNTIF($H$2:H4528,H4528)=1,1,0))</f>
        <v>0</v>
      </c>
    </row>
    <row r="4529" spans="1:10" ht="14.25" hidden="1" customHeight="1" x14ac:dyDescent="0.35">
      <c r="A4529" s="30"/>
      <c r="E4529" s="31"/>
      <c r="G4529" s="32" t="str">
        <f t="shared" si="140"/>
        <v>|||1900|</v>
      </c>
      <c r="H4529" s="32" t="str">
        <f t="shared" si="141"/>
        <v>||1900|</v>
      </c>
      <c r="I4529" s="32">
        <f>IF(G4529="",0,IF(COUNTIF($G$2:G4529,G4529)=1,1,0))</f>
        <v>0</v>
      </c>
      <c r="J4529" s="32">
        <f>IF(H4529="",0,IF(COUNTIF($H$2:H4529,H4529)=1,1,0))</f>
        <v>0</v>
      </c>
    </row>
    <row r="4530" spans="1:10" ht="14.25" hidden="1" customHeight="1" x14ac:dyDescent="0.35">
      <c r="A4530" s="30"/>
      <c r="E4530" s="31"/>
      <c r="G4530" s="32" t="str">
        <f t="shared" si="140"/>
        <v>|||1900|</v>
      </c>
      <c r="H4530" s="32" t="str">
        <f t="shared" si="141"/>
        <v>||1900|</v>
      </c>
      <c r="I4530" s="32">
        <f>IF(G4530="",0,IF(COUNTIF($G$2:G4530,G4530)=1,1,0))</f>
        <v>0</v>
      </c>
      <c r="J4530" s="32">
        <f>IF(H4530="",0,IF(COUNTIF($H$2:H4530,H4530)=1,1,0))</f>
        <v>0</v>
      </c>
    </row>
    <row r="4531" spans="1:10" ht="14.25" hidden="1" customHeight="1" x14ac:dyDescent="0.35">
      <c r="A4531" s="30"/>
      <c r="E4531" s="31"/>
      <c r="G4531" s="32" t="str">
        <f t="shared" si="140"/>
        <v>|||1900|</v>
      </c>
      <c r="H4531" s="32" t="str">
        <f t="shared" si="141"/>
        <v>||1900|</v>
      </c>
      <c r="I4531" s="32">
        <f>IF(G4531="",0,IF(COUNTIF($G$2:G4531,G4531)=1,1,0))</f>
        <v>0</v>
      </c>
      <c r="J4531" s="32">
        <f>IF(H4531="",0,IF(COUNTIF($H$2:H4531,H4531)=1,1,0))</f>
        <v>0</v>
      </c>
    </row>
    <row r="4532" spans="1:10" ht="14.25" hidden="1" customHeight="1" x14ac:dyDescent="0.35">
      <c r="A4532" s="30"/>
      <c r="E4532" s="31"/>
      <c r="G4532" s="32" t="str">
        <f t="shared" si="140"/>
        <v>|||1900|</v>
      </c>
      <c r="H4532" s="32" t="str">
        <f t="shared" si="141"/>
        <v>||1900|</v>
      </c>
      <c r="I4532" s="32">
        <f>IF(G4532="",0,IF(COUNTIF($G$2:G4532,G4532)=1,1,0))</f>
        <v>0</v>
      </c>
      <c r="J4532" s="32">
        <f>IF(H4532="",0,IF(COUNTIF($H$2:H4532,H4532)=1,1,0))</f>
        <v>0</v>
      </c>
    </row>
    <row r="4533" spans="1:10" ht="14.25" hidden="1" customHeight="1" x14ac:dyDescent="0.35">
      <c r="A4533" s="30"/>
      <c r="E4533" s="31"/>
      <c r="G4533" s="32" t="str">
        <f t="shared" si="140"/>
        <v>|||1900|</v>
      </c>
      <c r="H4533" s="32" t="str">
        <f t="shared" si="141"/>
        <v>||1900|</v>
      </c>
      <c r="I4533" s="32">
        <f>IF(G4533="",0,IF(COUNTIF($G$2:G4533,G4533)=1,1,0))</f>
        <v>0</v>
      </c>
      <c r="J4533" s="32">
        <f>IF(H4533="",0,IF(COUNTIF($H$2:H4533,H4533)=1,1,0))</f>
        <v>0</v>
      </c>
    </row>
    <row r="4534" spans="1:10" ht="14.25" hidden="1" customHeight="1" x14ac:dyDescent="0.35">
      <c r="A4534" s="30"/>
      <c r="E4534" s="31"/>
      <c r="G4534" s="32" t="str">
        <f t="shared" si="140"/>
        <v>|||1900|</v>
      </c>
      <c r="H4534" s="32" t="str">
        <f t="shared" si="141"/>
        <v>||1900|</v>
      </c>
      <c r="I4534" s="32">
        <f>IF(G4534="",0,IF(COUNTIF($G$2:G4534,G4534)=1,1,0))</f>
        <v>0</v>
      </c>
      <c r="J4534" s="32">
        <f>IF(H4534="",0,IF(COUNTIF($H$2:H4534,H4534)=1,1,0))</f>
        <v>0</v>
      </c>
    </row>
    <row r="4535" spans="1:10" ht="14.25" hidden="1" customHeight="1" x14ac:dyDescent="0.35">
      <c r="A4535" s="30"/>
      <c r="E4535" s="31"/>
      <c r="G4535" s="32" t="str">
        <f t="shared" si="140"/>
        <v>|||1900|</v>
      </c>
      <c r="H4535" s="32" t="str">
        <f t="shared" si="141"/>
        <v>||1900|</v>
      </c>
      <c r="I4535" s="32">
        <f>IF(G4535="",0,IF(COUNTIF($G$2:G4535,G4535)=1,1,0))</f>
        <v>0</v>
      </c>
      <c r="J4535" s="32">
        <f>IF(H4535="",0,IF(COUNTIF($H$2:H4535,H4535)=1,1,0))</f>
        <v>0</v>
      </c>
    </row>
    <row r="4536" spans="1:10" ht="14.25" hidden="1" customHeight="1" x14ac:dyDescent="0.35">
      <c r="A4536" s="30"/>
      <c r="E4536" s="31"/>
      <c r="G4536" s="32" t="str">
        <f t="shared" si="140"/>
        <v>|||1900|</v>
      </c>
      <c r="H4536" s="32" t="str">
        <f t="shared" si="141"/>
        <v>||1900|</v>
      </c>
      <c r="I4536" s="32">
        <f>IF(G4536="",0,IF(COUNTIF($G$2:G4536,G4536)=1,1,0))</f>
        <v>0</v>
      </c>
      <c r="J4536" s="32">
        <f>IF(H4536="",0,IF(COUNTIF($H$2:H4536,H4536)=1,1,0))</f>
        <v>0</v>
      </c>
    </row>
    <row r="4537" spans="1:10" ht="14.25" hidden="1" customHeight="1" x14ac:dyDescent="0.35">
      <c r="A4537" s="30"/>
      <c r="E4537" s="31"/>
      <c r="G4537" s="32" t="str">
        <f t="shared" si="140"/>
        <v>|||1900|</v>
      </c>
      <c r="H4537" s="32" t="str">
        <f t="shared" si="141"/>
        <v>||1900|</v>
      </c>
      <c r="I4537" s="32">
        <f>IF(G4537="",0,IF(COUNTIF($G$2:G4537,G4537)=1,1,0))</f>
        <v>0</v>
      </c>
      <c r="J4537" s="32">
        <f>IF(H4537="",0,IF(COUNTIF($H$2:H4537,H4537)=1,1,0))</f>
        <v>0</v>
      </c>
    </row>
    <row r="4538" spans="1:10" ht="14.25" hidden="1" customHeight="1" x14ac:dyDescent="0.35">
      <c r="A4538" s="30"/>
      <c r="E4538" s="31"/>
      <c r="G4538" s="32" t="str">
        <f t="shared" si="140"/>
        <v>|||1900|</v>
      </c>
      <c r="H4538" s="32" t="str">
        <f t="shared" si="141"/>
        <v>||1900|</v>
      </c>
      <c r="I4538" s="32">
        <f>IF(G4538="",0,IF(COUNTIF($G$2:G4538,G4538)=1,1,0))</f>
        <v>0</v>
      </c>
      <c r="J4538" s="32">
        <f>IF(H4538="",0,IF(COUNTIF($H$2:H4538,H4538)=1,1,0))</f>
        <v>0</v>
      </c>
    </row>
    <row r="4539" spans="1:10" ht="14.25" hidden="1" customHeight="1" x14ac:dyDescent="0.35">
      <c r="A4539" s="30"/>
      <c r="E4539" s="31"/>
      <c r="G4539" s="32" t="str">
        <f t="shared" si="140"/>
        <v>|||1900|</v>
      </c>
      <c r="H4539" s="32" t="str">
        <f t="shared" si="141"/>
        <v>||1900|</v>
      </c>
      <c r="I4539" s="32">
        <f>IF(G4539="",0,IF(COUNTIF($G$2:G4539,G4539)=1,1,0))</f>
        <v>0</v>
      </c>
      <c r="J4539" s="32">
        <f>IF(H4539="",0,IF(COUNTIF($H$2:H4539,H4539)=1,1,0))</f>
        <v>0</v>
      </c>
    </row>
    <row r="4540" spans="1:10" ht="14.25" hidden="1" customHeight="1" x14ac:dyDescent="0.35">
      <c r="A4540" s="30"/>
      <c r="E4540" s="31"/>
      <c r="G4540" s="32" t="str">
        <f t="shared" si="140"/>
        <v>|||1900|</v>
      </c>
      <c r="H4540" s="32" t="str">
        <f t="shared" si="141"/>
        <v>||1900|</v>
      </c>
      <c r="I4540" s="32">
        <f>IF(G4540="",0,IF(COUNTIF($G$2:G4540,G4540)=1,1,0))</f>
        <v>0</v>
      </c>
      <c r="J4540" s="32">
        <f>IF(H4540="",0,IF(COUNTIF($H$2:H4540,H4540)=1,1,0))</f>
        <v>0</v>
      </c>
    </row>
    <row r="4541" spans="1:10" ht="14.25" hidden="1" customHeight="1" x14ac:dyDescent="0.35">
      <c r="A4541" s="30"/>
      <c r="E4541" s="31"/>
      <c r="G4541" s="32" t="str">
        <f t="shared" si="140"/>
        <v>|||1900|</v>
      </c>
      <c r="H4541" s="32" t="str">
        <f t="shared" si="141"/>
        <v>||1900|</v>
      </c>
      <c r="I4541" s="32">
        <f>IF(G4541="",0,IF(COUNTIF($G$2:G4541,G4541)=1,1,0))</f>
        <v>0</v>
      </c>
      <c r="J4541" s="32">
        <f>IF(H4541="",0,IF(COUNTIF($H$2:H4541,H4541)=1,1,0))</f>
        <v>0</v>
      </c>
    </row>
    <row r="4542" spans="1:10" ht="14.25" hidden="1" customHeight="1" x14ac:dyDescent="0.35">
      <c r="A4542" s="30"/>
      <c r="E4542" s="31"/>
      <c r="G4542" s="32" t="str">
        <f t="shared" si="140"/>
        <v>|||1900|</v>
      </c>
      <c r="H4542" s="32" t="str">
        <f t="shared" si="141"/>
        <v>||1900|</v>
      </c>
      <c r="I4542" s="32">
        <f>IF(G4542="",0,IF(COUNTIF($G$2:G4542,G4542)=1,1,0))</f>
        <v>0</v>
      </c>
      <c r="J4542" s="32">
        <f>IF(H4542="",0,IF(COUNTIF($H$2:H4542,H4542)=1,1,0))</f>
        <v>0</v>
      </c>
    </row>
    <row r="4543" spans="1:10" ht="14.25" hidden="1" customHeight="1" x14ac:dyDescent="0.35">
      <c r="A4543" s="30"/>
      <c r="E4543" s="31"/>
      <c r="G4543" s="32" t="str">
        <f t="shared" si="140"/>
        <v>|||1900|</v>
      </c>
      <c r="H4543" s="32" t="str">
        <f t="shared" si="141"/>
        <v>||1900|</v>
      </c>
      <c r="I4543" s="32">
        <f>IF(G4543="",0,IF(COUNTIF($G$2:G4543,G4543)=1,1,0))</f>
        <v>0</v>
      </c>
      <c r="J4543" s="32">
        <f>IF(H4543="",0,IF(COUNTIF($H$2:H4543,H4543)=1,1,0))</f>
        <v>0</v>
      </c>
    </row>
    <row r="4544" spans="1:10" ht="14.25" hidden="1" customHeight="1" x14ac:dyDescent="0.35">
      <c r="A4544" s="30"/>
      <c r="E4544" s="31"/>
      <c r="G4544" s="32" t="str">
        <f t="shared" si="140"/>
        <v>|||1900|</v>
      </c>
      <c r="H4544" s="32" t="str">
        <f t="shared" si="141"/>
        <v>||1900|</v>
      </c>
      <c r="I4544" s="32">
        <f>IF(G4544="",0,IF(COUNTIF($G$2:G4544,G4544)=1,1,0))</f>
        <v>0</v>
      </c>
      <c r="J4544" s="32">
        <f>IF(H4544="",0,IF(COUNTIF($H$2:H4544,H4544)=1,1,0))</f>
        <v>0</v>
      </c>
    </row>
    <row r="4545" spans="1:10" ht="14.25" hidden="1" customHeight="1" x14ac:dyDescent="0.35">
      <c r="A4545" s="30"/>
      <c r="E4545" s="31"/>
      <c r="G4545" s="32" t="str">
        <f t="shared" si="140"/>
        <v>|||1900|</v>
      </c>
      <c r="H4545" s="32" t="str">
        <f t="shared" si="141"/>
        <v>||1900|</v>
      </c>
      <c r="I4545" s="32">
        <f>IF(G4545="",0,IF(COUNTIF($G$2:G4545,G4545)=1,1,0))</f>
        <v>0</v>
      </c>
      <c r="J4545" s="32">
        <f>IF(H4545="",0,IF(COUNTIF($H$2:H4545,H4545)=1,1,0))</f>
        <v>0</v>
      </c>
    </row>
    <row r="4546" spans="1:10" ht="14.25" hidden="1" customHeight="1" x14ac:dyDescent="0.35">
      <c r="A4546" s="30"/>
      <c r="E4546" s="31"/>
      <c r="G4546" s="32" t="str">
        <f t="shared" ref="G4546:G4609" si="142">IF(D4546="T",
E4546&amp;"|"&amp;F4546,
A4546&amp;"|"&amp;B4546&amp;"|"&amp;C4546&amp;"|"&amp;YEAR(E4546)&amp;"|"&amp;F4546)</f>
        <v>|||1900|</v>
      </c>
      <c r="H4546" s="32" t="str">
        <f t="shared" ref="H4546:H4609" si="143">A4546&amp;"|"&amp;C4546&amp;"|"&amp;YEAR(E4546)&amp;"|"&amp;F4546</f>
        <v>||1900|</v>
      </c>
      <c r="I4546" s="32">
        <f>IF(G4546="",0,IF(COUNTIF($G$2:G4546,G4546)=1,1,0))</f>
        <v>0</v>
      </c>
      <c r="J4546" s="32">
        <f>IF(H4546="",0,IF(COUNTIF($H$2:H4546,H4546)=1,1,0))</f>
        <v>0</v>
      </c>
    </row>
    <row r="4547" spans="1:10" ht="14.25" hidden="1" customHeight="1" x14ac:dyDescent="0.35">
      <c r="A4547" s="30"/>
      <c r="E4547" s="31"/>
      <c r="G4547" s="32" t="str">
        <f t="shared" si="142"/>
        <v>|||1900|</v>
      </c>
      <c r="H4547" s="32" t="str">
        <f t="shared" si="143"/>
        <v>||1900|</v>
      </c>
      <c r="I4547" s="32">
        <f>IF(G4547="",0,IF(COUNTIF($G$2:G4547,G4547)=1,1,0))</f>
        <v>0</v>
      </c>
      <c r="J4547" s="32">
        <f>IF(H4547="",0,IF(COUNTIF($H$2:H4547,H4547)=1,1,0))</f>
        <v>0</v>
      </c>
    </row>
    <row r="4548" spans="1:10" ht="14.25" hidden="1" customHeight="1" x14ac:dyDescent="0.35">
      <c r="A4548" s="30"/>
      <c r="E4548" s="31"/>
      <c r="G4548" s="32" t="str">
        <f t="shared" si="142"/>
        <v>|||1900|</v>
      </c>
      <c r="H4548" s="32" t="str">
        <f t="shared" si="143"/>
        <v>||1900|</v>
      </c>
      <c r="I4548" s="32">
        <f>IF(G4548="",0,IF(COUNTIF($G$2:G4548,G4548)=1,1,0))</f>
        <v>0</v>
      </c>
      <c r="J4548" s="32">
        <f>IF(H4548="",0,IF(COUNTIF($H$2:H4548,H4548)=1,1,0))</f>
        <v>0</v>
      </c>
    </row>
    <row r="4549" spans="1:10" ht="14.25" hidden="1" customHeight="1" x14ac:dyDescent="0.35">
      <c r="A4549" s="30"/>
      <c r="E4549" s="31"/>
      <c r="G4549" s="32" t="str">
        <f t="shared" si="142"/>
        <v>|||1900|</v>
      </c>
      <c r="H4549" s="32" t="str">
        <f t="shared" si="143"/>
        <v>||1900|</v>
      </c>
      <c r="I4549" s="32">
        <f>IF(G4549="",0,IF(COUNTIF($G$2:G4549,G4549)=1,1,0))</f>
        <v>0</v>
      </c>
      <c r="J4549" s="32">
        <f>IF(H4549="",0,IF(COUNTIF($H$2:H4549,H4549)=1,1,0))</f>
        <v>0</v>
      </c>
    </row>
    <row r="4550" spans="1:10" ht="14.25" hidden="1" customHeight="1" x14ac:dyDescent="0.35">
      <c r="A4550" s="30"/>
      <c r="E4550" s="31"/>
      <c r="G4550" s="32" t="str">
        <f t="shared" si="142"/>
        <v>|||1900|</v>
      </c>
      <c r="H4550" s="32" t="str">
        <f t="shared" si="143"/>
        <v>||1900|</v>
      </c>
      <c r="I4550" s="32">
        <f>IF(G4550="",0,IF(COUNTIF($G$2:G4550,G4550)=1,1,0))</f>
        <v>0</v>
      </c>
      <c r="J4550" s="32">
        <f>IF(H4550="",0,IF(COUNTIF($H$2:H4550,H4550)=1,1,0))</f>
        <v>0</v>
      </c>
    </row>
    <row r="4551" spans="1:10" ht="14.25" hidden="1" customHeight="1" x14ac:dyDescent="0.35">
      <c r="A4551" s="30"/>
      <c r="E4551" s="31"/>
      <c r="G4551" s="32" t="str">
        <f t="shared" si="142"/>
        <v>|||1900|</v>
      </c>
      <c r="H4551" s="32" t="str">
        <f t="shared" si="143"/>
        <v>||1900|</v>
      </c>
      <c r="I4551" s="32">
        <f>IF(G4551="",0,IF(COUNTIF($G$2:G4551,G4551)=1,1,0))</f>
        <v>0</v>
      </c>
      <c r="J4551" s="32">
        <f>IF(H4551="",0,IF(COUNTIF($H$2:H4551,H4551)=1,1,0))</f>
        <v>0</v>
      </c>
    </row>
    <row r="4552" spans="1:10" ht="14.25" hidden="1" customHeight="1" x14ac:dyDescent="0.35">
      <c r="A4552" s="30"/>
      <c r="E4552" s="31"/>
      <c r="G4552" s="32" t="str">
        <f t="shared" si="142"/>
        <v>|||1900|</v>
      </c>
      <c r="H4552" s="32" t="str">
        <f t="shared" si="143"/>
        <v>||1900|</v>
      </c>
      <c r="I4552" s="32">
        <f>IF(G4552="",0,IF(COUNTIF($G$2:G4552,G4552)=1,1,0))</f>
        <v>0</v>
      </c>
      <c r="J4552" s="32">
        <f>IF(H4552="",0,IF(COUNTIF($H$2:H4552,H4552)=1,1,0))</f>
        <v>0</v>
      </c>
    </row>
    <row r="4553" spans="1:10" ht="14.25" hidden="1" customHeight="1" x14ac:dyDescent="0.35">
      <c r="A4553" s="30"/>
      <c r="E4553" s="31"/>
      <c r="G4553" s="32" t="str">
        <f t="shared" si="142"/>
        <v>|||1900|</v>
      </c>
      <c r="H4553" s="32" t="str">
        <f t="shared" si="143"/>
        <v>||1900|</v>
      </c>
      <c r="I4553" s="32">
        <f>IF(G4553="",0,IF(COUNTIF($G$2:G4553,G4553)=1,1,0))</f>
        <v>0</v>
      </c>
      <c r="J4553" s="32">
        <f>IF(H4553="",0,IF(COUNTIF($H$2:H4553,H4553)=1,1,0))</f>
        <v>0</v>
      </c>
    </row>
    <row r="4554" spans="1:10" ht="14.25" hidden="1" customHeight="1" x14ac:dyDescent="0.35">
      <c r="A4554" s="30"/>
      <c r="E4554" s="31"/>
      <c r="G4554" s="32" t="str">
        <f t="shared" si="142"/>
        <v>|||1900|</v>
      </c>
      <c r="H4554" s="32" t="str">
        <f t="shared" si="143"/>
        <v>||1900|</v>
      </c>
      <c r="I4554" s="32">
        <f>IF(G4554="",0,IF(COUNTIF($G$2:G4554,G4554)=1,1,0))</f>
        <v>0</v>
      </c>
      <c r="J4554" s="32">
        <f>IF(H4554="",0,IF(COUNTIF($H$2:H4554,H4554)=1,1,0))</f>
        <v>0</v>
      </c>
    </row>
    <row r="4555" spans="1:10" ht="14.25" hidden="1" customHeight="1" x14ac:dyDescent="0.35">
      <c r="A4555" s="30"/>
      <c r="E4555" s="31"/>
      <c r="G4555" s="32" t="str">
        <f t="shared" si="142"/>
        <v>|||1900|</v>
      </c>
      <c r="H4555" s="32" t="str">
        <f t="shared" si="143"/>
        <v>||1900|</v>
      </c>
      <c r="I4555" s="32">
        <f>IF(G4555="",0,IF(COUNTIF($G$2:G4555,G4555)=1,1,0))</f>
        <v>0</v>
      </c>
      <c r="J4555" s="32">
        <f>IF(H4555="",0,IF(COUNTIF($H$2:H4555,H4555)=1,1,0))</f>
        <v>0</v>
      </c>
    </row>
    <row r="4556" spans="1:10" ht="14.25" hidden="1" customHeight="1" x14ac:dyDescent="0.35">
      <c r="A4556" s="30"/>
      <c r="E4556" s="31"/>
      <c r="G4556" s="32" t="str">
        <f t="shared" si="142"/>
        <v>|||1900|</v>
      </c>
      <c r="H4556" s="32" t="str">
        <f t="shared" si="143"/>
        <v>||1900|</v>
      </c>
      <c r="I4556" s="32">
        <f>IF(G4556="",0,IF(COUNTIF($G$2:G4556,G4556)=1,1,0))</f>
        <v>0</v>
      </c>
      <c r="J4556" s="32">
        <f>IF(H4556="",0,IF(COUNTIF($H$2:H4556,H4556)=1,1,0))</f>
        <v>0</v>
      </c>
    </row>
    <row r="4557" spans="1:10" ht="14.25" hidden="1" customHeight="1" x14ac:dyDescent="0.35">
      <c r="A4557" s="30"/>
      <c r="E4557" s="31"/>
      <c r="G4557" s="32" t="str">
        <f t="shared" si="142"/>
        <v>|||1900|</v>
      </c>
      <c r="H4557" s="32" t="str">
        <f t="shared" si="143"/>
        <v>||1900|</v>
      </c>
      <c r="I4557" s="32">
        <f>IF(G4557="",0,IF(COUNTIF($G$2:G4557,G4557)=1,1,0))</f>
        <v>0</v>
      </c>
      <c r="J4557" s="32">
        <f>IF(H4557="",0,IF(COUNTIF($H$2:H4557,H4557)=1,1,0))</f>
        <v>0</v>
      </c>
    </row>
    <row r="4558" spans="1:10" ht="14.25" hidden="1" customHeight="1" x14ac:dyDescent="0.35">
      <c r="A4558" s="30"/>
      <c r="E4558" s="31"/>
      <c r="G4558" s="32" t="str">
        <f t="shared" si="142"/>
        <v>|||1900|</v>
      </c>
      <c r="H4558" s="32" t="str">
        <f t="shared" si="143"/>
        <v>||1900|</v>
      </c>
      <c r="I4558" s="32">
        <f>IF(G4558="",0,IF(COUNTIF($G$2:G4558,G4558)=1,1,0))</f>
        <v>0</v>
      </c>
      <c r="J4558" s="32">
        <f>IF(H4558="",0,IF(COUNTIF($H$2:H4558,H4558)=1,1,0))</f>
        <v>0</v>
      </c>
    </row>
    <row r="4559" spans="1:10" ht="14.25" hidden="1" customHeight="1" x14ac:dyDescent="0.35">
      <c r="A4559" s="30"/>
      <c r="E4559" s="31"/>
      <c r="G4559" s="32" t="str">
        <f t="shared" si="142"/>
        <v>|||1900|</v>
      </c>
      <c r="H4559" s="32" t="str">
        <f t="shared" si="143"/>
        <v>||1900|</v>
      </c>
      <c r="I4559" s="32">
        <f>IF(G4559="",0,IF(COUNTIF($G$2:G4559,G4559)=1,1,0))</f>
        <v>0</v>
      </c>
      <c r="J4559" s="32">
        <f>IF(H4559="",0,IF(COUNTIF($H$2:H4559,H4559)=1,1,0))</f>
        <v>0</v>
      </c>
    </row>
    <row r="4560" spans="1:10" ht="14.25" hidden="1" customHeight="1" x14ac:dyDescent="0.35">
      <c r="A4560" s="30"/>
      <c r="E4560" s="31"/>
      <c r="G4560" s="32" t="str">
        <f t="shared" si="142"/>
        <v>|||1900|</v>
      </c>
      <c r="H4560" s="32" t="str">
        <f t="shared" si="143"/>
        <v>||1900|</v>
      </c>
      <c r="I4560" s="32">
        <f>IF(G4560="",0,IF(COUNTIF($G$2:G4560,G4560)=1,1,0))</f>
        <v>0</v>
      </c>
      <c r="J4560" s="32">
        <f>IF(H4560="",0,IF(COUNTIF($H$2:H4560,H4560)=1,1,0))</f>
        <v>0</v>
      </c>
    </row>
    <row r="4561" spans="1:10" ht="14.25" hidden="1" customHeight="1" x14ac:dyDescent="0.35">
      <c r="A4561" s="30"/>
      <c r="E4561" s="31"/>
      <c r="G4561" s="32" t="str">
        <f t="shared" si="142"/>
        <v>|||1900|</v>
      </c>
      <c r="H4561" s="32" t="str">
        <f t="shared" si="143"/>
        <v>||1900|</v>
      </c>
      <c r="I4561" s="32">
        <f>IF(G4561="",0,IF(COUNTIF($G$2:G4561,G4561)=1,1,0))</f>
        <v>0</v>
      </c>
      <c r="J4561" s="32">
        <f>IF(H4561="",0,IF(COUNTIF($H$2:H4561,H4561)=1,1,0))</f>
        <v>0</v>
      </c>
    </row>
    <row r="4562" spans="1:10" ht="14.25" hidden="1" customHeight="1" x14ac:dyDescent="0.35">
      <c r="A4562" s="30"/>
      <c r="E4562" s="31"/>
      <c r="G4562" s="32" t="str">
        <f t="shared" si="142"/>
        <v>|||1900|</v>
      </c>
      <c r="H4562" s="32" t="str">
        <f t="shared" si="143"/>
        <v>||1900|</v>
      </c>
      <c r="I4562" s="32">
        <f>IF(G4562="",0,IF(COUNTIF($G$2:G4562,G4562)=1,1,0))</f>
        <v>0</v>
      </c>
      <c r="J4562" s="32">
        <f>IF(H4562="",0,IF(COUNTIF($H$2:H4562,H4562)=1,1,0))</f>
        <v>0</v>
      </c>
    </row>
    <row r="4563" spans="1:10" ht="14.25" hidden="1" customHeight="1" x14ac:dyDescent="0.35">
      <c r="A4563" s="30"/>
      <c r="E4563" s="31"/>
      <c r="G4563" s="32" t="str">
        <f t="shared" si="142"/>
        <v>|||1900|</v>
      </c>
      <c r="H4563" s="32" t="str">
        <f t="shared" si="143"/>
        <v>||1900|</v>
      </c>
      <c r="I4563" s="32">
        <f>IF(G4563="",0,IF(COUNTIF($G$2:G4563,G4563)=1,1,0))</f>
        <v>0</v>
      </c>
      <c r="J4563" s="32">
        <f>IF(H4563="",0,IF(COUNTIF($H$2:H4563,H4563)=1,1,0))</f>
        <v>0</v>
      </c>
    </row>
    <row r="4564" spans="1:10" ht="14.25" hidden="1" customHeight="1" x14ac:dyDescent="0.35">
      <c r="A4564" s="30"/>
      <c r="E4564" s="31"/>
      <c r="G4564" s="32" t="str">
        <f t="shared" si="142"/>
        <v>|||1900|</v>
      </c>
      <c r="H4564" s="32" t="str">
        <f t="shared" si="143"/>
        <v>||1900|</v>
      </c>
      <c r="I4564" s="32">
        <f>IF(G4564="",0,IF(COUNTIF($G$2:G4564,G4564)=1,1,0))</f>
        <v>0</v>
      </c>
      <c r="J4564" s="32">
        <f>IF(H4564="",0,IF(COUNTIF($H$2:H4564,H4564)=1,1,0))</f>
        <v>0</v>
      </c>
    </row>
    <row r="4565" spans="1:10" ht="14.25" hidden="1" customHeight="1" x14ac:dyDescent="0.35">
      <c r="A4565" s="30"/>
      <c r="E4565" s="31"/>
      <c r="G4565" s="32" t="str">
        <f t="shared" si="142"/>
        <v>|||1900|</v>
      </c>
      <c r="H4565" s="32" t="str">
        <f t="shared" si="143"/>
        <v>||1900|</v>
      </c>
      <c r="I4565" s="32">
        <f>IF(G4565="",0,IF(COUNTIF($G$2:G4565,G4565)=1,1,0))</f>
        <v>0</v>
      </c>
      <c r="J4565" s="32">
        <f>IF(H4565="",0,IF(COUNTIF($H$2:H4565,H4565)=1,1,0))</f>
        <v>0</v>
      </c>
    </row>
    <row r="4566" spans="1:10" ht="14.25" hidden="1" customHeight="1" x14ac:dyDescent="0.35">
      <c r="A4566" s="30"/>
      <c r="E4566" s="31"/>
      <c r="G4566" s="32" t="str">
        <f t="shared" si="142"/>
        <v>|||1900|</v>
      </c>
      <c r="H4566" s="32" t="str">
        <f t="shared" si="143"/>
        <v>||1900|</v>
      </c>
      <c r="I4566" s="32">
        <f>IF(G4566="",0,IF(COUNTIF($G$2:G4566,G4566)=1,1,0))</f>
        <v>0</v>
      </c>
      <c r="J4566" s="32">
        <f>IF(H4566="",0,IF(COUNTIF($H$2:H4566,H4566)=1,1,0))</f>
        <v>0</v>
      </c>
    </row>
    <row r="4567" spans="1:10" ht="14.25" hidden="1" customHeight="1" x14ac:dyDescent="0.35">
      <c r="A4567" s="30"/>
      <c r="E4567" s="31"/>
      <c r="G4567" s="32" t="str">
        <f t="shared" si="142"/>
        <v>|||1900|</v>
      </c>
      <c r="H4567" s="32" t="str">
        <f t="shared" si="143"/>
        <v>||1900|</v>
      </c>
      <c r="I4567" s="32">
        <f>IF(G4567="",0,IF(COUNTIF($G$2:G4567,G4567)=1,1,0))</f>
        <v>0</v>
      </c>
      <c r="J4567" s="32">
        <f>IF(H4567="",0,IF(COUNTIF($H$2:H4567,H4567)=1,1,0))</f>
        <v>0</v>
      </c>
    </row>
    <row r="4568" spans="1:10" ht="14.25" hidden="1" customHeight="1" x14ac:dyDescent="0.35">
      <c r="A4568" s="30"/>
      <c r="E4568" s="31"/>
      <c r="G4568" s="32" t="str">
        <f t="shared" si="142"/>
        <v>|||1900|</v>
      </c>
      <c r="H4568" s="32" t="str">
        <f t="shared" si="143"/>
        <v>||1900|</v>
      </c>
      <c r="I4568" s="32">
        <f>IF(G4568="",0,IF(COUNTIF($G$2:G4568,G4568)=1,1,0))</f>
        <v>0</v>
      </c>
      <c r="J4568" s="32">
        <f>IF(H4568="",0,IF(COUNTIF($H$2:H4568,H4568)=1,1,0))</f>
        <v>0</v>
      </c>
    </row>
    <row r="4569" spans="1:10" ht="14.25" hidden="1" customHeight="1" x14ac:dyDescent="0.35">
      <c r="A4569" s="30"/>
      <c r="E4569" s="31"/>
      <c r="G4569" s="32" t="str">
        <f t="shared" si="142"/>
        <v>|||1900|</v>
      </c>
      <c r="H4569" s="32" t="str">
        <f t="shared" si="143"/>
        <v>||1900|</v>
      </c>
      <c r="I4569" s="32">
        <f>IF(G4569="",0,IF(COUNTIF($G$2:G4569,G4569)=1,1,0))</f>
        <v>0</v>
      </c>
      <c r="J4569" s="32">
        <f>IF(H4569="",0,IF(COUNTIF($H$2:H4569,H4569)=1,1,0))</f>
        <v>0</v>
      </c>
    </row>
    <row r="4570" spans="1:10" ht="14.25" hidden="1" customHeight="1" x14ac:dyDescent="0.35">
      <c r="A4570" s="30"/>
      <c r="E4570" s="31"/>
      <c r="G4570" s="32" t="str">
        <f t="shared" si="142"/>
        <v>|||1900|</v>
      </c>
      <c r="H4570" s="32" t="str">
        <f t="shared" si="143"/>
        <v>||1900|</v>
      </c>
      <c r="I4570" s="32">
        <f>IF(G4570="",0,IF(COUNTIF($G$2:G4570,G4570)=1,1,0))</f>
        <v>0</v>
      </c>
      <c r="J4570" s="32">
        <f>IF(H4570="",0,IF(COUNTIF($H$2:H4570,H4570)=1,1,0))</f>
        <v>0</v>
      </c>
    </row>
    <row r="4571" spans="1:10" ht="14.25" hidden="1" customHeight="1" x14ac:dyDescent="0.35">
      <c r="A4571" s="30"/>
      <c r="E4571" s="31"/>
      <c r="G4571" s="32" t="str">
        <f t="shared" si="142"/>
        <v>|||1900|</v>
      </c>
      <c r="H4571" s="32" t="str">
        <f t="shared" si="143"/>
        <v>||1900|</v>
      </c>
      <c r="I4571" s="32">
        <f>IF(G4571="",0,IF(COUNTIF($G$2:G4571,G4571)=1,1,0))</f>
        <v>0</v>
      </c>
      <c r="J4571" s="32">
        <f>IF(H4571="",0,IF(COUNTIF($H$2:H4571,H4571)=1,1,0))</f>
        <v>0</v>
      </c>
    </row>
    <row r="4572" spans="1:10" ht="14.25" hidden="1" customHeight="1" x14ac:dyDescent="0.35">
      <c r="A4572" s="30"/>
      <c r="E4572" s="31"/>
      <c r="G4572" s="32" t="str">
        <f t="shared" si="142"/>
        <v>|||1900|</v>
      </c>
      <c r="H4572" s="32" t="str">
        <f t="shared" si="143"/>
        <v>||1900|</v>
      </c>
      <c r="I4572" s="32">
        <f>IF(G4572="",0,IF(COUNTIF($G$2:G4572,G4572)=1,1,0))</f>
        <v>0</v>
      </c>
      <c r="J4572" s="32">
        <f>IF(H4572="",0,IF(COUNTIF($H$2:H4572,H4572)=1,1,0))</f>
        <v>0</v>
      </c>
    </row>
    <row r="4573" spans="1:10" ht="14.25" hidden="1" customHeight="1" x14ac:dyDescent="0.35">
      <c r="A4573" s="30"/>
      <c r="E4573" s="31"/>
      <c r="G4573" s="32" t="str">
        <f t="shared" si="142"/>
        <v>|||1900|</v>
      </c>
      <c r="H4573" s="32" t="str">
        <f t="shared" si="143"/>
        <v>||1900|</v>
      </c>
      <c r="I4573" s="32">
        <f>IF(G4573="",0,IF(COUNTIF($G$2:G4573,G4573)=1,1,0))</f>
        <v>0</v>
      </c>
      <c r="J4573" s="32">
        <f>IF(H4573="",0,IF(COUNTIF($H$2:H4573,H4573)=1,1,0))</f>
        <v>0</v>
      </c>
    </row>
    <row r="4574" spans="1:10" ht="14.25" hidden="1" customHeight="1" x14ac:dyDescent="0.35">
      <c r="A4574" s="30"/>
      <c r="E4574" s="31"/>
      <c r="G4574" s="32" t="str">
        <f t="shared" si="142"/>
        <v>|||1900|</v>
      </c>
      <c r="H4574" s="32" t="str">
        <f t="shared" si="143"/>
        <v>||1900|</v>
      </c>
      <c r="I4574" s="32">
        <f>IF(G4574="",0,IF(COUNTIF($G$2:G4574,G4574)=1,1,0))</f>
        <v>0</v>
      </c>
      <c r="J4574" s="32">
        <f>IF(H4574="",0,IF(COUNTIF($H$2:H4574,H4574)=1,1,0))</f>
        <v>0</v>
      </c>
    </row>
    <row r="4575" spans="1:10" ht="14.25" hidden="1" customHeight="1" x14ac:dyDescent="0.35">
      <c r="A4575" s="30"/>
      <c r="E4575" s="31"/>
      <c r="G4575" s="32" t="str">
        <f t="shared" si="142"/>
        <v>|||1900|</v>
      </c>
      <c r="H4575" s="32" t="str">
        <f t="shared" si="143"/>
        <v>||1900|</v>
      </c>
      <c r="I4575" s="32">
        <f>IF(G4575="",0,IF(COUNTIF($G$2:G4575,G4575)=1,1,0))</f>
        <v>0</v>
      </c>
      <c r="J4575" s="32">
        <f>IF(H4575="",0,IF(COUNTIF($H$2:H4575,H4575)=1,1,0))</f>
        <v>0</v>
      </c>
    </row>
    <row r="4576" spans="1:10" ht="14.25" hidden="1" customHeight="1" x14ac:dyDescent="0.35">
      <c r="A4576" s="30"/>
      <c r="E4576" s="31"/>
      <c r="G4576" s="32" t="str">
        <f t="shared" si="142"/>
        <v>|||1900|</v>
      </c>
      <c r="H4576" s="32" t="str">
        <f t="shared" si="143"/>
        <v>||1900|</v>
      </c>
      <c r="I4576" s="32">
        <f>IF(G4576="",0,IF(COUNTIF($G$2:G4576,G4576)=1,1,0))</f>
        <v>0</v>
      </c>
      <c r="J4576" s="32">
        <f>IF(H4576="",0,IF(COUNTIF($H$2:H4576,H4576)=1,1,0))</f>
        <v>0</v>
      </c>
    </row>
    <row r="4577" spans="1:10" ht="14.25" hidden="1" customHeight="1" x14ac:dyDescent="0.35">
      <c r="A4577" s="30"/>
      <c r="E4577" s="31"/>
      <c r="G4577" s="32" t="str">
        <f t="shared" si="142"/>
        <v>|||1900|</v>
      </c>
      <c r="H4577" s="32" t="str">
        <f t="shared" si="143"/>
        <v>||1900|</v>
      </c>
      <c r="I4577" s="32">
        <f>IF(G4577="",0,IF(COUNTIF($G$2:G4577,G4577)=1,1,0))</f>
        <v>0</v>
      </c>
      <c r="J4577" s="32">
        <f>IF(H4577="",0,IF(COUNTIF($H$2:H4577,H4577)=1,1,0))</f>
        <v>0</v>
      </c>
    </row>
    <row r="4578" spans="1:10" ht="14.25" hidden="1" customHeight="1" x14ac:dyDescent="0.35">
      <c r="A4578" s="30"/>
      <c r="E4578" s="31"/>
      <c r="G4578" s="32" t="str">
        <f t="shared" si="142"/>
        <v>|||1900|</v>
      </c>
      <c r="H4578" s="32" t="str">
        <f t="shared" si="143"/>
        <v>||1900|</v>
      </c>
      <c r="I4578" s="32">
        <f>IF(G4578="",0,IF(COUNTIF($G$2:G4578,G4578)=1,1,0))</f>
        <v>0</v>
      </c>
      <c r="J4578" s="32">
        <f>IF(H4578="",0,IF(COUNTIF($H$2:H4578,H4578)=1,1,0))</f>
        <v>0</v>
      </c>
    </row>
    <row r="4579" spans="1:10" ht="14.25" hidden="1" customHeight="1" x14ac:dyDescent="0.35">
      <c r="A4579" s="30"/>
      <c r="E4579" s="31"/>
      <c r="G4579" s="32" t="str">
        <f t="shared" si="142"/>
        <v>|||1900|</v>
      </c>
      <c r="H4579" s="32" t="str">
        <f t="shared" si="143"/>
        <v>||1900|</v>
      </c>
      <c r="I4579" s="32">
        <f>IF(G4579="",0,IF(COUNTIF($G$2:G4579,G4579)=1,1,0))</f>
        <v>0</v>
      </c>
      <c r="J4579" s="32">
        <f>IF(H4579="",0,IF(COUNTIF($H$2:H4579,H4579)=1,1,0))</f>
        <v>0</v>
      </c>
    </row>
    <row r="4580" spans="1:10" ht="14.25" hidden="1" customHeight="1" x14ac:dyDescent="0.35">
      <c r="A4580" s="30"/>
      <c r="E4580" s="31"/>
      <c r="G4580" s="32" t="str">
        <f t="shared" si="142"/>
        <v>|||1900|</v>
      </c>
      <c r="H4580" s="32" t="str">
        <f t="shared" si="143"/>
        <v>||1900|</v>
      </c>
      <c r="I4580" s="32">
        <f>IF(G4580="",0,IF(COUNTIF($G$2:G4580,G4580)=1,1,0))</f>
        <v>0</v>
      </c>
      <c r="J4580" s="32">
        <f>IF(H4580="",0,IF(COUNTIF($H$2:H4580,H4580)=1,1,0))</f>
        <v>0</v>
      </c>
    </row>
    <row r="4581" spans="1:10" ht="14.25" hidden="1" customHeight="1" x14ac:dyDescent="0.35">
      <c r="A4581" s="30"/>
      <c r="E4581" s="31"/>
      <c r="G4581" s="32" t="str">
        <f t="shared" si="142"/>
        <v>|||1900|</v>
      </c>
      <c r="H4581" s="32" t="str">
        <f t="shared" si="143"/>
        <v>||1900|</v>
      </c>
      <c r="I4581" s="32">
        <f>IF(G4581="",0,IF(COUNTIF($G$2:G4581,G4581)=1,1,0))</f>
        <v>0</v>
      </c>
      <c r="J4581" s="32">
        <f>IF(H4581="",0,IF(COUNTIF($H$2:H4581,H4581)=1,1,0))</f>
        <v>0</v>
      </c>
    </row>
    <row r="4582" spans="1:10" ht="14.25" hidden="1" customHeight="1" x14ac:dyDescent="0.35">
      <c r="A4582" s="30"/>
      <c r="E4582" s="31"/>
      <c r="G4582" s="32" t="str">
        <f t="shared" si="142"/>
        <v>|||1900|</v>
      </c>
      <c r="H4582" s="32" t="str">
        <f t="shared" si="143"/>
        <v>||1900|</v>
      </c>
      <c r="I4582" s="32">
        <f>IF(G4582="",0,IF(COUNTIF($G$2:G4582,G4582)=1,1,0))</f>
        <v>0</v>
      </c>
      <c r="J4582" s="32">
        <f>IF(H4582="",0,IF(COUNTIF($H$2:H4582,H4582)=1,1,0))</f>
        <v>0</v>
      </c>
    </row>
    <row r="4583" spans="1:10" ht="14.25" hidden="1" customHeight="1" x14ac:dyDescent="0.35">
      <c r="A4583" s="30"/>
      <c r="E4583" s="31"/>
      <c r="G4583" s="32" t="str">
        <f t="shared" si="142"/>
        <v>|||1900|</v>
      </c>
      <c r="H4583" s="32" t="str">
        <f t="shared" si="143"/>
        <v>||1900|</v>
      </c>
      <c r="I4583" s="32">
        <f>IF(G4583="",0,IF(COUNTIF($G$2:G4583,G4583)=1,1,0))</f>
        <v>0</v>
      </c>
      <c r="J4583" s="32">
        <f>IF(H4583="",0,IF(COUNTIF($H$2:H4583,H4583)=1,1,0))</f>
        <v>0</v>
      </c>
    </row>
    <row r="4584" spans="1:10" ht="14.25" hidden="1" customHeight="1" x14ac:dyDescent="0.35">
      <c r="A4584" s="30"/>
      <c r="E4584" s="31"/>
      <c r="G4584" s="32" t="str">
        <f t="shared" si="142"/>
        <v>|||1900|</v>
      </c>
      <c r="H4584" s="32" t="str">
        <f t="shared" si="143"/>
        <v>||1900|</v>
      </c>
      <c r="I4584" s="32">
        <f>IF(G4584="",0,IF(COUNTIF($G$2:G4584,G4584)=1,1,0))</f>
        <v>0</v>
      </c>
      <c r="J4584" s="32">
        <f>IF(H4584="",0,IF(COUNTIF($H$2:H4584,H4584)=1,1,0))</f>
        <v>0</v>
      </c>
    </row>
    <row r="4585" spans="1:10" ht="14.25" hidden="1" customHeight="1" x14ac:dyDescent="0.35">
      <c r="A4585" s="30"/>
      <c r="E4585" s="31"/>
      <c r="G4585" s="32" t="str">
        <f t="shared" si="142"/>
        <v>|||1900|</v>
      </c>
      <c r="H4585" s="32" t="str">
        <f t="shared" si="143"/>
        <v>||1900|</v>
      </c>
      <c r="I4585" s="32">
        <f>IF(G4585="",0,IF(COUNTIF($G$2:G4585,G4585)=1,1,0))</f>
        <v>0</v>
      </c>
      <c r="J4585" s="32">
        <f>IF(H4585="",0,IF(COUNTIF($H$2:H4585,H4585)=1,1,0))</f>
        <v>0</v>
      </c>
    </row>
    <row r="4586" spans="1:10" ht="14.25" hidden="1" customHeight="1" x14ac:dyDescent="0.35">
      <c r="A4586" s="30"/>
      <c r="E4586" s="31"/>
      <c r="G4586" s="32" t="str">
        <f t="shared" si="142"/>
        <v>|||1900|</v>
      </c>
      <c r="H4586" s="32" t="str">
        <f t="shared" si="143"/>
        <v>||1900|</v>
      </c>
      <c r="I4586" s="32">
        <f>IF(G4586="",0,IF(COUNTIF($G$2:G4586,G4586)=1,1,0))</f>
        <v>0</v>
      </c>
      <c r="J4586" s="32">
        <f>IF(H4586="",0,IF(COUNTIF($H$2:H4586,H4586)=1,1,0))</f>
        <v>0</v>
      </c>
    </row>
    <row r="4587" spans="1:10" ht="14.25" hidden="1" customHeight="1" x14ac:dyDescent="0.35">
      <c r="A4587" s="30"/>
      <c r="E4587" s="31"/>
      <c r="G4587" s="32" t="str">
        <f t="shared" si="142"/>
        <v>|||1900|</v>
      </c>
      <c r="H4587" s="32" t="str">
        <f t="shared" si="143"/>
        <v>||1900|</v>
      </c>
      <c r="I4587" s="32">
        <f>IF(G4587="",0,IF(COUNTIF($G$2:G4587,G4587)=1,1,0))</f>
        <v>0</v>
      </c>
      <c r="J4587" s="32">
        <f>IF(H4587="",0,IF(COUNTIF($H$2:H4587,H4587)=1,1,0))</f>
        <v>0</v>
      </c>
    </row>
    <row r="4588" spans="1:10" ht="14.25" hidden="1" customHeight="1" x14ac:dyDescent="0.35">
      <c r="A4588" s="30"/>
      <c r="E4588" s="31"/>
      <c r="G4588" s="32" t="str">
        <f t="shared" si="142"/>
        <v>|||1900|</v>
      </c>
      <c r="H4588" s="32" t="str">
        <f t="shared" si="143"/>
        <v>||1900|</v>
      </c>
      <c r="I4588" s="32">
        <f>IF(G4588="",0,IF(COUNTIF($G$2:G4588,G4588)=1,1,0))</f>
        <v>0</v>
      </c>
      <c r="J4588" s="32">
        <f>IF(H4588="",0,IF(COUNTIF($H$2:H4588,H4588)=1,1,0))</f>
        <v>0</v>
      </c>
    </row>
    <row r="4589" spans="1:10" ht="14.25" hidden="1" customHeight="1" x14ac:dyDescent="0.35">
      <c r="A4589" s="30"/>
      <c r="E4589" s="31"/>
      <c r="G4589" s="32" t="str">
        <f t="shared" si="142"/>
        <v>|||1900|</v>
      </c>
      <c r="H4589" s="32" t="str">
        <f t="shared" si="143"/>
        <v>||1900|</v>
      </c>
      <c r="I4589" s="32">
        <f>IF(G4589="",0,IF(COUNTIF($G$2:G4589,G4589)=1,1,0))</f>
        <v>0</v>
      </c>
      <c r="J4589" s="32">
        <f>IF(H4589="",0,IF(COUNTIF($H$2:H4589,H4589)=1,1,0))</f>
        <v>0</v>
      </c>
    </row>
    <row r="4590" spans="1:10" ht="14.25" hidden="1" customHeight="1" x14ac:dyDescent="0.35">
      <c r="A4590" s="30"/>
      <c r="E4590" s="31"/>
      <c r="G4590" s="32" t="str">
        <f t="shared" si="142"/>
        <v>|||1900|</v>
      </c>
      <c r="H4590" s="32" t="str">
        <f t="shared" si="143"/>
        <v>||1900|</v>
      </c>
      <c r="I4590" s="32">
        <f>IF(G4590="",0,IF(COUNTIF($G$2:G4590,G4590)=1,1,0))</f>
        <v>0</v>
      </c>
      <c r="J4590" s="32">
        <f>IF(H4590="",0,IF(COUNTIF($H$2:H4590,H4590)=1,1,0))</f>
        <v>0</v>
      </c>
    </row>
    <row r="4591" spans="1:10" ht="14.25" hidden="1" customHeight="1" x14ac:dyDescent="0.35">
      <c r="A4591" s="30"/>
      <c r="E4591" s="31"/>
      <c r="G4591" s="32" t="str">
        <f t="shared" si="142"/>
        <v>|||1900|</v>
      </c>
      <c r="H4591" s="32" t="str">
        <f t="shared" si="143"/>
        <v>||1900|</v>
      </c>
      <c r="I4591" s="32">
        <f>IF(G4591="",0,IF(COUNTIF($G$2:G4591,G4591)=1,1,0))</f>
        <v>0</v>
      </c>
      <c r="J4591" s="32">
        <f>IF(H4591="",0,IF(COUNTIF($H$2:H4591,H4591)=1,1,0))</f>
        <v>0</v>
      </c>
    </row>
    <row r="4592" spans="1:10" ht="14.25" hidden="1" customHeight="1" x14ac:dyDescent="0.35">
      <c r="A4592" s="30"/>
      <c r="E4592" s="31"/>
      <c r="G4592" s="32" t="str">
        <f t="shared" si="142"/>
        <v>|||1900|</v>
      </c>
      <c r="H4592" s="32" t="str">
        <f t="shared" si="143"/>
        <v>||1900|</v>
      </c>
      <c r="I4592" s="32">
        <f>IF(G4592="",0,IF(COUNTIF($G$2:G4592,G4592)=1,1,0))</f>
        <v>0</v>
      </c>
      <c r="J4592" s="32">
        <f>IF(H4592="",0,IF(COUNTIF($H$2:H4592,H4592)=1,1,0))</f>
        <v>0</v>
      </c>
    </row>
    <row r="4593" spans="1:10" ht="14.25" hidden="1" customHeight="1" x14ac:dyDescent="0.35">
      <c r="A4593" s="30"/>
      <c r="E4593" s="31"/>
      <c r="G4593" s="32" t="str">
        <f t="shared" si="142"/>
        <v>|||1900|</v>
      </c>
      <c r="H4593" s="32" t="str">
        <f t="shared" si="143"/>
        <v>||1900|</v>
      </c>
      <c r="I4593" s="32">
        <f>IF(G4593="",0,IF(COUNTIF($G$2:G4593,G4593)=1,1,0))</f>
        <v>0</v>
      </c>
      <c r="J4593" s="32">
        <f>IF(H4593="",0,IF(COUNTIF($H$2:H4593,H4593)=1,1,0))</f>
        <v>0</v>
      </c>
    </row>
    <row r="4594" spans="1:10" ht="14.25" hidden="1" customHeight="1" x14ac:dyDescent="0.35">
      <c r="A4594" s="30"/>
      <c r="E4594" s="31"/>
      <c r="G4594" s="32" t="str">
        <f t="shared" si="142"/>
        <v>|||1900|</v>
      </c>
      <c r="H4594" s="32" t="str">
        <f t="shared" si="143"/>
        <v>||1900|</v>
      </c>
      <c r="I4594" s="32">
        <f>IF(G4594="",0,IF(COUNTIF($G$2:G4594,G4594)=1,1,0))</f>
        <v>0</v>
      </c>
      <c r="J4594" s="32">
        <f>IF(H4594="",0,IF(COUNTIF($H$2:H4594,H4594)=1,1,0))</f>
        <v>0</v>
      </c>
    </row>
    <row r="4595" spans="1:10" ht="14.25" hidden="1" customHeight="1" x14ac:dyDescent="0.35">
      <c r="A4595" s="30"/>
      <c r="E4595" s="31"/>
      <c r="G4595" s="32" t="str">
        <f t="shared" si="142"/>
        <v>|||1900|</v>
      </c>
      <c r="H4595" s="32" t="str">
        <f t="shared" si="143"/>
        <v>||1900|</v>
      </c>
      <c r="I4595" s="32">
        <f>IF(G4595="",0,IF(COUNTIF($G$2:G4595,G4595)=1,1,0))</f>
        <v>0</v>
      </c>
      <c r="J4595" s="32">
        <f>IF(H4595="",0,IF(COUNTIF($H$2:H4595,H4595)=1,1,0))</f>
        <v>0</v>
      </c>
    </row>
    <row r="4596" spans="1:10" ht="14.25" hidden="1" customHeight="1" x14ac:dyDescent="0.35">
      <c r="A4596" s="30"/>
      <c r="E4596" s="31"/>
      <c r="G4596" s="32" t="str">
        <f t="shared" si="142"/>
        <v>|||1900|</v>
      </c>
      <c r="H4596" s="32" t="str">
        <f t="shared" si="143"/>
        <v>||1900|</v>
      </c>
      <c r="I4596" s="32">
        <f>IF(G4596="",0,IF(COUNTIF($G$2:G4596,G4596)=1,1,0))</f>
        <v>0</v>
      </c>
      <c r="J4596" s="32">
        <f>IF(H4596="",0,IF(COUNTIF($H$2:H4596,H4596)=1,1,0))</f>
        <v>0</v>
      </c>
    </row>
    <row r="4597" spans="1:10" ht="14.25" hidden="1" customHeight="1" x14ac:dyDescent="0.35">
      <c r="A4597" s="30"/>
      <c r="E4597" s="31"/>
      <c r="G4597" s="32" t="str">
        <f t="shared" si="142"/>
        <v>|||1900|</v>
      </c>
      <c r="H4597" s="32" t="str">
        <f t="shared" si="143"/>
        <v>||1900|</v>
      </c>
      <c r="I4597" s="32">
        <f>IF(G4597="",0,IF(COUNTIF($G$2:G4597,G4597)=1,1,0))</f>
        <v>0</v>
      </c>
      <c r="J4597" s="32">
        <f>IF(H4597="",0,IF(COUNTIF($H$2:H4597,H4597)=1,1,0))</f>
        <v>0</v>
      </c>
    </row>
    <row r="4598" spans="1:10" ht="14.25" hidden="1" customHeight="1" x14ac:dyDescent="0.35">
      <c r="A4598" s="30"/>
      <c r="E4598" s="31"/>
      <c r="G4598" s="32" t="str">
        <f t="shared" si="142"/>
        <v>|||1900|</v>
      </c>
      <c r="H4598" s="32" t="str">
        <f t="shared" si="143"/>
        <v>||1900|</v>
      </c>
      <c r="I4598" s="32">
        <f>IF(G4598="",0,IF(COUNTIF($G$2:G4598,G4598)=1,1,0))</f>
        <v>0</v>
      </c>
      <c r="J4598" s="32">
        <f>IF(H4598="",0,IF(COUNTIF($H$2:H4598,H4598)=1,1,0))</f>
        <v>0</v>
      </c>
    </row>
    <row r="4599" spans="1:10" ht="14.25" hidden="1" customHeight="1" x14ac:dyDescent="0.35">
      <c r="A4599" s="30"/>
      <c r="E4599" s="31"/>
      <c r="G4599" s="32" t="str">
        <f t="shared" si="142"/>
        <v>|||1900|</v>
      </c>
      <c r="H4599" s="32" t="str">
        <f t="shared" si="143"/>
        <v>||1900|</v>
      </c>
      <c r="I4599" s="32">
        <f>IF(G4599="",0,IF(COUNTIF($G$2:G4599,G4599)=1,1,0))</f>
        <v>0</v>
      </c>
      <c r="J4599" s="32">
        <f>IF(H4599="",0,IF(COUNTIF($H$2:H4599,H4599)=1,1,0))</f>
        <v>0</v>
      </c>
    </row>
    <row r="4600" spans="1:10" ht="14.25" hidden="1" customHeight="1" x14ac:dyDescent="0.35">
      <c r="A4600" s="30"/>
      <c r="E4600" s="31"/>
      <c r="G4600" s="32" t="str">
        <f t="shared" si="142"/>
        <v>|||1900|</v>
      </c>
      <c r="H4600" s="32" t="str">
        <f t="shared" si="143"/>
        <v>||1900|</v>
      </c>
      <c r="I4600" s="32">
        <f>IF(G4600="",0,IF(COUNTIF($G$2:G4600,G4600)=1,1,0))</f>
        <v>0</v>
      </c>
      <c r="J4600" s="32">
        <f>IF(H4600="",0,IF(COUNTIF($H$2:H4600,H4600)=1,1,0))</f>
        <v>0</v>
      </c>
    </row>
    <row r="4601" spans="1:10" ht="14.25" hidden="1" customHeight="1" x14ac:dyDescent="0.35">
      <c r="A4601" s="30"/>
      <c r="E4601" s="31"/>
      <c r="G4601" s="32" t="str">
        <f t="shared" si="142"/>
        <v>|||1900|</v>
      </c>
      <c r="H4601" s="32" t="str">
        <f t="shared" si="143"/>
        <v>||1900|</v>
      </c>
      <c r="I4601" s="32">
        <f>IF(G4601="",0,IF(COUNTIF($G$2:G4601,G4601)=1,1,0))</f>
        <v>0</v>
      </c>
      <c r="J4601" s="32">
        <f>IF(H4601="",0,IF(COUNTIF($H$2:H4601,H4601)=1,1,0))</f>
        <v>0</v>
      </c>
    </row>
    <row r="4602" spans="1:10" ht="14.25" hidden="1" customHeight="1" x14ac:dyDescent="0.35">
      <c r="A4602" s="30"/>
      <c r="E4602" s="31"/>
      <c r="G4602" s="32" t="str">
        <f t="shared" si="142"/>
        <v>|||1900|</v>
      </c>
      <c r="H4602" s="32" t="str">
        <f t="shared" si="143"/>
        <v>||1900|</v>
      </c>
      <c r="I4602" s="32">
        <f>IF(G4602="",0,IF(COUNTIF($G$2:G4602,G4602)=1,1,0))</f>
        <v>0</v>
      </c>
      <c r="J4602" s="32">
        <f>IF(H4602="",0,IF(COUNTIF($H$2:H4602,H4602)=1,1,0))</f>
        <v>0</v>
      </c>
    </row>
    <row r="4603" spans="1:10" ht="14.25" hidden="1" customHeight="1" x14ac:dyDescent="0.35">
      <c r="A4603" s="30"/>
      <c r="E4603" s="31"/>
      <c r="G4603" s="32" t="str">
        <f t="shared" si="142"/>
        <v>|||1900|</v>
      </c>
      <c r="H4603" s="32" t="str">
        <f t="shared" si="143"/>
        <v>||1900|</v>
      </c>
      <c r="I4603" s="32">
        <f>IF(G4603="",0,IF(COUNTIF($G$2:G4603,G4603)=1,1,0))</f>
        <v>0</v>
      </c>
      <c r="J4603" s="32">
        <f>IF(H4603="",0,IF(COUNTIF($H$2:H4603,H4603)=1,1,0))</f>
        <v>0</v>
      </c>
    </row>
    <row r="4604" spans="1:10" ht="14.25" hidden="1" customHeight="1" x14ac:dyDescent="0.35">
      <c r="A4604" s="30"/>
      <c r="E4604" s="31"/>
      <c r="G4604" s="32" t="str">
        <f t="shared" si="142"/>
        <v>|||1900|</v>
      </c>
      <c r="H4604" s="32" t="str">
        <f t="shared" si="143"/>
        <v>||1900|</v>
      </c>
      <c r="I4604" s="32">
        <f>IF(G4604="",0,IF(COUNTIF($G$2:G4604,G4604)=1,1,0))</f>
        <v>0</v>
      </c>
      <c r="J4604" s="32">
        <f>IF(H4604="",0,IF(COUNTIF($H$2:H4604,H4604)=1,1,0))</f>
        <v>0</v>
      </c>
    </row>
    <row r="4605" spans="1:10" ht="14.25" hidden="1" customHeight="1" x14ac:dyDescent="0.35">
      <c r="A4605" s="30"/>
      <c r="E4605" s="31"/>
      <c r="G4605" s="32" t="str">
        <f t="shared" si="142"/>
        <v>|||1900|</v>
      </c>
      <c r="H4605" s="32" t="str">
        <f t="shared" si="143"/>
        <v>||1900|</v>
      </c>
      <c r="I4605" s="32">
        <f>IF(G4605="",0,IF(COUNTIF($G$2:G4605,G4605)=1,1,0))</f>
        <v>0</v>
      </c>
      <c r="J4605" s="32">
        <f>IF(H4605="",0,IF(COUNTIF($H$2:H4605,H4605)=1,1,0))</f>
        <v>0</v>
      </c>
    </row>
    <row r="4606" spans="1:10" ht="14.25" hidden="1" customHeight="1" x14ac:dyDescent="0.35">
      <c r="A4606" s="30"/>
      <c r="E4606" s="31"/>
      <c r="G4606" s="32" t="str">
        <f t="shared" si="142"/>
        <v>|||1900|</v>
      </c>
      <c r="H4606" s="32" t="str">
        <f t="shared" si="143"/>
        <v>||1900|</v>
      </c>
      <c r="I4606" s="32">
        <f>IF(G4606="",0,IF(COUNTIF($G$2:G4606,G4606)=1,1,0))</f>
        <v>0</v>
      </c>
      <c r="J4606" s="32">
        <f>IF(H4606="",0,IF(COUNTIF($H$2:H4606,H4606)=1,1,0))</f>
        <v>0</v>
      </c>
    </row>
    <row r="4607" spans="1:10" ht="14.25" hidden="1" customHeight="1" x14ac:dyDescent="0.35">
      <c r="A4607" s="30"/>
      <c r="E4607" s="31"/>
      <c r="G4607" s="32" t="str">
        <f t="shared" si="142"/>
        <v>|||1900|</v>
      </c>
      <c r="H4607" s="32" t="str">
        <f t="shared" si="143"/>
        <v>||1900|</v>
      </c>
      <c r="I4607" s="32">
        <f>IF(G4607="",0,IF(COUNTIF($G$2:G4607,G4607)=1,1,0))</f>
        <v>0</v>
      </c>
      <c r="J4607" s="32">
        <f>IF(H4607="",0,IF(COUNTIF($H$2:H4607,H4607)=1,1,0))</f>
        <v>0</v>
      </c>
    </row>
    <row r="4608" spans="1:10" ht="14.25" hidden="1" customHeight="1" x14ac:dyDescent="0.35">
      <c r="A4608" s="30"/>
      <c r="E4608" s="31"/>
      <c r="G4608" s="32" t="str">
        <f t="shared" si="142"/>
        <v>|||1900|</v>
      </c>
      <c r="H4608" s="32" t="str">
        <f t="shared" si="143"/>
        <v>||1900|</v>
      </c>
      <c r="I4608" s="32">
        <f>IF(G4608="",0,IF(COUNTIF($G$2:G4608,G4608)=1,1,0))</f>
        <v>0</v>
      </c>
      <c r="J4608" s="32">
        <f>IF(H4608="",0,IF(COUNTIF($H$2:H4608,H4608)=1,1,0))</f>
        <v>0</v>
      </c>
    </row>
    <row r="4609" spans="1:10" ht="14.25" hidden="1" customHeight="1" x14ac:dyDescent="0.35">
      <c r="A4609" s="30"/>
      <c r="E4609" s="31"/>
      <c r="G4609" s="32" t="str">
        <f t="shared" si="142"/>
        <v>|||1900|</v>
      </c>
      <c r="H4609" s="32" t="str">
        <f t="shared" si="143"/>
        <v>||1900|</v>
      </c>
      <c r="I4609" s="32">
        <f>IF(G4609="",0,IF(COUNTIF($G$2:G4609,G4609)=1,1,0))</f>
        <v>0</v>
      </c>
      <c r="J4609" s="32">
        <f>IF(H4609="",0,IF(COUNTIF($H$2:H4609,H4609)=1,1,0))</f>
        <v>0</v>
      </c>
    </row>
    <row r="4610" spans="1:10" ht="14.25" hidden="1" customHeight="1" x14ac:dyDescent="0.35">
      <c r="A4610" s="30"/>
      <c r="E4610" s="31"/>
      <c r="G4610" s="32" t="str">
        <f t="shared" ref="G4610:G4673" si="144">IF(D4610="T",
E4610&amp;"|"&amp;F4610,
A4610&amp;"|"&amp;B4610&amp;"|"&amp;C4610&amp;"|"&amp;YEAR(E4610)&amp;"|"&amp;F4610)</f>
        <v>|||1900|</v>
      </c>
      <c r="H4610" s="32" t="str">
        <f t="shared" ref="H4610:H4673" si="145">A4610&amp;"|"&amp;C4610&amp;"|"&amp;YEAR(E4610)&amp;"|"&amp;F4610</f>
        <v>||1900|</v>
      </c>
      <c r="I4610" s="32">
        <f>IF(G4610="",0,IF(COUNTIF($G$2:G4610,G4610)=1,1,0))</f>
        <v>0</v>
      </c>
      <c r="J4610" s="32">
        <f>IF(H4610="",0,IF(COUNTIF($H$2:H4610,H4610)=1,1,0))</f>
        <v>0</v>
      </c>
    </row>
    <row r="4611" spans="1:10" ht="14.25" hidden="1" customHeight="1" x14ac:dyDescent="0.35">
      <c r="A4611" s="30"/>
      <c r="E4611" s="31"/>
      <c r="G4611" s="32" t="str">
        <f t="shared" si="144"/>
        <v>|||1900|</v>
      </c>
      <c r="H4611" s="32" t="str">
        <f t="shared" si="145"/>
        <v>||1900|</v>
      </c>
      <c r="I4611" s="32">
        <f>IF(G4611="",0,IF(COUNTIF($G$2:G4611,G4611)=1,1,0))</f>
        <v>0</v>
      </c>
      <c r="J4611" s="32">
        <f>IF(H4611="",0,IF(COUNTIF($H$2:H4611,H4611)=1,1,0))</f>
        <v>0</v>
      </c>
    </row>
    <row r="4612" spans="1:10" ht="14.25" hidden="1" customHeight="1" x14ac:dyDescent="0.35">
      <c r="A4612" s="30"/>
      <c r="E4612" s="31"/>
      <c r="G4612" s="32" t="str">
        <f t="shared" si="144"/>
        <v>|||1900|</v>
      </c>
      <c r="H4612" s="32" t="str">
        <f t="shared" si="145"/>
        <v>||1900|</v>
      </c>
      <c r="I4612" s="32">
        <f>IF(G4612="",0,IF(COUNTIF($G$2:G4612,G4612)=1,1,0))</f>
        <v>0</v>
      </c>
      <c r="J4612" s="32">
        <f>IF(H4612="",0,IF(COUNTIF($H$2:H4612,H4612)=1,1,0))</f>
        <v>0</v>
      </c>
    </row>
    <row r="4613" spans="1:10" ht="14.25" hidden="1" customHeight="1" x14ac:dyDescent="0.35">
      <c r="A4613" s="30"/>
      <c r="E4613" s="31"/>
      <c r="G4613" s="32" t="str">
        <f t="shared" si="144"/>
        <v>|||1900|</v>
      </c>
      <c r="H4613" s="32" t="str">
        <f t="shared" si="145"/>
        <v>||1900|</v>
      </c>
      <c r="I4613" s="32">
        <f>IF(G4613="",0,IF(COUNTIF($G$2:G4613,G4613)=1,1,0))</f>
        <v>0</v>
      </c>
      <c r="J4613" s="32">
        <f>IF(H4613="",0,IF(COUNTIF($H$2:H4613,H4613)=1,1,0))</f>
        <v>0</v>
      </c>
    </row>
    <row r="4614" spans="1:10" ht="14.25" hidden="1" customHeight="1" x14ac:dyDescent="0.35">
      <c r="A4614" s="30"/>
      <c r="E4614" s="31"/>
      <c r="G4614" s="32" t="str">
        <f t="shared" si="144"/>
        <v>|||1900|</v>
      </c>
      <c r="H4614" s="32" t="str">
        <f t="shared" si="145"/>
        <v>||1900|</v>
      </c>
      <c r="I4614" s="32">
        <f>IF(G4614="",0,IF(COUNTIF($G$2:G4614,G4614)=1,1,0))</f>
        <v>0</v>
      </c>
      <c r="J4614" s="32">
        <f>IF(H4614="",0,IF(COUNTIF($H$2:H4614,H4614)=1,1,0))</f>
        <v>0</v>
      </c>
    </row>
    <row r="4615" spans="1:10" ht="14.25" hidden="1" customHeight="1" x14ac:dyDescent="0.35">
      <c r="A4615" s="30"/>
      <c r="E4615" s="31"/>
      <c r="G4615" s="32" t="str">
        <f t="shared" si="144"/>
        <v>|||1900|</v>
      </c>
      <c r="H4615" s="32" t="str">
        <f t="shared" si="145"/>
        <v>||1900|</v>
      </c>
      <c r="I4615" s="32">
        <f>IF(G4615="",0,IF(COUNTIF($G$2:G4615,G4615)=1,1,0))</f>
        <v>0</v>
      </c>
      <c r="J4615" s="32">
        <f>IF(H4615="",0,IF(COUNTIF($H$2:H4615,H4615)=1,1,0))</f>
        <v>0</v>
      </c>
    </row>
    <row r="4616" spans="1:10" ht="14.25" hidden="1" customHeight="1" x14ac:dyDescent="0.35">
      <c r="A4616" s="30"/>
      <c r="E4616" s="31"/>
      <c r="G4616" s="32" t="str">
        <f t="shared" si="144"/>
        <v>|||1900|</v>
      </c>
      <c r="H4616" s="32" t="str">
        <f t="shared" si="145"/>
        <v>||1900|</v>
      </c>
      <c r="I4616" s="32">
        <f>IF(G4616="",0,IF(COUNTIF($G$2:G4616,G4616)=1,1,0))</f>
        <v>0</v>
      </c>
      <c r="J4616" s="32">
        <f>IF(H4616="",0,IF(COUNTIF($H$2:H4616,H4616)=1,1,0))</f>
        <v>0</v>
      </c>
    </row>
    <row r="4617" spans="1:10" ht="14.25" hidden="1" customHeight="1" x14ac:dyDescent="0.35">
      <c r="A4617" s="30"/>
      <c r="E4617" s="31"/>
      <c r="G4617" s="32" t="str">
        <f t="shared" si="144"/>
        <v>|||1900|</v>
      </c>
      <c r="H4617" s="32" t="str">
        <f t="shared" si="145"/>
        <v>||1900|</v>
      </c>
      <c r="I4617" s="32">
        <f>IF(G4617="",0,IF(COUNTIF($G$2:G4617,G4617)=1,1,0))</f>
        <v>0</v>
      </c>
      <c r="J4617" s="32">
        <f>IF(H4617="",0,IF(COUNTIF($H$2:H4617,H4617)=1,1,0))</f>
        <v>0</v>
      </c>
    </row>
    <row r="4618" spans="1:10" ht="14.25" hidden="1" customHeight="1" x14ac:dyDescent="0.35">
      <c r="A4618" s="30"/>
      <c r="E4618" s="31"/>
      <c r="G4618" s="32" t="str">
        <f t="shared" si="144"/>
        <v>|||1900|</v>
      </c>
      <c r="H4618" s="32" t="str">
        <f t="shared" si="145"/>
        <v>||1900|</v>
      </c>
      <c r="I4618" s="32">
        <f>IF(G4618="",0,IF(COUNTIF($G$2:G4618,G4618)=1,1,0))</f>
        <v>0</v>
      </c>
      <c r="J4618" s="32">
        <f>IF(H4618="",0,IF(COUNTIF($H$2:H4618,H4618)=1,1,0))</f>
        <v>0</v>
      </c>
    </row>
    <row r="4619" spans="1:10" ht="14.25" hidden="1" customHeight="1" x14ac:dyDescent="0.35">
      <c r="A4619" s="30"/>
      <c r="E4619" s="31"/>
      <c r="G4619" s="32" t="str">
        <f t="shared" si="144"/>
        <v>|||1900|</v>
      </c>
      <c r="H4619" s="32" t="str">
        <f t="shared" si="145"/>
        <v>||1900|</v>
      </c>
      <c r="I4619" s="32">
        <f>IF(G4619="",0,IF(COUNTIF($G$2:G4619,G4619)=1,1,0))</f>
        <v>0</v>
      </c>
      <c r="J4619" s="32">
        <f>IF(H4619="",0,IF(COUNTIF($H$2:H4619,H4619)=1,1,0))</f>
        <v>0</v>
      </c>
    </row>
    <row r="4620" spans="1:10" ht="14.25" hidden="1" customHeight="1" x14ac:dyDescent="0.35">
      <c r="A4620" s="30"/>
      <c r="E4620" s="31"/>
      <c r="G4620" s="32" t="str">
        <f t="shared" si="144"/>
        <v>|||1900|</v>
      </c>
      <c r="H4620" s="32" t="str">
        <f t="shared" si="145"/>
        <v>||1900|</v>
      </c>
      <c r="I4620" s="32">
        <f>IF(G4620="",0,IF(COUNTIF($G$2:G4620,G4620)=1,1,0))</f>
        <v>0</v>
      </c>
      <c r="J4620" s="32">
        <f>IF(H4620="",0,IF(COUNTIF($H$2:H4620,H4620)=1,1,0))</f>
        <v>0</v>
      </c>
    </row>
    <row r="4621" spans="1:10" ht="14.25" hidden="1" customHeight="1" x14ac:dyDescent="0.35">
      <c r="A4621" s="30"/>
      <c r="E4621" s="31"/>
      <c r="G4621" s="32" t="str">
        <f t="shared" si="144"/>
        <v>|||1900|</v>
      </c>
      <c r="H4621" s="32" t="str">
        <f t="shared" si="145"/>
        <v>||1900|</v>
      </c>
      <c r="I4621" s="32">
        <f>IF(G4621="",0,IF(COUNTIF($G$2:G4621,G4621)=1,1,0))</f>
        <v>0</v>
      </c>
      <c r="J4621" s="32">
        <f>IF(H4621="",0,IF(COUNTIF($H$2:H4621,H4621)=1,1,0))</f>
        <v>0</v>
      </c>
    </row>
    <row r="4622" spans="1:10" ht="14.25" hidden="1" customHeight="1" x14ac:dyDescent="0.35">
      <c r="A4622" s="30"/>
      <c r="E4622" s="31"/>
      <c r="G4622" s="32" t="str">
        <f t="shared" si="144"/>
        <v>|||1900|</v>
      </c>
      <c r="H4622" s="32" t="str">
        <f t="shared" si="145"/>
        <v>||1900|</v>
      </c>
      <c r="I4622" s="32">
        <f>IF(G4622="",0,IF(COUNTIF($G$2:G4622,G4622)=1,1,0))</f>
        <v>0</v>
      </c>
      <c r="J4622" s="32">
        <f>IF(H4622="",0,IF(COUNTIF($H$2:H4622,H4622)=1,1,0))</f>
        <v>0</v>
      </c>
    </row>
    <row r="4623" spans="1:10" ht="14.25" hidden="1" customHeight="1" x14ac:dyDescent="0.35">
      <c r="A4623" s="30"/>
      <c r="E4623" s="31"/>
      <c r="G4623" s="32" t="str">
        <f t="shared" si="144"/>
        <v>|||1900|</v>
      </c>
      <c r="H4623" s="32" t="str">
        <f t="shared" si="145"/>
        <v>||1900|</v>
      </c>
      <c r="I4623" s="32">
        <f>IF(G4623="",0,IF(COUNTIF($G$2:G4623,G4623)=1,1,0))</f>
        <v>0</v>
      </c>
      <c r="J4623" s="32">
        <f>IF(H4623="",0,IF(COUNTIF($H$2:H4623,H4623)=1,1,0))</f>
        <v>0</v>
      </c>
    </row>
    <row r="4624" spans="1:10" ht="14.25" hidden="1" customHeight="1" x14ac:dyDescent="0.35">
      <c r="A4624" s="30"/>
      <c r="E4624" s="31"/>
      <c r="G4624" s="32" t="str">
        <f t="shared" si="144"/>
        <v>|||1900|</v>
      </c>
      <c r="H4624" s="32" t="str">
        <f t="shared" si="145"/>
        <v>||1900|</v>
      </c>
      <c r="I4624" s="32">
        <f>IF(G4624="",0,IF(COUNTIF($G$2:G4624,G4624)=1,1,0))</f>
        <v>0</v>
      </c>
      <c r="J4624" s="32">
        <f>IF(H4624="",0,IF(COUNTIF($H$2:H4624,H4624)=1,1,0))</f>
        <v>0</v>
      </c>
    </row>
    <row r="4625" spans="1:10" ht="14.25" hidden="1" customHeight="1" x14ac:dyDescent="0.35">
      <c r="A4625" s="30"/>
      <c r="E4625" s="31"/>
      <c r="G4625" s="32" t="str">
        <f t="shared" si="144"/>
        <v>|||1900|</v>
      </c>
      <c r="H4625" s="32" t="str">
        <f t="shared" si="145"/>
        <v>||1900|</v>
      </c>
      <c r="I4625" s="32">
        <f>IF(G4625="",0,IF(COUNTIF($G$2:G4625,G4625)=1,1,0))</f>
        <v>0</v>
      </c>
      <c r="J4625" s="32">
        <f>IF(H4625="",0,IF(COUNTIF($H$2:H4625,H4625)=1,1,0))</f>
        <v>0</v>
      </c>
    </row>
    <row r="4626" spans="1:10" ht="14.25" hidden="1" customHeight="1" x14ac:dyDescent="0.35">
      <c r="A4626" s="30"/>
      <c r="E4626" s="31"/>
      <c r="G4626" s="32" t="str">
        <f t="shared" si="144"/>
        <v>|||1900|</v>
      </c>
      <c r="H4626" s="32" t="str">
        <f t="shared" si="145"/>
        <v>||1900|</v>
      </c>
      <c r="I4626" s="32">
        <f>IF(G4626="",0,IF(COUNTIF($G$2:G4626,G4626)=1,1,0))</f>
        <v>0</v>
      </c>
      <c r="J4626" s="32">
        <f>IF(H4626="",0,IF(COUNTIF($H$2:H4626,H4626)=1,1,0))</f>
        <v>0</v>
      </c>
    </row>
    <row r="4627" spans="1:10" ht="14.25" hidden="1" customHeight="1" x14ac:dyDescent="0.35">
      <c r="A4627" s="30"/>
      <c r="E4627" s="31"/>
      <c r="G4627" s="32" t="str">
        <f t="shared" si="144"/>
        <v>|||1900|</v>
      </c>
      <c r="H4627" s="32" t="str">
        <f t="shared" si="145"/>
        <v>||1900|</v>
      </c>
      <c r="I4627" s="32">
        <f>IF(G4627="",0,IF(COUNTIF($G$2:G4627,G4627)=1,1,0))</f>
        <v>0</v>
      </c>
      <c r="J4627" s="32">
        <f>IF(H4627="",0,IF(COUNTIF($H$2:H4627,H4627)=1,1,0))</f>
        <v>0</v>
      </c>
    </row>
    <row r="4628" spans="1:10" ht="14.25" hidden="1" customHeight="1" x14ac:dyDescent="0.35">
      <c r="A4628" s="30"/>
      <c r="E4628" s="31"/>
      <c r="G4628" s="32" t="str">
        <f t="shared" si="144"/>
        <v>|||1900|</v>
      </c>
      <c r="H4628" s="32" t="str">
        <f t="shared" si="145"/>
        <v>||1900|</v>
      </c>
      <c r="I4628" s="32">
        <f>IF(G4628="",0,IF(COUNTIF($G$2:G4628,G4628)=1,1,0))</f>
        <v>0</v>
      </c>
      <c r="J4628" s="32">
        <f>IF(H4628="",0,IF(COUNTIF($H$2:H4628,H4628)=1,1,0))</f>
        <v>0</v>
      </c>
    </row>
    <row r="4629" spans="1:10" ht="14.25" hidden="1" customHeight="1" x14ac:dyDescent="0.35">
      <c r="A4629" s="30"/>
      <c r="E4629" s="31"/>
      <c r="G4629" s="32" t="str">
        <f t="shared" si="144"/>
        <v>|||1900|</v>
      </c>
      <c r="H4629" s="32" t="str">
        <f t="shared" si="145"/>
        <v>||1900|</v>
      </c>
      <c r="I4629" s="32">
        <f>IF(G4629="",0,IF(COUNTIF($G$2:G4629,G4629)=1,1,0))</f>
        <v>0</v>
      </c>
      <c r="J4629" s="32">
        <f>IF(H4629="",0,IF(COUNTIF($H$2:H4629,H4629)=1,1,0))</f>
        <v>0</v>
      </c>
    </row>
    <row r="4630" spans="1:10" ht="14.25" hidden="1" customHeight="1" x14ac:dyDescent="0.35">
      <c r="A4630" s="30"/>
      <c r="E4630" s="31"/>
      <c r="G4630" s="32" t="str">
        <f t="shared" si="144"/>
        <v>|||1900|</v>
      </c>
      <c r="H4630" s="32" t="str">
        <f t="shared" si="145"/>
        <v>||1900|</v>
      </c>
      <c r="I4630" s="32">
        <f>IF(G4630="",0,IF(COUNTIF($G$2:G4630,G4630)=1,1,0))</f>
        <v>0</v>
      </c>
      <c r="J4630" s="32">
        <f>IF(H4630="",0,IF(COUNTIF($H$2:H4630,H4630)=1,1,0))</f>
        <v>0</v>
      </c>
    </row>
    <row r="4631" spans="1:10" ht="14.25" hidden="1" customHeight="1" x14ac:dyDescent="0.35">
      <c r="A4631" s="30"/>
      <c r="E4631" s="31"/>
      <c r="G4631" s="32" t="str">
        <f t="shared" si="144"/>
        <v>|||1900|</v>
      </c>
      <c r="H4631" s="32" t="str">
        <f t="shared" si="145"/>
        <v>||1900|</v>
      </c>
      <c r="I4631" s="32">
        <f>IF(G4631="",0,IF(COUNTIF($G$2:G4631,G4631)=1,1,0))</f>
        <v>0</v>
      </c>
      <c r="J4631" s="32">
        <f>IF(H4631="",0,IF(COUNTIF($H$2:H4631,H4631)=1,1,0))</f>
        <v>0</v>
      </c>
    </row>
    <row r="4632" spans="1:10" ht="14.25" hidden="1" customHeight="1" x14ac:dyDescent="0.35">
      <c r="A4632" s="30"/>
      <c r="E4632" s="31"/>
      <c r="G4632" s="32" t="str">
        <f t="shared" si="144"/>
        <v>|||1900|</v>
      </c>
      <c r="H4632" s="32" t="str">
        <f t="shared" si="145"/>
        <v>||1900|</v>
      </c>
      <c r="I4632" s="32">
        <f>IF(G4632="",0,IF(COUNTIF($G$2:G4632,G4632)=1,1,0))</f>
        <v>0</v>
      </c>
      <c r="J4632" s="32">
        <f>IF(H4632="",0,IF(COUNTIF($H$2:H4632,H4632)=1,1,0))</f>
        <v>0</v>
      </c>
    </row>
    <row r="4633" spans="1:10" ht="14.25" hidden="1" customHeight="1" x14ac:dyDescent="0.35">
      <c r="A4633" s="30"/>
      <c r="E4633" s="31"/>
      <c r="G4633" s="32" t="str">
        <f t="shared" si="144"/>
        <v>|||1900|</v>
      </c>
      <c r="H4633" s="32" t="str">
        <f t="shared" si="145"/>
        <v>||1900|</v>
      </c>
      <c r="I4633" s="32">
        <f>IF(G4633="",0,IF(COUNTIF($G$2:G4633,G4633)=1,1,0))</f>
        <v>0</v>
      </c>
      <c r="J4633" s="32">
        <f>IF(H4633="",0,IF(COUNTIF($H$2:H4633,H4633)=1,1,0))</f>
        <v>0</v>
      </c>
    </row>
    <row r="4634" spans="1:10" ht="14.25" hidden="1" customHeight="1" x14ac:dyDescent="0.35">
      <c r="A4634" s="30"/>
      <c r="E4634" s="31"/>
      <c r="G4634" s="32" t="str">
        <f t="shared" si="144"/>
        <v>|||1900|</v>
      </c>
      <c r="H4634" s="32" t="str">
        <f t="shared" si="145"/>
        <v>||1900|</v>
      </c>
      <c r="I4634" s="32">
        <f>IF(G4634="",0,IF(COUNTIF($G$2:G4634,G4634)=1,1,0))</f>
        <v>0</v>
      </c>
      <c r="J4634" s="32">
        <f>IF(H4634="",0,IF(COUNTIF($H$2:H4634,H4634)=1,1,0))</f>
        <v>0</v>
      </c>
    </row>
    <row r="4635" spans="1:10" ht="14.25" hidden="1" customHeight="1" x14ac:dyDescent="0.35">
      <c r="A4635" s="30"/>
      <c r="E4635" s="31"/>
      <c r="G4635" s="32" t="str">
        <f t="shared" si="144"/>
        <v>|||1900|</v>
      </c>
      <c r="H4635" s="32" t="str">
        <f t="shared" si="145"/>
        <v>||1900|</v>
      </c>
      <c r="I4635" s="32">
        <f>IF(G4635="",0,IF(COUNTIF($G$2:G4635,G4635)=1,1,0))</f>
        <v>0</v>
      </c>
      <c r="J4635" s="32">
        <f>IF(H4635="",0,IF(COUNTIF($H$2:H4635,H4635)=1,1,0))</f>
        <v>0</v>
      </c>
    </row>
    <row r="4636" spans="1:10" ht="14.25" hidden="1" customHeight="1" x14ac:dyDescent="0.35">
      <c r="A4636" s="30"/>
      <c r="E4636" s="31"/>
      <c r="G4636" s="32" t="str">
        <f t="shared" si="144"/>
        <v>|||1900|</v>
      </c>
      <c r="H4636" s="32" t="str">
        <f t="shared" si="145"/>
        <v>||1900|</v>
      </c>
      <c r="I4636" s="32">
        <f>IF(G4636="",0,IF(COUNTIF($G$2:G4636,G4636)=1,1,0))</f>
        <v>0</v>
      </c>
      <c r="J4636" s="32">
        <f>IF(H4636="",0,IF(COUNTIF($H$2:H4636,H4636)=1,1,0))</f>
        <v>0</v>
      </c>
    </row>
    <row r="4637" spans="1:10" ht="14.25" hidden="1" customHeight="1" x14ac:dyDescent="0.35">
      <c r="A4637" s="30"/>
      <c r="E4637" s="31"/>
      <c r="G4637" s="32" t="str">
        <f t="shared" si="144"/>
        <v>|||1900|</v>
      </c>
      <c r="H4637" s="32" t="str">
        <f t="shared" si="145"/>
        <v>||1900|</v>
      </c>
      <c r="I4637" s="32">
        <f>IF(G4637="",0,IF(COUNTIF($G$2:G4637,G4637)=1,1,0))</f>
        <v>0</v>
      </c>
      <c r="J4637" s="32">
        <f>IF(H4637="",0,IF(COUNTIF($H$2:H4637,H4637)=1,1,0))</f>
        <v>0</v>
      </c>
    </row>
    <row r="4638" spans="1:10" ht="14.25" hidden="1" customHeight="1" x14ac:dyDescent="0.35">
      <c r="A4638" s="30"/>
      <c r="E4638" s="31"/>
      <c r="G4638" s="32" t="str">
        <f t="shared" si="144"/>
        <v>|||1900|</v>
      </c>
      <c r="H4638" s="32" t="str">
        <f t="shared" si="145"/>
        <v>||1900|</v>
      </c>
      <c r="I4638" s="32">
        <f>IF(G4638="",0,IF(COUNTIF($G$2:G4638,G4638)=1,1,0))</f>
        <v>0</v>
      </c>
      <c r="J4638" s="32">
        <f>IF(H4638="",0,IF(COUNTIF($H$2:H4638,H4638)=1,1,0))</f>
        <v>0</v>
      </c>
    </row>
    <row r="4639" spans="1:10" ht="14.25" hidden="1" customHeight="1" x14ac:dyDescent="0.35">
      <c r="A4639" s="30"/>
      <c r="E4639" s="31"/>
      <c r="G4639" s="32" t="str">
        <f t="shared" si="144"/>
        <v>|||1900|</v>
      </c>
      <c r="H4639" s="32" t="str">
        <f t="shared" si="145"/>
        <v>||1900|</v>
      </c>
      <c r="I4639" s="32">
        <f>IF(G4639="",0,IF(COUNTIF($G$2:G4639,G4639)=1,1,0))</f>
        <v>0</v>
      </c>
      <c r="J4639" s="32">
        <f>IF(H4639="",0,IF(COUNTIF($H$2:H4639,H4639)=1,1,0))</f>
        <v>0</v>
      </c>
    </row>
    <row r="4640" spans="1:10" ht="14.25" hidden="1" customHeight="1" x14ac:dyDescent="0.35">
      <c r="A4640" s="30"/>
      <c r="E4640" s="31"/>
      <c r="G4640" s="32" t="str">
        <f t="shared" si="144"/>
        <v>|||1900|</v>
      </c>
      <c r="H4640" s="32" t="str">
        <f t="shared" si="145"/>
        <v>||1900|</v>
      </c>
      <c r="I4640" s="32">
        <f>IF(G4640="",0,IF(COUNTIF($G$2:G4640,G4640)=1,1,0))</f>
        <v>0</v>
      </c>
      <c r="J4640" s="32">
        <f>IF(H4640="",0,IF(COUNTIF($H$2:H4640,H4640)=1,1,0))</f>
        <v>0</v>
      </c>
    </row>
    <row r="4641" spans="1:10" ht="14.25" hidden="1" customHeight="1" x14ac:dyDescent="0.35">
      <c r="A4641" s="30"/>
      <c r="E4641" s="31"/>
      <c r="G4641" s="32" t="str">
        <f t="shared" si="144"/>
        <v>|||1900|</v>
      </c>
      <c r="H4641" s="32" t="str">
        <f t="shared" si="145"/>
        <v>||1900|</v>
      </c>
      <c r="I4641" s="32">
        <f>IF(G4641="",0,IF(COUNTIF($G$2:G4641,G4641)=1,1,0))</f>
        <v>0</v>
      </c>
      <c r="J4641" s="32">
        <f>IF(H4641="",0,IF(COUNTIF($H$2:H4641,H4641)=1,1,0))</f>
        <v>0</v>
      </c>
    </row>
    <row r="4642" spans="1:10" ht="14.25" hidden="1" customHeight="1" x14ac:dyDescent="0.35">
      <c r="A4642" s="30"/>
      <c r="E4642" s="31"/>
      <c r="G4642" s="32" t="str">
        <f t="shared" si="144"/>
        <v>|||1900|</v>
      </c>
      <c r="H4642" s="32" t="str">
        <f t="shared" si="145"/>
        <v>||1900|</v>
      </c>
      <c r="I4642" s="32">
        <f>IF(G4642="",0,IF(COUNTIF($G$2:G4642,G4642)=1,1,0))</f>
        <v>0</v>
      </c>
      <c r="J4642" s="32">
        <f>IF(H4642="",0,IF(COUNTIF($H$2:H4642,H4642)=1,1,0))</f>
        <v>0</v>
      </c>
    </row>
    <row r="4643" spans="1:10" ht="14.25" hidden="1" customHeight="1" x14ac:dyDescent="0.35">
      <c r="A4643" s="30"/>
      <c r="E4643" s="31"/>
      <c r="G4643" s="32" t="str">
        <f t="shared" si="144"/>
        <v>|||1900|</v>
      </c>
      <c r="H4643" s="32" t="str">
        <f t="shared" si="145"/>
        <v>||1900|</v>
      </c>
      <c r="I4643" s="32">
        <f>IF(G4643="",0,IF(COUNTIF($G$2:G4643,G4643)=1,1,0))</f>
        <v>0</v>
      </c>
      <c r="J4643" s="32">
        <f>IF(H4643="",0,IF(COUNTIF($H$2:H4643,H4643)=1,1,0))</f>
        <v>0</v>
      </c>
    </row>
    <row r="4644" spans="1:10" ht="14.25" hidden="1" customHeight="1" x14ac:dyDescent="0.35">
      <c r="A4644" s="30"/>
      <c r="E4644" s="31"/>
      <c r="G4644" s="32" t="str">
        <f t="shared" si="144"/>
        <v>|||1900|</v>
      </c>
      <c r="H4644" s="32" t="str">
        <f t="shared" si="145"/>
        <v>||1900|</v>
      </c>
      <c r="I4644" s="32">
        <f>IF(G4644="",0,IF(COUNTIF($G$2:G4644,G4644)=1,1,0))</f>
        <v>0</v>
      </c>
      <c r="J4644" s="32">
        <f>IF(H4644="",0,IF(COUNTIF($H$2:H4644,H4644)=1,1,0))</f>
        <v>0</v>
      </c>
    </row>
    <row r="4645" spans="1:10" ht="14.25" hidden="1" customHeight="1" x14ac:dyDescent="0.35">
      <c r="A4645" s="30"/>
      <c r="E4645" s="31"/>
      <c r="G4645" s="32" t="str">
        <f t="shared" si="144"/>
        <v>|||1900|</v>
      </c>
      <c r="H4645" s="32" t="str">
        <f t="shared" si="145"/>
        <v>||1900|</v>
      </c>
      <c r="I4645" s="32">
        <f>IF(G4645="",0,IF(COUNTIF($G$2:G4645,G4645)=1,1,0))</f>
        <v>0</v>
      </c>
      <c r="J4645" s="32">
        <f>IF(H4645="",0,IF(COUNTIF($H$2:H4645,H4645)=1,1,0))</f>
        <v>0</v>
      </c>
    </row>
    <row r="4646" spans="1:10" ht="14.25" hidden="1" customHeight="1" x14ac:dyDescent="0.35">
      <c r="A4646" s="30"/>
      <c r="E4646" s="31"/>
      <c r="G4646" s="32" t="str">
        <f t="shared" si="144"/>
        <v>|||1900|</v>
      </c>
      <c r="H4646" s="32" t="str">
        <f t="shared" si="145"/>
        <v>||1900|</v>
      </c>
      <c r="I4646" s="32">
        <f>IF(G4646="",0,IF(COUNTIF($G$2:G4646,G4646)=1,1,0))</f>
        <v>0</v>
      </c>
      <c r="J4646" s="32">
        <f>IF(H4646="",0,IF(COUNTIF($H$2:H4646,H4646)=1,1,0))</f>
        <v>0</v>
      </c>
    </row>
    <row r="4647" spans="1:10" ht="14.25" hidden="1" customHeight="1" x14ac:dyDescent="0.35">
      <c r="A4647" s="30"/>
      <c r="E4647" s="31"/>
      <c r="G4647" s="32" t="str">
        <f t="shared" si="144"/>
        <v>|||1900|</v>
      </c>
      <c r="H4647" s="32" t="str">
        <f t="shared" si="145"/>
        <v>||1900|</v>
      </c>
      <c r="I4647" s="32">
        <f>IF(G4647="",0,IF(COUNTIF($G$2:G4647,G4647)=1,1,0))</f>
        <v>0</v>
      </c>
      <c r="J4647" s="32">
        <f>IF(H4647="",0,IF(COUNTIF($H$2:H4647,H4647)=1,1,0))</f>
        <v>0</v>
      </c>
    </row>
    <row r="4648" spans="1:10" ht="14.25" hidden="1" customHeight="1" x14ac:dyDescent="0.35">
      <c r="A4648" s="30"/>
      <c r="E4648" s="31"/>
      <c r="G4648" s="32" t="str">
        <f t="shared" si="144"/>
        <v>|||1900|</v>
      </c>
      <c r="H4648" s="32" t="str">
        <f t="shared" si="145"/>
        <v>||1900|</v>
      </c>
      <c r="I4648" s="32">
        <f>IF(G4648="",0,IF(COUNTIF($G$2:G4648,G4648)=1,1,0))</f>
        <v>0</v>
      </c>
      <c r="J4648" s="32">
        <f>IF(H4648="",0,IF(COUNTIF($H$2:H4648,H4648)=1,1,0))</f>
        <v>0</v>
      </c>
    </row>
    <row r="4649" spans="1:10" ht="14.25" hidden="1" customHeight="1" x14ac:dyDescent="0.35">
      <c r="A4649" s="30"/>
      <c r="E4649" s="31"/>
      <c r="G4649" s="32" t="str">
        <f t="shared" si="144"/>
        <v>|||1900|</v>
      </c>
      <c r="H4649" s="32" t="str">
        <f t="shared" si="145"/>
        <v>||1900|</v>
      </c>
      <c r="I4649" s="32">
        <f>IF(G4649="",0,IF(COUNTIF($G$2:G4649,G4649)=1,1,0))</f>
        <v>0</v>
      </c>
      <c r="J4649" s="32">
        <f>IF(H4649="",0,IF(COUNTIF($H$2:H4649,H4649)=1,1,0))</f>
        <v>0</v>
      </c>
    </row>
    <row r="4650" spans="1:10" ht="14.25" hidden="1" customHeight="1" x14ac:dyDescent="0.35">
      <c r="A4650" s="30"/>
      <c r="E4650" s="31"/>
      <c r="G4650" s="32" t="str">
        <f t="shared" si="144"/>
        <v>|||1900|</v>
      </c>
      <c r="H4650" s="32" t="str">
        <f t="shared" si="145"/>
        <v>||1900|</v>
      </c>
      <c r="I4650" s="32">
        <f>IF(G4650="",0,IF(COUNTIF($G$2:G4650,G4650)=1,1,0))</f>
        <v>0</v>
      </c>
      <c r="J4650" s="32">
        <f>IF(H4650="",0,IF(COUNTIF($H$2:H4650,H4650)=1,1,0))</f>
        <v>0</v>
      </c>
    </row>
    <row r="4651" spans="1:10" ht="14.25" hidden="1" customHeight="1" x14ac:dyDescent="0.35">
      <c r="A4651" s="30"/>
      <c r="E4651" s="31"/>
      <c r="G4651" s="32" t="str">
        <f t="shared" si="144"/>
        <v>|||1900|</v>
      </c>
      <c r="H4651" s="32" t="str">
        <f t="shared" si="145"/>
        <v>||1900|</v>
      </c>
      <c r="I4651" s="32">
        <f>IF(G4651="",0,IF(COUNTIF($G$2:G4651,G4651)=1,1,0))</f>
        <v>0</v>
      </c>
      <c r="J4651" s="32">
        <f>IF(H4651="",0,IF(COUNTIF($H$2:H4651,H4651)=1,1,0))</f>
        <v>0</v>
      </c>
    </row>
    <row r="4652" spans="1:10" ht="14.25" hidden="1" customHeight="1" x14ac:dyDescent="0.35">
      <c r="A4652" s="30"/>
      <c r="E4652" s="31"/>
      <c r="G4652" s="32" t="str">
        <f t="shared" si="144"/>
        <v>|||1900|</v>
      </c>
      <c r="H4652" s="32" t="str">
        <f t="shared" si="145"/>
        <v>||1900|</v>
      </c>
      <c r="I4652" s="32">
        <f>IF(G4652="",0,IF(COUNTIF($G$2:G4652,G4652)=1,1,0))</f>
        <v>0</v>
      </c>
      <c r="J4652" s="32">
        <f>IF(H4652="",0,IF(COUNTIF($H$2:H4652,H4652)=1,1,0))</f>
        <v>0</v>
      </c>
    </row>
    <row r="4653" spans="1:10" ht="14.25" hidden="1" customHeight="1" x14ac:dyDescent="0.35">
      <c r="A4653" s="30"/>
      <c r="E4653" s="31"/>
      <c r="G4653" s="32" t="str">
        <f t="shared" si="144"/>
        <v>|||1900|</v>
      </c>
      <c r="H4653" s="32" t="str">
        <f t="shared" si="145"/>
        <v>||1900|</v>
      </c>
      <c r="I4653" s="32">
        <f>IF(G4653="",0,IF(COUNTIF($G$2:G4653,G4653)=1,1,0))</f>
        <v>0</v>
      </c>
      <c r="J4653" s="32">
        <f>IF(H4653="",0,IF(COUNTIF($H$2:H4653,H4653)=1,1,0))</f>
        <v>0</v>
      </c>
    </row>
    <row r="4654" spans="1:10" ht="14.25" hidden="1" customHeight="1" x14ac:dyDescent="0.35">
      <c r="A4654" s="30"/>
      <c r="E4654" s="31"/>
      <c r="G4654" s="32" t="str">
        <f t="shared" si="144"/>
        <v>|||1900|</v>
      </c>
      <c r="H4654" s="32" t="str">
        <f t="shared" si="145"/>
        <v>||1900|</v>
      </c>
      <c r="I4654" s="32">
        <f>IF(G4654="",0,IF(COUNTIF($G$2:G4654,G4654)=1,1,0))</f>
        <v>0</v>
      </c>
      <c r="J4654" s="32">
        <f>IF(H4654="",0,IF(COUNTIF($H$2:H4654,H4654)=1,1,0))</f>
        <v>0</v>
      </c>
    </row>
    <row r="4655" spans="1:10" ht="14.25" hidden="1" customHeight="1" x14ac:dyDescent="0.35">
      <c r="A4655" s="30"/>
      <c r="E4655" s="31"/>
      <c r="G4655" s="32" t="str">
        <f t="shared" si="144"/>
        <v>|||1900|</v>
      </c>
      <c r="H4655" s="32" t="str">
        <f t="shared" si="145"/>
        <v>||1900|</v>
      </c>
      <c r="I4655" s="32">
        <f>IF(G4655="",0,IF(COUNTIF($G$2:G4655,G4655)=1,1,0))</f>
        <v>0</v>
      </c>
      <c r="J4655" s="32">
        <f>IF(H4655="",0,IF(COUNTIF($H$2:H4655,H4655)=1,1,0))</f>
        <v>0</v>
      </c>
    </row>
    <row r="4656" spans="1:10" ht="14.25" hidden="1" customHeight="1" x14ac:dyDescent="0.35">
      <c r="A4656" s="30"/>
      <c r="E4656" s="31"/>
      <c r="G4656" s="32" t="str">
        <f t="shared" si="144"/>
        <v>|||1900|</v>
      </c>
      <c r="H4656" s="32" t="str">
        <f t="shared" si="145"/>
        <v>||1900|</v>
      </c>
      <c r="I4656" s="32">
        <f>IF(G4656="",0,IF(COUNTIF($G$2:G4656,G4656)=1,1,0))</f>
        <v>0</v>
      </c>
      <c r="J4656" s="32">
        <f>IF(H4656="",0,IF(COUNTIF($H$2:H4656,H4656)=1,1,0))</f>
        <v>0</v>
      </c>
    </row>
    <row r="4657" spans="1:10" ht="14.25" hidden="1" customHeight="1" x14ac:dyDescent="0.35">
      <c r="A4657" s="30"/>
      <c r="E4657" s="31"/>
      <c r="G4657" s="32" t="str">
        <f t="shared" si="144"/>
        <v>|||1900|</v>
      </c>
      <c r="H4657" s="32" t="str">
        <f t="shared" si="145"/>
        <v>||1900|</v>
      </c>
      <c r="I4657" s="32">
        <f>IF(G4657="",0,IF(COUNTIF($G$2:G4657,G4657)=1,1,0))</f>
        <v>0</v>
      </c>
      <c r="J4657" s="32">
        <f>IF(H4657="",0,IF(COUNTIF($H$2:H4657,H4657)=1,1,0))</f>
        <v>0</v>
      </c>
    </row>
    <row r="4658" spans="1:10" ht="14.25" hidden="1" customHeight="1" x14ac:dyDescent="0.35">
      <c r="A4658" s="30"/>
      <c r="E4658" s="31"/>
      <c r="G4658" s="32" t="str">
        <f t="shared" si="144"/>
        <v>|||1900|</v>
      </c>
      <c r="H4658" s="32" t="str">
        <f t="shared" si="145"/>
        <v>||1900|</v>
      </c>
      <c r="I4658" s="32">
        <f>IF(G4658="",0,IF(COUNTIF($G$2:G4658,G4658)=1,1,0))</f>
        <v>0</v>
      </c>
      <c r="J4658" s="32">
        <f>IF(H4658="",0,IF(COUNTIF($H$2:H4658,H4658)=1,1,0))</f>
        <v>0</v>
      </c>
    </row>
    <row r="4659" spans="1:10" ht="14.25" hidden="1" customHeight="1" x14ac:dyDescent="0.35">
      <c r="A4659" s="30"/>
      <c r="E4659" s="31"/>
      <c r="G4659" s="32" t="str">
        <f t="shared" si="144"/>
        <v>|||1900|</v>
      </c>
      <c r="H4659" s="32" t="str">
        <f t="shared" si="145"/>
        <v>||1900|</v>
      </c>
      <c r="I4659" s="32">
        <f>IF(G4659="",0,IF(COUNTIF($G$2:G4659,G4659)=1,1,0))</f>
        <v>0</v>
      </c>
      <c r="J4659" s="32">
        <f>IF(H4659="",0,IF(COUNTIF($H$2:H4659,H4659)=1,1,0))</f>
        <v>0</v>
      </c>
    </row>
    <row r="4660" spans="1:10" ht="14.25" hidden="1" customHeight="1" x14ac:dyDescent="0.35">
      <c r="A4660" s="30"/>
      <c r="E4660" s="31"/>
      <c r="G4660" s="32" t="str">
        <f t="shared" si="144"/>
        <v>|||1900|</v>
      </c>
      <c r="H4660" s="32" t="str">
        <f t="shared" si="145"/>
        <v>||1900|</v>
      </c>
      <c r="I4660" s="32">
        <f>IF(G4660="",0,IF(COUNTIF($G$2:G4660,G4660)=1,1,0))</f>
        <v>0</v>
      </c>
      <c r="J4660" s="32">
        <f>IF(H4660="",0,IF(COUNTIF($H$2:H4660,H4660)=1,1,0))</f>
        <v>0</v>
      </c>
    </row>
    <row r="4661" spans="1:10" ht="14.25" hidden="1" customHeight="1" x14ac:dyDescent="0.35">
      <c r="A4661" s="30"/>
      <c r="E4661" s="31"/>
      <c r="G4661" s="32" t="str">
        <f t="shared" si="144"/>
        <v>|||1900|</v>
      </c>
      <c r="H4661" s="32" t="str">
        <f t="shared" si="145"/>
        <v>||1900|</v>
      </c>
      <c r="I4661" s="32">
        <f>IF(G4661="",0,IF(COUNTIF($G$2:G4661,G4661)=1,1,0))</f>
        <v>0</v>
      </c>
      <c r="J4661" s="32">
        <f>IF(H4661="",0,IF(COUNTIF($H$2:H4661,H4661)=1,1,0))</f>
        <v>0</v>
      </c>
    </row>
    <row r="4662" spans="1:10" ht="14.25" hidden="1" customHeight="1" x14ac:dyDescent="0.35">
      <c r="A4662" s="30"/>
      <c r="E4662" s="31"/>
      <c r="G4662" s="32" t="str">
        <f t="shared" si="144"/>
        <v>|||1900|</v>
      </c>
      <c r="H4662" s="32" t="str">
        <f t="shared" si="145"/>
        <v>||1900|</v>
      </c>
      <c r="I4662" s="32">
        <f>IF(G4662="",0,IF(COUNTIF($G$2:G4662,G4662)=1,1,0))</f>
        <v>0</v>
      </c>
      <c r="J4662" s="32">
        <f>IF(H4662="",0,IF(COUNTIF($H$2:H4662,H4662)=1,1,0))</f>
        <v>0</v>
      </c>
    </row>
    <row r="4663" spans="1:10" ht="14.25" hidden="1" customHeight="1" x14ac:dyDescent="0.35">
      <c r="A4663" s="30"/>
      <c r="E4663" s="31"/>
      <c r="G4663" s="32" t="str">
        <f t="shared" si="144"/>
        <v>|||1900|</v>
      </c>
      <c r="H4663" s="32" t="str">
        <f t="shared" si="145"/>
        <v>||1900|</v>
      </c>
      <c r="I4663" s="32">
        <f>IF(G4663="",0,IF(COUNTIF($G$2:G4663,G4663)=1,1,0))</f>
        <v>0</v>
      </c>
      <c r="J4663" s="32">
        <f>IF(H4663="",0,IF(COUNTIF($H$2:H4663,H4663)=1,1,0))</f>
        <v>0</v>
      </c>
    </row>
    <row r="4664" spans="1:10" ht="14.25" hidden="1" customHeight="1" x14ac:dyDescent="0.35">
      <c r="A4664" s="30"/>
      <c r="E4664" s="31"/>
      <c r="G4664" s="32" t="str">
        <f t="shared" si="144"/>
        <v>|||1900|</v>
      </c>
      <c r="H4664" s="32" t="str">
        <f t="shared" si="145"/>
        <v>||1900|</v>
      </c>
      <c r="I4664" s="32">
        <f>IF(G4664="",0,IF(COUNTIF($G$2:G4664,G4664)=1,1,0))</f>
        <v>0</v>
      </c>
      <c r="J4664" s="32">
        <f>IF(H4664="",0,IF(COUNTIF($H$2:H4664,H4664)=1,1,0))</f>
        <v>0</v>
      </c>
    </row>
    <row r="4665" spans="1:10" ht="14.25" hidden="1" customHeight="1" x14ac:dyDescent="0.35">
      <c r="A4665" s="30"/>
      <c r="E4665" s="31"/>
      <c r="G4665" s="32" t="str">
        <f t="shared" si="144"/>
        <v>|||1900|</v>
      </c>
      <c r="H4665" s="32" t="str">
        <f t="shared" si="145"/>
        <v>||1900|</v>
      </c>
      <c r="I4665" s="32">
        <f>IF(G4665="",0,IF(COUNTIF($G$2:G4665,G4665)=1,1,0))</f>
        <v>0</v>
      </c>
      <c r="J4665" s="32">
        <f>IF(H4665="",0,IF(COUNTIF($H$2:H4665,H4665)=1,1,0))</f>
        <v>0</v>
      </c>
    </row>
    <row r="4666" spans="1:10" ht="14.25" hidden="1" customHeight="1" x14ac:dyDescent="0.35">
      <c r="A4666" s="30"/>
      <c r="E4666" s="31"/>
      <c r="G4666" s="32" t="str">
        <f t="shared" si="144"/>
        <v>|||1900|</v>
      </c>
      <c r="H4666" s="32" t="str">
        <f t="shared" si="145"/>
        <v>||1900|</v>
      </c>
      <c r="I4666" s="32">
        <f>IF(G4666="",0,IF(COUNTIF($G$2:G4666,G4666)=1,1,0))</f>
        <v>0</v>
      </c>
      <c r="J4666" s="32">
        <f>IF(H4666="",0,IF(COUNTIF($H$2:H4666,H4666)=1,1,0))</f>
        <v>0</v>
      </c>
    </row>
    <row r="4667" spans="1:10" ht="14.25" hidden="1" customHeight="1" x14ac:dyDescent="0.35">
      <c r="A4667" s="30"/>
      <c r="E4667" s="31"/>
      <c r="G4667" s="32" t="str">
        <f t="shared" si="144"/>
        <v>|||1900|</v>
      </c>
      <c r="H4667" s="32" t="str">
        <f t="shared" si="145"/>
        <v>||1900|</v>
      </c>
      <c r="I4667" s="32">
        <f>IF(G4667="",0,IF(COUNTIF($G$2:G4667,G4667)=1,1,0))</f>
        <v>0</v>
      </c>
      <c r="J4667" s="32">
        <f>IF(H4667="",0,IF(COUNTIF($H$2:H4667,H4667)=1,1,0))</f>
        <v>0</v>
      </c>
    </row>
    <row r="4668" spans="1:10" ht="14.25" hidden="1" customHeight="1" x14ac:dyDescent="0.35">
      <c r="A4668" s="30"/>
      <c r="E4668" s="31"/>
      <c r="G4668" s="32" t="str">
        <f t="shared" si="144"/>
        <v>|||1900|</v>
      </c>
      <c r="H4668" s="32" t="str">
        <f t="shared" si="145"/>
        <v>||1900|</v>
      </c>
      <c r="I4668" s="32">
        <f>IF(G4668="",0,IF(COUNTIF($G$2:G4668,G4668)=1,1,0))</f>
        <v>0</v>
      </c>
      <c r="J4668" s="32">
        <f>IF(H4668="",0,IF(COUNTIF($H$2:H4668,H4668)=1,1,0))</f>
        <v>0</v>
      </c>
    </row>
    <row r="4669" spans="1:10" ht="14.25" hidden="1" customHeight="1" x14ac:dyDescent="0.35">
      <c r="A4669" s="30"/>
      <c r="E4669" s="31"/>
      <c r="G4669" s="32" t="str">
        <f t="shared" si="144"/>
        <v>|||1900|</v>
      </c>
      <c r="H4669" s="32" t="str">
        <f t="shared" si="145"/>
        <v>||1900|</v>
      </c>
      <c r="I4669" s="32">
        <f>IF(G4669="",0,IF(COUNTIF($G$2:G4669,G4669)=1,1,0))</f>
        <v>0</v>
      </c>
      <c r="J4669" s="32">
        <f>IF(H4669="",0,IF(COUNTIF($H$2:H4669,H4669)=1,1,0))</f>
        <v>0</v>
      </c>
    </row>
    <row r="4670" spans="1:10" ht="14.25" hidden="1" customHeight="1" x14ac:dyDescent="0.35">
      <c r="A4670" s="30"/>
      <c r="E4670" s="31"/>
      <c r="G4670" s="32" t="str">
        <f t="shared" si="144"/>
        <v>|||1900|</v>
      </c>
      <c r="H4670" s="32" t="str">
        <f t="shared" si="145"/>
        <v>||1900|</v>
      </c>
      <c r="I4670" s="32">
        <f>IF(G4670="",0,IF(COUNTIF($G$2:G4670,G4670)=1,1,0))</f>
        <v>0</v>
      </c>
      <c r="J4670" s="32">
        <f>IF(H4670="",0,IF(COUNTIF($H$2:H4670,H4670)=1,1,0))</f>
        <v>0</v>
      </c>
    </row>
    <row r="4671" spans="1:10" ht="14.25" hidden="1" customHeight="1" x14ac:dyDescent="0.35">
      <c r="A4671" s="30"/>
      <c r="E4671" s="31"/>
      <c r="G4671" s="32" t="str">
        <f t="shared" si="144"/>
        <v>|||1900|</v>
      </c>
      <c r="H4671" s="32" t="str">
        <f t="shared" si="145"/>
        <v>||1900|</v>
      </c>
      <c r="I4671" s="32">
        <f>IF(G4671="",0,IF(COUNTIF($G$2:G4671,G4671)=1,1,0))</f>
        <v>0</v>
      </c>
      <c r="J4671" s="32">
        <f>IF(H4671="",0,IF(COUNTIF($H$2:H4671,H4671)=1,1,0))</f>
        <v>0</v>
      </c>
    </row>
    <row r="4672" spans="1:10" ht="14.25" hidden="1" customHeight="1" x14ac:dyDescent="0.35">
      <c r="A4672" s="30"/>
      <c r="E4672" s="31"/>
      <c r="G4672" s="32" t="str">
        <f t="shared" si="144"/>
        <v>|||1900|</v>
      </c>
      <c r="H4672" s="32" t="str">
        <f t="shared" si="145"/>
        <v>||1900|</v>
      </c>
      <c r="I4672" s="32">
        <f>IF(G4672="",0,IF(COUNTIF($G$2:G4672,G4672)=1,1,0))</f>
        <v>0</v>
      </c>
      <c r="J4672" s="32">
        <f>IF(H4672="",0,IF(COUNTIF($H$2:H4672,H4672)=1,1,0))</f>
        <v>0</v>
      </c>
    </row>
    <row r="4673" spans="1:10" ht="14.25" hidden="1" customHeight="1" x14ac:dyDescent="0.35">
      <c r="A4673" s="30"/>
      <c r="E4673" s="31"/>
      <c r="G4673" s="32" t="str">
        <f t="shared" si="144"/>
        <v>|||1900|</v>
      </c>
      <c r="H4673" s="32" t="str">
        <f t="shared" si="145"/>
        <v>||1900|</v>
      </c>
      <c r="I4673" s="32">
        <f>IF(G4673="",0,IF(COUNTIF($G$2:G4673,G4673)=1,1,0))</f>
        <v>0</v>
      </c>
      <c r="J4673" s="32">
        <f>IF(H4673="",0,IF(COUNTIF($H$2:H4673,H4673)=1,1,0))</f>
        <v>0</v>
      </c>
    </row>
    <row r="4674" spans="1:10" ht="14.25" hidden="1" customHeight="1" x14ac:dyDescent="0.35">
      <c r="A4674" s="30"/>
      <c r="E4674" s="31"/>
      <c r="G4674" s="32" t="str">
        <f t="shared" ref="G4674:G4737" si="146">IF(D4674="T",
E4674&amp;"|"&amp;F4674,
A4674&amp;"|"&amp;B4674&amp;"|"&amp;C4674&amp;"|"&amp;YEAR(E4674)&amp;"|"&amp;F4674)</f>
        <v>|||1900|</v>
      </c>
      <c r="H4674" s="32" t="str">
        <f t="shared" ref="H4674:H4737" si="147">A4674&amp;"|"&amp;C4674&amp;"|"&amp;YEAR(E4674)&amp;"|"&amp;F4674</f>
        <v>||1900|</v>
      </c>
      <c r="I4674" s="32">
        <f>IF(G4674="",0,IF(COUNTIF($G$2:G4674,G4674)=1,1,0))</f>
        <v>0</v>
      </c>
      <c r="J4674" s="32">
        <f>IF(H4674="",0,IF(COUNTIF($H$2:H4674,H4674)=1,1,0))</f>
        <v>0</v>
      </c>
    </row>
    <row r="4675" spans="1:10" ht="14.25" hidden="1" customHeight="1" x14ac:dyDescent="0.35">
      <c r="A4675" s="30"/>
      <c r="E4675" s="31"/>
      <c r="G4675" s="32" t="str">
        <f t="shared" si="146"/>
        <v>|||1900|</v>
      </c>
      <c r="H4675" s="32" t="str">
        <f t="shared" si="147"/>
        <v>||1900|</v>
      </c>
      <c r="I4675" s="32">
        <f>IF(G4675="",0,IF(COUNTIF($G$2:G4675,G4675)=1,1,0))</f>
        <v>0</v>
      </c>
      <c r="J4675" s="32">
        <f>IF(H4675="",0,IF(COUNTIF($H$2:H4675,H4675)=1,1,0))</f>
        <v>0</v>
      </c>
    </row>
    <row r="4676" spans="1:10" ht="14.25" hidden="1" customHeight="1" x14ac:dyDescent="0.35">
      <c r="A4676" s="30"/>
      <c r="E4676" s="31"/>
      <c r="G4676" s="32" t="str">
        <f t="shared" si="146"/>
        <v>|||1900|</v>
      </c>
      <c r="H4676" s="32" t="str">
        <f t="shared" si="147"/>
        <v>||1900|</v>
      </c>
      <c r="I4676" s="32">
        <f>IF(G4676="",0,IF(COUNTIF($G$2:G4676,G4676)=1,1,0))</f>
        <v>0</v>
      </c>
      <c r="J4676" s="32">
        <f>IF(H4676="",0,IF(COUNTIF($H$2:H4676,H4676)=1,1,0))</f>
        <v>0</v>
      </c>
    </row>
    <row r="4677" spans="1:10" ht="14.25" hidden="1" customHeight="1" x14ac:dyDescent="0.35">
      <c r="A4677" s="30"/>
      <c r="E4677" s="31"/>
      <c r="G4677" s="32" t="str">
        <f t="shared" si="146"/>
        <v>|||1900|</v>
      </c>
      <c r="H4677" s="32" t="str">
        <f t="shared" si="147"/>
        <v>||1900|</v>
      </c>
      <c r="I4677" s="32">
        <f>IF(G4677="",0,IF(COUNTIF($G$2:G4677,G4677)=1,1,0))</f>
        <v>0</v>
      </c>
      <c r="J4677" s="32">
        <f>IF(H4677="",0,IF(COUNTIF($H$2:H4677,H4677)=1,1,0))</f>
        <v>0</v>
      </c>
    </row>
    <row r="4678" spans="1:10" ht="14.25" hidden="1" customHeight="1" x14ac:dyDescent="0.35">
      <c r="A4678" s="30"/>
      <c r="E4678" s="31"/>
      <c r="G4678" s="32" t="str">
        <f t="shared" si="146"/>
        <v>|||1900|</v>
      </c>
      <c r="H4678" s="32" t="str">
        <f t="shared" si="147"/>
        <v>||1900|</v>
      </c>
      <c r="I4678" s="32">
        <f>IF(G4678="",0,IF(COUNTIF($G$2:G4678,G4678)=1,1,0))</f>
        <v>0</v>
      </c>
      <c r="J4678" s="32">
        <f>IF(H4678="",0,IF(COUNTIF($H$2:H4678,H4678)=1,1,0))</f>
        <v>0</v>
      </c>
    </row>
    <row r="4679" spans="1:10" ht="14.25" hidden="1" customHeight="1" x14ac:dyDescent="0.35">
      <c r="A4679" s="30"/>
      <c r="E4679" s="31"/>
      <c r="G4679" s="32" t="str">
        <f t="shared" si="146"/>
        <v>|||1900|</v>
      </c>
      <c r="H4679" s="32" t="str">
        <f t="shared" si="147"/>
        <v>||1900|</v>
      </c>
      <c r="I4679" s="32">
        <f>IF(G4679="",0,IF(COUNTIF($G$2:G4679,G4679)=1,1,0))</f>
        <v>0</v>
      </c>
      <c r="J4679" s="32">
        <f>IF(H4679="",0,IF(COUNTIF($H$2:H4679,H4679)=1,1,0))</f>
        <v>0</v>
      </c>
    </row>
    <row r="4680" spans="1:10" ht="14.25" hidden="1" customHeight="1" x14ac:dyDescent="0.35">
      <c r="A4680" s="30"/>
      <c r="E4680" s="31"/>
      <c r="G4680" s="32" t="str">
        <f t="shared" si="146"/>
        <v>|||1900|</v>
      </c>
      <c r="H4680" s="32" t="str">
        <f t="shared" si="147"/>
        <v>||1900|</v>
      </c>
      <c r="I4680" s="32">
        <f>IF(G4680="",0,IF(COUNTIF($G$2:G4680,G4680)=1,1,0))</f>
        <v>0</v>
      </c>
      <c r="J4680" s="32">
        <f>IF(H4680="",0,IF(COUNTIF($H$2:H4680,H4680)=1,1,0))</f>
        <v>0</v>
      </c>
    </row>
    <row r="4681" spans="1:10" ht="14.25" hidden="1" customHeight="1" x14ac:dyDescent="0.35">
      <c r="A4681" s="30"/>
      <c r="E4681" s="31"/>
      <c r="G4681" s="32" t="str">
        <f t="shared" si="146"/>
        <v>|||1900|</v>
      </c>
      <c r="H4681" s="32" t="str">
        <f t="shared" si="147"/>
        <v>||1900|</v>
      </c>
      <c r="I4681" s="32">
        <f>IF(G4681="",0,IF(COUNTIF($G$2:G4681,G4681)=1,1,0))</f>
        <v>0</v>
      </c>
      <c r="J4681" s="32">
        <f>IF(H4681="",0,IF(COUNTIF($H$2:H4681,H4681)=1,1,0))</f>
        <v>0</v>
      </c>
    </row>
    <row r="4682" spans="1:10" ht="14.25" hidden="1" customHeight="1" x14ac:dyDescent="0.35">
      <c r="A4682" s="30"/>
      <c r="E4682" s="31"/>
      <c r="G4682" s="32" t="str">
        <f t="shared" si="146"/>
        <v>|||1900|</v>
      </c>
      <c r="H4682" s="32" t="str">
        <f t="shared" si="147"/>
        <v>||1900|</v>
      </c>
      <c r="I4682" s="32">
        <f>IF(G4682="",0,IF(COUNTIF($G$2:G4682,G4682)=1,1,0))</f>
        <v>0</v>
      </c>
      <c r="J4682" s="32">
        <f>IF(H4682="",0,IF(COUNTIF($H$2:H4682,H4682)=1,1,0))</f>
        <v>0</v>
      </c>
    </row>
    <row r="4683" spans="1:10" ht="14.25" hidden="1" customHeight="1" x14ac:dyDescent="0.35">
      <c r="A4683" s="30"/>
      <c r="E4683" s="31"/>
      <c r="G4683" s="32" t="str">
        <f t="shared" si="146"/>
        <v>|||1900|</v>
      </c>
      <c r="H4683" s="32" t="str">
        <f t="shared" si="147"/>
        <v>||1900|</v>
      </c>
      <c r="I4683" s="32">
        <f>IF(G4683="",0,IF(COUNTIF($G$2:G4683,G4683)=1,1,0))</f>
        <v>0</v>
      </c>
      <c r="J4683" s="32">
        <f>IF(H4683="",0,IF(COUNTIF($H$2:H4683,H4683)=1,1,0))</f>
        <v>0</v>
      </c>
    </row>
    <row r="4684" spans="1:10" ht="14.25" hidden="1" customHeight="1" x14ac:dyDescent="0.35">
      <c r="A4684" s="30"/>
      <c r="E4684" s="31"/>
      <c r="G4684" s="32" t="str">
        <f t="shared" si="146"/>
        <v>|||1900|</v>
      </c>
      <c r="H4684" s="32" t="str">
        <f t="shared" si="147"/>
        <v>||1900|</v>
      </c>
      <c r="I4684" s="32">
        <f>IF(G4684="",0,IF(COUNTIF($G$2:G4684,G4684)=1,1,0))</f>
        <v>0</v>
      </c>
      <c r="J4684" s="32">
        <f>IF(H4684="",0,IF(COUNTIF($H$2:H4684,H4684)=1,1,0))</f>
        <v>0</v>
      </c>
    </row>
    <row r="4685" spans="1:10" ht="14.25" hidden="1" customHeight="1" x14ac:dyDescent="0.35">
      <c r="A4685" s="30"/>
      <c r="E4685" s="31"/>
      <c r="G4685" s="32" t="str">
        <f t="shared" si="146"/>
        <v>|||1900|</v>
      </c>
      <c r="H4685" s="32" t="str">
        <f t="shared" si="147"/>
        <v>||1900|</v>
      </c>
      <c r="I4685" s="32">
        <f>IF(G4685="",0,IF(COUNTIF($G$2:G4685,G4685)=1,1,0))</f>
        <v>0</v>
      </c>
      <c r="J4685" s="32">
        <f>IF(H4685="",0,IF(COUNTIF($H$2:H4685,H4685)=1,1,0))</f>
        <v>0</v>
      </c>
    </row>
    <row r="4686" spans="1:10" ht="14.25" hidden="1" customHeight="1" x14ac:dyDescent="0.35">
      <c r="A4686" s="30"/>
      <c r="E4686" s="31"/>
      <c r="G4686" s="32" t="str">
        <f t="shared" si="146"/>
        <v>|||1900|</v>
      </c>
      <c r="H4686" s="32" t="str">
        <f t="shared" si="147"/>
        <v>||1900|</v>
      </c>
      <c r="I4686" s="32">
        <f>IF(G4686="",0,IF(COUNTIF($G$2:G4686,G4686)=1,1,0))</f>
        <v>0</v>
      </c>
      <c r="J4686" s="32">
        <f>IF(H4686="",0,IF(COUNTIF($H$2:H4686,H4686)=1,1,0))</f>
        <v>0</v>
      </c>
    </row>
    <row r="4687" spans="1:10" ht="14.25" hidden="1" customHeight="1" x14ac:dyDescent="0.35">
      <c r="A4687" s="30"/>
      <c r="E4687" s="31"/>
      <c r="G4687" s="32" t="str">
        <f t="shared" si="146"/>
        <v>|||1900|</v>
      </c>
      <c r="H4687" s="32" t="str">
        <f t="shared" si="147"/>
        <v>||1900|</v>
      </c>
      <c r="I4687" s="32">
        <f>IF(G4687="",0,IF(COUNTIF($G$2:G4687,G4687)=1,1,0))</f>
        <v>0</v>
      </c>
      <c r="J4687" s="32">
        <f>IF(H4687="",0,IF(COUNTIF($H$2:H4687,H4687)=1,1,0))</f>
        <v>0</v>
      </c>
    </row>
    <row r="4688" spans="1:10" ht="14.25" hidden="1" customHeight="1" x14ac:dyDescent="0.35">
      <c r="A4688" s="30"/>
      <c r="E4688" s="31"/>
      <c r="G4688" s="32" t="str">
        <f t="shared" si="146"/>
        <v>|||1900|</v>
      </c>
      <c r="H4688" s="32" t="str">
        <f t="shared" si="147"/>
        <v>||1900|</v>
      </c>
      <c r="I4688" s="32">
        <f>IF(G4688="",0,IF(COUNTIF($G$2:G4688,G4688)=1,1,0))</f>
        <v>0</v>
      </c>
      <c r="J4688" s="32">
        <f>IF(H4688="",0,IF(COUNTIF($H$2:H4688,H4688)=1,1,0))</f>
        <v>0</v>
      </c>
    </row>
    <row r="4689" spans="1:10" ht="14.25" hidden="1" customHeight="1" x14ac:dyDescent="0.35">
      <c r="A4689" s="30"/>
      <c r="E4689" s="31"/>
      <c r="G4689" s="32" t="str">
        <f t="shared" si="146"/>
        <v>|||1900|</v>
      </c>
      <c r="H4689" s="32" t="str">
        <f t="shared" si="147"/>
        <v>||1900|</v>
      </c>
      <c r="I4689" s="32">
        <f>IF(G4689="",0,IF(COUNTIF($G$2:G4689,G4689)=1,1,0))</f>
        <v>0</v>
      </c>
      <c r="J4689" s="32">
        <f>IF(H4689="",0,IF(COUNTIF($H$2:H4689,H4689)=1,1,0))</f>
        <v>0</v>
      </c>
    </row>
    <row r="4690" spans="1:10" ht="14.25" hidden="1" customHeight="1" x14ac:dyDescent="0.35">
      <c r="A4690" s="30"/>
      <c r="E4690" s="31"/>
      <c r="G4690" s="32" t="str">
        <f t="shared" si="146"/>
        <v>|||1900|</v>
      </c>
      <c r="H4690" s="32" t="str">
        <f t="shared" si="147"/>
        <v>||1900|</v>
      </c>
      <c r="I4690" s="32">
        <f>IF(G4690="",0,IF(COUNTIF($G$2:G4690,G4690)=1,1,0))</f>
        <v>0</v>
      </c>
      <c r="J4690" s="32">
        <f>IF(H4690="",0,IF(COUNTIF($H$2:H4690,H4690)=1,1,0))</f>
        <v>0</v>
      </c>
    </row>
    <row r="4691" spans="1:10" ht="14.25" hidden="1" customHeight="1" x14ac:dyDescent="0.35">
      <c r="A4691" s="30"/>
      <c r="E4691" s="31"/>
      <c r="G4691" s="32" t="str">
        <f t="shared" si="146"/>
        <v>|||1900|</v>
      </c>
      <c r="H4691" s="32" t="str">
        <f t="shared" si="147"/>
        <v>||1900|</v>
      </c>
      <c r="I4691" s="32">
        <f>IF(G4691="",0,IF(COUNTIF($G$2:G4691,G4691)=1,1,0))</f>
        <v>0</v>
      </c>
      <c r="J4691" s="32">
        <f>IF(H4691="",0,IF(COUNTIF($H$2:H4691,H4691)=1,1,0))</f>
        <v>0</v>
      </c>
    </row>
    <row r="4692" spans="1:10" ht="14.25" hidden="1" customHeight="1" x14ac:dyDescent="0.35">
      <c r="A4692" s="30"/>
      <c r="E4692" s="31"/>
      <c r="G4692" s="32" t="str">
        <f t="shared" si="146"/>
        <v>|||1900|</v>
      </c>
      <c r="H4692" s="32" t="str">
        <f t="shared" si="147"/>
        <v>||1900|</v>
      </c>
      <c r="I4692" s="32">
        <f>IF(G4692="",0,IF(COUNTIF($G$2:G4692,G4692)=1,1,0))</f>
        <v>0</v>
      </c>
      <c r="J4692" s="32">
        <f>IF(H4692="",0,IF(COUNTIF($H$2:H4692,H4692)=1,1,0))</f>
        <v>0</v>
      </c>
    </row>
    <row r="4693" spans="1:10" ht="14.25" hidden="1" customHeight="1" x14ac:dyDescent="0.35">
      <c r="A4693" s="30"/>
      <c r="E4693" s="31"/>
      <c r="G4693" s="32" t="str">
        <f t="shared" si="146"/>
        <v>|||1900|</v>
      </c>
      <c r="H4693" s="32" t="str">
        <f t="shared" si="147"/>
        <v>||1900|</v>
      </c>
      <c r="I4693" s="32">
        <f>IF(G4693="",0,IF(COUNTIF($G$2:G4693,G4693)=1,1,0))</f>
        <v>0</v>
      </c>
      <c r="J4693" s="32">
        <f>IF(H4693="",0,IF(COUNTIF($H$2:H4693,H4693)=1,1,0))</f>
        <v>0</v>
      </c>
    </row>
    <row r="4694" spans="1:10" ht="14.25" hidden="1" customHeight="1" x14ac:dyDescent="0.35">
      <c r="A4694" s="30"/>
      <c r="E4694" s="31"/>
      <c r="G4694" s="32" t="str">
        <f t="shared" si="146"/>
        <v>|||1900|</v>
      </c>
      <c r="H4694" s="32" t="str">
        <f t="shared" si="147"/>
        <v>||1900|</v>
      </c>
      <c r="I4694" s="32">
        <f>IF(G4694="",0,IF(COUNTIF($G$2:G4694,G4694)=1,1,0))</f>
        <v>0</v>
      </c>
      <c r="J4694" s="32">
        <f>IF(H4694="",0,IF(COUNTIF($H$2:H4694,H4694)=1,1,0))</f>
        <v>0</v>
      </c>
    </row>
    <row r="4695" spans="1:10" ht="14.25" hidden="1" customHeight="1" x14ac:dyDescent="0.35">
      <c r="A4695" s="30"/>
      <c r="E4695" s="31"/>
      <c r="G4695" s="32" t="str">
        <f t="shared" si="146"/>
        <v>|||1900|</v>
      </c>
      <c r="H4695" s="32" t="str">
        <f t="shared" si="147"/>
        <v>||1900|</v>
      </c>
      <c r="I4695" s="32">
        <f>IF(G4695="",0,IF(COUNTIF($G$2:G4695,G4695)=1,1,0))</f>
        <v>0</v>
      </c>
      <c r="J4695" s="32">
        <f>IF(H4695="",0,IF(COUNTIF($H$2:H4695,H4695)=1,1,0))</f>
        <v>0</v>
      </c>
    </row>
    <row r="4696" spans="1:10" ht="14.25" hidden="1" customHeight="1" x14ac:dyDescent="0.35">
      <c r="A4696" s="30"/>
      <c r="E4696" s="31"/>
      <c r="G4696" s="32" t="str">
        <f t="shared" si="146"/>
        <v>|||1900|</v>
      </c>
      <c r="H4696" s="32" t="str">
        <f t="shared" si="147"/>
        <v>||1900|</v>
      </c>
      <c r="I4696" s="32">
        <f>IF(G4696="",0,IF(COUNTIF($G$2:G4696,G4696)=1,1,0))</f>
        <v>0</v>
      </c>
      <c r="J4696" s="32">
        <f>IF(H4696="",0,IF(COUNTIF($H$2:H4696,H4696)=1,1,0))</f>
        <v>0</v>
      </c>
    </row>
    <row r="4697" spans="1:10" ht="14.25" hidden="1" customHeight="1" x14ac:dyDescent="0.35">
      <c r="A4697" s="30"/>
      <c r="E4697" s="31"/>
      <c r="G4697" s="32" t="str">
        <f t="shared" si="146"/>
        <v>|||1900|</v>
      </c>
      <c r="H4697" s="32" t="str">
        <f t="shared" si="147"/>
        <v>||1900|</v>
      </c>
      <c r="I4697" s="32">
        <f>IF(G4697="",0,IF(COUNTIF($G$2:G4697,G4697)=1,1,0))</f>
        <v>0</v>
      </c>
      <c r="J4697" s="32">
        <f>IF(H4697="",0,IF(COUNTIF($H$2:H4697,H4697)=1,1,0))</f>
        <v>0</v>
      </c>
    </row>
    <row r="4698" spans="1:10" ht="14.25" hidden="1" customHeight="1" x14ac:dyDescent="0.35">
      <c r="A4698" s="30"/>
      <c r="E4698" s="31"/>
      <c r="G4698" s="32" t="str">
        <f t="shared" si="146"/>
        <v>|||1900|</v>
      </c>
      <c r="H4698" s="32" t="str">
        <f t="shared" si="147"/>
        <v>||1900|</v>
      </c>
      <c r="I4698" s="32">
        <f>IF(G4698="",0,IF(COUNTIF($G$2:G4698,G4698)=1,1,0))</f>
        <v>0</v>
      </c>
      <c r="J4698" s="32">
        <f>IF(H4698="",0,IF(COUNTIF($H$2:H4698,H4698)=1,1,0))</f>
        <v>0</v>
      </c>
    </row>
    <row r="4699" spans="1:10" ht="14.25" hidden="1" customHeight="1" x14ac:dyDescent="0.35">
      <c r="A4699" s="30"/>
      <c r="E4699" s="31"/>
      <c r="G4699" s="32" t="str">
        <f t="shared" si="146"/>
        <v>|||1900|</v>
      </c>
      <c r="H4699" s="32" t="str">
        <f t="shared" si="147"/>
        <v>||1900|</v>
      </c>
      <c r="I4699" s="32">
        <f>IF(G4699="",0,IF(COUNTIF($G$2:G4699,G4699)=1,1,0))</f>
        <v>0</v>
      </c>
      <c r="J4699" s="32">
        <f>IF(H4699="",0,IF(COUNTIF($H$2:H4699,H4699)=1,1,0))</f>
        <v>0</v>
      </c>
    </row>
    <row r="4700" spans="1:10" ht="14.25" hidden="1" customHeight="1" x14ac:dyDescent="0.35">
      <c r="A4700" s="30"/>
      <c r="E4700" s="31"/>
      <c r="G4700" s="32" t="str">
        <f t="shared" si="146"/>
        <v>|||1900|</v>
      </c>
      <c r="H4700" s="32" t="str">
        <f t="shared" si="147"/>
        <v>||1900|</v>
      </c>
      <c r="I4700" s="32">
        <f>IF(G4700="",0,IF(COUNTIF($G$2:G4700,G4700)=1,1,0))</f>
        <v>0</v>
      </c>
      <c r="J4700" s="32">
        <f>IF(H4700="",0,IF(COUNTIF($H$2:H4700,H4700)=1,1,0))</f>
        <v>0</v>
      </c>
    </row>
    <row r="4701" spans="1:10" ht="14.25" hidden="1" customHeight="1" x14ac:dyDescent="0.35">
      <c r="A4701" s="30"/>
      <c r="E4701" s="31"/>
      <c r="G4701" s="32" t="str">
        <f t="shared" si="146"/>
        <v>|||1900|</v>
      </c>
      <c r="H4701" s="32" t="str">
        <f t="shared" si="147"/>
        <v>||1900|</v>
      </c>
      <c r="I4701" s="32">
        <f>IF(G4701="",0,IF(COUNTIF($G$2:G4701,G4701)=1,1,0))</f>
        <v>0</v>
      </c>
      <c r="J4701" s="32">
        <f>IF(H4701="",0,IF(COUNTIF($H$2:H4701,H4701)=1,1,0))</f>
        <v>0</v>
      </c>
    </row>
    <row r="4702" spans="1:10" ht="14.25" hidden="1" customHeight="1" x14ac:dyDescent="0.35">
      <c r="A4702" s="30"/>
      <c r="E4702" s="31"/>
      <c r="G4702" s="32" t="str">
        <f t="shared" si="146"/>
        <v>|||1900|</v>
      </c>
      <c r="H4702" s="32" t="str">
        <f t="shared" si="147"/>
        <v>||1900|</v>
      </c>
      <c r="I4702" s="32">
        <f>IF(G4702="",0,IF(COUNTIF($G$2:G4702,G4702)=1,1,0))</f>
        <v>0</v>
      </c>
      <c r="J4702" s="32">
        <f>IF(H4702="",0,IF(COUNTIF($H$2:H4702,H4702)=1,1,0))</f>
        <v>0</v>
      </c>
    </row>
    <row r="4703" spans="1:10" ht="14.25" hidden="1" customHeight="1" x14ac:dyDescent="0.35">
      <c r="A4703" s="30"/>
      <c r="E4703" s="31"/>
      <c r="G4703" s="32" t="str">
        <f t="shared" si="146"/>
        <v>|||1900|</v>
      </c>
      <c r="H4703" s="32" t="str">
        <f t="shared" si="147"/>
        <v>||1900|</v>
      </c>
      <c r="I4703" s="32">
        <f>IF(G4703="",0,IF(COUNTIF($G$2:G4703,G4703)=1,1,0))</f>
        <v>0</v>
      </c>
      <c r="J4703" s="32">
        <f>IF(H4703="",0,IF(COUNTIF($H$2:H4703,H4703)=1,1,0))</f>
        <v>0</v>
      </c>
    </row>
    <row r="4704" spans="1:10" ht="14.25" hidden="1" customHeight="1" x14ac:dyDescent="0.35">
      <c r="A4704" s="30"/>
      <c r="E4704" s="31"/>
      <c r="G4704" s="32" t="str">
        <f t="shared" si="146"/>
        <v>|||1900|</v>
      </c>
      <c r="H4704" s="32" t="str">
        <f t="shared" si="147"/>
        <v>||1900|</v>
      </c>
      <c r="I4704" s="32">
        <f>IF(G4704="",0,IF(COUNTIF($G$2:G4704,G4704)=1,1,0))</f>
        <v>0</v>
      </c>
      <c r="J4704" s="32">
        <f>IF(H4704="",0,IF(COUNTIF($H$2:H4704,H4704)=1,1,0))</f>
        <v>0</v>
      </c>
    </row>
    <row r="4705" spans="1:10" ht="14.25" hidden="1" customHeight="1" x14ac:dyDescent="0.35">
      <c r="A4705" s="30"/>
      <c r="E4705" s="31"/>
      <c r="G4705" s="32" t="str">
        <f t="shared" si="146"/>
        <v>|||1900|</v>
      </c>
      <c r="H4705" s="32" t="str">
        <f t="shared" si="147"/>
        <v>||1900|</v>
      </c>
      <c r="I4705" s="32">
        <f>IF(G4705="",0,IF(COUNTIF($G$2:G4705,G4705)=1,1,0))</f>
        <v>0</v>
      </c>
      <c r="J4705" s="32">
        <f>IF(H4705="",0,IF(COUNTIF($H$2:H4705,H4705)=1,1,0))</f>
        <v>0</v>
      </c>
    </row>
    <row r="4706" spans="1:10" ht="14.25" hidden="1" customHeight="1" x14ac:dyDescent="0.35">
      <c r="A4706" s="30"/>
      <c r="E4706" s="31"/>
      <c r="G4706" s="32" t="str">
        <f t="shared" si="146"/>
        <v>|||1900|</v>
      </c>
      <c r="H4706" s="32" t="str">
        <f t="shared" si="147"/>
        <v>||1900|</v>
      </c>
      <c r="I4706" s="32">
        <f>IF(G4706="",0,IF(COUNTIF($G$2:G4706,G4706)=1,1,0))</f>
        <v>0</v>
      </c>
      <c r="J4706" s="32">
        <f>IF(H4706="",0,IF(COUNTIF($H$2:H4706,H4706)=1,1,0))</f>
        <v>0</v>
      </c>
    </row>
    <row r="4707" spans="1:10" ht="14.25" hidden="1" customHeight="1" x14ac:dyDescent="0.35">
      <c r="A4707" s="30"/>
      <c r="E4707" s="31"/>
      <c r="G4707" s="32" t="str">
        <f t="shared" si="146"/>
        <v>|||1900|</v>
      </c>
      <c r="H4707" s="32" t="str">
        <f t="shared" si="147"/>
        <v>||1900|</v>
      </c>
      <c r="I4707" s="32">
        <f>IF(G4707="",0,IF(COUNTIF($G$2:G4707,G4707)=1,1,0))</f>
        <v>0</v>
      </c>
      <c r="J4707" s="32">
        <f>IF(H4707="",0,IF(COUNTIF($H$2:H4707,H4707)=1,1,0))</f>
        <v>0</v>
      </c>
    </row>
    <row r="4708" spans="1:10" ht="14.25" hidden="1" customHeight="1" x14ac:dyDescent="0.35">
      <c r="A4708" s="30"/>
      <c r="E4708" s="31"/>
      <c r="G4708" s="32" t="str">
        <f t="shared" si="146"/>
        <v>|||1900|</v>
      </c>
      <c r="H4708" s="32" t="str">
        <f t="shared" si="147"/>
        <v>||1900|</v>
      </c>
      <c r="I4708" s="32">
        <f>IF(G4708="",0,IF(COUNTIF($G$2:G4708,G4708)=1,1,0))</f>
        <v>0</v>
      </c>
      <c r="J4708" s="32">
        <f>IF(H4708="",0,IF(COUNTIF($H$2:H4708,H4708)=1,1,0))</f>
        <v>0</v>
      </c>
    </row>
    <row r="4709" spans="1:10" ht="14.25" hidden="1" customHeight="1" x14ac:dyDescent="0.35">
      <c r="A4709" s="30"/>
      <c r="E4709" s="31"/>
      <c r="G4709" s="32" t="str">
        <f t="shared" si="146"/>
        <v>|||1900|</v>
      </c>
      <c r="H4709" s="32" t="str">
        <f t="shared" si="147"/>
        <v>||1900|</v>
      </c>
      <c r="I4709" s="32">
        <f>IF(G4709="",0,IF(COUNTIF($G$2:G4709,G4709)=1,1,0))</f>
        <v>0</v>
      </c>
      <c r="J4709" s="32">
        <f>IF(H4709="",0,IF(COUNTIF($H$2:H4709,H4709)=1,1,0))</f>
        <v>0</v>
      </c>
    </row>
    <row r="4710" spans="1:10" ht="14.25" hidden="1" customHeight="1" x14ac:dyDescent="0.35">
      <c r="A4710" s="30"/>
      <c r="E4710" s="31"/>
      <c r="G4710" s="32" t="str">
        <f t="shared" si="146"/>
        <v>|||1900|</v>
      </c>
      <c r="H4710" s="32" t="str">
        <f t="shared" si="147"/>
        <v>||1900|</v>
      </c>
      <c r="I4710" s="32">
        <f>IF(G4710="",0,IF(COUNTIF($G$2:G4710,G4710)=1,1,0))</f>
        <v>0</v>
      </c>
      <c r="J4710" s="32">
        <f>IF(H4710="",0,IF(COUNTIF($H$2:H4710,H4710)=1,1,0))</f>
        <v>0</v>
      </c>
    </row>
    <row r="4711" spans="1:10" ht="14.25" hidden="1" customHeight="1" x14ac:dyDescent="0.35">
      <c r="A4711" s="30"/>
      <c r="E4711" s="31"/>
      <c r="G4711" s="32" t="str">
        <f t="shared" si="146"/>
        <v>|||1900|</v>
      </c>
      <c r="H4711" s="32" t="str">
        <f t="shared" si="147"/>
        <v>||1900|</v>
      </c>
      <c r="I4711" s="32">
        <f>IF(G4711="",0,IF(COUNTIF($G$2:G4711,G4711)=1,1,0))</f>
        <v>0</v>
      </c>
      <c r="J4711" s="32">
        <f>IF(H4711="",0,IF(COUNTIF($H$2:H4711,H4711)=1,1,0))</f>
        <v>0</v>
      </c>
    </row>
    <row r="4712" spans="1:10" ht="14.25" hidden="1" customHeight="1" x14ac:dyDescent="0.35">
      <c r="A4712" s="30"/>
      <c r="E4712" s="31"/>
      <c r="G4712" s="32" t="str">
        <f t="shared" si="146"/>
        <v>|||1900|</v>
      </c>
      <c r="H4712" s="32" t="str">
        <f t="shared" si="147"/>
        <v>||1900|</v>
      </c>
      <c r="I4712" s="32">
        <f>IF(G4712="",0,IF(COUNTIF($G$2:G4712,G4712)=1,1,0))</f>
        <v>0</v>
      </c>
      <c r="J4712" s="32">
        <f>IF(H4712="",0,IF(COUNTIF($H$2:H4712,H4712)=1,1,0))</f>
        <v>0</v>
      </c>
    </row>
    <row r="4713" spans="1:10" ht="14.25" hidden="1" customHeight="1" x14ac:dyDescent="0.35">
      <c r="A4713" s="30"/>
      <c r="E4713" s="31"/>
      <c r="G4713" s="32" t="str">
        <f t="shared" si="146"/>
        <v>|||1900|</v>
      </c>
      <c r="H4713" s="32" t="str">
        <f t="shared" si="147"/>
        <v>||1900|</v>
      </c>
      <c r="I4713" s="32">
        <f>IF(G4713="",0,IF(COUNTIF($G$2:G4713,G4713)=1,1,0))</f>
        <v>0</v>
      </c>
      <c r="J4713" s="32">
        <f>IF(H4713="",0,IF(COUNTIF($H$2:H4713,H4713)=1,1,0))</f>
        <v>0</v>
      </c>
    </row>
    <row r="4714" spans="1:10" ht="14.25" hidden="1" customHeight="1" x14ac:dyDescent="0.35">
      <c r="A4714" s="30"/>
      <c r="E4714" s="31"/>
      <c r="G4714" s="32" t="str">
        <f t="shared" si="146"/>
        <v>|||1900|</v>
      </c>
      <c r="H4714" s="32" t="str">
        <f t="shared" si="147"/>
        <v>||1900|</v>
      </c>
      <c r="I4714" s="32">
        <f>IF(G4714="",0,IF(COUNTIF($G$2:G4714,G4714)=1,1,0))</f>
        <v>0</v>
      </c>
      <c r="J4714" s="32">
        <f>IF(H4714="",0,IF(COUNTIF($H$2:H4714,H4714)=1,1,0))</f>
        <v>0</v>
      </c>
    </row>
    <row r="4715" spans="1:10" ht="14.25" hidden="1" customHeight="1" x14ac:dyDescent="0.35">
      <c r="A4715" s="30"/>
      <c r="E4715" s="31"/>
      <c r="G4715" s="32" t="str">
        <f t="shared" si="146"/>
        <v>|||1900|</v>
      </c>
      <c r="H4715" s="32" t="str">
        <f t="shared" si="147"/>
        <v>||1900|</v>
      </c>
      <c r="I4715" s="32">
        <f>IF(G4715="",0,IF(COUNTIF($G$2:G4715,G4715)=1,1,0))</f>
        <v>0</v>
      </c>
      <c r="J4715" s="32">
        <f>IF(H4715="",0,IF(COUNTIF($H$2:H4715,H4715)=1,1,0))</f>
        <v>0</v>
      </c>
    </row>
    <row r="4716" spans="1:10" ht="14.25" hidden="1" customHeight="1" x14ac:dyDescent="0.35">
      <c r="A4716" s="30"/>
      <c r="E4716" s="31"/>
      <c r="G4716" s="32" t="str">
        <f t="shared" si="146"/>
        <v>|||1900|</v>
      </c>
      <c r="H4716" s="32" t="str">
        <f t="shared" si="147"/>
        <v>||1900|</v>
      </c>
      <c r="I4716" s="32">
        <f>IF(G4716="",0,IF(COUNTIF($G$2:G4716,G4716)=1,1,0))</f>
        <v>0</v>
      </c>
      <c r="J4716" s="32">
        <f>IF(H4716="",0,IF(COUNTIF($H$2:H4716,H4716)=1,1,0))</f>
        <v>0</v>
      </c>
    </row>
    <row r="4717" spans="1:10" ht="14.25" hidden="1" customHeight="1" x14ac:dyDescent="0.35">
      <c r="A4717" s="30"/>
      <c r="E4717" s="31"/>
      <c r="G4717" s="32" t="str">
        <f t="shared" si="146"/>
        <v>|||1900|</v>
      </c>
      <c r="H4717" s="32" t="str">
        <f t="shared" si="147"/>
        <v>||1900|</v>
      </c>
      <c r="I4717" s="32">
        <f>IF(G4717="",0,IF(COUNTIF($G$2:G4717,G4717)=1,1,0))</f>
        <v>0</v>
      </c>
      <c r="J4717" s="32">
        <f>IF(H4717="",0,IF(COUNTIF($H$2:H4717,H4717)=1,1,0))</f>
        <v>0</v>
      </c>
    </row>
    <row r="4718" spans="1:10" ht="14.25" hidden="1" customHeight="1" x14ac:dyDescent="0.35">
      <c r="A4718" s="30"/>
      <c r="E4718" s="31"/>
      <c r="G4718" s="32" t="str">
        <f t="shared" si="146"/>
        <v>|||1900|</v>
      </c>
      <c r="H4718" s="32" t="str">
        <f t="shared" si="147"/>
        <v>||1900|</v>
      </c>
      <c r="I4718" s="32">
        <f>IF(G4718="",0,IF(COUNTIF($G$2:G4718,G4718)=1,1,0))</f>
        <v>0</v>
      </c>
      <c r="J4718" s="32">
        <f>IF(H4718="",0,IF(COUNTIF($H$2:H4718,H4718)=1,1,0))</f>
        <v>0</v>
      </c>
    </row>
    <row r="4719" spans="1:10" ht="14.25" hidden="1" customHeight="1" x14ac:dyDescent="0.35">
      <c r="A4719" s="30"/>
      <c r="E4719" s="31"/>
      <c r="G4719" s="32" t="str">
        <f t="shared" si="146"/>
        <v>|||1900|</v>
      </c>
      <c r="H4719" s="32" t="str">
        <f t="shared" si="147"/>
        <v>||1900|</v>
      </c>
      <c r="I4719" s="32">
        <f>IF(G4719="",0,IF(COUNTIF($G$2:G4719,G4719)=1,1,0))</f>
        <v>0</v>
      </c>
      <c r="J4719" s="32">
        <f>IF(H4719="",0,IF(COUNTIF($H$2:H4719,H4719)=1,1,0))</f>
        <v>0</v>
      </c>
    </row>
    <row r="4720" spans="1:10" ht="14.25" hidden="1" customHeight="1" x14ac:dyDescent="0.35">
      <c r="A4720" s="30"/>
      <c r="E4720" s="31"/>
      <c r="G4720" s="32" t="str">
        <f t="shared" si="146"/>
        <v>|||1900|</v>
      </c>
      <c r="H4720" s="32" t="str">
        <f t="shared" si="147"/>
        <v>||1900|</v>
      </c>
      <c r="I4720" s="32">
        <f>IF(G4720="",0,IF(COUNTIF($G$2:G4720,G4720)=1,1,0))</f>
        <v>0</v>
      </c>
      <c r="J4720" s="32">
        <f>IF(H4720="",0,IF(COUNTIF($H$2:H4720,H4720)=1,1,0))</f>
        <v>0</v>
      </c>
    </row>
    <row r="4721" spans="1:10" ht="14.25" hidden="1" customHeight="1" x14ac:dyDescent="0.35">
      <c r="A4721" s="30"/>
      <c r="E4721" s="31"/>
      <c r="G4721" s="32" t="str">
        <f t="shared" si="146"/>
        <v>|||1900|</v>
      </c>
      <c r="H4721" s="32" t="str">
        <f t="shared" si="147"/>
        <v>||1900|</v>
      </c>
      <c r="I4721" s="32">
        <f>IF(G4721="",0,IF(COUNTIF($G$2:G4721,G4721)=1,1,0))</f>
        <v>0</v>
      </c>
      <c r="J4721" s="32">
        <f>IF(H4721="",0,IF(COUNTIF($H$2:H4721,H4721)=1,1,0))</f>
        <v>0</v>
      </c>
    </row>
    <row r="4722" spans="1:10" ht="14.25" hidden="1" customHeight="1" x14ac:dyDescent="0.35">
      <c r="A4722" s="30"/>
      <c r="E4722" s="31"/>
      <c r="G4722" s="32" t="str">
        <f t="shared" si="146"/>
        <v>|||1900|</v>
      </c>
      <c r="H4722" s="32" t="str">
        <f t="shared" si="147"/>
        <v>||1900|</v>
      </c>
      <c r="I4722" s="32">
        <f>IF(G4722="",0,IF(COUNTIF($G$2:G4722,G4722)=1,1,0))</f>
        <v>0</v>
      </c>
      <c r="J4722" s="32">
        <f>IF(H4722="",0,IF(COUNTIF($H$2:H4722,H4722)=1,1,0))</f>
        <v>0</v>
      </c>
    </row>
    <row r="4723" spans="1:10" ht="14.25" hidden="1" customHeight="1" x14ac:dyDescent="0.35">
      <c r="A4723" s="30"/>
      <c r="E4723" s="31"/>
      <c r="G4723" s="32" t="str">
        <f t="shared" si="146"/>
        <v>|||1900|</v>
      </c>
      <c r="H4723" s="32" t="str">
        <f t="shared" si="147"/>
        <v>||1900|</v>
      </c>
      <c r="I4723" s="32">
        <f>IF(G4723="",0,IF(COUNTIF($G$2:G4723,G4723)=1,1,0))</f>
        <v>0</v>
      </c>
      <c r="J4723" s="32">
        <f>IF(H4723="",0,IF(COUNTIF($H$2:H4723,H4723)=1,1,0))</f>
        <v>0</v>
      </c>
    </row>
    <row r="4724" spans="1:10" ht="14.25" hidden="1" customHeight="1" x14ac:dyDescent="0.35">
      <c r="A4724" s="30"/>
      <c r="E4724" s="31"/>
      <c r="G4724" s="32" t="str">
        <f t="shared" si="146"/>
        <v>|||1900|</v>
      </c>
      <c r="H4724" s="32" t="str">
        <f t="shared" si="147"/>
        <v>||1900|</v>
      </c>
      <c r="I4724" s="32">
        <f>IF(G4724="",0,IF(COUNTIF($G$2:G4724,G4724)=1,1,0))</f>
        <v>0</v>
      </c>
      <c r="J4724" s="32">
        <f>IF(H4724="",0,IF(COUNTIF($H$2:H4724,H4724)=1,1,0))</f>
        <v>0</v>
      </c>
    </row>
    <row r="4725" spans="1:10" ht="14.25" hidden="1" customHeight="1" x14ac:dyDescent="0.35">
      <c r="A4725" s="30"/>
      <c r="E4725" s="31"/>
      <c r="G4725" s="32" t="str">
        <f t="shared" si="146"/>
        <v>|||1900|</v>
      </c>
      <c r="H4725" s="32" t="str">
        <f t="shared" si="147"/>
        <v>||1900|</v>
      </c>
      <c r="I4725" s="32">
        <f>IF(G4725="",0,IF(COUNTIF($G$2:G4725,G4725)=1,1,0))</f>
        <v>0</v>
      </c>
      <c r="J4725" s="32">
        <f>IF(H4725="",0,IF(COUNTIF($H$2:H4725,H4725)=1,1,0))</f>
        <v>0</v>
      </c>
    </row>
    <row r="4726" spans="1:10" ht="14.25" hidden="1" customHeight="1" x14ac:dyDescent="0.35">
      <c r="A4726" s="30"/>
      <c r="E4726" s="31"/>
      <c r="G4726" s="32" t="str">
        <f t="shared" si="146"/>
        <v>|||1900|</v>
      </c>
      <c r="H4726" s="32" t="str">
        <f t="shared" si="147"/>
        <v>||1900|</v>
      </c>
      <c r="I4726" s="32">
        <f>IF(G4726="",0,IF(COUNTIF($G$2:G4726,G4726)=1,1,0))</f>
        <v>0</v>
      </c>
      <c r="J4726" s="32">
        <f>IF(H4726="",0,IF(COUNTIF($H$2:H4726,H4726)=1,1,0))</f>
        <v>0</v>
      </c>
    </row>
    <row r="4727" spans="1:10" ht="14.25" hidden="1" customHeight="1" x14ac:dyDescent="0.35">
      <c r="A4727" s="30"/>
      <c r="E4727" s="31"/>
      <c r="G4727" s="32" t="str">
        <f t="shared" si="146"/>
        <v>|||1900|</v>
      </c>
      <c r="H4727" s="32" t="str">
        <f t="shared" si="147"/>
        <v>||1900|</v>
      </c>
      <c r="I4727" s="32">
        <f>IF(G4727="",0,IF(COUNTIF($G$2:G4727,G4727)=1,1,0))</f>
        <v>0</v>
      </c>
      <c r="J4727" s="32">
        <f>IF(H4727="",0,IF(COUNTIF($H$2:H4727,H4727)=1,1,0))</f>
        <v>0</v>
      </c>
    </row>
    <row r="4728" spans="1:10" ht="14.25" hidden="1" customHeight="1" x14ac:dyDescent="0.35">
      <c r="A4728" s="30"/>
      <c r="E4728" s="31"/>
      <c r="G4728" s="32" t="str">
        <f t="shared" si="146"/>
        <v>|||1900|</v>
      </c>
      <c r="H4728" s="32" t="str">
        <f t="shared" si="147"/>
        <v>||1900|</v>
      </c>
      <c r="I4728" s="32">
        <f>IF(G4728="",0,IF(COUNTIF($G$2:G4728,G4728)=1,1,0))</f>
        <v>0</v>
      </c>
      <c r="J4728" s="32">
        <f>IF(H4728="",0,IF(COUNTIF($H$2:H4728,H4728)=1,1,0))</f>
        <v>0</v>
      </c>
    </row>
    <row r="4729" spans="1:10" ht="14.25" hidden="1" customHeight="1" x14ac:dyDescent="0.35">
      <c r="A4729" s="30"/>
      <c r="E4729" s="31"/>
      <c r="G4729" s="32" t="str">
        <f t="shared" si="146"/>
        <v>|||1900|</v>
      </c>
      <c r="H4729" s="32" t="str">
        <f t="shared" si="147"/>
        <v>||1900|</v>
      </c>
      <c r="I4729" s="32">
        <f>IF(G4729="",0,IF(COUNTIF($G$2:G4729,G4729)=1,1,0))</f>
        <v>0</v>
      </c>
      <c r="J4729" s="32">
        <f>IF(H4729="",0,IF(COUNTIF($H$2:H4729,H4729)=1,1,0))</f>
        <v>0</v>
      </c>
    </row>
    <row r="4730" spans="1:10" ht="14.25" hidden="1" customHeight="1" x14ac:dyDescent="0.35">
      <c r="A4730" s="30"/>
      <c r="E4730" s="31"/>
      <c r="G4730" s="32" t="str">
        <f t="shared" si="146"/>
        <v>|||1900|</v>
      </c>
      <c r="H4730" s="32" t="str">
        <f t="shared" si="147"/>
        <v>||1900|</v>
      </c>
      <c r="I4730" s="32">
        <f>IF(G4730="",0,IF(COUNTIF($G$2:G4730,G4730)=1,1,0))</f>
        <v>0</v>
      </c>
      <c r="J4730" s="32">
        <f>IF(H4730="",0,IF(COUNTIF($H$2:H4730,H4730)=1,1,0))</f>
        <v>0</v>
      </c>
    </row>
    <row r="4731" spans="1:10" ht="14.25" hidden="1" customHeight="1" x14ac:dyDescent="0.35">
      <c r="A4731" s="30"/>
      <c r="E4731" s="31"/>
      <c r="G4731" s="32" t="str">
        <f t="shared" si="146"/>
        <v>|||1900|</v>
      </c>
      <c r="H4731" s="32" t="str">
        <f t="shared" si="147"/>
        <v>||1900|</v>
      </c>
      <c r="I4731" s="32">
        <f>IF(G4731="",0,IF(COUNTIF($G$2:G4731,G4731)=1,1,0))</f>
        <v>0</v>
      </c>
      <c r="J4731" s="32">
        <f>IF(H4731="",0,IF(COUNTIF($H$2:H4731,H4731)=1,1,0))</f>
        <v>0</v>
      </c>
    </row>
    <row r="4732" spans="1:10" ht="14.25" hidden="1" customHeight="1" x14ac:dyDescent="0.35">
      <c r="A4732" s="30"/>
      <c r="E4732" s="31"/>
      <c r="G4732" s="32" t="str">
        <f t="shared" si="146"/>
        <v>|||1900|</v>
      </c>
      <c r="H4732" s="32" t="str">
        <f t="shared" si="147"/>
        <v>||1900|</v>
      </c>
      <c r="I4732" s="32">
        <f>IF(G4732="",0,IF(COUNTIF($G$2:G4732,G4732)=1,1,0))</f>
        <v>0</v>
      </c>
      <c r="J4732" s="32">
        <f>IF(H4732="",0,IF(COUNTIF($H$2:H4732,H4732)=1,1,0))</f>
        <v>0</v>
      </c>
    </row>
    <row r="4733" spans="1:10" ht="14.25" hidden="1" customHeight="1" x14ac:dyDescent="0.35">
      <c r="A4733" s="30"/>
      <c r="E4733" s="31"/>
      <c r="G4733" s="32" t="str">
        <f t="shared" si="146"/>
        <v>|||1900|</v>
      </c>
      <c r="H4733" s="32" t="str">
        <f t="shared" si="147"/>
        <v>||1900|</v>
      </c>
      <c r="I4733" s="32">
        <f>IF(G4733="",0,IF(COUNTIF($G$2:G4733,G4733)=1,1,0))</f>
        <v>0</v>
      </c>
      <c r="J4733" s="32">
        <f>IF(H4733="",0,IF(COUNTIF($H$2:H4733,H4733)=1,1,0))</f>
        <v>0</v>
      </c>
    </row>
    <row r="4734" spans="1:10" ht="14.25" hidden="1" customHeight="1" x14ac:dyDescent="0.35">
      <c r="A4734" s="30"/>
      <c r="E4734" s="31"/>
      <c r="G4734" s="32" t="str">
        <f t="shared" si="146"/>
        <v>|||1900|</v>
      </c>
      <c r="H4734" s="32" t="str">
        <f t="shared" si="147"/>
        <v>||1900|</v>
      </c>
      <c r="I4734" s="32">
        <f>IF(G4734="",0,IF(COUNTIF($G$2:G4734,G4734)=1,1,0))</f>
        <v>0</v>
      </c>
      <c r="J4734" s="32">
        <f>IF(H4734="",0,IF(COUNTIF($H$2:H4734,H4734)=1,1,0))</f>
        <v>0</v>
      </c>
    </row>
    <row r="4735" spans="1:10" ht="14.25" hidden="1" customHeight="1" x14ac:dyDescent="0.35">
      <c r="A4735" s="30"/>
      <c r="E4735" s="31"/>
      <c r="G4735" s="32" t="str">
        <f t="shared" si="146"/>
        <v>|||1900|</v>
      </c>
      <c r="H4735" s="32" t="str">
        <f t="shared" si="147"/>
        <v>||1900|</v>
      </c>
      <c r="I4735" s="32">
        <f>IF(G4735="",0,IF(COUNTIF($G$2:G4735,G4735)=1,1,0))</f>
        <v>0</v>
      </c>
      <c r="J4735" s="32">
        <f>IF(H4735="",0,IF(COUNTIF($H$2:H4735,H4735)=1,1,0))</f>
        <v>0</v>
      </c>
    </row>
    <row r="4736" spans="1:10" ht="14.25" hidden="1" customHeight="1" x14ac:dyDescent="0.35">
      <c r="A4736" s="30"/>
      <c r="E4736" s="31"/>
      <c r="G4736" s="32" t="str">
        <f t="shared" si="146"/>
        <v>|||1900|</v>
      </c>
      <c r="H4736" s="32" t="str">
        <f t="shared" si="147"/>
        <v>||1900|</v>
      </c>
      <c r="I4736" s="32">
        <f>IF(G4736="",0,IF(COUNTIF($G$2:G4736,G4736)=1,1,0))</f>
        <v>0</v>
      </c>
      <c r="J4736" s="32">
        <f>IF(H4736="",0,IF(COUNTIF($H$2:H4736,H4736)=1,1,0))</f>
        <v>0</v>
      </c>
    </row>
    <row r="4737" spans="1:10" ht="14.25" hidden="1" customHeight="1" x14ac:dyDescent="0.35">
      <c r="A4737" s="30"/>
      <c r="E4737" s="31"/>
      <c r="G4737" s="32" t="str">
        <f t="shared" si="146"/>
        <v>|||1900|</v>
      </c>
      <c r="H4737" s="32" t="str">
        <f t="shared" si="147"/>
        <v>||1900|</v>
      </c>
      <c r="I4737" s="32">
        <f>IF(G4737="",0,IF(COUNTIF($G$2:G4737,G4737)=1,1,0))</f>
        <v>0</v>
      </c>
      <c r="J4737" s="32">
        <f>IF(H4737="",0,IF(COUNTIF($H$2:H4737,H4737)=1,1,0))</f>
        <v>0</v>
      </c>
    </row>
    <row r="4738" spans="1:10" ht="14.25" hidden="1" customHeight="1" x14ac:dyDescent="0.35">
      <c r="A4738" s="30"/>
      <c r="E4738" s="31"/>
      <c r="G4738" s="32" t="str">
        <f t="shared" ref="G4738:G4801" si="148">IF(D4738="T",
E4738&amp;"|"&amp;F4738,
A4738&amp;"|"&amp;B4738&amp;"|"&amp;C4738&amp;"|"&amp;YEAR(E4738)&amp;"|"&amp;F4738)</f>
        <v>|||1900|</v>
      </c>
      <c r="H4738" s="32" t="str">
        <f t="shared" ref="H4738:H4801" si="149">A4738&amp;"|"&amp;C4738&amp;"|"&amp;YEAR(E4738)&amp;"|"&amp;F4738</f>
        <v>||1900|</v>
      </c>
      <c r="I4738" s="32">
        <f>IF(G4738="",0,IF(COUNTIF($G$2:G4738,G4738)=1,1,0))</f>
        <v>0</v>
      </c>
      <c r="J4738" s="32">
        <f>IF(H4738="",0,IF(COUNTIF($H$2:H4738,H4738)=1,1,0))</f>
        <v>0</v>
      </c>
    </row>
    <row r="4739" spans="1:10" ht="14.25" hidden="1" customHeight="1" x14ac:dyDescent="0.35">
      <c r="A4739" s="30"/>
      <c r="E4739" s="31"/>
      <c r="G4739" s="32" t="str">
        <f t="shared" si="148"/>
        <v>|||1900|</v>
      </c>
      <c r="H4739" s="32" t="str">
        <f t="shared" si="149"/>
        <v>||1900|</v>
      </c>
      <c r="I4739" s="32">
        <f>IF(G4739="",0,IF(COUNTIF($G$2:G4739,G4739)=1,1,0))</f>
        <v>0</v>
      </c>
      <c r="J4739" s="32">
        <f>IF(H4739="",0,IF(COUNTIF($H$2:H4739,H4739)=1,1,0))</f>
        <v>0</v>
      </c>
    </row>
    <row r="4740" spans="1:10" ht="14.25" hidden="1" customHeight="1" x14ac:dyDescent="0.35">
      <c r="A4740" s="30"/>
      <c r="E4740" s="31"/>
      <c r="G4740" s="32" t="str">
        <f t="shared" si="148"/>
        <v>|||1900|</v>
      </c>
      <c r="H4740" s="32" t="str">
        <f t="shared" si="149"/>
        <v>||1900|</v>
      </c>
      <c r="I4740" s="32">
        <f>IF(G4740="",0,IF(COUNTIF($G$2:G4740,G4740)=1,1,0))</f>
        <v>0</v>
      </c>
      <c r="J4740" s="32">
        <f>IF(H4740="",0,IF(COUNTIF($H$2:H4740,H4740)=1,1,0))</f>
        <v>0</v>
      </c>
    </row>
    <row r="4741" spans="1:10" ht="14.25" hidden="1" customHeight="1" x14ac:dyDescent="0.35">
      <c r="A4741" s="30"/>
      <c r="E4741" s="31"/>
      <c r="G4741" s="32" t="str">
        <f t="shared" si="148"/>
        <v>|||1900|</v>
      </c>
      <c r="H4741" s="32" t="str">
        <f t="shared" si="149"/>
        <v>||1900|</v>
      </c>
      <c r="I4741" s="32">
        <f>IF(G4741="",0,IF(COUNTIF($G$2:G4741,G4741)=1,1,0))</f>
        <v>0</v>
      </c>
      <c r="J4741" s="32">
        <f>IF(H4741="",0,IF(COUNTIF($H$2:H4741,H4741)=1,1,0))</f>
        <v>0</v>
      </c>
    </row>
    <row r="4742" spans="1:10" ht="14.25" hidden="1" customHeight="1" x14ac:dyDescent="0.35">
      <c r="A4742" s="30"/>
      <c r="E4742" s="31"/>
      <c r="G4742" s="32" t="str">
        <f t="shared" si="148"/>
        <v>|||1900|</v>
      </c>
      <c r="H4742" s="32" t="str">
        <f t="shared" si="149"/>
        <v>||1900|</v>
      </c>
      <c r="I4742" s="32">
        <f>IF(G4742="",0,IF(COUNTIF($G$2:G4742,G4742)=1,1,0))</f>
        <v>0</v>
      </c>
      <c r="J4742" s="32">
        <f>IF(H4742="",0,IF(COUNTIF($H$2:H4742,H4742)=1,1,0))</f>
        <v>0</v>
      </c>
    </row>
    <row r="4743" spans="1:10" ht="14.25" hidden="1" customHeight="1" x14ac:dyDescent="0.35">
      <c r="A4743" s="30"/>
      <c r="E4743" s="31"/>
      <c r="G4743" s="32" t="str">
        <f t="shared" si="148"/>
        <v>|||1900|</v>
      </c>
      <c r="H4743" s="32" t="str">
        <f t="shared" si="149"/>
        <v>||1900|</v>
      </c>
      <c r="I4743" s="32">
        <f>IF(G4743="",0,IF(COUNTIF($G$2:G4743,G4743)=1,1,0))</f>
        <v>0</v>
      </c>
      <c r="J4743" s="32">
        <f>IF(H4743="",0,IF(COUNTIF($H$2:H4743,H4743)=1,1,0))</f>
        <v>0</v>
      </c>
    </row>
    <row r="4744" spans="1:10" ht="14.25" hidden="1" customHeight="1" x14ac:dyDescent="0.35">
      <c r="A4744" s="30"/>
      <c r="E4744" s="31"/>
      <c r="G4744" s="32" t="str">
        <f t="shared" si="148"/>
        <v>|||1900|</v>
      </c>
      <c r="H4744" s="32" t="str">
        <f t="shared" si="149"/>
        <v>||1900|</v>
      </c>
      <c r="I4744" s="32">
        <f>IF(G4744="",0,IF(COUNTIF($G$2:G4744,G4744)=1,1,0))</f>
        <v>0</v>
      </c>
      <c r="J4744" s="32">
        <f>IF(H4744="",0,IF(COUNTIF($H$2:H4744,H4744)=1,1,0))</f>
        <v>0</v>
      </c>
    </row>
    <row r="4745" spans="1:10" ht="14.25" hidden="1" customHeight="1" x14ac:dyDescent="0.35">
      <c r="A4745" s="30"/>
      <c r="E4745" s="31"/>
      <c r="G4745" s="32" t="str">
        <f t="shared" si="148"/>
        <v>|||1900|</v>
      </c>
      <c r="H4745" s="32" t="str">
        <f t="shared" si="149"/>
        <v>||1900|</v>
      </c>
      <c r="I4745" s="32">
        <f>IF(G4745="",0,IF(COUNTIF($G$2:G4745,G4745)=1,1,0))</f>
        <v>0</v>
      </c>
      <c r="J4745" s="32">
        <f>IF(H4745="",0,IF(COUNTIF($H$2:H4745,H4745)=1,1,0))</f>
        <v>0</v>
      </c>
    </row>
    <row r="4746" spans="1:10" ht="14.25" hidden="1" customHeight="1" x14ac:dyDescent="0.35">
      <c r="A4746" s="30"/>
      <c r="E4746" s="31"/>
      <c r="G4746" s="32" t="str">
        <f t="shared" si="148"/>
        <v>|||1900|</v>
      </c>
      <c r="H4746" s="32" t="str">
        <f t="shared" si="149"/>
        <v>||1900|</v>
      </c>
      <c r="I4746" s="32">
        <f>IF(G4746="",0,IF(COUNTIF($G$2:G4746,G4746)=1,1,0))</f>
        <v>0</v>
      </c>
      <c r="J4746" s="32">
        <f>IF(H4746="",0,IF(COUNTIF($H$2:H4746,H4746)=1,1,0))</f>
        <v>0</v>
      </c>
    </row>
    <row r="4747" spans="1:10" ht="14.25" hidden="1" customHeight="1" x14ac:dyDescent="0.35">
      <c r="A4747" s="30"/>
      <c r="E4747" s="31"/>
      <c r="G4747" s="32" t="str">
        <f t="shared" si="148"/>
        <v>|||1900|</v>
      </c>
      <c r="H4747" s="32" t="str">
        <f t="shared" si="149"/>
        <v>||1900|</v>
      </c>
      <c r="I4747" s="32">
        <f>IF(G4747="",0,IF(COUNTIF($G$2:G4747,G4747)=1,1,0))</f>
        <v>0</v>
      </c>
      <c r="J4747" s="32">
        <f>IF(H4747="",0,IF(COUNTIF($H$2:H4747,H4747)=1,1,0))</f>
        <v>0</v>
      </c>
    </row>
    <row r="4748" spans="1:10" ht="14.25" hidden="1" customHeight="1" x14ac:dyDescent="0.35">
      <c r="A4748" s="30"/>
      <c r="E4748" s="31"/>
      <c r="G4748" s="32" t="str">
        <f t="shared" si="148"/>
        <v>|||1900|</v>
      </c>
      <c r="H4748" s="32" t="str">
        <f t="shared" si="149"/>
        <v>||1900|</v>
      </c>
      <c r="I4748" s="32">
        <f>IF(G4748="",0,IF(COUNTIF($G$2:G4748,G4748)=1,1,0))</f>
        <v>0</v>
      </c>
      <c r="J4748" s="32">
        <f>IF(H4748="",0,IF(COUNTIF($H$2:H4748,H4748)=1,1,0))</f>
        <v>0</v>
      </c>
    </row>
    <row r="4749" spans="1:10" ht="14.25" hidden="1" customHeight="1" x14ac:dyDescent="0.35">
      <c r="A4749" s="30"/>
      <c r="E4749" s="31"/>
      <c r="G4749" s="32" t="str">
        <f t="shared" si="148"/>
        <v>|||1900|</v>
      </c>
      <c r="H4749" s="32" t="str">
        <f t="shared" si="149"/>
        <v>||1900|</v>
      </c>
      <c r="I4749" s="32">
        <f>IF(G4749="",0,IF(COUNTIF($G$2:G4749,G4749)=1,1,0))</f>
        <v>0</v>
      </c>
      <c r="J4749" s="32">
        <f>IF(H4749="",0,IF(COUNTIF($H$2:H4749,H4749)=1,1,0))</f>
        <v>0</v>
      </c>
    </row>
    <row r="4750" spans="1:10" ht="14.25" hidden="1" customHeight="1" x14ac:dyDescent="0.35">
      <c r="A4750" s="30"/>
      <c r="E4750" s="31"/>
      <c r="G4750" s="32" t="str">
        <f t="shared" si="148"/>
        <v>|||1900|</v>
      </c>
      <c r="H4750" s="32" t="str">
        <f t="shared" si="149"/>
        <v>||1900|</v>
      </c>
      <c r="I4750" s="32">
        <f>IF(G4750="",0,IF(COUNTIF($G$2:G4750,G4750)=1,1,0))</f>
        <v>0</v>
      </c>
      <c r="J4750" s="32">
        <f>IF(H4750="",0,IF(COUNTIF($H$2:H4750,H4750)=1,1,0))</f>
        <v>0</v>
      </c>
    </row>
    <row r="4751" spans="1:10" ht="14.25" hidden="1" customHeight="1" x14ac:dyDescent="0.35">
      <c r="A4751" s="30"/>
      <c r="E4751" s="31"/>
      <c r="G4751" s="32" t="str">
        <f t="shared" si="148"/>
        <v>|||1900|</v>
      </c>
      <c r="H4751" s="32" t="str">
        <f t="shared" si="149"/>
        <v>||1900|</v>
      </c>
      <c r="I4751" s="32">
        <f>IF(G4751="",0,IF(COUNTIF($G$2:G4751,G4751)=1,1,0))</f>
        <v>0</v>
      </c>
      <c r="J4751" s="32">
        <f>IF(H4751="",0,IF(COUNTIF($H$2:H4751,H4751)=1,1,0))</f>
        <v>0</v>
      </c>
    </row>
    <row r="4752" spans="1:10" ht="14.25" hidden="1" customHeight="1" x14ac:dyDescent="0.35">
      <c r="A4752" s="30"/>
      <c r="E4752" s="31"/>
      <c r="G4752" s="32" t="str">
        <f t="shared" si="148"/>
        <v>|||1900|</v>
      </c>
      <c r="H4752" s="32" t="str">
        <f t="shared" si="149"/>
        <v>||1900|</v>
      </c>
      <c r="I4752" s="32">
        <f>IF(G4752="",0,IF(COUNTIF($G$2:G4752,G4752)=1,1,0))</f>
        <v>0</v>
      </c>
      <c r="J4752" s="32">
        <f>IF(H4752="",0,IF(COUNTIF($H$2:H4752,H4752)=1,1,0))</f>
        <v>0</v>
      </c>
    </row>
    <row r="4753" spans="1:10" ht="14.25" hidden="1" customHeight="1" x14ac:dyDescent="0.35">
      <c r="A4753" s="30"/>
      <c r="E4753" s="31"/>
      <c r="G4753" s="32" t="str">
        <f t="shared" si="148"/>
        <v>|||1900|</v>
      </c>
      <c r="H4753" s="32" t="str">
        <f t="shared" si="149"/>
        <v>||1900|</v>
      </c>
      <c r="I4753" s="32">
        <f>IF(G4753="",0,IF(COUNTIF($G$2:G4753,G4753)=1,1,0))</f>
        <v>0</v>
      </c>
      <c r="J4753" s="32">
        <f>IF(H4753="",0,IF(COUNTIF($H$2:H4753,H4753)=1,1,0))</f>
        <v>0</v>
      </c>
    </row>
    <row r="4754" spans="1:10" ht="14.25" hidden="1" customHeight="1" x14ac:dyDescent="0.35">
      <c r="A4754" s="30"/>
      <c r="E4754" s="31"/>
      <c r="G4754" s="32" t="str">
        <f t="shared" si="148"/>
        <v>|||1900|</v>
      </c>
      <c r="H4754" s="32" t="str">
        <f t="shared" si="149"/>
        <v>||1900|</v>
      </c>
      <c r="I4754" s="32">
        <f>IF(G4754="",0,IF(COUNTIF($G$2:G4754,G4754)=1,1,0))</f>
        <v>0</v>
      </c>
      <c r="J4754" s="32">
        <f>IF(H4754="",0,IF(COUNTIF($H$2:H4754,H4754)=1,1,0))</f>
        <v>0</v>
      </c>
    </row>
    <row r="4755" spans="1:10" ht="14.25" hidden="1" customHeight="1" x14ac:dyDescent="0.35">
      <c r="A4755" s="30"/>
      <c r="E4755" s="31"/>
      <c r="G4755" s="32" t="str">
        <f t="shared" si="148"/>
        <v>|||1900|</v>
      </c>
      <c r="H4755" s="32" t="str">
        <f t="shared" si="149"/>
        <v>||1900|</v>
      </c>
      <c r="I4755" s="32">
        <f>IF(G4755="",0,IF(COUNTIF($G$2:G4755,G4755)=1,1,0))</f>
        <v>0</v>
      </c>
      <c r="J4755" s="32">
        <f>IF(H4755="",0,IF(COUNTIF($H$2:H4755,H4755)=1,1,0))</f>
        <v>0</v>
      </c>
    </row>
    <row r="4756" spans="1:10" ht="14.25" hidden="1" customHeight="1" x14ac:dyDescent="0.35">
      <c r="A4756" s="30"/>
      <c r="E4756" s="31"/>
      <c r="G4756" s="32" t="str">
        <f t="shared" si="148"/>
        <v>|||1900|</v>
      </c>
      <c r="H4756" s="32" t="str">
        <f t="shared" si="149"/>
        <v>||1900|</v>
      </c>
      <c r="I4756" s="32">
        <f>IF(G4756="",0,IF(COUNTIF($G$2:G4756,G4756)=1,1,0))</f>
        <v>0</v>
      </c>
      <c r="J4756" s="32">
        <f>IF(H4756="",0,IF(COUNTIF($H$2:H4756,H4756)=1,1,0))</f>
        <v>0</v>
      </c>
    </row>
    <row r="4757" spans="1:10" ht="14.25" hidden="1" customHeight="1" x14ac:dyDescent="0.35">
      <c r="A4757" s="30"/>
      <c r="E4757" s="31"/>
      <c r="G4757" s="32" t="str">
        <f t="shared" si="148"/>
        <v>|||1900|</v>
      </c>
      <c r="H4757" s="32" t="str">
        <f t="shared" si="149"/>
        <v>||1900|</v>
      </c>
      <c r="I4757" s="32">
        <f>IF(G4757="",0,IF(COUNTIF($G$2:G4757,G4757)=1,1,0))</f>
        <v>0</v>
      </c>
      <c r="J4757" s="32">
        <f>IF(H4757="",0,IF(COUNTIF($H$2:H4757,H4757)=1,1,0))</f>
        <v>0</v>
      </c>
    </row>
    <row r="4758" spans="1:10" ht="14.25" hidden="1" customHeight="1" x14ac:dyDescent="0.35">
      <c r="A4758" s="30"/>
      <c r="E4758" s="31"/>
      <c r="G4758" s="32" t="str">
        <f t="shared" si="148"/>
        <v>|||1900|</v>
      </c>
      <c r="H4758" s="32" t="str">
        <f t="shared" si="149"/>
        <v>||1900|</v>
      </c>
      <c r="I4758" s="32">
        <f>IF(G4758="",0,IF(COUNTIF($G$2:G4758,G4758)=1,1,0))</f>
        <v>0</v>
      </c>
      <c r="J4758" s="32">
        <f>IF(H4758="",0,IF(COUNTIF($H$2:H4758,H4758)=1,1,0))</f>
        <v>0</v>
      </c>
    </row>
    <row r="4759" spans="1:10" ht="14.25" hidden="1" customHeight="1" x14ac:dyDescent="0.35">
      <c r="A4759" s="30"/>
      <c r="E4759" s="31"/>
      <c r="G4759" s="32" t="str">
        <f t="shared" si="148"/>
        <v>|||1900|</v>
      </c>
      <c r="H4759" s="32" t="str">
        <f t="shared" si="149"/>
        <v>||1900|</v>
      </c>
      <c r="I4759" s="32">
        <f>IF(G4759="",0,IF(COUNTIF($G$2:G4759,G4759)=1,1,0))</f>
        <v>0</v>
      </c>
      <c r="J4759" s="32">
        <f>IF(H4759="",0,IF(COUNTIF($H$2:H4759,H4759)=1,1,0))</f>
        <v>0</v>
      </c>
    </row>
    <row r="4760" spans="1:10" ht="14.25" hidden="1" customHeight="1" x14ac:dyDescent="0.35">
      <c r="A4760" s="30"/>
      <c r="E4760" s="31"/>
      <c r="G4760" s="32" t="str">
        <f t="shared" si="148"/>
        <v>|||1900|</v>
      </c>
      <c r="H4760" s="32" t="str">
        <f t="shared" si="149"/>
        <v>||1900|</v>
      </c>
      <c r="I4760" s="32">
        <f>IF(G4760="",0,IF(COUNTIF($G$2:G4760,G4760)=1,1,0))</f>
        <v>0</v>
      </c>
      <c r="J4760" s="32">
        <f>IF(H4760="",0,IF(COUNTIF($H$2:H4760,H4760)=1,1,0))</f>
        <v>0</v>
      </c>
    </row>
    <row r="4761" spans="1:10" ht="14.25" hidden="1" customHeight="1" x14ac:dyDescent="0.35">
      <c r="A4761" s="30"/>
      <c r="E4761" s="31"/>
      <c r="G4761" s="32" t="str">
        <f t="shared" si="148"/>
        <v>|||1900|</v>
      </c>
      <c r="H4761" s="32" t="str">
        <f t="shared" si="149"/>
        <v>||1900|</v>
      </c>
      <c r="I4761" s="32">
        <f>IF(G4761="",0,IF(COUNTIF($G$2:G4761,G4761)=1,1,0))</f>
        <v>0</v>
      </c>
      <c r="J4761" s="32">
        <f>IF(H4761="",0,IF(COUNTIF($H$2:H4761,H4761)=1,1,0))</f>
        <v>0</v>
      </c>
    </row>
    <row r="4762" spans="1:10" ht="14.25" hidden="1" customHeight="1" x14ac:dyDescent="0.35">
      <c r="A4762" s="30"/>
      <c r="E4762" s="31"/>
      <c r="G4762" s="32" t="str">
        <f t="shared" si="148"/>
        <v>|||1900|</v>
      </c>
      <c r="H4762" s="32" t="str">
        <f t="shared" si="149"/>
        <v>||1900|</v>
      </c>
      <c r="I4762" s="32">
        <f>IF(G4762="",0,IF(COUNTIF($G$2:G4762,G4762)=1,1,0))</f>
        <v>0</v>
      </c>
      <c r="J4762" s="32">
        <f>IF(H4762="",0,IF(COUNTIF($H$2:H4762,H4762)=1,1,0))</f>
        <v>0</v>
      </c>
    </row>
    <row r="4763" spans="1:10" ht="14.25" hidden="1" customHeight="1" x14ac:dyDescent="0.35">
      <c r="A4763" s="30"/>
      <c r="E4763" s="31"/>
      <c r="G4763" s="32" t="str">
        <f t="shared" si="148"/>
        <v>|||1900|</v>
      </c>
      <c r="H4763" s="32" t="str">
        <f t="shared" si="149"/>
        <v>||1900|</v>
      </c>
      <c r="I4763" s="32">
        <f>IF(G4763="",0,IF(COUNTIF($G$2:G4763,G4763)=1,1,0))</f>
        <v>0</v>
      </c>
      <c r="J4763" s="32">
        <f>IF(H4763="",0,IF(COUNTIF($H$2:H4763,H4763)=1,1,0))</f>
        <v>0</v>
      </c>
    </row>
    <row r="4764" spans="1:10" ht="14.25" hidden="1" customHeight="1" x14ac:dyDescent="0.35">
      <c r="A4764" s="30"/>
      <c r="E4764" s="31"/>
      <c r="G4764" s="32" t="str">
        <f t="shared" si="148"/>
        <v>|||1900|</v>
      </c>
      <c r="H4764" s="32" t="str">
        <f t="shared" si="149"/>
        <v>||1900|</v>
      </c>
      <c r="I4764" s="32">
        <f>IF(G4764="",0,IF(COUNTIF($G$2:G4764,G4764)=1,1,0))</f>
        <v>0</v>
      </c>
      <c r="J4764" s="32">
        <f>IF(H4764="",0,IF(COUNTIF($H$2:H4764,H4764)=1,1,0))</f>
        <v>0</v>
      </c>
    </row>
    <row r="4765" spans="1:10" ht="14.25" hidden="1" customHeight="1" x14ac:dyDescent="0.35">
      <c r="A4765" s="30"/>
      <c r="E4765" s="31"/>
      <c r="G4765" s="32" t="str">
        <f t="shared" si="148"/>
        <v>|||1900|</v>
      </c>
      <c r="H4765" s="32" t="str">
        <f t="shared" si="149"/>
        <v>||1900|</v>
      </c>
      <c r="I4765" s="32">
        <f>IF(G4765="",0,IF(COUNTIF($G$2:G4765,G4765)=1,1,0))</f>
        <v>0</v>
      </c>
      <c r="J4765" s="32">
        <f>IF(H4765="",0,IF(COUNTIF($H$2:H4765,H4765)=1,1,0))</f>
        <v>0</v>
      </c>
    </row>
    <row r="4766" spans="1:10" ht="14.25" hidden="1" customHeight="1" x14ac:dyDescent="0.35">
      <c r="A4766" s="30"/>
      <c r="E4766" s="31"/>
      <c r="G4766" s="32" t="str">
        <f t="shared" si="148"/>
        <v>|||1900|</v>
      </c>
      <c r="H4766" s="32" t="str">
        <f t="shared" si="149"/>
        <v>||1900|</v>
      </c>
      <c r="I4766" s="32">
        <f>IF(G4766="",0,IF(COUNTIF($G$2:G4766,G4766)=1,1,0))</f>
        <v>0</v>
      </c>
      <c r="J4766" s="32">
        <f>IF(H4766="",0,IF(COUNTIF($H$2:H4766,H4766)=1,1,0))</f>
        <v>0</v>
      </c>
    </row>
    <row r="4767" spans="1:10" ht="14.25" hidden="1" customHeight="1" x14ac:dyDescent="0.35">
      <c r="A4767" s="30"/>
      <c r="E4767" s="31"/>
      <c r="G4767" s="32" t="str">
        <f t="shared" si="148"/>
        <v>|||1900|</v>
      </c>
      <c r="H4767" s="32" t="str">
        <f t="shared" si="149"/>
        <v>||1900|</v>
      </c>
      <c r="I4767" s="32">
        <f>IF(G4767="",0,IF(COUNTIF($G$2:G4767,G4767)=1,1,0))</f>
        <v>0</v>
      </c>
      <c r="J4767" s="32">
        <f>IF(H4767="",0,IF(COUNTIF($H$2:H4767,H4767)=1,1,0))</f>
        <v>0</v>
      </c>
    </row>
    <row r="4768" spans="1:10" ht="14.25" hidden="1" customHeight="1" x14ac:dyDescent="0.35">
      <c r="A4768" s="30"/>
      <c r="E4768" s="31"/>
      <c r="G4768" s="32" t="str">
        <f t="shared" si="148"/>
        <v>|||1900|</v>
      </c>
      <c r="H4768" s="32" t="str">
        <f t="shared" si="149"/>
        <v>||1900|</v>
      </c>
      <c r="I4768" s="32">
        <f>IF(G4768="",0,IF(COUNTIF($G$2:G4768,G4768)=1,1,0))</f>
        <v>0</v>
      </c>
      <c r="J4768" s="32">
        <f>IF(H4768="",0,IF(COUNTIF($H$2:H4768,H4768)=1,1,0))</f>
        <v>0</v>
      </c>
    </row>
    <row r="4769" spans="1:10" ht="14.25" hidden="1" customHeight="1" x14ac:dyDescent="0.35">
      <c r="A4769" s="30"/>
      <c r="E4769" s="31"/>
      <c r="G4769" s="32" t="str">
        <f t="shared" si="148"/>
        <v>|||1900|</v>
      </c>
      <c r="H4769" s="32" t="str">
        <f t="shared" si="149"/>
        <v>||1900|</v>
      </c>
      <c r="I4769" s="32">
        <f>IF(G4769="",0,IF(COUNTIF($G$2:G4769,G4769)=1,1,0))</f>
        <v>0</v>
      </c>
      <c r="J4769" s="32">
        <f>IF(H4769="",0,IF(COUNTIF($H$2:H4769,H4769)=1,1,0))</f>
        <v>0</v>
      </c>
    </row>
    <row r="4770" spans="1:10" ht="14.25" hidden="1" customHeight="1" x14ac:dyDescent="0.35">
      <c r="A4770" s="30"/>
      <c r="E4770" s="31"/>
      <c r="G4770" s="32" t="str">
        <f t="shared" si="148"/>
        <v>|||1900|</v>
      </c>
      <c r="H4770" s="32" t="str">
        <f t="shared" si="149"/>
        <v>||1900|</v>
      </c>
      <c r="I4770" s="32">
        <f>IF(G4770="",0,IF(COUNTIF($G$2:G4770,G4770)=1,1,0))</f>
        <v>0</v>
      </c>
      <c r="J4770" s="32">
        <f>IF(H4770="",0,IF(COUNTIF($H$2:H4770,H4770)=1,1,0))</f>
        <v>0</v>
      </c>
    </row>
    <row r="4771" spans="1:10" ht="14.25" hidden="1" customHeight="1" x14ac:dyDescent="0.35">
      <c r="A4771" s="30"/>
      <c r="E4771" s="31"/>
      <c r="G4771" s="32" t="str">
        <f t="shared" si="148"/>
        <v>|||1900|</v>
      </c>
      <c r="H4771" s="32" t="str">
        <f t="shared" si="149"/>
        <v>||1900|</v>
      </c>
      <c r="I4771" s="32">
        <f>IF(G4771="",0,IF(COUNTIF($G$2:G4771,G4771)=1,1,0))</f>
        <v>0</v>
      </c>
      <c r="J4771" s="32">
        <f>IF(H4771="",0,IF(COUNTIF($H$2:H4771,H4771)=1,1,0))</f>
        <v>0</v>
      </c>
    </row>
    <row r="4772" spans="1:10" ht="14.25" hidden="1" customHeight="1" x14ac:dyDescent="0.35">
      <c r="A4772" s="30"/>
      <c r="E4772" s="31"/>
      <c r="G4772" s="32" t="str">
        <f t="shared" si="148"/>
        <v>|||1900|</v>
      </c>
      <c r="H4772" s="32" t="str">
        <f t="shared" si="149"/>
        <v>||1900|</v>
      </c>
      <c r="I4772" s="32">
        <f>IF(G4772="",0,IF(COUNTIF($G$2:G4772,G4772)=1,1,0))</f>
        <v>0</v>
      </c>
      <c r="J4772" s="32">
        <f>IF(H4772="",0,IF(COUNTIF($H$2:H4772,H4772)=1,1,0))</f>
        <v>0</v>
      </c>
    </row>
    <row r="4773" spans="1:10" ht="14.25" hidden="1" customHeight="1" x14ac:dyDescent="0.35">
      <c r="A4773" s="30"/>
      <c r="E4773" s="31"/>
      <c r="G4773" s="32" t="str">
        <f t="shared" si="148"/>
        <v>|||1900|</v>
      </c>
      <c r="H4773" s="32" t="str">
        <f t="shared" si="149"/>
        <v>||1900|</v>
      </c>
      <c r="I4773" s="32">
        <f>IF(G4773="",0,IF(COUNTIF($G$2:G4773,G4773)=1,1,0))</f>
        <v>0</v>
      </c>
      <c r="J4773" s="32">
        <f>IF(H4773="",0,IF(COUNTIF($H$2:H4773,H4773)=1,1,0))</f>
        <v>0</v>
      </c>
    </row>
    <row r="4774" spans="1:10" ht="14.25" hidden="1" customHeight="1" x14ac:dyDescent="0.35">
      <c r="A4774" s="30"/>
      <c r="E4774" s="31"/>
      <c r="G4774" s="32" t="str">
        <f t="shared" si="148"/>
        <v>|||1900|</v>
      </c>
      <c r="H4774" s="32" t="str">
        <f t="shared" si="149"/>
        <v>||1900|</v>
      </c>
      <c r="I4774" s="32">
        <f>IF(G4774="",0,IF(COUNTIF($G$2:G4774,G4774)=1,1,0))</f>
        <v>0</v>
      </c>
      <c r="J4774" s="32">
        <f>IF(H4774="",0,IF(COUNTIF($H$2:H4774,H4774)=1,1,0))</f>
        <v>0</v>
      </c>
    </row>
    <row r="4775" spans="1:10" ht="14.25" hidden="1" customHeight="1" x14ac:dyDescent="0.35">
      <c r="A4775" s="30"/>
      <c r="E4775" s="31"/>
      <c r="G4775" s="32" t="str">
        <f t="shared" si="148"/>
        <v>|||1900|</v>
      </c>
      <c r="H4775" s="32" t="str">
        <f t="shared" si="149"/>
        <v>||1900|</v>
      </c>
      <c r="I4775" s="32">
        <f>IF(G4775="",0,IF(COUNTIF($G$2:G4775,G4775)=1,1,0))</f>
        <v>0</v>
      </c>
      <c r="J4775" s="32">
        <f>IF(H4775="",0,IF(COUNTIF($H$2:H4775,H4775)=1,1,0))</f>
        <v>0</v>
      </c>
    </row>
    <row r="4776" spans="1:10" ht="14.25" hidden="1" customHeight="1" x14ac:dyDescent="0.35">
      <c r="A4776" s="30"/>
      <c r="E4776" s="31"/>
      <c r="G4776" s="32" t="str">
        <f t="shared" si="148"/>
        <v>|||1900|</v>
      </c>
      <c r="H4776" s="32" t="str">
        <f t="shared" si="149"/>
        <v>||1900|</v>
      </c>
      <c r="I4776" s="32">
        <f>IF(G4776="",0,IF(COUNTIF($G$2:G4776,G4776)=1,1,0))</f>
        <v>0</v>
      </c>
      <c r="J4776" s="32">
        <f>IF(H4776="",0,IF(COUNTIF($H$2:H4776,H4776)=1,1,0))</f>
        <v>0</v>
      </c>
    </row>
    <row r="4777" spans="1:10" ht="14.25" hidden="1" customHeight="1" x14ac:dyDescent="0.35">
      <c r="A4777" s="30"/>
      <c r="E4777" s="31"/>
      <c r="G4777" s="32" t="str">
        <f t="shared" si="148"/>
        <v>|||1900|</v>
      </c>
      <c r="H4777" s="32" t="str">
        <f t="shared" si="149"/>
        <v>||1900|</v>
      </c>
      <c r="I4777" s="32">
        <f>IF(G4777="",0,IF(COUNTIF($G$2:G4777,G4777)=1,1,0))</f>
        <v>0</v>
      </c>
      <c r="J4777" s="32">
        <f>IF(H4777="",0,IF(COUNTIF($H$2:H4777,H4777)=1,1,0))</f>
        <v>0</v>
      </c>
    </row>
    <row r="4778" spans="1:10" ht="14.25" hidden="1" customHeight="1" x14ac:dyDescent="0.35">
      <c r="A4778" s="30"/>
      <c r="E4778" s="31"/>
      <c r="G4778" s="32" t="str">
        <f t="shared" si="148"/>
        <v>|||1900|</v>
      </c>
      <c r="H4778" s="32" t="str">
        <f t="shared" si="149"/>
        <v>||1900|</v>
      </c>
      <c r="I4778" s="32">
        <f>IF(G4778="",0,IF(COUNTIF($G$2:G4778,G4778)=1,1,0))</f>
        <v>0</v>
      </c>
      <c r="J4778" s="32">
        <f>IF(H4778="",0,IF(COUNTIF($H$2:H4778,H4778)=1,1,0))</f>
        <v>0</v>
      </c>
    </row>
    <row r="4779" spans="1:10" ht="14.25" hidden="1" customHeight="1" x14ac:dyDescent="0.35">
      <c r="A4779" s="30"/>
      <c r="E4779" s="31"/>
      <c r="G4779" s="32" t="str">
        <f t="shared" si="148"/>
        <v>|||1900|</v>
      </c>
      <c r="H4779" s="32" t="str">
        <f t="shared" si="149"/>
        <v>||1900|</v>
      </c>
      <c r="I4779" s="32">
        <f>IF(G4779="",0,IF(COUNTIF($G$2:G4779,G4779)=1,1,0))</f>
        <v>0</v>
      </c>
      <c r="J4779" s="32">
        <f>IF(H4779="",0,IF(COUNTIF($H$2:H4779,H4779)=1,1,0))</f>
        <v>0</v>
      </c>
    </row>
    <row r="4780" spans="1:10" ht="14.25" hidden="1" customHeight="1" x14ac:dyDescent="0.35">
      <c r="A4780" s="30"/>
      <c r="E4780" s="31"/>
      <c r="G4780" s="32" t="str">
        <f t="shared" si="148"/>
        <v>|||1900|</v>
      </c>
      <c r="H4780" s="32" t="str">
        <f t="shared" si="149"/>
        <v>||1900|</v>
      </c>
      <c r="I4780" s="32">
        <f>IF(G4780="",0,IF(COUNTIF($G$2:G4780,G4780)=1,1,0))</f>
        <v>0</v>
      </c>
      <c r="J4780" s="32">
        <f>IF(H4780="",0,IF(COUNTIF($H$2:H4780,H4780)=1,1,0))</f>
        <v>0</v>
      </c>
    </row>
    <row r="4781" spans="1:10" ht="14.25" hidden="1" customHeight="1" x14ac:dyDescent="0.35">
      <c r="A4781" s="30"/>
      <c r="E4781" s="31"/>
      <c r="G4781" s="32" t="str">
        <f t="shared" si="148"/>
        <v>|||1900|</v>
      </c>
      <c r="H4781" s="32" t="str">
        <f t="shared" si="149"/>
        <v>||1900|</v>
      </c>
      <c r="I4781" s="32">
        <f>IF(G4781="",0,IF(COUNTIF($G$2:G4781,G4781)=1,1,0))</f>
        <v>0</v>
      </c>
      <c r="J4781" s="32">
        <f>IF(H4781="",0,IF(COUNTIF($H$2:H4781,H4781)=1,1,0))</f>
        <v>0</v>
      </c>
    </row>
    <row r="4782" spans="1:10" ht="14.25" hidden="1" customHeight="1" x14ac:dyDescent="0.35">
      <c r="A4782" s="30"/>
      <c r="E4782" s="31"/>
      <c r="G4782" s="32" t="str">
        <f t="shared" si="148"/>
        <v>|||1900|</v>
      </c>
      <c r="H4782" s="32" t="str">
        <f t="shared" si="149"/>
        <v>||1900|</v>
      </c>
      <c r="I4782" s="32">
        <f>IF(G4782="",0,IF(COUNTIF($G$2:G4782,G4782)=1,1,0))</f>
        <v>0</v>
      </c>
      <c r="J4782" s="32">
        <f>IF(H4782="",0,IF(COUNTIF($H$2:H4782,H4782)=1,1,0))</f>
        <v>0</v>
      </c>
    </row>
    <row r="4783" spans="1:10" ht="14.25" hidden="1" customHeight="1" x14ac:dyDescent="0.35">
      <c r="A4783" s="30"/>
      <c r="E4783" s="31"/>
      <c r="G4783" s="32" t="str">
        <f t="shared" si="148"/>
        <v>|||1900|</v>
      </c>
      <c r="H4783" s="32" t="str">
        <f t="shared" si="149"/>
        <v>||1900|</v>
      </c>
      <c r="I4783" s="32">
        <f>IF(G4783="",0,IF(COUNTIF($G$2:G4783,G4783)=1,1,0))</f>
        <v>0</v>
      </c>
      <c r="J4783" s="32">
        <f>IF(H4783="",0,IF(COUNTIF($H$2:H4783,H4783)=1,1,0))</f>
        <v>0</v>
      </c>
    </row>
    <row r="4784" spans="1:10" ht="14.25" hidden="1" customHeight="1" x14ac:dyDescent="0.35">
      <c r="A4784" s="30"/>
      <c r="E4784" s="31"/>
      <c r="G4784" s="32" t="str">
        <f t="shared" si="148"/>
        <v>|||1900|</v>
      </c>
      <c r="H4784" s="32" t="str">
        <f t="shared" si="149"/>
        <v>||1900|</v>
      </c>
      <c r="I4784" s="32">
        <f>IF(G4784="",0,IF(COUNTIF($G$2:G4784,G4784)=1,1,0))</f>
        <v>0</v>
      </c>
      <c r="J4784" s="32">
        <f>IF(H4784="",0,IF(COUNTIF($H$2:H4784,H4784)=1,1,0))</f>
        <v>0</v>
      </c>
    </row>
    <row r="4785" spans="1:10" ht="14.25" hidden="1" customHeight="1" x14ac:dyDescent="0.35">
      <c r="A4785" s="30"/>
      <c r="E4785" s="31"/>
      <c r="G4785" s="32" t="str">
        <f t="shared" si="148"/>
        <v>|||1900|</v>
      </c>
      <c r="H4785" s="32" t="str">
        <f t="shared" si="149"/>
        <v>||1900|</v>
      </c>
      <c r="I4785" s="32">
        <f>IF(G4785="",0,IF(COUNTIF($G$2:G4785,G4785)=1,1,0))</f>
        <v>0</v>
      </c>
      <c r="J4785" s="32">
        <f>IF(H4785="",0,IF(COUNTIF($H$2:H4785,H4785)=1,1,0))</f>
        <v>0</v>
      </c>
    </row>
    <row r="4786" spans="1:10" ht="14.25" hidden="1" customHeight="1" x14ac:dyDescent="0.35">
      <c r="A4786" s="30"/>
      <c r="E4786" s="31"/>
      <c r="G4786" s="32" t="str">
        <f t="shared" si="148"/>
        <v>|||1900|</v>
      </c>
      <c r="H4786" s="32" t="str">
        <f t="shared" si="149"/>
        <v>||1900|</v>
      </c>
      <c r="I4786" s="32">
        <f>IF(G4786="",0,IF(COUNTIF($G$2:G4786,G4786)=1,1,0))</f>
        <v>0</v>
      </c>
      <c r="J4786" s="32">
        <f>IF(H4786="",0,IF(COUNTIF($H$2:H4786,H4786)=1,1,0))</f>
        <v>0</v>
      </c>
    </row>
    <row r="4787" spans="1:10" ht="14.25" hidden="1" customHeight="1" x14ac:dyDescent="0.35">
      <c r="A4787" s="30"/>
      <c r="E4787" s="31"/>
      <c r="G4787" s="32" t="str">
        <f t="shared" si="148"/>
        <v>|||1900|</v>
      </c>
      <c r="H4787" s="32" t="str">
        <f t="shared" si="149"/>
        <v>||1900|</v>
      </c>
      <c r="I4787" s="32">
        <f>IF(G4787="",0,IF(COUNTIF($G$2:G4787,G4787)=1,1,0))</f>
        <v>0</v>
      </c>
      <c r="J4787" s="32">
        <f>IF(H4787="",0,IF(COUNTIF($H$2:H4787,H4787)=1,1,0))</f>
        <v>0</v>
      </c>
    </row>
    <row r="4788" spans="1:10" ht="14.25" hidden="1" customHeight="1" x14ac:dyDescent="0.35">
      <c r="A4788" s="30"/>
      <c r="E4788" s="31"/>
      <c r="G4788" s="32" t="str">
        <f t="shared" si="148"/>
        <v>|||1900|</v>
      </c>
      <c r="H4788" s="32" t="str">
        <f t="shared" si="149"/>
        <v>||1900|</v>
      </c>
      <c r="I4788" s="32">
        <f>IF(G4788="",0,IF(COUNTIF($G$2:G4788,G4788)=1,1,0))</f>
        <v>0</v>
      </c>
      <c r="J4788" s="32">
        <f>IF(H4788="",0,IF(COUNTIF($H$2:H4788,H4788)=1,1,0))</f>
        <v>0</v>
      </c>
    </row>
    <row r="4789" spans="1:10" ht="14.25" hidden="1" customHeight="1" x14ac:dyDescent="0.35">
      <c r="A4789" s="30"/>
      <c r="E4789" s="31"/>
      <c r="G4789" s="32" t="str">
        <f t="shared" si="148"/>
        <v>|||1900|</v>
      </c>
      <c r="H4789" s="32" t="str">
        <f t="shared" si="149"/>
        <v>||1900|</v>
      </c>
      <c r="I4789" s="32">
        <f>IF(G4789="",0,IF(COUNTIF($G$2:G4789,G4789)=1,1,0))</f>
        <v>0</v>
      </c>
      <c r="J4789" s="32">
        <f>IF(H4789="",0,IF(COUNTIF($H$2:H4789,H4789)=1,1,0))</f>
        <v>0</v>
      </c>
    </row>
    <row r="4790" spans="1:10" ht="14.25" hidden="1" customHeight="1" x14ac:dyDescent="0.35">
      <c r="A4790" s="30"/>
      <c r="E4790" s="31"/>
      <c r="G4790" s="32" t="str">
        <f t="shared" si="148"/>
        <v>|||1900|</v>
      </c>
      <c r="H4790" s="32" t="str">
        <f t="shared" si="149"/>
        <v>||1900|</v>
      </c>
      <c r="I4790" s="32">
        <f>IF(G4790="",0,IF(COUNTIF($G$2:G4790,G4790)=1,1,0))</f>
        <v>0</v>
      </c>
      <c r="J4790" s="32">
        <f>IF(H4790="",0,IF(COUNTIF($H$2:H4790,H4790)=1,1,0))</f>
        <v>0</v>
      </c>
    </row>
    <row r="4791" spans="1:10" ht="14.25" hidden="1" customHeight="1" x14ac:dyDescent="0.35">
      <c r="A4791" s="30"/>
      <c r="E4791" s="31"/>
      <c r="G4791" s="32" t="str">
        <f t="shared" si="148"/>
        <v>|||1900|</v>
      </c>
      <c r="H4791" s="32" t="str">
        <f t="shared" si="149"/>
        <v>||1900|</v>
      </c>
      <c r="I4791" s="32">
        <f>IF(G4791="",0,IF(COUNTIF($G$2:G4791,G4791)=1,1,0))</f>
        <v>0</v>
      </c>
      <c r="J4791" s="32">
        <f>IF(H4791="",0,IF(COUNTIF($H$2:H4791,H4791)=1,1,0))</f>
        <v>0</v>
      </c>
    </row>
    <row r="4792" spans="1:10" ht="14.25" hidden="1" customHeight="1" x14ac:dyDescent="0.35">
      <c r="A4792" s="30"/>
      <c r="E4792" s="31"/>
      <c r="G4792" s="32" t="str">
        <f t="shared" si="148"/>
        <v>|||1900|</v>
      </c>
      <c r="H4792" s="32" t="str">
        <f t="shared" si="149"/>
        <v>||1900|</v>
      </c>
      <c r="I4792" s="32">
        <f>IF(G4792="",0,IF(COUNTIF($G$2:G4792,G4792)=1,1,0))</f>
        <v>0</v>
      </c>
      <c r="J4792" s="32">
        <f>IF(H4792="",0,IF(COUNTIF($H$2:H4792,H4792)=1,1,0))</f>
        <v>0</v>
      </c>
    </row>
    <row r="4793" spans="1:10" ht="14.25" hidden="1" customHeight="1" x14ac:dyDescent="0.35">
      <c r="A4793" s="30"/>
      <c r="E4793" s="31"/>
      <c r="G4793" s="32" t="str">
        <f t="shared" si="148"/>
        <v>|||1900|</v>
      </c>
      <c r="H4793" s="32" t="str">
        <f t="shared" si="149"/>
        <v>||1900|</v>
      </c>
      <c r="I4793" s="32">
        <f>IF(G4793="",0,IF(COUNTIF($G$2:G4793,G4793)=1,1,0))</f>
        <v>0</v>
      </c>
      <c r="J4793" s="32">
        <f>IF(H4793="",0,IF(COUNTIF($H$2:H4793,H4793)=1,1,0))</f>
        <v>0</v>
      </c>
    </row>
    <row r="4794" spans="1:10" ht="14.25" hidden="1" customHeight="1" x14ac:dyDescent="0.35">
      <c r="A4794" s="30"/>
      <c r="E4794" s="31"/>
      <c r="G4794" s="32" t="str">
        <f t="shared" si="148"/>
        <v>|||1900|</v>
      </c>
      <c r="H4794" s="32" t="str">
        <f t="shared" si="149"/>
        <v>||1900|</v>
      </c>
      <c r="I4794" s="32">
        <f>IF(G4794="",0,IF(COUNTIF($G$2:G4794,G4794)=1,1,0))</f>
        <v>0</v>
      </c>
      <c r="J4794" s="32">
        <f>IF(H4794="",0,IF(COUNTIF($H$2:H4794,H4794)=1,1,0))</f>
        <v>0</v>
      </c>
    </row>
    <row r="4795" spans="1:10" ht="14.25" hidden="1" customHeight="1" x14ac:dyDescent="0.35">
      <c r="A4795" s="30"/>
      <c r="E4795" s="31"/>
      <c r="G4795" s="32" t="str">
        <f t="shared" si="148"/>
        <v>|||1900|</v>
      </c>
      <c r="H4795" s="32" t="str">
        <f t="shared" si="149"/>
        <v>||1900|</v>
      </c>
      <c r="I4795" s="32">
        <f>IF(G4795="",0,IF(COUNTIF($G$2:G4795,G4795)=1,1,0))</f>
        <v>0</v>
      </c>
      <c r="J4795" s="32">
        <f>IF(H4795="",0,IF(COUNTIF($H$2:H4795,H4795)=1,1,0))</f>
        <v>0</v>
      </c>
    </row>
    <row r="4796" spans="1:10" ht="14.25" hidden="1" customHeight="1" x14ac:dyDescent="0.35">
      <c r="A4796" s="30"/>
      <c r="E4796" s="31"/>
      <c r="G4796" s="32" t="str">
        <f t="shared" si="148"/>
        <v>|||1900|</v>
      </c>
      <c r="H4796" s="32" t="str">
        <f t="shared" si="149"/>
        <v>||1900|</v>
      </c>
      <c r="I4796" s="32">
        <f>IF(G4796="",0,IF(COUNTIF($G$2:G4796,G4796)=1,1,0))</f>
        <v>0</v>
      </c>
      <c r="J4796" s="32">
        <f>IF(H4796="",0,IF(COUNTIF($H$2:H4796,H4796)=1,1,0))</f>
        <v>0</v>
      </c>
    </row>
    <row r="4797" spans="1:10" ht="14.25" hidden="1" customHeight="1" x14ac:dyDescent="0.35">
      <c r="A4797" s="30"/>
      <c r="E4797" s="31"/>
      <c r="G4797" s="32" t="str">
        <f t="shared" si="148"/>
        <v>|||1900|</v>
      </c>
      <c r="H4797" s="32" t="str">
        <f t="shared" si="149"/>
        <v>||1900|</v>
      </c>
      <c r="I4797" s="32">
        <f>IF(G4797="",0,IF(COUNTIF($G$2:G4797,G4797)=1,1,0))</f>
        <v>0</v>
      </c>
      <c r="J4797" s="32">
        <f>IF(H4797="",0,IF(COUNTIF($H$2:H4797,H4797)=1,1,0))</f>
        <v>0</v>
      </c>
    </row>
    <row r="4798" spans="1:10" ht="14.25" hidden="1" customHeight="1" x14ac:dyDescent="0.35">
      <c r="A4798" s="30"/>
      <c r="E4798" s="31"/>
      <c r="G4798" s="32" t="str">
        <f t="shared" si="148"/>
        <v>|||1900|</v>
      </c>
      <c r="H4798" s="32" t="str">
        <f t="shared" si="149"/>
        <v>||1900|</v>
      </c>
      <c r="I4798" s="32">
        <f>IF(G4798="",0,IF(COUNTIF($G$2:G4798,G4798)=1,1,0))</f>
        <v>0</v>
      </c>
      <c r="J4798" s="32">
        <f>IF(H4798="",0,IF(COUNTIF($H$2:H4798,H4798)=1,1,0))</f>
        <v>0</v>
      </c>
    </row>
    <row r="4799" spans="1:10" ht="14.25" hidden="1" customHeight="1" x14ac:dyDescent="0.35">
      <c r="A4799" s="30"/>
      <c r="E4799" s="31"/>
      <c r="G4799" s="32" t="str">
        <f t="shared" si="148"/>
        <v>|||1900|</v>
      </c>
      <c r="H4799" s="32" t="str">
        <f t="shared" si="149"/>
        <v>||1900|</v>
      </c>
      <c r="I4799" s="32">
        <f>IF(G4799="",0,IF(COUNTIF($G$2:G4799,G4799)=1,1,0))</f>
        <v>0</v>
      </c>
      <c r="J4799" s="32">
        <f>IF(H4799="",0,IF(COUNTIF($H$2:H4799,H4799)=1,1,0))</f>
        <v>0</v>
      </c>
    </row>
    <row r="4800" spans="1:10" ht="14.25" hidden="1" customHeight="1" x14ac:dyDescent="0.35">
      <c r="A4800" s="30"/>
      <c r="E4800" s="31"/>
      <c r="G4800" s="32" t="str">
        <f t="shared" si="148"/>
        <v>|||1900|</v>
      </c>
      <c r="H4800" s="32" t="str">
        <f t="shared" si="149"/>
        <v>||1900|</v>
      </c>
      <c r="I4800" s="32">
        <f>IF(G4800="",0,IF(COUNTIF($G$2:G4800,G4800)=1,1,0))</f>
        <v>0</v>
      </c>
      <c r="J4800" s="32">
        <f>IF(H4800="",0,IF(COUNTIF($H$2:H4800,H4800)=1,1,0))</f>
        <v>0</v>
      </c>
    </row>
    <row r="4801" spans="1:10" ht="14.25" hidden="1" customHeight="1" x14ac:dyDescent="0.35">
      <c r="A4801" s="30"/>
      <c r="E4801" s="31"/>
      <c r="G4801" s="32" t="str">
        <f t="shared" si="148"/>
        <v>|||1900|</v>
      </c>
      <c r="H4801" s="32" t="str">
        <f t="shared" si="149"/>
        <v>||1900|</v>
      </c>
      <c r="I4801" s="32">
        <f>IF(G4801="",0,IF(COUNTIF($G$2:G4801,G4801)=1,1,0))</f>
        <v>0</v>
      </c>
      <c r="J4801" s="32">
        <f>IF(H4801="",0,IF(COUNTIF($H$2:H4801,H4801)=1,1,0))</f>
        <v>0</v>
      </c>
    </row>
    <row r="4802" spans="1:10" ht="14.25" hidden="1" customHeight="1" x14ac:dyDescent="0.35">
      <c r="A4802" s="30"/>
      <c r="E4802" s="31"/>
      <c r="G4802" s="32" t="str">
        <f t="shared" ref="G4802:G4865" si="150">IF(D4802="T",
E4802&amp;"|"&amp;F4802,
A4802&amp;"|"&amp;B4802&amp;"|"&amp;C4802&amp;"|"&amp;YEAR(E4802)&amp;"|"&amp;F4802)</f>
        <v>|||1900|</v>
      </c>
      <c r="H4802" s="32" t="str">
        <f t="shared" ref="H4802:H4865" si="151">A4802&amp;"|"&amp;C4802&amp;"|"&amp;YEAR(E4802)&amp;"|"&amp;F4802</f>
        <v>||1900|</v>
      </c>
      <c r="I4802" s="32">
        <f>IF(G4802="",0,IF(COUNTIF($G$2:G4802,G4802)=1,1,0))</f>
        <v>0</v>
      </c>
      <c r="J4802" s="32">
        <f>IF(H4802="",0,IF(COUNTIF($H$2:H4802,H4802)=1,1,0))</f>
        <v>0</v>
      </c>
    </row>
    <row r="4803" spans="1:10" ht="14.25" hidden="1" customHeight="1" x14ac:dyDescent="0.35">
      <c r="A4803" s="30"/>
      <c r="E4803" s="31"/>
      <c r="G4803" s="32" t="str">
        <f t="shared" si="150"/>
        <v>|||1900|</v>
      </c>
      <c r="H4803" s="32" t="str">
        <f t="shared" si="151"/>
        <v>||1900|</v>
      </c>
      <c r="I4803" s="32">
        <f>IF(G4803="",0,IF(COUNTIF($G$2:G4803,G4803)=1,1,0))</f>
        <v>0</v>
      </c>
      <c r="J4803" s="32">
        <f>IF(H4803="",0,IF(COUNTIF($H$2:H4803,H4803)=1,1,0))</f>
        <v>0</v>
      </c>
    </row>
    <row r="4804" spans="1:10" ht="14.25" hidden="1" customHeight="1" x14ac:dyDescent="0.35">
      <c r="A4804" s="30"/>
      <c r="E4804" s="31"/>
      <c r="G4804" s="32" t="str">
        <f t="shared" si="150"/>
        <v>|||1900|</v>
      </c>
      <c r="H4804" s="32" t="str">
        <f t="shared" si="151"/>
        <v>||1900|</v>
      </c>
      <c r="I4804" s="32">
        <f>IF(G4804="",0,IF(COUNTIF($G$2:G4804,G4804)=1,1,0))</f>
        <v>0</v>
      </c>
      <c r="J4804" s="32">
        <f>IF(H4804="",0,IF(COUNTIF($H$2:H4804,H4804)=1,1,0))</f>
        <v>0</v>
      </c>
    </row>
    <row r="4805" spans="1:10" ht="14.25" hidden="1" customHeight="1" x14ac:dyDescent="0.35">
      <c r="A4805" s="30"/>
      <c r="E4805" s="31"/>
      <c r="G4805" s="32" t="str">
        <f t="shared" si="150"/>
        <v>|||1900|</v>
      </c>
      <c r="H4805" s="32" t="str">
        <f t="shared" si="151"/>
        <v>||1900|</v>
      </c>
      <c r="I4805" s="32">
        <f>IF(G4805="",0,IF(COUNTIF($G$2:G4805,G4805)=1,1,0))</f>
        <v>0</v>
      </c>
      <c r="J4805" s="32">
        <f>IF(H4805="",0,IF(COUNTIF($H$2:H4805,H4805)=1,1,0))</f>
        <v>0</v>
      </c>
    </row>
    <row r="4806" spans="1:10" ht="14.25" hidden="1" customHeight="1" x14ac:dyDescent="0.35">
      <c r="A4806" s="30"/>
      <c r="E4806" s="31"/>
      <c r="G4806" s="32" t="str">
        <f t="shared" si="150"/>
        <v>|||1900|</v>
      </c>
      <c r="H4806" s="32" t="str">
        <f t="shared" si="151"/>
        <v>||1900|</v>
      </c>
      <c r="I4806" s="32">
        <f>IF(G4806="",0,IF(COUNTIF($G$2:G4806,G4806)=1,1,0))</f>
        <v>0</v>
      </c>
      <c r="J4806" s="32">
        <f>IF(H4806="",0,IF(COUNTIF($H$2:H4806,H4806)=1,1,0))</f>
        <v>0</v>
      </c>
    </row>
    <row r="4807" spans="1:10" ht="14.25" hidden="1" customHeight="1" x14ac:dyDescent="0.35">
      <c r="A4807" s="30"/>
      <c r="E4807" s="31"/>
      <c r="G4807" s="32" t="str">
        <f t="shared" si="150"/>
        <v>|||1900|</v>
      </c>
      <c r="H4807" s="32" t="str">
        <f t="shared" si="151"/>
        <v>||1900|</v>
      </c>
      <c r="I4807" s="32">
        <f>IF(G4807="",0,IF(COUNTIF($G$2:G4807,G4807)=1,1,0))</f>
        <v>0</v>
      </c>
      <c r="J4807" s="32">
        <f>IF(H4807="",0,IF(COUNTIF($H$2:H4807,H4807)=1,1,0))</f>
        <v>0</v>
      </c>
    </row>
    <row r="4808" spans="1:10" ht="14.25" hidden="1" customHeight="1" x14ac:dyDescent="0.35">
      <c r="A4808" s="30"/>
      <c r="E4808" s="31"/>
      <c r="G4808" s="32" t="str">
        <f t="shared" si="150"/>
        <v>|||1900|</v>
      </c>
      <c r="H4808" s="32" t="str">
        <f t="shared" si="151"/>
        <v>||1900|</v>
      </c>
      <c r="I4808" s="32">
        <f>IF(G4808="",0,IF(COUNTIF($G$2:G4808,G4808)=1,1,0))</f>
        <v>0</v>
      </c>
      <c r="J4808" s="32">
        <f>IF(H4808="",0,IF(COUNTIF($H$2:H4808,H4808)=1,1,0))</f>
        <v>0</v>
      </c>
    </row>
    <row r="4809" spans="1:10" ht="14.25" hidden="1" customHeight="1" x14ac:dyDescent="0.35">
      <c r="A4809" s="30"/>
      <c r="E4809" s="31"/>
      <c r="G4809" s="32" t="str">
        <f t="shared" si="150"/>
        <v>|||1900|</v>
      </c>
      <c r="H4809" s="32" t="str">
        <f t="shared" si="151"/>
        <v>||1900|</v>
      </c>
      <c r="I4809" s="32">
        <f>IF(G4809="",0,IF(COUNTIF($G$2:G4809,G4809)=1,1,0))</f>
        <v>0</v>
      </c>
      <c r="J4809" s="32">
        <f>IF(H4809="",0,IF(COUNTIF($H$2:H4809,H4809)=1,1,0))</f>
        <v>0</v>
      </c>
    </row>
    <row r="4810" spans="1:10" ht="14.25" hidden="1" customHeight="1" x14ac:dyDescent="0.35">
      <c r="A4810" s="30"/>
      <c r="E4810" s="31"/>
      <c r="G4810" s="32" t="str">
        <f t="shared" si="150"/>
        <v>|||1900|</v>
      </c>
      <c r="H4810" s="32" t="str">
        <f t="shared" si="151"/>
        <v>||1900|</v>
      </c>
      <c r="I4810" s="32">
        <f>IF(G4810="",0,IF(COUNTIF($G$2:G4810,G4810)=1,1,0))</f>
        <v>0</v>
      </c>
      <c r="J4810" s="32">
        <f>IF(H4810="",0,IF(COUNTIF($H$2:H4810,H4810)=1,1,0))</f>
        <v>0</v>
      </c>
    </row>
    <row r="4811" spans="1:10" ht="14.25" hidden="1" customHeight="1" x14ac:dyDescent="0.35">
      <c r="A4811" s="30"/>
      <c r="E4811" s="31"/>
      <c r="G4811" s="32" t="str">
        <f t="shared" si="150"/>
        <v>|||1900|</v>
      </c>
      <c r="H4811" s="32" t="str">
        <f t="shared" si="151"/>
        <v>||1900|</v>
      </c>
      <c r="I4811" s="32">
        <f>IF(G4811="",0,IF(COUNTIF($G$2:G4811,G4811)=1,1,0))</f>
        <v>0</v>
      </c>
      <c r="J4811" s="32">
        <f>IF(H4811="",0,IF(COUNTIF($H$2:H4811,H4811)=1,1,0))</f>
        <v>0</v>
      </c>
    </row>
    <row r="4812" spans="1:10" ht="14.25" hidden="1" customHeight="1" x14ac:dyDescent="0.35">
      <c r="A4812" s="30"/>
      <c r="E4812" s="31"/>
      <c r="G4812" s="32" t="str">
        <f t="shared" si="150"/>
        <v>|||1900|</v>
      </c>
      <c r="H4812" s="32" t="str">
        <f t="shared" si="151"/>
        <v>||1900|</v>
      </c>
      <c r="I4812" s="32">
        <f>IF(G4812="",0,IF(COUNTIF($G$2:G4812,G4812)=1,1,0))</f>
        <v>0</v>
      </c>
      <c r="J4812" s="32">
        <f>IF(H4812="",0,IF(COUNTIF($H$2:H4812,H4812)=1,1,0))</f>
        <v>0</v>
      </c>
    </row>
    <row r="4813" spans="1:10" ht="14.25" hidden="1" customHeight="1" x14ac:dyDescent="0.35">
      <c r="A4813" s="30"/>
      <c r="E4813" s="31"/>
      <c r="G4813" s="32" t="str">
        <f t="shared" si="150"/>
        <v>|||1900|</v>
      </c>
      <c r="H4813" s="32" t="str">
        <f t="shared" si="151"/>
        <v>||1900|</v>
      </c>
      <c r="I4813" s="32">
        <f>IF(G4813="",0,IF(COUNTIF($G$2:G4813,G4813)=1,1,0))</f>
        <v>0</v>
      </c>
      <c r="J4813" s="32">
        <f>IF(H4813="",0,IF(COUNTIF($H$2:H4813,H4813)=1,1,0))</f>
        <v>0</v>
      </c>
    </row>
    <row r="4814" spans="1:10" ht="14.25" hidden="1" customHeight="1" x14ac:dyDescent="0.35">
      <c r="A4814" s="30"/>
      <c r="E4814" s="31"/>
      <c r="G4814" s="32" t="str">
        <f t="shared" si="150"/>
        <v>|||1900|</v>
      </c>
      <c r="H4814" s="32" t="str">
        <f t="shared" si="151"/>
        <v>||1900|</v>
      </c>
      <c r="I4814" s="32">
        <f>IF(G4814="",0,IF(COUNTIF($G$2:G4814,G4814)=1,1,0))</f>
        <v>0</v>
      </c>
      <c r="J4814" s="32">
        <f>IF(H4814="",0,IF(COUNTIF($H$2:H4814,H4814)=1,1,0))</f>
        <v>0</v>
      </c>
    </row>
    <row r="4815" spans="1:10" ht="14.25" hidden="1" customHeight="1" x14ac:dyDescent="0.35">
      <c r="A4815" s="30"/>
      <c r="E4815" s="31"/>
      <c r="G4815" s="32" t="str">
        <f t="shared" si="150"/>
        <v>|||1900|</v>
      </c>
      <c r="H4815" s="32" t="str">
        <f t="shared" si="151"/>
        <v>||1900|</v>
      </c>
      <c r="I4815" s="32">
        <f>IF(G4815="",0,IF(COUNTIF($G$2:G4815,G4815)=1,1,0))</f>
        <v>0</v>
      </c>
      <c r="J4815" s="32">
        <f>IF(H4815="",0,IF(COUNTIF($H$2:H4815,H4815)=1,1,0))</f>
        <v>0</v>
      </c>
    </row>
    <row r="4816" spans="1:10" ht="14.25" hidden="1" customHeight="1" x14ac:dyDescent="0.35">
      <c r="A4816" s="30"/>
      <c r="E4816" s="31"/>
      <c r="G4816" s="32" t="str">
        <f t="shared" si="150"/>
        <v>|||1900|</v>
      </c>
      <c r="H4816" s="32" t="str">
        <f t="shared" si="151"/>
        <v>||1900|</v>
      </c>
      <c r="I4816" s="32">
        <f>IF(G4816="",0,IF(COUNTIF($G$2:G4816,G4816)=1,1,0))</f>
        <v>0</v>
      </c>
      <c r="J4816" s="32">
        <f>IF(H4816="",0,IF(COUNTIF($H$2:H4816,H4816)=1,1,0))</f>
        <v>0</v>
      </c>
    </row>
    <row r="4817" spans="1:10" ht="14.25" hidden="1" customHeight="1" x14ac:dyDescent="0.35">
      <c r="A4817" s="30"/>
      <c r="E4817" s="31"/>
      <c r="G4817" s="32" t="str">
        <f t="shared" si="150"/>
        <v>|||1900|</v>
      </c>
      <c r="H4817" s="32" t="str">
        <f t="shared" si="151"/>
        <v>||1900|</v>
      </c>
      <c r="I4817" s="32">
        <f>IF(G4817="",0,IF(COUNTIF($G$2:G4817,G4817)=1,1,0))</f>
        <v>0</v>
      </c>
      <c r="J4817" s="32">
        <f>IF(H4817="",0,IF(COUNTIF($H$2:H4817,H4817)=1,1,0))</f>
        <v>0</v>
      </c>
    </row>
    <row r="4818" spans="1:10" ht="14.25" hidden="1" customHeight="1" x14ac:dyDescent="0.35">
      <c r="A4818" s="30"/>
      <c r="E4818" s="31"/>
      <c r="G4818" s="32" t="str">
        <f t="shared" si="150"/>
        <v>|||1900|</v>
      </c>
      <c r="H4818" s="32" t="str">
        <f t="shared" si="151"/>
        <v>||1900|</v>
      </c>
      <c r="I4818" s="32">
        <f>IF(G4818="",0,IF(COUNTIF($G$2:G4818,G4818)=1,1,0))</f>
        <v>0</v>
      </c>
      <c r="J4818" s="32">
        <f>IF(H4818="",0,IF(COUNTIF($H$2:H4818,H4818)=1,1,0))</f>
        <v>0</v>
      </c>
    </row>
    <row r="4819" spans="1:10" ht="14.25" hidden="1" customHeight="1" x14ac:dyDescent="0.35">
      <c r="A4819" s="30"/>
      <c r="E4819" s="31"/>
      <c r="G4819" s="32" t="str">
        <f t="shared" si="150"/>
        <v>|||1900|</v>
      </c>
      <c r="H4819" s="32" t="str">
        <f t="shared" si="151"/>
        <v>||1900|</v>
      </c>
      <c r="I4819" s="32">
        <f>IF(G4819="",0,IF(COUNTIF($G$2:G4819,G4819)=1,1,0))</f>
        <v>0</v>
      </c>
      <c r="J4819" s="32">
        <f>IF(H4819="",0,IF(COUNTIF($H$2:H4819,H4819)=1,1,0))</f>
        <v>0</v>
      </c>
    </row>
    <row r="4820" spans="1:10" ht="14.25" hidden="1" customHeight="1" x14ac:dyDescent="0.35">
      <c r="A4820" s="30"/>
      <c r="E4820" s="31"/>
      <c r="G4820" s="32" t="str">
        <f t="shared" si="150"/>
        <v>|||1900|</v>
      </c>
      <c r="H4820" s="32" t="str">
        <f t="shared" si="151"/>
        <v>||1900|</v>
      </c>
      <c r="I4820" s="32">
        <f>IF(G4820="",0,IF(COUNTIF($G$2:G4820,G4820)=1,1,0))</f>
        <v>0</v>
      </c>
      <c r="J4820" s="32">
        <f>IF(H4820="",0,IF(COUNTIF($H$2:H4820,H4820)=1,1,0))</f>
        <v>0</v>
      </c>
    </row>
    <row r="4821" spans="1:10" ht="14.25" hidden="1" customHeight="1" x14ac:dyDescent="0.35">
      <c r="A4821" s="30"/>
      <c r="E4821" s="31"/>
      <c r="G4821" s="32" t="str">
        <f t="shared" si="150"/>
        <v>|||1900|</v>
      </c>
      <c r="H4821" s="32" t="str">
        <f t="shared" si="151"/>
        <v>||1900|</v>
      </c>
      <c r="I4821" s="32">
        <f>IF(G4821="",0,IF(COUNTIF($G$2:G4821,G4821)=1,1,0))</f>
        <v>0</v>
      </c>
      <c r="J4821" s="32">
        <f>IF(H4821="",0,IF(COUNTIF($H$2:H4821,H4821)=1,1,0))</f>
        <v>0</v>
      </c>
    </row>
    <row r="4822" spans="1:10" ht="14.25" hidden="1" customHeight="1" x14ac:dyDescent="0.35">
      <c r="A4822" s="30"/>
      <c r="E4822" s="31"/>
      <c r="G4822" s="32" t="str">
        <f t="shared" si="150"/>
        <v>|||1900|</v>
      </c>
      <c r="H4822" s="32" t="str">
        <f t="shared" si="151"/>
        <v>||1900|</v>
      </c>
      <c r="I4822" s="32">
        <f>IF(G4822="",0,IF(COUNTIF($G$2:G4822,G4822)=1,1,0))</f>
        <v>0</v>
      </c>
      <c r="J4822" s="32">
        <f>IF(H4822="",0,IF(COUNTIF($H$2:H4822,H4822)=1,1,0))</f>
        <v>0</v>
      </c>
    </row>
    <row r="4823" spans="1:10" ht="14.25" hidden="1" customHeight="1" x14ac:dyDescent="0.35">
      <c r="A4823" s="30"/>
      <c r="E4823" s="31"/>
      <c r="G4823" s="32" t="str">
        <f t="shared" si="150"/>
        <v>|||1900|</v>
      </c>
      <c r="H4823" s="32" t="str">
        <f t="shared" si="151"/>
        <v>||1900|</v>
      </c>
      <c r="I4823" s="32">
        <f>IF(G4823="",0,IF(COUNTIF($G$2:G4823,G4823)=1,1,0))</f>
        <v>0</v>
      </c>
      <c r="J4823" s="32">
        <f>IF(H4823="",0,IF(COUNTIF($H$2:H4823,H4823)=1,1,0))</f>
        <v>0</v>
      </c>
    </row>
    <row r="4824" spans="1:10" ht="14.25" hidden="1" customHeight="1" x14ac:dyDescent="0.35">
      <c r="A4824" s="30"/>
      <c r="E4824" s="31"/>
      <c r="G4824" s="32" t="str">
        <f t="shared" si="150"/>
        <v>|||1900|</v>
      </c>
      <c r="H4824" s="32" t="str">
        <f t="shared" si="151"/>
        <v>||1900|</v>
      </c>
      <c r="I4824" s="32">
        <f>IF(G4824="",0,IF(COUNTIF($G$2:G4824,G4824)=1,1,0))</f>
        <v>0</v>
      </c>
      <c r="J4824" s="32">
        <f>IF(H4824="",0,IF(COUNTIF($H$2:H4824,H4824)=1,1,0))</f>
        <v>0</v>
      </c>
    </row>
    <row r="4825" spans="1:10" ht="14.25" hidden="1" customHeight="1" x14ac:dyDescent="0.35">
      <c r="A4825" s="30"/>
      <c r="E4825" s="31"/>
      <c r="G4825" s="32" t="str">
        <f t="shared" si="150"/>
        <v>|||1900|</v>
      </c>
      <c r="H4825" s="32" t="str">
        <f t="shared" si="151"/>
        <v>||1900|</v>
      </c>
      <c r="I4825" s="32">
        <f>IF(G4825="",0,IF(COUNTIF($G$2:G4825,G4825)=1,1,0))</f>
        <v>0</v>
      </c>
      <c r="J4825" s="32">
        <f>IF(H4825="",0,IF(COUNTIF($H$2:H4825,H4825)=1,1,0))</f>
        <v>0</v>
      </c>
    </row>
    <row r="4826" spans="1:10" ht="14.25" hidden="1" customHeight="1" x14ac:dyDescent="0.35">
      <c r="A4826" s="30"/>
      <c r="E4826" s="31"/>
      <c r="G4826" s="32" t="str">
        <f t="shared" si="150"/>
        <v>|||1900|</v>
      </c>
      <c r="H4826" s="32" t="str">
        <f t="shared" si="151"/>
        <v>||1900|</v>
      </c>
      <c r="I4826" s="32">
        <f>IF(G4826="",0,IF(COUNTIF($G$2:G4826,G4826)=1,1,0))</f>
        <v>0</v>
      </c>
      <c r="J4826" s="32">
        <f>IF(H4826="",0,IF(COUNTIF($H$2:H4826,H4826)=1,1,0))</f>
        <v>0</v>
      </c>
    </row>
    <row r="4827" spans="1:10" ht="14.25" hidden="1" customHeight="1" x14ac:dyDescent="0.35">
      <c r="A4827" s="30"/>
      <c r="E4827" s="31"/>
      <c r="G4827" s="32" t="str">
        <f t="shared" si="150"/>
        <v>|||1900|</v>
      </c>
      <c r="H4827" s="32" t="str">
        <f t="shared" si="151"/>
        <v>||1900|</v>
      </c>
      <c r="I4827" s="32">
        <f>IF(G4827="",0,IF(COUNTIF($G$2:G4827,G4827)=1,1,0))</f>
        <v>0</v>
      </c>
      <c r="J4827" s="32">
        <f>IF(H4827="",0,IF(COUNTIF($H$2:H4827,H4827)=1,1,0))</f>
        <v>0</v>
      </c>
    </row>
    <row r="4828" spans="1:10" ht="14.25" hidden="1" customHeight="1" x14ac:dyDescent="0.35">
      <c r="A4828" s="30"/>
      <c r="E4828" s="31"/>
      <c r="G4828" s="32" t="str">
        <f t="shared" si="150"/>
        <v>|||1900|</v>
      </c>
      <c r="H4828" s="32" t="str">
        <f t="shared" si="151"/>
        <v>||1900|</v>
      </c>
      <c r="I4828" s="32">
        <f>IF(G4828="",0,IF(COUNTIF($G$2:G4828,G4828)=1,1,0))</f>
        <v>0</v>
      </c>
      <c r="J4828" s="32">
        <f>IF(H4828="",0,IF(COUNTIF($H$2:H4828,H4828)=1,1,0))</f>
        <v>0</v>
      </c>
    </row>
    <row r="4829" spans="1:10" ht="14.25" hidden="1" customHeight="1" x14ac:dyDescent="0.35">
      <c r="A4829" s="30"/>
      <c r="E4829" s="31"/>
      <c r="G4829" s="32" t="str">
        <f t="shared" si="150"/>
        <v>|||1900|</v>
      </c>
      <c r="H4829" s="32" t="str">
        <f t="shared" si="151"/>
        <v>||1900|</v>
      </c>
      <c r="I4829" s="32">
        <f>IF(G4829="",0,IF(COUNTIF($G$2:G4829,G4829)=1,1,0))</f>
        <v>0</v>
      </c>
      <c r="J4829" s="32">
        <f>IF(H4829="",0,IF(COUNTIF($H$2:H4829,H4829)=1,1,0))</f>
        <v>0</v>
      </c>
    </row>
    <row r="4830" spans="1:10" ht="14.25" hidden="1" customHeight="1" x14ac:dyDescent="0.35">
      <c r="A4830" s="30"/>
      <c r="E4830" s="31"/>
      <c r="G4830" s="32" t="str">
        <f t="shared" si="150"/>
        <v>|||1900|</v>
      </c>
      <c r="H4830" s="32" t="str">
        <f t="shared" si="151"/>
        <v>||1900|</v>
      </c>
      <c r="I4830" s="32">
        <f>IF(G4830="",0,IF(COUNTIF($G$2:G4830,G4830)=1,1,0))</f>
        <v>0</v>
      </c>
      <c r="J4830" s="32">
        <f>IF(H4830="",0,IF(COUNTIF($H$2:H4830,H4830)=1,1,0))</f>
        <v>0</v>
      </c>
    </row>
    <row r="4831" spans="1:10" ht="14.25" hidden="1" customHeight="1" x14ac:dyDescent="0.35">
      <c r="A4831" s="30"/>
      <c r="E4831" s="31"/>
      <c r="G4831" s="32" t="str">
        <f t="shared" si="150"/>
        <v>|||1900|</v>
      </c>
      <c r="H4831" s="32" t="str">
        <f t="shared" si="151"/>
        <v>||1900|</v>
      </c>
      <c r="I4831" s="32">
        <f>IF(G4831="",0,IF(COUNTIF($G$2:G4831,G4831)=1,1,0))</f>
        <v>0</v>
      </c>
      <c r="J4831" s="32">
        <f>IF(H4831="",0,IF(COUNTIF($H$2:H4831,H4831)=1,1,0))</f>
        <v>0</v>
      </c>
    </row>
    <row r="4832" spans="1:10" ht="14.25" hidden="1" customHeight="1" x14ac:dyDescent="0.35">
      <c r="A4832" s="30"/>
      <c r="E4832" s="31"/>
      <c r="G4832" s="32" t="str">
        <f t="shared" si="150"/>
        <v>|||1900|</v>
      </c>
      <c r="H4832" s="32" t="str">
        <f t="shared" si="151"/>
        <v>||1900|</v>
      </c>
      <c r="I4832" s="32">
        <f>IF(G4832="",0,IF(COUNTIF($G$2:G4832,G4832)=1,1,0))</f>
        <v>0</v>
      </c>
      <c r="J4832" s="32">
        <f>IF(H4832="",0,IF(COUNTIF($H$2:H4832,H4832)=1,1,0))</f>
        <v>0</v>
      </c>
    </row>
    <row r="4833" spans="1:10" ht="14.25" hidden="1" customHeight="1" x14ac:dyDescent="0.35">
      <c r="A4833" s="30"/>
      <c r="E4833" s="31"/>
      <c r="G4833" s="32" t="str">
        <f t="shared" si="150"/>
        <v>|||1900|</v>
      </c>
      <c r="H4833" s="32" t="str">
        <f t="shared" si="151"/>
        <v>||1900|</v>
      </c>
      <c r="I4833" s="32">
        <f>IF(G4833="",0,IF(COUNTIF($G$2:G4833,G4833)=1,1,0))</f>
        <v>0</v>
      </c>
      <c r="J4833" s="32">
        <f>IF(H4833="",0,IF(COUNTIF($H$2:H4833,H4833)=1,1,0))</f>
        <v>0</v>
      </c>
    </row>
    <row r="4834" spans="1:10" ht="14.25" hidden="1" customHeight="1" x14ac:dyDescent="0.35">
      <c r="A4834" s="30"/>
      <c r="E4834" s="31"/>
      <c r="G4834" s="32" t="str">
        <f t="shared" si="150"/>
        <v>|||1900|</v>
      </c>
      <c r="H4834" s="32" t="str">
        <f t="shared" si="151"/>
        <v>||1900|</v>
      </c>
      <c r="I4834" s="32">
        <f>IF(G4834="",0,IF(COUNTIF($G$2:G4834,G4834)=1,1,0))</f>
        <v>0</v>
      </c>
      <c r="J4834" s="32">
        <f>IF(H4834="",0,IF(COUNTIF($H$2:H4834,H4834)=1,1,0))</f>
        <v>0</v>
      </c>
    </row>
    <row r="4835" spans="1:10" ht="14.25" hidden="1" customHeight="1" x14ac:dyDescent="0.35">
      <c r="A4835" s="30"/>
      <c r="E4835" s="31"/>
      <c r="G4835" s="32" t="str">
        <f t="shared" si="150"/>
        <v>|||1900|</v>
      </c>
      <c r="H4835" s="32" t="str">
        <f t="shared" si="151"/>
        <v>||1900|</v>
      </c>
      <c r="I4835" s="32">
        <f>IF(G4835="",0,IF(COUNTIF($G$2:G4835,G4835)=1,1,0))</f>
        <v>0</v>
      </c>
      <c r="J4835" s="32">
        <f>IF(H4835="",0,IF(COUNTIF($H$2:H4835,H4835)=1,1,0))</f>
        <v>0</v>
      </c>
    </row>
    <row r="4836" spans="1:10" ht="14.25" hidden="1" customHeight="1" x14ac:dyDescent="0.35">
      <c r="A4836" s="30"/>
      <c r="E4836" s="31"/>
      <c r="G4836" s="32" t="str">
        <f t="shared" si="150"/>
        <v>|||1900|</v>
      </c>
      <c r="H4836" s="32" t="str">
        <f t="shared" si="151"/>
        <v>||1900|</v>
      </c>
      <c r="I4836" s="32">
        <f>IF(G4836="",0,IF(COUNTIF($G$2:G4836,G4836)=1,1,0))</f>
        <v>0</v>
      </c>
      <c r="J4836" s="32">
        <f>IF(H4836="",0,IF(COUNTIF($H$2:H4836,H4836)=1,1,0))</f>
        <v>0</v>
      </c>
    </row>
    <row r="4837" spans="1:10" ht="14.25" hidden="1" customHeight="1" x14ac:dyDescent="0.35">
      <c r="A4837" s="30"/>
      <c r="E4837" s="31"/>
      <c r="G4837" s="32" t="str">
        <f t="shared" si="150"/>
        <v>|||1900|</v>
      </c>
      <c r="H4837" s="32" t="str">
        <f t="shared" si="151"/>
        <v>||1900|</v>
      </c>
      <c r="I4837" s="32">
        <f>IF(G4837="",0,IF(COUNTIF($G$2:G4837,G4837)=1,1,0))</f>
        <v>0</v>
      </c>
      <c r="J4837" s="32">
        <f>IF(H4837="",0,IF(COUNTIF($H$2:H4837,H4837)=1,1,0))</f>
        <v>0</v>
      </c>
    </row>
    <row r="4838" spans="1:10" ht="14.25" hidden="1" customHeight="1" x14ac:dyDescent="0.35">
      <c r="A4838" s="30"/>
      <c r="E4838" s="31"/>
      <c r="G4838" s="32" t="str">
        <f t="shared" si="150"/>
        <v>|||1900|</v>
      </c>
      <c r="H4838" s="32" t="str">
        <f t="shared" si="151"/>
        <v>||1900|</v>
      </c>
      <c r="I4838" s="32">
        <f>IF(G4838="",0,IF(COUNTIF($G$2:G4838,G4838)=1,1,0))</f>
        <v>0</v>
      </c>
      <c r="J4838" s="32">
        <f>IF(H4838="",0,IF(COUNTIF($H$2:H4838,H4838)=1,1,0))</f>
        <v>0</v>
      </c>
    </row>
    <row r="4839" spans="1:10" ht="14.25" hidden="1" customHeight="1" x14ac:dyDescent="0.35">
      <c r="A4839" s="30"/>
      <c r="E4839" s="31"/>
      <c r="G4839" s="32" t="str">
        <f t="shared" si="150"/>
        <v>|||1900|</v>
      </c>
      <c r="H4839" s="32" t="str">
        <f t="shared" si="151"/>
        <v>||1900|</v>
      </c>
      <c r="I4839" s="32">
        <f>IF(G4839="",0,IF(COUNTIF($G$2:G4839,G4839)=1,1,0))</f>
        <v>0</v>
      </c>
      <c r="J4839" s="32">
        <f>IF(H4839="",0,IF(COUNTIF($H$2:H4839,H4839)=1,1,0))</f>
        <v>0</v>
      </c>
    </row>
    <row r="4840" spans="1:10" ht="14.25" hidden="1" customHeight="1" x14ac:dyDescent="0.35">
      <c r="A4840" s="30"/>
      <c r="E4840" s="31"/>
      <c r="G4840" s="32" t="str">
        <f t="shared" si="150"/>
        <v>|||1900|</v>
      </c>
      <c r="H4840" s="32" t="str">
        <f t="shared" si="151"/>
        <v>||1900|</v>
      </c>
      <c r="I4840" s="32">
        <f>IF(G4840="",0,IF(COUNTIF($G$2:G4840,G4840)=1,1,0))</f>
        <v>0</v>
      </c>
      <c r="J4840" s="32">
        <f>IF(H4840="",0,IF(COUNTIF($H$2:H4840,H4840)=1,1,0))</f>
        <v>0</v>
      </c>
    </row>
    <row r="4841" spans="1:10" ht="14.25" hidden="1" customHeight="1" x14ac:dyDescent="0.35">
      <c r="A4841" s="30"/>
      <c r="E4841" s="31"/>
      <c r="G4841" s="32" t="str">
        <f t="shared" si="150"/>
        <v>|||1900|</v>
      </c>
      <c r="H4841" s="32" t="str">
        <f t="shared" si="151"/>
        <v>||1900|</v>
      </c>
      <c r="I4841" s="32">
        <f>IF(G4841="",0,IF(COUNTIF($G$2:G4841,G4841)=1,1,0))</f>
        <v>0</v>
      </c>
      <c r="J4841" s="32">
        <f>IF(H4841="",0,IF(COUNTIF($H$2:H4841,H4841)=1,1,0))</f>
        <v>0</v>
      </c>
    </row>
    <row r="4842" spans="1:10" ht="14.25" hidden="1" customHeight="1" x14ac:dyDescent="0.35">
      <c r="A4842" s="30"/>
      <c r="E4842" s="31"/>
      <c r="G4842" s="32" t="str">
        <f t="shared" si="150"/>
        <v>|||1900|</v>
      </c>
      <c r="H4842" s="32" t="str">
        <f t="shared" si="151"/>
        <v>||1900|</v>
      </c>
      <c r="I4842" s="32">
        <f>IF(G4842="",0,IF(COUNTIF($G$2:G4842,G4842)=1,1,0))</f>
        <v>0</v>
      </c>
      <c r="J4842" s="32">
        <f>IF(H4842="",0,IF(COUNTIF($H$2:H4842,H4842)=1,1,0))</f>
        <v>0</v>
      </c>
    </row>
    <row r="4843" spans="1:10" ht="14.25" hidden="1" customHeight="1" x14ac:dyDescent="0.35">
      <c r="A4843" s="30"/>
      <c r="E4843" s="31"/>
      <c r="G4843" s="32" t="str">
        <f t="shared" si="150"/>
        <v>|||1900|</v>
      </c>
      <c r="H4843" s="32" t="str">
        <f t="shared" si="151"/>
        <v>||1900|</v>
      </c>
      <c r="I4843" s="32">
        <f>IF(G4843="",0,IF(COUNTIF($G$2:G4843,G4843)=1,1,0))</f>
        <v>0</v>
      </c>
      <c r="J4843" s="32">
        <f>IF(H4843="",0,IF(COUNTIF($H$2:H4843,H4843)=1,1,0))</f>
        <v>0</v>
      </c>
    </row>
    <row r="4844" spans="1:10" ht="14.25" hidden="1" customHeight="1" x14ac:dyDescent="0.35">
      <c r="A4844" s="30"/>
      <c r="E4844" s="31"/>
      <c r="G4844" s="32" t="str">
        <f t="shared" si="150"/>
        <v>|||1900|</v>
      </c>
      <c r="H4844" s="32" t="str">
        <f t="shared" si="151"/>
        <v>||1900|</v>
      </c>
      <c r="I4844" s="32">
        <f>IF(G4844="",0,IF(COUNTIF($G$2:G4844,G4844)=1,1,0))</f>
        <v>0</v>
      </c>
      <c r="J4844" s="32">
        <f>IF(H4844="",0,IF(COUNTIF($H$2:H4844,H4844)=1,1,0))</f>
        <v>0</v>
      </c>
    </row>
    <row r="4845" spans="1:10" ht="14.25" hidden="1" customHeight="1" x14ac:dyDescent="0.35">
      <c r="A4845" s="30"/>
      <c r="E4845" s="31"/>
      <c r="G4845" s="32" t="str">
        <f t="shared" si="150"/>
        <v>|||1900|</v>
      </c>
      <c r="H4845" s="32" t="str">
        <f t="shared" si="151"/>
        <v>||1900|</v>
      </c>
      <c r="I4845" s="32">
        <f>IF(G4845="",0,IF(COUNTIF($G$2:G4845,G4845)=1,1,0))</f>
        <v>0</v>
      </c>
      <c r="J4845" s="32">
        <f>IF(H4845="",0,IF(COUNTIF($H$2:H4845,H4845)=1,1,0))</f>
        <v>0</v>
      </c>
    </row>
    <row r="4846" spans="1:10" ht="14.25" hidden="1" customHeight="1" x14ac:dyDescent="0.35">
      <c r="A4846" s="30"/>
      <c r="E4846" s="31"/>
      <c r="G4846" s="32" t="str">
        <f t="shared" si="150"/>
        <v>|||1900|</v>
      </c>
      <c r="H4846" s="32" t="str">
        <f t="shared" si="151"/>
        <v>||1900|</v>
      </c>
      <c r="I4846" s="32">
        <f>IF(G4846="",0,IF(COUNTIF($G$2:G4846,G4846)=1,1,0))</f>
        <v>0</v>
      </c>
      <c r="J4846" s="32">
        <f>IF(H4846="",0,IF(COUNTIF($H$2:H4846,H4846)=1,1,0))</f>
        <v>0</v>
      </c>
    </row>
    <row r="4847" spans="1:10" ht="14.25" hidden="1" customHeight="1" x14ac:dyDescent="0.35">
      <c r="A4847" s="30"/>
      <c r="E4847" s="31"/>
      <c r="G4847" s="32" t="str">
        <f t="shared" si="150"/>
        <v>|||1900|</v>
      </c>
      <c r="H4847" s="32" t="str">
        <f t="shared" si="151"/>
        <v>||1900|</v>
      </c>
      <c r="I4847" s="32">
        <f>IF(G4847="",0,IF(COUNTIF($G$2:G4847,G4847)=1,1,0))</f>
        <v>0</v>
      </c>
      <c r="J4847" s="32">
        <f>IF(H4847="",0,IF(COUNTIF($H$2:H4847,H4847)=1,1,0))</f>
        <v>0</v>
      </c>
    </row>
    <row r="4848" spans="1:10" ht="14.25" hidden="1" customHeight="1" x14ac:dyDescent="0.35">
      <c r="A4848" s="30"/>
      <c r="E4848" s="31"/>
      <c r="G4848" s="32" t="str">
        <f t="shared" si="150"/>
        <v>|||1900|</v>
      </c>
      <c r="H4848" s="32" t="str">
        <f t="shared" si="151"/>
        <v>||1900|</v>
      </c>
      <c r="I4848" s="32">
        <f>IF(G4848="",0,IF(COUNTIF($G$2:G4848,G4848)=1,1,0))</f>
        <v>0</v>
      </c>
      <c r="J4848" s="32">
        <f>IF(H4848="",0,IF(COUNTIF($H$2:H4848,H4848)=1,1,0))</f>
        <v>0</v>
      </c>
    </row>
    <row r="4849" spans="1:10" ht="14.25" hidden="1" customHeight="1" x14ac:dyDescent="0.35">
      <c r="A4849" s="30"/>
      <c r="E4849" s="31"/>
      <c r="G4849" s="32" t="str">
        <f t="shared" si="150"/>
        <v>|||1900|</v>
      </c>
      <c r="H4849" s="32" t="str">
        <f t="shared" si="151"/>
        <v>||1900|</v>
      </c>
      <c r="I4849" s="32">
        <f>IF(G4849="",0,IF(COUNTIF($G$2:G4849,G4849)=1,1,0))</f>
        <v>0</v>
      </c>
      <c r="J4849" s="32">
        <f>IF(H4849="",0,IF(COUNTIF($H$2:H4849,H4849)=1,1,0))</f>
        <v>0</v>
      </c>
    </row>
    <row r="4850" spans="1:10" ht="14.25" hidden="1" customHeight="1" x14ac:dyDescent="0.35">
      <c r="A4850" s="30"/>
      <c r="E4850" s="31"/>
      <c r="G4850" s="32" t="str">
        <f t="shared" si="150"/>
        <v>|||1900|</v>
      </c>
      <c r="H4850" s="32" t="str">
        <f t="shared" si="151"/>
        <v>||1900|</v>
      </c>
      <c r="I4850" s="32">
        <f>IF(G4850="",0,IF(COUNTIF($G$2:G4850,G4850)=1,1,0))</f>
        <v>0</v>
      </c>
      <c r="J4850" s="32">
        <f>IF(H4850="",0,IF(COUNTIF($H$2:H4850,H4850)=1,1,0))</f>
        <v>0</v>
      </c>
    </row>
    <row r="4851" spans="1:10" ht="14.25" hidden="1" customHeight="1" x14ac:dyDescent="0.35">
      <c r="A4851" s="30"/>
      <c r="E4851" s="31"/>
      <c r="G4851" s="32" t="str">
        <f t="shared" si="150"/>
        <v>|||1900|</v>
      </c>
      <c r="H4851" s="32" t="str">
        <f t="shared" si="151"/>
        <v>||1900|</v>
      </c>
      <c r="I4851" s="32">
        <f>IF(G4851="",0,IF(COUNTIF($G$2:G4851,G4851)=1,1,0))</f>
        <v>0</v>
      </c>
      <c r="J4851" s="32">
        <f>IF(H4851="",0,IF(COUNTIF($H$2:H4851,H4851)=1,1,0))</f>
        <v>0</v>
      </c>
    </row>
    <row r="4852" spans="1:10" ht="14.25" hidden="1" customHeight="1" x14ac:dyDescent="0.35">
      <c r="A4852" s="30"/>
      <c r="E4852" s="31"/>
      <c r="G4852" s="32" t="str">
        <f t="shared" si="150"/>
        <v>|||1900|</v>
      </c>
      <c r="H4852" s="32" t="str">
        <f t="shared" si="151"/>
        <v>||1900|</v>
      </c>
      <c r="I4852" s="32">
        <f>IF(G4852="",0,IF(COUNTIF($G$2:G4852,G4852)=1,1,0))</f>
        <v>0</v>
      </c>
      <c r="J4852" s="32">
        <f>IF(H4852="",0,IF(COUNTIF($H$2:H4852,H4852)=1,1,0))</f>
        <v>0</v>
      </c>
    </row>
    <row r="4853" spans="1:10" ht="14.25" hidden="1" customHeight="1" x14ac:dyDescent="0.35">
      <c r="A4853" s="30"/>
      <c r="E4853" s="31"/>
      <c r="G4853" s="32" t="str">
        <f t="shared" si="150"/>
        <v>|||1900|</v>
      </c>
      <c r="H4853" s="32" t="str">
        <f t="shared" si="151"/>
        <v>||1900|</v>
      </c>
      <c r="I4853" s="32">
        <f>IF(G4853="",0,IF(COUNTIF($G$2:G4853,G4853)=1,1,0))</f>
        <v>0</v>
      </c>
      <c r="J4853" s="32">
        <f>IF(H4853="",0,IF(COUNTIF($H$2:H4853,H4853)=1,1,0))</f>
        <v>0</v>
      </c>
    </row>
    <row r="4854" spans="1:10" ht="14.25" hidden="1" customHeight="1" x14ac:dyDescent="0.35">
      <c r="A4854" s="30"/>
      <c r="E4854" s="31"/>
      <c r="G4854" s="32" t="str">
        <f t="shared" si="150"/>
        <v>|||1900|</v>
      </c>
      <c r="H4854" s="32" t="str">
        <f t="shared" si="151"/>
        <v>||1900|</v>
      </c>
      <c r="I4854" s="32">
        <f>IF(G4854="",0,IF(COUNTIF($G$2:G4854,G4854)=1,1,0))</f>
        <v>0</v>
      </c>
      <c r="J4854" s="32">
        <f>IF(H4854="",0,IF(COUNTIF($H$2:H4854,H4854)=1,1,0))</f>
        <v>0</v>
      </c>
    </row>
    <row r="4855" spans="1:10" ht="14.25" hidden="1" customHeight="1" x14ac:dyDescent="0.35">
      <c r="A4855" s="30"/>
      <c r="E4855" s="31"/>
      <c r="G4855" s="32" t="str">
        <f t="shared" si="150"/>
        <v>|||1900|</v>
      </c>
      <c r="H4855" s="32" t="str">
        <f t="shared" si="151"/>
        <v>||1900|</v>
      </c>
      <c r="I4855" s="32">
        <f>IF(G4855="",0,IF(COUNTIF($G$2:G4855,G4855)=1,1,0))</f>
        <v>0</v>
      </c>
      <c r="J4855" s="32">
        <f>IF(H4855="",0,IF(COUNTIF($H$2:H4855,H4855)=1,1,0))</f>
        <v>0</v>
      </c>
    </row>
    <row r="4856" spans="1:10" ht="14.25" hidden="1" customHeight="1" x14ac:dyDescent="0.35">
      <c r="A4856" s="30"/>
      <c r="E4856" s="31"/>
      <c r="G4856" s="32" t="str">
        <f t="shared" si="150"/>
        <v>|||1900|</v>
      </c>
      <c r="H4856" s="32" t="str">
        <f t="shared" si="151"/>
        <v>||1900|</v>
      </c>
      <c r="I4856" s="32">
        <f>IF(G4856="",0,IF(COUNTIF($G$2:G4856,G4856)=1,1,0))</f>
        <v>0</v>
      </c>
      <c r="J4856" s="32">
        <f>IF(H4856="",0,IF(COUNTIF($H$2:H4856,H4856)=1,1,0))</f>
        <v>0</v>
      </c>
    </row>
    <row r="4857" spans="1:10" ht="14.25" hidden="1" customHeight="1" x14ac:dyDescent="0.35">
      <c r="A4857" s="30"/>
      <c r="E4857" s="31"/>
      <c r="G4857" s="32" t="str">
        <f t="shared" si="150"/>
        <v>|||1900|</v>
      </c>
      <c r="H4857" s="32" t="str">
        <f t="shared" si="151"/>
        <v>||1900|</v>
      </c>
      <c r="I4857" s="32">
        <f>IF(G4857="",0,IF(COUNTIF($G$2:G4857,G4857)=1,1,0))</f>
        <v>0</v>
      </c>
      <c r="J4857" s="32">
        <f>IF(H4857="",0,IF(COUNTIF($H$2:H4857,H4857)=1,1,0))</f>
        <v>0</v>
      </c>
    </row>
    <row r="4858" spans="1:10" ht="14.25" hidden="1" customHeight="1" x14ac:dyDescent="0.35">
      <c r="A4858" s="30"/>
      <c r="E4858" s="31"/>
      <c r="G4858" s="32" t="str">
        <f t="shared" si="150"/>
        <v>|||1900|</v>
      </c>
      <c r="H4858" s="32" t="str">
        <f t="shared" si="151"/>
        <v>||1900|</v>
      </c>
      <c r="I4858" s="32">
        <f>IF(G4858="",0,IF(COUNTIF($G$2:G4858,G4858)=1,1,0))</f>
        <v>0</v>
      </c>
      <c r="J4858" s="32">
        <f>IF(H4858="",0,IF(COUNTIF($H$2:H4858,H4858)=1,1,0))</f>
        <v>0</v>
      </c>
    </row>
    <row r="4859" spans="1:10" ht="14.25" hidden="1" customHeight="1" x14ac:dyDescent="0.35">
      <c r="A4859" s="30"/>
      <c r="E4859" s="31"/>
      <c r="G4859" s="32" t="str">
        <f t="shared" si="150"/>
        <v>|||1900|</v>
      </c>
      <c r="H4859" s="32" t="str">
        <f t="shared" si="151"/>
        <v>||1900|</v>
      </c>
      <c r="I4859" s="32">
        <f>IF(G4859="",0,IF(COUNTIF($G$2:G4859,G4859)=1,1,0))</f>
        <v>0</v>
      </c>
      <c r="J4859" s="32">
        <f>IF(H4859="",0,IF(COUNTIF($H$2:H4859,H4859)=1,1,0))</f>
        <v>0</v>
      </c>
    </row>
    <row r="4860" spans="1:10" ht="14.25" hidden="1" customHeight="1" x14ac:dyDescent="0.35">
      <c r="A4860" s="30"/>
      <c r="E4860" s="31"/>
      <c r="G4860" s="32" t="str">
        <f t="shared" si="150"/>
        <v>|||1900|</v>
      </c>
      <c r="H4860" s="32" t="str">
        <f t="shared" si="151"/>
        <v>||1900|</v>
      </c>
      <c r="I4860" s="32">
        <f>IF(G4860="",0,IF(COUNTIF($G$2:G4860,G4860)=1,1,0))</f>
        <v>0</v>
      </c>
      <c r="J4860" s="32">
        <f>IF(H4860="",0,IF(COUNTIF($H$2:H4860,H4860)=1,1,0))</f>
        <v>0</v>
      </c>
    </row>
    <row r="4861" spans="1:10" ht="14.25" hidden="1" customHeight="1" x14ac:dyDescent="0.35">
      <c r="A4861" s="30"/>
      <c r="E4861" s="31"/>
      <c r="G4861" s="32" t="str">
        <f t="shared" si="150"/>
        <v>|||1900|</v>
      </c>
      <c r="H4861" s="32" t="str">
        <f t="shared" si="151"/>
        <v>||1900|</v>
      </c>
      <c r="I4861" s="32">
        <f>IF(G4861="",0,IF(COUNTIF($G$2:G4861,G4861)=1,1,0))</f>
        <v>0</v>
      </c>
      <c r="J4861" s="32">
        <f>IF(H4861="",0,IF(COUNTIF($H$2:H4861,H4861)=1,1,0))</f>
        <v>0</v>
      </c>
    </row>
    <row r="4862" spans="1:10" ht="14.25" hidden="1" customHeight="1" x14ac:dyDescent="0.35">
      <c r="A4862" s="30"/>
      <c r="E4862" s="31"/>
      <c r="G4862" s="32" t="str">
        <f t="shared" si="150"/>
        <v>|||1900|</v>
      </c>
      <c r="H4862" s="32" t="str">
        <f t="shared" si="151"/>
        <v>||1900|</v>
      </c>
      <c r="I4862" s="32">
        <f>IF(G4862="",0,IF(COUNTIF($G$2:G4862,G4862)=1,1,0))</f>
        <v>0</v>
      </c>
      <c r="J4862" s="32">
        <f>IF(H4862="",0,IF(COUNTIF($H$2:H4862,H4862)=1,1,0))</f>
        <v>0</v>
      </c>
    </row>
    <row r="4863" spans="1:10" ht="14.25" hidden="1" customHeight="1" x14ac:dyDescent="0.35">
      <c r="A4863" s="30"/>
      <c r="E4863" s="31"/>
      <c r="G4863" s="32" t="str">
        <f t="shared" si="150"/>
        <v>|||1900|</v>
      </c>
      <c r="H4863" s="32" t="str">
        <f t="shared" si="151"/>
        <v>||1900|</v>
      </c>
      <c r="I4863" s="32">
        <f>IF(G4863="",0,IF(COUNTIF($G$2:G4863,G4863)=1,1,0))</f>
        <v>0</v>
      </c>
      <c r="J4863" s="32">
        <f>IF(H4863="",0,IF(COUNTIF($H$2:H4863,H4863)=1,1,0))</f>
        <v>0</v>
      </c>
    </row>
    <row r="4864" spans="1:10" ht="14.25" hidden="1" customHeight="1" x14ac:dyDescent="0.35">
      <c r="A4864" s="30"/>
      <c r="E4864" s="31"/>
      <c r="G4864" s="32" t="str">
        <f t="shared" si="150"/>
        <v>|||1900|</v>
      </c>
      <c r="H4864" s="32" t="str">
        <f t="shared" si="151"/>
        <v>||1900|</v>
      </c>
      <c r="I4864" s="32">
        <f>IF(G4864="",0,IF(COUNTIF($G$2:G4864,G4864)=1,1,0))</f>
        <v>0</v>
      </c>
      <c r="J4864" s="32">
        <f>IF(H4864="",0,IF(COUNTIF($H$2:H4864,H4864)=1,1,0))</f>
        <v>0</v>
      </c>
    </row>
    <row r="4865" spans="1:10" ht="14.25" hidden="1" customHeight="1" x14ac:dyDescent="0.35">
      <c r="A4865" s="30"/>
      <c r="E4865" s="31"/>
      <c r="G4865" s="32" t="str">
        <f t="shared" si="150"/>
        <v>|||1900|</v>
      </c>
      <c r="H4865" s="32" t="str">
        <f t="shared" si="151"/>
        <v>||1900|</v>
      </c>
      <c r="I4865" s="32">
        <f>IF(G4865="",0,IF(COUNTIF($G$2:G4865,G4865)=1,1,0))</f>
        <v>0</v>
      </c>
      <c r="J4865" s="32">
        <f>IF(H4865="",0,IF(COUNTIF($H$2:H4865,H4865)=1,1,0))</f>
        <v>0</v>
      </c>
    </row>
    <row r="4866" spans="1:10" ht="14.25" hidden="1" customHeight="1" x14ac:dyDescent="0.35">
      <c r="A4866" s="30"/>
      <c r="E4866" s="31"/>
      <c r="G4866" s="32" t="str">
        <f t="shared" ref="G4866:G4929" si="152">IF(D4866="T",
E4866&amp;"|"&amp;F4866,
A4866&amp;"|"&amp;B4866&amp;"|"&amp;C4866&amp;"|"&amp;YEAR(E4866)&amp;"|"&amp;F4866)</f>
        <v>|||1900|</v>
      </c>
      <c r="H4866" s="32" t="str">
        <f t="shared" ref="H4866:H4929" si="153">A4866&amp;"|"&amp;C4866&amp;"|"&amp;YEAR(E4866)&amp;"|"&amp;F4866</f>
        <v>||1900|</v>
      </c>
      <c r="I4866" s="32">
        <f>IF(G4866="",0,IF(COUNTIF($G$2:G4866,G4866)=1,1,0))</f>
        <v>0</v>
      </c>
      <c r="J4866" s="32">
        <f>IF(H4866="",0,IF(COUNTIF($H$2:H4866,H4866)=1,1,0))</f>
        <v>0</v>
      </c>
    </row>
    <row r="4867" spans="1:10" ht="14.25" hidden="1" customHeight="1" x14ac:dyDescent="0.35">
      <c r="A4867" s="30"/>
      <c r="E4867" s="31"/>
      <c r="G4867" s="32" t="str">
        <f t="shared" si="152"/>
        <v>|||1900|</v>
      </c>
      <c r="H4867" s="32" t="str">
        <f t="shared" si="153"/>
        <v>||1900|</v>
      </c>
      <c r="I4867" s="32">
        <f>IF(G4867="",0,IF(COUNTIF($G$2:G4867,G4867)=1,1,0))</f>
        <v>0</v>
      </c>
      <c r="J4867" s="32">
        <f>IF(H4867="",0,IF(COUNTIF($H$2:H4867,H4867)=1,1,0))</f>
        <v>0</v>
      </c>
    </row>
    <row r="4868" spans="1:10" ht="14.25" hidden="1" customHeight="1" x14ac:dyDescent="0.35">
      <c r="A4868" s="30"/>
      <c r="E4868" s="31"/>
      <c r="G4868" s="32" t="str">
        <f t="shared" si="152"/>
        <v>|||1900|</v>
      </c>
      <c r="H4868" s="32" t="str">
        <f t="shared" si="153"/>
        <v>||1900|</v>
      </c>
      <c r="I4868" s="32">
        <f>IF(G4868="",0,IF(COUNTIF($G$2:G4868,G4868)=1,1,0))</f>
        <v>0</v>
      </c>
      <c r="J4868" s="32">
        <f>IF(H4868="",0,IF(COUNTIF($H$2:H4868,H4868)=1,1,0))</f>
        <v>0</v>
      </c>
    </row>
    <row r="4869" spans="1:10" ht="14.25" hidden="1" customHeight="1" x14ac:dyDescent="0.35">
      <c r="A4869" s="30"/>
      <c r="E4869" s="31"/>
      <c r="G4869" s="32" t="str">
        <f t="shared" si="152"/>
        <v>|||1900|</v>
      </c>
      <c r="H4869" s="32" t="str">
        <f t="shared" si="153"/>
        <v>||1900|</v>
      </c>
      <c r="I4869" s="32">
        <f>IF(G4869="",0,IF(COUNTIF($G$2:G4869,G4869)=1,1,0))</f>
        <v>0</v>
      </c>
      <c r="J4869" s="32">
        <f>IF(H4869="",0,IF(COUNTIF($H$2:H4869,H4869)=1,1,0))</f>
        <v>0</v>
      </c>
    </row>
    <row r="4870" spans="1:10" ht="14.25" hidden="1" customHeight="1" x14ac:dyDescent="0.35">
      <c r="A4870" s="30"/>
      <c r="E4870" s="31"/>
      <c r="G4870" s="32" t="str">
        <f t="shared" si="152"/>
        <v>|||1900|</v>
      </c>
      <c r="H4870" s="32" t="str">
        <f t="shared" si="153"/>
        <v>||1900|</v>
      </c>
      <c r="I4870" s="32">
        <f>IF(G4870="",0,IF(COUNTIF($G$2:G4870,G4870)=1,1,0))</f>
        <v>0</v>
      </c>
      <c r="J4870" s="32">
        <f>IF(H4870="",0,IF(COUNTIF($H$2:H4870,H4870)=1,1,0))</f>
        <v>0</v>
      </c>
    </row>
    <row r="4871" spans="1:10" ht="14.25" hidden="1" customHeight="1" x14ac:dyDescent="0.35">
      <c r="A4871" s="30"/>
      <c r="E4871" s="31"/>
      <c r="G4871" s="32" t="str">
        <f t="shared" si="152"/>
        <v>|||1900|</v>
      </c>
      <c r="H4871" s="32" t="str">
        <f t="shared" si="153"/>
        <v>||1900|</v>
      </c>
      <c r="I4871" s="32">
        <f>IF(G4871="",0,IF(COUNTIF($G$2:G4871,G4871)=1,1,0))</f>
        <v>0</v>
      </c>
      <c r="J4871" s="32">
        <f>IF(H4871="",0,IF(COUNTIF($H$2:H4871,H4871)=1,1,0))</f>
        <v>0</v>
      </c>
    </row>
    <row r="4872" spans="1:10" ht="14.25" hidden="1" customHeight="1" x14ac:dyDescent="0.35">
      <c r="A4872" s="30"/>
      <c r="E4872" s="31"/>
      <c r="G4872" s="32" t="str">
        <f t="shared" si="152"/>
        <v>|||1900|</v>
      </c>
      <c r="H4872" s="32" t="str">
        <f t="shared" si="153"/>
        <v>||1900|</v>
      </c>
      <c r="I4872" s="32">
        <f>IF(G4872="",0,IF(COUNTIF($G$2:G4872,G4872)=1,1,0))</f>
        <v>0</v>
      </c>
      <c r="J4872" s="32">
        <f>IF(H4872="",0,IF(COUNTIF($H$2:H4872,H4872)=1,1,0))</f>
        <v>0</v>
      </c>
    </row>
    <row r="4873" spans="1:10" ht="14.25" hidden="1" customHeight="1" x14ac:dyDescent="0.35">
      <c r="A4873" s="30"/>
      <c r="E4873" s="31"/>
      <c r="G4873" s="32" t="str">
        <f t="shared" si="152"/>
        <v>|||1900|</v>
      </c>
      <c r="H4873" s="32" t="str">
        <f t="shared" si="153"/>
        <v>||1900|</v>
      </c>
      <c r="I4873" s="32">
        <f>IF(G4873="",0,IF(COUNTIF($G$2:G4873,G4873)=1,1,0))</f>
        <v>0</v>
      </c>
      <c r="J4873" s="32">
        <f>IF(H4873="",0,IF(COUNTIF($H$2:H4873,H4873)=1,1,0))</f>
        <v>0</v>
      </c>
    </row>
    <row r="4874" spans="1:10" ht="14.25" hidden="1" customHeight="1" x14ac:dyDescent="0.35">
      <c r="A4874" s="30"/>
      <c r="E4874" s="31"/>
      <c r="G4874" s="32" t="str">
        <f t="shared" si="152"/>
        <v>|||1900|</v>
      </c>
      <c r="H4874" s="32" t="str">
        <f t="shared" si="153"/>
        <v>||1900|</v>
      </c>
      <c r="I4874" s="32">
        <f>IF(G4874="",0,IF(COUNTIF($G$2:G4874,G4874)=1,1,0))</f>
        <v>0</v>
      </c>
      <c r="J4874" s="32">
        <f>IF(H4874="",0,IF(COUNTIF($H$2:H4874,H4874)=1,1,0))</f>
        <v>0</v>
      </c>
    </row>
    <row r="4875" spans="1:10" ht="14.25" hidden="1" customHeight="1" x14ac:dyDescent="0.35">
      <c r="A4875" s="30"/>
      <c r="E4875" s="31"/>
      <c r="G4875" s="32" t="str">
        <f t="shared" si="152"/>
        <v>|||1900|</v>
      </c>
      <c r="H4875" s="32" t="str">
        <f t="shared" si="153"/>
        <v>||1900|</v>
      </c>
      <c r="I4875" s="32">
        <f>IF(G4875="",0,IF(COUNTIF($G$2:G4875,G4875)=1,1,0))</f>
        <v>0</v>
      </c>
      <c r="J4875" s="32">
        <f>IF(H4875="",0,IF(COUNTIF($H$2:H4875,H4875)=1,1,0))</f>
        <v>0</v>
      </c>
    </row>
    <row r="4876" spans="1:10" ht="14.25" hidden="1" customHeight="1" x14ac:dyDescent="0.35">
      <c r="A4876" s="30"/>
      <c r="E4876" s="31"/>
      <c r="G4876" s="32" t="str">
        <f t="shared" si="152"/>
        <v>|||1900|</v>
      </c>
      <c r="H4876" s="32" t="str">
        <f t="shared" si="153"/>
        <v>||1900|</v>
      </c>
      <c r="I4876" s="32">
        <f>IF(G4876="",0,IF(COUNTIF($G$2:G4876,G4876)=1,1,0))</f>
        <v>0</v>
      </c>
      <c r="J4876" s="32">
        <f>IF(H4876="",0,IF(COUNTIF($H$2:H4876,H4876)=1,1,0))</f>
        <v>0</v>
      </c>
    </row>
    <row r="4877" spans="1:10" ht="14.25" hidden="1" customHeight="1" x14ac:dyDescent="0.35">
      <c r="A4877" s="30"/>
      <c r="E4877" s="31"/>
      <c r="G4877" s="32" t="str">
        <f t="shared" si="152"/>
        <v>|||1900|</v>
      </c>
      <c r="H4877" s="32" t="str">
        <f t="shared" si="153"/>
        <v>||1900|</v>
      </c>
      <c r="I4877" s="32">
        <f>IF(G4877="",0,IF(COUNTIF($G$2:G4877,G4877)=1,1,0))</f>
        <v>0</v>
      </c>
      <c r="J4877" s="32">
        <f>IF(H4877="",0,IF(COUNTIF($H$2:H4877,H4877)=1,1,0))</f>
        <v>0</v>
      </c>
    </row>
    <row r="4878" spans="1:10" ht="14.25" hidden="1" customHeight="1" x14ac:dyDescent="0.35">
      <c r="A4878" s="30"/>
      <c r="E4878" s="31"/>
      <c r="G4878" s="32" t="str">
        <f t="shared" si="152"/>
        <v>|||1900|</v>
      </c>
      <c r="H4878" s="32" t="str">
        <f t="shared" si="153"/>
        <v>||1900|</v>
      </c>
      <c r="I4878" s="32">
        <f>IF(G4878="",0,IF(COUNTIF($G$2:G4878,G4878)=1,1,0))</f>
        <v>0</v>
      </c>
      <c r="J4878" s="32">
        <f>IF(H4878="",0,IF(COUNTIF($H$2:H4878,H4878)=1,1,0))</f>
        <v>0</v>
      </c>
    </row>
    <row r="4879" spans="1:10" ht="14.25" hidden="1" customHeight="1" x14ac:dyDescent="0.35">
      <c r="A4879" s="30"/>
      <c r="E4879" s="31"/>
      <c r="G4879" s="32" t="str">
        <f t="shared" si="152"/>
        <v>|||1900|</v>
      </c>
      <c r="H4879" s="32" t="str">
        <f t="shared" si="153"/>
        <v>||1900|</v>
      </c>
      <c r="I4879" s="32">
        <f>IF(G4879="",0,IF(COUNTIF($G$2:G4879,G4879)=1,1,0))</f>
        <v>0</v>
      </c>
      <c r="J4879" s="32">
        <f>IF(H4879="",0,IF(COUNTIF($H$2:H4879,H4879)=1,1,0))</f>
        <v>0</v>
      </c>
    </row>
    <row r="4880" spans="1:10" ht="14.25" hidden="1" customHeight="1" x14ac:dyDescent="0.35">
      <c r="A4880" s="30"/>
      <c r="E4880" s="31"/>
      <c r="G4880" s="32" t="str">
        <f t="shared" si="152"/>
        <v>|||1900|</v>
      </c>
      <c r="H4880" s="32" t="str">
        <f t="shared" si="153"/>
        <v>||1900|</v>
      </c>
      <c r="I4880" s="32">
        <f>IF(G4880="",0,IF(COUNTIF($G$2:G4880,G4880)=1,1,0))</f>
        <v>0</v>
      </c>
      <c r="J4880" s="32">
        <f>IF(H4880="",0,IF(COUNTIF($H$2:H4880,H4880)=1,1,0))</f>
        <v>0</v>
      </c>
    </row>
    <row r="4881" spans="1:10" ht="14.25" hidden="1" customHeight="1" x14ac:dyDescent="0.35">
      <c r="A4881" s="30"/>
      <c r="E4881" s="31"/>
      <c r="G4881" s="32" t="str">
        <f t="shared" si="152"/>
        <v>|||1900|</v>
      </c>
      <c r="H4881" s="32" t="str">
        <f t="shared" si="153"/>
        <v>||1900|</v>
      </c>
      <c r="I4881" s="32">
        <f>IF(G4881="",0,IF(COUNTIF($G$2:G4881,G4881)=1,1,0))</f>
        <v>0</v>
      </c>
      <c r="J4881" s="32">
        <f>IF(H4881="",0,IF(COUNTIF($H$2:H4881,H4881)=1,1,0))</f>
        <v>0</v>
      </c>
    </row>
    <row r="4882" spans="1:10" ht="14.25" hidden="1" customHeight="1" x14ac:dyDescent="0.35">
      <c r="A4882" s="30"/>
      <c r="E4882" s="31"/>
      <c r="G4882" s="32" t="str">
        <f t="shared" si="152"/>
        <v>|||1900|</v>
      </c>
      <c r="H4882" s="32" t="str">
        <f t="shared" si="153"/>
        <v>||1900|</v>
      </c>
      <c r="I4882" s="32">
        <f>IF(G4882="",0,IF(COUNTIF($G$2:G4882,G4882)=1,1,0))</f>
        <v>0</v>
      </c>
      <c r="J4882" s="32">
        <f>IF(H4882="",0,IF(COUNTIF($H$2:H4882,H4882)=1,1,0))</f>
        <v>0</v>
      </c>
    </row>
    <row r="4883" spans="1:10" ht="14.25" hidden="1" customHeight="1" x14ac:dyDescent="0.35">
      <c r="A4883" s="30"/>
      <c r="E4883" s="31"/>
      <c r="G4883" s="32" t="str">
        <f t="shared" si="152"/>
        <v>|||1900|</v>
      </c>
      <c r="H4883" s="32" t="str">
        <f t="shared" si="153"/>
        <v>||1900|</v>
      </c>
      <c r="I4883" s="32">
        <f>IF(G4883="",0,IF(COUNTIF($G$2:G4883,G4883)=1,1,0))</f>
        <v>0</v>
      </c>
      <c r="J4883" s="32">
        <f>IF(H4883="",0,IF(COUNTIF($H$2:H4883,H4883)=1,1,0))</f>
        <v>0</v>
      </c>
    </row>
    <row r="4884" spans="1:10" ht="14.25" hidden="1" customHeight="1" x14ac:dyDescent="0.35">
      <c r="A4884" s="30"/>
      <c r="E4884" s="31"/>
      <c r="G4884" s="32" t="str">
        <f t="shared" si="152"/>
        <v>|||1900|</v>
      </c>
      <c r="H4884" s="32" t="str">
        <f t="shared" si="153"/>
        <v>||1900|</v>
      </c>
      <c r="I4884" s="32">
        <f>IF(G4884="",0,IF(COUNTIF($G$2:G4884,G4884)=1,1,0))</f>
        <v>0</v>
      </c>
      <c r="J4884" s="32">
        <f>IF(H4884="",0,IF(COUNTIF($H$2:H4884,H4884)=1,1,0))</f>
        <v>0</v>
      </c>
    </row>
    <row r="4885" spans="1:10" ht="14.25" hidden="1" customHeight="1" x14ac:dyDescent="0.35">
      <c r="A4885" s="30"/>
      <c r="E4885" s="31"/>
      <c r="G4885" s="32" t="str">
        <f t="shared" si="152"/>
        <v>|||1900|</v>
      </c>
      <c r="H4885" s="32" t="str">
        <f t="shared" si="153"/>
        <v>||1900|</v>
      </c>
      <c r="I4885" s="32">
        <f>IF(G4885="",0,IF(COUNTIF($G$2:G4885,G4885)=1,1,0))</f>
        <v>0</v>
      </c>
      <c r="J4885" s="32">
        <f>IF(H4885="",0,IF(COUNTIF($H$2:H4885,H4885)=1,1,0))</f>
        <v>0</v>
      </c>
    </row>
    <row r="4886" spans="1:10" ht="14.25" hidden="1" customHeight="1" x14ac:dyDescent="0.35">
      <c r="A4886" s="30"/>
      <c r="E4886" s="31"/>
      <c r="G4886" s="32" t="str">
        <f t="shared" si="152"/>
        <v>|||1900|</v>
      </c>
      <c r="H4886" s="32" t="str">
        <f t="shared" si="153"/>
        <v>||1900|</v>
      </c>
      <c r="I4886" s="32">
        <f>IF(G4886="",0,IF(COUNTIF($G$2:G4886,G4886)=1,1,0))</f>
        <v>0</v>
      </c>
      <c r="J4886" s="32">
        <f>IF(H4886="",0,IF(COUNTIF($H$2:H4886,H4886)=1,1,0))</f>
        <v>0</v>
      </c>
    </row>
    <row r="4887" spans="1:10" ht="14.25" hidden="1" customHeight="1" x14ac:dyDescent="0.35">
      <c r="A4887" s="30"/>
      <c r="E4887" s="31"/>
      <c r="G4887" s="32" t="str">
        <f t="shared" si="152"/>
        <v>|||1900|</v>
      </c>
      <c r="H4887" s="32" t="str">
        <f t="shared" si="153"/>
        <v>||1900|</v>
      </c>
      <c r="I4887" s="32">
        <f>IF(G4887="",0,IF(COUNTIF($G$2:G4887,G4887)=1,1,0))</f>
        <v>0</v>
      </c>
      <c r="J4887" s="32">
        <f>IF(H4887="",0,IF(COUNTIF($H$2:H4887,H4887)=1,1,0))</f>
        <v>0</v>
      </c>
    </row>
    <row r="4888" spans="1:10" ht="14.25" hidden="1" customHeight="1" x14ac:dyDescent="0.35">
      <c r="A4888" s="30"/>
      <c r="E4888" s="31"/>
      <c r="G4888" s="32" t="str">
        <f t="shared" si="152"/>
        <v>|||1900|</v>
      </c>
      <c r="H4888" s="32" t="str">
        <f t="shared" si="153"/>
        <v>||1900|</v>
      </c>
      <c r="I4888" s="32">
        <f>IF(G4888="",0,IF(COUNTIF($G$2:G4888,G4888)=1,1,0))</f>
        <v>0</v>
      </c>
      <c r="J4888" s="32">
        <f>IF(H4888="",0,IF(COUNTIF($H$2:H4888,H4888)=1,1,0))</f>
        <v>0</v>
      </c>
    </row>
    <row r="4889" spans="1:10" ht="14.25" hidden="1" customHeight="1" x14ac:dyDescent="0.35">
      <c r="A4889" s="30"/>
      <c r="E4889" s="31"/>
      <c r="G4889" s="32" t="str">
        <f t="shared" si="152"/>
        <v>|||1900|</v>
      </c>
      <c r="H4889" s="32" t="str">
        <f t="shared" si="153"/>
        <v>||1900|</v>
      </c>
      <c r="I4889" s="32">
        <f>IF(G4889="",0,IF(COUNTIF($G$2:G4889,G4889)=1,1,0))</f>
        <v>0</v>
      </c>
      <c r="J4889" s="32">
        <f>IF(H4889="",0,IF(COUNTIF($H$2:H4889,H4889)=1,1,0))</f>
        <v>0</v>
      </c>
    </row>
    <row r="4890" spans="1:10" ht="14.25" hidden="1" customHeight="1" x14ac:dyDescent="0.35">
      <c r="A4890" s="30"/>
      <c r="E4890" s="31"/>
      <c r="G4890" s="32" t="str">
        <f t="shared" si="152"/>
        <v>|||1900|</v>
      </c>
      <c r="H4890" s="32" t="str">
        <f t="shared" si="153"/>
        <v>||1900|</v>
      </c>
      <c r="I4890" s="32">
        <f>IF(G4890="",0,IF(COUNTIF($G$2:G4890,G4890)=1,1,0))</f>
        <v>0</v>
      </c>
      <c r="J4890" s="32">
        <f>IF(H4890="",0,IF(COUNTIF($H$2:H4890,H4890)=1,1,0))</f>
        <v>0</v>
      </c>
    </row>
    <row r="4891" spans="1:10" ht="14.25" hidden="1" customHeight="1" x14ac:dyDescent="0.35">
      <c r="A4891" s="30"/>
      <c r="E4891" s="31"/>
      <c r="G4891" s="32" t="str">
        <f t="shared" si="152"/>
        <v>|||1900|</v>
      </c>
      <c r="H4891" s="32" t="str">
        <f t="shared" si="153"/>
        <v>||1900|</v>
      </c>
      <c r="I4891" s="32">
        <f>IF(G4891="",0,IF(COUNTIF($G$2:G4891,G4891)=1,1,0))</f>
        <v>0</v>
      </c>
      <c r="J4891" s="32">
        <f>IF(H4891="",0,IF(COUNTIF($H$2:H4891,H4891)=1,1,0))</f>
        <v>0</v>
      </c>
    </row>
    <row r="4892" spans="1:10" ht="14.25" hidden="1" customHeight="1" x14ac:dyDescent="0.35">
      <c r="A4892" s="30"/>
      <c r="E4892" s="31"/>
      <c r="G4892" s="32" t="str">
        <f t="shared" si="152"/>
        <v>|||1900|</v>
      </c>
      <c r="H4892" s="32" t="str">
        <f t="shared" si="153"/>
        <v>||1900|</v>
      </c>
      <c r="I4892" s="32">
        <f>IF(G4892="",0,IF(COUNTIF($G$2:G4892,G4892)=1,1,0))</f>
        <v>0</v>
      </c>
      <c r="J4892" s="32">
        <f>IF(H4892="",0,IF(COUNTIF($H$2:H4892,H4892)=1,1,0))</f>
        <v>0</v>
      </c>
    </row>
    <row r="4893" spans="1:10" ht="14.25" hidden="1" customHeight="1" x14ac:dyDescent="0.35">
      <c r="A4893" s="30"/>
      <c r="E4893" s="31"/>
      <c r="G4893" s="32" t="str">
        <f t="shared" si="152"/>
        <v>|||1900|</v>
      </c>
      <c r="H4893" s="32" t="str">
        <f t="shared" si="153"/>
        <v>||1900|</v>
      </c>
      <c r="I4893" s="32">
        <f>IF(G4893="",0,IF(COUNTIF($G$2:G4893,G4893)=1,1,0))</f>
        <v>0</v>
      </c>
      <c r="J4893" s="32">
        <f>IF(H4893="",0,IF(COUNTIF($H$2:H4893,H4893)=1,1,0))</f>
        <v>0</v>
      </c>
    </row>
    <row r="4894" spans="1:10" ht="14.25" hidden="1" customHeight="1" x14ac:dyDescent="0.35">
      <c r="A4894" s="30"/>
      <c r="E4894" s="31"/>
      <c r="G4894" s="32" t="str">
        <f t="shared" si="152"/>
        <v>|||1900|</v>
      </c>
      <c r="H4894" s="32" t="str">
        <f t="shared" si="153"/>
        <v>||1900|</v>
      </c>
      <c r="I4894" s="32">
        <f>IF(G4894="",0,IF(COUNTIF($G$2:G4894,G4894)=1,1,0))</f>
        <v>0</v>
      </c>
      <c r="J4894" s="32">
        <f>IF(H4894="",0,IF(COUNTIF($H$2:H4894,H4894)=1,1,0))</f>
        <v>0</v>
      </c>
    </row>
    <row r="4895" spans="1:10" ht="14.25" hidden="1" customHeight="1" x14ac:dyDescent="0.35">
      <c r="A4895" s="30"/>
      <c r="E4895" s="31"/>
      <c r="G4895" s="32" t="str">
        <f t="shared" si="152"/>
        <v>|||1900|</v>
      </c>
      <c r="H4895" s="32" t="str">
        <f t="shared" si="153"/>
        <v>||1900|</v>
      </c>
      <c r="I4895" s="32">
        <f>IF(G4895="",0,IF(COUNTIF($G$2:G4895,G4895)=1,1,0))</f>
        <v>0</v>
      </c>
      <c r="J4895" s="32">
        <f>IF(H4895="",0,IF(COUNTIF($H$2:H4895,H4895)=1,1,0))</f>
        <v>0</v>
      </c>
    </row>
    <row r="4896" spans="1:10" ht="14.25" hidden="1" customHeight="1" x14ac:dyDescent="0.35">
      <c r="A4896" s="30"/>
      <c r="E4896" s="31"/>
      <c r="G4896" s="32" t="str">
        <f t="shared" si="152"/>
        <v>|||1900|</v>
      </c>
      <c r="H4896" s="32" t="str">
        <f t="shared" si="153"/>
        <v>||1900|</v>
      </c>
      <c r="I4896" s="32">
        <f>IF(G4896="",0,IF(COUNTIF($G$2:G4896,G4896)=1,1,0))</f>
        <v>0</v>
      </c>
      <c r="J4896" s="32">
        <f>IF(H4896="",0,IF(COUNTIF($H$2:H4896,H4896)=1,1,0))</f>
        <v>0</v>
      </c>
    </row>
    <row r="4897" spans="1:10" ht="14.25" hidden="1" customHeight="1" x14ac:dyDescent="0.35">
      <c r="A4897" s="30"/>
      <c r="E4897" s="31"/>
      <c r="G4897" s="32" t="str">
        <f t="shared" si="152"/>
        <v>|||1900|</v>
      </c>
      <c r="H4897" s="32" t="str">
        <f t="shared" si="153"/>
        <v>||1900|</v>
      </c>
      <c r="I4897" s="32">
        <f>IF(G4897="",0,IF(COUNTIF($G$2:G4897,G4897)=1,1,0))</f>
        <v>0</v>
      </c>
      <c r="J4897" s="32">
        <f>IF(H4897="",0,IF(COUNTIF($H$2:H4897,H4897)=1,1,0))</f>
        <v>0</v>
      </c>
    </row>
    <row r="4898" spans="1:10" ht="14.25" hidden="1" customHeight="1" x14ac:dyDescent="0.35">
      <c r="A4898" s="30"/>
      <c r="E4898" s="31"/>
      <c r="G4898" s="32" t="str">
        <f t="shared" si="152"/>
        <v>|||1900|</v>
      </c>
      <c r="H4898" s="32" t="str">
        <f t="shared" si="153"/>
        <v>||1900|</v>
      </c>
      <c r="I4898" s="32">
        <f>IF(G4898="",0,IF(COUNTIF($G$2:G4898,G4898)=1,1,0))</f>
        <v>0</v>
      </c>
      <c r="J4898" s="32">
        <f>IF(H4898="",0,IF(COUNTIF($H$2:H4898,H4898)=1,1,0))</f>
        <v>0</v>
      </c>
    </row>
    <row r="4899" spans="1:10" ht="14.25" hidden="1" customHeight="1" x14ac:dyDescent="0.35">
      <c r="A4899" s="30"/>
      <c r="E4899" s="31"/>
      <c r="G4899" s="32" t="str">
        <f t="shared" si="152"/>
        <v>|||1900|</v>
      </c>
      <c r="H4899" s="32" t="str">
        <f t="shared" si="153"/>
        <v>||1900|</v>
      </c>
      <c r="I4899" s="32">
        <f>IF(G4899="",0,IF(COUNTIF($G$2:G4899,G4899)=1,1,0))</f>
        <v>0</v>
      </c>
      <c r="J4899" s="32">
        <f>IF(H4899="",0,IF(COUNTIF($H$2:H4899,H4899)=1,1,0))</f>
        <v>0</v>
      </c>
    </row>
    <row r="4900" spans="1:10" ht="14.25" hidden="1" customHeight="1" x14ac:dyDescent="0.35">
      <c r="A4900" s="30"/>
      <c r="E4900" s="31"/>
      <c r="G4900" s="32" t="str">
        <f t="shared" si="152"/>
        <v>|||1900|</v>
      </c>
      <c r="H4900" s="32" t="str">
        <f t="shared" si="153"/>
        <v>||1900|</v>
      </c>
      <c r="I4900" s="32">
        <f>IF(G4900="",0,IF(COUNTIF($G$2:G4900,G4900)=1,1,0))</f>
        <v>0</v>
      </c>
      <c r="J4900" s="32">
        <f>IF(H4900="",0,IF(COUNTIF($H$2:H4900,H4900)=1,1,0))</f>
        <v>0</v>
      </c>
    </row>
    <row r="4901" spans="1:10" ht="14.25" hidden="1" customHeight="1" x14ac:dyDescent="0.35">
      <c r="A4901" s="30"/>
      <c r="E4901" s="31"/>
      <c r="G4901" s="32" t="str">
        <f t="shared" si="152"/>
        <v>|||1900|</v>
      </c>
      <c r="H4901" s="32" t="str">
        <f t="shared" si="153"/>
        <v>||1900|</v>
      </c>
      <c r="I4901" s="32">
        <f>IF(G4901="",0,IF(COUNTIF($G$2:G4901,G4901)=1,1,0))</f>
        <v>0</v>
      </c>
      <c r="J4901" s="32">
        <f>IF(H4901="",0,IF(COUNTIF($H$2:H4901,H4901)=1,1,0))</f>
        <v>0</v>
      </c>
    </row>
    <row r="4902" spans="1:10" ht="14.25" hidden="1" customHeight="1" x14ac:dyDescent="0.35">
      <c r="A4902" s="30"/>
      <c r="E4902" s="31"/>
      <c r="G4902" s="32" t="str">
        <f t="shared" si="152"/>
        <v>|||1900|</v>
      </c>
      <c r="H4902" s="32" t="str">
        <f t="shared" si="153"/>
        <v>||1900|</v>
      </c>
      <c r="I4902" s="32">
        <f>IF(G4902="",0,IF(COUNTIF($G$2:G4902,G4902)=1,1,0))</f>
        <v>0</v>
      </c>
      <c r="J4902" s="32">
        <f>IF(H4902="",0,IF(COUNTIF($H$2:H4902,H4902)=1,1,0))</f>
        <v>0</v>
      </c>
    </row>
    <row r="4903" spans="1:10" ht="14.25" hidden="1" customHeight="1" x14ac:dyDescent="0.35">
      <c r="A4903" s="30"/>
      <c r="E4903" s="31"/>
      <c r="G4903" s="32" t="str">
        <f t="shared" si="152"/>
        <v>|||1900|</v>
      </c>
      <c r="H4903" s="32" t="str">
        <f t="shared" si="153"/>
        <v>||1900|</v>
      </c>
      <c r="I4903" s="32">
        <f>IF(G4903="",0,IF(COUNTIF($G$2:G4903,G4903)=1,1,0))</f>
        <v>0</v>
      </c>
      <c r="J4903" s="32">
        <f>IF(H4903="",0,IF(COUNTIF($H$2:H4903,H4903)=1,1,0))</f>
        <v>0</v>
      </c>
    </row>
    <row r="4904" spans="1:10" ht="14.25" hidden="1" customHeight="1" x14ac:dyDescent="0.35">
      <c r="A4904" s="30"/>
      <c r="E4904" s="31"/>
      <c r="G4904" s="32" t="str">
        <f t="shared" si="152"/>
        <v>|||1900|</v>
      </c>
      <c r="H4904" s="32" t="str">
        <f t="shared" si="153"/>
        <v>||1900|</v>
      </c>
      <c r="I4904" s="32">
        <f>IF(G4904="",0,IF(COUNTIF($G$2:G4904,G4904)=1,1,0))</f>
        <v>0</v>
      </c>
      <c r="J4904" s="32">
        <f>IF(H4904="",0,IF(COUNTIF($H$2:H4904,H4904)=1,1,0))</f>
        <v>0</v>
      </c>
    </row>
    <row r="4905" spans="1:10" ht="14.25" hidden="1" customHeight="1" x14ac:dyDescent="0.35">
      <c r="A4905" s="30"/>
      <c r="E4905" s="31"/>
      <c r="G4905" s="32" t="str">
        <f t="shared" si="152"/>
        <v>|||1900|</v>
      </c>
      <c r="H4905" s="32" t="str">
        <f t="shared" si="153"/>
        <v>||1900|</v>
      </c>
      <c r="I4905" s="32">
        <f>IF(G4905="",0,IF(COUNTIF($G$2:G4905,G4905)=1,1,0))</f>
        <v>0</v>
      </c>
      <c r="J4905" s="32">
        <f>IF(H4905="",0,IF(COUNTIF($H$2:H4905,H4905)=1,1,0))</f>
        <v>0</v>
      </c>
    </row>
    <row r="4906" spans="1:10" ht="14.25" hidden="1" customHeight="1" x14ac:dyDescent="0.35">
      <c r="A4906" s="30"/>
      <c r="E4906" s="31"/>
      <c r="G4906" s="32" t="str">
        <f t="shared" si="152"/>
        <v>|||1900|</v>
      </c>
      <c r="H4906" s="32" t="str">
        <f t="shared" si="153"/>
        <v>||1900|</v>
      </c>
      <c r="I4906" s="32">
        <f>IF(G4906="",0,IF(COUNTIF($G$2:G4906,G4906)=1,1,0))</f>
        <v>0</v>
      </c>
      <c r="J4906" s="32">
        <f>IF(H4906="",0,IF(COUNTIF($H$2:H4906,H4906)=1,1,0))</f>
        <v>0</v>
      </c>
    </row>
    <row r="4907" spans="1:10" ht="14.25" hidden="1" customHeight="1" x14ac:dyDescent="0.35">
      <c r="A4907" s="30"/>
      <c r="E4907" s="31"/>
      <c r="G4907" s="32" t="str">
        <f t="shared" si="152"/>
        <v>|||1900|</v>
      </c>
      <c r="H4907" s="32" t="str">
        <f t="shared" si="153"/>
        <v>||1900|</v>
      </c>
      <c r="I4907" s="32">
        <f>IF(G4907="",0,IF(COUNTIF($G$2:G4907,G4907)=1,1,0))</f>
        <v>0</v>
      </c>
      <c r="J4907" s="32">
        <f>IF(H4907="",0,IF(COUNTIF($H$2:H4907,H4907)=1,1,0))</f>
        <v>0</v>
      </c>
    </row>
    <row r="4908" spans="1:10" ht="14.25" hidden="1" customHeight="1" x14ac:dyDescent="0.35">
      <c r="A4908" s="30"/>
      <c r="E4908" s="31"/>
      <c r="G4908" s="32" t="str">
        <f t="shared" si="152"/>
        <v>|||1900|</v>
      </c>
      <c r="H4908" s="32" t="str">
        <f t="shared" si="153"/>
        <v>||1900|</v>
      </c>
      <c r="I4908" s="32">
        <f>IF(G4908="",0,IF(COUNTIF($G$2:G4908,G4908)=1,1,0))</f>
        <v>0</v>
      </c>
      <c r="J4908" s="32">
        <f>IF(H4908="",0,IF(COUNTIF($H$2:H4908,H4908)=1,1,0))</f>
        <v>0</v>
      </c>
    </row>
    <row r="4909" spans="1:10" ht="14.25" hidden="1" customHeight="1" x14ac:dyDescent="0.35">
      <c r="A4909" s="30"/>
      <c r="E4909" s="31"/>
      <c r="G4909" s="32" t="str">
        <f t="shared" si="152"/>
        <v>|||1900|</v>
      </c>
      <c r="H4909" s="32" t="str">
        <f t="shared" si="153"/>
        <v>||1900|</v>
      </c>
      <c r="I4909" s="32">
        <f>IF(G4909="",0,IF(COUNTIF($G$2:G4909,G4909)=1,1,0))</f>
        <v>0</v>
      </c>
      <c r="J4909" s="32">
        <f>IF(H4909="",0,IF(COUNTIF($H$2:H4909,H4909)=1,1,0))</f>
        <v>0</v>
      </c>
    </row>
    <row r="4910" spans="1:10" ht="14.25" hidden="1" customHeight="1" x14ac:dyDescent="0.35">
      <c r="A4910" s="30"/>
      <c r="E4910" s="31"/>
      <c r="G4910" s="32" t="str">
        <f t="shared" si="152"/>
        <v>|||1900|</v>
      </c>
      <c r="H4910" s="32" t="str">
        <f t="shared" si="153"/>
        <v>||1900|</v>
      </c>
      <c r="I4910" s="32">
        <f>IF(G4910="",0,IF(COUNTIF($G$2:G4910,G4910)=1,1,0))</f>
        <v>0</v>
      </c>
      <c r="J4910" s="32">
        <f>IF(H4910="",0,IF(COUNTIF($H$2:H4910,H4910)=1,1,0))</f>
        <v>0</v>
      </c>
    </row>
    <row r="4911" spans="1:10" ht="14.25" hidden="1" customHeight="1" x14ac:dyDescent="0.35">
      <c r="A4911" s="30"/>
      <c r="E4911" s="31"/>
      <c r="G4911" s="32" t="str">
        <f t="shared" si="152"/>
        <v>|||1900|</v>
      </c>
      <c r="H4911" s="32" t="str">
        <f t="shared" si="153"/>
        <v>||1900|</v>
      </c>
      <c r="I4911" s="32">
        <f>IF(G4911="",0,IF(COUNTIF($G$2:G4911,G4911)=1,1,0))</f>
        <v>0</v>
      </c>
      <c r="J4911" s="32">
        <f>IF(H4911="",0,IF(COUNTIF($H$2:H4911,H4911)=1,1,0))</f>
        <v>0</v>
      </c>
    </row>
    <row r="4912" spans="1:10" ht="14.25" hidden="1" customHeight="1" x14ac:dyDescent="0.35">
      <c r="A4912" s="30"/>
      <c r="E4912" s="31"/>
      <c r="G4912" s="32" t="str">
        <f t="shared" si="152"/>
        <v>|||1900|</v>
      </c>
      <c r="H4912" s="32" t="str">
        <f t="shared" si="153"/>
        <v>||1900|</v>
      </c>
      <c r="I4912" s="32">
        <f>IF(G4912="",0,IF(COUNTIF($G$2:G4912,G4912)=1,1,0))</f>
        <v>0</v>
      </c>
      <c r="J4912" s="32">
        <f>IF(H4912="",0,IF(COUNTIF($H$2:H4912,H4912)=1,1,0))</f>
        <v>0</v>
      </c>
    </row>
    <row r="4913" spans="1:10" ht="14.25" hidden="1" customHeight="1" x14ac:dyDescent="0.35">
      <c r="A4913" s="30"/>
      <c r="E4913" s="31"/>
      <c r="G4913" s="32" t="str">
        <f t="shared" si="152"/>
        <v>|||1900|</v>
      </c>
      <c r="H4913" s="32" t="str">
        <f t="shared" si="153"/>
        <v>||1900|</v>
      </c>
      <c r="I4913" s="32">
        <f>IF(G4913="",0,IF(COUNTIF($G$2:G4913,G4913)=1,1,0))</f>
        <v>0</v>
      </c>
      <c r="J4913" s="32">
        <f>IF(H4913="",0,IF(COUNTIF($H$2:H4913,H4913)=1,1,0))</f>
        <v>0</v>
      </c>
    </row>
    <row r="4914" spans="1:10" ht="14.25" hidden="1" customHeight="1" x14ac:dyDescent="0.35">
      <c r="A4914" s="30"/>
      <c r="E4914" s="31"/>
      <c r="G4914" s="32" t="str">
        <f t="shared" si="152"/>
        <v>|||1900|</v>
      </c>
      <c r="H4914" s="32" t="str">
        <f t="shared" si="153"/>
        <v>||1900|</v>
      </c>
      <c r="I4914" s="32">
        <f>IF(G4914="",0,IF(COUNTIF($G$2:G4914,G4914)=1,1,0))</f>
        <v>0</v>
      </c>
      <c r="J4914" s="32">
        <f>IF(H4914="",0,IF(COUNTIF($H$2:H4914,H4914)=1,1,0))</f>
        <v>0</v>
      </c>
    </row>
    <row r="4915" spans="1:10" ht="14.25" hidden="1" customHeight="1" x14ac:dyDescent="0.35">
      <c r="A4915" s="30"/>
      <c r="E4915" s="31"/>
      <c r="G4915" s="32" t="str">
        <f t="shared" si="152"/>
        <v>|||1900|</v>
      </c>
      <c r="H4915" s="32" t="str">
        <f t="shared" si="153"/>
        <v>||1900|</v>
      </c>
      <c r="I4915" s="32">
        <f>IF(G4915="",0,IF(COUNTIF($G$2:G4915,G4915)=1,1,0))</f>
        <v>0</v>
      </c>
      <c r="J4915" s="32">
        <f>IF(H4915="",0,IF(COUNTIF($H$2:H4915,H4915)=1,1,0))</f>
        <v>0</v>
      </c>
    </row>
    <row r="4916" spans="1:10" ht="14.25" hidden="1" customHeight="1" x14ac:dyDescent="0.35">
      <c r="A4916" s="30"/>
      <c r="E4916" s="31"/>
      <c r="G4916" s="32" t="str">
        <f t="shared" si="152"/>
        <v>|||1900|</v>
      </c>
      <c r="H4916" s="32" t="str">
        <f t="shared" si="153"/>
        <v>||1900|</v>
      </c>
      <c r="I4916" s="32">
        <f>IF(G4916="",0,IF(COUNTIF($G$2:G4916,G4916)=1,1,0))</f>
        <v>0</v>
      </c>
      <c r="J4916" s="32">
        <f>IF(H4916="",0,IF(COUNTIF($H$2:H4916,H4916)=1,1,0))</f>
        <v>0</v>
      </c>
    </row>
    <row r="4917" spans="1:10" ht="14.25" hidden="1" customHeight="1" x14ac:dyDescent="0.35">
      <c r="A4917" s="30"/>
      <c r="E4917" s="31"/>
      <c r="G4917" s="32" t="str">
        <f t="shared" si="152"/>
        <v>|||1900|</v>
      </c>
      <c r="H4917" s="32" t="str">
        <f t="shared" si="153"/>
        <v>||1900|</v>
      </c>
      <c r="I4917" s="32">
        <f>IF(G4917="",0,IF(COUNTIF($G$2:G4917,G4917)=1,1,0))</f>
        <v>0</v>
      </c>
      <c r="J4917" s="32">
        <f>IF(H4917="",0,IF(COUNTIF($H$2:H4917,H4917)=1,1,0))</f>
        <v>0</v>
      </c>
    </row>
    <row r="4918" spans="1:10" ht="14.25" hidden="1" customHeight="1" x14ac:dyDescent="0.35">
      <c r="A4918" s="30"/>
      <c r="E4918" s="31"/>
      <c r="G4918" s="32" t="str">
        <f t="shared" si="152"/>
        <v>|||1900|</v>
      </c>
      <c r="H4918" s="32" t="str">
        <f t="shared" si="153"/>
        <v>||1900|</v>
      </c>
      <c r="I4918" s="32">
        <f>IF(G4918="",0,IF(COUNTIF($G$2:G4918,G4918)=1,1,0))</f>
        <v>0</v>
      </c>
      <c r="J4918" s="32">
        <f>IF(H4918="",0,IF(COUNTIF($H$2:H4918,H4918)=1,1,0))</f>
        <v>0</v>
      </c>
    </row>
    <row r="4919" spans="1:10" ht="14.25" hidden="1" customHeight="1" x14ac:dyDescent="0.35">
      <c r="A4919" s="30"/>
      <c r="E4919" s="31"/>
      <c r="G4919" s="32" t="str">
        <f t="shared" si="152"/>
        <v>|||1900|</v>
      </c>
      <c r="H4919" s="32" t="str">
        <f t="shared" si="153"/>
        <v>||1900|</v>
      </c>
      <c r="I4919" s="32">
        <f>IF(G4919="",0,IF(COUNTIF($G$2:G4919,G4919)=1,1,0))</f>
        <v>0</v>
      </c>
      <c r="J4919" s="32">
        <f>IF(H4919="",0,IF(COUNTIF($H$2:H4919,H4919)=1,1,0))</f>
        <v>0</v>
      </c>
    </row>
    <row r="4920" spans="1:10" ht="14.25" hidden="1" customHeight="1" x14ac:dyDescent="0.35">
      <c r="A4920" s="30"/>
      <c r="E4920" s="31"/>
      <c r="G4920" s="32" t="str">
        <f t="shared" si="152"/>
        <v>|||1900|</v>
      </c>
      <c r="H4920" s="32" t="str">
        <f t="shared" si="153"/>
        <v>||1900|</v>
      </c>
      <c r="I4920" s="32">
        <f>IF(G4920="",0,IF(COUNTIF($G$2:G4920,G4920)=1,1,0))</f>
        <v>0</v>
      </c>
      <c r="J4920" s="32">
        <f>IF(H4920="",0,IF(COUNTIF($H$2:H4920,H4920)=1,1,0))</f>
        <v>0</v>
      </c>
    </row>
    <row r="4921" spans="1:10" ht="14.25" hidden="1" customHeight="1" x14ac:dyDescent="0.35">
      <c r="A4921" s="30"/>
      <c r="E4921" s="31"/>
      <c r="G4921" s="32" t="str">
        <f t="shared" si="152"/>
        <v>|||1900|</v>
      </c>
      <c r="H4921" s="32" t="str">
        <f t="shared" si="153"/>
        <v>||1900|</v>
      </c>
      <c r="I4921" s="32">
        <f>IF(G4921="",0,IF(COUNTIF($G$2:G4921,G4921)=1,1,0))</f>
        <v>0</v>
      </c>
      <c r="J4921" s="32">
        <f>IF(H4921="",0,IF(COUNTIF($H$2:H4921,H4921)=1,1,0))</f>
        <v>0</v>
      </c>
    </row>
    <row r="4922" spans="1:10" ht="14.25" hidden="1" customHeight="1" x14ac:dyDescent="0.35">
      <c r="A4922" s="30"/>
      <c r="E4922" s="31"/>
      <c r="G4922" s="32" t="str">
        <f t="shared" si="152"/>
        <v>|||1900|</v>
      </c>
      <c r="H4922" s="32" t="str">
        <f t="shared" si="153"/>
        <v>||1900|</v>
      </c>
      <c r="I4922" s="32">
        <f>IF(G4922="",0,IF(COUNTIF($G$2:G4922,G4922)=1,1,0))</f>
        <v>0</v>
      </c>
      <c r="J4922" s="32">
        <f>IF(H4922="",0,IF(COUNTIF($H$2:H4922,H4922)=1,1,0))</f>
        <v>0</v>
      </c>
    </row>
    <row r="4923" spans="1:10" ht="14.25" hidden="1" customHeight="1" x14ac:dyDescent="0.35">
      <c r="A4923" s="30"/>
      <c r="E4923" s="31"/>
      <c r="G4923" s="32" t="str">
        <f t="shared" si="152"/>
        <v>|||1900|</v>
      </c>
      <c r="H4923" s="32" t="str">
        <f t="shared" si="153"/>
        <v>||1900|</v>
      </c>
      <c r="I4923" s="32">
        <f>IF(G4923="",0,IF(COUNTIF($G$2:G4923,G4923)=1,1,0))</f>
        <v>0</v>
      </c>
      <c r="J4923" s="32">
        <f>IF(H4923="",0,IF(COUNTIF($H$2:H4923,H4923)=1,1,0))</f>
        <v>0</v>
      </c>
    </row>
    <row r="4924" spans="1:10" ht="14.25" hidden="1" customHeight="1" x14ac:dyDescent="0.35">
      <c r="A4924" s="30"/>
      <c r="E4924" s="31"/>
      <c r="G4924" s="32" t="str">
        <f t="shared" si="152"/>
        <v>|||1900|</v>
      </c>
      <c r="H4924" s="32" t="str">
        <f t="shared" si="153"/>
        <v>||1900|</v>
      </c>
      <c r="I4924" s="32">
        <f>IF(G4924="",0,IF(COUNTIF($G$2:G4924,G4924)=1,1,0))</f>
        <v>0</v>
      </c>
      <c r="J4924" s="32">
        <f>IF(H4924="",0,IF(COUNTIF($H$2:H4924,H4924)=1,1,0))</f>
        <v>0</v>
      </c>
    </row>
    <row r="4925" spans="1:10" ht="14.25" hidden="1" customHeight="1" x14ac:dyDescent="0.35">
      <c r="A4925" s="30"/>
      <c r="E4925" s="31"/>
      <c r="G4925" s="32" t="str">
        <f t="shared" si="152"/>
        <v>|||1900|</v>
      </c>
      <c r="H4925" s="32" t="str">
        <f t="shared" si="153"/>
        <v>||1900|</v>
      </c>
      <c r="I4925" s="32">
        <f>IF(G4925="",0,IF(COUNTIF($G$2:G4925,G4925)=1,1,0))</f>
        <v>0</v>
      </c>
      <c r="J4925" s="32">
        <f>IF(H4925="",0,IF(COUNTIF($H$2:H4925,H4925)=1,1,0))</f>
        <v>0</v>
      </c>
    </row>
    <row r="4926" spans="1:10" ht="14.25" hidden="1" customHeight="1" x14ac:dyDescent="0.35">
      <c r="A4926" s="30"/>
      <c r="E4926" s="31"/>
      <c r="G4926" s="32" t="str">
        <f t="shared" si="152"/>
        <v>|||1900|</v>
      </c>
      <c r="H4926" s="32" t="str">
        <f t="shared" si="153"/>
        <v>||1900|</v>
      </c>
      <c r="I4926" s="32">
        <f>IF(G4926="",0,IF(COUNTIF($G$2:G4926,G4926)=1,1,0))</f>
        <v>0</v>
      </c>
      <c r="J4926" s="32">
        <f>IF(H4926="",0,IF(COUNTIF($H$2:H4926,H4926)=1,1,0))</f>
        <v>0</v>
      </c>
    </row>
    <row r="4927" spans="1:10" ht="14.25" hidden="1" customHeight="1" x14ac:dyDescent="0.35">
      <c r="A4927" s="30"/>
      <c r="E4927" s="31"/>
      <c r="G4927" s="32" t="str">
        <f t="shared" si="152"/>
        <v>|||1900|</v>
      </c>
      <c r="H4927" s="32" t="str">
        <f t="shared" si="153"/>
        <v>||1900|</v>
      </c>
      <c r="I4927" s="32">
        <f>IF(G4927="",0,IF(COUNTIF($G$2:G4927,G4927)=1,1,0))</f>
        <v>0</v>
      </c>
      <c r="J4927" s="32">
        <f>IF(H4927="",0,IF(COUNTIF($H$2:H4927,H4927)=1,1,0))</f>
        <v>0</v>
      </c>
    </row>
    <row r="4928" spans="1:10" ht="14.25" hidden="1" customHeight="1" x14ac:dyDescent="0.35">
      <c r="A4928" s="30"/>
      <c r="E4928" s="31"/>
      <c r="G4928" s="32" t="str">
        <f t="shared" si="152"/>
        <v>|||1900|</v>
      </c>
      <c r="H4928" s="32" t="str">
        <f t="shared" si="153"/>
        <v>||1900|</v>
      </c>
      <c r="I4928" s="32">
        <f>IF(G4928="",0,IF(COUNTIF($G$2:G4928,G4928)=1,1,0))</f>
        <v>0</v>
      </c>
      <c r="J4928" s="32">
        <f>IF(H4928="",0,IF(COUNTIF($H$2:H4928,H4928)=1,1,0))</f>
        <v>0</v>
      </c>
    </row>
    <row r="4929" spans="1:10" ht="14.25" hidden="1" customHeight="1" x14ac:dyDescent="0.35">
      <c r="A4929" s="30"/>
      <c r="E4929" s="31"/>
      <c r="G4929" s="32" t="str">
        <f t="shared" si="152"/>
        <v>|||1900|</v>
      </c>
      <c r="H4929" s="32" t="str">
        <f t="shared" si="153"/>
        <v>||1900|</v>
      </c>
      <c r="I4929" s="32">
        <f>IF(G4929="",0,IF(COUNTIF($G$2:G4929,G4929)=1,1,0))</f>
        <v>0</v>
      </c>
      <c r="J4929" s="32">
        <f>IF(H4929="",0,IF(COUNTIF($H$2:H4929,H4929)=1,1,0))</f>
        <v>0</v>
      </c>
    </row>
    <row r="4930" spans="1:10" ht="14.25" hidden="1" customHeight="1" x14ac:dyDescent="0.35">
      <c r="A4930" s="30"/>
      <c r="E4930" s="31"/>
      <c r="G4930" s="32" t="str">
        <f t="shared" ref="G4930:G4993" si="154">IF(D4930="T",
E4930&amp;"|"&amp;F4930,
A4930&amp;"|"&amp;B4930&amp;"|"&amp;C4930&amp;"|"&amp;YEAR(E4930)&amp;"|"&amp;F4930)</f>
        <v>|||1900|</v>
      </c>
      <c r="H4930" s="32" t="str">
        <f t="shared" ref="H4930:H4993" si="155">A4930&amp;"|"&amp;C4930&amp;"|"&amp;YEAR(E4930)&amp;"|"&amp;F4930</f>
        <v>||1900|</v>
      </c>
      <c r="I4930" s="32">
        <f>IF(G4930="",0,IF(COUNTIF($G$2:G4930,G4930)=1,1,0))</f>
        <v>0</v>
      </c>
      <c r="J4930" s="32">
        <f>IF(H4930="",0,IF(COUNTIF($H$2:H4930,H4930)=1,1,0))</f>
        <v>0</v>
      </c>
    </row>
    <row r="4931" spans="1:10" ht="14.25" hidden="1" customHeight="1" x14ac:dyDescent="0.35">
      <c r="A4931" s="30"/>
      <c r="E4931" s="31"/>
      <c r="G4931" s="32" t="str">
        <f t="shared" si="154"/>
        <v>|||1900|</v>
      </c>
      <c r="H4931" s="32" t="str">
        <f t="shared" si="155"/>
        <v>||1900|</v>
      </c>
      <c r="I4931" s="32">
        <f>IF(G4931="",0,IF(COUNTIF($G$2:G4931,G4931)=1,1,0))</f>
        <v>0</v>
      </c>
      <c r="J4931" s="32">
        <f>IF(H4931="",0,IF(COUNTIF($H$2:H4931,H4931)=1,1,0))</f>
        <v>0</v>
      </c>
    </row>
    <row r="4932" spans="1:10" ht="14.25" hidden="1" customHeight="1" x14ac:dyDescent="0.35">
      <c r="A4932" s="30"/>
      <c r="E4932" s="31"/>
      <c r="G4932" s="32" t="str">
        <f t="shared" si="154"/>
        <v>|||1900|</v>
      </c>
      <c r="H4932" s="32" t="str">
        <f t="shared" si="155"/>
        <v>||1900|</v>
      </c>
      <c r="I4932" s="32">
        <f>IF(G4932="",0,IF(COUNTIF($G$2:G4932,G4932)=1,1,0))</f>
        <v>0</v>
      </c>
      <c r="J4932" s="32">
        <f>IF(H4932="",0,IF(COUNTIF($H$2:H4932,H4932)=1,1,0))</f>
        <v>0</v>
      </c>
    </row>
    <row r="4933" spans="1:10" ht="14.25" hidden="1" customHeight="1" x14ac:dyDescent="0.35">
      <c r="A4933" s="30"/>
      <c r="E4933" s="31"/>
      <c r="G4933" s="32" t="str">
        <f t="shared" si="154"/>
        <v>|||1900|</v>
      </c>
      <c r="H4933" s="32" t="str">
        <f t="shared" si="155"/>
        <v>||1900|</v>
      </c>
      <c r="I4933" s="32">
        <f>IF(G4933="",0,IF(COUNTIF($G$2:G4933,G4933)=1,1,0))</f>
        <v>0</v>
      </c>
      <c r="J4933" s="32">
        <f>IF(H4933="",0,IF(COUNTIF($H$2:H4933,H4933)=1,1,0))</f>
        <v>0</v>
      </c>
    </row>
    <row r="4934" spans="1:10" ht="14.25" hidden="1" customHeight="1" x14ac:dyDescent="0.35">
      <c r="A4934" s="30"/>
      <c r="E4934" s="31"/>
      <c r="G4934" s="32" t="str">
        <f t="shared" si="154"/>
        <v>|||1900|</v>
      </c>
      <c r="H4934" s="32" t="str">
        <f t="shared" si="155"/>
        <v>||1900|</v>
      </c>
      <c r="I4934" s="32">
        <f>IF(G4934="",0,IF(COUNTIF($G$2:G4934,G4934)=1,1,0))</f>
        <v>0</v>
      </c>
      <c r="J4934" s="32">
        <f>IF(H4934="",0,IF(COUNTIF($H$2:H4934,H4934)=1,1,0))</f>
        <v>0</v>
      </c>
    </row>
    <row r="4935" spans="1:10" ht="14.25" hidden="1" customHeight="1" x14ac:dyDescent="0.35">
      <c r="A4935" s="30"/>
      <c r="E4935" s="31"/>
      <c r="G4935" s="32" t="str">
        <f t="shared" si="154"/>
        <v>|||1900|</v>
      </c>
      <c r="H4935" s="32" t="str">
        <f t="shared" si="155"/>
        <v>||1900|</v>
      </c>
      <c r="I4935" s="32">
        <f>IF(G4935="",0,IF(COUNTIF($G$2:G4935,G4935)=1,1,0))</f>
        <v>0</v>
      </c>
      <c r="J4935" s="32">
        <f>IF(H4935="",0,IF(COUNTIF($H$2:H4935,H4935)=1,1,0))</f>
        <v>0</v>
      </c>
    </row>
    <row r="4936" spans="1:10" ht="14.25" hidden="1" customHeight="1" x14ac:dyDescent="0.35">
      <c r="A4936" s="30"/>
      <c r="E4936" s="31"/>
      <c r="G4936" s="32" t="str">
        <f t="shared" si="154"/>
        <v>|||1900|</v>
      </c>
      <c r="H4936" s="32" t="str">
        <f t="shared" si="155"/>
        <v>||1900|</v>
      </c>
      <c r="I4936" s="32">
        <f>IF(G4936="",0,IF(COUNTIF($G$2:G4936,G4936)=1,1,0))</f>
        <v>0</v>
      </c>
      <c r="J4936" s="32">
        <f>IF(H4936="",0,IF(COUNTIF($H$2:H4936,H4936)=1,1,0))</f>
        <v>0</v>
      </c>
    </row>
    <row r="4937" spans="1:10" ht="14.25" hidden="1" customHeight="1" x14ac:dyDescent="0.35">
      <c r="A4937" s="30"/>
      <c r="E4937" s="31"/>
      <c r="G4937" s="32" t="str">
        <f t="shared" si="154"/>
        <v>|||1900|</v>
      </c>
      <c r="H4937" s="32" t="str">
        <f t="shared" si="155"/>
        <v>||1900|</v>
      </c>
      <c r="I4937" s="32">
        <f>IF(G4937="",0,IF(COUNTIF($G$2:G4937,G4937)=1,1,0))</f>
        <v>0</v>
      </c>
      <c r="J4937" s="32">
        <f>IF(H4937="",0,IF(COUNTIF($H$2:H4937,H4937)=1,1,0))</f>
        <v>0</v>
      </c>
    </row>
    <row r="4938" spans="1:10" ht="14.25" hidden="1" customHeight="1" x14ac:dyDescent="0.35">
      <c r="A4938" s="30"/>
      <c r="E4938" s="31"/>
      <c r="G4938" s="32" t="str">
        <f t="shared" si="154"/>
        <v>|||1900|</v>
      </c>
      <c r="H4938" s="32" t="str">
        <f t="shared" si="155"/>
        <v>||1900|</v>
      </c>
      <c r="I4938" s="32">
        <f>IF(G4938="",0,IF(COUNTIF($G$2:G4938,G4938)=1,1,0))</f>
        <v>0</v>
      </c>
      <c r="J4938" s="32">
        <f>IF(H4938="",0,IF(COUNTIF($H$2:H4938,H4938)=1,1,0))</f>
        <v>0</v>
      </c>
    </row>
    <row r="4939" spans="1:10" ht="14.25" hidden="1" customHeight="1" x14ac:dyDescent="0.35">
      <c r="A4939" s="30"/>
      <c r="E4939" s="31"/>
      <c r="G4939" s="32" t="str">
        <f t="shared" si="154"/>
        <v>|||1900|</v>
      </c>
      <c r="H4939" s="32" t="str">
        <f t="shared" si="155"/>
        <v>||1900|</v>
      </c>
      <c r="I4939" s="32">
        <f>IF(G4939="",0,IF(COUNTIF($G$2:G4939,G4939)=1,1,0))</f>
        <v>0</v>
      </c>
      <c r="J4939" s="32">
        <f>IF(H4939="",0,IF(COUNTIF($H$2:H4939,H4939)=1,1,0))</f>
        <v>0</v>
      </c>
    </row>
    <row r="4940" spans="1:10" ht="14.25" hidden="1" customHeight="1" x14ac:dyDescent="0.35">
      <c r="A4940" s="30"/>
      <c r="E4940" s="31"/>
      <c r="G4940" s="32" t="str">
        <f t="shared" si="154"/>
        <v>|||1900|</v>
      </c>
      <c r="H4940" s="32" t="str">
        <f t="shared" si="155"/>
        <v>||1900|</v>
      </c>
      <c r="I4940" s="32">
        <f>IF(G4940="",0,IF(COUNTIF($G$2:G4940,G4940)=1,1,0))</f>
        <v>0</v>
      </c>
      <c r="J4940" s="32">
        <f>IF(H4940="",0,IF(COUNTIF($H$2:H4940,H4940)=1,1,0))</f>
        <v>0</v>
      </c>
    </row>
    <row r="4941" spans="1:10" ht="14.25" hidden="1" customHeight="1" x14ac:dyDescent="0.35">
      <c r="A4941" s="30"/>
      <c r="E4941" s="31"/>
      <c r="G4941" s="32" t="str">
        <f t="shared" si="154"/>
        <v>|||1900|</v>
      </c>
      <c r="H4941" s="32" t="str">
        <f t="shared" si="155"/>
        <v>||1900|</v>
      </c>
      <c r="I4941" s="32">
        <f>IF(G4941="",0,IF(COUNTIF($G$2:G4941,G4941)=1,1,0))</f>
        <v>0</v>
      </c>
      <c r="J4941" s="32">
        <f>IF(H4941="",0,IF(COUNTIF($H$2:H4941,H4941)=1,1,0))</f>
        <v>0</v>
      </c>
    </row>
    <row r="4942" spans="1:10" ht="14.25" hidden="1" customHeight="1" x14ac:dyDescent="0.35">
      <c r="A4942" s="30"/>
      <c r="E4942" s="31"/>
      <c r="G4942" s="32" t="str">
        <f t="shared" si="154"/>
        <v>|||1900|</v>
      </c>
      <c r="H4942" s="32" t="str">
        <f t="shared" si="155"/>
        <v>||1900|</v>
      </c>
      <c r="I4942" s="32">
        <f>IF(G4942="",0,IF(COUNTIF($G$2:G4942,G4942)=1,1,0))</f>
        <v>0</v>
      </c>
      <c r="J4942" s="32">
        <f>IF(H4942="",0,IF(COUNTIF($H$2:H4942,H4942)=1,1,0))</f>
        <v>0</v>
      </c>
    </row>
    <row r="4943" spans="1:10" ht="14.25" hidden="1" customHeight="1" x14ac:dyDescent="0.35">
      <c r="A4943" s="30"/>
      <c r="E4943" s="31"/>
      <c r="G4943" s="32" t="str">
        <f t="shared" si="154"/>
        <v>|||1900|</v>
      </c>
      <c r="H4943" s="32" t="str">
        <f t="shared" si="155"/>
        <v>||1900|</v>
      </c>
      <c r="I4943" s="32">
        <f>IF(G4943="",0,IF(COUNTIF($G$2:G4943,G4943)=1,1,0))</f>
        <v>0</v>
      </c>
      <c r="J4943" s="32">
        <f>IF(H4943="",0,IF(COUNTIF($H$2:H4943,H4943)=1,1,0))</f>
        <v>0</v>
      </c>
    </row>
    <row r="4944" spans="1:10" ht="14.25" hidden="1" customHeight="1" x14ac:dyDescent="0.35">
      <c r="A4944" s="30"/>
      <c r="E4944" s="31"/>
      <c r="G4944" s="32" t="str">
        <f t="shared" si="154"/>
        <v>|||1900|</v>
      </c>
      <c r="H4944" s="32" t="str">
        <f t="shared" si="155"/>
        <v>||1900|</v>
      </c>
      <c r="I4944" s="32">
        <f>IF(G4944="",0,IF(COUNTIF($G$2:G4944,G4944)=1,1,0))</f>
        <v>0</v>
      </c>
      <c r="J4944" s="32">
        <f>IF(H4944="",0,IF(COUNTIF($H$2:H4944,H4944)=1,1,0))</f>
        <v>0</v>
      </c>
    </row>
    <row r="4945" spans="1:10" ht="14.25" hidden="1" customHeight="1" x14ac:dyDescent="0.35">
      <c r="A4945" s="30"/>
      <c r="E4945" s="31"/>
      <c r="G4945" s="32" t="str">
        <f t="shared" si="154"/>
        <v>|||1900|</v>
      </c>
      <c r="H4945" s="32" t="str">
        <f t="shared" si="155"/>
        <v>||1900|</v>
      </c>
      <c r="I4945" s="32">
        <f>IF(G4945="",0,IF(COUNTIF($G$2:G4945,G4945)=1,1,0))</f>
        <v>0</v>
      </c>
      <c r="J4945" s="32">
        <f>IF(H4945="",0,IF(COUNTIF($H$2:H4945,H4945)=1,1,0))</f>
        <v>0</v>
      </c>
    </row>
    <row r="4946" spans="1:10" ht="14.25" hidden="1" customHeight="1" x14ac:dyDescent="0.35">
      <c r="A4946" s="30"/>
      <c r="E4946" s="31"/>
      <c r="G4946" s="32" t="str">
        <f t="shared" si="154"/>
        <v>|||1900|</v>
      </c>
      <c r="H4946" s="32" t="str">
        <f t="shared" si="155"/>
        <v>||1900|</v>
      </c>
      <c r="I4946" s="32">
        <f>IF(G4946="",0,IF(COUNTIF($G$2:G4946,G4946)=1,1,0))</f>
        <v>0</v>
      </c>
      <c r="J4946" s="32">
        <f>IF(H4946="",0,IF(COUNTIF($H$2:H4946,H4946)=1,1,0))</f>
        <v>0</v>
      </c>
    </row>
    <row r="4947" spans="1:10" ht="14.25" hidden="1" customHeight="1" x14ac:dyDescent="0.35">
      <c r="A4947" s="30"/>
      <c r="E4947" s="31"/>
      <c r="G4947" s="32" t="str">
        <f t="shared" si="154"/>
        <v>|||1900|</v>
      </c>
      <c r="H4947" s="32" t="str">
        <f t="shared" si="155"/>
        <v>||1900|</v>
      </c>
      <c r="I4947" s="32">
        <f>IF(G4947="",0,IF(COUNTIF($G$2:G4947,G4947)=1,1,0))</f>
        <v>0</v>
      </c>
      <c r="J4947" s="32">
        <f>IF(H4947="",0,IF(COUNTIF($H$2:H4947,H4947)=1,1,0))</f>
        <v>0</v>
      </c>
    </row>
    <row r="4948" spans="1:10" ht="14.25" hidden="1" customHeight="1" x14ac:dyDescent="0.35">
      <c r="A4948" s="30"/>
      <c r="E4948" s="31"/>
      <c r="G4948" s="32" t="str">
        <f t="shared" si="154"/>
        <v>|||1900|</v>
      </c>
      <c r="H4948" s="32" t="str">
        <f t="shared" si="155"/>
        <v>||1900|</v>
      </c>
      <c r="I4948" s="32">
        <f>IF(G4948="",0,IF(COUNTIF($G$2:G4948,G4948)=1,1,0))</f>
        <v>0</v>
      </c>
      <c r="J4948" s="32">
        <f>IF(H4948="",0,IF(COUNTIF($H$2:H4948,H4948)=1,1,0))</f>
        <v>0</v>
      </c>
    </row>
    <row r="4949" spans="1:10" ht="14.25" hidden="1" customHeight="1" x14ac:dyDescent="0.35">
      <c r="A4949" s="30"/>
      <c r="E4949" s="31"/>
      <c r="G4949" s="32" t="str">
        <f t="shared" si="154"/>
        <v>|||1900|</v>
      </c>
      <c r="H4949" s="32" t="str">
        <f t="shared" si="155"/>
        <v>||1900|</v>
      </c>
      <c r="I4949" s="32">
        <f>IF(G4949="",0,IF(COUNTIF($G$2:G4949,G4949)=1,1,0))</f>
        <v>0</v>
      </c>
      <c r="J4949" s="32">
        <f>IF(H4949="",0,IF(COUNTIF($H$2:H4949,H4949)=1,1,0))</f>
        <v>0</v>
      </c>
    </row>
    <row r="4950" spans="1:10" ht="14.25" hidden="1" customHeight="1" x14ac:dyDescent="0.35">
      <c r="A4950" s="30"/>
      <c r="E4950" s="31"/>
      <c r="G4950" s="32" t="str">
        <f t="shared" si="154"/>
        <v>|||1900|</v>
      </c>
      <c r="H4950" s="32" t="str">
        <f t="shared" si="155"/>
        <v>||1900|</v>
      </c>
      <c r="I4950" s="32">
        <f>IF(G4950="",0,IF(COUNTIF($G$2:G4950,G4950)=1,1,0))</f>
        <v>0</v>
      </c>
      <c r="J4950" s="32">
        <f>IF(H4950="",0,IF(COUNTIF($H$2:H4950,H4950)=1,1,0))</f>
        <v>0</v>
      </c>
    </row>
    <row r="4951" spans="1:10" ht="14.25" hidden="1" customHeight="1" x14ac:dyDescent="0.35">
      <c r="A4951" s="30"/>
      <c r="E4951" s="31"/>
      <c r="G4951" s="32" t="str">
        <f t="shared" si="154"/>
        <v>|||1900|</v>
      </c>
      <c r="H4951" s="32" t="str">
        <f t="shared" si="155"/>
        <v>||1900|</v>
      </c>
      <c r="I4951" s="32">
        <f>IF(G4951="",0,IF(COUNTIF($G$2:G4951,G4951)=1,1,0))</f>
        <v>0</v>
      </c>
      <c r="J4951" s="32">
        <f>IF(H4951="",0,IF(COUNTIF($H$2:H4951,H4951)=1,1,0))</f>
        <v>0</v>
      </c>
    </row>
    <row r="4952" spans="1:10" ht="14.25" hidden="1" customHeight="1" x14ac:dyDescent="0.35">
      <c r="A4952" s="30"/>
      <c r="E4952" s="31"/>
      <c r="G4952" s="32" t="str">
        <f t="shared" si="154"/>
        <v>|||1900|</v>
      </c>
      <c r="H4952" s="32" t="str">
        <f t="shared" si="155"/>
        <v>||1900|</v>
      </c>
      <c r="I4952" s="32">
        <f>IF(G4952="",0,IF(COUNTIF($G$2:G4952,G4952)=1,1,0))</f>
        <v>0</v>
      </c>
      <c r="J4952" s="32">
        <f>IF(H4952="",0,IF(COUNTIF($H$2:H4952,H4952)=1,1,0))</f>
        <v>0</v>
      </c>
    </row>
    <row r="4953" spans="1:10" ht="14.25" hidden="1" customHeight="1" x14ac:dyDescent="0.35">
      <c r="A4953" s="30"/>
      <c r="E4953" s="31"/>
      <c r="G4953" s="32" t="str">
        <f t="shared" si="154"/>
        <v>|||1900|</v>
      </c>
      <c r="H4953" s="32" t="str">
        <f t="shared" si="155"/>
        <v>||1900|</v>
      </c>
      <c r="I4953" s="32">
        <f>IF(G4953="",0,IF(COUNTIF($G$2:G4953,G4953)=1,1,0))</f>
        <v>0</v>
      </c>
      <c r="J4953" s="32">
        <f>IF(H4953="",0,IF(COUNTIF($H$2:H4953,H4953)=1,1,0))</f>
        <v>0</v>
      </c>
    </row>
    <row r="4954" spans="1:10" ht="14.25" hidden="1" customHeight="1" x14ac:dyDescent="0.35">
      <c r="A4954" s="30"/>
      <c r="E4954" s="31"/>
      <c r="G4954" s="32" t="str">
        <f t="shared" si="154"/>
        <v>|||1900|</v>
      </c>
      <c r="H4954" s="32" t="str">
        <f t="shared" si="155"/>
        <v>||1900|</v>
      </c>
      <c r="I4954" s="32">
        <f>IF(G4954="",0,IF(COUNTIF($G$2:G4954,G4954)=1,1,0))</f>
        <v>0</v>
      </c>
      <c r="J4954" s="32">
        <f>IF(H4954="",0,IF(COUNTIF($H$2:H4954,H4954)=1,1,0))</f>
        <v>0</v>
      </c>
    </row>
    <row r="4955" spans="1:10" ht="14.25" hidden="1" customHeight="1" x14ac:dyDescent="0.35">
      <c r="A4955" s="30"/>
      <c r="E4955" s="31"/>
      <c r="G4955" s="32" t="str">
        <f t="shared" si="154"/>
        <v>|||1900|</v>
      </c>
      <c r="H4955" s="32" t="str">
        <f t="shared" si="155"/>
        <v>||1900|</v>
      </c>
      <c r="I4955" s="32">
        <f>IF(G4955="",0,IF(COUNTIF($G$2:G4955,G4955)=1,1,0))</f>
        <v>0</v>
      </c>
      <c r="J4955" s="32">
        <f>IF(H4955="",0,IF(COUNTIF($H$2:H4955,H4955)=1,1,0))</f>
        <v>0</v>
      </c>
    </row>
    <row r="4956" spans="1:10" ht="14.25" hidden="1" customHeight="1" x14ac:dyDescent="0.35">
      <c r="A4956" s="30"/>
      <c r="E4956" s="31"/>
      <c r="G4956" s="32" t="str">
        <f t="shared" si="154"/>
        <v>|||1900|</v>
      </c>
      <c r="H4956" s="32" t="str">
        <f t="shared" si="155"/>
        <v>||1900|</v>
      </c>
      <c r="I4956" s="32">
        <f>IF(G4956="",0,IF(COUNTIF($G$2:G4956,G4956)=1,1,0))</f>
        <v>0</v>
      </c>
      <c r="J4956" s="32">
        <f>IF(H4956="",0,IF(COUNTIF($H$2:H4956,H4956)=1,1,0))</f>
        <v>0</v>
      </c>
    </row>
    <row r="4957" spans="1:10" ht="14.25" hidden="1" customHeight="1" x14ac:dyDescent="0.35">
      <c r="A4957" s="30"/>
      <c r="E4957" s="31"/>
      <c r="G4957" s="32" t="str">
        <f t="shared" si="154"/>
        <v>|||1900|</v>
      </c>
      <c r="H4957" s="32" t="str">
        <f t="shared" si="155"/>
        <v>||1900|</v>
      </c>
      <c r="I4957" s="32">
        <f>IF(G4957="",0,IF(COUNTIF($G$2:G4957,G4957)=1,1,0))</f>
        <v>0</v>
      </c>
      <c r="J4957" s="32">
        <f>IF(H4957="",0,IF(COUNTIF($H$2:H4957,H4957)=1,1,0))</f>
        <v>0</v>
      </c>
    </row>
    <row r="4958" spans="1:10" ht="14.25" hidden="1" customHeight="1" x14ac:dyDescent="0.35">
      <c r="A4958" s="30"/>
      <c r="E4958" s="31"/>
      <c r="G4958" s="32" t="str">
        <f t="shared" si="154"/>
        <v>|||1900|</v>
      </c>
      <c r="H4958" s="32" t="str">
        <f t="shared" si="155"/>
        <v>||1900|</v>
      </c>
      <c r="I4958" s="32">
        <f>IF(G4958="",0,IF(COUNTIF($G$2:G4958,G4958)=1,1,0))</f>
        <v>0</v>
      </c>
      <c r="J4958" s="32">
        <f>IF(H4958="",0,IF(COUNTIF($H$2:H4958,H4958)=1,1,0))</f>
        <v>0</v>
      </c>
    </row>
    <row r="4959" spans="1:10" ht="14.25" hidden="1" customHeight="1" x14ac:dyDescent="0.35">
      <c r="A4959" s="30"/>
      <c r="E4959" s="31"/>
      <c r="G4959" s="32" t="str">
        <f t="shared" si="154"/>
        <v>|||1900|</v>
      </c>
      <c r="H4959" s="32" t="str">
        <f t="shared" si="155"/>
        <v>||1900|</v>
      </c>
      <c r="I4959" s="32">
        <f>IF(G4959="",0,IF(COUNTIF($G$2:G4959,G4959)=1,1,0))</f>
        <v>0</v>
      </c>
      <c r="J4959" s="32">
        <f>IF(H4959="",0,IF(COUNTIF($H$2:H4959,H4959)=1,1,0))</f>
        <v>0</v>
      </c>
    </row>
    <row r="4960" spans="1:10" ht="14.25" hidden="1" customHeight="1" x14ac:dyDescent="0.35">
      <c r="A4960" s="30"/>
      <c r="E4960" s="31"/>
      <c r="G4960" s="32" t="str">
        <f t="shared" si="154"/>
        <v>|||1900|</v>
      </c>
      <c r="H4960" s="32" t="str">
        <f t="shared" si="155"/>
        <v>||1900|</v>
      </c>
      <c r="I4960" s="32">
        <f>IF(G4960="",0,IF(COUNTIF($G$2:G4960,G4960)=1,1,0))</f>
        <v>0</v>
      </c>
      <c r="J4960" s="32">
        <f>IF(H4960="",0,IF(COUNTIF($H$2:H4960,H4960)=1,1,0))</f>
        <v>0</v>
      </c>
    </row>
    <row r="4961" spans="1:10" ht="14.25" hidden="1" customHeight="1" x14ac:dyDescent="0.35">
      <c r="A4961" s="30"/>
      <c r="E4961" s="31"/>
      <c r="G4961" s="32" t="str">
        <f t="shared" si="154"/>
        <v>|||1900|</v>
      </c>
      <c r="H4961" s="32" t="str">
        <f t="shared" si="155"/>
        <v>||1900|</v>
      </c>
      <c r="I4961" s="32">
        <f>IF(G4961="",0,IF(COUNTIF($G$2:G4961,G4961)=1,1,0))</f>
        <v>0</v>
      </c>
      <c r="J4961" s="32">
        <f>IF(H4961="",0,IF(COUNTIF($H$2:H4961,H4961)=1,1,0))</f>
        <v>0</v>
      </c>
    </row>
    <row r="4962" spans="1:10" ht="14.25" hidden="1" customHeight="1" x14ac:dyDescent="0.35">
      <c r="A4962" s="30"/>
      <c r="E4962" s="31"/>
      <c r="G4962" s="32" t="str">
        <f t="shared" si="154"/>
        <v>|||1900|</v>
      </c>
      <c r="H4962" s="32" t="str">
        <f t="shared" si="155"/>
        <v>||1900|</v>
      </c>
      <c r="I4962" s="32">
        <f>IF(G4962="",0,IF(COUNTIF($G$2:G4962,G4962)=1,1,0))</f>
        <v>0</v>
      </c>
      <c r="J4962" s="32">
        <f>IF(H4962="",0,IF(COUNTIF($H$2:H4962,H4962)=1,1,0))</f>
        <v>0</v>
      </c>
    </row>
    <row r="4963" spans="1:10" ht="14.25" hidden="1" customHeight="1" x14ac:dyDescent="0.35">
      <c r="A4963" s="30"/>
      <c r="E4963" s="31"/>
      <c r="G4963" s="32" t="str">
        <f t="shared" si="154"/>
        <v>|||1900|</v>
      </c>
      <c r="H4963" s="32" t="str">
        <f t="shared" si="155"/>
        <v>||1900|</v>
      </c>
      <c r="I4963" s="32">
        <f>IF(G4963="",0,IF(COUNTIF($G$2:G4963,G4963)=1,1,0))</f>
        <v>0</v>
      </c>
      <c r="J4963" s="32">
        <f>IF(H4963="",0,IF(COUNTIF($H$2:H4963,H4963)=1,1,0))</f>
        <v>0</v>
      </c>
    </row>
    <row r="4964" spans="1:10" ht="14.25" hidden="1" customHeight="1" x14ac:dyDescent="0.35">
      <c r="A4964" s="30"/>
      <c r="E4964" s="31"/>
      <c r="G4964" s="32" t="str">
        <f t="shared" si="154"/>
        <v>|||1900|</v>
      </c>
      <c r="H4964" s="32" t="str">
        <f t="shared" si="155"/>
        <v>||1900|</v>
      </c>
      <c r="I4964" s="32">
        <f>IF(G4964="",0,IF(COUNTIF($G$2:G4964,G4964)=1,1,0))</f>
        <v>0</v>
      </c>
      <c r="J4964" s="32">
        <f>IF(H4964="",0,IF(COUNTIF($H$2:H4964,H4964)=1,1,0))</f>
        <v>0</v>
      </c>
    </row>
    <row r="4965" spans="1:10" ht="14.25" hidden="1" customHeight="1" x14ac:dyDescent="0.35">
      <c r="A4965" s="30"/>
      <c r="E4965" s="31"/>
      <c r="G4965" s="32" t="str">
        <f t="shared" si="154"/>
        <v>|||1900|</v>
      </c>
      <c r="H4965" s="32" t="str">
        <f t="shared" si="155"/>
        <v>||1900|</v>
      </c>
      <c r="I4965" s="32">
        <f>IF(G4965="",0,IF(COUNTIF($G$2:G4965,G4965)=1,1,0))</f>
        <v>0</v>
      </c>
      <c r="J4965" s="32">
        <f>IF(H4965="",0,IF(COUNTIF($H$2:H4965,H4965)=1,1,0))</f>
        <v>0</v>
      </c>
    </row>
    <row r="4966" spans="1:10" ht="14.25" hidden="1" customHeight="1" x14ac:dyDescent="0.35">
      <c r="A4966" s="30"/>
      <c r="E4966" s="31"/>
      <c r="G4966" s="32" t="str">
        <f t="shared" si="154"/>
        <v>|||1900|</v>
      </c>
      <c r="H4966" s="32" t="str">
        <f t="shared" si="155"/>
        <v>||1900|</v>
      </c>
      <c r="I4966" s="32">
        <f>IF(G4966="",0,IF(COUNTIF($G$2:G4966,G4966)=1,1,0))</f>
        <v>0</v>
      </c>
      <c r="J4966" s="32">
        <f>IF(H4966="",0,IF(COUNTIF($H$2:H4966,H4966)=1,1,0))</f>
        <v>0</v>
      </c>
    </row>
    <row r="4967" spans="1:10" ht="14.25" hidden="1" customHeight="1" x14ac:dyDescent="0.35">
      <c r="A4967" s="30"/>
      <c r="E4967" s="31"/>
      <c r="G4967" s="32" t="str">
        <f t="shared" si="154"/>
        <v>|||1900|</v>
      </c>
      <c r="H4967" s="32" t="str">
        <f t="shared" si="155"/>
        <v>||1900|</v>
      </c>
      <c r="I4967" s="32">
        <f>IF(G4967="",0,IF(COUNTIF($G$2:G4967,G4967)=1,1,0))</f>
        <v>0</v>
      </c>
      <c r="J4967" s="32">
        <f>IF(H4967="",0,IF(COUNTIF($H$2:H4967,H4967)=1,1,0))</f>
        <v>0</v>
      </c>
    </row>
    <row r="4968" spans="1:10" ht="14.25" hidden="1" customHeight="1" x14ac:dyDescent="0.35">
      <c r="A4968" s="30"/>
      <c r="E4968" s="31"/>
      <c r="G4968" s="32" t="str">
        <f t="shared" si="154"/>
        <v>|||1900|</v>
      </c>
      <c r="H4968" s="32" t="str">
        <f t="shared" si="155"/>
        <v>||1900|</v>
      </c>
      <c r="I4968" s="32">
        <f>IF(G4968="",0,IF(COUNTIF($G$2:G4968,G4968)=1,1,0))</f>
        <v>0</v>
      </c>
      <c r="J4968" s="32">
        <f>IF(H4968="",0,IF(COUNTIF($H$2:H4968,H4968)=1,1,0))</f>
        <v>0</v>
      </c>
    </row>
    <row r="4969" spans="1:10" ht="14.25" hidden="1" customHeight="1" x14ac:dyDescent="0.35">
      <c r="A4969" s="30"/>
      <c r="E4969" s="31"/>
      <c r="G4969" s="32" t="str">
        <f t="shared" si="154"/>
        <v>|||1900|</v>
      </c>
      <c r="H4969" s="32" t="str">
        <f t="shared" si="155"/>
        <v>||1900|</v>
      </c>
      <c r="I4969" s="32">
        <f>IF(G4969="",0,IF(COUNTIF($G$2:G4969,G4969)=1,1,0))</f>
        <v>0</v>
      </c>
      <c r="J4969" s="32">
        <f>IF(H4969="",0,IF(COUNTIF($H$2:H4969,H4969)=1,1,0))</f>
        <v>0</v>
      </c>
    </row>
    <row r="4970" spans="1:10" ht="14.25" hidden="1" customHeight="1" x14ac:dyDescent="0.35">
      <c r="A4970" s="30"/>
      <c r="E4970" s="31"/>
      <c r="G4970" s="32" t="str">
        <f t="shared" si="154"/>
        <v>|||1900|</v>
      </c>
      <c r="H4970" s="32" t="str">
        <f t="shared" si="155"/>
        <v>||1900|</v>
      </c>
      <c r="I4970" s="32">
        <f>IF(G4970="",0,IF(COUNTIF($G$2:G4970,G4970)=1,1,0))</f>
        <v>0</v>
      </c>
      <c r="J4970" s="32">
        <f>IF(H4970="",0,IF(COUNTIF($H$2:H4970,H4970)=1,1,0))</f>
        <v>0</v>
      </c>
    </row>
    <row r="4971" spans="1:10" ht="14.25" hidden="1" customHeight="1" x14ac:dyDescent="0.35">
      <c r="A4971" s="30"/>
      <c r="E4971" s="31"/>
      <c r="G4971" s="32" t="str">
        <f t="shared" si="154"/>
        <v>|||1900|</v>
      </c>
      <c r="H4971" s="32" t="str">
        <f t="shared" si="155"/>
        <v>||1900|</v>
      </c>
      <c r="I4971" s="32">
        <f>IF(G4971="",0,IF(COUNTIF($G$2:G4971,G4971)=1,1,0))</f>
        <v>0</v>
      </c>
      <c r="J4971" s="32">
        <f>IF(H4971="",0,IF(COUNTIF($H$2:H4971,H4971)=1,1,0))</f>
        <v>0</v>
      </c>
    </row>
    <row r="4972" spans="1:10" ht="14.25" hidden="1" customHeight="1" x14ac:dyDescent="0.35">
      <c r="A4972" s="30"/>
      <c r="E4972" s="31"/>
      <c r="G4972" s="32" t="str">
        <f t="shared" si="154"/>
        <v>|||1900|</v>
      </c>
      <c r="H4972" s="32" t="str">
        <f t="shared" si="155"/>
        <v>||1900|</v>
      </c>
      <c r="I4972" s="32">
        <f>IF(G4972="",0,IF(COUNTIF($G$2:G4972,G4972)=1,1,0))</f>
        <v>0</v>
      </c>
      <c r="J4972" s="32">
        <f>IF(H4972="",0,IF(COUNTIF($H$2:H4972,H4972)=1,1,0))</f>
        <v>0</v>
      </c>
    </row>
    <row r="4973" spans="1:10" ht="14.25" hidden="1" customHeight="1" x14ac:dyDescent="0.35">
      <c r="A4973" s="30"/>
      <c r="E4973" s="31"/>
      <c r="G4973" s="32" t="str">
        <f t="shared" si="154"/>
        <v>|||1900|</v>
      </c>
      <c r="H4973" s="32" t="str">
        <f t="shared" si="155"/>
        <v>||1900|</v>
      </c>
      <c r="I4973" s="32">
        <f>IF(G4973="",0,IF(COUNTIF($G$2:G4973,G4973)=1,1,0))</f>
        <v>0</v>
      </c>
      <c r="J4973" s="32">
        <f>IF(H4973="",0,IF(COUNTIF($H$2:H4973,H4973)=1,1,0))</f>
        <v>0</v>
      </c>
    </row>
    <row r="4974" spans="1:10" ht="14.25" hidden="1" customHeight="1" x14ac:dyDescent="0.35">
      <c r="A4974" s="30"/>
      <c r="E4974" s="31"/>
      <c r="G4974" s="32" t="str">
        <f t="shared" si="154"/>
        <v>|||1900|</v>
      </c>
      <c r="H4974" s="32" t="str">
        <f t="shared" si="155"/>
        <v>||1900|</v>
      </c>
      <c r="I4974" s="32">
        <f>IF(G4974="",0,IF(COUNTIF($G$2:G4974,G4974)=1,1,0))</f>
        <v>0</v>
      </c>
      <c r="J4974" s="32">
        <f>IF(H4974="",0,IF(COUNTIF($H$2:H4974,H4974)=1,1,0))</f>
        <v>0</v>
      </c>
    </row>
    <row r="4975" spans="1:10" ht="14.25" hidden="1" customHeight="1" x14ac:dyDescent="0.35">
      <c r="A4975" s="30"/>
      <c r="E4975" s="31"/>
      <c r="G4975" s="32" t="str">
        <f t="shared" si="154"/>
        <v>|||1900|</v>
      </c>
      <c r="H4975" s="32" t="str">
        <f t="shared" si="155"/>
        <v>||1900|</v>
      </c>
      <c r="I4975" s="32">
        <f>IF(G4975="",0,IF(COUNTIF($G$2:G4975,G4975)=1,1,0))</f>
        <v>0</v>
      </c>
      <c r="J4975" s="32">
        <f>IF(H4975="",0,IF(COUNTIF($H$2:H4975,H4975)=1,1,0))</f>
        <v>0</v>
      </c>
    </row>
    <row r="4976" spans="1:10" ht="14.25" hidden="1" customHeight="1" x14ac:dyDescent="0.35">
      <c r="A4976" s="30"/>
      <c r="E4976" s="31"/>
      <c r="G4976" s="32" t="str">
        <f t="shared" si="154"/>
        <v>|||1900|</v>
      </c>
      <c r="H4976" s="32" t="str">
        <f t="shared" si="155"/>
        <v>||1900|</v>
      </c>
      <c r="I4976" s="32">
        <f>IF(G4976="",0,IF(COUNTIF($G$2:G4976,G4976)=1,1,0))</f>
        <v>0</v>
      </c>
      <c r="J4976" s="32">
        <f>IF(H4976="",0,IF(COUNTIF($H$2:H4976,H4976)=1,1,0))</f>
        <v>0</v>
      </c>
    </row>
    <row r="4977" spans="1:10" ht="14.25" hidden="1" customHeight="1" x14ac:dyDescent="0.35">
      <c r="A4977" s="30"/>
      <c r="E4977" s="31"/>
      <c r="G4977" s="32" t="str">
        <f t="shared" si="154"/>
        <v>|||1900|</v>
      </c>
      <c r="H4977" s="32" t="str">
        <f t="shared" si="155"/>
        <v>||1900|</v>
      </c>
      <c r="I4977" s="32">
        <f>IF(G4977="",0,IF(COUNTIF($G$2:G4977,G4977)=1,1,0))</f>
        <v>0</v>
      </c>
      <c r="J4977" s="32">
        <f>IF(H4977="",0,IF(COUNTIF($H$2:H4977,H4977)=1,1,0))</f>
        <v>0</v>
      </c>
    </row>
    <row r="4978" spans="1:10" ht="14.25" hidden="1" customHeight="1" x14ac:dyDescent="0.35">
      <c r="A4978" s="30"/>
      <c r="E4978" s="31"/>
      <c r="G4978" s="32" t="str">
        <f t="shared" si="154"/>
        <v>|||1900|</v>
      </c>
      <c r="H4978" s="32" t="str">
        <f t="shared" si="155"/>
        <v>||1900|</v>
      </c>
      <c r="I4978" s="32">
        <f>IF(G4978="",0,IF(COUNTIF($G$2:G4978,G4978)=1,1,0))</f>
        <v>0</v>
      </c>
      <c r="J4978" s="32">
        <f>IF(H4978="",0,IF(COUNTIF($H$2:H4978,H4978)=1,1,0))</f>
        <v>0</v>
      </c>
    </row>
    <row r="4979" spans="1:10" ht="14.25" hidden="1" customHeight="1" x14ac:dyDescent="0.35">
      <c r="A4979" s="30"/>
      <c r="E4979" s="31"/>
      <c r="G4979" s="32" t="str">
        <f t="shared" si="154"/>
        <v>|||1900|</v>
      </c>
      <c r="H4979" s="32" t="str">
        <f t="shared" si="155"/>
        <v>||1900|</v>
      </c>
      <c r="I4979" s="32">
        <f>IF(G4979="",0,IF(COUNTIF($G$2:G4979,G4979)=1,1,0))</f>
        <v>0</v>
      </c>
      <c r="J4979" s="32">
        <f>IF(H4979="",0,IF(COUNTIF($H$2:H4979,H4979)=1,1,0))</f>
        <v>0</v>
      </c>
    </row>
    <row r="4980" spans="1:10" ht="14.25" hidden="1" customHeight="1" x14ac:dyDescent="0.35">
      <c r="A4980" s="30"/>
      <c r="E4980" s="31"/>
      <c r="G4980" s="32" t="str">
        <f t="shared" si="154"/>
        <v>|||1900|</v>
      </c>
      <c r="H4980" s="32" t="str">
        <f t="shared" si="155"/>
        <v>||1900|</v>
      </c>
      <c r="I4980" s="32">
        <f>IF(G4980="",0,IF(COUNTIF($G$2:G4980,G4980)=1,1,0))</f>
        <v>0</v>
      </c>
      <c r="J4980" s="32">
        <f>IF(H4980="",0,IF(COUNTIF($H$2:H4980,H4980)=1,1,0))</f>
        <v>0</v>
      </c>
    </row>
    <row r="4981" spans="1:10" ht="14.25" hidden="1" customHeight="1" x14ac:dyDescent="0.35">
      <c r="A4981" s="30"/>
      <c r="E4981" s="31"/>
      <c r="G4981" s="32" t="str">
        <f t="shared" si="154"/>
        <v>|||1900|</v>
      </c>
      <c r="H4981" s="32" t="str">
        <f t="shared" si="155"/>
        <v>||1900|</v>
      </c>
      <c r="I4981" s="32">
        <f>IF(G4981="",0,IF(COUNTIF($G$2:G4981,G4981)=1,1,0))</f>
        <v>0</v>
      </c>
      <c r="J4981" s="32">
        <f>IF(H4981="",0,IF(COUNTIF($H$2:H4981,H4981)=1,1,0))</f>
        <v>0</v>
      </c>
    </row>
    <row r="4982" spans="1:10" ht="14.25" hidden="1" customHeight="1" x14ac:dyDescent="0.35">
      <c r="A4982" s="30"/>
      <c r="E4982" s="31"/>
      <c r="G4982" s="32" t="str">
        <f t="shared" si="154"/>
        <v>|||1900|</v>
      </c>
      <c r="H4982" s="32" t="str">
        <f t="shared" si="155"/>
        <v>||1900|</v>
      </c>
      <c r="I4982" s="32">
        <f>IF(G4982="",0,IF(COUNTIF($G$2:G4982,G4982)=1,1,0))</f>
        <v>0</v>
      </c>
      <c r="J4982" s="32">
        <f>IF(H4982="",0,IF(COUNTIF($H$2:H4982,H4982)=1,1,0))</f>
        <v>0</v>
      </c>
    </row>
    <row r="4983" spans="1:10" ht="14.25" hidden="1" customHeight="1" x14ac:dyDescent="0.35">
      <c r="A4983" s="30"/>
      <c r="E4983" s="31"/>
      <c r="G4983" s="32" t="str">
        <f t="shared" si="154"/>
        <v>|||1900|</v>
      </c>
      <c r="H4983" s="32" t="str">
        <f t="shared" si="155"/>
        <v>||1900|</v>
      </c>
      <c r="I4983" s="32">
        <f>IF(G4983="",0,IF(COUNTIF($G$2:G4983,G4983)=1,1,0))</f>
        <v>0</v>
      </c>
      <c r="J4983" s="32">
        <f>IF(H4983="",0,IF(COUNTIF($H$2:H4983,H4983)=1,1,0))</f>
        <v>0</v>
      </c>
    </row>
    <row r="4984" spans="1:10" ht="14.25" hidden="1" customHeight="1" x14ac:dyDescent="0.35">
      <c r="A4984" s="30"/>
      <c r="E4984" s="31"/>
      <c r="G4984" s="32" t="str">
        <f t="shared" si="154"/>
        <v>|||1900|</v>
      </c>
      <c r="H4984" s="32" t="str">
        <f t="shared" si="155"/>
        <v>||1900|</v>
      </c>
      <c r="I4984" s="32">
        <f>IF(G4984="",0,IF(COUNTIF($G$2:G4984,G4984)=1,1,0))</f>
        <v>0</v>
      </c>
      <c r="J4984" s="32">
        <f>IF(H4984="",0,IF(COUNTIF($H$2:H4984,H4984)=1,1,0))</f>
        <v>0</v>
      </c>
    </row>
    <row r="4985" spans="1:10" ht="14.25" hidden="1" customHeight="1" x14ac:dyDescent="0.35">
      <c r="A4985" s="30"/>
      <c r="E4985" s="31"/>
      <c r="G4985" s="32" t="str">
        <f t="shared" si="154"/>
        <v>|||1900|</v>
      </c>
      <c r="H4985" s="32" t="str">
        <f t="shared" si="155"/>
        <v>||1900|</v>
      </c>
      <c r="I4985" s="32">
        <f>IF(G4985="",0,IF(COUNTIF($G$2:G4985,G4985)=1,1,0))</f>
        <v>0</v>
      </c>
      <c r="J4985" s="32">
        <f>IF(H4985="",0,IF(COUNTIF($H$2:H4985,H4985)=1,1,0))</f>
        <v>0</v>
      </c>
    </row>
    <row r="4986" spans="1:10" ht="14.25" hidden="1" customHeight="1" x14ac:dyDescent="0.35">
      <c r="A4986" s="30"/>
      <c r="E4986" s="31"/>
      <c r="G4986" s="32" t="str">
        <f t="shared" si="154"/>
        <v>|||1900|</v>
      </c>
      <c r="H4986" s="32" t="str">
        <f t="shared" si="155"/>
        <v>||1900|</v>
      </c>
      <c r="I4986" s="32">
        <f>IF(G4986="",0,IF(COUNTIF($G$2:G4986,G4986)=1,1,0))</f>
        <v>0</v>
      </c>
      <c r="J4986" s="32">
        <f>IF(H4986="",0,IF(COUNTIF($H$2:H4986,H4986)=1,1,0))</f>
        <v>0</v>
      </c>
    </row>
    <row r="4987" spans="1:10" ht="14.25" hidden="1" customHeight="1" x14ac:dyDescent="0.35">
      <c r="A4987" s="30"/>
      <c r="E4987" s="31"/>
      <c r="G4987" s="32" t="str">
        <f t="shared" si="154"/>
        <v>|||1900|</v>
      </c>
      <c r="H4987" s="32" t="str">
        <f t="shared" si="155"/>
        <v>||1900|</v>
      </c>
      <c r="I4987" s="32">
        <f>IF(G4987="",0,IF(COUNTIF($G$2:G4987,G4987)=1,1,0))</f>
        <v>0</v>
      </c>
      <c r="J4987" s="32">
        <f>IF(H4987="",0,IF(COUNTIF($H$2:H4987,H4987)=1,1,0))</f>
        <v>0</v>
      </c>
    </row>
    <row r="4988" spans="1:10" ht="14.25" hidden="1" customHeight="1" x14ac:dyDescent="0.35">
      <c r="A4988" s="30"/>
      <c r="E4988" s="31"/>
      <c r="G4988" s="32" t="str">
        <f t="shared" si="154"/>
        <v>|||1900|</v>
      </c>
      <c r="H4988" s="32" t="str">
        <f t="shared" si="155"/>
        <v>||1900|</v>
      </c>
      <c r="I4988" s="32">
        <f>IF(G4988="",0,IF(COUNTIF($G$2:G4988,G4988)=1,1,0))</f>
        <v>0</v>
      </c>
      <c r="J4988" s="32">
        <f>IF(H4988="",0,IF(COUNTIF($H$2:H4988,H4988)=1,1,0))</f>
        <v>0</v>
      </c>
    </row>
    <row r="4989" spans="1:10" ht="14.25" hidden="1" customHeight="1" x14ac:dyDescent="0.35">
      <c r="A4989" s="30"/>
      <c r="E4989" s="31"/>
      <c r="G4989" s="32" t="str">
        <f t="shared" si="154"/>
        <v>|||1900|</v>
      </c>
      <c r="H4989" s="32" t="str">
        <f t="shared" si="155"/>
        <v>||1900|</v>
      </c>
      <c r="I4989" s="32">
        <f>IF(G4989="",0,IF(COUNTIF($G$2:G4989,G4989)=1,1,0))</f>
        <v>0</v>
      </c>
      <c r="J4989" s="32">
        <f>IF(H4989="",0,IF(COUNTIF($H$2:H4989,H4989)=1,1,0))</f>
        <v>0</v>
      </c>
    </row>
    <row r="4990" spans="1:10" ht="14.25" hidden="1" customHeight="1" x14ac:dyDescent="0.35">
      <c r="A4990" s="30"/>
      <c r="E4990" s="31"/>
      <c r="G4990" s="32" t="str">
        <f t="shared" si="154"/>
        <v>|||1900|</v>
      </c>
      <c r="H4990" s="32" t="str">
        <f t="shared" si="155"/>
        <v>||1900|</v>
      </c>
      <c r="I4990" s="32">
        <f>IF(G4990="",0,IF(COUNTIF($G$2:G4990,G4990)=1,1,0))</f>
        <v>0</v>
      </c>
      <c r="J4990" s="32">
        <f>IF(H4990="",0,IF(COUNTIF($H$2:H4990,H4990)=1,1,0))</f>
        <v>0</v>
      </c>
    </row>
    <row r="4991" spans="1:10" ht="14.25" hidden="1" customHeight="1" x14ac:dyDescent="0.35">
      <c r="A4991" s="30"/>
      <c r="E4991" s="31"/>
      <c r="G4991" s="32" t="str">
        <f t="shared" si="154"/>
        <v>|||1900|</v>
      </c>
      <c r="H4991" s="32" t="str">
        <f t="shared" si="155"/>
        <v>||1900|</v>
      </c>
      <c r="I4991" s="32">
        <f>IF(G4991="",0,IF(COUNTIF($G$2:G4991,G4991)=1,1,0))</f>
        <v>0</v>
      </c>
      <c r="J4991" s="32">
        <f>IF(H4991="",0,IF(COUNTIF($H$2:H4991,H4991)=1,1,0))</f>
        <v>0</v>
      </c>
    </row>
    <row r="4992" spans="1:10" ht="14.25" hidden="1" customHeight="1" x14ac:dyDescent="0.35">
      <c r="A4992" s="30"/>
      <c r="E4992" s="31"/>
      <c r="G4992" s="32" t="str">
        <f t="shared" si="154"/>
        <v>|||1900|</v>
      </c>
      <c r="H4992" s="32" t="str">
        <f t="shared" si="155"/>
        <v>||1900|</v>
      </c>
      <c r="I4992" s="32">
        <f>IF(G4992="",0,IF(COUNTIF($G$2:G4992,G4992)=1,1,0))</f>
        <v>0</v>
      </c>
      <c r="J4992" s="32">
        <f>IF(H4992="",0,IF(COUNTIF($H$2:H4992,H4992)=1,1,0))</f>
        <v>0</v>
      </c>
    </row>
    <row r="4993" spans="1:10" ht="14.25" hidden="1" customHeight="1" x14ac:dyDescent="0.35">
      <c r="A4993" s="30"/>
      <c r="E4993" s="31"/>
      <c r="G4993" s="32" t="str">
        <f t="shared" si="154"/>
        <v>|||1900|</v>
      </c>
      <c r="H4993" s="32" t="str">
        <f t="shared" si="155"/>
        <v>||1900|</v>
      </c>
      <c r="I4993" s="32">
        <f>IF(G4993="",0,IF(COUNTIF($G$2:G4993,G4993)=1,1,0))</f>
        <v>0</v>
      </c>
      <c r="J4993" s="32">
        <f>IF(H4993="",0,IF(COUNTIF($H$2:H4993,H4993)=1,1,0))</f>
        <v>0</v>
      </c>
    </row>
    <row r="4994" spans="1:10" ht="14.25" hidden="1" customHeight="1" x14ac:dyDescent="0.35">
      <c r="A4994" s="30"/>
      <c r="E4994" s="31"/>
      <c r="G4994" s="32" t="str">
        <f t="shared" ref="G4994:G4999" si="156">IF(D4994="T",
E4994&amp;"|"&amp;F4994,
A4994&amp;"|"&amp;B4994&amp;"|"&amp;C4994&amp;"|"&amp;YEAR(E4994)&amp;"|"&amp;F4994)</f>
        <v>|||1900|</v>
      </c>
      <c r="H4994" s="32" t="str">
        <f t="shared" ref="H4994:H4999" si="157">A4994&amp;"|"&amp;C4994&amp;"|"&amp;YEAR(E4994)&amp;"|"&amp;F4994</f>
        <v>||1900|</v>
      </c>
      <c r="I4994" s="32">
        <f>IF(G4994="",0,IF(COUNTIF($G$2:G4994,G4994)=1,1,0))</f>
        <v>0</v>
      </c>
      <c r="J4994" s="32">
        <f>IF(H4994="",0,IF(COUNTIF($H$2:H4994,H4994)=1,1,0))</f>
        <v>0</v>
      </c>
    </row>
    <row r="4995" spans="1:10" ht="14.25" hidden="1" customHeight="1" x14ac:dyDescent="0.35">
      <c r="A4995" s="30"/>
      <c r="E4995" s="31"/>
      <c r="G4995" s="32" t="str">
        <f t="shared" si="156"/>
        <v>|||1900|</v>
      </c>
      <c r="H4995" s="32" t="str">
        <f t="shared" si="157"/>
        <v>||1900|</v>
      </c>
      <c r="I4995" s="32">
        <f>IF(G4995="",0,IF(COUNTIF($G$2:G4995,G4995)=1,1,0))</f>
        <v>0</v>
      </c>
      <c r="J4995" s="32">
        <f>IF(H4995="",0,IF(COUNTIF($H$2:H4995,H4995)=1,1,0))</f>
        <v>0</v>
      </c>
    </row>
    <row r="4996" spans="1:10" ht="14.25" hidden="1" customHeight="1" x14ac:dyDescent="0.35">
      <c r="A4996" s="30"/>
      <c r="E4996" s="31"/>
      <c r="G4996" s="32" t="str">
        <f t="shared" si="156"/>
        <v>|||1900|</v>
      </c>
      <c r="H4996" s="32" t="str">
        <f t="shared" si="157"/>
        <v>||1900|</v>
      </c>
      <c r="I4996" s="32">
        <f>IF(G4996="",0,IF(COUNTIF($G$2:G4996,G4996)=1,1,0))</f>
        <v>0</v>
      </c>
      <c r="J4996" s="32">
        <f>IF(H4996="",0,IF(COUNTIF($H$2:H4996,H4996)=1,1,0))</f>
        <v>0</v>
      </c>
    </row>
    <row r="4997" spans="1:10" ht="14.25" hidden="1" customHeight="1" x14ac:dyDescent="0.35">
      <c r="A4997" s="30"/>
      <c r="E4997" s="31"/>
      <c r="G4997" s="32" t="str">
        <f t="shared" si="156"/>
        <v>|||1900|</v>
      </c>
      <c r="H4997" s="32" t="str">
        <f t="shared" si="157"/>
        <v>||1900|</v>
      </c>
      <c r="I4997" s="32">
        <f>IF(G4997="",0,IF(COUNTIF($G$2:G4997,G4997)=1,1,0))</f>
        <v>0</v>
      </c>
      <c r="J4997" s="32">
        <f>IF(H4997="",0,IF(COUNTIF($H$2:H4997,H4997)=1,1,0))</f>
        <v>0</v>
      </c>
    </row>
    <row r="4998" spans="1:10" ht="14.25" hidden="1" customHeight="1" x14ac:dyDescent="0.35">
      <c r="A4998" s="30"/>
      <c r="E4998" s="31"/>
      <c r="G4998" s="32" t="str">
        <f t="shared" si="156"/>
        <v>|||1900|</v>
      </c>
      <c r="H4998" s="32" t="str">
        <f t="shared" si="157"/>
        <v>||1900|</v>
      </c>
      <c r="I4998" s="32">
        <f>IF(G4998="",0,IF(COUNTIF($G$2:G4998,G4998)=1,1,0))</f>
        <v>0</v>
      </c>
      <c r="J4998" s="32">
        <f>IF(H4998="",0,IF(COUNTIF($H$2:H4998,H4998)=1,1,0))</f>
        <v>0</v>
      </c>
    </row>
    <row r="4999" spans="1:10" ht="14.25" hidden="1" customHeight="1" x14ac:dyDescent="0.35">
      <c r="A4999" s="30"/>
      <c r="E4999" s="31"/>
      <c r="G4999" s="32" t="str">
        <f t="shared" si="156"/>
        <v>|||1900|</v>
      </c>
      <c r="H4999" s="32" t="str">
        <f t="shared" si="157"/>
        <v>||1900|</v>
      </c>
      <c r="I4999" s="32">
        <f>IF(G4999="",0,IF(COUNTIF($G$2:G4999,G4999)=1,1,0))</f>
        <v>0</v>
      </c>
      <c r="J4999" s="32">
        <f>IF(H4999="",0,IF(COUNTIF($H$2:H4999,H4999)=1,1,0))</f>
        <v>0</v>
      </c>
    </row>
  </sheetData>
  <autoFilter ref="A1:J4999" xr:uid="{00000000-0009-0000-0000-000004000000}">
    <filterColumn colId="0">
      <filters>
        <filter val="1° COPA TRAP BASE ARMALITE"/>
        <filter val="Campeonato Nacional de Tiro Desportivo"/>
        <filter val="NACIONAL LIGHT"/>
        <filter val="Paulista e Nacional Light 2026"/>
        <filter val="Short Range"/>
      </filters>
    </filterColumn>
    <filterColumn colId="4">
      <filters>
        <dateGroupItem year="2026" dateTimeGrouping="year"/>
      </filters>
    </filterColumn>
    <filterColumn colId="5">
      <filters>
        <filter val="ALLP"/>
      </filters>
    </filterColumn>
  </autoFilter>
  <conditionalFormatting sqref="A2:F4999">
    <cfRule type="expression" dxfId="0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192"/>
  <sheetViews>
    <sheetView zoomScaleNormal="100" workbookViewId="0">
      <selection activeCell="D47" sqref="D47"/>
    </sheetView>
  </sheetViews>
  <sheetFormatPr defaultColWidth="14.453125" defaultRowHeight="14.5" x14ac:dyDescent="0.35"/>
  <cols>
    <col min="1" max="1" width="75" customWidth="1"/>
    <col min="2" max="4" width="8.7265625" customWidth="1"/>
    <col min="5" max="5" width="9.81640625" customWidth="1"/>
    <col min="6" max="6" width="8.7265625" customWidth="1"/>
    <col min="7" max="7" width="5.26953125" customWidth="1"/>
    <col min="8" max="8" width="14.7265625" customWidth="1"/>
    <col min="9" max="10" width="11.453125" customWidth="1"/>
    <col min="11" max="11" width="8.7265625" customWidth="1"/>
    <col min="12" max="12" width="10.7265625" customWidth="1"/>
    <col min="13" max="13" width="5.54296875" customWidth="1"/>
    <col min="14" max="14" width="34" customWidth="1"/>
    <col min="15" max="15" width="28.54296875" customWidth="1"/>
    <col min="16" max="16" width="5.26953125" customWidth="1"/>
    <col min="17" max="17" width="142.08984375" customWidth="1"/>
    <col min="18" max="18" width="12.54296875" customWidth="1"/>
    <col min="19" max="19" width="5.7265625" customWidth="1"/>
    <col min="20" max="26" width="8.7265625" customWidth="1"/>
  </cols>
  <sheetData>
    <row r="1" spans="1:19" ht="14.25" customHeight="1" x14ac:dyDescent="0.35">
      <c r="A1" s="35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99</v>
      </c>
      <c r="G1" s="37"/>
      <c r="H1" s="28" t="s">
        <v>143</v>
      </c>
      <c r="I1" s="28" t="s">
        <v>2</v>
      </c>
      <c r="L1" s="38" t="s">
        <v>98</v>
      </c>
      <c r="M1" s="38" t="s">
        <v>144</v>
      </c>
      <c r="N1" s="38" t="s">
        <v>145</v>
      </c>
      <c r="O1" s="38" t="s">
        <v>146</v>
      </c>
      <c r="P1" s="38" t="s">
        <v>147</v>
      </c>
      <c r="Q1" s="38" t="s">
        <v>148</v>
      </c>
      <c r="R1" s="38" t="s">
        <v>149</v>
      </c>
      <c r="S1" s="38" t="s">
        <v>150</v>
      </c>
    </row>
    <row r="2" spans="1:19" ht="14.25" customHeight="1" x14ac:dyDescent="0.35">
      <c r="A2" t="str">
        <f t="array" ref="A2">EXTRACTEVENT(Q2,S2)</f>
        <v>Paulista e Nacional Light 2026</v>
      </c>
      <c r="B2" t="str">
        <f t="shared" ref="B2:B65" si="0">+EXTRACTETAPANUM(Q2)</f>
        <v>7</v>
      </c>
      <c r="C2" t="str">
        <f>+VLOOKUP(R2,Maps!$A:$C,2,0)</f>
        <v>FPTE</v>
      </c>
      <c r="D2" t="str">
        <f t="shared" ref="D2:D65" si="1">+DEFINEAMBITO(Q2,C2)</f>
        <v>E</v>
      </c>
      <c r="E2" s="39">
        <f t="shared" ref="E2:E65" si="2">DATEVALUE(L2)</f>
        <v>46207</v>
      </c>
      <c r="F2" s="7" t="str">
        <f t="array" ref="F2">+TIPOARMA(H2,I2)</f>
        <v>ALLP</v>
      </c>
      <c r="H2" t="str">
        <f t="array" ref="H2">+ARMASTD(N2)</f>
        <v>Espingarda</v>
      </c>
      <c r="I2" t="str">
        <f t="array" ref="I2">+CALIBRESTD(O2)</f>
        <v>Cal 12</v>
      </c>
      <c r="L2" t="s">
        <v>151</v>
      </c>
      <c r="M2" t="s">
        <v>152</v>
      </c>
      <c r="N2" t="s">
        <v>153</v>
      </c>
      <c r="O2" t="s">
        <v>154</v>
      </c>
      <c r="P2" s="40">
        <v>5</v>
      </c>
      <c r="Q2" t="s">
        <v>155</v>
      </c>
      <c r="R2" t="s">
        <v>156</v>
      </c>
    </row>
    <row r="3" spans="1:19" ht="14.25" customHeight="1" x14ac:dyDescent="0.35">
      <c r="A3" s="41" t="str">
        <f t="array" ref="A3">EXTRACTEVENT(Q3,S3)</f>
        <v>Paulista e Nacional Light 2026</v>
      </c>
      <c r="B3" s="41" t="str">
        <f t="shared" si="0"/>
        <v>7</v>
      </c>
      <c r="C3" s="41" t="str">
        <f>+VLOOKUP(R3,Maps!$A:$C,2,0)</f>
        <v>FPTE</v>
      </c>
      <c r="D3" s="41" t="str">
        <f t="shared" si="1"/>
        <v>E</v>
      </c>
      <c r="E3" s="42">
        <f t="shared" si="2"/>
        <v>46207</v>
      </c>
      <c r="F3" s="43" t="str">
        <f t="array" ref="F3">+TIPOARMA(H3,I3)</f>
        <v>ACRR</v>
      </c>
      <c r="G3" s="41"/>
      <c r="H3" s="41" t="str">
        <f t="array" ref="H3">+ARMASTD(N3)</f>
        <v>Pistola</v>
      </c>
      <c r="I3" s="41" t="str">
        <f t="array" ref="I3">+CALIBRESTD(O3)</f>
        <v>9mm</v>
      </c>
      <c r="L3" t="s">
        <v>151</v>
      </c>
      <c r="M3" t="s">
        <v>152</v>
      </c>
      <c r="N3" t="s">
        <v>157</v>
      </c>
      <c r="O3" t="s">
        <v>158</v>
      </c>
      <c r="P3" s="40">
        <v>5</v>
      </c>
      <c r="Q3" t="s">
        <v>159</v>
      </c>
      <c r="R3" t="s">
        <v>156</v>
      </c>
    </row>
    <row r="4" spans="1:19" ht="14.25" customHeight="1" x14ac:dyDescent="0.35">
      <c r="A4" t="str">
        <f t="array" ref="A4">EXTRACTEVENT(Q4,S4)</f>
        <v>Paulista e Nacional Light 2026</v>
      </c>
      <c r="B4" t="str">
        <f t="shared" si="0"/>
        <v>7</v>
      </c>
      <c r="C4" t="str">
        <f>+VLOOKUP(R4,Maps!$A:$C,2,0)</f>
        <v>FPTE</v>
      </c>
      <c r="D4" t="str">
        <f t="shared" si="1"/>
        <v>E</v>
      </c>
      <c r="E4" s="39">
        <f t="shared" si="2"/>
        <v>46207</v>
      </c>
      <c r="F4" s="7" t="str">
        <f t="array" ref="F4">+TIPOARMA(H4,I4)</f>
        <v>ACRP</v>
      </c>
      <c r="H4" t="str">
        <f t="array" ref="H4">+ARMASTD(N4)</f>
        <v>Pistola</v>
      </c>
      <c r="I4" t="str">
        <f t="array" ref="I4">+CALIBRESTD(O4)</f>
        <v>.380 ACP</v>
      </c>
      <c r="L4" t="s">
        <v>151</v>
      </c>
      <c r="M4" t="s">
        <v>152</v>
      </c>
      <c r="N4" t="s">
        <v>160</v>
      </c>
      <c r="O4" t="s">
        <v>161</v>
      </c>
      <c r="P4" s="40">
        <v>5</v>
      </c>
      <c r="Q4" t="s">
        <v>159</v>
      </c>
      <c r="R4" t="s">
        <v>156</v>
      </c>
    </row>
    <row r="5" spans="1:19" ht="14.25" customHeight="1" x14ac:dyDescent="0.35">
      <c r="A5" s="41" t="str">
        <f t="array" ref="A5">EXTRACTEVENT(Q5,S5)</f>
        <v>Paulista e Nacional Light 2026</v>
      </c>
      <c r="B5" s="41" t="str">
        <f t="shared" si="0"/>
        <v>7</v>
      </c>
      <c r="C5" s="41" t="str">
        <f>+VLOOKUP(R5,Maps!$A:$C,2,0)</f>
        <v>FPTE</v>
      </c>
      <c r="D5" s="41" t="str">
        <f t="shared" si="1"/>
        <v>E</v>
      </c>
      <c r="E5" s="42">
        <f t="shared" si="2"/>
        <v>46207</v>
      </c>
      <c r="F5" s="43" t="str">
        <f t="array" ref="F5">+TIPOARMA(H5,I5)</f>
        <v>ALRP</v>
      </c>
      <c r="G5" s="41"/>
      <c r="H5" s="41" t="str">
        <f t="array" ref="H5">+ARMASTD(N5)</f>
        <v>Carabina/Fuzil</v>
      </c>
      <c r="I5" s="41" t="str">
        <f t="array" ref="I5">+CALIBRESTD(O5)</f>
        <v>.357 Mag</v>
      </c>
      <c r="L5" t="s">
        <v>151</v>
      </c>
      <c r="M5" t="s">
        <v>152</v>
      </c>
      <c r="N5" t="s">
        <v>162</v>
      </c>
      <c r="O5" t="s">
        <v>163</v>
      </c>
      <c r="P5" s="40">
        <v>5</v>
      </c>
      <c r="Q5" t="s">
        <v>164</v>
      </c>
      <c r="R5" t="s">
        <v>156</v>
      </c>
    </row>
    <row r="6" spans="1:19" ht="14.25" customHeight="1" x14ac:dyDescent="0.35">
      <c r="A6" t="str">
        <f t="array" ref="A6">EXTRACTEVENT(Q6,S6)</f>
        <v>Paulista e Nacional Light 2026</v>
      </c>
      <c r="B6" t="str">
        <f t="shared" si="0"/>
        <v>7</v>
      </c>
      <c r="C6" t="str">
        <f>+VLOOKUP(R6,Maps!$A:$C,2,0)</f>
        <v>FPTE</v>
      </c>
      <c r="D6" t="str">
        <f t="shared" si="1"/>
        <v>E</v>
      </c>
      <c r="E6" s="39">
        <f t="shared" si="2"/>
        <v>46207</v>
      </c>
      <c r="F6" s="7" t="str">
        <f t="array" ref="F6">+TIPOARMA(H6,I6)</f>
        <v>ALRR</v>
      </c>
      <c r="H6" t="str">
        <f t="array" ref="H6">+ARMASTD(N6)</f>
        <v>Carabina/Fuzil</v>
      </c>
      <c r="I6" t="str">
        <f t="array" ref="I6">+CALIBRESTD(O6)</f>
        <v>5.56MM</v>
      </c>
      <c r="L6" t="s">
        <v>151</v>
      </c>
      <c r="M6" t="s">
        <v>152</v>
      </c>
      <c r="N6" t="s">
        <v>165</v>
      </c>
      <c r="O6" t="s">
        <v>166</v>
      </c>
      <c r="P6" s="40">
        <v>5</v>
      </c>
      <c r="Q6" t="s">
        <v>167</v>
      </c>
      <c r="R6" t="s">
        <v>156</v>
      </c>
    </row>
    <row r="7" spans="1:19" ht="14.25" customHeight="1" x14ac:dyDescent="0.35">
      <c r="A7" s="41" t="str">
        <f t="array" ref="A7">EXTRACTEVENT(Q7,S7)</f>
        <v>Paulista e Nacional Light 2026</v>
      </c>
      <c r="B7" s="41" t="str">
        <f t="shared" si="0"/>
        <v>5</v>
      </c>
      <c r="C7" s="41" t="str">
        <f>+VLOOKUP(R7,Maps!$A:$C,2,0)</f>
        <v>FPTE</v>
      </c>
      <c r="D7" s="41" t="str">
        <f t="shared" si="1"/>
        <v>E</v>
      </c>
      <c r="E7" s="42">
        <f t="shared" si="2"/>
        <v>46163</v>
      </c>
      <c r="F7" s="43" t="str">
        <f t="array" ref="F7">+TIPOARMA(H7,I7)</f>
        <v>ALLP</v>
      </c>
      <c r="G7" s="41"/>
      <c r="H7" s="41" t="str">
        <f t="array" ref="H7">+ARMASTD(N7)</f>
        <v>Espingarda</v>
      </c>
      <c r="I7" s="41" t="str">
        <f t="array" ref="I7">+CALIBRESTD(O7)</f>
        <v>Cal 12</v>
      </c>
      <c r="L7" t="s">
        <v>168</v>
      </c>
      <c r="N7" t="s">
        <v>153</v>
      </c>
      <c r="O7" t="s">
        <v>154</v>
      </c>
      <c r="P7" s="40">
        <v>5</v>
      </c>
      <c r="Q7" t="s">
        <v>169</v>
      </c>
      <c r="R7" t="s">
        <v>170</v>
      </c>
    </row>
    <row r="8" spans="1:19" ht="14.25" customHeight="1" x14ac:dyDescent="0.35">
      <c r="A8" t="str">
        <f t="array" ref="A8">EXTRACTEVENT(Q8,S8)</f>
        <v>Paulista e Nacional Light 2026</v>
      </c>
      <c r="B8" t="str">
        <f t="shared" si="0"/>
        <v>5</v>
      </c>
      <c r="C8" t="str">
        <f>+VLOOKUP(R8,Maps!$A:$C,2,0)</f>
        <v>FPTE</v>
      </c>
      <c r="D8" t="str">
        <f t="shared" si="1"/>
        <v>E</v>
      </c>
      <c r="E8" s="39">
        <f t="shared" si="2"/>
        <v>46163</v>
      </c>
      <c r="F8" s="7" t="str">
        <f t="array" ref="F8">+TIPOARMA(H8,I8)</f>
        <v>ACRR</v>
      </c>
      <c r="H8" t="str">
        <f t="array" ref="H8">+ARMASTD(N8)</f>
        <v>Pistola</v>
      </c>
      <c r="I8" t="str">
        <f t="array" ref="I8">+CALIBRESTD(O8)</f>
        <v>9mm</v>
      </c>
      <c r="L8" t="s">
        <v>168</v>
      </c>
      <c r="N8" t="s">
        <v>157</v>
      </c>
      <c r="O8" t="s">
        <v>158</v>
      </c>
      <c r="P8" s="40">
        <v>5</v>
      </c>
      <c r="Q8" t="s">
        <v>171</v>
      </c>
      <c r="R8" t="s">
        <v>170</v>
      </c>
    </row>
    <row r="9" spans="1:19" ht="14.25" customHeight="1" x14ac:dyDescent="0.35">
      <c r="A9" s="41" t="str">
        <f t="array" ref="A9">EXTRACTEVENT(Q9,S9)</f>
        <v>Paulista e Nacional Light 2026</v>
      </c>
      <c r="B9" s="41" t="str">
        <f t="shared" si="0"/>
        <v>5</v>
      </c>
      <c r="C9" s="41" t="str">
        <f>+VLOOKUP(R9,Maps!$A:$C,2,0)</f>
        <v>FPTE</v>
      </c>
      <c r="D9" s="41" t="str">
        <f t="shared" si="1"/>
        <v>E</v>
      </c>
      <c r="E9" s="42">
        <f t="shared" si="2"/>
        <v>46163</v>
      </c>
      <c r="F9" s="43" t="str">
        <f t="array" ref="F9">+TIPOARMA(H9,I9)</f>
        <v>ACRP</v>
      </c>
      <c r="G9" s="41"/>
      <c r="H9" s="41" t="str">
        <f t="array" ref="H9">+ARMASTD(N9)</f>
        <v>Pistola</v>
      </c>
      <c r="I9" s="41" t="str">
        <f t="array" ref="I9">+CALIBRESTD(O9)</f>
        <v>.380 ACP</v>
      </c>
      <c r="L9" t="s">
        <v>168</v>
      </c>
      <c r="N9" t="s">
        <v>160</v>
      </c>
      <c r="O9" t="s">
        <v>161</v>
      </c>
      <c r="P9" s="40">
        <v>5</v>
      </c>
      <c r="Q9" t="s">
        <v>171</v>
      </c>
      <c r="R9" t="s">
        <v>170</v>
      </c>
    </row>
    <row r="10" spans="1:19" ht="14.25" customHeight="1" x14ac:dyDescent="0.35">
      <c r="A10" t="str">
        <f t="array" ref="A10">EXTRACTEVENT(Q10,S10)</f>
        <v>Paulista e Nacional Light 2026</v>
      </c>
      <c r="B10" t="str">
        <f t="shared" si="0"/>
        <v>5</v>
      </c>
      <c r="C10" t="str">
        <f>+VLOOKUP(R10,Maps!$A:$C,2,0)</f>
        <v>FPTE</v>
      </c>
      <c r="D10" t="str">
        <f t="shared" si="1"/>
        <v>E</v>
      </c>
      <c r="E10" s="39">
        <f t="shared" si="2"/>
        <v>46163</v>
      </c>
      <c r="F10" s="7" t="str">
        <f t="array" ref="F10">+TIPOARMA(H10,I10)</f>
        <v>ALRP</v>
      </c>
      <c r="H10" t="str">
        <f t="array" ref="H10">+ARMASTD(N10)</f>
        <v>Carabina/Fuzil</v>
      </c>
      <c r="I10" t="str">
        <f t="array" ref="I10">+CALIBRESTD(O10)</f>
        <v>.357 Mag</v>
      </c>
      <c r="L10" t="s">
        <v>168</v>
      </c>
      <c r="N10" t="s">
        <v>162</v>
      </c>
      <c r="O10" t="s">
        <v>163</v>
      </c>
      <c r="P10" s="40">
        <v>5</v>
      </c>
      <c r="Q10" t="s">
        <v>172</v>
      </c>
      <c r="R10" t="s">
        <v>170</v>
      </c>
    </row>
    <row r="11" spans="1:19" ht="14.25" customHeight="1" x14ac:dyDescent="0.35">
      <c r="A11" s="41" t="str">
        <f t="array" ref="A11">EXTRACTEVENT(Q11,S11)</f>
        <v>Paulista e Nacional Light 2026</v>
      </c>
      <c r="B11" s="41" t="str">
        <f t="shared" si="0"/>
        <v>5</v>
      </c>
      <c r="C11" s="41" t="str">
        <f>+VLOOKUP(R11,Maps!$A:$C,2,0)</f>
        <v>FPTE</v>
      </c>
      <c r="D11" s="41" t="str">
        <f t="shared" si="1"/>
        <v>E</v>
      </c>
      <c r="E11" s="42">
        <f t="shared" si="2"/>
        <v>46163</v>
      </c>
      <c r="F11" s="43" t="str">
        <f t="array" ref="F11">+TIPOARMA(H11,I11)</f>
        <v>ALRR</v>
      </c>
      <c r="G11" s="41"/>
      <c r="H11" s="41" t="str">
        <f t="array" ref="H11">+ARMASTD(N11)</f>
        <v>Carabina/Fuzil</v>
      </c>
      <c r="I11" s="41" t="str">
        <f t="array" ref="I11">+CALIBRESTD(O11)</f>
        <v>5.56MM</v>
      </c>
      <c r="L11" t="s">
        <v>168</v>
      </c>
      <c r="N11" t="s">
        <v>165</v>
      </c>
      <c r="O11" t="s">
        <v>166</v>
      </c>
      <c r="P11" s="40">
        <v>5</v>
      </c>
      <c r="Q11" t="s">
        <v>173</v>
      </c>
      <c r="R11" t="s">
        <v>170</v>
      </c>
    </row>
    <row r="12" spans="1:19" ht="14.25" customHeight="1" x14ac:dyDescent="0.35">
      <c r="A12" t="str">
        <f t="array" ref="A12">EXTRACTEVENT(Q12,S12)</f>
        <v>Paulista e Nacional Light 2026</v>
      </c>
      <c r="B12" t="str">
        <f t="shared" si="0"/>
        <v>3</v>
      </c>
      <c r="C12" t="str">
        <f>+VLOOKUP(R12,Maps!$A:$C,2,0)</f>
        <v>FPTE</v>
      </c>
      <c r="D12" t="str">
        <f t="shared" si="1"/>
        <v>E</v>
      </c>
      <c r="E12" s="39">
        <f t="shared" si="2"/>
        <v>46087</v>
      </c>
      <c r="F12" s="7" t="str">
        <f t="array" ref="F12">+TIPOARMA(H12,I12)</f>
        <v>ALRR</v>
      </c>
      <c r="H12" t="str">
        <f t="array" ref="H12">+ARMASTD(N12)</f>
        <v>Carabina/Fuzil</v>
      </c>
      <c r="I12" t="str">
        <f t="array" ref="I12">+CALIBRESTD(O12)</f>
        <v>5.56MM</v>
      </c>
      <c r="L12" t="s">
        <v>174</v>
      </c>
      <c r="M12" t="s">
        <v>175</v>
      </c>
      <c r="N12" t="s">
        <v>165</v>
      </c>
      <c r="O12" t="s">
        <v>176</v>
      </c>
      <c r="P12" s="40">
        <v>5</v>
      </c>
      <c r="Q12" t="s">
        <v>177</v>
      </c>
      <c r="R12" t="s">
        <v>156</v>
      </c>
    </row>
    <row r="13" spans="1:19" ht="14.25" customHeight="1" x14ac:dyDescent="0.35">
      <c r="A13" s="41" t="str">
        <f t="array" ref="A13">EXTRACTEVENT(Q13,S13)</f>
        <v>Paulista e Nacional Light 2026</v>
      </c>
      <c r="B13" s="41" t="str">
        <f t="shared" si="0"/>
        <v>3</v>
      </c>
      <c r="C13" s="41" t="str">
        <f>+VLOOKUP(R13,Maps!$A:$C,2,0)</f>
        <v>FPTE</v>
      </c>
      <c r="D13" s="41" t="str">
        <f t="shared" si="1"/>
        <v>E</v>
      </c>
      <c r="E13" s="42">
        <f t="shared" si="2"/>
        <v>46087</v>
      </c>
      <c r="F13" s="43" t="str">
        <f t="array" ref="F13">+TIPOARMA(H13,I13)</f>
        <v>ALRP</v>
      </c>
      <c r="G13" s="41"/>
      <c r="H13" s="41" t="str">
        <f t="array" ref="H13">+ARMASTD(N13)</f>
        <v>Carabina/Fuzil</v>
      </c>
      <c r="I13" s="41" t="str">
        <f t="array" ref="I13">+CALIBRESTD(O13)</f>
        <v>.357 Mag</v>
      </c>
      <c r="L13" t="s">
        <v>174</v>
      </c>
      <c r="M13" t="s">
        <v>178</v>
      </c>
      <c r="N13" t="s">
        <v>162</v>
      </c>
      <c r="O13" t="s">
        <v>179</v>
      </c>
      <c r="P13" s="40">
        <v>5</v>
      </c>
      <c r="Q13" t="s">
        <v>180</v>
      </c>
      <c r="R13" t="s">
        <v>156</v>
      </c>
    </row>
    <row r="14" spans="1:19" ht="14.25" customHeight="1" x14ac:dyDescent="0.35">
      <c r="A14" t="str">
        <f t="array" ref="A14">EXTRACTEVENT(Q14,S14)</f>
        <v>Paulista e Nacional Light 2026</v>
      </c>
      <c r="B14" t="str">
        <f t="shared" si="0"/>
        <v>3</v>
      </c>
      <c r="C14" t="str">
        <f>+VLOOKUP(R14,Maps!$A:$C,2,0)</f>
        <v>FPTE</v>
      </c>
      <c r="D14" t="str">
        <f t="shared" si="1"/>
        <v>E</v>
      </c>
      <c r="E14" s="39">
        <f t="shared" si="2"/>
        <v>46087</v>
      </c>
      <c r="F14" s="7" t="str">
        <f t="array" ref="F14">+TIPOARMA(H14,I14)</f>
        <v>ACRP</v>
      </c>
      <c r="H14" t="str">
        <f t="array" ref="H14">+ARMASTD(N14)</f>
        <v>Pistola</v>
      </c>
      <c r="I14" t="str">
        <f t="array" ref="I14">+CALIBRESTD(O14)</f>
        <v>.380 ACP</v>
      </c>
      <c r="L14" t="s">
        <v>174</v>
      </c>
      <c r="M14" t="s">
        <v>181</v>
      </c>
      <c r="N14" t="s">
        <v>160</v>
      </c>
      <c r="O14" t="s">
        <v>182</v>
      </c>
      <c r="P14" s="40">
        <v>5</v>
      </c>
      <c r="Q14" t="s">
        <v>183</v>
      </c>
      <c r="R14" t="s">
        <v>156</v>
      </c>
    </row>
    <row r="15" spans="1:19" ht="14.25" customHeight="1" x14ac:dyDescent="0.35">
      <c r="A15" s="41" t="str">
        <f t="array" ref="A15">EXTRACTEVENT(Q15,S15)</f>
        <v>Paulista e Nacional Light 2026</v>
      </c>
      <c r="B15" s="41" t="str">
        <f t="shared" si="0"/>
        <v>3</v>
      </c>
      <c r="C15" s="41" t="str">
        <f>+VLOOKUP(R15,Maps!$A:$C,2,0)</f>
        <v>FPTE</v>
      </c>
      <c r="D15" s="41" t="str">
        <f t="shared" si="1"/>
        <v>E</v>
      </c>
      <c r="E15" s="42">
        <f t="shared" si="2"/>
        <v>46087</v>
      </c>
      <c r="F15" s="43" t="str">
        <f t="array" ref="F15">+TIPOARMA(H15,I15)</f>
        <v>ACRR</v>
      </c>
      <c r="G15" s="41"/>
      <c r="H15" s="41" t="str">
        <f t="array" ref="H15">+ARMASTD(N15)</f>
        <v>Pistola</v>
      </c>
      <c r="I15" s="41" t="str">
        <f t="array" ref="I15">+CALIBRESTD(O15)</f>
        <v>.45 ACP</v>
      </c>
      <c r="L15" t="s">
        <v>174</v>
      </c>
      <c r="M15" t="s">
        <v>181</v>
      </c>
      <c r="N15" t="s">
        <v>184</v>
      </c>
      <c r="O15" t="s">
        <v>185</v>
      </c>
      <c r="P15" s="40">
        <v>5</v>
      </c>
      <c r="Q15" t="s">
        <v>183</v>
      </c>
      <c r="R15" t="s">
        <v>156</v>
      </c>
    </row>
    <row r="16" spans="1:19" ht="14.25" customHeight="1" x14ac:dyDescent="0.35">
      <c r="A16" t="str">
        <f t="array" ref="A16">EXTRACTEVENT(Q16,S16)</f>
        <v>Paulista e Nacional Light 2026</v>
      </c>
      <c r="B16" t="str">
        <f t="shared" si="0"/>
        <v>2</v>
      </c>
      <c r="C16" t="str">
        <f>+VLOOKUP(R16,Maps!$A:$C,2,0)</f>
        <v>FPTE</v>
      </c>
      <c r="D16" t="str">
        <f t="shared" si="1"/>
        <v>E</v>
      </c>
      <c r="E16" s="39">
        <f t="shared" si="2"/>
        <v>46078</v>
      </c>
      <c r="F16" s="7" t="str">
        <f t="array" ref="F16">+TIPOARMA(H16,I16)</f>
        <v>ACRR</v>
      </c>
      <c r="H16" t="str">
        <f t="array" ref="H16">+ARMASTD(N16)</f>
        <v>Pistola</v>
      </c>
      <c r="I16" t="str">
        <f t="array" ref="I16">+CALIBRESTD(O16)</f>
        <v>9mm</v>
      </c>
      <c r="L16" t="s">
        <v>186</v>
      </c>
      <c r="N16" t="s">
        <v>157</v>
      </c>
      <c r="O16" t="s">
        <v>187</v>
      </c>
      <c r="P16" s="40">
        <v>5</v>
      </c>
      <c r="Q16" t="s">
        <v>188</v>
      </c>
      <c r="R16" t="s">
        <v>170</v>
      </c>
    </row>
    <row r="17" spans="1:18" ht="14.25" customHeight="1" x14ac:dyDescent="0.35">
      <c r="A17" s="41" t="str">
        <f t="array" ref="A17">EXTRACTEVENT(Q17,S17)</f>
        <v>Paulista e Nacional Light 2026</v>
      </c>
      <c r="B17" s="41" t="str">
        <f t="shared" si="0"/>
        <v>2</v>
      </c>
      <c r="C17" s="41" t="str">
        <f>+VLOOKUP(R17,Maps!$A:$C,2,0)</f>
        <v>FPTE</v>
      </c>
      <c r="D17" s="41" t="str">
        <f t="shared" si="1"/>
        <v>E</v>
      </c>
      <c r="E17" s="42">
        <f t="shared" si="2"/>
        <v>46078</v>
      </c>
      <c r="F17" s="43" t="str">
        <f t="array" ref="F17">+TIPOARMA(H17,I17)</f>
        <v>ACRP</v>
      </c>
      <c r="G17" s="41"/>
      <c r="H17" s="41" t="str">
        <f t="array" ref="H17">+ARMASTD(N17)</f>
        <v>Pistola</v>
      </c>
      <c r="I17" s="41" t="str">
        <f t="array" ref="I17">+CALIBRESTD(O17)</f>
        <v>.380 ACP</v>
      </c>
      <c r="L17" t="s">
        <v>186</v>
      </c>
      <c r="N17" t="s">
        <v>160</v>
      </c>
      <c r="O17" t="s">
        <v>182</v>
      </c>
      <c r="P17" s="40">
        <v>5</v>
      </c>
      <c r="Q17" t="s">
        <v>188</v>
      </c>
      <c r="R17" t="s">
        <v>170</v>
      </c>
    </row>
    <row r="18" spans="1:18" ht="14.25" customHeight="1" x14ac:dyDescent="0.35">
      <c r="A18" t="str">
        <f t="array" ref="A18">EXTRACTEVENT(Q18,S18)</f>
        <v>Paulista e Nacional Light 2026</v>
      </c>
      <c r="B18" t="str">
        <f t="shared" si="0"/>
        <v>2</v>
      </c>
      <c r="C18" t="str">
        <f>+VLOOKUP(R18,Maps!$A:$C,2,0)</f>
        <v>FPTE</v>
      </c>
      <c r="D18" t="str">
        <f t="shared" si="1"/>
        <v>E</v>
      </c>
      <c r="E18" s="39">
        <f t="shared" si="2"/>
        <v>46078</v>
      </c>
      <c r="F18" s="7" t="str">
        <f t="array" ref="F18">+TIPOARMA(H18,I18)</f>
        <v>ALRP</v>
      </c>
      <c r="H18" t="str">
        <f t="array" ref="H18">+ARMASTD(N18)</f>
        <v>Carabina/Fuzil</v>
      </c>
      <c r="I18" t="str">
        <f t="array" ref="I18">+CALIBRESTD(O18)</f>
        <v>.357 Mag</v>
      </c>
      <c r="L18" t="s">
        <v>186</v>
      </c>
      <c r="N18" t="s">
        <v>162</v>
      </c>
      <c r="O18" t="s">
        <v>179</v>
      </c>
      <c r="P18" s="40">
        <v>5</v>
      </c>
      <c r="Q18" t="s">
        <v>189</v>
      </c>
      <c r="R18" t="s">
        <v>170</v>
      </c>
    </row>
    <row r="19" spans="1:18" ht="14.25" customHeight="1" x14ac:dyDescent="0.35">
      <c r="A19" s="41" t="str">
        <f t="array" ref="A19">EXTRACTEVENT(Q19,S19)</f>
        <v>Paulista e Nacional Light 2026</v>
      </c>
      <c r="B19" s="41" t="str">
        <f t="shared" si="0"/>
        <v>2</v>
      </c>
      <c r="C19" s="41" t="str">
        <f>+VLOOKUP(R19,Maps!$A:$C,2,0)</f>
        <v>FPTE</v>
      </c>
      <c r="D19" s="41" t="str">
        <f t="shared" si="1"/>
        <v>E</v>
      </c>
      <c r="E19" s="42">
        <f t="shared" si="2"/>
        <v>46078</v>
      </c>
      <c r="F19" s="43" t="str">
        <f t="array" ref="F19">+TIPOARMA(H19,I19)</f>
        <v>ALRR</v>
      </c>
      <c r="G19" s="41"/>
      <c r="H19" s="41" t="str">
        <f t="array" ref="H19">+ARMASTD(N19)</f>
        <v>Carabina/Fuzil</v>
      </c>
      <c r="I19" s="41" t="str">
        <f t="array" ref="I19">+CALIBRESTD(O19)</f>
        <v>5.56MM</v>
      </c>
      <c r="L19" t="s">
        <v>186</v>
      </c>
      <c r="N19" t="s">
        <v>165</v>
      </c>
      <c r="O19" t="s">
        <v>176</v>
      </c>
      <c r="P19" s="40">
        <v>5</v>
      </c>
      <c r="Q19" t="s">
        <v>190</v>
      </c>
      <c r="R19" t="s">
        <v>170</v>
      </c>
    </row>
    <row r="20" spans="1:18" ht="14.25" customHeight="1" x14ac:dyDescent="0.35">
      <c r="A20" t="str">
        <f t="array" ref="A20">EXTRACTEVENT(Q20,S20)</f>
        <v>Copa FPTE</v>
      </c>
      <c r="B20" t="str">
        <f t="shared" si="0"/>
        <v>1</v>
      </c>
      <c r="C20" t="str">
        <f>+VLOOKUP(R20,Maps!$A:$C,2,0)</f>
        <v>FPTE</v>
      </c>
      <c r="D20" t="str">
        <f t="shared" si="1"/>
        <v>E</v>
      </c>
      <c r="E20" s="39">
        <f t="shared" si="2"/>
        <v>46074</v>
      </c>
      <c r="F20" s="7" t="str">
        <f t="array" ref="F20">+TIPOARMA(H20,I20)</f>
        <v>ALRP</v>
      </c>
      <c r="H20" t="str">
        <f t="array" ref="H20">+ARMASTD(N20)</f>
        <v>Carabina/Fuzil</v>
      </c>
      <c r="I20" t="str">
        <f t="array" ref="I20">+CALIBRESTD(O20)</f>
        <v>.357 Mag</v>
      </c>
      <c r="L20" t="s">
        <v>191</v>
      </c>
      <c r="N20" t="s">
        <v>162</v>
      </c>
      <c r="O20" t="s">
        <v>179</v>
      </c>
      <c r="P20" s="40">
        <v>10</v>
      </c>
      <c r="Q20" t="s">
        <v>192</v>
      </c>
      <c r="R20" t="s">
        <v>170</v>
      </c>
    </row>
    <row r="21" spans="1:18" ht="14.25" customHeight="1" x14ac:dyDescent="0.35">
      <c r="A21" s="41" t="str">
        <f t="array" ref="A21">EXTRACTEVENT(Q21,S21)</f>
        <v>Copa FPTE</v>
      </c>
      <c r="B21" s="41" t="str">
        <f t="shared" si="0"/>
        <v>1</v>
      </c>
      <c r="C21" s="41" t="str">
        <f>+VLOOKUP(R21,Maps!$A:$C,2,0)</f>
        <v>FPTE</v>
      </c>
      <c r="D21" s="41" t="str">
        <f t="shared" si="1"/>
        <v>E</v>
      </c>
      <c r="E21" s="42">
        <f t="shared" si="2"/>
        <v>46074</v>
      </c>
      <c r="F21" s="43" t="str">
        <f t="array" ref="F21">+TIPOARMA(H21,I21)</f>
        <v>ALRR</v>
      </c>
      <c r="G21" s="41"/>
      <c r="H21" s="41" t="str">
        <f t="array" ref="H21">+ARMASTD(N21)</f>
        <v>Carabina/Fuzil</v>
      </c>
      <c r="I21" s="41" t="str">
        <f t="array" ref="I21">+CALIBRESTD(O21)</f>
        <v>5.56MM</v>
      </c>
      <c r="L21" t="s">
        <v>191</v>
      </c>
      <c r="N21" t="s">
        <v>165</v>
      </c>
      <c r="O21" t="s">
        <v>176</v>
      </c>
      <c r="P21" s="40">
        <v>20</v>
      </c>
      <c r="Q21" t="s">
        <v>193</v>
      </c>
      <c r="R21" t="s">
        <v>170</v>
      </c>
    </row>
    <row r="22" spans="1:18" ht="14.25" customHeight="1" x14ac:dyDescent="0.35">
      <c r="A22" t="str">
        <f t="array" ref="A22">EXTRACTEVENT(Q22,S22)</f>
        <v>Copa FPTE</v>
      </c>
      <c r="B22" t="str">
        <f t="shared" si="0"/>
        <v>1</v>
      </c>
      <c r="C22" t="str">
        <f>+VLOOKUP(R22,Maps!$A:$C,2,0)</f>
        <v>FPTE</v>
      </c>
      <c r="D22" t="str">
        <f t="shared" si="1"/>
        <v>E</v>
      </c>
      <c r="E22" s="39">
        <f t="shared" si="2"/>
        <v>46074</v>
      </c>
      <c r="F22" s="7" t="str">
        <f t="array" ref="F22">+TIPOARMA(H22,I22)</f>
        <v>ACRP</v>
      </c>
      <c r="H22" t="str">
        <f t="array" ref="H22">+ARMASTD(N22)</f>
        <v>Pistola</v>
      </c>
      <c r="I22" t="str">
        <f t="array" ref="I22">+CALIBRESTD(O22)</f>
        <v>.380 ACP</v>
      </c>
      <c r="L22" t="s">
        <v>191</v>
      </c>
      <c r="N22" t="s">
        <v>160</v>
      </c>
      <c r="O22" t="s">
        <v>182</v>
      </c>
      <c r="P22" s="40">
        <v>20</v>
      </c>
      <c r="Q22" t="s">
        <v>194</v>
      </c>
      <c r="R22" t="s">
        <v>170</v>
      </c>
    </row>
    <row r="23" spans="1:18" ht="14.25" customHeight="1" x14ac:dyDescent="0.35">
      <c r="A23" s="41" t="str">
        <f t="array" ref="A23">EXTRACTEVENT(Q23,S23)</f>
        <v>Copa FPTE</v>
      </c>
      <c r="B23" s="41" t="str">
        <f t="shared" si="0"/>
        <v>1</v>
      </c>
      <c r="C23" s="41" t="str">
        <f>+VLOOKUP(R23,Maps!$A:$C,2,0)</f>
        <v>FPTE</v>
      </c>
      <c r="D23" s="41" t="str">
        <f t="shared" si="1"/>
        <v>E</v>
      </c>
      <c r="E23" s="42">
        <f t="shared" si="2"/>
        <v>46074</v>
      </c>
      <c r="F23" s="43" t="str">
        <f t="array" ref="F23">+TIPOARMA(H23,I23)</f>
        <v>ACRR</v>
      </c>
      <c r="G23" s="41"/>
      <c r="H23" s="41" t="str">
        <f t="array" ref="H23">+ARMASTD(N23)</f>
        <v>Pistola</v>
      </c>
      <c r="I23" s="41" t="str">
        <f t="array" ref="I23">+CALIBRESTD(O23)</f>
        <v>9mm</v>
      </c>
      <c r="L23" t="s">
        <v>191</v>
      </c>
      <c r="N23" t="s">
        <v>157</v>
      </c>
      <c r="O23" t="s">
        <v>187</v>
      </c>
      <c r="P23" s="40">
        <v>20</v>
      </c>
      <c r="Q23" t="s">
        <v>194</v>
      </c>
      <c r="R23" t="s">
        <v>170</v>
      </c>
    </row>
    <row r="24" spans="1:18" ht="14.25" customHeight="1" x14ac:dyDescent="0.35">
      <c r="A24" t="str">
        <f t="array" ref="A24">EXTRACTEVENT(Q24,S24)</f>
        <v>Paulista e Nacional Light</v>
      </c>
      <c r="B24" t="str">
        <f t="shared" si="0"/>
        <v>9</v>
      </c>
      <c r="C24" t="str">
        <f>+VLOOKUP(R24,Maps!$A:$C,2,0)</f>
        <v>FPTE</v>
      </c>
      <c r="D24" t="str">
        <f t="shared" si="1"/>
        <v>E</v>
      </c>
      <c r="E24" s="39">
        <f t="shared" si="2"/>
        <v>45930</v>
      </c>
      <c r="F24" s="7" t="str">
        <f t="array" ref="F24">+TIPOARMA(H24,I24)</f>
        <v>ACRP</v>
      </c>
      <c r="H24" t="str">
        <f t="array" ref="H24">+ARMASTD(N24)</f>
        <v>Pistola</v>
      </c>
      <c r="I24" t="str">
        <f t="array" ref="I24">+CALIBRESTD(O24)</f>
        <v>.380 ACP</v>
      </c>
      <c r="L24" t="s">
        <v>195</v>
      </c>
      <c r="N24" t="s">
        <v>160</v>
      </c>
      <c r="O24" t="s">
        <v>182</v>
      </c>
      <c r="P24" s="40">
        <v>5</v>
      </c>
      <c r="Q24" t="s">
        <v>196</v>
      </c>
      <c r="R24" t="s">
        <v>77</v>
      </c>
    </row>
    <row r="25" spans="1:18" ht="14.25" customHeight="1" x14ac:dyDescent="0.35">
      <c r="A25" s="41" t="str">
        <f t="array" ref="A25">EXTRACTEVENT(Q25,S25)</f>
        <v>Paulista e Nacional Light</v>
      </c>
      <c r="B25" s="41" t="str">
        <f t="shared" si="0"/>
        <v>9</v>
      </c>
      <c r="C25" s="41" t="str">
        <f>+VLOOKUP(R25,Maps!$A:$C,2,0)</f>
        <v>FPTE</v>
      </c>
      <c r="D25" s="41" t="str">
        <f t="shared" si="1"/>
        <v>E</v>
      </c>
      <c r="E25" s="42">
        <f t="shared" si="2"/>
        <v>45930</v>
      </c>
      <c r="F25" s="43" t="str">
        <f t="array" ref="F25">+TIPOARMA(H25,I25)</f>
        <v>ALRP</v>
      </c>
      <c r="G25" s="41"/>
      <c r="H25" s="41" t="str">
        <f t="array" ref="H25">+ARMASTD(N25)</f>
        <v>Carabina/Fuzil</v>
      </c>
      <c r="I25" s="41" t="str">
        <f t="array" ref="I25">+CALIBRESTD(O25)</f>
        <v>.357 Mag</v>
      </c>
      <c r="L25" t="s">
        <v>195</v>
      </c>
      <c r="N25" t="s">
        <v>162</v>
      </c>
      <c r="O25" t="s">
        <v>179</v>
      </c>
      <c r="P25" s="40">
        <v>5</v>
      </c>
      <c r="Q25" t="s">
        <v>197</v>
      </c>
      <c r="R25" t="s">
        <v>77</v>
      </c>
    </row>
    <row r="26" spans="1:18" ht="14.25" customHeight="1" x14ac:dyDescent="0.35">
      <c r="A26" t="str">
        <f t="array" ref="A26">EXTRACTEVENT(Q26,S26)</f>
        <v>Campeonato Paulista e Brasileiro de Car/Pst/RF 2025</v>
      </c>
      <c r="B26" t="str">
        <f t="shared" si="0"/>
        <v>8</v>
      </c>
      <c r="C26" t="str">
        <f>+VLOOKUP(R26,Maps!$A:$C,2,0)</f>
        <v>FPTE</v>
      </c>
      <c r="D26" t="str">
        <f t="shared" si="1"/>
        <v>E</v>
      </c>
      <c r="E26" s="39">
        <f t="shared" si="2"/>
        <v>45910</v>
      </c>
      <c r="F26" s="7" t="str">
        <f t="array" ref="F26">+TIPOARMA(H26,I26)</f>
        <v>ACRP</v>
      </c>
      <c r="H26" t="str">
        <f t="array" ref="H26">+ARMASTD(N26)</f>
        <v>Pistola</v>
      </c>
      <c r="I26" t="str">
        <f t="array" ref="I26">+CALIBRESTD(O26)</f>
        <v>.380 ACP</v>
      </c>
      <c r="L26" t="s">
        <v>198</v>
      </c>
      <c r="M26" t="s">
        <v>199</v>
      </c>
      <c r="N26" t="s">
        <v>160</v>
      </c>
      <c r="O26" t="s">
        <v>200</v>
      </c>
      <c r="P26" s="40">
        <v>10</v>
      </c>
      <c r="Q26" t="s">
        <v>201</v>
      </c>
      <c r="R26" t="s">
        <v>77</v>
      </c>
    </row>
    <row r="27" spans="1:18" ht="14.25" customHeight="1" x14ac:dyDescent="0.35">
      <c r="A27" s="41" t="str">
        <f t="array" ref="A27">EXTRACTEVENT(Q27,S27)</f>
        <v>Campeonato Paulista e Brasileiro de Car/Pst/RF 2025</v>
      </c>
      <c r="B27" s="41" t="str">
        <f t="shared" si="0"/>
        <v>8</v>
      </c>
      <c r="C27" s="41" t="str">
        <f>+VLOOKUP(R27,Maps!$A:$C,2,0)</f>
        <v>FPTE</v>
      </c>
      <c r="D27" s="41" t="str">
        <f t="shared" si="1"/>
        <v>E</v>
      </c>
      <c r="E27" s="42">
        <f t="shared" si="2"/>
        <v>45910</v>
      </c>
      <c r="F27" s="43" t="str">
        <f t="array" ref="F27">+TIPOARMA(H27,I27)</f>
        <v>ACRR</v>
      </c>
      <c r="G27" s="41"/>
      <c r="H27" s="41" t="str">
        <f t="array" ref="H27">+ARMASTD(N27)</f>
        <v>Pistola</v>
      </c>
      <c r="I27" s="41" t="str">
        <f t="array" ref="I27">+CALIBRESTD(O27)</f>
        <v>9mm</v>
      </c>
      <c r="L27" t="s">
        <v>198</v>
      </c>
      <c r="M27" t="s">
        <v>199</v>
      </c>
      <c r="N27" t="s">
        <v>202</v>
      </c>
      <c r="O27" t="s">
        <v>203</v>
      </c>
      <c r="P27" s="40">
        <v>10</v>
      </c>
      <c r="Q27" t="s">
        <v>201</v>
      </c>
      <c r="R27" t="s">
        <v>77</v>
      </c>
    </row>
    <row r="28" spans="1:18" ht="14.25" customHeight="1" x14ac:dyDescent="0.35">
      <c r="A28" t="str">
        <f t="array" ref="A28">EXTRACTEVENT(Q28,S28)</f>
        <v>Campeonato Paulista de Fuzil 50 e 20 metros , Baixa Luminosidade e Shotgun 2025</v>
      </c>
      <c r="B28" t="str">
        <f t="shared" si="0"/>
        <v>8</v>
      </c>
      <c r="C28" t="str">
        <f>+VLOOKUP(R28,Maps!$A:$C,2,0)</f>
        <v>FPTE</v>
      </c>
      <c r="D28" t="str">
        <f t="shared" si="1"/>
        <v>E</v>
      </c>
      <c r="E28" s="39">
        <f t="shared" si="2"/>
        <v>45910</v>
      </c>
      <c r="F28" s="7" t="str">
        <f t="array" ref="F28">+TIPOARMA(H28,I28)</f>
        <v>ALRP</v>
      </c>
      <c r="H28" t="str">
        <f t="array" ref="H28">+ARMASTD(N28)</f>
        <v>Carabina/Fuzil</v>
      </c>
      <c r="I28" t="str">
        <f t="array" ref="I28">+CALIBRESTD(O28)</f>
        <v>.357 Mag</v>
      </c>
      <c r="L28" t="s">
        <v>198</v>
      </c>
      <c r="M28" t="s">
        <v>204</v>
      </c>
      <c r="N28" t="s">
        <v>162</v>
      </c>
      <c r="O28" t="s">
        <v>163</v>
      </c>
      <c r="P28" s="40">
        <v>10</v>
      </c>
      <c r="Q28" t="s">
        <v>205</v>
      </c>
      <c r="R28" t="s">
        <v>77</v>
      </c>
    </row>
    <row r="29" spans="1:18" ht="14.25" customHeight="1" x14ac:dyDescent="0.35">
      <c r="A29" s="41" t="str">
        <f t="array" ref="A29">EXTRACTEVENT(Q29,S29)</f>
        <v>Campeonato Paulista de Fuzil 50 e 20 metros , Baixa Luminosidade e Shotgun 2025</v>
      </c>
      <c r="B29" s="41" t="str">
        <f t="shared" si="0"/>
        <v>8</v>
      </c>
      <c r="C29" s="41" t="str">
        <f>+VLOOKUP(R29,Maps!$A:$C,2,0)</f>
        <v>FPTE</v>
      </c>
      <c r="D29" s="41" t="str">
        <f t="shared" si="1"/>
        <v>E</v>
      </c>
      <c r="E29" s="42">
        <f t="shared" si="2"/>
        <v>45910</v>
      </c>
      <c r="F29" s="43" t="str">
        <f t="array" ref="F29">+TIPOARMA(H29,I29)</f>
        <v>ALRR</v>
      </c>
      <c r="G29" s="41"/>
      <c r="H29" s="41" t="str">
        <f t="array" ref="H29">+ARMASTD(N29)</f>
        <v>Carabina/Fuzil</v>
      </c>
      <c r="I29" s="41" t="str">
        <f t="array" ref="I29">+CALIBRESTD(O29)</f>
        <v>5.56MM</v>
      </c>
      <c r="L29" t="s">
        <v>198</v>
      </c>
      <c r="M29" t="s">
        <v>204</v>
      </c>
      <c r="N29" t="s">
        <v>206</v>
      </c>
      <c r="O29" t="s">
        <v>207</v>
      </c>
      <c r="P29" s="40">
        <v>10</v>
      </c>
      <c r="Q29" t="s">
        <v>208</v>
      </c>
      <c r="R29" t="s">
        <v>77</v>
      </c>
    </row>
    <row r="30" spans="1:18" ht="14.25" customHeight="1" x14ac:dyDescent="0.35">
      <c r="A30" t="str">
        <f t="array" ref="A30">EXTRACTEVENT(Q30,S30)</f>
        <v>Paulista e Nacional Light</v>
      </c>
      <c r="B30" t="str">
        <f t="shared" si="0"/>
        <v>9</v>
      </c>
      <c r="C30" t="str">
        <f>+VLOOKUP(R30,Maps!$A:$C,2,0)</f>
        <v>FPTE</v>
      </c>
      <c r="D30" t="str">
        <f t="shared" si="1"/>
        <v>E</v>
      </c>
      <c r="E30" s="39">
        <f t="shared" si="2"/>
        <v>45910</v>
      </c>
      <c r="F30" s="7" t="str">
        <f t="array" ref="F30">+TIPOARMA(H30,I30)</f>
        <v>ACRR</v>
      </c>
      <c r="H30" t="str">
        <f t="array" ref="H30">+ARMASTD(N30)</f>
        <v>Pistola</v>
      </c>
      <c r="I30" t="str">
        <f t="array" ref="I30">+CALIBRESTD(O30)</f>
        <v>9mm</v>
      </c>
      <c r="L30" t="s">
        <v>198</v>
      </c>
      <c r="M30" t="s">
        <v>204</v>
      </c>
      <c r="N30" t="s">
        <v>157</v>
      </c>
      <c r="O30" t="s">
        <v>203</v>
      </c>
      <c r="P30" s="40">
        <v>5</v>
      </c>
      <c r="Q30" t="s">
        <v>196</v>
      </c>
      <c r="R30" t="s">
        <v>77</v>
      </c>
    </row>
    <row r="31" spans="1:18" ht="14.25" customHeight="1" x14ac:dyDescent="0.35">
      <c r="A31" s="41" t="str">
        <f t="array" ref="A31">EXTRACTEVENT(Q31,S31)</f>
        <v>Paulista e Nacional Light</v>
      </c>
      <c r="B31" s="41" t="str">
        <f t="shared" si="0"/>
        <v>9</v>
      </c>
      <c r="C31" s="41" t="str">
        <f>+VLOOKUP(R31,Maps!$A:$C,2,0)</f>
        <v>FPTE</v>
      </c>
      <c r="D31" s="41" t="str">
        <f t="shared" si="1"/>
        <v>E</v>
      </c>
      <c r="E31" s="42">
        <f t="shared" si="2"/>
        <v>45910</v>
      </c>
      <c r="F31" s="43" t="str">
        <f t="array" ref="F31">+TIPOARMA(H31,I31)</f>
        <v>ALRR</v>
      </c>
      <c r="G31" s="41"/>
      <c r="H31" s="41" t="str">
        <f t="array" ref="H31">+ARMASTD(N31)</f>
        <v>Carabina/Fuzil</v>
      </c>
      <c r="I31" s="41" t="str">
        <f t="array" ref="I31">+CALIBRESTD(O31)</f>
        <v>5.56MM</v>
      </c>
      <c r="L31" t="s">
        <v>198</v>
      </c>
      <c r="M31" t="s">
        <v>204</v>
      </c>
      <c r="N31" t="s">
        <v>206</v>
      </c>
      <c r="O31" t="s">
        <v>207</v>
      </c>
      <c r="P31" s="40">
        <v>5</v>
      </c>
      <c r="Q31" t="s">
        <v>197</v>
      </c>
      <c r="R31" t="s">
        <v>77</v>
      </c>
    </row>
    <row r="32" spans="1:18" ht="14.25" customHeight="1" x14ac:dyDescent="0.35">
      <c r="A32" t="str">
        <f t="array" ref="A32">EXTRACTEVENT(Q32,S32)</f>
        <v>Paulista e Nacional Light</v>
      </c>
      <c r="B32" t="str">
        <f t="shared" si="0"/>
        <v>9</v>
      </c>
      <c r="C32" t="str">
        <f>+VLOOKUP(R32,Maps!$A:$C,2,0)</f>
        <v>FPTE</v>
      </c>
      <c r="D32" t="str">
        <f t="shared" si="1"/>
        <v>E</v>
      </c>
      <c r="E32" s="39">
        <f t="shared" si="2"/>
        <v>45910</v>
      </c>
      <c r="F32" s="7" t="str">
        <f t="array" ref="F32">+TIPOARMA(H32,I32)</f>
        <v>ALRP</v>
      </c>
      <c r="H32" t="str">
        <f t="array" ref="H32">+ARMASTD(N32)</f>
        <v>Carabina/Fuzil</v>
      </c>
      <c r="I32" t="str">
        <f t="array" ref="I32">+CALIBRESTD(O32)</f>
        <v>.357 Mag</v>
      </c>
      <c r="L32" t="s">
        <v>198</v>
      </c>
      <c r="M32" t="s">
        <v>204</v>
      </c>
      <c r="N32" t="s">
        <v>162</v>
      </c>
      <c r="O32" t="s">
        <v>209</v>
      </c>
      <c r="P32" s="40">
        <v>5</v>
      </c>
      <c r="Q32" t="s">
        <v>197</v>
      </c>
      <c r="R32" t="s">
        <v>77</v>
      </c>
    </row>
    <row r="33" spans="1:18" ht="14.25" customHeight="1" x14ac:dyDescent="0.35">
      <c r="A33" s="41" t="str">
        <f t="array" ref="A33">EXTRACTEVENT(Q33,S33)</f>
        <v>Campeonato Paulista de Fuzil 50 e 20 metros , Baixa Luminosidade e Shotgun 2025</v>
      </c>
      <c r="B33" s="41" t="str">
        <f t="shared" si="0"/>
        <v>7</v>
      </c>
      <c r="C33" s="41" t="str">
        <f>+VLOOKUP(R33,Maps!$A:$C,2,0)</f>
        <v>FPTE</v>
      </c>
      <c r="D33" s="41" t="str">
        <f t="shared" si="1"/>
        <v>E</v>
      </c>
      <c r="E33" s="42">
        <f t="shared" si="2"/>
        <v>45885</v>
      </c>
      <c r="F33" s="43" t="str">
        <f t="array" ref="F33">+TIPOARMA(H33,I33)</f>
        <v>ALRR</v>
      </c>
      <c r="G33" s="41"/>
      <c r="H33" s="41" t="str">
        <f t="array" ref="H33">+ARMASTD(N33)</f>
        <v>Carabina/Fuzil</v>
      </c>
      <c r="I33" s="41" t="str">
        <f t="array" ref="I33">+CALIBRESTD(O33)</f>
        <v>5.56MM</v>
      </c>
      <c r="L33" t="s">
        <v>210</v>
      </c>
      <c r="M33" t="s">
        <v>211</v>
      </c>
      <c r="N33" t="s">
        <v>206</v>
      </c>
      <c r="O33" t="s">
        <v>207</v>
      </c>
      <c r="P33" s="40">
        <v>10</v>
      </c>
      <c r="Q33" t="s">
        <v>212</v>
      </c>
      <c r="R33" t="s">
        <v>77</v>
      </c>
    </row>
    <row r="34" spans="1:18" ht="14.25" customHeight="1" x14ac:dyDescent="0.35">
      <c r="A34" t="str">
        <f t="array" ref="A34">EXTRACTEVENT(Q34,S34)</f>
        <v>Paulista e Nacional Light</v>
      </c>
      <c r="B34" t="str">
        <f t="shared" si="0"/>
        <v>8</v>
      </c>
      <c r="C34" t="str">
        <f>+VLOOKUP(R34,Maps!$A:$C,2,0)</f>
        <v>FPTE</v>
      </c>
      <c r="D34" t="str">
        <f t="shared" si="1"/>
        <v>E</v>
      </c>
      <c r="E34" s="39">
        <f t="shared" si="2"/>
        <v>45885</v>
      </c>
      <c r="F34" s="7" t="str">
        <f t="array" ref="F34">+TIPOARMA(H34,I34)</f>
        <v>ALRR</v>
      </c>
      <c r="H34" t="str">
        <f t="array" ref="H34">+ARMASTD(N34)</f>
        <v>Carabina/Fuzil</v>
      </c>
      <c r="I34" t="str">
        <f t="array" ref="I34">+CALIBRESTD(O34)</f>
        <v>5.56MM</v>
      </c>
      <c r="L34" t="s">
        <v>210</v>
      </c>
      <c r="M34" t="s">
        <v>213</v>
      </c>
      <c r="N34" t="s">
        <v>165</v>
      </c>
      <c r="O34" t="s">
        <v>207</v>
      </c>
      <c r="P34" s="40">
        <v>5</v>
      </c>
      <c r="Q34" t="s">
        <v>214</v>
      </c>
      <c r="R34" t="s">
        <v>77</v>
      </c>
    </row>
    <row r="35" spans="1:18" ht="14.25" customHeight="1" x14ac:dyDescent="0.35">
      <c r="A35" s="41" t="str">
        <f t="array" ref="A35">EXTRACTEVENT(Q35,S35)</f>
        <v>Paulista e Nacional Light</v>
      </c>
      <c r="B35" s="41" t="str">
        <f t="shared" si="0"/>
        <v>8</v>
      </c>
      <c r="C35" s="41" t="str">
        <f>+VLOOKUP(R35,Maps!$A:$C,2,0)</f>
        <v>FPTE</v>
      </c>
      <c r="D35" s="41" t="str">
        <f t="shared" si="1"/>
        <v>E</v>
      </c>
      <c r="E35" s="42">
        <f t="shared" si="2"/>
        <v>45885</v>
      </c>
      <c r="F35" s="43" t="str">
        <f t="array" ref="F35">+TIPOARMA(H35,I35)</f>
        <v>ALRP</v>
      </c>
      <c r="G35" s="41"/>
      <c r="H35" s="41" t="str">
        <f t="array" ref="H35">+ARMASTD(N35)</f>
        <v>Carabina/Fuzil</v>
      </c>
      <c r="I35" s="41" t="str">
        <f t="array" ref="I35">+CALIBRESTD(O35)</f>
        <v>.357 Mag</v>
      </c>
      <c r="L35" t="s">
        <v>210</v>
      </c>
      <c r="M35" t="s">
        <v>215</v>
      </c>
      <c r="N35" t="s">
        <v>162</v>
      </c>
      <c r="O35" t="s">
        <v>209</v>
      </c>
      <c r="P35" s="40">
        <v>5</v>
      </c>
      <c r="Q35" t="s">
        <v>216</v>
      </c>
      <c r="R35" t="s">
        <v>77</v>
      </c>
    </row>
    <row r="36" spans="1:18" ht="14.25" customHeight="1" x14ac:dyDescent="0.35">
      <c r="A36" t="str">
        <f t="array" ref="A36">EXTRACTEVENT(Q36,S36)</f>
        <v>Paulista e Nacional Light</v>
      </c>
      <c r="B36" t="str">
        <f t="shared" si="0"/>
        <v>8</v>
      </c>
      <c r="C36" t="str">
        <f>+VLOOKUP(R36,Maps!$A:$C,2,0)</f>
        <v>FPTE</v>
      </c>
      <c r="D36" t="str">
        <f t="shared" si="1"/>
        <v>E</v>
      </c>
      <c r="E36" s="39">
        <f t="shared" si="2"/>
        <v>45885</v>
      </c>
      <c r="F36" s="7" t="str">
        <f t="array" ref="F36">+TIPOARMA(H36,I36)</f>
        <v>ACRR</v>
      </c>
      <c r="H36" t="str">
        <f t="array" ref="H36">+ARMASTD(N36)</f>
        <v>Pistola</v>
      </c>
      <c r="I36" t="str">
        <f t="array" ref="I36">+CALIBRESTD(O36)</f>
        <v>9mm</v>
      </c>
      <c r="L36" t="s">
        <v>210</v>
      </c>
      <c r="M36" t="s">
        <v>217</v>
      </c>
      <c r="N36" t="s">
        <v>157</v>
      </c>
      <c r="O36" t="s">
        <v>203</v>
      </c>
      <c r="P36" s="40">
        <v>5</v>
      </c>
      <c r="Q36" t="s">
        <v>218</v>
      </c>
      <c r="R36" t="s">
        <v>77</v>
      </c>
    </row>
    <row r="37" spans="1:18" ht="14.25" customHeight="1" x14ac:dyDescent="0.35">
      <c r="A37" s="41" t="str">
        <f t="array" ref="A37">EXTRACTEVENT(Q37,S37)</f>
        <v>Paulista e Nacional Light</v>
      </c>
      <c r="B37" s="41" t="str">
        <f t="shared" si="0"/>
        <v>8</v>
      </c>
      <c r="C37" s="41" t="str">
        <f>+VLOOKUP(R37,Maps!$A:$C,2,0)</f>
        <v>FPTE</v>
      </c>
      <c r="D37" s="41" t="str">
        <f t="shared" si="1"/>
        <v>E</v>
      </c>
      <c r="E37" s="42">
        <f t="shared" si="2"/>
        <v>45885</v>
      </c>
      <c r="F37" s="43" t="str">
        <f t="array" ref="F37">+TIPOARMA(H37,I37)</f>
        <v>ACRP</v>
      </c>
      <c r="G37" s="41"/>
      <c r="H37" s="41" t="str">
        <f t="array" ref="H37">+ARMASTD(N37)</f>
        <v>Pistola</v>
      </c>
      <c r="I37" s="41" t="str">
        <f t="array" ref="I37">+CALIBRESTD(O37)</f>
        <v>.380 ACP</v>
      </c>
      <c r="L37" t="s">
        <v>210</v>
      </c>
      <c r="M37" t="s">
        <v>219</v>
      </c>
      <c r="N37" t="s">
        <v>160</v>
      </c>
      <c r="O37" t="s">
        <v>200</v>
      </c>
      <c r="P37" s="40">
        <v>5</v>
      </c>
      <c r="Q37" t="s">
        <v>218</v>
      </c>
      <c r="R37" t="s">
        <v>77</v>
      </c>
    </row>
    <row r="38" spans="1:18" ht="14.25" customHeight="1" x14ac:dyDescent="0.35">
      <c r="A38" t="str">
        <f t="array" ref="A38">EXTRACTEVENT(Q38,S38)</f>
        <v>Paulista e Nacional Light</v>
      </c>
      <c r="B38" t="str">
        <f t="shared" si="0"/>
        <v>5</v>
      </c>
      <c r="C38" t="str">
        <f>+VLOOKUP(R38,Maps!$A:$C,2,0)</f>
        <v>FPTE</v>
      </c>
      <c r="D38" t="str">
        <f t="shared" si="1"/>
        <v>E</v>
      </c>
      <c r="E38" s="39">
        <f t="shared" si="2"/>
        <v>45802</v>
      </c>
      <c r="F38" s="7" t="str">
        <f t="array" ref="F38">+TIPOARMA(H38,I38)</f>
        <v>ALRP</v>
      </c>
      <c r="H38" t="str">
        <f t="array" ref="H38">+ARMASTD(N38)</f>
        <v>Carabina/Fuzil</v>
      </c>
      <c r="I38" t="str">
        <f t="array" ref="I38">+CALIBRESTD(O38)</f>
        <v>.357 Mag</v>
      </c>
      <c r="L38" t="s">
        <v>220</v>
      </c>
      <c r="M38" t="s">
        <v>221</v>
      </c>
      <c r="N38" t="s">
        <v>162</v>
      </c>
      <c r="O38" t="s">
        <v>209</v>
      </c>
      <c r="P38" s="40">
        <v>5</v>
      </c>
      <c r="Q38" t="s">
        <v>222</v>
      </c>
      <c r="R38" t="s">
        <v>77</v>
      </c>
    </row>
    <row r="39" spans="1:18" ht="14.25" customHeight="1" x14ac:dyDescent="0.35">
      <c r="A39" s="41" t="str">
        <f t="array" ref="A39">EXTRACTEVENT(Q39,S39)</f>
        <v>Paulista e Nacional Light</v>
      </c>
      <c r="B39" s="41" t="str">
        <f t="shared" si="0"/>
        <v>5</v>
      </c>
      <c r="C39" s="41" t="str">
        <f>+VLOOKUP(R39,Maps!$A:$C,2,0)</f>
        <v>FPTE</v>
      </c>
      <c r="D39" s="41" t="str">
        <f t="shared" si="1"/>
        <v>E</v>
      </c>
      <c r="E39" s="42">
        <f t="shared" si="2"/>
        <v>45798</v>
      </c>
      <c r="F39" s="43" t="str">
        <f t="array" ref="F39">+TIPOARMA(H39,I39)</f>
        <v>ALRR</v>
      </c>
      <c r="G39" s="41"/>
      <c r="H39" s="41" t="str">
        <f t="array" ref="H39">+ARMASTD(N39)</f>
        <v>Carabina/Fuzil</v>
      </c>
      <c r="I39" s="41" t="str">
        <f t="array" ref="I39">+CALIBRESTD(O39)</f>
        <v>5.56MM</v>
      </c>
      <c r="L39" t="s">
        <v>223</v>
      </c>
      <c r="M39" t="s">
        <v>224</v>
      </c>
      <c r="N39" t="s">
        <v>165</v>
      </c>
      <c r="O39" t="s">
        <v>207</v>
      </c>
      <c r="P39" s="40">
        <v>5</v>
      </c>
      <c r="Q39" t="s">
        <v>222</v>
      </c>
      <c r="R39" t="s">
        <v>77</v>
      </c>
    </row>
    <row r="40" spans="1:18" ht="14.25" customHeight="1" x14ac:dyDescent="0.35">
      <c r="A40" t="str">
        <f t="array" ref="A40">EXTRACTEVENT(Q40,S40)</f>
        <v>Campeonato Paulista de Fuzil 50 e 20 metros , Baixa Luminosidade e Shotgun 2025</v>
      </c>
      <c r="B40" t="str">
        <f t="shared" si="0"/>
        <v>4</v>
      </c>
      <c r="C40" t="str">
        <f>+VLOOKUP(R40,Maps!$A:$C,2,0)</f>
        <v>FPTE</v>
      </c>
      <c r="D40" t="str">
        <f t="shared" si="1"/>
        <v>E</v>
      </c>
      <c r="E40" s="39">
        <f t="shared" si="2"/>
        <v>45798</v>
      </c>
      <c r="F40" s="7" t="str">
        <f t="array" ref="F40">+TIPOARMA(H40,I40)</f>
        <v>ALRP</v>
      </c>
      <c r="H40" t="str">
        <f t="array" ref="H40">+ARMASTD(N40)</f>
        <v>Carabina/Fuzil</v>
      </c>
      <c r="I40" t="str">
        <f t="array" ref="I40">+CALIBRESTD(O40)</f>
        <v>.357 Mag</v>
      </c>
      <c r="L40" t="s">
        <v>223</v>
      </c>
      <c r="M40" t="s">
        <v>204</v>
      </c>
      <c r="N40" t="s">
        <v>162</v>
      </c>
      <c r="O40" t="s">
        <v>209</v>
      </c>
      <c r="P40" s="40">
        <v>10</v>
      </c>
      <c r="Q40" t="s">
        <v>225</v>
      </c>
      <c r="R40" t="s">
        <v>77</v>
      </c>
    </row>
    <row r="41" spans="1:18" ht="14.25" customHeight="1" x14ac:dyDescent="0.35">
      <c r="A41" s="41" t="str">
        <f t="array" ref="A41">EXTRACTEVENT(Q41,S41)</f>
        <v>Campeonato Paulista de Fuzil 50 e 20 metros , Baixa Luminosidade e Shotgun 2025</v>
      </c>
      <c r="B41" s="41" t="str">
        <f t="shared" si="0"/>
        <v>4</v>
      </c>
      <c r="C41" s="41" t="str">
        <f>+VLOOKUP(R41,Maps!$A:$C,2,0)</f>
        <v>FPTE</v>
      </c>
      <c r="D41" s="41" t="str">
        <f t="shared" si="1"/>
        <v>E</v>
      </c>
      <c r="E41" s="42">
        <f t="shared" si="2"/>
        <v>45798</v>
      </c>
      <c r="F41" s="43" t="str">
        <f t="array" ref="F41">+TIPOARMA(H41,I41)</f>
        <v>ALRR</v>
      </c>
      <c r="G41" s="41"/>
      <c r="H41" s="41" t="str">
        <f t="array" ref="H41">+ARMASTD(N41)</f>
        <v>Carabina/Fuzil</v>
      </c>
      <c r="I41" s="41" t="str">
        <f t="array" ref="I41">+CALIBRESTD(O41)</f>
        <v>5.56MM</v>
      </c>
      <c r="L41" t="s">
        <v>223</v>
      </c>
      <c r="M41" t="s">
        <v>204</v>
      </c>
      <c r="N41" t="s">
        <v>206</v>
      </c>
      <c r="O41" t="s">
        <v>207</v>
      </c>
      <c r="P41" s="40">
        <v>10</v>
      </c>
      <c r="Q41" t="s">
        <v>226</v>
      </c>
      <c r="R41" t="s">
        <v>77</v>
      </c>
    </row>
    <row r="42" spans="1:18" ht="14.25" customHeight="1" x14ac:dyDescent="0.35">
      <c r="A42" t="str">
        <f t="array" ref="A42">EXTRACTEVENT(Q42,S42)</f>
        <v>Paulista e Nacional Light</v>
      </c>
      <c r="B42" t="str">
        <f t="shared" si="0"/>
        <v>5</v>
      </c>
      <c r="C42" t="str">
        <f>+VLOOKUP(R42,Maps!$A:$C,2,0)</f>
        <v>FPTE</v>
      </c>
      <c r="D42" t="str">
        <f t="shared" si="1"/>
        <v>E</v>
      </c>
      <c r="E42" s="39">
        <f t="shared" si="2"/>
        <v>45798</v>
      </c>
      <c r="F42" s="7" t="str">
        <f t="array" ref="F42">+TIPOARMA(H42,I42)</f>
        <v>ACRR</v>
      </c>
      <c r="H42" t="str">
        <f t="array" ref="H42">+ARMASTD(N42)</f>
        <v>Pistola</v>
      </c>
      <c r="I42" t="str">
        <f t="array" ref="I42">+CALIBRESTD(O42)</f>
        <v>9mm</v>
      </c>
      <c r="L42" t="s">
        <v>223</v>
      </c>
      <c r="M42" t="s">
        <v>221</v>
      </c>
      <c r="N42" t="s">
        <v>157</v>
      </c>
      <c r="O42" t="s">
        <v>203</v>
      </c>
      <c r="P42" s="40">
        <v>5</v>
      </c>
      <c r="Q42" t="s">
        <v>227</v>
      </c>
      <c r="R42" t="s">
        <v>77</v>
      </c>
    </row>
    <row r="43" spans="1:18" ht="14.25" customHeight="1" x14ac:dyDescent="0.35">
      <c r="A43" s="41" t="str">
        <f t="array" ref="A43">EXTRACTEVENT(Q43,S43)</f>
        <v>Paulista e Nacional Light</v>
      </c>
      <c r="B43" s="41" t="str">
        <f t="shared" si="0"/>
        <v>5</v>
      </c>
      <c r="C43" s="41" t="str">
        <f>+VLOOKUP(R43,Maps!$A:$C,2,0)</f>
        <v>FPTE</v>
      </c>
      <c r="D43" s="41" t="str">
        <f t="shared" si="1"/>
        <v>E</v>
      </c>
      <c r="E43" s="42">
        <f t="shared" si="2"/>
        <v>45798</v>
      </c>
      <c r="F43" s="43" t="str">
        <f t="array" ref="F43">+TIPOARMA(H43,I43)</f>
        <v>ACRP</v>
      </c>
      <c r="G43" s="41"/>
      <c r="H43" s="41" t="str">
        <f t="array" ref="H43">+ARMASTD(N43)</f>
        <v>Pistola</v>
      </c>
      <c r="I43" s="41" t="str">
        <f t="array" ref="I43">+CALIBRESTD(O43)</f>
        <v>.380 ACP</v>
      </c>
      <c r="L43" t="s">
        <v>223</v>
      </c>
      <c r="M43" t="s">
        <v>221</v>
      </c>
      <c r="N43" t="s">
        <v>160</v>
      </c>
      <c r="O43" t="s">
        <v>200</v>
      </c>
      <c r="P43" s="40">
        <v>5</v>
      </c>
      <c r="Q43" t="s">
        <v>227</v>
      </c>
      <c r="R43" t="s">
        <v>77</v>
      </c>
    </row>
    <row r="44" spans="1:18" ht="14.25" customHeight="1" x14ac:dyDescent="0.35">
      <c r="A44" t="str">
        <f t="array" ref="A44">EXTRACTEVENT(Q44,S44)</f>
        <v>Paulista e Nacional Light</v>
      </c>
      <c r="B44" t="str">
        <f t="shared" si="0"/>
        <v>4</v>
      </c>
      <c r="C44" t="str">
        <f>+VLOOKUP(R44,Maps!$A:$C,2,0)</f>
        <v>FPTE</v>
      </c>
      <c r="D44" t="str">
        <f t="shared" si="1"/>
        <v>E</v>
      </c>
      <c r="E44" s="39">
        <f t="shared" si="2"/>
        <v>45773</v>
      </c>
      <c r="F44" s="7" t="str">
        <f t="array" ref="F44">+TIPOARMA(H44,I44)</f>
        <v>ACRP</v>
      </c>
      <c r="H44" t="str">
        <f t="array" ref="H44">+ARMASTD(N44)</f>
        <v>Pistola</v>
      </c>
      <c r="I44" t="str">
        <f t="array" ref="I44">+CALIBRESTD(O44)</f>
        <v>.380 ACP</v>
      </c>
      <c r="L44" t="s">
        <v>228</v>
      </c>
      <c r="M44" t="s">
        <v>221</v>
      </c>
      <c r="N44" t="s">
        <v>160</v>
      </c>
      <c r="O44" t="s">
        <v>200</v>
      </c>
      <c r="P44" s="40">
        <v>5</v>
      </c>
      <c r="Q44" t="s">
        <v>229</v>
      </c>
      <c r="R44" t="s">
        <v>77</v>
      </c>
    </row>
    <row r="45" spans="1:18" ht="14.25" customHeight="1" x14ac:dyDescent="0.35">
      <c r="A45" s="41" t="str">
        <f t="array" ref="A45">EXTRACTEVENT(Q45,S45)</f>
        <v>Paulista e Nacional Light</v>
      </c>
      <c r="B45" s="41" t="str">
        <f t="shared" si="0"/>
        <v>4</v>
      </c>
      <c r="C45" s="41" t="str">
        <f>+VLOOKUP(R45,Maps!$A:$C,2,0)</f>
        <v>FPTE</v>
      </c>
      <c r="D45" s="41" t="str">
        <f t="shared" si="1"/>
        <v>E</v>
      </c>
      <c r="E45" s="42">
        <f t="shared" si="2"/>
        <v>45773</v>
      </c>
      <c r="F45" s="43" t="str">
        <f t="array" ref="F45">+TIPOARMA(H45,I45)</f>
        <v>ACRR</v>
      </c>
      <c r="G45" s="41"/>
      <c r="H45" s="41" t="str">
        <f t="array" ref="H45">+ARMASTD(N45)</f>
        <v>Pistola</v>
      </c>
      <c r="I45" s="41" t="str">
        <f t="array" ref="I45">+CALIBRESTD(O45)</f>
        <v>.45 ACP</v>
      </c>
      <c r="L45" t="s">
        <v>228</v>
      </c>
      <c r="M45" t="s">
        <v>221</v>
      </c>
      <c r="N45" t="s">
        <v>184</v>
      </c>
      <c r="O45" t="s">
        <v>230</v>
      </c>
      <c r="P45" s="40">
        <v>5</v>
      </c>
      <c r="Q45" t="s">
        <v>229</v>
      </c>
      <c r="R45" t="s">
        <v>77</v>
      </c>
    </row>
    <row r="46" spans="1:18" ht="14.25" customHeight="1" x14ac:dyDescent="0.35">
      <c r="A46" t="str">
        <f t="array" ref="A46">EXTRACTEVENT(Q46,S46)</f>
        <v>Paulista e Nacional Light</v>
      </c>
      <c r="B46" t="str">
        <f t="shared" si="0"/>
        <v>4</v>
      </c>
      <c r="C46" t="str">
        <f>+VLOOKUP(R46,Maps!$A:$C,2,0)</f>
        <v>FPTE</v>
      </c>
      <c r="D46" t="str">
        <f t="shared" si="1"/>
        <v>E</v>
      </c>
      <c r="E46" s="39">
        <f t="shared" si="2"/>
        <v>45773</v>
      </c>
      <c r="F46" s="7" t="str">
        <f t="array" ref="F46">+TIPOARMA(H46,I46)</f>
        <v>ACRP</v>
      </c>
      <c r="H46" t="str">
        <f t="array" ref="H46">+ARMASTD(N46)</f>
        <v>Pistola</v>
      </c>
      <c r="I46" t="str">
        <f t="array" ref="I46">+CALIBRESTD(O46)</f>
        <v>.380 ACP</v>
      </c>
      <c r="L46" t="s">
        <v>228</v>
      </c>
      <c r="M46" t="s">
        <v>221</v>
      </c>
      <c r="N46" t="s">
        <v>160</v>
      </c>
      <c r="O46" t="s">
        <v>200</v>
      </c>
      <c r="P46" s="40">
        <v>5</v>
      </c>
      <c r="Q46" t="s">
        <v>229</v>
      </c>
      <c r="R46" t="s">
        <v>77</v>
      </c>
    </row>
    <row r="47" spans="1:18" ht="14.25" customHeight="1" x14ac:dyDescent="0.35">
      <c r="A47" s="41" t="str">
        <f t="array" ref="A47">EXTRACTEVENT(Q47,S47)</f>
        <v>Campeonato Paulista e Brasileiro de Car/Pst/RF 2025</v>
      </c>
      <c r="B47" s="41" t="str">
        <f t="shared" si="0"/>
        <v>3</v>
      </c>
      <c r="C47" s="41" t="str">
        <f>+VLOOKUP(R47,Maps!$A:$C,2,0)</f>
        <v>FPTE</v>
      </c>
      <c r="D47" s="41" t="str">
        <f t="shared" si="1"/>
        <v>E</v>
      </c>
      <c r="E47" s="42">
        <f t="shared" si="2"/>
        <v>45771</v>
      </c>
      <c r="F47" s="43" t="str">
        <f t="array" ref="F47">+TIPOARMA(H47,I47)</f>
        <v>ACRR</v>
      </c>
      <c r="G47" s="41"/>
      <c r="H47" s="41" t="str">
        <f t="array" ref="H47">+ARMASTD(N47)</f>
        <v>Pistola</v>
      </c>
      <c r="I47" s="41" t="str">
        <f t="array" ref="I47">+CALIBRESTD(O47)</f>
        <v>.45 ACP</v>
      </c>
      <c r="L47" t="s">
        <v>231</v>
      </c>
      <c r="M47" t="s">
        <v>221</v>
      </c>
      <c r="N47" t="s">
        <v>184</v>
      </c>
      <c r="O47" t="s">
        <v>230</v>
      </c>
      <c r="P47" s="40">
        <v>10</v>
      </c>
      <c r="Q47" t="s">
        <v>232</v>
      </c>
      <c r="R47" t="s">
        <v>77</v>
      </c>
    </row>
    <row r="48" spans="1:18" ht="14.25" customHeight="1" x14ac:dyDescent="0.35">
      <c r="A48" t="str">
        <f t="array" ref="A48">EXTRACTEVENT(Q48,S48)</f>
        <v>Campeonato Paulista e Brasileiro de Car/Pst/RF 2025</v>
      </c>
      <c r="B48" t="str">
        <f t="shared" si="0"/>
        <v>3</v>
      </c>
      <c r="C48" t="str">
        <f>+VLOOKUP(R48,Maps!$A:$C,2,0)</f>
        <v>FPTE</v>
      </c>
      <c r="D48" t="str">
        <f t="shared" si="1"/>
        <v>E</v>
      </c>
      <c r="E48" s="39">
        <f t="shared" si="2"/>
        <v>45771</v>
      </c>
      <c r="F48" s="7" t="str">
        <f t="array" ref="F48">+TIPOARMA(H48,I48)</f>
        <v>ACRR</v>
      </c>
      <c r="H48" t="str">
        <f t="array" ref="H48">+ARMASTD(N48)</f>
        <v>Pistola</v>
      </c>
      <c r="I48" t="str">
        <f t="array" ref="I48">+CALIBRESTD(O48)</f>
        <v>9mm</v>
      </c>
      <c r="L48" t="s">
        <v>231</v>
      </c>
      <c r="M48" t="s">
        <v>221</v>
      </c>
      <c r="N48" t="s">
        <v>157</v>
      </c>
      <c r="O48" t="s">
        <v>203</v>
      </c>
      <c r="P48" s="40">
        <v>10</v>
      </c>
      <c r="Q48" t="s">
        <v>232</v>
      </c>
      <c r="R48" t="s">
        <v>77</v>
      </c>
    </row>
    <row r="49" spans="1:18" ht="14.25" customHeight="1" x14ac:dyDescent="0.35">
      <c r="A49" s="41" t="str">
        <f t="array" ref="A49">EXTRACTEVENT(Q49,S49)</f>
        <v>Campeonato Paulista e Brasileiro de Car/Pst/RF 2025</v>
      </c>
      <c r="B49" s="41" t="str">
        <f t="shared" si="0"/>
        <v>3</v>
      </c>
      <c r="C49" s="41" t="str">
        <f>+VLOOKUP(R49,Maps!$A:$C,2,0)</f>
        <v>FPTE</v>
      </c>
      <c r="D49" s="41" t="str">
        <f t="shared" si="1"/>
        <v>E</v>
      </c>
      <c r="E49" s="42">
        <f t="shared" si="2"/>
        <v>45771</v>
      </c>
      <c r="F49" s="43" t="str">
        <f t="array" ref="F49">+TIPOARMA(H49,I49)</f>
        <v>ACRP</v>
      </c>
      <c r="G49" s="41"/>
      <c r="H49" s="41" t="str">
        <f t="array" ref="H49">+ARMASTD(N49)</f>
        <v>Pistola</v>
      </c>
      <c r="I49" s="41" t="str">
        <f t="array" ref="I49">+CALIBRESTD(O49)</f>
        <v>.380 ACP</v>
      </c>
      <c r="L49" t="s">
        <v>231</v>
      </c>
      <c r="M49" t="s">
        <v>221</v>
      </c>
      <c r="N49" t="s">
        <v>160</v>
      </c>
      <c r="O49" t="s">
        <v>200</v>
      </c>
      <c r="P49" s="40">
        <v>10</v>
      </c>
      <c r="Q49" t="s">
        <v>232</v>
      </c>
      <c r="R49" t="s">
        <v>77</v>
      </c>
    </row>
    <row r="50" spans="1:18" ht="14.25" customHeight="1" x14ac:dyDescent="0.35">
      <c r="A50" t="str">
        <f t="array" ref="A50">EXTRACTEVENT(Q50,S50)</f>
        <v>Campeonato Paulista e Brasileiro de Car/Pst/RF 2025</v>
      </c>
      <c r="B50" t="str">
        <f t="shared" si="0"/>
        <v>3</v>
      </c>
      <c r="C50" t="str">
        <f>+VLOOKUP(R50,Maps!$A:$C,2,0)</f>
        <v>FPTE</v>
      </c>
      <c r="D50" t="str">
        <f t="shared" si="1"/>
        <v>E</v>
      </c>
      <c r="E50" s="39">
        <f t="shared" si="2"/>
        <v>45771</v>
      </c>
      <c r="F50" s="7" t="str">
        <f t="array" ref="F50">+TIPOARMA(H50,I50)</f>
        <v>ACRR</v>
      </c>
      <c r="H50" t="str">
        <f t="array" ref="H50">+ARMASTD(N50)</f>
        <v>Pistola</v>
      </c>
      <c r="I50" t="str">
        <f t="array" ref="I50">+CALIBRESTD(O50)</f>
        <v>.45 ACP</v>
      </c>
      <c r="L50" t="s">
        <v>231</v>
      </c>
      <c r="M50" t="s">
        <v>221</v>
      </c>
      <c r="N50" t="s">
        <v>184</v>
      </c>
      <c r="O50" t="s">
        <v>230</v>
      </c>
      <c r="P50" s="40">
        <v>10</v>
      </c>
      <c r="Q50" t="s">
        <v>232</v>
      </c>
      <c r="R50" t="s">
        <v>77</v>
      </c>
    </row>
    <row r="51" spans="1:18" ht="14.25" customHeight="1" x14ac:dyDescent="0.35">
      <c r="A51" s="41" t="str">
        <f t="array" ref="A51">EXTRACTEVENT(Q51,S51)</f>
        <v>Campeonato Paulista e Brasileiro de Car/Pst/RF 2025</v>
      </c>
      <c r="B51" s="41" t="str">
        <f t="shared" si="0"/>
        <v>3</v>
      </c>
      <c r="C51" s="41" t="str">
        <f>+VLOOKUP(R51,Maps!$A:$C,2,0)</f>
        <v>FPTE</v>
      </c>
      <c r="D51" s="41" t="str">
        <f t="shared" si="1"/>
        <v>E</v>
      </c>
      <c r="E51" s="42">
        <f t="shared" si="2"/>
        <v>45771</v>
      </c>
      <c r="F51" s="43" t="str">
        <f t="array" ref="F51">+TIPOARMA(H51,I51)</f>
        <v>ACRR</v>
      </c>
      <c r="G51" s="41"/>
      <c r="H51" s="41" t="str">
        <f t="array" ref="H51">+ARMASTD(N51)</f>
        <v>Pistola</v>
      </c>
      <c r="I51" s="41" t="str">
        <f t="array" ref="I51">+CALIBRESTD(O51)</f>
        <v>9mm</v>
      </c>
      <c r="L51" t="s">
        <v>231</v>
      </c>
      <c r="M51" t="s">
        <v>221</v>
      </c>
      <c r="N51" t="s">
        <v>157</v>
      </c>
      <c r="O51" t="s">
        <v>203</v>
      </c>
      <c r="P51" s="40">
        <v>10</v>
      </c>
      <c r="Q51" t="s">
        <v>232</v>
      </c>
      <c r="R51" t="s">
        <v>77</v>
      </c>
    </row>
    <row r="52" spans="1:18" ht="14.25" customHeight="1" x14ac:dyDescent="0.35">
      <c r="A52" t="str">
        <f t="array" ref="A52">EXTRACTEVENT(Q52,S52)</f>
        <v>Campeonato Paulista e Brasileiro de Car/Pst/RF 2025</v>
      </c>
      <c r="B52" t="str">
        <f t="shared" si="0"/>
        <v>3</v>
      </c>
      <c r="C52" t="str">
        <f>+VLOOKUP(R52,Maps!$A:$C,2,0)</f>
        <v>FPTE</v>
      </c>
      <c r="D52" t="str">
        <f t="shared" si="1"/>
        <v>E</v>
      </c>
      <c r="E52" s="39">
        <f t="shared" si="2"/>
        <v>45771</v>
      </c>
      <c r="F52" s="7" t="str">
        <f t="array" ref="F52">+TIPOARMA(H52,I52)</f>
        <v>ACRR</v>
      </c>
      <c r="H52" t="str">
        <f t="array" ref="H52">+ARMASTD(N52)</f>
        <v>Pistola</v>
      </c>
      <c r="I52" t="str">
        <f t="array" ref="I52">+CALIBRESTD(O52)</f>
        <v>.45 ACP</v>
      </c>
      <c r="L52" t="s">
        <v>231</v>
      </c>
      <c r="M52" t="s">
        <v>221</v>
      </c>
      <c r="N52" t="s">
        <v>184</v>
      </c>
      <c r="O52" t="s">
        <v>230</v>
      </c>
      <c r="P52" s="40">
        <v>10</v>
      </c>
      <c r="Q52" t="s">
        <v>232</v>
      </c>
      <c r="R52" t="s">
        <v>77</v>
      </c>
    </row>
    <row r="53" spans="1:18" ht="14.25" customHeight="1" x14ac:dyDescent="0.35">
      <c r="A53" s="41" t="str">
        <f t="array" ref="A53">EXTRACTEVENT(Q53,S53)</f>
        <v>Campeonato Paulista e Brasileiro de Car/Pst/RF 2025</v>
      </c>
      <c r="B53" s="41" t="str">
        <f t="shared" si="0"/>
        <v>3</v>
      </c>
      <c r="C53" s="41" t="str">
        <f>+VLOOKUP(R53,Maps!$A:$C,2,0)</f>
        <v>FPTE</v>
      </c>
      <c r="D53" s="41" t="str">
        <f t="shared" si="1"/>
        <v>E</v>
      </c>
      <c r="E53" s="42">
        <f t="shared" si="2"/>
        <v>45771</v>
      </c>
      <c r="F53" s="43" t="str">
        <f t="array" ref="F53">+TIPOARMA(H53,I53)</f>
        <v>ACRR</v>
      </c>
      <c r="G53" s="41"/>
      <c r="H53" s="41" t="str">
        <f t="array" ref="H53">+ARMASTD(N53)</f>
        <v>Pistola</v>
      </c>
      <c r="I53" s="41" t="str">
        <f t="array" ref="I53">+CALIBRESTD(O53)</f>
        <v>9mm</v>
      </c>
      <c r="L53" t="s">
        <v>231</v>
      </c>
      <c r="M53" t="s">
        <v>221</v>
      </c>
      <c r="N53" t="s">
        <v>157</v>
      </c>
      <c r="O53" t="s">
        <v>203</v>
      </c>
      <c r="P53" s="40">
        <v>10</v>
      </c>
      <c r="Q53" t="s">
        <v>232</v>
      </c>
      <c r="R53" t="s">
        <v>77</v>
      </c>
    </row>
    <row r="54" spans="1:18" ht="14.25" customHeight="1" x14ac:dyDescent="0.35">
      <c r="A54" t="str">
        <f t="array" ref="A54">EXTRACTEVENT(Q54,S54)</f>
        <v>Campeonato Paulista e Brasileiro de Car/Pst/RF 2025</v>
      </c>
      <c r="B54" t="str">
        <f t="shared" si="0"/>
        <v>3</v>
      </c>
      <c r="C54" t="str">
        <f>+VLOOKUP(R54,Maps!$A:$C,2,0)</f>
        <v>FPTE</v>
      </c>
      <c r="D54" t="str">
        <f t="shared" si="1"/>
        <v>E</v>
      </c>
      <c r="E54" s="39">
        <f t="shared" si="2"/>
        <v>45771</v>
      </c>
      <c r="F54" s="7" t="str">
        <f t="array" ref="F54">+TIPOARMA(H54,I54)</f>
        <v>ACRP</v>
      </c>
      <c r="H54" t="str">
        <f t="array" ref="H54">+ARMASTD(N54)</f>
        <v>Pistola</v>
      </c>
      <c r="I54" t="str">
        <f t="array" ref="I54">+CALIBRESTD(O54)</f>
        <v>.380 ACP</v>
      </c>
      <c r="L54" t="s">
        <v>231</v>
      </c>
      <c r="M54" t="s">
        <v>221</v>
      </c>
      <c r="N54" t="s">
        <v>160</v>
      </c>
      <c r="O54" t="s">
        <v>200</v>
      </c>
      <c r="P54" s="40">
        <v>10</v>
      </c>
      <c r="Q54" t="s">
        <v>232</v>
      </c>
      <c r="R54" t="s">
        <v>77</v>
      </c>
    </row>
    <row r="55" spans="1:18" ht="14.25" customHeight="1" x14ac:dyDescent="0.35">
      <c r="A55" s="41" t="str">
        <f t="array" ref="A55">EXTRACTEVENT(Q55,S55)</f>
        <v>Campeonato Paulista e Brasileiro de Car/Pst/RF 2025</v>
      </c>
      <c r="B55" s="41" t="str">
        <f t="shared" si="0"/>
        <v>3</v>
      </c>
      <c r="C55" s="41" t="str">
        <f>+VLOOKUP(R55,Maps!$A:$C,2,0)</f>
        <v>FPTE</v>
      </c>
      <c r="D55" s="41" t="str">
        <f t="shared" si="1"/>
        <v>E</v>
      </c>
      <c r="E55" s="42">
        <f t="shared" si="2"/>
        <v>45771</v>
      </c>
      <c r="F55" s="43" t="str">
        <f t="array" ref="F55">+TIPOARMA(H55,I55)</f>
        <v>ACRR</v>
      </c>
      <c r="G55" s="41"/>
      <c r="H55" s="41" t="str">
        <f t="array" ref="H55">+ARMASTD(N55)</f>
        <v>Pistola</v>
      </c>
      <c r="I55" s="41" t="str">
        <f t="array" ref="I55">+CALIBRESTD(O55)</f>
        <v>9mm</v>
      </c>
      <c r="L55" t="s">
        <v>231</v>
      </c>
      <c r="M55" t="s">
        <v>221</v>
      </c>
      <c r="N55" t="s">
        <v>157</v>
      </c>
      <c r="O55" t="s">
        <v>203</v>
      </c>
      <c r="P55" s="40">
        <v>10</v>
      </c>
      <c r="Q55" t="s">
        <v>232</v>
      </c>
      <c r="R55" t="s">
        <v>77</v>
      </c>
    </row>
    <row r="56" spans="1:18" ht="14.25" customHeight="1" x14ac:dyDescent="0.35">
      <c r="A56" t="str">
        <f t="array" ref="A56">EXTRACTEVENT(Q56,S56)</f>
        <v>Campeonato Paulista e Brasileiro de Car/Pst/RF 2025</v>
      </c>
      <c r="B56" t="str">
        <f t="shared" si="0"/>
        <v>3</v>
      </c>
      <c r="C56" t="str">
        <f>+VLOOKUP(R56,Maps!$A:$C,2,0)</f>
        <v>FPTE</v>
      </c>
      <c r="D56" t="str">
        <f t="shared" si="1"/>
        <v>E</v>
      </c>
      <c r="E56" s="39">
        <f t="shared" si="2"/>
        <v>45771</v>
      </c>
      <c r="F56" s="7" t="str">
        <f t="array" ref="F56">+TIPOARMA(H56,I56)</f>
        <v>ACRP</v>
      </c>
      <c r="H56" t="str">
        <f t="array" ref="H56">+ARMASTD(N56)</f>
        <v>Pistola</v>
      </c>
      <c r="I56" t="str">
        <f t="array" ref="I56">+CALIBRESTD(O56)</f>
        <v>.380 ACP</v>
      </c>
      <c r="L56" t="s">
        <v>231</v>
      </c>
      <c r="M56" t="s">
        <v>221</v>
      </c>
      <c r="N56" t="s">
        <v>160</v>
      </c>
      <c r="O56" t="s">
        <v>200</v>
      </c>
      <c r="P56" s="40">
        <v>10</v>
      </c>
      <c r="Q56" t="s">
        <v>232</v>
      </c>
      <c r="R56" t="s">
        <v>77</v>
      </c>
    </row>
    <row r="57" spans="1:18" ht="14.25" customHeight="1" x14ac:dyDescent="0.35">
      <c r="A57" s="41" t="str">
        <f t="array" ref="A57">EXTRACTEVENT(Q57,S57)</f>
        <v>Campeonato Paulista e Brasileiro de Car/Pst/RF 2025</v>
      </c>
      <c r="B57" s="41" t="str">
        <f t="shared" si="0"/>
        <v>3</v>
      </c>
      <c r="C57" s="41" t="str">
        <f>+VLOOKUP(R57,Maps!$A:$C,2,0)</f>
        <v>FPTE</v>
      </c>
      <c r="D57" s="41" t="str">
        <f t="shared" si="1"/>
        <v>E</v>
      </c>
      <c r="E57" s="42">
        <f t="shared" si="2"/>
        <v>45771</v>
      </c>
      <c r="F57" s="43" t="str">
        <f t="array" ref="F57">+TIPOARMA(H57,I57)</f>
        <v>ACRR</v>
      </c>
      <c r="G57" s="41"/>
      <c r="H57" s="41" t="str">
        <f t="array" ref="H57">+ARMASTD(N57)</f>
        <v>Pistola</v>
      </c>
      <c r="I57" s="41" t="str">
        <f t="array" ref="I57">+CALIBRESTD(O57)</f>
        <v>9mm</v>
      </c>
      <c r="L57" t="s">
        <v>231</v>
      </c>
      <c r="M57" t="s">
        <v>221</v>
      </c>
      <c r="N57" t="s">
        <v>202</v>
      </c>
      <c r="O57" t="s">
        <v>203</v>
      </c>
      <c r="P57" s="40">
        <v>10</v>
      </c>
      <c r="Q57" t="s">
        <v>232</v>
      </c>
      <c r="R57" t="s">
        <v>77</v>
      </c>
    </row>
    <row r="58" spans="1:18" ht="14.25" customHeight="1" x14ac:dyDescent="0.35">
      <c r="A58" t="str">
        <f t="array" ref="A58">EXTRACTEVENT(Q58,S58)</f>
        <v>Campeonato Paulista e Brasileiro de Car/Pst/RF 2025</v>
      </c>
      <c r="B58" t="str">
        <f t="shared" si="0"/>
        <v>3</v>
      </c>
      <c r="C58" t="str">
        <f>+VLOOKUP(R58,Maps!$A:$C,2,0)</f>
        <v>FPTE</v>
      </c>
      <c r="D58" t="str">
        <f t="shared" si="1"/>
        <v>E</v>
      </c>
      <c r="E58" s="39">
        <f t="shared" si="2"/>
        <v>45771</v>
      </c>
      <c r="F58" s="7" t="str">
        <f t="array" ref="F58">+TIPOARMA(H58,I58)</f>
        <v>ACRP</v>
      </c>
      <c r="H58" t="str">
        <f t="array" ref="H58">+ARMASTD(N58)</f>
        <v>Pistola</v>
      </c>
      <c r="I58" t="str">
        <f t="array" ref="I58">+CALIBRESTD(O58)</f>
        <v>.380 ACP</v>
      </c>
      <c r="L58" t="s">
        <v>231</v>
      </c>
      <c r="M58" t="s">
        <v>221</v>
      </c>
      <c r="N58" t="s">
        <v>160</v>
      </c>
      <c r="O58" t="s">
        <v>200</v>
      </c>
      <c r="P58" s="40">
        <v>10</v>
      </c>
      <c r="Q58" t="s">
        <v>232</v>
      </c>
      <c r="R58" t="s">
        <v>77</v>
      </c>
    </row>
    <row r="59" spans="1:18" ht="14.25" customHeight="1" x14ac:dyDescent="0.35">
      <c r="A59" s="41" t="str">
        <f t="array" ref="A59">EXTRACTEVENT(Q59,S59)</f>
        <v>Paulista e Nacional Light</v>
      </c>
      <c r="B59" s="41" t="str">
        <f t="shared" si="0"/>
        <v>2</v>
      </c>
      <c r="C59" s="41" t="str">
        <f>+VLOOKUP(R59,Maps!$A:$C,2,0)</f>
        <v>FPTE</v>
      </c>
      <c r="D59" s="41" t="str">
        <f t="shared" si="1"/>
        <v>E</v>
      </c>
      <c r="E59" s="42">
        <f t="shared" si="2"/>
        <v>45700</v>
      </c>
      <c r="F59" s="43" t="str">
        <f t="array" ref="F59">+TIPOARMA(H59,I59)</f>
        <v>ACRP</v>
      </c>
      <c r="G59" s="41"/>
      <c r="H59" s="41" t="str">
        <f t="array" ref="H59">+ARMASTD(N59)</f>
        <v>Pistola</v>
      </c>
      <c r="I59" s="41" t="str">
        <f t="array" ref="I59">+CALIBRESTD(O59)</f>
        <v>.380 ACP</v>
      </c>
      <c r="L59" t="s">
        <v>233</v>
      </c>
      <c r="M59" t="s">
        <v>234</v>
      </c>
      <c r="N59" t="s">
        <v>160</v>
      </c>
      <c r="O59" t="s">
        <v>200</v>
      </c>
      <c r="P59" s="40">
        <v>5</v>
      </c>
      <c r="Q59" t="s">
        <v>235</v>
      </c>
      <c r="R59" t="s">
        <v>77</v>
      </c>
    </row>
    <row r="60" spans="1:18" ht="14.25" customHeight="1" x14ac:dyDescent="0.35">
      <c r="A60" t="str">
        <f t="array" ref="A60">EXTRACTEVENT(Q60,S60)</f>
        <v>Paulista e Nacional Light</v>
      </c>
      <c r="B60" t="str">
        <f t="shared" si="0"/>
        <v>2</v>
      </c>
      <c r="C60" t="str">
        <f>+VLOOKUP(R60,Maps!$A:$C,2,0)</f>
        <v>FPTE</v>
      </c>
      <c r="D60" t="str">
        <f t="shared" si="1"/>
        <v>E</v>
      </c>
      <c r="E60" s="39">
        <f t="shared" si="2"/>
        <v>45700</v>
      </c>
      <c r="F60" s="7" t="str">
        <f t="array" ref="F60">+TIPOARMA(H60,I60)</f>
        <v>ACRR</v>
      </c>
      <c r="H60" t="str">
        <f t="array" ref="H60">+ARMASTD(N60)</f>
        <v>Pistola</v>
      </c>
      <c r="I60" t="str">
        <f t="array" ref="I60">+CALIBRESTD(O60)</f>
        <v>.45 ACP</v>
      </c>
      <c r="L60" t="s">
        <v>233</v>
      </c>
      <c r="M60" t="s">
        <v>234</v>
      </c>
      <c r="N60" t="s">
        <v>184</v>
      </c>
      <c r="O60" t="s">
        <v>230</v>
      </c>
      <c r="P60" s="40">
        <v>5</v>
      </c>
      <c r="Q60" t="s">
        <v>235</v>
      </c>
      <c r="R60" t="s">
        <v>77</v>
      </c>
    </row>
    <row r="61" spans="1:18" ht="14.25" customHeight="1" x14ac:dyDescent="0.35">
      <c r="A61" s="41" t="str">
        <f t="array" ref="A61">EXTRACTEVENT(Q61,S61)</f>
        <v>Paulista e Nacional Light</v>
      </c>
      <c r="B61" s="41" t="str">
        <f t="shared" si="0"/>
        <v>2</v>
      </c>
      <c r="C61" s="41" t="str">
        <f>+VLOOKUP(R61,Maps!$A:$C,2,0)</f>
        <v>FPTE</v>
      </c>
      <c r="D61" s="41" t="str">
        <f t="shared" si="1"/>
        <v>E</v>
      </c>
      <c r="E61" s="42">
        <f t="shared" si="2"/>
        <v>45700</v>
      </c>
      <c r="F61" s="43" t="str">
        <f t="array" ref="F61">+TIPOARMA(H61,I61)</f>
        <v>ACRR</v>
      </c>
      <c r="G61" s="41"/>
      <c r="H61" s="41" t="str">
        <f t="array" ref="H61">+ARMASTD(N61)</f>
        <v>Pistola</v>
      </c>
      <c r="I61" s="41" t="str">
        <f t="array" ref="I61">+CALIBRESTD(O61)</f>
        <v>.45 ACP</v>
      </c>
      <c r="L61" t="s">
        <v>233</v>
      </c>
      <c r="M61" t="s">
        <v>234</v>
      </c>
      <c r="N61" t="s">
        <v>184</v>
      </c>
      <c r="O61" t="s">
        <v>230</v>
      </c>
      <c r="P61" s="40">
        <v>5</v>
      </c>
      <c r="Q61" t="s">
        <v>235</v>
      </c>
      <c r="R61" t="s">
        <v>77</v>
      </c>
    </row>
    <row r="62" spans="1:18" ht="14.25" customHeight="1" x14ac:dyDescent="0.35">
      <c r="A62" t="str">
        <f t="array" ref="A62">EXTRACTEVENT(Q62,S62)</f>
        <v>Paulista e Nacional Light</v>
      </c>
      <c r="B62" t="str">
        <f t="shared" si="0"/>
        <v>2</v>
      </c>
      <c r="C62" t="str">
        <f>+VLOOKUP(R62,Maps!$A:$C,2,0)</f>
        <v>FPTE</v>
      </c>
      <c r="D62" t="str">
        <f t="shared" si="1"/>
        <v>E</v>
      </c>
      <c r="E62" s="39">
        <f t="shared" si="2"/>
        <v>45700</v>
      </c>
      <c r="F62" s="7" t="str">
        <f t="array" ref="F62">+TIPOARMA(H62,I62)</f>
        <v>ACRR</v>
      </c>
      <c r="H62" t="str">
        <f t="array" ref="H62">+ARMASTD(N62)</f>
        <v>Pistola</v>
      </c>
      <c r="I62" t="str">
        <f t="array" ref="I62">+CALIBRESTD(O62)</f>
        <v>.45 ACP</v>
      </c>
      <c r="L62" t="s">
        <v>233</v>
      </c>
      <c r="M62" t="s">
        <v>234</v>
      </c>
      <c r="N62" t="s">
        <v>184</v>
      </c>
      <c r="O62" t="s">
        <v>230</v>
      </c>
      <c r="P62" s="40">
        <v>5</v>
      </c>
      <c r="Q62" t="s">
        <v>235</v>
      </c>
      <c r="R62" t="s">
        <v>77</v>
      </c>
    </row>
    <row r="63" spans="1:18" ht="14.25" customHeight="1" x14ac:dyDescent="0.35">
      <c r="A63" s="41" t="str">
        <f t="array" ref="A63">EXTRACTEVENT(Q63,S63)</f>
        <v>Paulista e Nacional Light</v>
      </c>
      <c r="B63" s="41" t="str">
        <f t="shared" si="0"/>
        <v>2</v>
      </c>
      <c r="C63" s="41" t="str">
        <f>+VLOOKUP(R63,Maps!$A:$C,2,0)</f>
        <v>FPTE</v>
      </c>
      <c r="D63" s="41" t="str">
        <f t="shared" si="1"/>
        <v>E</v>
      </c>
      <c r="E63" s="42">
        <f t="shared" si="2"/>
        <v>45700</v>
      </c>
      <c r="F63" s="43" t="str">
        <f t="array" ref="F63">+TIPOARMA(H63,I63)</f>
        <v>ALRP</v>
      </c>
      <c r="G63" s="41"/>
      <c r="H63" s="41" t="str">
        <f t="array" ref="H63">+ARMASTD(N63)</f>
        <v>Carabina/Fuzil</v>
      </c>
      <c r="I63" s="41" t="str">
        <f t="array" ref="I63">+CALIBRESTD(O63)</f>
        <v>.357 Mag</v>
      </c>
      <c r="L63" t="s">
        <v>233</v>
      </c>
      <c r="M63" t="s">
        <v>234</v>
      </c>
      <c r="N63" t="s">
        <v>162</v>
      </c>
      <c r="O63" t="s">
        <v>163</v>
      </c>
      <c r="P63" s="40">
        <v>5</v>
      </c>
      <c r="Q63" t="s">
        <v>236</v>
      </c>
      <c r="R63" t="s">
        <v>77</v>
      </c>
    </row>
    <row r="64" spans="1:18" ht="14.25" customHeight="1" x14ac:dyDescent="0.35">
      <c r="A64" t="str">
        <f t="array" ref="A64">EXTRACTEVENT(Q64,S64)</f>
        <v>Paulista e Nacional Light</v>
      </c>
      <c r="B64" t="str">
        <f t="shared" si="0"/>
        <v>2</v>
      </c>
      <c r="C64" t="str">
        <f>+VLOOKUP(R64,Maps!$A:$C,2,0)</f>
        <v>FPTE</v>
      </c>
      <c r="D64" t="str">
        <f t="shared" si="1"/>
        <v>E</v>
      </c>
      <c r="E64" s="39">
        <f t="shared" si="2"/>
        <v>45700</v>
      </c>
      <c r="F64" s="7" t="str">
        <f t="array" ref="F64">+TIPOARMA(H64,I64)</f>
        <v>ALRR</v>
      </c>
      <c r="H64" t="str">
        <f t="array" ref="H64">+ARMASTD(N64)</f>
        <v>Carabina/Fuzil</v>
      </c>
      <c r="I64" t="str">
        <f t="array" ref="I64">+CALIBRESTD(O64)</f>
        <v>5.56MM</v>
      </c>
      <c r="L64" t="s">
        <v>233</v>
      </c>
      <c r="M64" t="s">
        <v>234</v>
      </c>
      <c r="N64" t="s">
        <v>206</v>
      </c>
      <c r="O64" t="s">
        <v>166</v>
      </c>
      <c r="P64" s="40">
        <v>5</v>
      </c>
      <c r="Q64" t="s">
        <v>237</v>
      </c>
      <c r="R64" t="s">
        <v>77</v>
      </c>
    </row>
    <row r="65" spans="1:18" ht="14.25" customHeight="1" x14ac:dyDescent="0.35">
      <c r="A65" s="41" t="str">
        <f t="array" ref="A65">EXTRACTEVENT(Q65,S65)</f>
        <v>Paulista e Nacional Light</v>
      </c>
      <c r="B65" s="41" t="str">
        <f t="shared" si="0"/>
        <v>2</v>
      </c>
      <c r="C65" s="41" t="str">
        <f>+VLOOKUP(R65,Maps!$A:$C,2,0)</f>
        <v>FPTE</v>
      </c>
      <c r="D65" s="41" t="str">
        <f t="shared" si="1"/>
        <v>E</v>
      </c>
      <c r="E65" s="42">
        <f t="shared" si="2"/>
        <v>45700</v>
      </c>
      <c r="F65" s="43" t="str">
        <f t="array" ref="F65">+TIPOARMA(H65,I65)</f>
        <v>ALRR</v>
      </c>
      <c r="G65" s="41"/>
      <c r="H65" s="41" t="str">
        <f t="array" ref="H65">+ARMASTD(N65)</f>
        <v>Carabina/Fuzil</v>
      </c>
      <c r="I65" s="41" t="str">
        <f t="array" ref="I65">+CALIBRESTD(O65)</f>
        <v>5.56MM</v>
      </c>
      <c r="L65" t="s">
        <v>233</v>
      </c>
      <c r="M65" t="s">
        <v>234</v>
      </c>
      <c r="N65" t="s">
        <v>206</v>
      </c>
      <c r="O65" t="s">
        <v>166</v>
      </c>
      <c r="P65" s="40">
        <v>5</v>
      </c>
      <c r="Q65" t="s">
        <v>237</v>
      </c>
      <c r="R65" t="s">
        <v>77</v>
      </c>
    </row>
    <row r="66" spans="1:18" ht="14.25" customHeight="1" x14ac:dyDescent="0.35">
      <c r="A66" t="str">
        <f t="array" ref="A66">EXTRACTEVENT(Q66,S66)</f>
        <v>Campeonato Paulista e Brasileiro de Car/Pst/RF 2024</v>
      </c>
      <c r="B66" t="str">
        <f t="shared" ref="B66:B129" si="3">+EXTRACTETAPANUM(Q66)</f>
        <v>8</v>
      </c>
      <c r="C66" t="str">
        <f>+VLOOKUP(R66,Maps!$A:$C,2,0)</f>
        <v>FPTE</v>
      </c>
      <c r="D66" t="str">
        <f t="shared" ref="D66:D129" si="4">+DEFINEAMBITO(Q66,C66)</f>
        <v>E</v>
      </c>
      <c r="E66" s="39">
        <f t="shared" ref="E66:E129" si="5">DATEVALUE(L66)</f>
        <v>45549</v>
      </c>
      <c r="F66" s="7" t="str">
        <f t="array" ref="F66">+TIPOARMA(H66,I66)</f>
        <v>ACRR</v>
      </c>
      <c r="H66" t="str">
        <f t="array" ref="H66">+ARMASTD(N66)</f>
        <v>Pistola</v>
      </c>
      <c r="I66" t="str">
        <f t="array" ref="I66">+CALIBRESTD(O66)</f>
        <v>9mm</v>
      </c>
      <c r="L66" t="s">
        <v>238</v>
      </c>
      <c r="M66" t="s">
        <v>239</v>
      </c>
      <c r="N66" t="s">
        <v>157</v>
      </c>
      <c r="O66" t="s">
        <v>203</v>
      </c>
      <c r="P66" s="40">
        <v>10</v>
      </c>
      <c r="Q66" t="s">
        <v>240</v>
      </c>
      <c r="R66" t="s">
        <v>77</v>
      </c>
    </row>
    <row r="67" spans="1:18" ht="14.25" customHeight="1" x14ac:dyDescent="0.35">
      <c r="A67" s="41" t="str">
        <f t="array" ref="A67">EXTRACTEVENT(Q67,S67)</f>
        <v>Campeonato Paulista e Brasileiro de Car/Pst/RF 2024</v>
      </c>
      <c r="B67" s="41" t="str">
        <f t="shared" si="3"/>
        <v>8</v>
      </c>
      <c r="C67" s="41" t="str">
        <f>+VLOOKUP(R67,Maps!$A:$C,2,0)</f>
        <v>FPTE</v>
      </c>
      <c r="D67" s="41" t="str">
        <f t="shared" si="4"/>
        <v>E</v>
      </c>
      <c r="E67" s="42">
        <f t="shared" si="5"/>
        <v>45549</v>
      </c>
      <c r="F67" s="43" t="str">
        <f t="array" ref="F67">+TIPOARMA(H67,I67)</f>
        <v>ACRR</v>
      </c>
      <c r="G67" s="41"/>
      <c r="H67" s="41" t="str">
        <f t="array" ref="H67">+ARMASTD(N67)</f>
        <v>Pistola</v>
      </c>
      <c r="I67" s="41" t="str">
        <f t="array" ref="I67">+CALIBRESTD(O67)</f>
        <v>9mm</v>
      </c>
      <c r="L67" t="s">
        <v>238</v>
      </c>
      <c r="M67" t="s">
        <v>239</v>
      </c>
      <c r="N67" t="s">
        <v>157</v>
      </c>
      <c r="O67" t="s">
        <v>203</v>
      </c>
      <c r="P67" s="40">
        <v>10</v>
      </c>
      <c r="Q67" t="s">
        <v>240</v>
      </c>
      <c r="R67" t="s">
        <v>77</v>
      </c>
    </row>
    <row r="68" spans="1:18" ht="14.25" customHeight="1" x14ac:dyDescent="0.35">
      <c r="A68" t="str">
        <f t="array" ref="A68">EXTRACTEVENT(Q68,S68)</f>
        <v>Campeonato Paulista e Brasileiro de Car/Pst/RF 2024</v>
      </c>
      <c r="B68" t="str">
        <f t="shared" si="3"/>
        <v>8</v>
      </c>
      <c r="C68" t="str">
        <f>+VLOOKUP(R68,Maps!$A:$C,2,0)</f>
        <v>FPTE</v>
      </c>
      <c r="D68" t="str">
        <f t="shared" si="4"/>
        <v>E</v>
      </c>
      <c r="E68" s="39">
        <f t="shared" si="5"/>
        <v>45549</v>
      </c>
      <c r="F68" s="7" t="str">
        <f t="array" ref="F68">+TIPOARMA(H68,I68)</f>
        <v>ACRR</v>
      </c>
      <c r="H68" t="str">
        <f t="array" ref="H68">+ARMASTD(N68)</f>
        <v>Pistola</v>
      </c>
      <c r="I68" t="str">
        <f t="array" ref="I68">+CALIBRESTD(O68)</f>
        <v>.45 ACP</v>
      </c>
      <c r="L68" t="s">
        <v>238</v>
      </c>
      <c r="M68" t="s">
        <v>239</v>
      </c>
      <c r="N68" t="s">
        <v>184</v>
      </c>
      <c r="O68" t="s">
        <v>230</v>
      </c>
      <c r="P68" s="40">
        <v>10</v>
      </c>
      <c r="Q68" t="s">
        <v>240</v>
      </c>
      <c r="R68" t="s">
        <v>77</v>
      </c>
    </row>
    <row r="69" spans="1:18" ht="14.25" customHeight="1" x14ac:dyDescent="0.35">
      <c r="A69" s="41" t="str">
        <f t="array" ref="A69">EXTRACTEVENT(Q69,S69)</f>
        <v>Campeonato Paulista e Brasileiro de Car/Pst/RF 2024</v>
      </c>
      <c r="B69" s="41" t="str">
        <f t="shared" si="3"/>
        <v>8</v>
      </c>
      <c r="C69" s="41" t="str">
        <f>+VLOOKUP(R69,Maps!$A:$C,2,0)</f>
        <v>FPTE</v>
      </c>
      <c r="D69" s="41" t="str">
        <f t="shared" si="4"/>
        <v>E</v>
      </c>
      <c r="E69" s="42">
        <f t="shared" si="5"/>
        <v>45549</v>
      </c>
      <c r="F69" s="43" t="str">
        <f t="array" ref="F69">+TIPOARMA(H69,I69)</f>
        <v>ACRR</v>
      </c>
      <c r="G69" s="41"/>
      <c r="H69" s="41" t="str">
        <f t="array" ref="H69">+ARMASTD(N69)</f>
        <v>Pistola</v>
      </c>
      <c r="I69" s="41" t="str">
        <f t="array" ref="I69">+CALIBRESTD(O69)</f>
        <v>9mm</v>
      </c>
      <c r="L69" t="s">
        <v>238</v>
      </c>
      <c r="M69" t="s">
        <v>239</v>
      </c>
      <c r="N69" t="s">
        <v>157</v>
      </c>
      <c r="O69" t="s">
        <v>203</v>
      </c>
      <c r="P69" s="40">
        <v>10</v>
      </c>
      <c r="Q69" t="s">
        <v>240</v>
      </c>
      <c r="R69" t="s">
        <v>77</v>
      </c>
    </row>
    <row r="70" spans="1:18" ht="14.25" customHeight="1" x14ac:dyDescent="0.35">
      <c r="A70" t="str">
        <f t="array" ref="A70">EXTRACTEVENT(Q70,S70)</f>
        <v>Paulista e Nacional Light</v>
      </c>
      <c r="B70" t="str">
        <f t="shared" si="3"/>
        <v>8</v>
      </c>
      <c r="C70" t="str">
        <f>+VLOOKUP(R70,Maps!$A:$C,2,0)</f>
        <v>FPTE</v>
      </c>
      <c r="D70" t="str">
        <f t="shared" si="4"/>
        <v>E</v>
      </c>
      <c r="E70" s="39">
        <f t="shared" si="5"/>
        <v>45546</v>
      </c>
      <c r="F70" s="7" t="str">
        <f t="array" ref="F70">+TIPOARMA(H70,I70)</f>
        <v>ACRR</v>
      </c>
      <c r="H70" t="str">
        <f t="array" ref="H70">+ARMASTD(N70)</f>
        <v>Pistola</v>
      </c>
      <c r="I70" t="str">
        <f t="array" ref="I70">+CALIBRESTD(O70)</f>
        <v>9mm</v>
      </c>
      <c r="L70" t="s">
        <v>241</v>
      </c>
      <c r="M70" t="s">
        <v>239</v>
      </c>
      <c r="N70" t="s">
        <v>157</v>
      </c>
      <c r="O70" t="s">
        <v>203</v>
      </c>
      <c r="P70" s="40">
        <v>5</v>
      </c>
      <c r="Q70" t="s">
        <v>218</v>
      </c>
      <c r="R70" t="s">
        <v>77</v>
      </c>
    </row>
    <row r="71" spans="1:18" ht="14.25" customHeight="1" x14ac:dyDescent="0.35">
      <c r="A71" s="41" t="str">
        <f t="array" ref="A71">EXTRACTEVENT(Q71,S71)</f>
        <v>Paulista e Nacional Light</v>
      </c>
      <c r="B71" s="41" t="str">
        <f t="shared" si="3"/>
        <v>8</v>
      </c>
      <c r="C71" s="41" t="str">
        <f>+VLOOKUP(R71,Maps!$A:$C,2,0)</f>
        <v>FPTE</v>
      </c>
      <c r="D71" s="41" t="str">
        <f t="shared" si="4"/>
        <v>E</v>
      </c>
      <c r="E71" s="42">
        <f t="shared" si="5"/>
        <v>45546</v>
      </c>
      <c r="F71" s="43" t="str">
        <f t="array" ref="F71">+TIPOARMA(H71,I71)</f>
        <v>ACRR</v>
      </c>
      <c r="G71" s="41"/>
      <c r="H71" s="41" t="str">
        <f t="array" ref="H71">+ARMASTD(N71)</f>
        <v>Pistola</v>
      </c>
      <c r="I71" s="41" t="str">
        <f t="array" ref="I71">+CALIBRESTD(O71)</f>
        <v>.45 ACP</v>
      </c>
      <c r="L71" t="s">
        <v>241</v>
      </c>
      <c r="M71" t="s">
        <v>239</v>
      </c>
      <c r="N71" t="s">
        <v>184</v>
      </c>
      <c r="O71" t="s">
        <v>230</v>
      </c>
      <c r="P71" s="40">
        <v>5</v>
      </c>
      <c r="Q71" t="s">
        <v>218</v>
      </c>
      <c r="R71" t="s">
        <v>77</v>
      </c>
    </row>
    <row r="72" spans="1:18" ht="14.25" customHeight="1" x14ac:dyDescent="0.35">
      <c r="A72" t="str">
        <f t="array" ref="A72">EXTRACTEVENT(Q72,S72)</f>
        <v>Paulista e Nacional Light</v>
      </c>
      <c r="B72" t="str">
        <f t="shared" si="3"/>
        <v>8</v>
      </c>
      <c r="C72" t="str">
        <f>+VLOOKUP(R72,Maps!$A:$C,2,0)</f>
        <v>FPTE</v>
      </c>
      <c r="D72" t="str">
        <f t="shared" si="4"/>
        <v>E</v>
      </c>
      <c r="E72" s="39">
        <f t="shared" si="5"/>
        <v>45546</v>
      </c>
      <c r="F72" s="7" t="str">
        <f t="array" ref="F72">+TIPOARMA(H72,I72)</f>
        <v>ACRP</v>
      </c>
      <c r="H72" t="str">
        <f t="array" ref="H72">+ARMASTD(N72)</f>
        <v>Pistola</v>
      </c>
      <c r="I72" t="str">
        <f t="array" ref="I72">+CALIBRESTD(O72)</f>
        <v>.380 ACP</v>
      </c>
      <c r="L72" t="s">
        <v>241</v>
      </c>
      <c r="M72" t="s">
        <v>239</v>
      </c>
      <c r="N72" t="s">
        <v>160</v>
      </c>
      <c r="O72" t="s">
        <v>200</v>
      </c>
      <c r="P72" s="40">
        <v>5</v>
      </c>
      <c r="Q72" t="s">
        <v>218</v>
      </c>
      <c r="R72" t="s">
        <v>77</v>
      </c>
    </row>
    <row r="73" spans="1:18" ht="14.25" customHeight="1" x14ac:dyDescent="0.35">
      <c r="A73" s="41" t="str">
        <f t="array" ref="A73">EXTRACTEVENT(Q73,S73)</f>
        <v>Paulista e Nacional Light</v>
      </c>
      <c r="B73" s="41" t="str">
        <f t="shared" si="3"/>
        <v>8</v>
      </c>
      <c r="C73" s="41" t="str">
        <f>+VLOOKUP(R73,Maps!$A:$C,2,0)</f>
        <v>FPTE</v>
      </c>
      <c r="D73" s="41" t="str">
        <f t="shared" si="4"/>
        <v>E</v>
      </c>
      <c r="E73" s="42">
        <f t="shared" si="5"/>
        <v>45546</v>
      </c>
      <c r="F73" s="43" t="str">
        <f t="array" ref="F73">+TIPOARMA(H73,I73)</f>
        <v>ACRR</v>
      </c>
      <c r="G73" s="41"/>
      <c r="H73" s="41" t="str">
        <f t="array" ref="H73">+ARMASTD(N73)</f>
        <v>Pistola</v>
      </c>
      <c r="I73" s="41" t="str">
        <f t="array" ref="I73">+CALIBRESTD(O73)</f>
        <v>.38 Super</v>
      </c>
      <c r="L73" t="s">
        <v>241</v>
      </c>
      <c r="M73" t="s">
        <v>242</v>
      </c>
      <c r="N73" t="s">
        <v>243</v>
      </c>
      <c r="O73" t="s">
        <v>244</v>
      </c>
      <c r="P73" s="40">
        <v>5</v>
      </c>
      <c r="Q73" t="s">
        <v>218</v>
      </c>
      <c r="R73" t="s">
        <v>77</v>
      </c>
    </row>
    <row r="74" spans="1:18" ht="14.25" customHeight="1" x14ac:dyDescent="0.35">
      <c r="A74" t="str">
        <f t="array" ref="A74">EXTRACTEVENT(Q74,S74)</f>
        <v>Paulista e Nacional Light</v>
      </c>
      <c r="B74" t="str">
        <f t="shared" si="3"/>
        <v>8</v>
      </c>
      <c r="C74" t="str">
        <f>+VLOOKUP(R74,Maps!$A:$C,2,0)</f>
        <v>FPTE</v>
      </c>
      <c r="D74" t="str">
        <f t="shared" si="4"/>
        <v>E</v>
      </c>
      <c r="E74" s="39">
        <f t="shared" si="5"/>
        <v>45546</v>
      </c>
      <c r="F74" s="7" t="str">
        <f t="array" ref="F74">+TIPOARMA(H74,I74)</f>
        <v>ALRR</v>
      </c>
      <c r="H74" t="str">
        <f t="array" ref="H74">+ARMASTD(N74)</f>
        <v>Carabina/Fuzil</v>
      </c>
      <c r="I74" t="str">
        <f t="array" ref="I74">+CALIBRESTD(O74)</f>
        <v>5.56MM</v>
      </c>
      <c r="L74" t="s">
        <v>241</v>
      </c>
      <c r="M74" t="s">
        <v>245</v>
      </c>
      <c r="N74" t="s">
        <v>165</v>
      </c>
      <c r="O74" t="s">
        <v>166</v>
      </c>
      <c r="P74" s="40">
        <v>5</v>
      </c>
      <c r="Q74" t="s">
        <v>214</v>
      </c>
      <c r="R74" t="s">
        <v>77</v>
      </c>
    </row>
    <row r="75" spans="1:18" ht="14.25" customHeight="1" x14ac:dyDescent="0.35">
      <c r="A75" s="41" t="str">
        <f t="array" ref="A75">EXTRACTEVENT(Q75,S75)</f>
        <v>Paulista e Nacional Light</v>
      </c>
      <c r="B75" s="41" t="str">
        <f t="shared" si="3"/>
        <v>8</v>
      </c>
      <c r="C75" s="41" t="str">
        <f>+VLOOKUP(R75,Maps!$A:$C,2,0)</f>
        <v>FPTE</v>
      </c>
      <c r="D75" s="41" t="str">
        <f t="shared" si="4"/>
        <v>E</v>
      </c>
      <c r="E75" s="42">
        <f t="shared" si="5"/>
        <v>45546</v>
      </c>
      <c r="F75" s="43" t="str">
        <f t="array" ref="F75">+TIPOARMA(H75,I75)</f>
        <v>ACRR</v>
      </c>
      <c r="G75" s="41"/>
      <c r="H75" s="41" t="str">
        <f t="array" ref="H75">+ARMASTD(N75)</f>
        <v>Revólver</v>
      </c>
      <c r="I75" s="41" t="str">
        <f t="array" ref="I75">+CALIBRESTD(O75)</f>
        <v>.357 Mag</v>
      </c>
      <c r="L75" t="s">
        <v>241</v>
      </c>
      <c r="M75" t="s">
        <v>246</v>
      </c>
      <c r="N75" t="s">
        <v>247</v>
      </c>
      <c r="O75" t="s">
        <v>209</v>
      </c>
      <c r="P75" s="40">
        <v>5</v>
      </c>
      <c r="Q75" t="s">
        <v>248</v>
      </c>
      <c r="R75" t="s">
        <v>77</v>
      </c>
    </row>
    <row r="76" spans="1:18" ht="14.25" customHeight="1" x14ac:dyDescent="0.35">
      <c r="A76" t="str">
        <f t="array" ref="A76">EXTRACTEVENT(Q76,S76)</f>
        <v>Paulista e Nacional Light</v>
      </c>
      <c r="B76" t="str">
        <f t="shared" si="3"/>
        <v>8</v>
      </c>
      <c r="C76" t="str">
        <f>+VLOOKUP(R76,Maps!$A:$C,2,0)</f>
        <v>FPTE</v>
      </c>
      <c r="D76" t="str">
        <f t="shared" si="4"/>
        <v>E</v>
      </c>
      <c r="E76" s="39">
        <f t="shared" si="5"/>
        <v>45546</v>
      </c>
      <c r="F76" s="7" t="str">
        <f t="array" ref="F76">+TIPOARMA(H76,I76)</f>
        <v>ACRP</v>
      </c>
      <c r="H76" t="str">
        <f t="array" ref="H76">+ARMASTD(N76)</f>
        <v>Revólver</v>
      </c>
      <c r="I76" t="str">
        <f t="array" ref="I76">+CALIBRESTD(O76)</f>
        <v>.38 SPL</v>
      </c>
      <c r="L76" t="s">
        <v>241</v>
      </c>
      <c r="M76" t="s">
        <v>246</v>
      </c>
      <c r="N76" t="s">
        <v>249</v>
      </c>
      <c r="O76" t="s">
        <v>250</v>
      </c>
      <c r="P76" s="40">
        <v>5</v>
      </c>
      <c r="Q76" t="s">
        <v>248</v>
      </c>
      <c r="R76" t="s">
        <v>77</v>
      </c>
    </row>
    <row r="77" spans="1:18" ht="14.25" customHeight="1" x14ac:dyDescent="0.35">
      <c r="A77" s="41" t="str">
        <f t="array" ref="A77">EXTRACTEVENT(Q77,S77)</f>
        <v>Paulista e Nacional Light</v>
      </c>
      <c r="B77" s="41" t="str">
        <f t="shared" si="3"/>
        <v>4</v>
      </c>
      <c r="C77" s="41" t="str">
        <f>+VLOOKUP(R77,Maps!$A:$C,2,0)</f>
        <v>FPTE</v>
      </c>
      <c r="D77" s="41" t="str">
        <f t="shared" si="4"/>
        <v>E</v>
      </c>
      <c r="E77" s="42">
        <f t="shared" si="5"/>
        <v>45443</v>
      </c>
      <c r="F77" s="43" t="str">
        <f t="array" ref="F77">+TIPOARMA(H77,I77)</f>
        <v>ACRR</v>
      </c>
      <c r="G77" s="41"/>
      <c r="H77" s="41" t="str">
        <f t="array" ref="H77">+ARMASTD(N77)</f>
        <v>Pistola</v>
      </c>
      <c r="I77" s="41" t="str">
        <f t="array" ref="I77">+CALIBRESTD(O77)</f>
        <v>.38 Super</v>
      </c>
      <c r="L77" t="s">
        <v>251</v>
      </c>
      <c r="M77" t="s">
        <v>252</v>
      </c>
      <c r="N77" t="s">
        <v>243</v>
      </c>
      <c r="O77" t="s">
        <v>253</v>
      </c>
      <c r="P77" s="40">
        <v>5</v>
      </c>
      <c r="Q77" t="s">
        <v>254</v>
      </c>
      <c r="R77" t="s">
        <v>77</v>
      </c>
    </row>
    <row r="78" spans="1:18" ht="14.25" customHeight="1" x14ac:dyDescent="0.35">
      <c r="A78" t="str">
        <f t="array" ref="A78">EXTRACTEVENT(Q78,S78)</f>
        <v>Paulista e Nacional Light</v>
      </c>
      <c r="B78" t="str">
        <f t="shared" si="3"/>
        <v>4</v>
      </c>
      <c r="C78" t="str">
        <f>+VLOOKUP(R78,Maps!$A:$C,2,0)</f>
        <v>FPTE</v>
      </c>
      <c r="D78" t="str">
        <f t="shared" si="4"/>
        <v>E</v>
      </c>
      <c r="E78" s="39">
        <f t="shared" si="5"/>
        <v>45443</v>
      </c>
      <c r="F78" s="7" t="str">
        <f t="array" ref="F78">+TIPOARMA(H78,I78)</f>
        <v>ACRP</v>
      </c>
      <c r="H78" t="str">
        <f t="array" ref="H78">+ARMASTD(N78)</f>
        <v>Pistola</v>
      </c>
      <c r="I78" t="str">
        <f t="array" ref="I78">+CALIBRESTD(O78)</f>
        <v>.380 ACP</v>
      </c>
      <c r="L78" t="s">
        <v>251</v>
      </c>
      <c r="M78" t="s">
        <v>252</v>
      </c>
      <c r="N78" t="s">
        <v>160</v>
      </c>
      <c r="O78" t="s">
        <v>182</v>
      </c>
      <c r="P78" s="40">
        <v>5</v>
      </c>
      <c r="Q78" t="s">
        <v>254</v>
      </c>
      <c r="R78" t="s">
        <v>77</v>
      </c>
    </row>
    <row r="79" spans="1:18" ht="14.25" customHeight="1" x14ac:dyDescent="0.35">
      <c r="A79" s="41" t="str">
        <f t="array" ref="A79">EXTRACTEVENT(Q79,S79)</f>
        <v>Paulista e Nacional Light</v>
      </c>
      <c r="B79" s="41" t="str">
        <f t="shared" si="3"/>
        <v>4</v>
      </c>
      <c r="C79" s="41" t="str">
        <f>+VLOOKUP(R79,Maps!$A:$C,2,0)</f>
        <v>FPTE</v>
      </c>
      <c r="D79" s="41" t="str">
        <f t="shared" si="4"/>
        <v>E</v>
      </c>
      <c r="E79" s="42">
        <f t="shared" si="5"/>
        <v>45443</v>
      </c>
      <c r="F79" s="43" t="str">
        <f t="array" ref="F79">+TIPOARMA(H79,I79)</f>
        <v>ACRR</v>
      </c>
      <c r="G79" s="41"/>
      <c r="H79" s="41" t="str">
        <f t="array" ref="H79">+ARMASTD(N79)</f>
        <v>Pistola</v>
      </c>
      <c r="I79" s="41" t="str">
        <f t="array" ref="I79">+CALIBRESTD(O79)</f>
        <v>.45 ACP</v>
      </c>
      <c r="L79" t="s">
        <v>251</v>
      </c>
      <c r="M79" t="s">
        <v>252</v>
      </c>
      <c r="N79" t="s">
        <v>184</v>
      </c>
      <c r="O79" t="s">
        <v>185</v>
      </c>
      <c r="P79" s="40">
        <v>5</v>
      </c>
      <c r="Q79" t="s">
        <v>254</v>
      </c>
      <c r="R79" t="s">
        <v>77</v>
      </c>
    </row>
    <row r="80" spans="1:18" ht="14.25" customHeight="1" x14ac:dyDescent="0.35">
      <c r="A80" t="str">
        <f t="array" ref="A80">EXTRACTEVENT(Q80,S80)</f>
        <v>Paulista e Nacional Light</v>
      </c>
      <c r="B80" t="str">
        <f t="shared" si="3"/>
        <v>4</v>
      </c>
      <c r="C80" t="str">
        <f>+VLOOKUP(R80,Maps!$A:$C,2,0)</f>
        <v>FPTE</v>
      </c>
      <c r="D80" t="str">
        <f t="shared" si="4"/>
        <v>E</v>
      </c>
      <c r="E80" s="39">
        <f t="shared" si="5"/>
        <v>45443</v>
      </c>
      <c r="F80" s="7" t="str">
        <f t="array" ref="F80">+TIPOARMA(H80,I80)</f>
        <v>ACRR</v>
      </c>
      <c r="H80" t="str">
        <f t="array" ref="H80">+ARMASTD(N80)</f>
        <v>Pistola</v>
      </c>
      <c r="I80" t="str">
        <f t="array" ref="I80">+CALIBRESTD(O80)</f>
        <v>9mm</v>
      </c>
      <c r="L80" t="s">
        <v>251</v>
      </c>
      <c r="M80" t="s">
        <v>252</v>
      </c>
      <c r="N80" t="s">
        <v>157</v>
      </c>
      <c r="O80" t="s">
        <v>187</v>
      </c>
      <c r="P80" s="40">
        <v>5</v>
      </c>
      <c r="Q80" t="s">
        <v>254</v>
      </c>
      <c r="R80" t="s">
        <v>77</v>
      </c>
    </row>
    <row r="81" spans="1:18" ht="14.25" customHeight="1" x14ac:dyDescent="0.35">
      <c r="A81" s="41" t="str">
        <f t="array" ref="A81">EXTRACTEVENT(Q81,S81)</f>
        <v>Paulista e Nacional Light</v>
      </c>
      <c r="B81" s="41" t="str">
        <f t="shared" si="3"/>
        <v>4</v>
      </c>
      <c r="C81" s="41" t="str">
        <f>+VLOOKUP(R81,Maps!$A:$C,2,0)</f>
        <v>FPTE</v>
      </c>
      <c r="D81" s="41" t="str">
        <f t="shared" si="4"/>
        <v>E</v>
      </c>
      <c r="E81" s="42">
        <f t="shared" si="5"/>
        <v>45443</v>
      </c>
      <c r="F81" s="43" t="str">
        <f t="array" ref="F81">+TIPOARMA(H81,I81)</f>
        <v>ACRR</v>
      </c>
      <c r="G81" s="41"/>
      <c r="H81" s="41" t="str">
        <f t="array" ref="H81">+ARMASTD(N81)</f>
        <v>Revólver</v>
      </c>
      <c r="I81" s="41" t="str">
        <f t="array" ref="I81">+CALIBRESTD(O81)</f>
        <v>.357 Mag</v>
      </c>
      <c r="L81" t="s">
        <v>251</v>
      </c>
      <c r="M81" t="s">
        <v>252</v>
      </c>
      <c r="N81" t="s">
        <v>247</v>
      </c>
      <c r="O81" t="s">
        <v>179</v>
      </c>
      <c r="P81" s="40">
        <v>5</v>
      </c>
      <c r="Q81" t="s">
        <v>255</v>
      </c>
      <c r="R81" t="s">
        <v>77</v>
      </c>
    </row>
    <row r="82" spans="1:18" ht="14.25" customHeight="1" x14ac:dyDescent="0.35">
      <c r="A82" t="str">
        <f t="array" ref="A82">EXTRACTEVENT(Q82,S82)</f>
        <v>Paulista e Nacional Light</v>
      </c>
      <c r="B82" t="str">
        <f t="shared" si="3"/>
        <v>4</v>
      </c>
      <c r="C82" t="str">
        <f>+VLOOKUP(R82,Maps!$A:$C,2,0)</f>
        <v>FPTE</v>
      </c>
      <c r="D82" t="str">
        <f t="shared" si="4"/>
        <v>E</v>
      </c>
      <c r="E82" s="39">
        <f t="shared" si="5"/>
        <v>45443</v>
      </c>
      <c r="F82" s="7" t="str">
        <f t="array" ref="F82">+TIPOARMA(H82,I82)</f>
        <v>ACRR</v>
      </c>
      <c r="H82" t="str">
        <f t="array" ref="H82">+ARMASTD(N82)</f>
        <v>Revólver</v>
      </c>
      <c r="I82" t="str">
        <f t="array" ref="I82">+CALIBRESTD(O82)</f>
        <v>.357 Mag</v>
      </c>
      <c r="L82" t="s">
        <v>251</v>
      </c>
      <c r="M82" t="s">
        <v>252</v>
      </c>
      <c r="N82" t="s">
        <v>247</v>
      </c>
      <c r="O82" t="s">
        <v>179</v>
      </c>
      <c r="P82" s="40">
        <v>5</v>
      </c>
      <c r="Q82" t="s">
        <v>255</v>
      </c>
      <c r="R82" t="s">
        <v>77</v>
      </c>
    </row>
    <row r="83" spans="1:18" ht="14.25" customHeight="1" x14ac:dyDescent="0.35">
      <c r="A83" s="41" t="str">
        <f t="array" ref="A83">EXTRACTEVENT(Q83,S83)</f>
        <v>Campeonato Paulista e Brasileiro de Car/Pst/RF 2024</v>
      </c>
      <c r="B83" s="41" t="str">
        <f t="shared" si="3"/>
        <v>4</v>
      </c>
      <c r="C83" s="41" t="str">
        <f>+VLOOKUP(R83,Maps!$A:$C,2,0)</f>
        <v>FPTE</v>
      </c>
      <c r="D83" s="41" t="str">
        <f t="shared" si="4"/>
        <v>E</v>
      </c>
      <c r="E83" s="42">
        <f t="shared" si="5"/>
        <v>45414</v>
      </c>
      <c r="F83" s="43" t="str">
        <f t="array" ref="F83">+TIPOARMA(H83,I83)</f>
        <v>ACRP</v>
      </c>
      <c r="G83" s="41"/>
      <c r="H83" s="41" t="str">
        <f t="array" ref="H83">+ARMASTD(N83)</f>
        <v>Pistola</v>
      </c>
      <c r="I83" s="41" t="str">
        <f t="array" ref="I83">+CALIBRESTD(O83)</f>
        <v>.380 ACP</v>
      </c>
      <c r="L83" t="s">
        <v>256</v>
      </c>
      <c r="M83" t="s">
        <v>239</v>
      </c>
      <c r="N83" t="s">
        <v>160</v>
      </c>
      <c r="O83" t="s">
        <v>200</v>
      </c>
      <c r="P83" s="40">
        <v>10</v>
      </c>
      <c r="Q83" t="s">
        <v>257</v>
      </c>
      <c r="R83" t="s">
        <v>77</v>
      </c>
    </row>
    <row r="84" spans="1:18" ht="14.25" customHeight="1" x14ac:dyDescent="0.35">
      <c r="A84" t="str">
        <f t="array" ref="A84">EXTRACTEVENT(Q84,S84)</f>
        <v>Campeonato Paulista e Brasileiro de Car/Pst/RF 2024</v>
      </c>
      <c r="B84" t="str">
        <f t="shared" si="3"/>
        <v>4</v>
      </c>
      <c r="C84" t="str">
        <f>+VLOOKUP(R84,Maps!$A:$C,2,0)</f>
        <v>FPTE</v>
      </c>
      <c r="D84" t="str">
        <f t="shared" si="4"/>
        <v>E</v>
      </c>
      <c r="E84" s="39">
        <f t="shared" si="5"/>
        <v>45414</v>
      </c>
      <c r="F84" s="7" t="str">
        <f t="array" ref="F84">+TIPOARMA(H84,I84)</f>
        <v>ACRR</v>
      </c>
      <c r="H84" t="str">
        <f t="array" ref="H84">+ARMASTD(N84)</f>
        <v>Pistola</v>
      </c>
      <c r="I84" t="str">
        <f t="array" ref="I84">+CALIBRESTD(O84)</f>
        <v>.38 Super</v>
      </c>
      <c r="L84" t="s">
        <v>256</v>
      </c>
      <c r="M84" t="s">
        <v>239</v>
      </c>
      <c r="N84" t="s">
        <v>243</v>
      </c>
      <c r="O84" t="s">
        <v>258</v>
      </c>
      <c r="P84" s="40">
        <v>10</v>
      </c>
      <c r="Q84" t="s">
        <v>257</v>
      </c>
      <c r="R84" t="s">
        <v>77</v>
      </c>
    </row>
    <row r="85" spans="1:18" ht="14.25" customHeight="1" x14ac:dyDescent="0.35">
      <c r="A85" s="41" t="str">
        <f t="array" ref="A85">EXTRACTEVENT(Q85,S85)</f>
        <v>Campeonato Paulista e Brasileiro de Car/Pst/RF 2024</v>
      </c>
      <c r="B85" s="41" t="str">
        <f t="shared" si="3"/>
        <v>4</v>
      </c>
      <c r="C85" s="41" t="str">
        <f>+VLOOKUP(R85,Maps!$A:$C,2,0)</f>
        <v>FPTE</v>
      </c>
      <c r="D85" s="41" t="str">
        <f t="shared" si="4"/>
        <v>E</v>
      </c>
      <c r="E85" s="42">
        <f t="shared" si="5"/>
        <v>45414</v>
      </c>
      <c r="F85" s="43" t="str">
        <f t="array" ref="F85">+TIPOARMA(H85,I85)</f>
        <v>ACRR</v>
      </c>
      <c r="G85" s="41"/>
      <c r="H85" s="41" t="str">
        <f t="array" ref="H85">+ARMASTD(N85)</f>
        <v>Pistola</v>
      </c>
      <c r="I85" s="41" t="str">
        <f t="array" ref="I85">+CALIBRESTD(O85)</f>
        <v>9mm</v>
      </c>
      <c r="L85" t="s">
        <v>256</v>
      </c>
      <c r="M85" t="s">
        <v>239</v>
      </c>
      <c r="N85" t="s">
        <v>202</v>
      </c>
      <c r="O85" t="s">
        <v>158</v>
      </c>
      <c r="P85" s="40">
        <v>10</v>
      </c>
      <c r="Q85" t="s">
        <v>257</v>
      </c>
      <c r="R85" t="s">
        <v>77</v>
      </c>
    </row>
    <row r="86" spans="1:18" ht="14.25" customHeight="1" x14ac:dyDescent="0.35">
      <c r="A86" t="str">
        <f t="array" ref="A86">EXTRACTEVENT(Q86,S86)</f>
        <v>Campeonato Paulista e Brasileiro de Car/Pst/RF 2024</v>
      </c>
      <c r="B86" t="str">
        <f t="shared" si="3"/>
        <v>4</v>
      </c>
      <c r="C86" t="str">
        <f>+VLOOKUP(R86,Maps!$A:$C,2,0)</f>
        <v>FPTE</v>
      </c>
      <c r="D86" t="str">
        <f t="shared" si="4"/>
        <v>E</v>
      </c>
      <c r="E86" s="39">
        <f t="shared" si="5"/>
        <v>45414</v>
      </c>
      <c r="F86" s="7" t="str">
        <f t="array" ref="F86">+TIPOARMA(H86,I86)</f>
        <v>ACRR</v>
      </c>
      <c r="H86" t="str">
        <f t="array" ref="H86">+ARMASTD(N86)</f>
        <v>Pistola</v>
      </c>
      <c r="I86" t="str">
        <f t="array" ref="I86">+CALIBRESTD(O86)</f>
        <v>.45 ACP</v>
      </c>
      <c r="L86" t="s">
        <v>256</v>
      </c>
      <c r="M86" t="s">
        <v>239</v>
      </c>
      <c r="N86" t="s">
        <v>184</v>
      </c>
      <c r="O86" t="s">
        <v>259</v>
      </c>
      <c r="P86" s="40">
        <v>10</v>
      </c>
      <c r="Q86" t="s">
        <v>257</v>
      </c>
      <c r="R86" t="s">
        <v>77</v>
      </c>
    </row>
    <row r="87" spans="1:18" ht="14.25" customHeight="1" x14ac:dyDescent="0.35">
      <c r="A87" s="41" t="str">
        <f t="array" ref="A87">EXTRACTEVENT(Q87,S87)</f>
        <v>Campeonato Paulista e Brasileiro de Car/Pst/RF 2024</v>
      </c>
      <c r="B87" s="41" t="str">
        <f t="shared" si="3"/>
        <v>4</v>
      </c>
      <c r="C87" s="41" t="str">
        <f>+VLOOKUP(R87,Maps!$A:$C,2,0)</f>
        <v>FPTE</v>
      </c>
      <c r="D87" s="41" t="str">
        <f t="shared" si="4"/>
        <v>E</v>
      </c>
      <c r="E87" s="42">
        <f t="shared" si="5"/>
        <v>45414</v>
      </c>
      <c r="F87" s="43" t="str">
        <f t="array" ref="F87">+TIPOARMA(H87,I87)</f>
        <v>ACRP</v>
      </c>
      <c r="G87" s="41"/>
      <c r="H87" s="41" t="str">
        <f t="array" ref="H87">+ARMASTD(N87)</f>
        <v>Revólver</v>
      </c>
      <c r="I87" s="41" t="str">
        <f t="array" ref="I87">+CALIBRESTD(O87)</f>
        <v>.38 SPL</v>
      </c>
      <c r="L87" t="s">
        <v>256</v>
      </c>
      <c r="M87" t="s">
        <v>239</v>
      </c>
      <c r="N87" t="s">
        <v>249</v>
      </c>
      <c r="O87" t="s">
        <v>250</v>
      </c>
      <c r="P87" s="40">
        <v>10</v>
      </c>
      <c r="Q87" t="s">
        <v>260</v>
      </c>
      <c r="R87" t="s">
        <v>77</v>
      </c>
    </row>
    <row r="88" spans="1:18" ht="14.25" customHeight="1" x14ac:dyDescent="0.35">
      <c r="A88" t="str">
        <f t="array" ref="A88">EXTRACTEVENT(Q88,S88)</f>
        <v>Campeonato Paulista e Brasileiro de Car/Pst/RF 2024</v>
      </c>
      <c r="B88" t="str">
        <f t="shared" si="3"/>
        <v>4</v>
      </c>
      <c r="C88" t="str">
        <f>+VLOOKUP(R88,Maps!$A:$C,2,0)</f>
        <v>FPTE</v>
      </c>
      <c r="D88" t="str">
        <f t="shared" si="4"/>
        <v>E</v>
      </c>
      <c r="E88" s="39">
        <f t="shared" si="5"/>
        <v>45414</v>
      </c>
      <c r="F88" s="7" t="str">
        <f t="array" ref="F88">+TIPOARMA(H88,I88)</f>
        <v>ACRR</v>
      </c>
      <c r="H88" t="str">
        <f t="array" ref="H88">+ARMASTD(N88)</f>
        <v>Revólver</v>
      </c>
      <c r="I88" t="str">
        <f t="array" ref="I88">+CALIBRESTD(O88)</f>
        <v>.357 Mag</v>
      </c>
      <c r="L88" t="s">
        <v>256</v>
      </c>
      <c r="M88" t="s">
        <v>239</v>
      </c>
      <c r="N88" t="s">
        <v>247</v>
      </c>
      <c r="O88" t="s">
        <v>261</v>
      </c>
      <c r="P88" s="40">
        <v>10</v>
      </c>
      <c r="Q88" t="s">
        <v>260</v>
      </c>
      <c r="R88" t="s">
        <v>77</v>
      </c>
    </row>
    <row r="89" spans="1:18" ht="14.25" customHeight="1" x14ac:dyDescent="0.35">
      <c r="A89" s="41" t="str">
        <f t="array" ref="A89">EXTRACTEVENT(Q89,S89)</f>
        <v>Paulista e Nacional Light</v>
      </c>
      <c r="B89" s="41" t="str">
        <f t="shared" si="3"/>
        <v>3</v>
      </c>
      <c r="C89" s="41" t="str">
        <f>+VLOOKUP(R89,Maps!$A:$C,2,0)</f>
        <v>FPTE</v>
      </c>
      <c r="D89" s="41" t="str">
        <f t="shared" si="4"/>
        <v>E</v>
      </c>
      <c r="E89" s="42">
        <f t="shared" si="5"/>
        <v>45412</v>
      </c>
      <c r="F89" s="43" t="str">
        <f t="array" ref="F89">+TIPOARMA(H89,I89)</f>
        <v>ALRR</v>
      </c>
      <c r="G89" s="41"/>
      <c r="H89" s="41" t="str">
        <f t="array" ref="H89">+ARMASTD(N89)</f>
        <v>Carabina/Fuzil</v>
      </c>
      <c r="I89" s="41" t="str">
        <f t="array" ref="I89">+CALIBRESTD(O89)</f>
        <v>5.56MM</v>
      </c>
      <c r="L89" t="s">
        <v>262</v>
      </c>
      <c r="M89" t="s">
        <v>252</v>
      </c>
      <c r="N89" t="s">
        <v>165</v>
      </c>
      <c r="O89" t="s">
        <v>176</v>
      </c>
      <c r="P89" s="40">
        <v>5</v>
      </c>
      <c r="Q89" t="s">
        <v>263</v>
      </c>
      <c r="R89" t="s">
        <v>77</v>
      </c>
    </row>
    <row r="90" spans="1:18" ht="14.25" customHeight="1" x14ac:dyDescent="0.35">
      <c r="A90" t="str">
        <f t="array" ref="A90">EXTRACTEVENT(Q90,S90)</f>
        <v>Campeonato Paulista de Fuzil 50 e 20 metros , Baixa Luminosidade e Shotgun 2024</v>
      </c>
      <c r="B90" t="str">
        <f t="shared" si="3"/>
        <v>3</v>
      </c>
      <c r="C90" t="str">
        <f>+VLOOKUP(R90,Maps!$A:$C,2,0)</f>
        <v>FPTE</v>
      </c>
      <c r="D90" t="str">
        <f t="shared" si="4"/>
        <v>E</v>
      </c>
      <c r="E90" s="39">
        <f t="shared" si="5"/>
        <v>45400</v>
      </c>
      <c r="F90" s="7" t="str">
        <f t="array" ref="F90">+TIPOARMA(H90,I90)</f>
        <v>ALRR</v>
      </c>
      <c r="H90" t="str">
        <f t="array" ref="H90">+ARMASTD(N90)</f>
        <v>Carabina/Fuzil</v>
      </c>
      <c r="I90" t="str">
        <f t="array" ref="I90">+CALIBRESTD(O90)</f>
        <v>5.56MM</v>
      </c>
      <c r="L90" t="s">
        <v>264</v>
      </c>
      <c r="M90" t="s">
        <v>242</v>
      </c>
      <c r="N90" t="s">
        <v>165</v>
      </c>
      <c r="O90" t="s">
        <v>166</v>
      </c>
      <c r="P90" s="40">
        <v>10</v>
      </c>
      <c r="Q90" t="s">
        <v>265</v>
      </c>
      <c r="R90" t="s">
        <v>77</v>
      </c>
    </row>
    <row r="91" spans="1:18" ht="14.25" customHeight="1" x14ac:dyDescent="0.35">
      <c r="A91" s="41" t="str">
        <f t="array" ref="A91">EXTRACTEVENT(Q91,S91)</f>
        <v>Paulista e Nacional Light</v>
      </c>
      <c r="B91" s="41" t="str">
        <f t="shared" si="3"/>
        <v>3</v>
      </c>
      <c r="C91" s="41" t="str">
        <f>+VLOOKUP(R91,Maps!$A:$C,2,0)</f>
        <v>FPTE</v>
      </c>
      <c r="D91" s="41" t="str">
        <f t="shared" si="4"/>
        <v>E</v>
      </c>
      <c r="E91" s="42">
        <f t="shared" si="5"/>
        <v>45398</v>
      </c>
      <c r="F91" s="43" t="str">
        <f t="array" ref="F91">+TIPOARMA(H91,I91)</f>
        <v>ACRR</v>
      </c>
      <c r="G91" s="41"/>
      <c r="H91" s="41" t="str">
        <f t="array" ref="H91">+ARMASTD(N91)</f>
        <v>Pistola</v>
      </c>
      <c r="I91" s="41" t="str">
        <f t="array" ref="I91">+CALIBRESTD(O91)</f>
        <v>.45 ACP</v>
      </c>
      <c r="L91" t="s">
        <v>266</v>
      </c>
      <c r="M91" t="s">
        <v>267</v>
      </c>
      <c r="N91" t="s">
        <v>184</v>
      </c>
      <c r="O91" t="s">
        <v>259</v>
      </c>
      <c r="P91" s="40">
        <v>5</v>
      </c>
      <c r="Q91" t="s">
        <v>268</v>
      </c>
      <c r="R91" t="s">
        <v>77</v>
      </c>
    </row>
    <row r="92" spans="1:18" ht="14.25" customHeight="1" x14ac:dyDescent="0.35">
      <c r="A92" t="str">
        <f t="array" ref="A92">EXTRACTEVENT(Q92,S92)</f>
        <v>Paulista e Nacional Light</v>
      </c>
      <c r="B92" t="str">
        <f t="shared" si="3"/>
        <v>3</v>
      </c>
      <c r="C92" t="str">
        <f>+VLOOKUP(R92,Maps!$A:$C,2,0)</f>
        <v>FPTE</v>
      </c>
      <c r="D92" t="str">
        <f t="shared" si="4"/>
        <v>E</v>
      </c>
      <c r="E92" s="39">
        <f t="shared" si="5"/>
        <v>45398</v>
      </c>
      <c r="F92" s="7" t="str">
        <f t="array" ref="F92">+TIPOARMA(H92,I92)</f>
        <v>ACRR</v>
      </c>
      <c r="H92" t="str">
        <f t="array" ref="H92">+ARMASTD(N92)</f>
        <v>Pistola</v>
      </c>
      <c r="I92" t="str">
        <f t="array" ref="I92">+CALIBRESTD(O92)</f>
        <v>.38 Super</v>
      </c>
      <c r="L92" t="s">
        <v>266</v>
      </c>
      <c r="M92" t="s">
        <v>211</v>
      </c>
      <c r="N92" t="s">
        <v>243</v>
      </c>
      <c r="O92" t="s">
        <v>258</v>
      </c>
      <c r="P92" s="40">
        <v>5</v>
      </c>
      <c r="Q92" t="s">
        <v>268</v>
      </c>
      <c r="R92" t="s">
        <v>77</v>
      </c>
    </row>
    <row r="93" spans="1:18" ht="14.25" customHeight="1" x14ac:dyDescent="0.35">
      <c r="A93" s="41" t="str">
        <f t="array" ref="A93">EXTRACTEVENT(Q93,S93)</f>
        <v>Paulista e Nacional Light</v>
      </c>
      <c r="B93" s="41" t="str">
        <f t="shared" si="3"/>
        <v>3</v>
      </c>
      <c r="C93" s="41" t="str">
        <f>+VLOOKUP(R93,Maps!$A:$C,2,0)</f>
        <v>FPTE</v>
      </c>
      <c r="D93" s="41" t="str">
        <f t="shared" si="4"/>
        <v>E</v>
      </c>
      <c r="E93" s="42">
        <f t="shared" si="5"/>
        <v>45398</v>
      </c>
      <c r="F93" s="43" t="str">
        <f t="array" ref="F93">+TIPOARMA(H93,I93)</f>
        <v>ACRR</v>
      </c>
      <c r="G93" s="41"/>
      <c r="H93" s="41" t="str">
        <f t="array" ref="H93">+ARMASTD(N93)</f>
        <v>Pistola</v>
      </c>
      <c r="I93" s="41" t="str">
        <f t="array" ref="I93">+CALIBRESTD(O93)</f>
        <v>9mm</v>
      </c>
      <c r="L93" t="s">
        <v>266</v>
      </c>
      <c r="M93" t="s">
        <v>269</v>
      </c>
      <c r="N93" t="s">
        <v>157</v>
      </c>
      <c r="O93" t="s">
        <v>158</v>
      </c>
      <c r="P93" s="40">
        <v>5</v>
      </c>
      <c r="Q93" t="s">
        <v>268</v>
      </c>
      <c r="R93" t="s">
        <v>77</v>
      </c>
    </row>
    <row r="94" spans="1:18" ht="14.25" customHeight="1" x14ac:dyDescent="0.35">
      <c r="A94" t="str">
        <f t="array" ref="A94">EXTRACTEVENT(Q94,S94)</f>
        <v>Paulista e Nacional Light</v>
      </c>
      <c r="B94" t="str">
        <f t="shared" si="3"/>
        <v>3</v>
      </c>
      <c r="C94" t="str">
        <f>+VLOOKUP(R94,Maps!$A:$C,2,0)</f>
        <v>FPTE</v>
      </c>
      <c r="D94" t="str">
        <f t="shared" si="4"/>
        <v>E</v>
      </c>
      <c r="E94" s="39">
        <f t="shared" si="5"/>
        <v>45398</v>
      </c>
      <c r="F94" s="7" t="str">
        <f t="array" ref="F94">+TIPOARMA(H94,I94)</f>
        <v>ACRP</v>
      </c>
      <c r="H94" t="str">
        <f t="array" ref="H94">+ARMASTD(N94)</f>
        <v>Pistola</v>
      </c>
      <c r="I94" t="str">
        <f t="array" ref="I94">+CALIBRESTD(O94)</f>
        <v>.380 ACP</v>
      </c>
      <c r="L94" t="s">
        <v>266</v>
      </c>
      <c r="M94" t="s">
        <v>269</v>
      </c>
      <c r="N94" t="s">
        <v>160</v>
      </c>
      <c r="O94" t="s">
        <v>161</v>
      </c>
      <c r="P94" s="40">
        <v>5</v>
      </c>
      <c r="Q94" t="s">
        <v>268</v>
      </c>
      <c r="R94" t="s">
        <v>77</v>
      </c>
    </row>
    <row r="95" spans="1:18" ht="14.25" customHeight="1" x14ac:dyDescent="0.35">
      <c r="A95" s="41" t="str">
        <f t="array" ref="A95">EXTRACTEVENT(Q95,S95)</f>
        <v>Paulista e Nacional Light</v>
      </c>
      <c r="B95" s="41" t="str">
        <f t="shared" si="3"/>
        <v>3</v>
      </c>
      <c r="C95" s="41" t="str">
        <f>+VLOOKUP(R95,Maps!$A:$C,2,0)</f>
        <v>FPTE</v>
      </c>
      <c r="D95" s="41" t="str">
        <f t="shared" si="4"/>
        <v>E</v>
      </c>
      <c r="E95" s="42">
        <f t="shared" si="5"/>
        <v>45386</v>
      </c>
      <c r="F95" s="43" t="str">
        <f t="array" ref="F95">+TIPOARMA(H95,I95)</f>
        <v>ACRP</v>
      </c>
      <c r="G95" s="41"/>
      <c r="H95" s="41" t="str">
        <f t="array" ref="H95">+ARMASTD(N95)</f>
        <v>Revólver</v>
      </c>
      <c r="I95" s="41" t="str">
        <f t="array" ref="I95">+CALIBRESTD(O95)</f>
        <v>.38 SPL</v>
      </c>
      <c r="L95" t="s">
        <v>270</v>
      </c>
      <c r="M95" t="s">
        <v>242</v>
      </c>
      <c r="N95" t="s">
        <v>249</v>
      </c>
      <c r="O95" t="s">
        <v>271</v>
      </c>
      <c r="P95" s="40">
        <v>5</v>
      </c>
      <c r="Q95" t="s">
        <v>272</v>
      </c>
      <c r="R95" t="s">
        <v>77</v>
      </c>
    </row>
    <row r="96" spans="1:18" ht="14.25" customHeight="1" x14ac:dyDescent="0.35">
      <c r="A96" t="str">
        <f t="array" ref="A96">EXTRACTEVENT(Q96,S96)</f>
        <v>Campeonato Paulista e Brasileiro de Car/Pst/RF 2024</v>
      </c>
      <c r="B96" t="str">
        <f t="shared" si="3"/>
        <v>2</v>
      </c>
      <c r="C96" t="str">
        <f>+VLOOKUP(R96,Maps!$A:$C,2,0)</f>
        <v>FPTE</v>
      </c>
      <c r="D96" t="str">
        <f t="shared" si="4"/>
        <v>E</v>
      </c>
      <c r="E96" s="39">
        <f t="shared" si="5"/>
        <v>45374</v>
      </c>
      <c r="F96" s="7" t="str">
        <f t="array" ref="F96">+TIPOARMA(H96,I96)</f>
        <v>ALRP</v>
      </c>
      <c r="H96" t="str">
        <f t="array" ref="H96">+ARMASTD(N96)</f>
        <v>Carabina/Fuzil</v>
      </c>
      <c r="I96" t="str">
        <f t="array" ref="I96">+CALIBRESTD(O96)</f>
        <v>.357 Mag</v>
      </c>
      <c r="L96" t="s">
        <v>273</v>
      </c>
      <c r="M96" t="s">
        <v>274</v>
      </c>
      <c r="N96" t="s">
        <v>162</v>
      </c>
      <c r="O96" t="s">
        <v>179</v>
      </c>
      <c r="P96" s="40">
        <v>10</v>
      </c>
      <c r="Q96" t="s">
        <v>275</v>
      </c>
      <c r="R96" t="s">
        <v>77</v>
      </c>
    </row>
    <row r="97" spans="1:18" ht="14.25" customHeight="1" x14ac:dyDescent="0.35">
      <c r="A97" s="41" t="str">
        <f t="array" ref="A97">EXTRACTEVENT(Q97,S97)</f>
        <v>Campeonato Paulista e Brasileiro de Car/Pst/RF 2024</v>
      </c>
      <c r="B97" s="41" t="str">
        <f t="shared" si="3"/>
        <v>2</v>
      </c>
      <c r="C97" s="41" t="str">
        <f>+VLOOKUP(R97,Maps!$A:$C,2,0)</f>
        <v>FPTE</v>
      </c>
      <c r="D97" s="41" t="str">
        <f t="shared" si="4"/>
        <v>E</v>
      </c>
      <c r="E97" s="42">
        <f t="shared" si="5"/>
        <v>45374</v>
      </c>
      <c r="F97" s="43" t="str">
        <f t="array" ref="F97">+TIPOARMA(H97,I97)</f>
        <v>ALRP</v>
      </c>
      <c r="G97" s="41"/>
      <c r="H97" s="41" t="str">
        <f t="array" ref="H97">+ARMASTD(N97)</f>
        <v>Carabina/Fuzil</v>
      </c>
      <c r="I97" s="41" t="str">
        <f t="array" ref="I97">+CALIBRESTD(O97)</f>
        <v>.357 Mag</v>
      </c>
      <c r="L97" t="s">
        <v>273</v>
      </c>
      <c r="M97" t="s">
        <v>274</v>
      </c>
      <c r="N97" t="s">
        <v>162</v>
      </c>
      <c r="O97" t="s">
        <v>179</v>
      </c>
      <c r="P97" s="40">
        <v>10</v>
      </c>
      <c r="Q97" t="s">
        <v>275</v>
      </c>
      <c r="R97" t="s">
        <v>77</v>
      </c>
    </row>
    <row r="98" spans="1:18" ht="14.25" customHeight="1" x14ac:dyDescent="0.35">
      <c r="A98" t="str">
        <f t="array" ref="A98">EXTRACTEVENT(Q98,S98)</f>
        <v>Campeonato Paulista e Brasileiro de Car/Pst/RF 2024</v>
      </c>
      <c r="B98" t="str">
        <f t="shared" si="3"/>
        <v>2</v>
      </c>
      <c r="C98" t="str">
        <f>+VLOOKUP(R98,Maps!$A:$C,2,0)</f>
        <v>FPTE</v>
      </c>
      <c r="D98" t="str">
        <f t="shared" si="4"/>
        <v>E</v>
      </c>
      <c r="E98" s="39">
        <f t="shared" si="5"/>
        <v>45374</v>
      </c>
      <c r="F98" s="7" t="str">
        <f t="array" ref="F98">+TIPOARMA(H98,I98)</f>
        <v>ALRP</v>
      </c>
      <c r="H98" t="str">
        <f t="array" ref="H98">+ARMASTD(N98)</f>
        <v>Carabina/Fuzil</v>
      </c>
      <c r="I98" t="str">
        <f t="array" ref="I98">+CALIBRESTD(O98)</f>
        <v>.357 Mag</v>
      </c>
      <c r="L98" t="s">
        <v>273</v>
      </c>
      <c r="M98" t="s">
        <v>274</v>
      </c>
      <c r="N98" t="s">
        <v>162</v>
      </c>
      <c r="O98" t="s">
        <v>179</v>
      </c>
      <c r="P98" s="40">
        <v>10</v>
      </c>
      <c r="Q98" t="s">
        <v>275</v>
      </c>
      <c r="R98" t="s">
        <v>77</v>
      </c>
    </row>
    <row r="99" spans="1:18" ht="14.25" customHeight="1" x14ac:dyDescent="0.35">
      <c r="A99" s="41" t="str">
        <f t="array" ref="A99">EXTRACTEVENT(Q99,S99)</f>
        <v>Campeonato Paulista e Brasileiro de Car/Pst/RF 2024</v>
      </c>
      <c r="B99" s="41" t="str">
        <f t="shared" si="3"/>
        <v>2</v>
      </c>
      <c r="C99" s="41" t="str">
        <f>+VLOOKUP(R99,Maps!$A:$C,2,0)</f>
        <v>FPTE</v>
      </c>
      <c r="D99" s="41" t="str">
        <f t="shared" si="4"/>
        <v>E</v>
      </c>
      <c r="E99" s="42">
        <f t="shared" si="5"/>
        <v>45374</v>
      </c>
      <c r="F99" s="43" t="str">
        <f t="array" ref="F99">+TIPOARMA(H99,I99)</f>
        <v>ACRP</v>
      </c>
      <c r="G99" s="41"/>
      <c r="H99" s="41" t="str">
        <f t="array" ref="H99">+ARMASTD(N99)</f>
        <v>Revólver</v>
      </c>
      <c r="I99" s="41" t="str">
        <f t="array" ref="I99">+CALIBRESTD(O99)</f>
        <v>.38 SPL</v>
      </c>
      <c r="L99" t="s">
        <v>273</v>
      </c>
      <c r="M99" t="s">
        <v>276</v>
      </c>
      <c r="N99" t="s">
        <v>249</v>
      </c>
      <c r="O99" t="s">
        <v>277</v>
      </c>
      <c r="P99" s="40">
        <v>10</v>
      </c>
      <c r="Q99" t="s">
        <v>275</v>
      </c>
      <c r="R99" t="s">
        <v>77</v>
      </c>
    </row>
    <row r="100" spans="1:18" ht="14.25" customHeight="1" x14ac:dyDescent="0.35">
      <c r="A100" t="str">
        <f t="array" ref="A100">EXTRACTEVENT(Q100,S100)</f>
        <v>Campeonato Paulista de Fuzil 50 e 20 metros , Baixa Luminosidade e Shotgun 2024</v>
      </c>
      <c r="B100" t="str">
        <f t="shared" si="3"/>
        <v>2</v>
      </c>
      <c r="C100" t="str">
        <f>+VLOOKUP(R100,Maps!$A:$C,2,0)</f>
        <v>FPTE</v>
      </c>
      <c r="D100" t="str">
        <f t="shared" si="4"/>
        <v>E</v>
      </c>
      <c r="E100" s="39">
        <f t="shared" si="5"/>
        <v>45374</v>
      </c>
      <c r="F100" s="7" t="str">
        <f t="array" ref="F100">+TIPOARMA(H100,I100)</f>
        <v>ALRR</v>
      </c>
      <c r="H100" t="str">
        <f t="array" ref="H100">+ARMASTD(N100)</f>
        <v>Carabina/Fuzil</v>
      </c>
      <c r="I100" t="str">
        <f t="array" ref="I100">+CALIBRESTD(O100)</f>
        <v>5.56MM</v>
      </c>
      <c r="L100" t="s">
        <v>273</v>
      </c>
      <c r="M100" t="s">
        <v>242</v>
      </c>
      <c r="N100" t="s">
        <v>165</v>
      </c>
      <c r="O100" t="s">
        <v>176</v>
      </c>
      <c r="P100" s="40">
        <v>10</v>
      </c>
      <c r="Q100" t="s">
        <v>278</v>
      </c>
      <c r="R100" t="s">
        <v>77</v>
      </c>
    </row>
    <row r="101" spans="1:18" ht="14.25" customHeight="1" x14ac:dyDescent="0.35">
      <c r="A101" s="41" t="str">
        <f t="array" ref="A101">EXTRACTEVENT(Q101,S101)</f>
        <v>Campeonato Paulista e Brasileiro de Car/Pst/RF 2024</v>
      </c>
      <c r="B101" s="41" t="str">
        <f t="shared" si="3"/>
        <v>2</v>
      </c>
      <c r="C101" s="41" t="str">
        <f>+VLOOKUP(R101,Maps!$A:$C,2,0)</f>
        <v>FPTE</v>
      </c>
      <c r="D101" s="41" t="str">
        <f t="shared" si="4"/>
        <v>E</v>
      </c>
      <c r="E101" s="42">
        <f t="shared" si="5"/>
        <v>45374</v>
      </c>
      <c r="F101" s="43" t="str">
        <f t="array" ref="F101">+TIPOARMA(H101,I101)</f>
        <v>ACRP</v>
      </c>
      <c r="G101" s="41"/>
      <c r="H101" s="41" t="str">
        <f t="array" ref="H101">+ARMASTD(N101)</f>
        <v>Pistola</v>
      </c>
      <c r="I101" s="41" t="str">
        <f t="array" ref="I101">+CALIBRESTD(O101)</f>
        <v>.380 ACP</v>
      </c>
      <c r="L101" t="s">
        <v>273</v>
      </c>
      <c r="M101" t="s">
        <v>279</v>
      </c>
      <c r="N101" t="s">
        <v>160</v>
      </c>
      <c r="O101" t="s">
        <v>182</v>
      </c>
      <c r="P101" s="40">
        <v>10</v>
      </c>
      <c r="Q101" t="s">
        <v>280</v>
      </c>
      <c r="R101" t="s">
        <v>77</v>
      </c>
    </row>
    <row r="102" spans="1:18" ht="14.25" customHeight="1" x14ac:dyDescent="0.35">
      <c r="A102" t="str">
        <f t="array" ref="A102">EXTRACTEVENT(Q102,S102)</f>
        <v>Campeonato Paulista e Brasileiro de Car/Pst/RF 2024</v>
      </c>
      <c r="B102" t="str">
        <f t="shared" si="3"/>
        <v>2</v>
      </c>
      <c r="C102" t="str">
        <f>+VLOOKUP(R102,Maps!$A:$C,2,0)</f>
        <v>FPTE</v>
      </c>
      <c r="D102" t="str">
        <f t="shared" si="4"/>
        <v>E</v>
      </c>
      <c r="E102" s="39">
        <f t="shared" si="5"/>
        <v>45374</v>
      </c>
      <c r="F102" s="7" t="str">
        <f t="array" ref="F102">+TIPOARMA(H102,I102)</f>
        <v>ACRP</v>
      </c>
      <c r="H102" t="str">
        <f t="array" ref="H102">+ARMASTD(N102)</f>
        <v>Pistola</v>
      </c>
      <c r="I102" t="str">
        <f t="array" ref="I102">+CALIBRESTD(O102)</f>
        <v>.380 ACP</v>
      </c>
      <c r="L102" t="s">
        <v>273</v>
      </c>
      <c r="M102" t="s">
        <v>279</v>
      </c>
      <c r="N102" t="s">
        <v>160</v>
      </c>
      <c r="O102" t="s">
        <v>182</v>
      </c>
      <c r="P102" s="40">
        <v>10</v>
      </c>
      <c r="Q102" t="s">
        <v>280</v>
      </c>
      <c r="R102" t="s">
        <v>77</v>
      </c>
    </row>
    <row r="103" spans="1:18" ht="14.25" customHeight="1" x14ac:dyDescent="0.35">
      <c r="A103" s="41" t="str">
        <f t="array" ref="A103">EXTRACTEVENT(Q103,S103)</f>
        <v>Campeonato Paulista e Brasileiro de Car/Pst/RF 2024</v>
      </c>
      <c r="B103" s="41" t="str">
        <f t="shared" si="3"/>
        <v>2</v>
      </c>
      <c r="C103" s="41" t="str">
        <f>+VLOOKUP(R103,Maps!$A:$C,2,0)</f>
        <v>FPTE</v>
      </c>
      <c r="D103" s="41" t="str">
        <f t="shared" si="4"/>
        <v>E</v>
      </c>
      <c r="E103" s="42">
        <f t="shared" si="5"/>
        <v>45374</v>
      </c>
      <c r="F103" s="43" t="str">
        <f t="array" ref="F103">+TIPOARMA(H103,I103)</f>
        <v>ACRR</v>
      </c>
      <c r="G103" s="41"/>
      <c r="H103" s="41" t="str">
        <f t="array" ref="H103">+ARMASTD(N103)</f>
        <v>Pistola</v>
      </c>
      <c r="I103" s="41" t="str">
        <f t="array" ref="I103">+CALIBRESTD(O103)</f>
        <v>.45 ACP</v>
      </c>
      <c r="L103" t="s">
        <v>273</v>
      </c>
      <c r="M103" t="s">
        <v>281</v>
      </c>
      <c r="N103" t="s">
        <v>184</v>
      </c>
      <c r="O103" t="s">
        <v>185</v>
      </c>
      <c r="P103" s="40">
        <v>10</v>
      </c>
      <c r="Q103" t="s">
        <v>280</v>
      </c>
      <c r="R103" t="s">
        <v>77</v>
      </c>
    </row>
    <row r="104" spans="1:18" ht="14.25" customHeight="1" x14ac:dyDescent="0.35">
      <c r="A104" t="str">
        <f t="array" ref="A104">EXTRACTEVENT(Q104,S104)</f>
        <v>Campeonato Paulista e Brasileiro de Car/Pst/RF 2024</v>
      </c>
      <c r="B104" t="str">
        <f t="shared" si="3"/>
        <v>2</v>
      </c>
      <c r="C104" t="str">
        <f>+VLOOKUP(R104,Maps!$A:$C,2,0)</f>
        <v>FPTE</v>
      </c>
      <c r="D104" t="str">
        <f t="shared" si="4"/>
        <v>E</v>
      </c>
      <c r="E104" s="39">
        <f t="shared" si="5"/>
        <v>45374</v>
      </c>
      <c r="F104" s="7" t="str">
        <f t="array" ref="F104">+TIPOARMA(H104,I104)</f>
        <v>ACRR</v>
      </c>
      <c r="H104" t="str">
        <f t="array" ref="H104">+ARMASTD(N104)</f>
        <v>Pistola</v>
      </c>
      <c r="I104" t="str">
        <f t="array" ref="I104">+CALIBRESTD(O104)</f>
        <v>9mm</v>
      </c>
      <c r="L104" t="s">
        <v>273</v>
      </c>
      <c r="M104" t="s">
        <v>246</v>
      </c>
      <c r="N104" t="s">
        <v>202</v>
      </c>
      <c r="O104" t="s">
        <v>187</v>
      </c>
      <c r="P104" s="40">
        <v>10</v>
      </c>
      <c r="Q104" t="s">
        <v>280</v>
      </c>
      <c r="R104" t="s">
        <v>77</v>
      </c>
    </row>
    <row r="105" spans="1:18" ht="14.25" customHeight="1" x14ac:dyDescent="0.35">
      <c r="A105" s="41" t="str">
        <f t="array" ref="A105">EXTRACTEVENT(Q105,S105)</f>
        <v>Campeonato Paulista e Brasileiro de Car/Pst/RF 2024</v>
      </c>
      <c r="B105" s="41" t="str">
        <f t="shared" si="3"/>
        <v>2</v>
      </c>
      <c r="C105" s="41" t="str">
        <f>+VLOOKUP(R105,Maps!$A:$C,2,0)</f>
        <v>FPTE</v>
      </c>
      <c r="D105" s="41" t="str">
        <f t="shared" si="4"/>
        <v>E</v>
      </c>
      <c r="E105" s="42">
        <f t="shared" si="5"/>
        <v>45374</v>
      </c>
      <c r="F105" s="43" t="str">
        <f t="array" ref="F105">+TIPOARMA(H105,I105)</f>
        <v>ACRR</v>
      </c>
      <c r="G105" s="41"/>
      <c r="H105" s="41" t="str">
        <f t="array" ref="H105">+ARMASTD(N105)</f>
        <v>Pistola</v>
      </c>
      <c r="I105" s="41" t="str">
        <f t="array" ref="I105">+CALIBRESTD(O105)</f>
        <v>.38 Super</v>
      </c>
      <c r="L105" t="s">
        <v>273</v>
      </c>
      <c r="M105" t="s">
        <v>282</v>
      </c>
      <c r="N105" t="s">
        <v>243</v>
      </c>
      <c r="O105" t="s">
        <v>253</v>
      </c>
      <c r="P105" s="40">
        <v>10</v>
      </c>
      <c r="Q105" t="s">
        <v>280</v>
      </c>
      <c r="R105" t="s">
        <v>77</v>
      </c>
    </row>
    <row r="106" spans="1:18" ht="14.25" customHeight="1" x14ac:dyDescent="0.35">
      <c r="A106" t="str">
        <f t="array" ref="A106">EXTRACTEVENT(Q106,S106)</f>
        <v>Campeonato Paulista de Fuzil 50 e 20 metros , Baixa Luminosidade e Shotgun 2024</v>
      </c>
      <c r="B106" t="str">
        <f t="shared" si="3"/>
        <v>2</v>
      </c>
      <c r="C106" t="str">
        <f>+VLOOKUP(R106,Maps!$A:$C,2,0)</f>
        <v>FPTE</v>
      </c>
      <c r="D106" t="str">
        <f t="shared" si="4"/>
        <v>E</v>
      </c>
      <c r="E106" s="39">
        <f t="shared" si="5"/>
        <v>45372</v>
      </c>
      <c r="F106" s="7" t="str">
        <f t="array" ref="F106">+TIPOARMA(H106,I106)</f>
        <v>ALRP</v>
      </c>
      <c r="H106" t="str">
        <f t="array" ref="H106">+ARMASTD(N106)</f>
        <v>Carabina/Fuzil</v>
      </c>
      <c r="I106" t="str">
        <f t="array" ref="I106">+CALIBRESTD(O106)</f>
        <v>.357 Mag</v>
      </c>
      <c r="L106" t="s">
        <v>283</v>
      </c>
      <c r="M106" t="s">
        <v>242</v>
      </c>
      <c r="N106" t="s">
        <v>162</v>
      </c>
      <c r="O106" t="s">
        <v>179</v>
      </c>
      <c r="P106" s="40">
        <v>10</v>
      </c>
      <c r="Q106" t="s">
        <v>284</v>
      </c>
      <c r="R106" t="s">
        <v>77</v>
      </c>
    </row>
    <row r="107" spans="1:18" ht="14.25" customHeight="1" x14ac:dyDescent="0.35">
      <c r="A107" s="41" t="str">
        <f t="array" ref="A107">EXTRACTEVENT(Q107,S107)</f>
        <v>Campeonato Paulista de Car/Pst/RF 2023</v>
      </c>
      <c r="B107" s="41" t="str">
        <f t="shared" si="3"/>
        <v>10</v>
      </c>
      <c r="C107" s="41" t="str">
        <f>+VLOOKUP(R107,Maps!$A:$C,2,0)</f>
        <v>FPTE</v>
      </c>
      <c r="D107" s="41" t="str">
        <f t="shared" si="4"/>
        <v>E</v>
      </c>
      <c r="E107" s="42">
        <f t="shared" si="5"/>
        <v>45242</v>
      </c>
      <c r="F107" s="43" t="str">
        <f t="array" ref="F107">+TIPOARMA(H107,I107)</f>
        <v>ACRR</v>
      </c>
      <c r="G107" s="41"/>
      <c r="H107" s="41" t="str">
        <f t="array" ref="H107">+ARMASTD(N107)</f>
        <v>Pistola</v>
      </c>
      <c r="I107" s="41" t="str">
        <f t="array" ref="I107">+CALIBRESTD(O107)</f>
        <v>.38 Super</v>
      </c>
      <c r="L107" t="s">
        <v>285</v>
      </c>
      <c r="M107" t="s">
        <v>252</v>
      </c>
      <c r="N107" t="s">
        <v>243</v>
      </c>
      <c r="O107" t="s">
        <v>253</v>
      </c>
      <c r="P107" s="40">
        <v>10</v>
      </c>
      <c r="Q107" t="s">
        <v>286</v>
      </c>
      <c r="R107" t="s">
        <v>77</v>
      </c>
    </row>
    <row r="108" spans="1:18" ht="14.25" customHeight="1" x14ac:dyDescent="0.35">
      <c r="A108" t="str">
        <f t="array" ref="A108">EXTRACTEVENT(Q108,S108)</f>
        <v>Campeonato Paulista de Car/Pst/RF 2023</v>
      </c>
      <c r="B108" t="str">
        <f t="shared" si="3"/>
        <v>10</v>
      </c>
      <c r="C108" t="str">
        <f>+VLOOKUP(R108,Maps!$A:$C,2,0)</f>
        <v>FPTE</v>
      </c>
      <c r="D108" t="str">
        <f t="shared" si="4"/>
        <v>E</v>
      </c>
      <c r="E108" s="39">
        <f t="shared" si="5"/>
        <v>45242</v>
      </c>
      <c r="F108" s="7" t="str">
        <f t="array" ref="F108">+TIPOARMA(H108,I108)</f>
        <v>ACRR</v>
      </c>
      <c r="H108" t="str">
        <f t="array" ref="H108">+ARMASTD(N108)</f>
        <v>Pistola</v>
      </c>
      <c r="I108" t="str">
        <f t="array" ref="I108">+CALIBRESTD(O108)</f>
        <v>9mm</v>
      </c>
      <c r="L108" t="s">
        <v>285</v>
      </c>
      <c r="M108" t="s">
        <v>252</v>
      </c>
      <c r="N108" t="s">
        <v>157</v>
      </c>
      <c r="O108" t="s">
        <v>187</v>
      </c>
      <c r="P108" s="40">
        <v>10</v>
      </c>
      <c r="Q108" t="s">
        <v>286</v>
      </c>
      <c r="R108" t="s">
        <v>77</v>
      </c>
    </row>
    <row r="109" spans="1:18" ht="14.25" customHeight="1" x14ac:dyDescent="0.35">
      <c r="A109" s="41" t="str">
        <f t="array" ref="A109">EXTRACTEVENT(Q109,S109)</f>
        <v>Campeonato Paulista de Car/Pst/RF 2023</v>
      </c>
      <c r="B109" s="41" t="str">
        <f t="shared" si="3"/>
        <v>10</v>
      </c>
      <c r="C109" s="41" t="str">
        <f>+VLOOKUP(R109,Maps!$A:$C,2,0)</f>
        <v>FPTE</v>
      </c>
      <c r="D109" s="41" t="str">
        <f t="shared" si="4"/>
        <v>E</v>
      </c>
      <c r="E109" s="42">
        <f t="shared" si="5"/>
        <v>45242</v>
      </c>
      <c r="F109" s="43" t="str">
        <f t="array" ref="F109">+TIPOARMA(H109,I109)</f>
        <v>ACRR</v>
      </c>
      <c r="G109" s="41"/>
      <c r="H109" s="41" t="str">
        <f t="array" ref="H109">+ARMASTD(N109)</f>
        <v>Pistola</v>
      </c>
      <c r="I109" s="41" t="str">
        <f t="array" ref="I109">+CALIBRESTD(O109)</f>
        <v>.45 ACP</v>
      </c>
      <c r="L109" t="s">
        <v>285</v>
      </c>
      <c r="M109" t="s">
        <v>252</v>
      </c>
      <c r="N109" t="s">
        <v>184</v>
      </c>
      <c r="O109" t="s">
        <v>185</v>
      </c>
      <c r="P109" s="40">
        <v>10</v>
      </c>
      <c r="Q109" t="s">
        <v>286</v>
      </c>
      <c r="R109" t="s">
        <v>77</v>
      </c>
    </row>
    <row r="110" spans="1:18" ht="14.25" customHeight="1" x14ac:dyDescent="0.35">
      <c r="A110" t="str">
        <f t="array" ref="A110">EXTRACTEVENT(Q110,S110)</f>
        <v>Campeonato Paulista de Car/Pst/RF 2023</v>
      </c>
      <c r="B110" t="str">
        <f t="shared" si="3"/>
        <v>10</v>
      </c>
      <c r="C110" t="str">
        <f>+VLOOKUP(R110,Maps!$A:$C,2,0)</f>
        <v>FPTE</v>
      </c>
      <c r="D110" t="str">
        <f t="shared" si="4"/>
        <v>E</v>
      </c>
      <c r="E110" s="39">
        <f t="shared" si="5"/>
        <v>45242</v>
      </c>
      <c r="F110" s="7" t="str">
        <f t="array" ref="F110">+TIPOARMA(H110,I110)</f>
        <v>ACRP</v>
      </c>
      <c r="H110" t="str">
        <f t="array" ref="H110">+ARMASTD(N110)</f>
        <v>Revólver</v>
      </c>
      <c r="I110" t="str">
        <f t="array" ref="I110">+CALIBRESTD(O110)</f>
        <v>.38 SPL</v>
      </c>
      <c r="L110" t="s">
        <v>285</v>
      </c>
      <c r="M110" t="s">
        <v>252</v>
      </c>
      <c r="N110" t="s">
        <v>249</v>
      </c>
      <c r="O110" t="s">
        <v>277</v>
      </c>
      <c r="P110" s="40">
        <v>10</v>
      </c>
      <c r="Q110" t="s">
        <v>287</v>
      </c>
      <c r="R110" t="s">
        <v>77</v>
      </c>
    </row>
    <row r="111" spans="1:18" ht="14.25" customHeight="1" x14ac:dyDescent="0.35">
      <c r="A111" s="41" t="str">
        <f t="array" ref="A111">EXTRACTEVENT(Q111,S111)</f>
        <v>Campeonato Paulista de Car/Pst/RF 2023</v>
      </c>
      <c r="B111" s="41" t="str">
        <f t="shared" si="3"/>
        <v>10</v>
      </c>
      <c r="C111" s="41" t="str">
        <f>+VLOOKUP(R111,Maps!$A:$C,2,0)</f>
        <v>FPTE</v>
      </c>
      <c r="D111" s="41" t="str">
        <f t="shared" si="4"/>
        <v>E</v>
      </c>
      <c r="E111" s="42">
        <f t="shared" si="5"/>
        <v>45242</v>
      </c>
      <c r="F111" s="43" t="str">
        <f t="array" ref="F111">+TIPOARMA(H111,I111)</f>
        <v>ACRR</v>
      </c>
      <c r="G111" s="41"/>
      <c r="H111" s="41" t="str">
        <f t="array" ref="H111">+ARMASTD(N111)</f>
        <v>Revólver</v>
      </c>
      <c r="I111" s="41" t="str">
        <f t="array" ref="I111">+CALIBRESTD(O111)</f>
        <v>.357 Mag</v>
      </c>
      <c r="L111" t="s">
        <v>285</v>
      </c>
      <c r="M111" t="s">
        <v>252</v>
      </c>
      <c r="N111" t="s">
        <v>247</v>
      </c>
      <c r="O111" t="s">
        <v>179</v>
      </c>
      <c r="P111" s="40">
        <v>10</v>
      </c>
      <c r="Q111" t="s">
        <v>287</v>
      </c>
      <c r="R111" t="s">
        <v>77</v>
      </c>
    </row>
    <row r="112" spans="1:18" ht="14.25" customHeight="1" x14ac:dyDescent="0.35">
      <c r="A112" t="str">
        <f t="array" ref="A112">EXTRACTEVENT(Q112,S112)</f>
        <v>Campeonato Paulista de Car/Pst/RF 2023</v>
      </c>
      <c r="B112" t="str">
        <f t="shared" si="3"/>
        <v>10</v>
      </c>
      <c r="C112" t="str">
        <f>+VLOOKUP(R112,Maps!$A:$C,2,0)</f>
        <v>FPTE</v>
      </c>
      <c r="D112" t="str">
        <f t="shared" si="4"/>
        <v>E</v>
      </c>
      <c r="E112" s="39">
        <f t="shared" si="5"/>
        <v>45242</v>
      </c>
      <c r="F112" s="7" t="str">
        <f t="array" ref="F112">+TIPOARMA(H112,I112)</f>
        <v>ACRR</v>
      </c>
      <c r="H112" t="str">
        <f t="array" ref="H112">+ARMASTD(N112)</f>
        <v>Revólver</v>
      </c>
      <c r="I112" t="str">
        <f t="array" ref="I112">+CALIBRESTD(O112)</f>
        <v>.357 Mag</v>
      </c>
      <c r="L112" t="s">
        <v>285</v>
      </c>
      <c r="M112" t="s">
        <v>252</v>
      </c>
      <c r="N112" t="s">
        <v>247</v>
      </c>
      <c r="O112" t="s">
        <v>179</v>
      </c>
      <c r="P112" s="40">
        <v>10</v>
      </c>
      <c r="Q112" t="s">
        <v>287</v>
      </c>
      <c r="R112" t="s">
        <v>77</v>
      </c>
    </row>
    <row r="113" spans="1:18" ht="14.25" customHeight="1" x14ac:dyDescent="0.35">
      <c r="A113" s="41" t="str">
        <f t="array" ref="A113">EXTRACTEVENT(Q113,S113)</f>
        <v>Campeonato Paulista de Car/Pst/RF 2023</v>
      </c>
      <c r="B113" s="41" t="str">
        <f t="shared" si="3"/>
        <v>9</v>
      </c>
      <c r="C113" s="41" t="str">
        <f>+VLOOKUP(R113,Maps!$A:$C,2,0)</f>
        <v>FPTE</v>
      </c>
      <c r="D113" s="41" t="str">
        <f t="shared" si="4"/>
        <v>E</v>
      </c>
      <c r="E113" s="42">
        <f t="shared" si="5"/>
        <v>45221</v>
      </c>
      <c r="F113" s="43" t="str">
        <f t="array" ref="F113">+TIPOARMA(H113,I113)</f>
        <v>ACRR</v>
      </c>
      <c r="G113" s="41"/>
      <c r="H113" s="41" t="str">
        <f t="array" ref="H113">+ARMASTD(N113)</f>
        <v>Pistola</v>
      </c>
      <c r="I113" s="41" t="str">
        <f t="array" ref="I113">+CALIBRESTD(O113)</f>
        <v>9mm</v>
      </c>
      <c r="L113" t="s">
        <v>288</v>
      </c>
      <c r="M113" t="s">
        <v>252</v>
      </c>
      <c r="N113" t="s">
        <v>157</v>
      </c>
      <c r="O113" t="s">
        <v>187</v>
      </c>
      <c r="P113" s="40">
        <v>10</v>
      </c>
      <c r="Q113" t="s">
        <v>289</v>
      </c>
      <c r="R113" t="s">
        <v>77</v>
      </c>
    </row>
    <row r="114" spans="1:18" ht="14.25" customHeight="1" x14ac:dyDescent="0.35">
      <c r="A114" t="str">
        <f t="array" ref="A114">EXTRACTEVENT(Q114,S114)</f>
        <v>Campeonato Paulista de Car/Pst/RF 2023</v>
      </c>
      <c r="B114" t="str">
        <f t="shared" si="3"/>
        <v>9</v>
      </c>
      <c r="C114" t="str">
        <f>+VLOOKUP(R114,Maps!$A:$C,2,0)</f>
        <v>FPTE</v>
      </c>
      <c r="D114" t="str">
        <f t="shared" si="4"/>
        <v>E</v>
      </c>
      <c r="E114" s="39">
        <f t="shared" si="5"/>
        <v>45221</v>
      </c>
      <c r="F114" s="7" t="str">
        <f t="array" ref="F114">+TIPOARMA(H114,I114)</f>
        <v>ACRR</v>
      </c>
      <c r="H114" t="str">
        <f t="array" ref="H114">+ARMASTD(N114)</f>
        <v>Pistola</v>
      </c>
      <c r="I114" t="str">
        <f t="array" ref="I114">+CALIBRESTD(O114)</f>
        <v>.38 Super</v>
      </c>
      <c r="L114" t="s">
        <v>288</v>
      </c>
      <c r="M114" t="s">
        <v>252</v>
      </c>
      <c r="N114" t="s">
        <v>243</v>
      </c>
      <c r="O114" t="s">
        <v>253</v>
      </c>
      <c r="P114" s="40">
        <v>10</v>
      </c>
      <c r="Q114" t="s">
        <v>289</v>
      </c>
      <c r="R114" t="s">
        <v>77</v>
      </c>
    </row>
    <row r="115" spans="1:18" ht="14.25" customHeight="1" x14ac:dyDescent="0.35">
      <c r="A115" s="41" t="str">
        <f t="array" ref="A115">EXTRACTEVENT(Q115,S115)</f>
        <v>Baixa Luminosidade e Shotgun 2023</v>
      </c>
      <c r="B115" s="41" t="str">
        <f t="shared" si="3"/>
        <v>5</v>
      </c>
      <c r="C115" s="41" t="str">
        <f>+VLOOKUP(R115,Maps!$A:$C,2,0)</f>
        <v>FPTE</v>
      </c>
      <c r="D115" s="41" t="str">
        <f t="shared" si="4"/>
        <v>E</v>
      </c>
      <c r="E115" s="42">
        <f t="shared" si="5"/>
        <v>45200</v>
      </c>
      <c r="F115" s="43" t="str">
        <f t="array" ref="F115">+TIPOARMA(H115,I115)</f>
        <v>ACRR</v>
      </c>
      <c r="G115" s="41"/>
      <c r="H115" s="41" t="str">
        <f t="array" ref="H115">+ARMASTD(N115)</f>
        <v>Pistola</v>
      </c>
      <c r="I115" s="41" t="str">
        <f t="array" ref="I115">+CALIBRESTD(O115)</f>
        <v>9mm</v>
      </c>
      <c r="L115" t="s">
        <v>290</v>
      </c>
      <c r="M115" t="s">
        <v>252</v>
      </c>
      <c r="N115" t="s">
        <v>202</v>
      </c>
      <c r="O115" t="s">
        <v>187</v>
      </c>
      <c r="P115" s="40">
        <v>10</v>
      </c>
      <c r="Q115" t="s">
        <v>291</v>
      </c>
      <c r="R115" t="s">
        <v>170</v>
      </c>
    </row>
    <row r="116" spans="1:18" ht="14.25" customHeight="1" x14ac:dyDescent="0.35">
      <c r="A116" t="str">
        <f t="array" ref="A116">EXTRACTEVENT(Q116,S116)</f>
        <v>Baixa Luminosidade e Shotgun 2023</v>
      </c>
      <c r="B116" t="str">
        <f t="shared" si="3"/>
        <v>5</v>
      </c>
      <c r="C116" t="str">
        <f>+VLOOKUP(R116,Maps!$A:$C,2,0)</f>
        <v>FPTE</v>
      </c>
      <c r="D116" t="str">
        <f t="shared" si="4"/>
        <v>E</v>
      </c>
      <c r="E116" s="39">
        <f t="shared" si="5"/>
        <v>45200</v>
      </c>
      <c r="F116" s="7" t="str">
        <f t="array" ref="F116">+TIPOARMA(H116,I116)</f>
        <v>ACRR</v>
      </c>
      <c r="H116" t="str">
        <f t="array" ref="H116">+ARMASTD(N116)</f>
        <v>Pistola</v>
      </c>
      <c r="I116" t="str">
        <f t="array" ref="I116">+CALIBRESTD(O116)</f>
        <v>9mm</v>
      </c>
      <c r="L116" t="s">
        <v>290</v>
      </c>
      <c r="M116" t="s">
        <v>252</v>
      </c>
      <c r="N116" t="s">
        <v>202</v>
      </c>
      <c r="O116" t="s">
        <v>187</v>
      </c>
      <c r="P116" s="40">
        <v>10</v>
      </c>
      <c r="Q116" t="s">
        <v>291</v>
      </c>
      <c r="R116" t="s">
        <v>170</v>
      </c>
    </row>
    <row r="117" spans="1:18" ht="14.25" customHeight="1" x14ac:dyDescent="0.35">
      <c r="A117" s="41" t="str">
        <f t="array" ref="A117">EXTRACTEVENT(Q117,S117)</f>
        <v>Baixa Luminosidade e Shotgun 2023</v>
      </c>
      <c r="B117" s="41" t="str">
        <f t="shared" si="3"/>
        <v>5</v>
      </c>
      <c r="C117" s="41" t="str">
        <f>+VLOOKUP(R117,Maps!$A:$C,2,0)</f>
        <v>FPTE</v>
      </c>
      <c r="D117" s="41" t="str">
        <f t="shared" si="4"/>
        <v>E</v>
      </c>
      <c r="E117" s="42">
        <f t="shared" si="5"/>
        <v>45200</v>
      </c>
      <c r="F117" s="43" t="str">
        <f t="array" ref="F117">+TIPOARMA(H117,I117)</f>
        <v>ACRR</v>
      </c>
      <c r="G117" s="41"/>
      <c r="H117" s="41" t="str">
        <f t="array" ref="H117">+ARMASTD(N117)</f>
        <v>Pistola</v>
      </c>
      <c r="I117" s="41" t="str">
        <f t="array" ref="I117">+CALIBRESTD(O117)</f>
        <v>9mm</v>
      </c>
      <c r="L117" t="s">
        <v>290</v>
      </c>
      <c r="M117" t="s">
        <v>252</v>
      </c>
      <c r="N117" t="s">
        <v>202</v>
      </c>
      <c r="O117" t="s">
        <v>187</v>
      </c>
      <c r="P117" s="40">
        <v>10</v>
      </c>
      <c r="Q117" t="s">
        <v>291</v>
      </c>
      <c r="R117" t="s">
        <v>170</v>
      </c>
    </row>
    <row r="118" spans="1:18" ht="14.25" customHeight="1" x14ac:dyDescent="0.35">
      <c r="A118" t="str">
        <f t="array" ref="A118">EXTRACTEVENT(Q118,S118)</f>
        <v>Fuzil 50 e 20 Metros</v>
      </c>
      <c r="B118" t="str">
        <f t="shared" si="3"/>
        <v>5</v>
      </c>
      <c r="C118" t="str">
        <f>+VLOOKUP(R118,Maps!$A:$C,2,0)</f>
        <v>FPTE</v>
      </c>
      <c r="D118" t="str">
        <f t="shared" si="4"/>
        <v>E</v>
      </c>
      <c r="E118" s="39">
        <f t="shared" si="5"/>
        <v>45200</v>
      </c>
      <c r="F118" s="7" t="str">
        <f t="array" ref="F118">+TIPOARMA(H118,I118)</f>
        <v>ALRR</v>
      </c>
      <c r="H118" t="str">
        <f t="array" ref="H118">+ARMASTD(N118)</f>
        <v>Carabina/Fuzil</v>
      </c>
      <c r="I118" t="str">
        <f t="array" ref="I118">+CALIBRESTD(O118)</f>
        <v>5.56MM</v>
      </c>
      <c r="L118" t="s">
        <v>290</v>
      </c>
      <c r="M118" t="s">
        <v>252</v>
      </c>
      <c r="N118" t="s">
        <v>206</v>
      </c>
      <c r="O118" t="s">
        <v>176</v>
      </c>
      <c r="P118" s="40">
        <v>10</v>
      </c>
      <c r="Q118" t="s">
        <v>292</v>
      </c>
      <c r="R118" t="s">
        <v>77</v>
      </c>
    </row>
    <row r="119" spans="1:18" ht="14.25" customHeight="1" x14ac:dyDescent="0.35">
      <c r="A119" s="41" t="str">
        <f t="array" ref="A119">EXTRACTEVENT(Q119,S119)</f>
        <v>Campeonato Paulista de Car/Pst/RF 2023</v>
      </c>
      <c r="B119" s="41" t="str">
        <f t="shared" si="3"/>
        <v>8</v>
      </c>
      <c r="C119" s="41" t="str">
        <f>+VLOOKUP(R119,Maps!$A:$C,2,0)</f>
        <v>FPTE</v>
      </c>
      <c r="D119" s="41" t="str">
        <f t="shared" si="4"/>
        <v>E</v>
      </c>
      <c r="E119" s="42">
        <f t="shared" si="5"/>
        <v>45172</v>
      </c>
      <c r="F119" s="43" t="str">
        <f t="array" ref="F119">+TIPOARMA(H119,I119)</f>
        <v>ACRR</v>
      </c>
      <c r="G119" s="41"/>
      <c r="H119" s="41" t="str">
        <f t="array" ref="H119">+ARMASTD(N119)</f>
        <v>Pistola</v>
      </c>
      <c r="I119" s="41" t="str">
        <f t="array" ref="I119">+CALIBRESTD(O119)</f>
        <v>.45 ACP</v>
      </c>
      <c r="L119" t="s">
        <v>293</v>
      </c>
      <c r="M119" t="s">
        <v>252</v>
      </c>
      <c r="N119" t="s">
        <v>184</v>
      </c>
      <c r="O119" t="s">
        <v>185</v>
      </c>
      <c r="P119" s="40">
        <v>10</v>
      </c>
      <c r="Q119" t="s">
        <v>294</v>
      </c>
      <c r="R119" t="s">
        <v>170</v>
      </c>
    </row>
    <row r="120" spans="1:18" ht="14.25" customHeight="1" x14ac:dyDescent="0.35">
      <c r="A120" t="str">
        <f t="array" ref="A120">EXTRACTEVENT(Q120,S120)</f>
        <v>Campeonato Paulista de Car/Pst/RF 2023</v>
      </c>
      <c r="B120" t="str">
        <f t="shared" si="3"/>
        <v>8</v>
      </c>
      <c r="C120" t="str">
        <f>+VLOOKUP(R120,Maps!$A:$C,2,0)</f>
        <v>FPTE</v>
      </c>
      <c r="D120" t="str">
        <f t="shared" si="4"/>
        <v>E</v>
      </c>
      <c r="E120" s="39">
        <f t="shared" si="5"/>
        <v>45172</v>
      </c>
      <c r="F120" s="7" t="str">
        <f t="array" ref="F120">+TIPOARMA(H120,I120)</f>
        <v>ACRR</v>
      </c>
      <c r="H120" t="str">
        <f t="array" ref="H120">+ARMASTD(N120)</f>
        <v>Revólver</v>
      </c>
      <c r="I120" t="str">
        <f t="array" ref="I120">+CALIBRESTD(O120)</f>
        <v>.357 Mag</v>
      </c>
      <c r="L120" t="s">
        <v>293</v>
      </c>
      <c r="M120" t="s">
        <v>252</v>
      </c>
      <c r="N120" t="s">
        <v>247</v>
      </c>
      <c r="O120" t="s">
        <v>179</v>
      </c>
      <c r="P120" s="40">
        <v>10</v>
      </c>
      <c r="Q120" t="s">
        <v>295</v>
      </c>
      <c r="R120" t="s">
        <v>170</v>
      </c>
    </row>
    <row r="121" spans="1:18" ht="14.25" customHeight="1" x14ac:dyDescent="0.35">
      <c r="A121" s="41" t="str">
        <f t="array" ref="A121">EXTRACTEVENT(Q121,S121)</f>
        <v>Campeonato Paulista de Car/Pst/RF 2023</v>
      </c>
      <c r="B121" s="41" t="str">
        <f t="shared" si="3"/>
        <v>7</v>
      </c>
      <c r="C121" s="41" t="str">
        <f>+VLOOKUP(R121,Maps!$A:$C,2,0)</f>
        <v>FPTE</v>
      </c>
      <c r="D121" s="41" t="str">
        <f t="shared" si="4"/>
        <v>E</v>
      </c>
      <c r="E121" s="42">
        <f t="shared" si="5"/>
        <v>45151</v>
      </c>
      <c r="F121" s="43" t="str">
        <f t="array" ref="F121">+TIPOARMA(H121,I121)</f>
        <v>ACRP</v>
      </c>
      <c r="G121" s="41"/>
      <c r="H121" s="41" t="str">
        <f t="array" ref="H121">+ARMASTD(N121)</f>
        <v>Pistola</v>
      </c>
      <c r="I121" s="41" t="str">
        <f t="array" ref="I121">+CALIBRESTD(O121)</f>
        <v>.380 ACP</v>
      </c>
      <c r="L121" t="s">
        <v>296</v>
      </c>
      <c r="M121" t="s">
        <v>252</v>
      </c>
      <c r="N121" t="s">
        <v>160</v>
      </c>
      <c r="O121" t="s">
        <v>182</v>
      </c>
      <c r="P121" s="40">
        <v>10</v>
      </c>
      <c r="Q121" t="s">
        <v>297</v>
      </c>
      <c r="R121" t="s">
        <v>77</v>
      </c>
    </row>
    <row r="122" spans="1:18" ht="14.25" customHeight="1" x14ac:dyDescent="0.35">
      <c r="A122" t="str">
        <f t="array" ref="A122">EXTRACTEVENT(Q122,S122)</f>
        <v>Campeonato Paulista de Car/Pst/RF 2023</v>
      </c>
      <c r="B122" t="str">
        <f t="shared" si="3"/>
        <v>7</v>
      </c>
      <c r="C122" t="str">
        <f>+VLOOKUP(R122,Maps!$A:$C,2,0)</f>
        <v>FPTE</v>
      </c>
      <c r="D122" t="str">
        <f t="shared" si="4"/>
        <v>E</v>
      </c>
      <c r="E122" s="39">
        <f t="shared" si="5"/>
        <v>45151</v>
      </c>
      <c r="F122" s="7" t="str">
        <f t="array" ref="F122">+TIPOARMA(H122,I122)</f>
        <v>ACRR</v>
      </c>
      <c r="H122" t="str">
        <f t="array" ref="H122">+ARMASTD(N122)</f>
        <v>Pistola</v>
      </c>
      <c r="I122" t="str">
        <f t="array" ref="I122">+CALIBRESTD(O122)</f>
        <v>9mm</v>
      </c>
      <c r="L122" t="s">
        <v>296</v>
      </c>
      <c r="M122" t="s">
        <v>252</v>
      </c>
      <c r="N122" t="s">
        <v>202</v>
      </c>
      <c r="O122" t="s">
        <v>187</v>
      </c>
      <c r="P122" s="40">
        <v>10</v>
      </c>
      <c r="Q122" t="s">
        <v>297</v>
      </c>
      <c r="R122" t="s">
        <v>77</v>
      </c>
    </row>
    <row r="123" spans="1:18" ht="14.25" customHeight="1" x14ac:dyDescent="0.35">
      <c r="A123" s="41" t="str">
        <f t="array" ref="A123">EXTRACTEVENT(Q123,S123)</f>
        <v>Campeonato Paulista de Car/Pst/RF 2023</v>
      </c>
      <c r="B123" s="41" t="str">
        <f t="shared" si="3"/>
        <v>7</v>
      </c>
      <c r="C123" s="41" t="str">
        <f>+VLOOKUP(R123,Maps!$A:$C,2,0)</f>
        <v>FPTE</v>
      </c>
      <c r="D123" s="41" t="str">
        <f t="shared" si="4"/>
        <v>E</v>
      </c>
      <c r="E123" s="42">
        <f t="shared" si="5"/>
        <v>45151</v>
      </c>
      <c r="F123" s="43" t="str">
        <f t="array" ref="F123">+TIPOARMA(H123,I123)</f>
        <v>ACRR</v>
      </c>
      <c r="G123" s="41"/>
      <c r="H123" s="41" t="str">
        <f t="array" ref="H123">+ARMASTD(N123)</f>
        <v>Pistola</v>
      </c>
      <c r="I123" s="41" t="str">
        <f t="array" ref="I123">+CALIBRESTD(O123)</f>
        <v>9mm</v>
      </c>
      <c r="L123" t="s">
        <v>296</v>
      </c>
      <c r="M123" t="s">
        <v>252</v>
      </c>
      <c r="N123" t="s">
        <v>157</v>
      </c>
      <c r="O123" t="s">
        <v>187</v>
      </c>
      <c r="P123" s="40">
        <v>10</v>
      </c>
      <c r="Q123" t="s">
        <v>297</v>
      </c>
      <c r="R123" t="s">
        <v>77</v>
      </c>
    </row>
    <row r="124" spans="1:18" ht="14.25" customHeight="1" x14ac:dyDescent="0.35">
      <c r="A124" t="str">
        <f t="array" ref="A124">EXTRACTEVENT(Q124,S124)</f>
        <v>Campeonato Paulista de Car/Pst/RF 2023</v>
      </c>
      <c r="B124" t="str">
        <f t="shared" si="3"/>
        <v>7</v>
      </c>
      <c r="C124" t="str">
        <f>+VLOOKUP(R124,Maps!$A:$C,2,0)</f>
        <v>FPTE</v>
      </c>
      <c r="D124" t="str">
        <f t="shared" si="4"/>
        <v>E</v>
      </c>
      <c r="E124" s="39">
        <f t="shared" si="5"/>
        <v>45151</v>
      </c>
      <c r="F124" s="7" t="str">
        <f t="array" ref="F124">+TIPOARMA(H124,I124)</f>
        <v>ACRP</v>
      </c>
      <c r="H124" t="str">
        <f t="array" ref="H124">+ARMASTD(N124)</f>
        <v>Revólver</v>
      </c>
      <c r="I124" t="str">
        <f t="array" ref="I124">+CALIBRESTD(O124)</f>
        <v>.38 SPL</v>
      </c>
      <c r="L124" t="s">
        <v>296</v>
      </c>
      <c r="M124" t="s">
        <v>252</v>
      </c>
      <c r="N124" t="s">
        <v>249</v>
      </c>
      <c r="O124" t="s">
        <v>277</v>
      </c>
      <c r="P124" s="40">
        <v>10</v>
      </c>
      <c r="Q124" t="s">
        <v>298</v>
      </c>
      <c r="R124" t="s">
        <v>77</v>
      </c>
    </row>
    <row r="125" spans="1:18" ht="14.25" customHeight="1" x14ac:dyDescent="0.35">
      <c r="A125" s="41" t="str">
        <f t="array" ref="A125">EXTRACTEVENT(Q125,S125)</f>
        <v>Campeonato Paulista de Car/Pst/RF 2023</v>
      </c>
      <c r="B125" s="41" t="str">
        <f t="shared" si="3"/>
        <v>7</v>
      </c>
      <c r="C125" s="41" t="str">
        <f>+VLOOKUP(R125,Maps!$A:$C,2,0)</f>
        <v>FPTE</v>
      </c>
      <c r="D125" s="41" t="str">
        <f t="shared" si="4"/>
        <v>E</v>
      </c>
      <c r="E125" s="42">
        <f t="shared" si="5"/>
        <v>45151</v>
      </c>
      <c r="F125" s="43" t="str">
        <f t="array" ref="F125">+TIPOARMA(H125,I125)</f>
        <v>ACRR</v>
      </c>
      <c r="G125" s="41"/>
      <c r="H125" s="41" t="str">
        <f t="array" ref="H125">+ARMASTD(N125)</f>
        <v>Revólver</v>
      </c>
      <c r="I125" s="41" t="str">
        <f t="array" ref="I125">+CALIBRESTD(O125)</f>
        <v>.357 Mag</v>
      </c>
      <c r="L125" t="s">
        <v>296</v>
      </c>
      <c r="M125" t="s">
        <v>252</v>
      </c>
      <c r="N125" t="s">
        <v>247</v>
      </c>
      <c r="O125" t="s">
        <v>179</v>
      </c>
      <c r="P125" s="40">
        <v>10</v>
      </c>
      <c r="Q125" t="s">
        <v>298</v>
      </c>
      <c r="R125" t="s">
        <v>77</v>
      </c>
    </row>
    <row r="126" spans="1:18" ht="14.25" customHeight="1" x14ac:dyDescent="0.35">
      <c r="A126" t="str">
        <f t="array" ref="A126">EXTRACTEVENT(Q126,S126)</f>
        <v>Campeonato Paulista de Car/Pst/RF 2023</v>
      </c>
      <c r="B126" t="str">
        <f t="shared" si="3"/>
        <v>7</v>
      </c>
      <c r="C126" t="str">
        <f>+VLOOKUP(R126,Maps!$A:$C,2,0)</f>
        <v>FPTE</v>
      </c>
      <c r="D126" t="str">
        <f t="shared" si="4"/>
        <v>E</v>
      </c>
      <c r="E126" s="39">
        <f t="shared" si="5"/>
        <v>45151</v>
      </c>
      <c r="F126" s="7" t="str">
        <f t="array" ref="F126">+TIPOARMA(H126,I126)</f>
        <v>ACRR</v>
      </c>
      <c r="H126" t="str">
        <f t="array" ref="H126">+ARMASTD(N126)</f>
        <v>Revólver</v>
      </c>
      <c r="I126" t="str">
        <f t="array" ref="I126">+CALIBRESTD(O126)</f>
        <v>.357 Mag</v>
      </c>
      <c r="L126" t="s">
        <v>296</v>
      </c>
      <c r="M126" t="s">
        <v>252</v>
      </c>
      <c r="N126" t="s">
        <v>247</v>
      </c>
      <c r="O126" t="s">
        <v>179</v>
      </c>
      <c r="P126" s="40">
        <v>10</v>
      </c>
      <c r="Q126" t="s">
        <v>298</v>
      </c>
      <c r="R126" t="s">
        <v>77</v>
      </c>
    </row>
    <row r="127" spans="1:18" ht="14.25" customHeight="1" x14ac:dyDescent="0.35">
      <c r="A127" s="41" t="str">
        <f t="array" ref="A127">EXTRACTEVENT(Q127,S127)</f>
        <v>Campeonato Paulista de Car/Pst/RF 2023</v>
      </c>
      <c r="B127" s="41" t="str">
        <f t="shared" si="3"/>
        <v>5</v>
      </c>
      <c r="C127" s="41" t="str">
        <f>+VLOOKUP(R127,Maps!$A:$C,2,0)</f>
        <v>FPTE</v>
      </c>
      <c r="D127" s="41" t="str">
        <f t="shared" si="4"/>
        <v>E</v>
      </c>
      <c r="E127" s="42">
        <f t="shared" si="5"/>
        <v>45095</v>
      </c>
      <c r="F127" s="43" t="str">
        <f t="array" ref="F127">+TIPOARMA(H127,I127)</f>
        <v>ACRR</v>
      </c>
      <c r="G127" s="41"/>
      <c r="H127" s="41" t="str">
        <f t="array" ref="H127">+ARMASTD(N127)</f>
        <v>Pistola</v>
      </c>
      <c r="I127" s="41" t="str">
        <f t="array" ref="I127">+CALIBRESTD(O127)</f>
        <v>9mm</v>
      </c>
      <c r="L127" t="s">
        <v>299</v>
      </c>
      <c r="M127" t="s">
        <v>252</v>
      </c>
      <c r="N127" t="s">
        <v>202</v>
      </c>
      <c r="O127" t="s">
        <v>187</v>
      </c>
      <c r="P127" s="40">
        <v>10</v>
      </c>
      <c r="Q127" t="s">
        <v>300</v>
      </c>
      <c r="R127" t="s">
        <v>77</v>
      </c>
    </row>
    <row r="128" spans="1:18" ht="14.25" customHeight="1" x14ac:dyDescent="0.35">
      <c r="A128" t="str">
        <f t="array" ref="A128">EXTRACTEVENT(Q128,S128)</f>
        <v>Campeonato Paulista de Car/Pst/RF 2023</v>
      </c>
      <c r="B128" t="str">
        <f t="shared" si="3"/>
        <v>5</v>
      </c>
      <c r="C128" t="str">
        <f>+VLOOKUP(R128,Maps!$A:$C,2,0)</f>
        <v>FPTE</v>
      </c>
      <c r="D128" t="str">
        <f t="shared" si="4"/>
        <v>E</v>
      </c>
      <c r="E128" s="39">
        <f t="shared" si="5"/>
        <v>45095</v>
      </c>
      <c r="F128" s="7" t="str">
        <f t="array" ref="F128">+TIPOARMA(H128,I128)</f>
        <v>ACRP</v>
      </c>
      <c r="H128" t="str">
        <f t="array" ref="H128">+ARMASTD(N128)</f>
        <v>Pistola</v>
      </c>
      <c r="I128" t="str">
        <f t="array" ref="I128">+CALIBRESTD(O128)</f>
        <v>.380 ACP</v>
      </c>
      <c r="L128" t="s">
        <v>299</v>
      </c>
      <c r="M128" t="s">
        <v>252</v>
      </c>
      <c r="N128" t="s">
        <v>160</v>
      </c>
      <c r="O128" t="s">
        <v>182</v>
      </c>
      <c r="P128" s="40">
        <v>10</v>
      </c>
      <c r="Q128" t="s">
        <v>300</v>
      </c>
      <c r="R128" t="s">
        <v>77</v>
      </c>
    </row>
    <row r="129" spans="1:18" ht="14.25" customHeight="1" x14ac:dyDescent="0.35">
      <c r="A129" s="41" t="str">
        <f t="array" ref="A129">EXTRACTEVENT(Q129,S129)</f>
        <v>Campeonato Paulista de Car/Pst/RF 2023</v>
      </c>
      <c r="B129" s="41" t="str">
        <f t="shared" si="3"/>
        <v>5</v>
      </c>
      <c r="C129" s="41" t="str">
        <f>+VLOOKUP(R129,Maps!$A:$C,2,0)</f>
        <v>FPTE</v>
      </c>
      <c r="D129" s="41" t="str">
        <f t="shared" si="4"/>
        <v>E</v>
      </c>
      <c r="E129" s="42">
        <f t="shared" si="5"/>
        <v>45095</v>
      </c>
      <c r="F129" s="43" t="str">
        <f t="array" ref="F129">+TIPOARMA(H129,I129)</f>
        <v>ACRR</v>
      </c>
      <c r="G129" s="41"/>
      <c r="H129" s="41" t="str">
        <f t="array" ref="H129">+ARMASTD(N129)</f>
        <v>Pistola</v>
      </c>
      <c r="I129" s="41" t="str">
        <f t="array" ref="I129">+CALIBRESTD(O129)</f>
        <v>9mm</v>
      </c>
      <c r="L129" t="s">
        <v>299</v>
      </c>
      <c r="M129" t="s">
        <v>252</v>
      </c>
      <c r="N129" t="s">
        <v>157</v>
      </c>
      <c r="O129" t="s">
        <v>187</v>
      </c>
      <c r="P129" s="40">
        <v>10</v>
      </c>
      <c r="Q129" t="s">
        <v>300</v>
      </c>
      <c r="R129" t="s">
        <v>77</v>
      </c>
    </row>
    <row r="130" spans="1:18" ht="14.25" customHeight="1" x14ac:dyDescent="0.35">
      <c r="A130" t="str">
        <f t="array" ref="A130">EXTRACTEVENT(Q130,S130)</f>
        <v>Fuzil 50 e 20 Metros</v>
      </c>
      <c r="B130" t="str">
        <f t="shared" ref="B130:B193" si="6">+EXTRACTETAPANUM(Q130)</f>
        <v>3</v>
      </c>
      <c r="C130" t="str">
        <f>+VLOOKUP(R130,Maps!$A:$C,2,0)</f>
        <v>FPTE</v>
      </c>
      <c r="D130" t="str">
        <f t="shared" ref="D130:D193" si="7">+DEFINEAMBITO(Q130,C130)</f>
        <v>E</v>
      </c>
      <c r="E130" s="39">
        <f t="shared" ref="E130:E193" si="8">DATEVALUE(L130)</f>
        <v>45095</v>
      </c>
      <c r="F130" s="7" t="str">
        <f t="array" ref="F130">+TIPOARMA(H130,I130)</f>
        <v>ALRR</v>
      </c>
      <c r="H130" t="str">
        <f t="array" ref="H130">+ARMASTD(N130)</f>
        <v>Carabina/Fuzil</v>
      </c>
      <c r="I130" t="str">
        <f t="array" ref="I130">+CALIBRESTD(O130)</f>
        <v>5.56MM</v>
      </c>
      <c r="L130" t="s">
        <v>299</v>
      </c>
      <c r="M130" t="s">
        <v>252</v>
      </c>
      <c r="N130" t="s">
        <v>165</v>
      </c>
      <c r="O130" t="s">
        <v>176</v>
      </c>
      <c r="P130" s="40">
        <v>10</v>
      </c>
      <c r="Q130" t="s">
        <v>301</v>
      </c>
      <c r="R130" t="s">
        <v>77</v>
      </c>
    </row>
    <row r="131" spans="1:18" ht="14.25" customHeight="1" x14ac:dyDescent="0.35">
      <c r="A131" s="41" t="str">
        <f t="array" ref="A131">EXTRACTEVENT(Q131,S131)</f>
        <v>Campeonato Paulista de Car/Pst/RF 2023</v>
      </c>
      <c r="B131" s="41" t="str">
        <f t="shared" si="6"/>
        <v>4</v>
      </c>
      <c r="C131" s="41" t="str">
        <f>+VLOOKUP(R131,Maps!$A:$C,2,0)</f>
        <v>FPTE</v>
      </c>
      <c r="D131" s="41" t="str">
        <f t="shared" si="7"/>
        <v>E</v>
      </c>
      <c r="E131" s="42">
        <f t="shared" si="8"/>
        <v>45067</v>
      </c>
      <c r="F131" s="43" t="str">
        <f t="array" ref="F131">+TIPOARMA(H131,I131)</f>
        <v>ACRP</v>
      </c>
      <c r="G131" s="41"/>
      <c r="H131" s="41" t="str">
        <f t="array" ref="H131">+ARMASTD(N131)</f>
        <v>Pistola</v>
      </c>
      <c r="I131" s="41" t="str">
        <f t="array" ref="I131">+CALIBRESTD(O131)</f>
        <v>.380 ACP</v>
      </c>
      <c r="L131" t="s">
        <v>302</v>
      </c>
      <c r="M131" t="s">
        <v>252</v>
      </c>
      <c r="N131" t="s">
        <v>160</v>
      </c>
      <c r="O131" t="s">
        <v>182</v>
      </c>
      <c r="P131" s="40">
        <v>10</v>
      </c>
      <c r="Q131" t="s">
        <v>303</v>
      </c>
      <c r="R131" t="s">
        <v>77</v>
      </c>
    </row>
    <row r="132" spans="1:18" ht="14.25" customHeight="1" x14ac:dyDescent="0.35">
      <c r="A132" t="str">
        <f t="array" ref="A132">EXTRACTEVENT(Q132,S132)</f>
        <v>Campeonato Paulista de Car/Pst/RF 2023</v>
      </c>
      <c r="B132" t="str">
        <f t="shared" si="6"/>
        <v>4</v>
      </c>
      <c r="C132" t="str">
        <f>+VLOOKUP(R132,Maps!$A:$C,2,0)</f>
        <v>FPTE</v>
      </c>
      <c r="D132" t="str">
        <f t="shared" si="7"/>
        <v>E</v>
      </c>
      <c r="E132" s="39">
        <f t="shared" si="8"/>
        <v>45067</v>
      </c>
      <c r="F132" s="7" t="str">
        <f t="array" ref="F132">+TIPOARMA(H132,I132)</f>
        <v>ACRR</v>
      </c>
      <c r="H132" t="str">
        <f t="array" ref="H132">+ARMASTD(N132)</f>
        <v>Pistola</v>
      </c>
      <c r="I132" t="str">
        <f t="array" ref="I132">+CALIBRESTD(O132)</f>
        <v>9mm</v>
      </c>
      <c r="L132" t="s">
        <v>302</v>
      </c>
      <c r="M132" t="s">
        <v>252</v>
      </c>
      <c r="N132" t="s">
        <v>157</v>
      </c>
      <c r="O132" t="s">
        <v>187</v>
      </c>
      <c r="P132" s="40">
        <v>10</v>
      </c>
      <c r="Q132" t="s">
        <v>303</v>
      </c>
      <c r="R132" t="s">
        <v>77</v>
      </c>
    </row>
    <row r="133" spans="1:18" ht="14.25" customHeight="1" x14ac:dyDescent="0.35">
      <c r="A133" s="41" t="str">
        <f t="array" ref="A133">EXTRACTEVENT(Q133,S133)</f>
        <v>Campeonato Paulista de Car/Pst/RF 2023</v>
      </c>
      <c r="B133" s="41" t="str">
        <f t="shared" si="6"/>
        <v>4</v>
      </c>
      <c r="C133" s="41" t="str">
        <f>+VLOOKUP(R133,Maps!$A:$C,2,0)</f>
        <v>FPTE</v>
      </c>
      <c r="D133" s="41" t="str">
        <f t="shared" si="7"/>
        <v>E</v>
      </c>
      <c r="E133" s="42">
        <f t="shared" si="8"/>
        <v>45067</v>
      </c>
      <c r="F133" s="43" t="str">
        <f t="array" ref="F133">+TIPOARMA(H133,I133)</f>
        <v>ACRR</v>
      </c>
      <c r="G133" s="41"/>
      <c r="H133" s="41" t="str">
        <f t="array" ref="H133">+ARMASTD(N133)</f>
        <v>Pistola</v>
      </c>
      <c r="I133" s="41" t="str">
        <f t="array" ref="I133">+CALIBRESTD(O133)</f>
        <v>9mm</v>
      </c>
      <c r="L133" t="s">
        <v>302</v>
      </c>
      <c r="M133" t="s">
        <v>252</v>
      </c>
      <c r="N133" t="s">
        <v>202</v>
      </c>
      <c r="O133" t="s">
        <v>187</v>
      </c>
      <c r="P133" s="40">
        <v>10</v>
      </c>
      <c r="Q133" t="s">
        <v>303</v>
      </c>
      <c r="R133" t="s">
        <v>77</v>
      </c>
    </row>
    <row r="134" spans="1:18" ht="14.25" customHeight="1" x14ac:dyDescent="0.35">
      <c r="A134" t="str">
        <f t="array" ref="A134">EXTRACTEVENT(Q134,S134)</f>
        <v>Campeonato Paulista de Car/Pst/RF 2023</v>
      </c>
      <c r="B134" t="str">
        <f t="shared" si="6"/>
        <v>4</v>
      </c>
      <c r="C134" t="str">
        <f>+VLOOKUP(R134,Maps!$A:$C,2,0)</f>
        <v>FPTE</v>
      </c>
      <c r="D134" t="str">
        <f t="shared" si="7"/>
        <v>E</v>
      </c>
      <c r="E134" s="39">
        <f t="shared" si="8"/>
        <v>45067</v>
      </c>
      <c r="F134" s="7" t="str">
        <f t="array" ref="F134">+TIPOARMA(H134,I134)</f>
        <v>ACRR</v>
      </c>
      <c r="H134" t="str">
        <f t="array" ref="H134">+ARMASTD(N134)</f>
        <v>Revólver</v>
      </c>
      <c r="I134" t="str">
        <f t="array" ref="I134">+CALIBRESTD(O134)</f>
        <v>.357 Mag</v>
      </c>
      <c r="L134" t="s">
        <v>302</v>
      </c>
      <c r="M134" t="s">
        <v>252</v>
      </c>
      <c r="N134" t="s">
        <v>247</v>
      </c>
      <c r="O134" t="s">
        <v>179</v>
      </c>
      <c r="P134" s="40">
        <v>10</v>
      </c>
      <c r="Q134" t="s">
        <v>304</v>
      </c>
      <c r="R134" t="s">
        <v>77</v>
      </c>
    </row>
    <row r="135" spans="1:18" ht="14.25" customHeight="1" x14ac:dyDescent="0.35">
      <c r="A135" s="41" t="str">
        <f t="array" ref="A135">EXTRACTEVENT(Q135,S135)</f>
        <v>Campeonato Paulista de Car/Pst/RF 2023</v>
      </c>
      <c r="B135" s="41" t="str">
        <f t="shared" si="6"/>
        <v>4</v>
      </c>
      <c r="C135" s="41" t="str">
        <f>+VLOOKUP(R135,Maps!$A:$C,2,0)</f>
        <v>FPTE</v>
      </c>
      <c r="D135" s="41" t="str">
        <f t="shared" si="7"/>
        <v>E</v>
      </c>
      <c r="E135" s="42">
        <f t="shared" si="8"/>
        <v>45067</v>
      </c>
      <c r="F135" s="43" t="str">
        <f t="array" ref="F135">+TIPOARMA(H135,I135)</f>
        <v>ACRR</v>
      </c>
      <c r="G135" s="41"/>
      <c r="H135" s="41" t="str">
        <f t="array" ref="H135">+ARMASTD(N135)</f>
        <v>Revólver</v>
      </c>
      <c r="I135" s="41" t="str">
        <f t="array" ref="I135">+CALIBRESTD(O135)</f>
        <v>.357 Mag</v>
      </c>
      <c r="L135" t="s">
        <v>302</v>
      </c>
      <c r="M135" t="s">
        <v>252</v>
      </c>
      <c r="N135" t="s">
        <v>247</v>
      </c>
      <c r="O135" t="s">
        <v>179</v>
      </c>
      <c r="P135" s="40">
        <v>10</v>
      </c>
      <c r="Q135" t="s">
        <v>304</v>
      </c>
      <c r="R135" t="s">
        <v>77</v>
      </c>
    </row>
    <row r="136" spans="1:18" ht="14.25" customHeight="1" x14ac:dyDescent="0.35">
      <c r="A136" t="str">
        <f t="array" ref="A136">EXTRACTEVENT(Q136,S136)</f>
        <v>Campeonato Paulista de Car/Pst/RF 2023</v>
      </c>
      <c r="B136" t="str">
        <f t="shared" si="6"/>
        <v>4</v>
      </c>
      <c r="C136" t="str">
        <f>+VLOOKUP(R136,Maps!$A:$C,2,0)</f>
        <v>FPTE</v>
      </c>
      <c r="D136" t="str">
        <f t="shared" si="7"/>
        <v>E</v>
      </c>
      <c r="E136" s="39">
        <f t="shared" si="8"/>
        <v>45067</v>
      </c>
      <c r="F136" s="7" t="str">
        <f t="array" ref="F136">+TIPOARMA(H136,I136)</f>
        <v>ACRP</v>
      </c>
      <c r="H136" t="str">
        <f t="array" ref="H136">+ARMASTD(N136)</f>
        <v>Revólver</v>
      </c>
      <c r="I136" t="str">
        <f t="array" ref="I136">+CALIBRESTD(O136)</f>
        <v>.38 SPL</v>
      </c>
      <c r="L136" t="s">
        <v>302</v>
      </c>
      <c r="M136" t="s">
        <v>252</v>
      </c>
      <c r="N136" t="s">
        <v>249</v>
      </c>
      <c r="O136" t="s">
        <v>277</v>
      </c>
      <c r="P136" s="40">
        <v>10</v>
      </c>
      <c r="Q136" t="s">
        <v>304</v>
      </c>
      <c r="R136" t="s">
        <v>77</v>
      </c>
    </row>
    <row r="137" spans="1:18" ht="14.25" customHeight="1" x14ac:dyDescent="0.35">
      <c r="A137" s="41" t="str">
        <f t="array" ref="A137">EXTRACTEVENT(Q137,S137)</f>
        <v>Copa FPTE</v>
      </c>
      <c r="B137" s="41" t="str">
        <f t="shared" si="6"/>
        <v>2</v>
      </c>
      <c r="C137" s="41" t="str">
        <f>+VLOOKUP(R137,Maps!$A:$C,2,0)</f>
        <v>FPTE</v>
      </c>
      <c r="D137" s="41" t="str">
        <f t="shared" si="7"/>
        <v>E</v>
      </c>
      <c r="E137" s="42">
        <f t="shared" si="8"/>
        <v>45059</v>
      </c>
      <c r="F137" s="43" t="str">
        <f t="array" ref="F137">+TIPOARMA(H137,I137)</f>
        <v>ACRR</v>
      </c>
      <c r="G137" s="41"/>
      <c r="H137" s="41" t="str">
        <f t="array" ref="H137">+ARMASTD(N137)</f>
        <v>Pistola</v>
      </c>
      <c r="I137" s="41" t="str">
        <f t="array" ref="I137">+CALIBRESTD(O137)</f>
        <v>9mm</v>
      </c>
      <c r="L137" t="s">
        <v>305</v>
      </c>
      <c r="M137" t="s">
        <v>252</v>
      </c>
      <c r="N137" t="s">
        <v>157</v>
      </c>
      <c r="O137" t="s">
        <v>187</v>
      </c>
      <c r="P137" s="40">
        <v>20</v>
      </c>
      <c r="Q137" t="s">
        <v>306</v>
      </c>
      <c r="R137" t="s">
        <v>170</v>
      </c>
    </row>
    <row r="138" spans="1:18" ht="14.25" customHeight="1" x14ac:dyDescent="0.35">
      <c r="A138" t="str">
        <f t="array" ref="A138">EXTRACTEVENT(Q138,S138)</f>
        <v>Short Range</v>
      </c>
      <c r="B138" t="str">
        <f t="shared" si="6"/>
        <v>7</v>
      </c>
      <c r="C138" t="str">
        <f>+VLOOKUP(R138,Maps!$A:$C,2,0)</f>
        <v>Anacac</v>
      </c>
      <c r="D138" t="str">
        <f t="shared" si="7"/>
        <v>N</v>
      </c>
      <c r="E138" s="39">
        <f t="shared" si="8"/>
        <v>46207</v>
      </c>
      <c r="F138" s="7" t="str">
        <f t="array" ref="F138">+TIPOARMA(H138,I138)</f>
        <v>ACRP</v>
      </c>
      <c r="H138" t="str">
        <f t="array" ref="H138">+ARMASTD(N138)</f>
        <v>Pistola</v>
      </c>
      <c r="I138" t="str">
        <f t="array" ref="I138">+CALIBRESTD(O138)</f>
        <v>.380 ACP</v>
      </c>
      <c r="L138" t="s">
        <v>151</v>
      </c>
      <c r="M138" t="s">
        <v>152</v>
      </c>
      <c r="N138" t="s">
        <v>307</v>
      </c>
      <c r="O138" t="s">
        <v>161</v>
      </c>
      <c r="P138" s="40">
        <v>5</v>
      </c>
      <c r="Q138" t="s">
        <v>308</v>
      </c>
      <c r="R138" t="s">
        <v>309</v>
      </c>
    </row>
    <row r="139" spans="1:18" ht="14.25" customHeight="1" x14ac:dyDescent="0.35">
      <c r="A139" s="41" t="str">
        <f t="array" ref="A139">EXTRACTEVENT(Q139,S139)</f>
        <v>Short Range</v>
      </c>
      <c r="B139" s="41" t="str">
        <f t="shared" si="6"/>
        <v>7</v>
      </c>
      <c r="C139" s="41" t="str">
        <f>+VLOOKUP(R139,Maps!$A:$C,2,0)</f>
        <v>Anacac</v>
      </c>
      <c r="D139" s="41" t="str">
        <f t="shared" si="7"/>
        <v>N</v>
      </c>
      <c r="E139" s="42">
        <f t="shared" si="8"/>
        <v>46207</v>
      </c>
      <c r="F139" s="43" t="str">
        <f t="array" ref="F139">+TIPOARMA(H139,I139)</f>
        <v>ACRR</v>
      </c>
      <c r="G139" s="41"/>
      <c r="H139" s="41" t="str">
        <f t="array" ref="H139">+ARMASTD(N139)</f>
        <v>Pistola</v>
      </c>
      <c r="I139" s="41" t="str">
        <f t="array" ref="I139">+CALIBRESTD(O139)</f>
        <v>9mm</v>
      </c>
      <c r="L139" t="s">
        <v>151</v>
      </c>
      <c r="M139" t="s">
        <v>152</v>
      </c>
      <c r="N139" t="s">
        <v>310</v>
      </c>
      <c r="O139" t="s">
        <v>158</v>
      </c>
      <c r="P139" s="40">
        <v>5</v>
      </c>
      <c r="Q139" t="s">
        <v>308</v>
      </c>
      <c r="R139" t="s">
        <v>309</v>
      </c>
    </row>
    <row r="140" spans="1:18" ht="14.25" customHeight="1" x14ac:dyDescent="0.35">
      <c r="A140" t="str">
        <f t="array" ref="A140">EXTRACTEVENT(Q140,S140)</f>
        <v>Short Range</v>
      </c>
      <c r="B140" t="str">
        <f t="shared" si="6"/>
        <v>7</v>
      </c>
      <c r="C140" t="str">
        <f>+VLOOKUP(R140,Maps!$A:$C,2,0)</f>
        <v>Anacac</v>
      </c>
      <c r="D140" t="str">
        <f t="shared" si="7"/>
        <v>N</v>
      </c>
      <c r="E140" s="39">
        <f t="shared" si="8"/>
        <v>46207</v>
      </c>
      <c r="F140" s="7" t="str">
        <f t="array" ref="F140">+TIPOARMA(H140,I140)</f>
        <v>ALRP</v>
      </c>
      <c r="H140" t="str">
        <f t="array" ref="H140">+ARMASTD(N140)</f>
        <v>Carabina/Fuzil</v>
      </c>
      <c r="I140" t="str">
        <f t="array" ref="I140">+CALIBRESTD(O140)</f>
        <v>.357 Mag</v>
      </c>
      <c r="L140" t="s">
        <v>151</v>
      </c>
      <c r="M140" t="s">
        <v>152</v>
      </c>
      <c r="N140" t="s">
        <v>311</v>
      </c>
      <c r="O140" t="s">
        <v>163</v>
      </c>
      <c r="P140" s="40">
        <v>5</v>
      </c>
      <c r="Q140" t="s">
        <v>312</v>
      </c>
      <c r="R140" t="s">
        <v>309</v>
      </c>
    </row>
    <row r="141" spans="1:18" ht="14.25" customHeight="1" x14ac:dyDescent="0.35">
      <c r="A141" s="41" t="str">
        <f t="array" ref="A141">EXTRACTEVENT(Q141,S141)</f>
        <v>Short Range</v>
      </c>
      <c r="B141" s="41" t="str">
        <f t="shared" si="6"/>
        <v>7</v>
      </c>
      <c r="C141" s="41" t="str">
        <f>+VLOOKUP(R141,Maps!$A:$C,2,0)</f>
        <v>Anacac</v>
      </c>
      <c r="D141" s="41" t="str">
        <f t="shared" si="7"/>
        <v>N</v>
      </c>
      <c r="E141" s="42">
        <f t="shared" si="8"/>
        <v>46207</v>
      </c>
      <c r="F141" s="43" t="str">
        <f t="array" ref="F141">+TIPOARMA(H141,I141)</f>
        <v>ALRR</v>
      </c>
      <c r="G141" s="41"/>
      <c r="H141" s="41" t="str">
        <f t="array" ref="H141">+ARMASTD(N141)</f>
        <v>Carabina/Fuzil</v>
      </c>
      <c r="I141" s="41" t="str">
        <f t="array" ref="I141">+CALIBRESTD(O141)</f>
        <v>5.56MM</v>
      </c>
      <c r="L141" t="s">
        <v>151</v>
      </c>
      <c r="M141" t="s">
        <v>152</v>
      </c>
      <c r="N141" t="s">
        <v>165</v>
      </c>
      <c r="O141" t="s">
        <v>166</v>
      </c>
      <c r="P141">
        <v>5</v>
      </c>
      <c r="Q141" t="s">
        <v>312</v>
      </c>
      <c r="R141" t="s">
        <v>309</v>
      </c>
    </row>
    <row r="142" spans="1:18" ht="14.25" customHeight="1" x14ac:dyDescent="0.35">
      <c r="A142" t="str">
        <f t="array" ref="A142">EXTRACTEVENT(Q142,S142)</f>
        <v>Short Range</v>
      </c>
      <c r="B142" t="str">
        <f t="shared" si="6"/>
        <v>7</v>
      </c>
      <c r="C142" t="str">
        <f>+VLOOKUP(R142,Maps!$A:$C,2,0)</f>
        <v>Anacac</v>
      </c>
      <c r="D142" t="str">
        <f t="shared" si="7"/>
        <v>N</v>
      </c>
      <c r="E142" s="39">
        <f t="shared" si="8"/>
        <v>46207</v>
      </c>
      <c r="F142" s="7" t="str">
        <f t="array" ref="F142">+TIPOARMA(H142,I142)</f>
        <v>ALLP</v>
      </c>
      <c r="H142" t="str">
        <f t="array" ref="H142">+ARMASTD(N142)</f>
        <v>Espingarda</v>
      </c>
      <c r="I142" t="str">
        <f t="array" ref="I142">+CALIBRESTD(O142)</f>
        <v>Cal 12</v>
      </c>
      <c r="L142" t="s">
        <v>151</v>
      </c>
      <c r="M142" t="s">
        <v>152</v>
      </c>
      <c r="N142" t="s">
        <v>153</v>
      </c>
      <c r="O142" t="s">
        <v>313</v>
      </c>
      <c r="P142" s="40">
        <v>5</v>
      </c>
      <c r="Q142" t="s">
        <v>314</v>
      </c>
      <c r="R142" t="s">
        <v>309</v>
      </c>
    </row>
    <row r="143" spans="1:18" ht="14.25" customHeight="1" x14ac:dyDescent="0.35">
      <c r="A143" s="41" t="str">
        <f t="array" ref="A143">EXTRACTEVENT(Q143,S143)</f>
        <v>Nacional Power Defense</v>
      </c>
      <c r="B143" s="41" t="str">
        <f t="shared" si="6"/>
        <v>3</v>
      </c>
      <c r="C143" s="41" t="str">
        <f>+VLOOKUP(R143,Maps!$A:$C,2,0)</f>
        <v>Anacac</v>
      </c>
      <c r="D143" s="41" t="str">
        <f t="shared" si="7"/>
        <v>N</v>
      </c>
      <c r="E143" s="42">
        <f t="shared" si="8"/>
        <v>46087</v>
      </c>
      <c r="F143" s="43" t="str">
        <f t="array" ref="F143">+TIPOARMA(H143,I143)</f>
        <v>ALRR</v>
      </c>
      <c r="G143" s="41"/>
      <c r="H143" s="41" t="str">
        <f t="array" ref="H143">+ARMASTD(N143)</f>
        <v>Carabina/Fuzil</v>
      </c>
      <c r="I143" s="41" t="str">
        <f t="array" ref="I143">+CALIBRESTD(O143)</f>
        <v>5.56MM</v>
      </c>
      <c r="L143" t="s">
        <v>174</v>
      </c>
      <c r="M143" t="s">
        <v>315</v>
      </c>
      <c r="N143" t="s">
        <v>165</v>
      </c>
      <c r="O143" t="s">
        <v>176</v>
      </c>
      <c r="P143" s="40">
        <v>5</v>
      </c>
      <c r="Q143" t="s">
        <v>316</v>
      </c>
      <c r="R143" t="s">
        <v>309</v>
      </c>
    </row>
    <row r="144" spans="1:18" ht="14.25" customHeight="1" x14ac:dyDescent="0.35">
      <c r="A144" t="str">
        <f t="array" ref="A144">EXTRACTEVENT(Q144,S144)</f>
        <v>Short Range</v>
      </c>
      <c r="B144" t="str">
        <f t="shared" si="6"/>
        <v>3</v>
      </c>
      <c r="C144" t="str">
        <f>+VLOOKUP(R144,Maps!$A:$C,2,0)</f>
        <v>Anacac</v>
      </c>
      <c r="D144" t="str">
        <f t="shared" si="7"/>
        <v>N</v>
      </c>
      <c r="E144" s="39">
        <f t="shared" si="8"/>
        <v>46087</v>
      </c>
      <c r="F144" s="7" t="str">
        <f t="array" ref="F144">+TIPOARMA(H144,I144)</f>
        <v>ALRP</v>
      </c>
      <c r="H144" t="str">
        <f t="array" ref="H144">+ARMASTD(N144)</f>
        <v>Carabina/Fuzil</v>
      </c>
      <c r="I144" t="str">
        <f t="array" ref="I144">+CALIBRESTD(O144)</f>
        <v>.357 Mag</v>
      </c>
      <c r="L144" t="s">
        <v>174</v>
      </c>
      <c r="M144" t="s">
        <v>317</v>
      </c>
      <c r="N144" t="s">
        <v>311</v>
      </c>
      <c r="O144" t="s">
        <v>179</v>
      </c>
      <c r="P144" s="40">
        <v>5</v>
      </c>
      <c r="Q144" t="s">
        <v>318</v>
      </c>
      <c r="R144" t="s">
        <v>309</v>
      </c>
    </row>
    <row r="145" spans="1:18" ht="14.25" customHeight="1" x14ac:dyDescent="0.35">
      <c r="A145" s="41" t="str">
        <f t="array" ref="A145">EXTRACTEVENT(Q145,S145)</f>
        <v>Short Range</v>
      </c>
      <c r="B145" s="41" t="str">
        <f t="shared" si="6"/>
        <v>3</v>
      </c>
      <c r="C145" s="41" t="str">
        <f>+VLOOKUP(R145,Maps!$A:$C,2,0)</f>
        <v>Anacac</v>
      </c>
      <c r="D145" s="41" t="str">
        <f t="shared" si="7"/>
        <v>N</v>
      </c>
      <c r="E145" s="42">
        <f t="shared" si="8"/>
        <v>46087</v>
      </c>
      <c r="F145" s="43" t="str">
        <f t="array" ref="F145">+TIPOARMA(H145,I145)</f>
        <v>ACRP</v>
      </c>
      <c r="G145" s="41"/>
      <c r="H145" s="41" t="str">
        <f t="array" ref="H145">+ARMASTD(N145)</f>
        <v>Pistola</v>
      </c>
      <c r="I145" s="41" t="str">
        <f t="array" ref="I145">+CALIBRESTD(O145)</f>
        <v>.380 ACP</v>
      </c>
      <c r="L145" t="s">
        <v>174</v>
      </c>
      <c r="M145" t="s">
        <v>319</v>
      </c>
      <c r="N145" t="s">
        <v>307</v>
      </c>
      <c r="O145" t="s">
        <v>182</v>
      </c>
      <c r="P145" s="40">
        <v>5</v>
      </c>
      <c r="Q145" t="s">
        <v>320</v>
      </c>
      <c r="R145" t="s">
        <v>309</v>
      </c>
    </row>
    <row r="146" spans="1:18" ht="14.25" customHeight="1" x14ac:dyDescent="0.35">
      <c r="A146" t="str">
        <f t="array" ref="A146">EXTRACTEVENT(Q146,S146)</f>
        <v>Short Range</v>
      </c>
      <c r="B146" t="str">
        <f t="shared" si="6"/>
        <v>3</v>
      </c>
      <c r="C146" t="str">
        <f>+VLOOKUP(R146,Maps!$A:$C,2,0)</f>
        <v>Anacac</v>
      </c>
      <c r="D146" t="str">
        <f t="shared" si="7"/>
        <v>N</v>
      </c>
      <c r="E146" s="39">
        <f t="shared" si="8"/>
        <v>46087</v>
      </c>
      <c r="F146" s="7" t="str">
        <f t="array" ref="F146">+TIPOARMA(H146,I146)</f>
        <v>ACRR</v>
      </c>
      <c r="H146" t="str">
        <f t="array" ref="H146">+ARMASTD(N146)</f>
        <v>Pistola</v>
      </c>
      <c r="I146" t="str">
        <f t="array" ref="I146">+CALIBRESTD(O146)</f>
        <v>.45 ACP</v>
      </c>
      <c r="L146" t="s">
        <v>174</v>
      </c>
      <c r="M146" t="s">
        <v>321</v>
      </c>
      <c r="N146" t="s">
        <v>322</v>
      </c>
      <c r="O146" t="s">
        <v>185</v>
      </c>
      <c r="P146" s="40">
        <v>5</v>
      </c>
      <c r="Q146" t="s">
        <v>320</v>
      </c>
      <c r="R146" t="s">
        <v>309</v>
      </c>
    </row>
    <row r="147" spans="1:18" ht="14.25" customHeight="1" x14ac:dyDescent="0.35">
      <c r="A147" s="41" t="str">
        <f t="array" ref="A147">EXTRACTEVENT(Q147,S147)</f>
        <v>Nacional Power Defense</v>
      </c>
      <c r="B147" s="41" t="str">
        <f t="shared" si="6"/>
        <v>2</v>
      </c>
      <c r="C147" s="41" t="str">
        <f>+VLOOKUP(R147,Maps!$A:$C,2,0)</f>
        <v>Anacac</v>
      </c>
      <c r="D147" s="41" t="str">
        <f t="shared" si="7"/>
        <v>N</v>
      </c>
      <c r="E147" s="42">
        <f t="shared" si="8"/>
        <v>46081</v>
      </c>
      <c r="F147" s="43" t="str">
        <f t="array" ref="F147">+TIPOARMA(H147,I147)</f>
        <v>ALRP</v>
      </c>
      <c r="G147" s="41"/>
      <c r="H147" s="41" t="str">
        <f t="array" ref="H147">+ARMASTD(N147)</f>
        <v>Carabina/Fuzil</v>
      </c>
      <c r="I147" s="41" t="str">
        <f t="array" ref="I147">+CALIBRESTD(O147)</f>
        <v>.357 Mag</v>
      </c>
      <c r="L147" t="s">
        <v>323</v>
      </c>
      <c r="N147" t="s">
        <v>311</v>
      </c>
      <c r="O147" t="s">
        <v>179</v>
      </c>
      <c r="P147" s="40">
        <v>5</v>
      </c>
      <c r="Q147" t="s">
        <v>324</v>
      </c>
      <c r="R147" t="s">
        <v>309</v>
      </c>
    </row>
    <row r="148" spans="1:18" ht="14.25" customHeight="1" x14ac:dyDescent="0.35">
      <c r="A148" t="str">
        <f t="array" ref="A148">EXTRACTEVENT(Q148,S148)</f>
        <v>Short Range</v>
      </c>
      <c r="B148" t="str">
        <f t="shared" si="6"/>
        <v>2</v>
      </c>
      <c r="C148" t="str">
        <f>+VLOOKUP(R148,Maps!$A:$C,2,0)</f>
        <v>Anacac</v>
      </c>
      <c r="D148" t="str">
        <f t="shared" si="7"/>
        <v>N</v>
      </c>
      <c r="E148" s="39">
        <f t="shared" si="8"/>
        <v>46081</v>
      </c>
      <c r="F148" s="7" t="str">
        <f t="array" ref="F148">+TIPOARMA(H148,I148)</f>
        <v>ALRP</v>
      </c>
      <c r="H148" t="str">
        <f t="array" ref="H148">+ARMASTD(N148)</f>
        <v>Carabina/Fuzil</v>
      </c>
      <c r="I148" t="str">
        <f t="array" ref="I148">+CALIBRESTD(O148)</f>
        <v>.357 Mag</v>
      </c>
      <c r="L148" t="s">
        <v>323</v>
      </c>
      <c r="N148" t="s">
        <v>311</v>
      </c>
      <c r="O148" t="s">
        <v>179</v>
      </c>
      <c r="P148" s="40">
        <v>5</v>
      </c>
      <c r="Q148" t="s">
        <v>325</v>
      </c>
      <c r="R148" t="s">
        <v>309</v>
      </c>
    </row>
    <row r="149" spans="1:18" ht="14.25" customHeight="1" x14ac:dyDescent="0.35">
      <c r="A149" s="41" t="str">
        <f t="array" ref="A149">EXTRACTEVENT(Q149,S149)</f>
        <v>Nacional Power Defense</v>
      </c>
      <c r="B149" s="41" t="str">
        <f t="shared" si="6"/>
        <v>2</v>
      </c>
      <c r="C149" s="41" t="str">
        <f>+VLOOKUP(R149,Maps!$A:$C,2,0)</f>
        <v>Anacac</v>
      </c>
      <c r="D149" s="41" t="str">
        <f t="shared" si="7"/>
        <v>N</v>
      </c>
      <c r="E149" s="42">
        <f t="shared" si="8"/>
        <v>46080</v>
      </c>
      <c r="F149" s="43" t="str">
        <f t="array" ref="F149">+TIPOARMA(H149,I149)</f>
        <v>ALRR</v>
      </c>
      <c r="G149" s="41"/>
      <c r="H149" s="41" t="str">
        <f t="array" ref="H149">+ARMASTD(N149)</f>
        <v>Carabina/Fuzil</v>
      </c>
      <c r="I149" s="41" t="str">
        <f t="array" ref="I149">+CALIBRESTD(O149)</f>
        <v>5.56MM</v>
      </c>
      <c r="L149" t="s">
        <v>326</v>
      </c>
      <c r="M149" t="s">
        <v>239</v>
      </c>
      <c r="N149" t="s">
        <v>327</v>
      </c>
      <c r="O149" t="s">
        <v>176</v>
      </c>
      <c r="P149" s="40">
        <v>5</v>
      </c>
      <c r="Q149" t="s">
        <v>324</v>
      </c>
      <c r="R149" t="s">
        <v>309</v>
      </c>
    </row>
    <row r="150" spans="1:18" ht="14.25" customHeight="1" x14ac:dyDescent="0.35">
      <c r="A150" t="str">
        <f t="array" ref="A150">EXTRACTEVENT(Q150,S150)</f>
        <v>Short Range</v>
      </c>
      <c r="B150" t="str">
        <f t="shared" si="6"/>
        <v>2</v>
      </c>
      <c r="C150" t="str">
        <f>+VLOOKUP(R150,Maps!$A:$C,2,0)</f>
        <v>Anacac</v>
      </c>
      <c r="D150" t="str">
        <f t="shared" si="7"/>
        <v>N</v>
      </c>
      <c r="E150" s="39">
        <f t="shared" si="8"/>
        <v>46080</v>
      </c>
      <c r="F150" s="7" t="str">
        <f t="array" ref="F150">+TIPOARMA(H150,I150)</f>
        <v>ALRR</v>
      </c>
      <c r="H150" t="str">
        <f t="array" ref="H150">+ARMASTD(N150)</f>
        <v>Carabina/Fuzil</v>
      </c>
      <c r="I150" t="str">
        <f t="array" ref="I150">+CALIBRESTD(O150)</f>
        <v>5.56MM</v>
      </c>
      <c r="L150" t="s">
        <v>326</v>
      </c>
      <c r="M150" t="s">
        <v>239</v>
      </c>
      <c r="N150" t="s">
        <v>327</v>
      </c>
      <c r="O150" t="s">
        <v>176</v>
      </c>
      <c r="P150" s="40">
        <v>5</v>
      </c>
      <c r="Q150" t="s">
        <v>325</v>
      </c>
      <c r="R150" t="s">
        <v>309</v>
      </c>
    </row>
    <row r="151" spans="1:18" ht="14.25" customHeight="1" x14ac:dyDescent="0.35">
      <c r="A151" s="41" t="str">
        <f t="array" ref="A151">EXTRACTEVENT(Q151,S151)</f>
        <v>Nacional Power Defense</v>
      </c>
      <c r="B151" s="41" t="str">
        <f t="shared" si="6"/>
        <v>2</v>
      </c>
      <c r="C151" s="41" t="str">
        <f>+VLOOKUP(R151,Maps!$A:$C,2,0)</f>
        <v>Anacac</v>
      </c>
      <c r="D151" s="41" t="str">
        <f t="shared" si="7"/>
        <v>N</v>
      </c>
      <c r="E151" s="42">
        <f t="shared" si="8"/>
        <v>46080</v>
      </c>
      <c r="F151" s="43" t="str">
        <f t="array" ref="F151">+TIPOARMA(H151,I151)</f>
        <v>ACRP</v>
      </c>
      <c r="G151" s="41"/>
      <c r="H151" s="41" t="str">
        <f t="array" ref="H151">+ARMASTD(N151)</f>
        <v>Pistola</v>
      </c>
      <c r="I151" s="41" t="str">
        <f t="array" ref="I151">+CALIBRESTD(O151)</f>
        <v>.380 ACP</v>
      </c>
      <c r="L151" t="s">
        <v>326</v>
      </c>
      <c r="M151" t="s">
        <v>242</v>
      </c>
      <c r="N151" t="s">
        <v>307</v>
      </c>
      <c r="O151" t="s">
        <v>182</v>
      </c>
      <c r="P151" s="40">
        <v>5</v>
      </c>
      <c r="Q151" t="s">
        <v>328</v>
      </c>
      <c r="R151" t="s">
        <v>309</v>
      </c>
    </row>
    <row r="152" spans="1:18" ht="14.25" customHeight="1" x14ac:dyDescent="0.35">
      <c r="A152" t="str">
        <f t="array" ref="A152">EXTRACTEVENT(Q152,S152)</f>
        <v>Nacional Power Defense</v>
      </c>
      <c r="B152" t="str">
        <f t="shared" si="6"/>
        <v>2</v>
      </c>
      <c r="C152" t="str">
        <f>+VLOOKUP(R152,Maps!$A:$C,2,0)</f>
        <v>Anacac</v>
      </c>
      <c r="D152" t="str">
        <f t="shared" si="7"/>
        <v>N</v>
      </c>
      <c r="E152" s="39">
        <f t="shared" si="8"/>
        <v>46080</v>
      </c>
      <c r="F152" s="7" t="str">
        <f t="array" ref="F152">+TIPOARMA(H152,I152)</f>
        <v>ACRP</v>
      </c>
      <c r="H152" t="str">
        <f t="array" ref="H152">+ARMASTD(N152)</f>
        <v>Pistola</v>
      </c>
      <c r="I152" t="str">
        <f t="array" ref="I152">+CALIBRESTD(O152)</f>
        <v>.380 ACP</v>
      </c>
      <c r="L152" t="s">
        <v>326</v>
      </c>
      <c r="M152" t="s">
        <v>329</v>
      </c>
      <c r="N152" t="s">
        <v>307</v>
      </c>
      <c r="O152" t="s">
        <v>182</v>
      </c>
      <c r="P152" s="40">
        <v>5</v>
      </c>
      <c r="Q152" t="s">
        <v>328</v>
      </c>
      <c r="R152" t="s">
        <v>309</v>
      </c>
    </row>
    <row r="153" spans="1:18" ht="14.25" customHeight="1" x14ac:dyDescent="0.35">
      <c r="A153" s="41" t="str">
        <f t="array" ref="A153">EXTRACTEVENT(Q153,S153)</f>
        <v>Short Range</v>
      </c>
      <c r="B153" s="41" t="str">
        <f t="shared" si="6"/>
        <v>2</v>
      </c>
      <c r="C153" s="41" t="str">
        <f>+VLOOKUP(R153,Maps!$A:$C,2,0)</f>
        <v>Anacac</v>
      </c>
      <c r="D153" s="41" t="str">
        <f t="shared" si="7"/>
        <v>N</v>
      </c>
      <c r="E153" s="42">
        <f t="shared" si="8"/>
        <v>46080</v>
      </c>
      <c r="F153" s="43" t="str">
        <f t="array" ref="F153">+TIPOARMA(H153,I153)</f>
        <v>ACRP</v>
      </c>
      <c r="G153" s="41"/>
      <c r="H153" s="41" t="str">
        <f t="array" ref="H153">+ARMASTD(N153)</f>
        <v>Pistola</v>
      </c>
      <c r="I153" s="41" t="str">
        <f t="array" ref="I153">+CALIBRESTD(O153)</f>
        <v>.380 ACP</v>
      </c>
      <c r="L153" t="s">
        <v>326</v>
      </c>
      <c r="M153" t="s">
        <v>330</v>
      </c>
      <c r="N153" t="s">
        <v>307</v>
      </c>
      <c r="O153" t="s">
        <v>182</v>
      </c>
      <c r="P153" s="40">
        <v>5</v>
      </c>
      <c r="Q153" t="s">
        <v>331</v>
      </c>
      <c r="R153" t="s">
        <v>309</v>
      </c>
    </row>
    <row r="154" spans="1:18" ht="14.25" customHeight="1" x14ac:dyDescent="0.35">
      <c r="A154" t="str">
        <f t="array" ref="A154">EXTRACTEVENT(Q154,S154)</f>
        <v>Short Range</v>
      </c>
      <c r="B154" t="str">
        <f t="shared" si="6"/>
        <v>2</v>
      </c>
      <c r="C154" t="str">
        <f>+VLOOKUP(R154,Maps!$A:$C,2,0)</f>
        <v>Anacac</v>
      </c>
      <c r="D154" t="str">
        <f t="shared" si="7"/>
        <v>N</v>
      </c>
      <c r="E154" s="39">
        <f t="shared" si="8"/>
        <v>46080</v>
      </c>
      <c r="F154" s="7" t="str">
        <f t="array" ref="F154">+TIPOARMA(H154,I154)</f>
        <v>ACRR</v>
      </c>
      <c r="H154" t="str">
        <f t="array" ref="H154">+ARMASTD(N154)</f>
        <v>Pistola</v>
      </c>
      <c r="I154" t="str">
        <f t="array" ref="I154">+CALIBRESTD(O154)</f>
        <v>9mm</v>
      </c>
      <c r="L154" t="s">
        <v>326</v>
      </c>
      <c r="M154" t="s">
        <v>332</v>
      </c>
      <c r="N154" t="s">
        <v>157</v>
      </c>
      <c r="O154" t="s">
        <v>187</v>
      </c>
      <c r="P154">
        <v>5</v>
      </c>
      <c r="Q154" t="s">
        <v>331</v>
      </c>
      <c r="R154" t="s">
        <v>309</v>
      </c>
    </row>
    <row r="155" spans="1:18" ht="14.25" customHeight="1" x14ac:dyDescent="0.35">
      <c r="A155" s="41" t="str">
        <f t="array" ref="A155">EXTRACTEVENT(Q155,S155)</f>
        <v/>
      </c>
      <c r="B155" s="41" t="str">
        <f t="shared" si="6"/>
        <v>-</v>
      </c>
      <c r="C155" s="41" t="e">
        <f>+VLOOKUP(R155,Maps!$A:$C,2,0)</f>
        <v>#N/A</v>
      </c>
      <c r="D155" s="41" t="e">
        <f t="shared" si="7"/>
        <v>#VALUE!</v>
      </c>
      <c r="E155" s="42" t="e">
        <f t="shared" si="8"/>
        <v>#VALUE!</v>
      </c>
      <c r="F155" s="43" t="str">
        <f t="array" ref="F155">+TIPOARMA(H155,I155)</f>
        <v>ERRO - REVISAR</v>
      </c>
      <c r="G155" s="41"/>
      <c r="H155" s="41" t="str">
        <f t="array" ref="H155">+ARMASTD(N155)</f>
        <v>ERRO - REVISAR</v>
      </c>
      <c r="I155" s="41" t="str">
        <f t="array" ref="I155">+CALIBRESTD(O155)</f>
        <v>ERRO - REVISAR</v>
      </c>
    </row>
    <row r="156" spans="1:18" ht="14.25" customHeight="1" x14ac:dyDescent="0.35">
      <c r="A156" t="str">
        <f t="array" ref="A156">EXTRACTEVENT(Q156,S156)</f>
        <v/>
      </c>
      <c r="B156" t="str">
        <f t="shared" si="6"/>
        <v>-</v>
      </c>
      <c r="C156" t="e">
        <f>+VLOOKUP(R156,Maps!$A:$C,2,0)</f>
        <v>#N/A</v>
      </c>
      <c r="D156" t="e">
        <f t="shared" si="7"/>
        <v>#VALUE!</v>
      </c>
      <c r="E156" s="39" t="e">
        <f t="shared" si="8"/>
        <v>#VALUE!</v>
      </c>
      <c r="F156" s="7" t="str">
        <f t="array" ref="F156">+TIPOARMA(H156,I156)</f>
        <v>ERRO - REVISAR</v>
      </c>
      <c r="H156" t="str">
        <f t="array" ref="H156">+ARMASTD(N156)</f>
        <v>ERRO - REVISAR</v>
      </c>
      <c r="I156" t="str">
        <f t="array" ref="I156">+CALIBRESTD(O156)</f>
        <v>ERRO - REVISAR</v>
      </c>
    </row>
    <row r="157" spans="1:18" ht="14.25" customHeight="1" x14ac:dyDescent="0.35">
      <c r="A157" s="41" t="str">
        <f t="array" ref="A157">EXTRACTEVENT(Q157,S157)</f>
        <v/>
      </c>
      <c r="B157" s="41" t="str">
        <f t="shared" si="6"/>
        <v>-</v>
      </c>
      <c r="C157" s="41" t="e">
        <f>+VLOOKUP(R157,Maps!$A:$C,2,0)</f>
        <v>#N/A</v>
      </c>
      <c r="D157" s="41" t="e">
        <f t="shared" si="7"/>
        <v>#VALUE!</v>
      </c>
      <c r="E157" s="42" t="e">
        <f t="shared" si="8"/>
        <v>#VALUE!</v>
      </c>
      <c r="F157" s="43" t="str">
        <f t="array" ref="F157">+TIPOARMA(H157,I157)</f>
        <v>ERRO - REVISAR</v>
      </c>
      <c r="G157" s="41"/>
      <c r="H157" s="41" t="str">
        <f t="array" ref="H157">+ARMASTD(N157)</f>
        <v>ERRO - REVISAR</v>
      </c>
      <c r="I157" s="41" t="str">
        <f t="array" ref="I157">+CALIBRESTD(O157)</f>
        <v>ERRO - REVISAR</v>
      </c>
    </row>
    <row r="158" spans="1:18" ht="14.25" customHeight="1" x14ac:dyDescent="0.35">
      <c r="A158" t="str">
        <f t="array" ref="A158">EXTRACTEVENT(Q158,S158)</f>
        <v/>
      </c>
      <c r="B158" t="str">
        <f t="shared" si="6"/>
        <v>-</v>
      </c>
      <c r="C158" t="e">
        <f>+VLOOKUP(R158,Maps!$A:$C,2,0)</f>
        <v>#N/A</v>
      </c>
      <c r="D158" t="e">
        <f t="shared" si="7"/>
        <v>#VALUE!</v>
      </c>
      <c r="E158" s="39" t="e">
        <f t="shared" si="8"/>
        <v>#VALUE!</v>
      </c>
      <c r="F158" s="7" t="str">
        <f t="array" ref="F158">+TIPOARMA(H158,I158)</f>
        <v>ERRO - REVISAR</v>
      </c>
      <c r="H158" t="str">
        <f t="array" ref="H158">+ARMASTD(N158)</f>
        <v>ERRO - REVISAR</v>
      </c>
      <c r="I158" t="str">
        <f t="array" ref="I158">+CALIBRESTD(O158)</f>
        <v>ERRO - REVISAR</v>
      </c>
    </row>
    <row r="159" spans="1:18" ht="14.25" customHeight="1" x14ac:dyDescent="0.35">
      <c r="A159" s="41" t="str">
        <f t="array" ref="A159">EXTRACTEVENT(Q159,S159)</f>
        <v/>
      </c>
      <c r="B159" s="41" t="str">
        <f t="shared" si="6"/>
        <v>-</v>
      </c>
      <c r="C159" s="41" t="e">
        <f>+VLOOKUP(R159,Maps!$A:$C,2,0)</f>
        <v>#N/A</v>
      </c>
      <c r="D159" s="41" t="e">
        <f t="shared" si="7"/>
        <v>#VALUE!</v>
      </c>
      <c r="E159" s="42" t="e">
        <f t="shared" si="8"/>
        <v>#VALUE!</v>
      </c>
      <c r="F159" s="43" t="str">
        <f t="array" ref="F159">+TIPOARMA(H159,I159)</f>
        <v>ERRO - REVISAR</v>
      </c>
      <c r="G159" s="41"/>
      <c r="H159" s="41" t="str">
        <f t="array" ref="H159">+ARMASTD(N159)</f>
        <v>ERRO - REVISAR</v>
      </c>
      <c r="I159" s="41" t="str">
        <f t="array" ref="I159">+CALIBRESTD(O159)</f>
        <v>ERRO - REVISAR</v>
      </c>
    </row>
    <row r="160" spans="1:18" ht="14.25" customHeight="1" x14ac:dyDescent="0.35">
      <c r="A160" t="str">
        <f t="array" ref="A160">EXTRACTEVENT(Q160,S160)</f>
        <v/>
      </c>
      <c r="B160" t="str">
        <f t="shared" si="6"/>
        <v>-</v>
      </c>
      <c r="C160" t="e">
        <f>+VLOOKUP(R160,Maps!$A:$C,2,0)</f>
        <v>#N/A</v>
      </c>
      <c r="D160" t="e">
        <f t="shared" si="7"/>
        <v>#VALUE!</v>
      </c>
      <c r="E160" s="39" t="e">
        <f t="shared" si="8"/>
        <v>#VALUE!</v>
      </c>
      <c r="F160" s="7" t="str">
        <f t="array" ref="F160">+TIPOARMA(H160,I160)</f>
        <v>ERRO - REVISAR</v>
      </c>
      <c r="H160" t="str">
        <f t="array" ref="H160">+ARMASTD(N160)</f>
        <v>ERRO - REVISAR</v>
      </c>
      <c r="I160" t="str">
        <f t="array" ref="I160">+CALIBRESTD(O160)</f>
        <v>ERRO - REVISAR</v>
      </c>
    </row>
    <row r="161" spans="1:9" ht="14.25" customHeight="1" x14ac:dyDescent="0.35">
      <c r="A161" s="41" t="str">
        <f t="array" ref="A161">EXTRACTEVENT(Q161,S161)</f>
        <v/>
      </c>
      <c r="B161" s="41" t="str">
        <f t="shared" si="6"/>
        <v>-</v>
      </c>
      <c r="C161" s="41" t="e">
        <f>+VLOOKUP(R161,Maps!$A:$C,2,0)</f>
        <v>#N/A</v>
      </c>
      <c r="D161" s="41" t="e">
        <f t="shared" si="7"/>
        <v>#VALUE!</v>
      </c>
      <c r="E161" s="42" t="e">
        <f t="shared" si="8"/>
        <v>#VALUE!</v>
      </c>
      <c r="F161" s="43" t="str">
        <f t="array" ref="F161">+TIPOARMA(H161,I161)</f>
        <v>ERRO - REVISAR</v>
      </c>
      <c r="G161" s="41"/>
      <c r="H161" s="41" t="str">
        <f t="array" ref="H161">+ARMASTD(N161)</f>
        <v>ERRO - REVISAR</v>
      </c>
      <c r="I161" s="41" t="str">
        <f t="array" ref="I161">+CALIBRESTD(O161)</f>
        <v>ERRO - REVISAR</v>
      </c>
    </row>
    <row r="162" spans="1:9" ht="14.25" customHeight="1" x14ac:dyDescent="0.35">
      <c r="A162" t="str">
        <f t="array" ref="A162">EXTRACTEVENT(Q162,S162)</f>
        <v/>
      </c>
      <c r="B162" t="str">
        <f t="shared" si="6"/>
        <v>-</v>
      </c>
      <c r="C162" t="e">
        <f>+VLOOKUP(R162,Maps!$A:$C,2,0)</f>
        <v>#N/A</v>
      </c>
      <c r="D162" t="e">
        <f t="shared" si="7"/>
        <v>#VALUE!</v>
      </c>
      <c r="E162" s="39" t="e">
        <f t="shared" si="8"/>
        <v>#VALUE!</v>
      </c>
      <c r="F162" s="7" t="str">
        <f t="array" ref="F162">+TIPOARMA(H162,I162)</f>
        <v>ERRO - REVISAR</v>
      </c>
      <c r="H162" t="str">
        <f t="array" ref="H162">+ARMASTD(N162)</f>
        <v>ERRO - REVISAR</v>
      </c>
      <c r="I162" t="str">
        <f t="array" ref="I162">+CALIBRESTD(O162)</f>
        <v>ERRO - REVISAR</v>
      </c>
    </row>
    <row r="163" spans="1:9" ht="14.25" customHeight="1" x14ac:dyDescent="0.35">
      <c r="A163" s="41" t="str">
        <f t="array" ref="A163">EXTRACTEVENT(Q163,S163)</f>
        <v/>
      </c>
      <c r="B163" s="41" t="str">
        <f t="shared" si="6"/>
        <v>-</v>
      </c>
      <c r="C163" s="41" t="e">
        <f>+VLOOKUP(R163,Maps!$A:$C,2,0)</f>
        <v>#N/A</v>
      </c>
      <c r="D163" s="41" t="e">
        <f t="shared" si="7"/>
        <v>#VALUE!</v>
      </c>
      <c r="E163" s="42" t="e">
        <f t="shared" si="8"/>
        <v>#VALUE!</v>
      </c>
      <c r="F163" s="43" t="str">
        <f t="array" ref="F163">+TIPOARMA(H163,I163)</f>
        <v>ERRO - REVISAR</v>
      </c>
      <c r="G163" s="41"/>
      <c r="H163" s="41" t="str">
        <f t="array" ref="H163">+ARMASTD(N163)</f>
        <v>ERRO - REVISAR</v>
      </c>
      <c r="I163" s="41" t="str">
        <f t="array" ref="I163">+CALIBRESTD(O163)</f>
        <v>ERRO - REVISAR</v>
      </c>
    </row>
    <row r="164" spans="1:9" ht="14.25" customHeight="1" x14ac:dyDescent="0.35">
      <c r="A164" t="str">
        <f t="array" ref="A164">EXTRACTEVENT(Q164,S164)</f>
        <v/>
      </c>
      <c r="B164" t="str">
        <f t="shared" si="6"/>
        <v>-</v>
      </c>
      <c r="C164" t="e">
        <f>+VLOOKUP(R164,Maps!$A:$C,2,0)</f>
        <v>#N/A</v>
      </c>
      <c r="D164" t="e">
        <f t="shared" si="7"/>
        <v>#VALUE!</v>
      </c>
      <c r="E164" s="39" t="e">
        <f t="shared" si="8"/>
        <v>#VALUE!</v>
      </c>
      <c r="F164" s="7" t="str">
        <f t="array" ref="F164">+TIPOARMA(H164,I164)</f>
        <v>ERRO - REVISAR</v>
      </c>
      <c r="H164" t="str">
        <f t="array" ref="H164">+ARMASTD(N164)</f>
        <v>ERRO - REVISAR</v>
      </c>
      <c r="I164" t="str">
        <f t="array" ref="I164">+CALIBRESTD(O164)</f>
        <v>ERRO - REVISAR</v>
      </c>
    </row>
    <row r="165" spans="1:9" ht="14.25" customHeight="1" x14ac:dyDescent="0.35">
      <c r="A165" s="41" t="str">
        <f t="array" ref="A165">EXTRACTEVENT(Q165,S165)</f>
        <v/>
      </c>
      <c r="B165" s="41" t="str">
        <f t="shared" si="6"/>
        <v>-</v>
      </c>
      <c r="C165" s="41" t="e">
        <f>+VLOOKUP(R165,Maps!$A:$C,2,0)</f>
        <v>#N/A</v>
      </c>
      <c r="D165" s="41" t="e">
        <f t="shared" si="7"/>
        <v>#VALUE!</v>
      </c>
      <c r="E165" s="42" t="e">
        <f t="shared" si="8"/>
        <v>#VALUE!</v>
      </c>
      <c r="F165" s="43" t="str">
        <f t="array" ref="F165">+TIPOARMA(H165,I165)</f>
        <v>ERRO - REVISAR</v>
      </c>
      <c r="G165" s="41"/>
      <c r="H165" s="41" t="str">
        <f t="array" ref="H165">+ARMASTD(N165)</f>
        <v>ERRO - REVISAR</v>
      </c>
      <c r="I165" s="41" t="str">
        <f t="array" ref="I165">+CALIBRESTD(O165)</f>
        <v>ERRO - REVISAR</v>
      </c>
    </row>
    <row r="166" spans="1:9" ht="14.25" customHeight="1" x14ac:dyDescent="0.35">
      <c r="A166" t="str">
        <f t="array" ref="A166">EXTRACTEVENT(Q166,S166)</f>
        <v/>
      </c>
      <c r="B166" t="str">
        <f t="shared" si="6"/>
        <v>-</v>
      </c>
      <c r="C166" t="e">
        <f>+VLOOKUP(R166,Maps!$A:$C,2,0)</f>
        <v>#N/A</v>
      </c>
      <c r="D166" t="e">
        <f t="shared" si="7"/>
        <v>#VALUE!</v>
      </c>
      <c r="E166" s="39" t="e">
        <f t="shared" si="8"/>
        <v>#VALUE!</v>
      </c>
      <c r="F166" s="7" t="str">
        <f t="array" ref="F166">+TIPOARMA(H166,I166)</f>
        <v>ERRO - REVISAR</v>
      </c>
      <c r="H166" t="str">
        <f t="array" ref="H166">+ARMASTD(N166)</f>
        <v>ERRO - REVISAR</v>
      </c>
      <c r="I166" t="str">
        <f t="array" ref="I166">+CALIBRESTD(O166)</f>
        <v>ERRO - REVISAR</v>
      </c>
    </row>
    <row r="167" spans="1:9" ht="14.25" customHeight="1" x14ac:dyDescent="0.35">
      <c r="A167" s="41" t="str">
        <f t="array" ref="A167">EXTRACTEVENT(Q167,S167)</f>
        <v/>
      </c>
      <c r="B167" s="41" t="str">
        <f t="shared" si="6"/>
        <v>-</v>
      </c>
      <c r="C167" s="41" t="e">
        <f>+VLOOKUP(R167,Maps!$A:$C,2,0)</f>
        <v>#N/A</v>
      </c>
      <c r="D167" s="41" t="e">
        <f t="shared" si="7"/>
        <v>#VALUE!</v>
      </c>
      <c r="E167" s="42" t="e">
        <f t="shared" si="8"/>
        <v>#VALUE!</v>
      </c>
      <c r="F167" s="43" t="str">
        <f t="array" ref="F167">+TIPOARMA(H167,I167)</f>
        <v>ERRO - REVISAR</v>
      </c>
      <c r="G167" s="41"/>
      <c r="H167" s="41" t="str">
        <f t="array" ref="H167">+ARMASTD(N167)</f>
        <v>ERRO - REVISAR</v>
      </c>
      <c r="I167" s="41" t="str">
        <f t="array" ref="I167">+CALIBRESTD(O167)</f>
        <v>ERRO - REVISAR</v>
      </c>
    </row>
    <row r="168" spans="1:9" ht="14.25" customHeight="1" x14ac:dyDescent="0.35">
      <c r="A168" t="str">
        <f t="array" ref="A168">EXTRACTEVENT(Q168,S168)</f>
        <v/>
      </c>
      <c r="B168" t="str">
        <f t="shared" si="6"/>
        <v>-</v>
      </c>
      <c r="C168" t="e">
        <f>+VLOOKUP(R168,Maps!$A:$C,2,0)</f>
        <v>#N/A</v>
      </c>
      <c r="D168" t="e">
        <f t="shared" si="7"/>
        <v>#VALUE!</v>
      </c>
      <c r="E168" s="39" t="e">
        <f t="shared" si="8"/>
        <v>#VALUE!</v>
      </c>
      <c r="F168" s="7" t="str">
        <f t="array" ref="F168">+TIPOARMA(H168,I168)</f>
        <v>ERRO - REVISAR</v>
      </c>
      <c r="H168" t="str">
        <f t="array" ref="H168">+ARMASTD(N168)</f>
        <v>ERRO - REVISAR</v>
      </c>
      <c r="I168" t="str">
        <f t="array" ref="I168">+CALIBRESTD(O168)</f>
        <v>ERRO - REVISAR</v>
      </c>
    </row>
    <row r="169" spans="1:9" ht="14.25" customHeight="1" x14ac:dyDescent="0.35">
      <c r="A169" s="41" t="str">
        <f t="array" ref="A169">EXTRACTEVENT(Q169,S169)</f>
        <v/>
      </c>
      <c r="B169" s="41" t="str">
        <f t="shared" si="6"/>
        <v>-</v>
      </c>
      <c r="C169" s="41" t="e">
        <f>+VLOOKUP(R169,Maps!$A:$C,2,0)</f>
        <v>#N/A</v>
      </c>
      <c r="D169" s="41" t="e">
        <f t="shared" si="7"/>
        <v>#VALUE!</v>
      </c>
      <c r="E169" s="42" t="e">
        <f t="shared" si="8"/>
        <v>#VALUE!</v>
      </c>
      <c r="F169" s="43" t="str">
        <f t="array" ref="F169">+TIPOARMA(H169,I169)</f>
        <v>ERRO - REVISAR</v>
      </c>
      <c r="G169" s="41"/>
      <c r="H169" s="41" t="str">
        <f t="array" ref="H169">+ARMASTD(N169)</f>
        <v>ERRO - REVISAR</v>
      </c>
      <c r="I169" s="41" t="str">
        <f t="array" ref="I169">+CALIBRESTD(O169)</f>
        <v>ERRO - REVISAR</v>
      </c>
    </row>
    <row r="170" spans="1:9" ht="14.25" customHeight="1" x14ac:dyDescent="0.35">
      <c r="A170" t="str">
        <f t="array" ref="A170">EXTRACTEVENT(Q170,S170)</f>
        <v/>
      </c>
      <c r="B170" t="str">
        <f t="shared" si="6"/>
        <v>-</v>
      </c>
      <c r="C170" t="e">
        <f>+VLOOKUP(R170,Maps!$A:$C,2,0)</f>
        <v>#N/A</v>
      </c>
      <c r="D170" t="e">
        <f t="shared" si="7"/>
        <v>#VALUE!</v>
      </c>
      <c r="E170" s="39" t="e">
        <f t="shared" si="8"/>
        <v>#VALUE!</v>
      </c>
      <c r="F170" s="7" t="str">
        <f t="array" ref="F170">+TIPOARMA(H170,I170)</f>
        <v>ERRO - REVISAR</v>
      </c>
      <c r="H170" t="str">
        <f t="array" ref="H170">+ARMASTD(N170)</f>
        <v>ERRO - REVISAR</v>
      </c>
      <c r="I170" t="str">
        <f t="array" ref="I170">+CALIBRESTD(O170)</f>
        <v>ERRO - REVISAR</v>
      </c>
    </row>
    <row r="171" spans="1:9" ht="14.25" customHeight="1" x14ac:dyDescent="0.35">
      <c r="A171" s="41" t="str">
        <f t="array" ref="A171">EXTRACTEVENT(Q171,S171)</f>
        <v/>
      </c>
      <c r="B171" s="41" t="str">
        <f t="shared" si="6"/>
        <v>-</v>
      </c>
      <c r="C171" s="41" t="e">
        <f>+VLOOKUP(R171,Maps!$A:$C,2,0)</f>
        <v>#N/A</v>
      </c>
      <c r="D171" s="41" t="e">
        <f t="shared" si="7"/>
        <v>#VALUE!</v>
      </c>
      <c r="E171" s="42" t="e">
        <f t="shared" si="8"/>
        <v>#VALUE!</v>
      </c>
      <c r="F171" s="43" t="str">
        <f t="array" ref="F171">+TIPOARMA(H171,I171)</f>
        <v>ERRO - REVISAR</v>
      </c>
      <c r="G171" s="41"/>
      <c r="H171" s="41" t="str">
        <f t="array" ref="H171">+ARMASTD(N171)</f>
        <v>ERRO - REVISAR</v>
      </c>
      <c r="I171" s="41" t="str">
        <f t="array" ref="I171">+CALIBRESTD(O171)</f>
        <v>ERRO - REVISAR</v>
      </c>
    </row>
    <row r="172" spans="1:9" ht="14.25" customHeight="1" x14ac:dyDescent="0.35">
      <c r="A172" t="str">
        <f t="array" ref="A172">EXTRACTEVENT(Q172,S172)</f>
        <v/>
      </c>
      <c r="B172" t="str">
        <f t="shared" si="6"/>
        <v>-</v>
      </c>
      <c r="C172" t="e">
        <f>+VLOOKUP(R172,Maps!$A:$C,2,0)</f>
        <v>#N/A</v>
      </c>
      <c r="D172" t="e">
        <f t="shared" si="7"/>
        <v>#VALUE!</v>
      </c>
      <c r="E172" s="39" t="e">
        <f t="shared" si="8"/>
        <v>#VALUE!</v>
      </c>
      <c r="F172" s="7" t="str">
        <f t="array" ref="F172">+TIPOARMA(H172,I172)</f>
        <v>ERRO - REVISAR</v>
      </c>
      <c r="H172" t="str">
        <f t="array" ref="H172">+ARMASTD(N172)</f>
        <v>ERRO - REVISAR</v>
      </c>
      <c r="I172" t="str">
        <f t="array" ref="I172">+CALIBRESTD(O172)</f>
        <v>ERRO - REVISAR</v>
      </c>
    </row>
    <row r="173" spans="1:9" ht="14.25" customHeight="1" x14ac:dyDescent="0.35">
      <c r="A173" s="41" t="str">
        <f t="array" ref="A173">EXTRACTEVENT(Q173,S173)</f>
        <v/>
      </c>
      <c r="B173" s="41" t="str">
        <f t="shared" si="6"/>
        <v>-</v>
      </c>
      <c r="C173" s="41" t="e">
        <f>+VLOOKUP(R173,Maps!$A:$C,2,0)</f>
        <v>#N/A</v>
      </c>
      <c r="D173" s="41" t="e">
        <f t="shared" si="7"/>
        <v>#VALUE!</v>
      </c>
      <c r="E173" s="42" t="e">
        <f t="shared" si="8"/>
        <v>#VALUE!</v>
      </c>
      <c r="F173" s="43" t="str">
        <f t="array" ref="F173">+TIPOARMA(H173,I173)</f>
        <v>ERRO - REVISAR</v>
      </c>
      <c r="G173" s="41"/>
      <c r="H173" s="41" t="str">
        <f t="array" ref="H173">+ARMASTD(N173)</f>
        <v>ERRO - REVISAR</v>
      </c>
      <c r="I173" s="41" t="str">
        <f t="array" ref="I173">+CALIBRESTD(O173)</f>
        <v>ERRO - REVISAR</v>
      </c>
    </row>
    <row r="174" spans="1:9" ht="14.25" customHeight="1" x14ac:dyDescent="0.35">
      <c r="A174" t="str">
        <f t="array" ref="A174">EXTRACTEVENT(Q174,S174)</f>
        <v/>
      </c>
      <c r="B174" t="str">
        <f t="shared" si="6"/>
        <v>-</v>
      </c>
      <c r="C174" t="e">
        <f>+VLOOKUP(R174,Maps!$A:$C,2,0)</f>
        <v>#N/A</v>
      </c>
      <c r="D174" t="e">
        <f t="shared" si="7"/>
        <v>#VALUE!</v>
      </c>
      <c r="E174" s="39" t="e">
        <f t="shared" si="8"/>
        <v>#VALUE!</v>
      </c>
      <c r="F174" s="7" t="str">
        <f t="array" ref="F174">+TIPOARMA(H174,I174)</f>
        <v>ERRO - REVISAR</v>
      </c>
      <c r="H174" t="str">
        <f t="array" ref="H174">+ARMASTD(N174)</f>
        <v>ERRO - REVISAR</v>
      </c>
      <c r="I174" t="str">
        <f t="array" ref="I174">+CALIBRESTD(O174)</f>
        <v>ERRO - REVISAR</v>
      </c>
    </row>
    <row r="175" spans="1:9" ht="14.25" customHeight="1" x14ac:dyDescent="0.35">
      <c r="A175" s="41" t="str">
        <f t="array" ref="A175">EXTRACTEVENT(Q175,S175)</f>
        <v/>
      </c>
      <c r="B175" s="41" t="str">
        <f t="shared" si="6"/>
        <v>-</v>
      </c>
      <c r="C175" s="41" t="e">
        <f>+VLOOKUP(R175,Maps!$A:$C,2,0)</f>
        <v>#N/A</v>
      </c>
      <c r="D175" s="41" t="e">
        <f t="shared" si="7"/>
        <v>#VALUE!</v>
      </c>
      <c r="E175" s="42" t="e">
        <f t="shared" si="8"/>
        <v>#VALUE!</v>
      </c>
      <c r="F175" s="43" t="str">
        <f t="array" ref="F175">+TIPOARMA(H175,I175)</f>
        <v>ERRO - REVISAR</v>
      </c>
      <c r="G175" s="41"/>
      <c r="H175" s="41" t="str">
        <f t="array" ref="H175">+ARMASTD(N175)</f>
        <v>ERRO - REVISAR</v>
      </c>
      <c r="I175" s="41" t="str">
        <f t="array" ref="I175">+CALIBRESTD(O175)</f>
        <v>ERRO - REVISAR</v>
      </c>
    </row>
    <row r="176" spans="1:9" ht="14.25" customHeight="1" x14ac:dyDescent="0.35">
      <c r="A176" t="str">
        <f t="array" ref="A176">EXTRACTEVENT(Q176,S176)</f>
        <v/>
      </c>
      <c r="B176" t="str">
        <f t="shared" si="6"/>
        <v>-</v>
      </c>
      <c r="C176" t="e">
        <f>+VLOOKUP(R176,Maps!$A:$C,2,0)</f>
        <v>#N/A</v>
      </c>
      <c r="D176" t="e">
        <f t="shared" si="7"/>
        <v>#VALUE!</v>
      </c>
      <c r="E176" s="39" t="e">
        <f t="shared" si="8"/>
        <v>#VALUE!</v>
      </c>
      <c r="F176" s="7" t="str">
        <f t="array" ref="F176">+TIPOARMA(H176,I176)</f>
        <v>ERRO - REVISAR</v>
      </c>
      <c r="H176" t="str">
        <f t="array" ref="H176">+ARMASTD(N176)</f>
        <v>ERRO - REVISAR</v>
      </c>
      <c r="I176" t="str">
        <f t="array" ref="I176">+CALIBRESTD(O176)</f>
        <v>ERRO - REVISAR</v>
      </c>
    </row>
    <row r="177" spans="1:9" ht="14.25" customHeight="1" x14ac:dyDescent="0.35">
      <c r="A177" s="41" t="str">
        <f t="array" ref="A177">EXTRACTEVENT(Q177,S177)</f>
        <v/>
      </c>
      <c r="B177" s="41" t="str">
        <f t="shared" si="6"/>
        <v>-</v>
      </c>
      <c r="C177" s="41" t="e">
        <f>+VLOOKUP(R177,Maps!$A:$C,2,0)</f>
        <v>#N/A</v>
      </c>
      <c r="D177" s="41" t="e">
        <f t="shared" si="7"/>
        <v>#VALUE!</v>
      </c>
      <c r="E177" s="42" t="e">
        <f t="shared" si="8"/>
        <v>#VALUE!</v>
      </c>
      <c r="F177" s="43" t="str">
        <f t="array" ref="F177">+TIPOARMA(H177,I177)</f>
        <v>ERRO - REVISAR</v>
      </c>
      <c r="G177" s="41"/>
      <c r="H177" s="41" t="str">
        <f t="array" ref="H177">+ARMASTD(N177)</f>
        <v>ERRO - REVISAR</v>
      </c>
      <c r="I177" s="41" t="str">
        <f t="array" ref="I177">+CALIBRESTD(O177)</f>
        <v>ERRO - REVISAR</v>
      </c>
    </row>
    <row r="178" spans="1:9" ht="14.25" customHeight="1" x14ac:dyDescent="0.35">
      <c r="A178" t="str">
        <f t="array" ref="A178">EXTRACTEVENT(Q178,S178)</f>
        <v/>
      </c>
      <c r="B178" t="str">
        <f t="shared" si="6"/>
        <v>-</v>
      </c>
      <c r="C178" t="e">
        <f>+VLOOKUP(R178,Maps!$A:$C,2,0)</f>
        <v>#N/A</v>
      </c>
      <c r="D178" t="e">
        <f t="shared" si="7"/>
        <v>#VALUE!</v>
      </c>
      <c r="E178" s="39" t="e">
        <f t="shared" si="8"/>
        <v>#VALUE!</v>
      </c>
      <c r="F178" s="7" t="str">
        <f t="array" ref="F178">+TIPOARMA(H178,I178)</f>
        <v>ERRO - REVISAR</v>
      </c>
      <c r="H178" t="str">
        <f t="array" ref="H178">+ARMASTD(N178)</f>
        <v>ERRO - REVISAR</v>
      </c>
      <c r="I178" t="str">
        <f t="array" ref="I178">+CALIBRESTD(O178)</f>
        <v>ERRO - REVISAR</v>
      </c>
    </row>
    <row r="179" spans="1:9" ht="14.25" customHeight="1" x14ac:dyDescent="0.35">
      <c r="A179" s="41" t="str">
        <f t="array" ref="A179">EXTRACTEVENT(Q179,S179)</f>
        <v/>
      </c>
      <c r="B179" s="41" t="str">
        <f t="shared" si="6"/>
        <v>-</v>
      </c>
      <c r="C179" s="41" t="e">
        <f>+VLOOKUP(R179,Maps!$A:$C,2,0)</f>
        <v>#N/A</v>
      </c>
      <c r="D179" s="41" t="e">
        <f t="shared" si="7"/>
        <v>#VALUE!</v>
      </c>
      <c r="E179" s="42" t="e">
        <f t="shared" si="8"/>
        <v>#VALUE!</v>
      </c>
      <c r="F179" s="43" t="str">
        <f t="array" ref="F179">+TIPOARMA(H179,I179)</f>
        <v>ERRO - REVISAR</v>
      </c>
      <c r="G179" s="41"/>
      <c r="H179" s="41" t="str">
        <f t="array" ref="H179">+ARMASTD(N179)</f>
        <v>ERRO - REVISAR</v>
      </c>
      <c r="I179" s="41" t="str">
        <f t="array" ref="I179">+CALIBRESTD(O179)</f>
        <v>ERRO - REVISAR</v>
      </c>
    </row>
    <row r="180" spans="1:9" ht="14.25" customHeight="1" x14ac:dyDescent="0.35">
      <c r="A180" t="str">
        <f t="array" ref="A180">EXTRACTEVENT(Q180,S180)</f>
        <v/>
      </c>
      <c r="B180" t="str">
        <f t="shared" si="6"/>
        <v>-</v>
      </c>
      <c r="C180" t="e">
        <f>+VLOOKUP(R180,Maps!$A:$C,2,0)</f>
        <v>#N/A</v>
      </c>
      <c r="D180" t="e">
        <f t="shared" si="7"/>
        <v>#VALUE!</v>
      </c>
      <c r="E180" s="39" t="e">
        <f t="shared" si="8"/>
        <v>#VALUE!</v>
      </c>
      <c r="F180" s="7" t="str">
        <f t="array" ref="F180">+TIPOARMA(H180,I180)</f>
        <v>ERRO - REVISAR</v>
      </c>
      <c r="H180" t="str">
        <f t="array" ref="H180">+ARMASTD(N180)</f>
        <v>ERRO - REVISAR</v>
      </c>
      <c r="I180" t="str">
        <f t="array" ref="I180">+CALIBRESTD(O180)</f>
        <v>ERRO - REVISAR</v>
      </c>
    </row>
    <row r="181" spans="1:9" ht="14.25" customHeight="1" x14ac:dyDescent="0.35">
      <c r="A181" s="41" t="str">
        <f t="array" ref="A181">EXTRACTEVENT(Q181,S181)</f>
        <v/>
      </c>
      <c r="B181" s="41" t="str">
        <f t="shared" si="6"/>
        <v>-</v>
      </c>
      <c r="C181" s="41" t="e">
        <f>+VLOOKUP(R181,Maps!$A:$C,2,0)</f>
        <v>#N/A</v>
      </c>
      <c r="D181" s="41" t="e">
        <f t="shared" si="7"/>
        <v>#VALUE!</v>
      </c>
      <c r="E181" s="42" t="e">
        <f t="shared" si="8"/>
        <v>#VALUE!</v>
      </c>
      <c r="F181" s="43" t="str">
        <f t="array" ref="F181">+TIPOARMA(H181,I181)</f>
        <v>ERRO - REVISAR</v>
      </c>
      <c r="G181" s="41"/>
      <c r="H181" s="41" t="str">
        <f t="array" ref="H181">+ARMASTD(N181)</f>
        <v>ERRO - REVISAR</v>
      </c>
      <c r="I181" s="41" t="str">
        <f t="array" ref="I181">+CALIBRESTD(O181)</f>
        <v>ERRO - REVISAR</v>
      </c>
    </row>
    <row r="182" spans="1:9" ht="14.25" customHeight="1" x14ac:dyDescent="0.35">
      <c r="A182" t="str">
        <f t="array" ref="A182">EXTRACTEVENT(Q182,S182)</f>
        <v/>
      </c>
      <c r="B182" t="str">
        <f t="shared" si="6"/>
        <v>-</v>
      </c>
      <c r="C182" t="e">
        <f>+VLOOKUP(R182,Maps!$A:$C,2,0)</f>
        <v>#N/A</v>
      </c>
      <c r="D182" t="e">
        <f t="shared" si="7"/>
        <v>#VALUE!</v>
      </c>
      <c r="E182" s="39" t="e">
        <f t="shared" si="8"/>
        <v>#VALUE!</v>
      </c>
      <c r="F182" s="7" t="str">
        <f t="array" ref="F182">+TIPOARMA(H182,I182)</f>
        <v>ERRO - REVISAR</v>
      </c>
      <c r="H182" t="str">
        <f t="array" ref="H182">+ARMASTD(N182)</f>
        <v>ERRO - REVISAR</v>
      </c>
      <c r="I182" t="str">
        <f t="array" ref="I182">+CALIBRESTD(O182)</f>
        <v>ERRO - REVISAR</v>
      </c>
    </row>
    <row r="183" spans="1:9" ht="14.25" customHeight="1" x14ac:dyDescent="0.35">
      <c r="A183" s="41" t="str">
        <f t="array" ref="A183">EXTRACTEVENT(Q183,S183)</f>
        <v/>
      </c>
      <c r="B183" s="41" t="str">
        <f t="shared" si="6"/>
        <v>-</v>
      </c>
      <c r="C183" s="41" t="e">
        <f>+VLOOKUP(R183,Maps!$A:$C,2,0)</f>
        <v>#N/A</v>
      </c>
      <c r="D183" s="41" t="e">
        <f t="shared" si="7"/>
        <v>#VALUE!</v>
      </c>
      <c r="E183" s="42" t="e">
        <f t="shared" si="8"/>
        <v>#VALUE!</v>
      </c>
      <c r="F183" s="43" t="str">
        <f t="array" ref="F183">+TIPOARMA(H183,I183)</f>
        <v>ERRO - REVISAR</v>
      </c>
      <c r="G183" s="41"/>
      <c r="H183" s="41" t="str">
        <f t="array" ref="H183">+ARMASTD(N183)</f>
        <v>ERRO - REVISAR</v>
      </c>
      <c r="I183" s="41" t="str">
        <f t="array" ref="I183">+CALIBRESTD(O183)</f>
        <v>ERRO - REVISAR</v>
      </c>
    </row>
    <row r="184" spans="1:9" ht="14.25" customHeight="1" x14ac:dyDescent="0.35">
      <c r="A184" t="str">
        <f t="array" ref="A184">EXTRACTEVENT(Q184,S184)</f>
        <v/>
      </c>
      <c r="B184" t="str">
        <f t="shared" si="6"/>
        <v>-</v>
      </c>
      <c r="C184" t="e">
        <f>+VLOOKUP(R184,Maps!$A:$C,2,0)</f>
        <v>#N/A</v>
      </c>
      <c r="D184" t="e">
        <f t="shared" si="7"/>
        <v>#VALUE!</v>
      </c>
      <c r="E184" s="39" t="e">
        <f t="shared" si="8"/>
        <v>#VALUE!</v>
      </c>
      <c r="F184" s="7" t="str">
        <f t="array" ref="F184">+TIPOARMA(H184,I184)</f>
        <v>ERRO - REVISAR</v>
      </c>
      <c r="H184" t="str">
        <f t="array" ref="H184">+ARMASTD(N184)</f>
        <v>ERRO - REVISAR</v>
      </c>
      <c r="I184" t="str">
        <f t="array" ref="I184">+CALIBRESTD(O184)</f>
        <v>ERRO - REVISAR</v>
      </c>
    </row>
    <row r="185" spans="1:9" ht="14.25" customHeight="1" x14ac:dyDescent="0.35">
      <c r="A185" s="41" t="str">
        <f t="array" ref="A185">EXTRACTEVENT(Q185,S185)</f>
        <v/>
      </c>
      <c r="B185" s="41" t="str">
        <f t="shared" si="6"/>
        <v>-</v>
      </c>
      <c r="C185" s="41" t="e">
        <f>+VLOOKUP(R185,Maps!$A:$C,2,0)</f>
        <v>#N/A</v>
      </c>
      <c r="D185" s="41" t="e">
        <f t="shared" si="7"/>
        <v>#VALUE!</v>
      </c>
      <c r="E185" s="42" t="e">
        <f t="shared" si="8"/>
        <v>#VALUE!</v>
      </c>
      <c r="F185" s="43" t="str">
        <f t="array" ref="F185">+TIPOARMA(H185,I185)</f>
        <v>ERRO - REVISAR</v>
      </c>
      <c r="G185" s="41"/>
      <c r="H185" s="41" t="str">
        <f t="array" ref="H185">+ARMASTD(N185)</f>
        <v>ERRO - REVISAR</v>
      </c>
      <c r="I185" s="41" t="str">
        <f t="array" ref="I185">+CALIBRESTD(O185)</f>
        <v>ERRO - REVISAR</v>
      </c>
    </row>
    <row r="186" spans="1:9" ht="14.25" customHeight="1" x14ac:dyDescent="0.35">
      <c r="A186" t="str">
        <f t="array" ref="A186">EXTRACTEVENT(Q186,S186)</f>
        <v/>
      </c>
      <c r="B186" t="str">
        <f t="shared" si="6"/>
        <v>-</v>
      </c>
      <c r="C186" t="e">
        <f>+VLOOKUP(R186,Maps!$A:$C,2,0)</f>
        <v>#N/A</v>
      </c>
      <c r="D186" t="e">
        <f t="shared" si="7"/>
        <v>#VALUE!</v>
      </c>
      <c r="E186" s="39" t="e">
        <f t="shared" si="8"/>
        <v>#VALUE!</v>
      </c>
      <c r="F186" s="7" t="str">
        <f t="array" ref="F186">+TIPOARMA(H186,I186)</f>
        <v>ERRO - REVISAR</v>
      </c>
      <c r="H186" t="str">
        <f t="array" ref="H186">+ARMASTD(N186)</f>
        <v>ERRO - REVISAR</v>
      </c>
      <c r="I186" t="str">
        <f t="array" ref="I186">+CALIBRESTD(O186)</f>
        <v>ERRO - REVISAR</v>
      </c>
    </row>
    <row r="187" spans="1:9" ht="14.25" customHeight="1" x14ac:dyDescent="0.35">
      <c r="A187" s="41" t="str">
        <f t="array" ref="A187">EXTRACTEVENT(Q187,S187)</f>
        <v/>
      </c>
      <c r="B187" s="41" t="str">
        <f t="shared" si="6"/>
        <v>-</v>
      </c>
      <c r="C187" s="41" t="e">
        <f>+VLOOKUP(R187,Maps!$A:$C,2,0)</f>
        <v>#N/A</v>
      </c>
      <c r="D187" s="41" t="e">
        <f t="shared" si="7"/>
        <v>#VALUE!</v>
      </c>
      <c r="E187" s="42" t="e">
        <f t="shared" si="8"/>
        <v>#VALUE!</v>
      </c>
      <c r="F187" s="43" t="str">
        <f t="array" ref="F187">+TIPOARMA(H187,I187)</f>
        <v>ERRO - REVISAR</v>
      </c>
      <c r="G187" s="41"/>
      <c r="H187" s="41" t="str">
        <f t="array" ref="H187">+ARMASTD(N187)</f>
        <v>ERRO - REVISAR</v>
      </c>
      <c r="I187" s="41" t="str">
        <f t="array" ref="I187">+CALIBRESTD(O187)</f>
        <v>ERRO - REVISAR</v>
      </c>
    </row>
    <row r="188" spans="1:9" ht="14.25" customHeight="1" x14ac:dyDescent="0.35">
      <c r="A188" t="str">
        <f t="array" ref="A188">EXTRACTEVENT(Q188,S188)</f>
        <v/>
      </c>
      <c r="B188" t="str">
        <f t="shared" si="6"/>
        <v>-</v>
      </c>
      <c r="C188" t="e">
        <f>+VLOOKUP(R188,Maps!$A:$C,2,0)</f>
        <v>#N/A</v>
      </c>
      <c r="D188" t="e">
        <f t="shared" si="7"/>
        <v>#VALUE!</v>
      </c>
      <c r="E188" s="39" t="e">
        <f t="shared" si="8"/>
        <v>#VALUE!</v>
      </c>
      <c r="F188" s="7" t="str">
        <f t="array" ref="F188">+TIPOARMA(H188,I188)</f>
        <v>ERRO - REVISAR</v>
      </c>
      <c r="H188" t="str">
        <f t="array" ref="H188">+ARMASTD(N188)</f>
        <v>ERRO - REVISAR</v>
      </c>
      <c r="I188" t="str">
        <f t="array" ref="I188">+CALIBRESTD(O188)</f>
        <v>ERRO - REVISAR</v>
      </c>
    </row>
    <row r="189" spans="1:9" ht="14.25" customHeight="1" x14ac:dyDescent="0.35">
      <c r="A189" s="41" t="str">
        <f t="array" ref="A189">EXTRACTEVENT(Q189,S189)</f>
        <v/>
      </c>
      <c r="B189" s="41" t="str">
        <f t="shared" si="6"/>
        <v>-</v>
      </c>
      <c r="C189" s="41" t="e">
        <f>+VLOOKUP(R189,Maps!$A:$C,2,0)</f>
        <v>#N/A</v>
      </c>
      <c r="D189" s="41" t="e">
        <f t="shared" si="7"/>
        <v>#VALUE!</v>
      </c>
      <c r="E189" s="42" t="e">
        <f t="shared" si="8"/>
        <v>#VALUE!</v>
      </c>
      <c r="F189" s="43" t="str">
        <f t="array" ref="F189">+TIPOARMA(H189,I189)</f>
        <v>ERRO - REVISAR</v>
      </c>
      <c r="G189" s="41"/>
      <c r="H189" s="41" t="str">
        <f t="array" ref="H189">+ARMASTD(N189)</f>
        <v>ERRO - REVISAR</v>
      </c>
      <c r="I189" s="41" t="str">
        <f t="array" ref="I189">+CALIBRESTD(O189)</f>
        <v>ERRO - REVISAR</v>
      </c>
    </row>
    <row r="190" spans="1:9" ht="14.25" customHeight="1" x14ac:dyDescent="0.35">
      <c r="A190" t="str">
        <f t="array" ref="A190">EXTRACTEVENT(Q190,S190)</f>
        <v/>
      </c>
      <c r="B190" t="str">
        <f t="shared" si="6"/>
        <v>-</v>
      </c>
      <c r="C190" t="e">
        <f>+VLOOKUP(R190,Maps!$A:$C,2,0)</f>
        <v>#N/A</v>
      </c>
      <c r="D190" t="e">
        <f t="shared" si="7"/>
        <v>#VALUE!</v>
      </c>
      <c r="E190" s="39" t="e">
        <f t="shared" si="8"/>
        <v>#VALUE!</v>
      </c>
      <c r="F190" s="7" t="str">
        <f t="array" ref="F190">+TIPOARMA(H190,I190)</f>
        <v>ERRO - REVISAR</v>
      </c>
      <c r="H190" t="str">
        <f t="array" ref="H190">+ARMASTD(N190)</f>
        <v>ERRO - REVISAR</v>
      </c>
      <c r="I190" t="str">
        <f t="array" ref="I190">+CALIBRESTD(O190)</f>
        <v>ERRO - REVISAR</v>
      </c>
    </row>
    <row r="191" spans="1:9" ht="14.25" customHeight="1" x14ac:dyDescent="0.35">
      <c r="A191" s="41" t="str">
        <f t="array" ref="A191">EXTRACTEVENT(Q191,S191)</f>
        <v/>
      </c>
      <c r="B191" s="41" t="str">
        <f t="shared" si="6"/>
        <v>-</v>
      </c>
      <c r="C191" s="41" t="e">
        <f>+VLOOKUP(R191,Maps!$A:$C,2,0)</f>
        <v>#N/A</v>
      </c>
      <c r="D191" s="41" t="e">
        <f t="shared" si="7"/>
        <v>#VALUE!</v>
      </c>
      <c r="E191" s="42" t="e">
        <f t="shared" si="8"/>
        <v>#VALUE!</v>
      </c>
      <c r="F191" s="43" t="str">
        <f t="array" ref="F191">+TIPOARMA(H191,I191)</f>
        <v>ERRO - REVISAR</v>
      </c>
      <c r="G191" s="41"/>
      <c r="H191" s="41" t="str">
        <f t="array" ref="H191">+ARMASTD(N191)</f>
        <v>ERRO - REVISAR</v>
      </c>
      <c r="I191" s="41" t="str">
        <f t="array" ref="I191">+CALIBRESTD(O191)</f>
        <v>ERRO - REVISAR</v>
      </c>
    </row>
    <row r="192" spans="1:9" ht="14.25" customHeight="1" x14ac:dyDescent="0.35">
      <c r="A192" t="str">
        <f t="array" ref="A192">EXTRACTEVENT(Q192,S192)</f>
        <v/>
      </c>
      <c r="B192" t="str">
        <f t="shared" si="6"/>
        <v>-</v>
      </c>
      <c r="C192" t="e">
        <f>+VLOOKUP(R192,Maps!$A:$C,2,0)</f>
        <v>#N/A</v>
      </c>
      <c r="D192" t="e">
        <f t="shared" si="7"/>
        <v>#VALUE!</v>
      </c>
      <c r="E192" s="39" t="e">
        <f t="shared" si="8"/>
        <v>#VALUE!</v>
      </c>
      <c r="F192" s="7" t="str">
        <f t="array" ref="F192">+TIPOARMA(H192,I192)</f>
        <v>ERRO - REVISAR</v>
      </c>
      <c r="H192" t="str">
        <f t="array" ref="H192">+ARMASTD(N192)</f>
        <v>ERRO - REVISAR</v>
      </c>
      <c r="I192" t="str">
        <f t="array" ref="I192">+CALIBRESTD(O192)</f>
        <v>ERRO - REVISAR</v>
      </c>
    </row>
    <row r="193" spans="1:9" ht="14.25" customHeight="1" x14ac:dyDescent="0.35">
      <c r="A193" s="41" t="str">
        <f t="array" ref="A193">EXTRACTEVENT(Q193,S193)</f>
        <v/>
      </c>
      <c r="B193" s="41" t="str">
        <f t="shared" si="6"/>
        <v>-</v>
      </c>
      <c r="C193" s="41" t="e">
        <f>+VLOOKUP(R193,Maps!$A:$C,2,0)</f>
        <v>#N/A</v>
      </c>
      <c r="D193" s="41" t="e">
        <f t="shared" si="7"/>
        <v>#VALUE!</v>
      </c>
      <c r="E193" s="42" t="e">
        <f t="shared" si="8"/>
        <v>#VALUE!</v>
      </c>
      <c r="F193" s="43" t="str">
        <f t="array" ref="F193">+TIPOARMA(H193,I193)</f>
        <v>ERRO - REVISAR</v>
      </c>
      <c r="G193" s="41"/>
      <c r="H193" s="41" t="str">
        <f t="array" ref="H193">+ARMASTD(N193)</f>
        <v>ERRO - REVISAR</v>
      </c>
      <c r="I193" s="41" t="str">
        <f t="array" ref="I193">+CALIBRESTD(O193)</f>
        <v>ERRO - REVISAR</v>
      </c>
    </row>
    <row r="194" spans="1:9" ht="14.25" customHeight="1" x14ac:dyDescent="0.35">
      <c r="A194" t="str">
        <f t="array" ref="A194">EXTRACTEVENT(Q194,S194)</f>
        <v/>
      </c>
      <c r="B194" t="str">
        <f t="shared" ref="B194:B257" si="9">+EXTRACTETAPANUM(Q194)</f>
        <v>-</v>
      </c>
      <c r="C194" t="e">
        <f>+VLOOKUP(R194,Maps!$A:$C,2,0)</f>
        <v>#N/A</v>
      </c>
      <c r="D194" t="e">
        <f t="shared" ref="D194:D257" si="10">+DEFINEAMBITO(Q194,C194)</f>
        <v>#VALUE!</v>
      </c>
      <c r="E194" s="39" t="e">
        <f t="shared" ref="E194:E257" si="11">DATEVALUE(L194)</f>
        <v>#VALUE!</v>
      </c>
      <c r="F194" s="7" t="str">
        <f t="array" ref="F194">+TIPOARMA(H194,I194)</f>
        <v>ERRO - REVISAR</v>
      </c>
      <c r="H194" t="str">
        <f t="array" ref="H194">+ARMASTD(N194)</f>
        <v>ERRO - REVISAR</v>
      </c>
      <c r="I194" t="str">
        <f t="array" ref="I194">+CALIBRESTD(O194)</f>
        <v>ERRO - REVISAR</v>
      </c>
    </row>
    <row r="195" spans="1:9" ht="14.25" customHeight="1" x14ac:dyDescent="0.35">
      <c r="A195" s="41" t="str">
        <f t="array" ref="A195">EXTRACTEVENT(Q195,S195)</f>
        <v/>
      </c>
      <c r="B195" s="41" t="str">
        <f t="shared" si="9"/>
        <v>-</v>
      </c>
      <c r="C195" s="41" t="e">
        <f>+VLOOKUP(R195,Maps!$A:$C,2,0)</f>
        <v>#N/A</v>
      </c>
      <c r="D195" s="41" t="e">
        <f t="shared" si="10"/>
        <v>#VALUE!</v>
      </c>
      <c r="E195" s="42" t="e">
        <f t="shared" si="11"/>
        <v>#VALUE!</v>
      </c>
      <c r="F195" s="43" t="str">
        <f t="array" ref="F195">+TIPOARMA(H195,I195)</f>
        <v>ERRO - REVISAR</v>
      </c>
      <c r="G195" s="41"/>
      <c r="H195" s="41" t="str">
        <f t="array" ref="H195">+ARMASTD(N195)</f>
        <v>ERRO - REVISAR</v>
      </c>
      <c r="I195" s="41" t="str">
        <f t="array" ref="I195">+CALIBRESTD(O195)</f>
        <v>ERRO - REVISAR</v>
      </c>
    </row>
    <row r="196" spans="1:9" ht="14.25" customHeight="1" x14ac:dyDescent="0.35">
      <c r="A196" t="str">
        <f t="array" ref="A196">EXTRACTEVENT(Q196,S196)</f>
        <v/>
      </c>
      <c r="B196" t="str">
        <f t="shared" si="9"/>
        <v>-</v>
      </c>
      <c r="C196" t="e">
        <f>+VLOOKUP(R196,Maps!$A:$C,2,0)</f>
        <v>#N/A</v>
      </c>
      <c r="D196" t="e">
        <f t="shared" si="10"/>
        <v>#VALUE!</v>
      </c>
      <c r="E196" s="39" t="e">
        <f t="shared" si="11"/>
        <v>#VALUE!</v>
      </c>
      <c r="F196" s="7" t="str">
        <f t="array" ref="F196">+TIPOARMA(H196,I196)</f>
        <v>ERRO - REVISAR</v>
      </c>
      <c r="H196" t="str">
        <f t="array" ref="H196">+ARMASTD(N196)</f>
        <v>ERRO - REVISAR</v>
      </c>
      <c r="I196" t="str">
        <f t="array" ref="I196">+CALIBRESTD(O196)</f>
        <v>ERRO - REVISAR</v>
      </c>
    </row>
    <row r="197" spans="1:9" ht="14.25" customHeight="1" x14ac:dyDescent="0.35">
      <c r="A197" s="41" t="str">
        <f t="array" ref="A197">EXTRACTEVENT(Q197,S197)</f>
        <v/>
      </c>
      <c r="B197" s="41" t="str">
        <f t="shared" si="9"/>
        <v>-</v>
      </c>
      <c r="C197" s="41" t="e">
        <f>+VLOOKUP(R197,Maps!$A:$C,2,0)</f>
        <v>#N/A</v>
      </c>
      <c r="D197" s="41" t="e">
        <f t="shared" si="10"/>
        <v>#VALUE!</v>
      </c>
      <c r="E197" s="42" t="e">
        <f t="shared" si="11"/>
        <v>#VALUE!</v>
      </c>
      <c r="F197" s="43" t="str">
        <f t="array" ref="F197">+TIPOARMA(H197,I197)</f>
        <v>ERRO - REVISAR</v>
      </c>
      <c r="G197" s="41"/>
      <c r="H197" s="41" t="str">
        <f t="array" ref="H197">+ARMASTD(N197)</f>
        <v>ERRO - REVISAR</v>
      </c>
      <c r="I197" s="41" t="str">
        <f t="array" ref="I197">+CALIBRESTD(O197)</f>
        <v>ERRO - REVISAR</v>
      </c>
    </row>
    <row r="198" spans="1:9" ht="14.25" customHeight="1" x14ac:dyDescent="0.35">
      <c r="A198" t="str">
        <f t="array" ref="A198">EXTRACTEVENT(Q198,S198)</f>
        <v/>
      </c>
      <c r="B198" t="str">
        <f t="shared" si="9"/>
        <v>-</v>
      </c>
      <c r="C198" t="e">
        <f>+VLOOKUP(R198,Maps!$A:$C,2,0)</f>
        <v>#N/A</v>
      </c>
      <c r="D198" t="e">
        <f t="shared" si="10"/>
        <v>#VALUE!</v>
      </c>
      <c r="E198" s="39" t="e">
        <f t="shared" si="11"/>
        <v>#VALUE!</v>
      </c>
      <c r="F198" s="7" t="str">
        <f t="array" ref="F198">+TIPOARMA(H198,I198)</f>
        <v>ERRO - REVISAR</v>
      </c>
      <c r="H198" t="str">
        <f t="array" ref="H198">+ARMASTD(N198)</f>
        <v>ERRO - REVISAR</v>
      </c>
      <c r="I198" t="str">
        <f t="array" ref="I198">+CALIBRESTD(O198)</f>
        <v>ERRO - REVISAR</v>
      </c>
    </row>
    <row r="199" spans="1:9" ht="14.25" customHeight="1" x14ac:dyDescent="0.35">
      <c r="A199" s="41" t="str">
        <f t="array" ref="A199">EXTRACTEVENT(Q199,S199)</f>
        <v/>
      </c>
      <c r="B199" s="41" t="str">
        <f t="shared" si="9"/>
        <v>-</v>
      </c>
      <c r="C199" s="41" t="e">
        <f>+VLOOKUP(R199,Maps!$A:$C,2,0)</f>
        <v>#N/A</v>
      </c>
      <c r="D199" s="41" t="e">
        <f t="shared" si="10"/>
        <v>#VALUE!</v>
      </c>
      <c r="E199" s="42" t="e">
        <f t="shared" si="11"/>
        <v>#VALUE!</v>
      </c>
      <c r="F199" s="43" t="str">
        <f t="array" ref="F199">+TIPOARMA(H199,I199)</f>
        <v>ERRO - REVISAR</v>
      </c>
      <c r="G199" s="41"/>
      <c r="H199" s="41" t="str">
        <f t="array" ref="H199">+ARMASTD(N199)</f>
        <v>ERRO - REVISAR</v>
      </c>
      <c r="I199" s="41" t="str">
        <f t="array" ref="I199">+CALIBRESTD(O199)</f>
        <v>ERRO - REVISAR</v>
      </c>
    </row>
    <row r="200" spans="1:9" ht="14.25" customHeight="1" x14ac:dyDescent="0.35">
      <c r="A200" t="str">
        <f t="array" ref="A200">EXTRACTEVENT(Q200,S200)</f>
        <v/>
      </c>
      <c r="B200" t="str">
        <f t="shared" si="9"/>
        <v>-</v>
      </c>
      <c r="C200" t="e">
        <f>+VLOOKUP(R200,Maps!$A:$C,2,0)</f>
        <v>#N/A</v>
      </c>
      <c r="D200" t="e">
        <f t="shared" si="10"/>
        <v>#VALUE!</v>
      </c>
      <c r="E200" s="39" t="e">
        <f t="shared" si="11"/>
        <v>#VALUE!</v>
      </c>
      <c r="F200" s="7" t="str">
        <f t="array" ref="F200">+TIPOARMA(H200,I200)</f>
        <v>ERRO - REVISAR</v>
      </c>
      <c r="H200" t="str">
        <f t="array" ref="H200">+ARMASTD(N200)</f>
        <v>ERRO - REVISAR</v>
      </c>
      <c r="I200" t="str">
        <f t="array" ref="I200">+CALIBRESTD(O200)</f>
        <v>ERRO - REVISAR</v>
      </c>
    </row>
    <row r="201" spans="1:9" ht="14.25" customHeight="1" x14ac:dyDescent="0.35">
      <c r="A201" s="41" t="str">
        <f t="array" ref="A201">EXTRACTEVENT(Q201,S201)</f>
        <v/>
      </c>
      <c r="B201" s="41" t="str">
        <f t="shared" si="9"/>
        <v>-</v>
      </c>
      <c r="C201" s="41" t="e">
        <f>+VLOOKUP(R201,Maps!$A:$C,2,0)</f>
        <v>#N/A</v>
      </c>
      <c r="D201" s="41" t="e">
        <f t="shared" si="10"/>
        <v>#VALUE!</v>
      </c>
      <c r="E201" s="42" t="e">
        <f t="shared" si="11"/>
        <v>#VALUE!</v>
      </c>
      <c r="F201" s="43" t="str">
        <f t="array" ref="F201">+TIPOARMA(H201,I201)</f>
        <v>ERRO - REVISAR</v>
      </c>
      <c r="G201" s="41"/>
      <c r="H201" s="41" t="str">
        <f t="array" ref="H201">+ARMASTD(N201)</f>
        <v>ERRO - REVISAR</v>
      </c>
      <c r="I201" s="41" t="str">
        <f t="array" ref="I201">+CALIBRESTD(O201)</f>
        <v>ERRO - REVISAR</v>
      </c>
    </row>
    <row r="202" spans="1:9" ht="14.25" customHeight="1" x14ac:dyDescent="0.35">
      <c r="A202" t="str">
        <f t="array" ref="A202">EXTRACTEVENT(Q202,S202)</f>
        <v/>
      </c>
      <c r="B202" t="str">
        <f t="shared" si="9"/>
        <v>-</v>
      </c>
      <c r="C202" t="e">
        <f>+VLOOKUP(R202,Maps!$A:$C,2,0)</f>
        <v>#N/A</v>
      </c>
      <c r="D202" t="e">
        <f t="shared" si="10"/>
        <v>#VALUE!</v>
      </c>
      <c r="E202" s="39" t="e">
        <f t="shared" si="11"/>
        <v>#VALUE!</v>
      </c>
      <c r="F202" s="7" t="str">
        <f t="array" ref="F202">+TIPOARMA(H202,I202)</f>
        <v>ERRO - REVISAR</v>
      </c>
      <c r="H202" t="str">
        <f t="array" ref="H202">+ARMASTD(N202)</f>
        <v>ERRO - REVISAR</v>
      </c>
      <c r="I202" t="str">
        <f t="array" ref="I202">+CALIBRESTD(O202)</f>
        <v>ERRO - REVISAR</v>
      </c>
    </row>
    <row r="203" spans="1:9" ht="14.25" customHeight="1" x14ac:dyDescent="0.35">
      <c r="A203" s="41" t="str">
        <f t="array" ref="A203">EXTRACTEVENT(Q203,S203)</f>
        <v/>
      </c>
      <c r="B203" s="41" t="str">
        <f t="shared" si="9"/>
        <v>-</v>
      </c>
      <c r="C203" s="41" t="e">
        <f>+VLOOKUP(R203,Maps!$A:$C,2,0)</f>
        <v>#N/A</v>
      </c>
      <c r="D203" s="41" t="e">
        <f t="shared" si="10"/>
        <v>#VALUE!</v>
      </c>
      <c r="E203" s="42" t="e">
        <f t="shared" si="11"/>
        <v>#VALUE!</v>
      </c>
      <c r="F203" s="43" t="str">
        <f t="array" ref="F203">+TIPOARMA(H203,I203)</f>
        <v>ERRO - REVISAR</v>
      </c>
      <c r="G203" s="41"/>
      <c r="H203" s="41" t="str">
        <f t="array" ref="H203">+ARMASTD(N203)</f>
        <v>ERRO - REVISAR</v>
      </c>
      <c r="I203" s="41" t="str">
        <f t="array" ref="I203">+CALIBRESTD(O203)</f>
        <v>ERRO - REVISAR</v>
      </c>
    </row>
    <row r="204" spans="1:9" ht="14.25" customHeight="1" x14ac:dyDescent="0.35">
      <c r="A204" t="str">
        <f t="array" ref="A204">EXTRACTEVENT(Q204,S204)</f>
        <v/>
      </c>
      <c r="B204" t="str">
        <f t="shared" si="9"/>
        <v>-</v>
      </c>
      <c r="C204" t="e">
        <f>+VLOOKUP(R204,Maps!$A:$C,2,0)</f>
        <v>#N/A</v>
      </c>
      <c r="D204" t="e">
        <f t="shared" si="10"/>
        <v>#VALUE!</v>
      </c>
      <c r="E204" s="39" t="e">
        <f t="shared" si="11"/>
        <v>#VALUE!</v>
      </c>
      <c r="F204" s="7" t="str">
        <f t="array" ref="F204">+TIPOARMA(H204,I204)</f>
        <v>ERRO - REVISAR</v>
      </c>
      <c r="H204" t="str">
        <f t="array" ref="H204">+ARMASTD(N204)</f>
        <v>ERRO - REVISAR</v>
      </c>
      <c r="I204" t="str">
        <f t="array" ref="I204">+CALIBRESTD(O204)</f>
        <v>ERRO - REVISAR</v>
      </c>
    </row>
    <row r="205" spans="1:9" ht="14.25" customHeight="1" x14ac:dyDescent="0.35">
      <c r="A205" s="41" t="str">
        <f t="array" ref="A205">EXTRACTEVENT(Q205,S205)</f>
        <v/>
      </c>
      <c r="B205" s="41" t="str">
        <f t="shared" si="9"/>
        <v>-</v>
      </c>
      <c r="C205" s="41" t="e">
        <f>+VLOOKUP(R205,Maps!$A:$C,2,0)</f>
        <v>#N/A</v>
      </c>
      <c r="D205" s="41" t="e">
        <f t="shared" si="10"/>
        <v>#VALUE!</v>
      </c>
      <c r="E205" s="42" t="e">
        <f t="shared" si="11"/>
        <v>#VALUE!</v>
      </c>
      <c r="F205" s="43" t="str">
        <f t="array" ref="F205">+TIPOARMA(H205,I205)</f>
        <v>ERRO - REVISAR</v>
      </c>
      <c r="G205" s="41"/>
      <c r="H205" s="41" t="str">
        <f t="array" ref="H205">+ARMASTD(N205)</f>
        <v>ERRO - REVISAR</v>
      </c>
      <c r="I205" s="41" t="str">
        <f t="array" ref="I205">+CALIBRESTD(O205)</f>
        <v>ERRO - REVISAR</v>
      </c>
    </row>
    <row r="206" spans="1:9" ht="14.25" customHeight="1" x14ac:dyDescent="0.35">
      <c r="A206" t="str">
        <f t="array" ref="A206">EXTRACTEVENT(Q206,S206)</f>
        <v/>
      </c>
      <c r="B206" t="str">
        <f t="shared" si="9"/>
        <v>-</v>
      </c>
      <c r="C206" t="e">
        <f>+VLOOKUP(R206,Maps!$A:$C,2,0)</f>
        <v>#N/A</v>
      </c>
      <c r="D206" t="e">
        <f t="shared" si="10"/>
        <v>#VALUE!</v>
      </c>
      <c r="E206" s="39" t="e">
        <f t="shared" si="11"/>
        <v>#VALUE!</v>
      </c>
      <c r="F206" s="7" t="str">
        <f t="array" ref="F206">+TIPOARMA(H206,I206)</f>
        <v>ERRO - REVISAR</v>
      </c>
      <c r="H206" t="str">
        <f t="array" ref="H206">+ARMASTD(N206)</f>
        <v>ERRO - REVISAR</v>
      </c>
      <c r="I206" t="str">
        <f t="array" ref="I206">+CALIBRESTD(O206)</f>
        <v>ERRO - REVISAR</v>
      </c>
    </row>
    <row r="207" spans="1:9" ht="14.25" customHeight="1" x14ac:dyDescent="0.35">
      <c r="A207" s="41" t="str">
        <f t="array" ref="A207">EXTRACTEVENT(Q207,S207)</f>
        <v/>
      </c>
      <c r="B207" s="41" t="str">
        <f t="shared" si="9"/>
        <v>-</v>
      </c>
      <c r="C207" s="41" t="e">
        <f>+VLOOKUP(R207,Maps!$A:$C,2,0)</f>
        <v>#N/A</v>
      </c>
      <c r="D207" s="41" t="e">
        <f t="shared" si="10"/>
        <v>#VALUE!</v>
      </c>
      <c r="E207" s="42" t="e">
        <f t="shared" si="11"/>
        <v>#VALUE!</v>
      </c>
      <c r="F207" s="43" t="str">
        <f t="array" ref="F207">+TIPOARMA(H207,I207)</f>
        <v>ERRO - REVISAR</v>
      </c>
      <c r="G207" s="41"/>
      <c r="H207" s="41" t="str">
        <f t="array" ref="H207">+ARMASTD(N207)</f>
        <v>ERRO - REVISAR</v>
      </c>
      <c r="I207" s="41" t="str">
        <f t="array" ref="I207">+CALIBRESTD(O207)</f>
        <v>ERRO - REVISAR</v>
      </c>
    </row>
    <row r="208" spans="1:9" ht="14.25" customHeight="1" x14ac:dyDescent="0.35">
      <c r="A208" t="str">
        <f t="array" ref="A208">EXTRACTEVENT(Q208,S208)</f>
        <v/>
      </c>
      <c r="B208" t="str">
        <f t="shared" si="9"/>
        <v>-</v>
      </c>
      <c r="C208" t="e">
        <f>+VLOOKUP(R208,Maps!$A:$C,2,0)</f>
        <v>#N/A</v>
      </c>
      <c r="D208" t="e">
        <f t="shared" si="10"/>
        <v>#VALUE!</v>
      </c>
      <c r="E208" s="39" t="e">
        <f t="shared" si="11"/>
        <v>#VALUE!</v>
      </c>
      <c r="F208" s="7" t="str">
        <f t="array" ref="F208">+TIPOARMA(H208,I208)</f>
        <v>ERRO - REVISAR</v>
      </c>
      <c r="H208" t="str">
        <f t="array" ref="H208">+ARMASTD(N208)</f>
        <v>ERRO - REVISAR</v>
      </c>
      <c r="I208" t="str">
        <f t="array" ref="I208">+CALIBRESTD(O208)</f>
        <v>ERRO - REVISAR</v>
      </c>
    </row>
    <row r="209" spans="1:9" ht="14.25" customHeight="1" x14ac:dyDescent="0.35">
      <c r="A209" s="41" t="str">
        <f t="array" ref="A209">EXTRACTEVENT(Q209,S209)</f>
        <v/>
      </c>
      <c r="B209" s="41" t="str">
        <f t="shared" si="9"/>
        <v>-</v>
      </c>
      <c r="C209" s="41" t="e">
        <f>+VLOOKUP(R209,Maps!$A:$C,2,0)</f>
        <v>#N/A</v>
      </c>
      <c r="D209" s="41" t="e">
        <f t="shared" si="10"/>
        <v>#VALUE!</v>
      </c>
      <c r="E209" s="42" t="e">
        <f t="shared" si="11"/>
        <v>#VALUE!</v>
      </c>
      <c r="F209" s="43" t="str">
        <f t="array" ref="F209">+TIPOARMA(H209,I209)</f>
        <v>ERRO - REVISAR</v>
      </c>
      <c r="G209" s="41"/>
      <c r="H209" s="41" t="str">
        <f t="array" ref="H209">+ARMASTD(N209)</f>
        <v>ERRO - REVISAR</v>
      </c>
      <c r="I209" s="41" t="str">
        <f t="array" ref="I209">+CALIBRESTD(O209)</f>
        <v>ERRO - REVISAR</v>
      </c>
    </row>
    <row r="210" spans="1:9" ht="14.25" customHeight="1" x14ac:dyDescent="0.35">
      <c r="A210" t="str">
        <f t="array" ref="A210">EXTRACTEVENT(Q210,S210)</f>
        <v/>
      </c>
      <c r="B210" t="str">
        <f t="shared" si="9"/>
        <v>-</v>
      </c>
      <c r="C210" t="e">
        <f>+VLOOKUP(R210,Maps!$A:$C,2,0)</f>
        <v>#N/A</v>
      </c>
      <c r="D210" t="e">
        <f t="shared" si="10"/>
        <v>#VALUE!</v>
      </c>
      <c r="E210" s="39" t="e">
        <f t="shared" si="11"/>
        <v>#VALUE!</v>
      </c>
      <c r="F210" s="7" t="str">
        <f t="array" ref="F210">+TIPOARMA(H210,I210)</f>
        <v>ERRO - REVISAR</v>
      </c>
      <c r="H210" t="str">
        <f t="array" ref="H210">+ARMASTD(N210)</f>
        <v>ERRO - REVISAR</v>
      </c>
      <c r="I210" t="str">
        <f t="array" ref="I210">+CALIBRESTD(O210)</f>
        <v>ERRO - REVISAR</v>
      </c>
    </row>
    <row r="211" spans="1:9" ht="14.25" customHeight="1" x14ac:dyDescent="0.35">
      <c r="A211" s="41" t="str">
        <f t="array" ref="A211">EXTRACTEVENT(Q211,S211)</f>
        <v/>
      </c>
      <c r="B211" s="41" t="str">
        <f t="shared" si="9"/>
        <v>-</v>
      </c>
      <c r="C211" s="41" t="e">
        <f>+VLOOKUP(R211,Maps!$A:$C,2,0)</f>
        <v>#N/A</v>
      </c>
      <c r="D211" s="41" t="e">
        <f t="shared" si="10"/>
        <v>#VALUE!</v>
      </c>
      <c r="E211" s="42" t="e">
        <f t="shared" si="11"/>
        <v>#VALUE!</v>
      </c>
      <c r="F211" s="43" t="str">
        <f t="array" ref="F211">+TIPOARMA(H211,I211)</f>
        <v>ERRO - REVISAR</v>
      </c>
      <c r="G211" s="41"/>
      <c r="H211" s="41" t="str">
        <f t="array" ref="H211">+ARMASTD(N211)</f>
        <v>ERRO - REVISAR</v>
      </c>
      <c r="I211" s="41" t="str">
        <f t="array" ref="I211">+CALIBRESTD(O211)</f>
        <v>ERRO - REVISAR</v>
      </c>
    </row>
    <row r="212" spans="1:9" ht="14.25" customHeight="1" x14ac:dyDescent="0.35">
      <c r="A212" t="str">
        <f t="array" ref="A212">EXTRACTEVENT(Q212,S212)</f>
        <v/>
      </c>
      <c r="B212" t="str">
        <f t="shared" si="9"/>
        <v>-</v>
      </c>
      <c r="C212" t="e">
        <f>+VLOOKUP(R212,Maps!$A:$C,2,0)</f>
        <v>#N/A</v>
      </c>
      <c r="D212" t="e">
        <f t="shared" si="10"/>
        <v>#VALUE!</v>
      </c>
      <c r="E212" s="39" t="e">
        <f t="shared" si="11"/>
        <v>#VALUE!</v>
      </c>
      <c r="F212" s="7" t="str">
        <f t="array" ref="F212">+TIPOARMA(H212,I212)</f>
        <v>ERRO - REVISAR</v>
      </c>
      <c r="H212" t="str">
        <f t="array" ref="H212">+ARMASTD(N212)</f>
        <v>ERRO - REVISAR</v>
      </c>
      <c r="I212" t="str">
        <f t="array" ref="I212">+CALIBRESTD(O212)</f>
        <v>ERRO - REVISAR</v>
      </c>
    </row>
    <row r="213" spans="1:9" ht="14.25" customHeight="1" x14ac:dyDescent="0.35">
      <c r="A213" s="41" t="str">
        <f t="array" ref="A213">EXTRACTEVENT(Q213,S213)</f>
        <v/>
      </c>
      <c r="B213" s="41" t="str">
        <f t="shared" si="9"/>
        <v>-</v>
      </c>
      <c r="C213" s="41" t="e">
        <f>+VLOOKUP(R213,Maps!$A:$C,2,0)</f>
        <v>#N/A</v>
      </c>
      <c r="D213" s="41" t="e">
        <f t="shared" si="10"/>
        <v>#VALUE!</v>
      </c>
      <c r="E213" s="42" t="e">
        <f t="shared" si="11"/>
        <v>#VALUE!</v>
      </c>
      <c r="F213" s="43" t="str">
        <f t="array" ref="F213">+TIPOARMA(H213,I213)</f>
        <v>ERRO - REVISAR</v>
      </c>
      <c r="G213" s="41"/>
      <c r="H213" s="41" t="str">
        <f t="array" ref="H213">+ARMASTD(N213)</f>
        <v>ERRO - REVISAR</v>
      </c>
      <c r="I213" s="41" t="str">
        <f t="array" ref="I213">+CALIBRESTD(O213)</f>
        <v>ERRO - REVISAR</v>
      </c>
    </row>
    <row r="214" spans="1:9" ht="14.25" customHeight="1" x14ac:dyDescent="0.35">
      <c r="A214" t="str">
        <f t="array" ref="A214">EXTRACTEVENT(Q214,S214)</f>
        <v/>
      </c>
      <c r="B214" t="str">
        <f t="shared" si="9"/>
        <v>-</v>
      </c>
      <c r="C214" t="e">
        <f>+VLOOKUP(R214,Maps!$A:$C,2,0)</f>
        <v>#N/A</v>
      </c>
      <c r="D214" t="e">
        <f t="shared" si="10"/>
        <v>#VALUE!</v>
      </c>
      <c r="E214" s="39" t="e">
        <f t="shared" si="11"/>
        <v>#VALUE!</v>
      </c>
      <c r="F214" s="7" t="str">
        <f t="array" ref="F214">+TIPOARMA(H214,I214)</f>
        <v>ERRO - REVISAR</v>
      </c>
      <c r="H214" t="str">
        <f t="array" ref="H214">+ARMASTD(N214)</f>
        <v>ERRO - REVISAR</v>
      </c>
      <c r="I214" t="str">
        <f t="array" ref="I214">+CALIBRESTD(O214)</f>
        <v>ERRO - REVISAR</v>
      </c>
    </row>
    <row r="215" spans="1:9" ht="14.25" customHeight="1" x14ac:dyDescent="0.35">
      <c r="A215" s="41" t="str">
        <f t="array" ref="A215">EXTRACTEVENT(Q215,S215)</f>
        <v/>
      </c>
      <c r="B215" s="41" t="str">
        <f t="shared" si="9"/>
        <v>-</v>
      </c>
      <c r="C215" s="41" t="e">
        <f>+VLOOKUP(R215,Maps!$A:$C,2,0)</f>
        <v>#N/A</v>
      </c>
      <c r="D215" s="41" t="e">
        <f t="shared" si="10"/>
        <v>#VALUE!</v>
      </c>
      <c r="E215" s="42" t="e">
        <f t="shared" si="11"/>
        <v>#VALUE!</v>
      </c>
      <c r="F215" s="43" t="str">
        <f t="array" ref="F215">+TIPOARMA(H215,I215)</f>
        <v>ERRO - REVISAR</v>
      </c>
      <c r="G215" s="41"/>
      <c r="H215" s="41" t="str">
        <f t="array" ref="H215">+ARMASTD(N215)</f>
        <v>ERRO - REVISAR</v>
      </c>
      <c r="I215" s="41" t="str">
        <f t="array" ref="I215">+CALIBRESTD(O215)</f>
        <v>ERRO - REVISAR</v>
      </c>
    </row>
    <row r="216" spans="1:9" ht="14.25" customHeight="1" x14ac:dyDescent="0.35">
      <c r="A216" t="str">
        <f t="array" ref="A216">EXTRACTEVENT(Q216,S216)</f>
        <v/>
      </c>
      <c r="B216" t="str">
        <f t="shared" si="9"/>
        <v>-</v>
      </c>
      <c r="C216" t="e">
        <f>+VLOOKUP(R216,Maps!$A:$C,2,0)</f>
        <v>#N/A</v>
      </c>
      <c r="D216" t="e">
        <f t="shared" si="10"/>
        <v>#VALUE!</v>
      </c>
      <c r="E216" s="39" t="e">
        <f t="shared" si="11"/>
        <v>#VALUE!</v>
      </c>
      <c r="F216" s="7" t="str">
        <f t="array" ref="F216">+TIPOARMA(H216,I216)</f>
        <v>ERRO - REVISAR</v>
      </c>
      <c r="H216" t="str">
        <f t="array" ref="H216">+ARMASTD(N216)</f>
        <v>ERRO - REVISAR</v>
      </c>
      <c r="I216" t="str">
        <f t="array" ref="I216">+CALIBRESTD(O216)</f>
        <v>ERRO - REVISAR</v>
      </c>
    </row>
    <row r="217" spans="1:9" ht="14.25" customHeight="1" x14ac:dyDescent="0.35">
      <c r="A217" s="41" t="str">
        <f t="array" ref="A217">EXTRACTEVENT(Q217,S217)</f>
        <v/>
      </c>
      <c r="B217" s="41" t="str">
        <f t="shared" si="9"/>
        <v>-</v>
      </c>
      <c r="C217" s="41" t="e">
        <f>+VLOOKUP(R217,Maps!$A:$C,2,0)</f>
        <v>#N/A</v>
      </c>
      <c r="D217" s="41" t="e">
        <f t="shared" si="10"/>
        <v>#VALUE!</v>
      </c>
      <c r="E217" s="42" t="e">
        <f t="shared" si="11"/>
        <v>#VALUE!</v>
      </c>
      <c r="F217" s="43" t="str">
        <f t="array" ref="F217">+TIPOARMA(H217,I217)</f>
        <v>ERRO - REVISAR</v>
      </c>
      <c r="G217" s="41"/>
      <c r="H217" s="41" t="str">
        <f t="array" ref="H217">+ARMASTD(N217)</f>
        <v>ERRO - REVISAR</v>
      </c>
      <c r="I217" s="41" t="str">
        <f t="array" ref="I217">+CALIBRESTD(O217)</f>
        <v>ERRO - REVISAR</v>
      </c>
    </row>
    <row r="218" spans="1:9" ht="14.25" customHeight="1" x14ac:dyDescent="0.35">
      <c r="A218" t="str">
        <f t="array" ref="A218">EXTRACTEVENT(Q218,S218)</f>
        <v/>
      </c>
      <c r="B218" t="str">
        <f t="shared" si="9"/>
        <v>-</v>
      </c>
      <c r="C218" t="e">
        <f>+VLOOKUP(R218,Maps!$A:$C,2,0)</f>
        <v>#N/A</v>
      </c>
      <c r="D218" t="e">
        <f t="shared" si="10"/>
        <v>#VALUE!</v>
      </c>
      <c r="E218" s="39" t="e">
        <f t="shared" si="11"/>
        <v>#VALUE!</v>
      </c>
      <c r="F218" s="7" t="str">
        <f t="array" ref="F218">+TIPOARMA(H218,I218)</f>
        <v>ERRO - REVISAR</v>
      </c>
      <c r="H218" t="str">
        <f t="array" ref="H218">+ARMASTD(N218)</f>
        <v>ERRO - REVISAR</v>
      </c>
      <c r="I218" t="str">
        <f t="array" ref="I218">+CALIBRESTD(O218)</f>
        <v>ERRO - REVISAR</v>
      </c>
    </row>
    <row r="219" spans="1:9" ht="14.25" customHeight="1" x14ac:dyDescent="0.35">
      <c r="A219" s="41" t="str">
        <f t="array" ref="A219">EXTRACTEVENT(Q219,S219)</f>
        <v/>
      </c>
      <c r="B219" s="41" t="str">
        <f t="shared" si="9"/>
        <v>-</v>
      </c>
      <c r="C219" s="41" t="e">
        <f>+VLOOKUP(R219,Maps!$A:$C,2,0)</f>
        <v>#N/A</v>
      </c>
      <c r="D219" s="41" t="e">
        <f t="shared" si="10"/>
        <v>#VALUE!</v>
      </c>
      <c r="E219" s="42" t="e">
        <f t="shared" si="11"/>
        <v>#VALUE!</v>
      </c>
      <c r="F219" s="43" t="str">
        <f t="array" ref="F219">+TIPOARMA(H219,I219)</f>
        <v>ERRO - REVISAR</v>
      </c>
      <c r="G219" s="41"/>
      <c r="H219" s="41" t="str">
        <f t="array" ref="H219">+ARMASTD(N219)</f>
        <v>ERRO - REVISAR</v>
      </c>
      <c r="I219" s="41" t="str">
        <f t="array" ref="I219">+CALIBRESTD(O219)</f>
        <v>ERRO - REVISAR</v>
      </c>
    </row>
    <row r="220" spans="1:9" ht="14.25" customHeight="1" x14ac:dyDescent="0.35">
      <c r="A220" t="str">
        <f t="array" ref="A220">EXTRACTEVENT(Q220,S220)</f>
        <v/>
      </c>
      <c r="B220" t="str">
        <f t="shared" si="9"/>
        <v>-</v>
      </c>
      <c r="C220" t="e">
        <f>+VLOOKUP(R220,Maps!$A:$C,2,0)</f>
        <v>#N/A</v>
      </c>
      <c r="D220" t="e">
        <f t="shared" si="10"/>
        <v>#VALUE!</v>
      </c>
      <c r="E220" s="39" t="e">
        <f t="shared" si="11"/>
        <v>#VALUE!</v>
      </c>
      <c r="F220" s="7" t="str">
        <f t="array" ref="F220">+TIPOARMA(H220,I220)</f>
        <v>ERRO - REVISAR</v>
      </c>
      <c r="H220" t="str">
        <f t="array" ref="H220">+ARMASTD(N220)</f>
        <v>ERRO - REVISAR</v>
      </c>
      <c r="I220" t="str">
        <f t="array" ref="I220">+CALIBRESTD(O220)</f>
        <v>ERRO - REVISAR</v>
      </c>
    </row>
    <row r="221" spans="1:9" ht="14.25" customHeight="1" x14ac:dyDescent="0.35">
      <c r="A221" s="41" t="str">
        <f t="array" ref="A221">EXTRACTEVENT(Q221,S221)</f>
        <v/>
      </c>
      <c r="B221" s="41" t="str">
        <f t="shared" si="9"/>
        <v>-</v>
      </c>
      <c r="C221" s="41" t="e">
        <f>+VLOOKUP(R221,Maps!$A:$C,2,0)</f>
        <v>#N/A</v>
      </c>
      <c r="D221" s="41" t="e">
        <f t="shared" si="10"/>
        <v>#VALUE!</v>
      </c>
      <c r="E221" s="42" t="e">
        <f t="shared" si="11"/>
        <v>#VALUE!</v>
      </c>
      <c r="F221" s="43" t="str">
        <f t="array" ref="F221">+TIPOARMA(H221,I221)</f>
        <v>ERRO - REVISAR</v>
      </c>
      <c r="G221" s="41"/>
      <c r="H221" s="41" t="str">
        <f t="array" ref="H221">+ARMASTD(N221)</f>
        <v>ERRO - REVISAR</v>
      </c>
      <c r="I221" s="41" t="str">
        <f t="array" ref="I221">+CALIBRESTD(O221)</f>
        <v>ERRO - REVISAR</v>
      </c>
    </row>
    <row r="222" spans="1:9" ht="14.25" customHeight="1" x14ac:dyDescent="0.35">
      <c r="A222" t="str">
        <f t="array" ref="A222">EXTRACTEVENT(Q222,S222)</f>
        <v/>
      </c>
      <c r="B222" t="str">
        <f t="shared" si="9"/>
        <v>-</v>
      </c>
      <c r="C222" t="e">
        <f>+VLOOKUP(R222,Maps!$A:$C,2,0)</f>
        <v>#N/A</v>
      </c>
      <c r="D222" t="e">
        <f t="shared" si="10"/>
        <v>#VALUE!</v>
      </c>
      <c r="E222" s="39" t="e">
        <f t="shared" si="11"/>
        <v>#VALUE!</v>
      </c>
      <c r="F222" s="7" t="str">
        <f t="array" ref="F222">+TIPOARMA(H222,I222)</f>
        <v>ERRO - REVISAR</v>
      </c>
      <c r="H222" t="str">
        <f t="array" ref="H222">+ARMASTD(N222)</f>
        <v>ERRO - REVISAR</v>
      </c>
      <c r="I222" t="str">
        <f t="array" ref="I222">+CALIBRESTD(O222)</f>
        <v>ERRO - REVISAR</v>
      </c>
    </row>
    <row r="223" spans="1:9" ht="14.25" customHeight="1" x14ac:dyDescent="0.35">
      <c r="A223" s="41" t="str">
        <f t="array" ref="A223">EXTRACTEVENT(Q223,S223)</f>
        <v/>
      </c>
      <c r="B223" s="41" t="str">
        <f t="shared" si="9"/>
        <v>-</v>
      </c>
      <c r="C223" s="41" t="e">
        <f>+VLOOKUP(R223,Maps!$A:$C,2,0)</f>
        <v>#N/A</v>
      </c>
      <c r="D223" s="41" t="e">
        <f t="shared" si="10"/>
        <v>#VALUE!</v>
      </c>
      <c r="E223" s="42" t="e">
        <f t="shared" si="11"/>
        <v>#VALUE!</v>
      </c>
      <c r="F223" s="43" t="str">
        <f t="array" ref="F223">+TIPOARMA(H223,I223)</f>
        <v>ERRO - REVISAR</v>
      </c>
      <c r="G223" s="41"/>
      <c r="H223" s="41" t="str">
        <f t="array" ref="H223">+ARMASTD(N223)</f>
        <v>ERRO - REVISAR</v>
      </c>
      <c r="I223" s="41" t="str">
        <f t="array" ref="I223">+CALIBRESTD(O223)</f>
        <v>ERRO - REVISAR</v>
      </c>
    </row>
    <row r="224" spans="1:9" ht="14.25" customHeight="1" x14ac:dyDescent="0.35">
      <c r="A224" t="str">
        <f t="array" ref="A224">EXTRACTEVENT(Q224,S224)</f>
        <v/>
      </c>
      <c r="B224" t="str">
        <f t="shared" si="9"/>
        <v>-</v>
      </c>
      <c r="C224" t="e">
        <f>+VLOOKUP(R224,Maps!$A:$C,2,0)</f>
        <v>#N/A</v>
      </c>
      <c r="D224" t="e">
        <f t="shared" si="10"/>
        <v>#VALUE!</v>
      </c>
      <c r="E224" s="39" t="e">
        <f t="shared" si="11"/>
        <v>#VALUE!</v>
      </c>
      <c r="F224" s="7" t="str">
        <f t="array" ref="F224">+TIPOARMA(H224,I224)</f>
        <v>ERRO - REVISAR</v>
      </c>
      <c r="H224" t="str">
        <f t="array" ref="H224">+ARMASTD(N224)</f>
        <v>ERRO - REVISAR</v>
      </c>
      <c r="I224" t="str">
        <f t="array" ref="I224">+CALIBRESTD(O224)</f>
        <v>ERRO - REVISAR</v>
      </c>
    </row>
    <row r="225" spans="1:9" ht="14.25" customHeight="1" x14ac:dyDescent="0.35">
      <c r="A225" s="41" t="str">
        <f t="array" ref="A225">EXTRACTEVENT(Q225,S225)</f>
        <v/>
      </c>
      <c r="B225" s="41" t="str">
        <f t="shared" si="9"/>
        <v>-</v>
      </c>
      <c r="C225" s="41" t="e">
        <f>+VLOOKUP(R225,Maps!$A:$C,2,0)</f>
        <v>#N/A</v>
      </c>
      <c r="D225" s="41" t="e">
        <f t="shared" si="10"/>
        <v>#VALUE!</v>
      </c>
      <c r="E225" s="42" t="e">
        <f t="shared" si="11"/>
        <v>#VALUE!</v>
      </c>
      <c r="F225" s="43" t="str">
        <f t="array" ref="F225">+TIPOARMA(H225,I225)</f>
        <v>ERRO - REVISAR</v>
      </c>
      <c r="G225" s="41"/>
      <c r="H225" s="41" t="str">
        <f t="array" ref="H225">+ARMASTD(N225)</f>
        <v>ERRO - REVISAR</v>
      </c>
      <c r="I225" s="41" t="str">
        <f t="array" ref="I225">+CALIBRESTD(O225)</f>
        <v>ERRO - REVISAR</v>
      </c>
    </row>
    <row r="226" spans="1:9" ht="14.25" customHeight="1" x14ac:dyDescent="0.35">
      <c r="A226" t="str">
        <f t="array" ref="A226">EXTRACTEVENT(Q226,S226)</f>
        <v/>
      </c>
      <c r="B226" t="str">
        <f t="shared" si="9"/>
        <v>-</v>
      </c>
      <c r="C226" t="e">
        <f>+VLOOKUP(R226,Maps!$A:$C,2,0)</f>
        <v>#N/A</v>
      </c>
      <c r="D226" t="e">
        <f t="shared" si="10"/>
        <v>#VALUE!</v>
      </c>
      <c r="E226" s="39" t="e">
        <f t="shared" si="11"/>
        <v>#VALUE!</v>
      </c>
      <c r="F226" s="7" t="str">
        <f t="array" ref="F226">+TIPOARMA(H226,I226)</f>
        <v>ERRO - REVISAR</v>
      </c>
      <c r="H226" t="str">
        <f t="array" ref="H226">+ARMASTD(N226)</f>
        <v>ERRO - REVISAR</v>
      </c>
      <c r="I226" t="str">
        <f t="array" ref="I226">+CALIBRESTD(O226)</f>
        <v>ERRO - REVISAR</v>
      </c>
    </row>
    <row r="227" spans="1:9" ht="14.25" customHeight="1" x14ac:dyDescent="0.35">
      <c r="A227" s="41" t="str">
        <f t="array" ref="A227">EXTRACTEVENT(Q227,S227)</f>
        <v/>
      </c>
      <c r="B227" s="41" t="str">
        <f t="shared" si="9"/>
        <v>-</v>
      </c>
      <c r="C227" s="41" t="e">
        <f>+VLOOKUP(R227,Maps!$A:$C,2,0)</f>
        <v>#N/A</v>
      </c>
      <c r="D227" s="41" t="e">
        <f t="shared" si="10"/>
        <v>#VALUE!</v>
      </c>
      <c r="E227" s="42" t="e">
        <f t="shared" si="11"/>
        <v>#VALUE!</v>
      </c>
      <c r="F227" s="43" t="str">
        <f t="array" ref="F227">+TIPOARMA(H227,I227)</f>
        <v>ERRO - REVISAR</v>
      </c>
      <c r="G227" s="41"/>
      <c r="H227" s="41" t="str">
        <f t="array" ref="H227">+ARMASTD(N227)</f>
        <v>ERRO - REVISAR</v>
      </c>
      <c r="I227" s="41" t="str">
        <f t="array" ref="I227">+CALIBRESTD(O227)</f>
        <v>ERRO - REVISAR</v>
      </c>
    </row>
    <row r="228" spans="1:9" ht="14.25" customHeight="1" x14ac:dyDescent="0.35">
      <c r="A228" t="str">
        <f t="array" ref="A228">EXTRACTEVENT(Q228,S228)</f>
        <v/>
      </c>
      <c r="B228" t="str">
        <f t="shared" si="9"/>
        <v>-</v>
      </c>
      <c r="C228" t="e">
        <f>+VLOOKUP(R228,Maps!$A:$C,2,0)</f>
        <v>#N/A</v>
      </c>
      <c r="D228" t="e">
        <f t="shared" si="10"/>
        <v>#VALUE!</v>
      </c>
      <c r="E228" s="39" t="e">
        <f t="shared" si="11"/>
        <v>#VALUE!</v>
      </c>
      <c r="F228" s="7" t="str">
        <f t="array" ref="F228">+TIPOARMA(H228,I228)</f>
        <v>ERRO - REVISAR</v>
      </c>
      <c r="H228" t="str">
        <f t="array" ref="H228">+ARMASTD(N228)</f>
        <v>ERRO - REVISAR</v>
      </c>
      <c r="I228" t="str">
        <f t="array" ref="I228">+CALIBRESTD(O228)</f>
        <v>ERRO - REVISAR</v>
      </c>
    </row>
    <row r="229" spans="1:9" ht="14.25" customHeight="1" x14ac:dyDescent="0.35">
      <c r="A229" s="41" t="str">
        <f t="array" ref="A229">EXTRACTEVENT(Q229,S229)</f>
        <v/>
      </c>
      <c r="B229" s="41" t="str">
        <f t="shared" si="9"/>
        <v>-</v>
      </c>
      <c r="C229" s="41" t="e">
        <f>+VLOOKUP(R229,Maps!$A:$C,2,0)</f>
        <v>#N/A</v>
      </c>
      <c r="D229" s="41" t="e">
        <f t="shared" si="10"/>
        <v>#VALUE!</v>
      </c>
      <c r="E229" s="42" t="e">
        <f t="shared" si="11"/>
        <v>#VALUE!</v>
      </c>
      <c r="F229" s="43" t="str">
        <f t="array" ref="F229">+TIPOARMA(H229,I229)</f>
        <v>ERRO - REVISAR</v>
      </c>
      <c r="G229" s="41"/>
      <c r="H229" s="41" t="str">
        <f t="array" ref="H229">+ARMASTD(N229)</f>
        <v>ERRO - REVISAR</v>
      </c>
      <c r="I229" s="41" t="str">
        <f t="array" ref="I229">+CALIBRESTD(O229)</f>
        <v>ERRO - REVISAR</v>
      </c>
    </row>
    <row r="230" spans="1:9" ht="14.25" customHeight="1" x14ac:dyDescent="0.35">
      <c r="A230" t="str">
        <f t="array" ref="A230">EXTRACTEVENT(Q230,S230)</f>
        <v/>
      </c>
      <c r="B230" t="str">
        <f t="shared" si="9"/>
        <v>-</v>
      </c>
      <c r="C230" t="e">
        <f>+VLOOKUP(R230,Maps!$A:$C,2,0)</f>
        <v>#N/A</v>
      </c>
      <c r="D230" t="e">
        <f t="shared" si="10"/>
        <v>#VALUE!</v>
      </c>
      <c r="E230" s="39" t="e">
        <f t="shared" si="11"/>
        <v>#VALUE!</v>
      </c>
      <c r="F230" s="7" t="str">
        <f t="array" ref="F230">+TIPOARMA(H230,I230)</f>
        <v>ERRO - REVISAR</v>
      </c>
      <c r="H230" t="str">
        <f t="array" ref="H230">+ARMASTD(N230)</f>
        <v>ERRO - REVISAR</v>
      </c>
      <c r="I230" t="str">
        <f t="array" ref="I230">+CALIBRESTD(O230)</f>
        <v>ERRO - REVISAR</v>
      </c>
    </row>
    <row r="231" spans="1:9" ht="14.25" customHeight="1" x14ac:dyDescent="0.35">
      <c r="A231" s="41" t="str">
        <f t="array" ref="A231">EXTRACTEVENT(Q231,S231)</f>
        <v/>
      </c>
      <c r="B231" s="41" t="str">
        <f t="shared" si="9"/>
        <v>-</v>
      </c>
      <c r="C231" s="41" t="e">
        <f>+VLOOKUP(R231,Maps!$A:$C,2,0)</f>
        <v>#N/A</v>
      </c>
      <c r="D231" s="41" t="e">
        <f t="shared" si="10"/>
        <v>#VALUE!</v>
      </c>
      <c r="E231" s="42" t="e">
        <f t="shared" si="11"/>
        <v>#VALUE!</v>
      </c>
      <c r="F231" s="43" t="str">
        <f t="array" ref="F231">+TIPOARMA(H231,I231)</f>
        <v>ERRO - REVISAR</v>
      </c>
      <c r="G231" s="41"/>
      <c r="H231" s="41" t="str">
        <f t="array" ref="H231">+ARMASTD(N231)</f>
        <v>ERRO - REVISAR</v>
      </c>
      <c r="I231" s="41" t="str">
        <f t="array" ref="I231">+CALIBRESTD(O231)</f>
        <v>ERRO - REVISAR</v>
      </c>
    </row>
    <row r="232" spans="1:9" ht="14.25" customHeight="1" x14ac:dyDescent="0.35">
      <c r="A232" t="str">
        <f t="array" ref="A232">EXTRACTEVENT(Q232,S232)</f>
        <v/>
      </c>
      <c r="B232" t="str">
        <f t="shared" si="9"/>
        <v>-</v>
      </c>
      <c r="C232" t="e">
        <f>+VLOOKUP(R232,Maps!$A:$C,2,0)</f>
        <v>#N/A</v>
      </c>
      <c r="D232" t="e">
        <f t="shared" si="10"/>
        <v>#VALUE!</v>
      </c>
      <c r="E232" s="39" t="e">
        <f t="shared" si="11"/>
        <v>#VALUE!</v>
      </c>
      <c r="F232" s="7" t="str">
        <f t="array" ref="F232">+TIPOARMA(H232,I232)</f>
        <v>ERRO - REVISAR</v>
      </c>
      <c r="H232" t="str">
        <f t="array" ref="H232">+ARMASTD(N232)</f>
        <v>ERRO - REVISAR</v>
      </c>
      <c r="I232" t="str">
        <f t="array" ref="I232">+CALIBRESTD(O232)</f>
        <v>ERRO - REVISAR</v>
      </c>
    </row>
    <row r="233" spans="1:9" ht="14.25" customHeight="1" x14ac:dyDescent="0.35">
      <c r="A233" s="41" t="str">
        <f t="array" ref="A233">EXTRACTEVENT(Q233,S233)</f>
        <v/>
      </c>
      <c r="B233" s="41" t="str">
        <f t="shared" si="9"/>
        <v>-</v>
      </c>
      <c r="C233" s="41" t="e">
        <f>+VLOOKUP(R233,Maps!$A:$C,2,0)</f>
        <v>#N/A</v>
      </c>
      <c r="D233" s="41" t="e">
        <f t="shared" si="10"/>
        <v>#VALUE!</v>
      </c>
      <c r="E233" s="42" t="e">
        <f t="shared" si="11"/>
        <v>#VALUE!</v>
      </c>
      <c r="F233" s="43" t="str">
        <f t="array" ref="F233">+TIPOARMA(H233,I233)</f>
        <v>ERRO - REVISAR</v>
      </c>
      <c r="G233" s="41"/>
      <c r="H233" s="41" t="str">
        <f t="array" ref="H233">+ARMASTD(N233)</f>
        <v>ERRO - REVISAR</v>
      </c>
      <c r="I233" s="41" t="str">
        <f t="array" ref="I233">+CALIBRESTD(O233)</f>
        <v>ERRO - REVISAR</v>
      </c>
    </row>
    <row r="234" spans="1:9" ht="14.25" customHeight="1" x14ac:dyDescent="0.35">
      <c r="A234" t="str">
        <f t="array" ref="A234">EXTRACTEVENT(Q234,S234)</f>
        <v/>
      </c>
      <c r="B234" t="str">
        <f t="shared" si="9"/>
        <v>-</v>
      </c>
      <c r="C234" t="e">
        <f>+VLOOKUP(R234,Maps!$A:$C,2,0)</f>
        <v>#N/A</v>
      </c>
      <c r="D234" t="e">
        <f t="shared" si="10"/>
        <v>#VALUE!</v>
      </c>
      <c r="E234" s="39" t="e">
        <f t="shared" si="11"/>
        <v>#VALUE!</v>
      </c>
      <c r="F234" s="7" t="str">
        <f t="array" ref="F234">+TIPOARMA(H234,I234)</f>
        <v>ERRO - REVISAR</v>
      </c>
      <c r="H234" t="str">
        <f t="array" ref="H234">+ARMASTD(N234)</f>
        <v>ERRO - REVISAR</v>
      </c>
      <c r="I234" t="str">
        <f t="array" ref="I234">+CALIBRESTD(O234)</f>
        <v>ERRO - REVISAR</v>
      </c>
    </row>
    <row r="235" spans="1:9" ht="14.25" customHeight="1" x14ac:dyDescent="0.35">
      <c r="A235" s="41" t="str">
        <f t="array" ref="A235">EXTRACTEVENT(Q235,S235)</f>
        <v/>
      </c>
      <c r="B235" s="41" t="str">
        <f t="shared" si="9"/>
        <v>-</v>
      </c>
      <c r="C235" s="41" t="e">
        <f>+VLOOKUP(R235,Maps!$A:$C,2,0)</f>
        <v>#N/A</v>
      </c>
      <c r="D235" s="41" t="e">
        <f t="shared" si="10"/>
        <v>#VALUE!</v>
      </c>
      <c r="E235" s="42" t="e">
        <f t="shared" si="11"/>
        <v>#VALUE!</v>
      </c>
      <c r="F235" s="43" t="str">
        <f t="array" ref="F235">+TIPOARMA(H235,I235)</f>
        <v>ERRO - REVISAR</v>
      </c>
      <c r="G235" s="41"/>
      <c r="H235" s="41" t="str">
        <f t="array" ref="H235">+ARMASTD(N235)</f>
        <v>ERRO - REVISAR</v>
      </c>
      <c r="I235" s="41" t="str">
        <f t="array" ref="I235">+CALIBRESTD(O235)</f>
        <v>ERRO - REVISAR</v>
      </c>
    </row>
    <row r="236" spans="1:9" ht="14.25" customHeight="1" x14ac:dyDescent="0.35">
      <c r="A236" t="str">
        <f t="array" ref="A236">EXTRACTEVENT(Q236,S236)</f>
        <v/>
      </c>
      <c r="B236" t="str">
        <f t="shared" si="9"/>
        <v>-</v>
      </c>
      <c r="C236" t="e">
        <f>+VLOOKUP(R236,Maps!$A:$C,2,0)</f>
        <v>#N/A</v>
      </c>
      <c r="D236" t="e">
        <f t="shared" si="10"/>
        <v>#VALUE!</v>
      </c>
      <c r="E236" s="39" t="e">
        <f t="shared" si="11"/>
        <v>#VALUE!</v>
      </c>
      <c r="F236" s="7" t="str">
        <f t="array" ref="F236">+TIPOARMA(H236,I236)</f>
        <v>ERRO - REVISAR</v>
      </c>
      <c r="H236" t="str">
        <f t="array" ref="H236">+ARMASTD(N236)</f>
        <v>ERRO - REVISAR</v>
      </c>
      <c r="I236" t="str">
        <f t="array" ref="I236">+CALIBRESTD(O236)</f>
        <v>ERRO - REVISAR</v>
      </c>
    </row>
    <row r="237" spans="1:9" ht="14.25" customHeight="1" x14ac:dyDescent="0.35">
      <c r="A237" s="41" t="str">
        <f t="array" ref="A237">EXTRACTEVENT(Q237,S237)</f>
        <v/>
      </c>
      <c r="B237" s="41" t="str">
        <f t="shared" si="9"/>
        <v>-</v>
      </c>
      <c r="C237" s="41" t="e">
        <f>+VLOOKUP(R237,Maps!$A:$C,2,0)</f>
        <v>#N/A</v>
      </c>
      <c r="D237" s="41" t="e">
        <f t="shared" si="10"/>
        <v>#VALUE!</v>
      </c>
      <c r="E237" s="42" t="e">
        <f t="shared" si="11"/>
        <v>#VALUE!</v>
      </c>
      <c r="F237" s="43" t="str">
        <f t="array" ref="F237">+TIPOARMA(H237,I237)</f>
        <v>ERRO - REVISAR</v>
      </c>
      <c r="G237" s="41"/>
      <c r="H237" s="41" t="str">
        <f t="array" ref="H237">+ARMASTD(N237)</f>
        <v>ERRO - REVISAR</v>
      </c>
      <c r="I237" s="41" t="str">
        <f t="array" ref="I237">+CALIBRESTD(O237)</f>
        <v>ERRO - REVISAR</v>
      </c>
    </row>
    <row r="238" spans="1:9" ht="14.25" customHeight="1" x14ac:dyDescent="0.35">
      <c r="A238" t="str">
        <f t="array" ref="A238">EXTRACTEVENT(Q238,S238)</f>
        <v/>
      </c>
      <c r="B238" t="str">
        <f t="shared" si="9"/>
        <v>-</v>
      </c>
      <c r="C238" t="e">
        <f>+VLOOKUP(R238,Maps!$A:$C,2,0)</f>
        <v>#N/A</v>
      </c>
      <c r="D238" t="e">
        <f t="shared" si="10"/>
        <v>#VALUE!</v>
      </c>
      <c r="E238" s="39" t="e">
        <f t="shared" si="11"/>
        <v>#VALUE!</v>
      </c>
      <c r="F238" s="7" t="str">
        <f t="array" ref="F238">+TIPOARMA(H238,I238)</f>
        <v>ERRO - REVISAR</v>
      </c>
      <c r="H238" t="str">
        <f t="array" ref="H238">+ARMASTD(N238)</f>
        <v>ERRO - REVISAR</v>
      </c>
      <c r="I238" t="str">
        <f t="array" ref="I238">+CALIBRESTD(O238)</f>
        <v>ERRO - REVISAR</v>
      </c>
    </row>
    <row r="239" spans="1:9" ht="14.25" customHeight="1" x14ac:dyDescent="0.35">
      <c r="A239" s="41" t="str">
        <f t="array" ref="A239">EXTRACTEVENT(Q239,S239)</f>
        <v/>
      </c>
      <c r="B239" s="41" t="str">
        <f t="shared" si="9"/>
        <v>-</v>
      </c>
      <c r="C239" s="41" t="e">
        <f>+VLOOKUP(R239,Maps!$A:$C,2,0)</f>
        <v>#N/A</v>
      </c>
      <c r="D239" s="41" t="e">
        <f t="shared" si="10"/>
        <v>#VALUE!</v>
      </c>
      <c r="E239" s="42" t="e">
        <f t="shared" si="11"/>
        <v>#VALUE!</v>
      </c>
      <c r="F239" s="43" t="str">
        <f t="array" ref="F239">+TIPOARMA(H239,I239)</f>
        <v>ERRO - REVISAR</v>
      </c>
      <c r="G239" s="41"/>
      <c r="H239" s="41" t="str">
        <f t="array" ref="H239">+ARMASTD(N239)</f>
        <v>ERRO - REVISAR</v>
      </c>
      <c r="I239" s="41" t="str">
        <f t="array" ref="I239">+CALIBRESTD(O239)</f>
        <v>ERRO - REVISAR</v>
      </c>
    </row>
    <row r="240" spans="1:9" ht="14.25" customHeight="1" x14ac:dyDescent="0.35">
      <c r="A240" t="str">
        <f t="array" ref="A240">EXTRACTEVENT(Q240,S240)</f>
        <v/>
      </c>
      <c r="B240" t="str">
        <f t="shared" si="9"/>
        <v>-</v>
      </c>
      <c r="C240" t="e">
        <f>+VLOOKUP(R240,Maps!$A:$C,2,0)</f>
        <v>#N/A</v>
      </c>
      <c r="D240" t="e">
        <f t="shared" si="10"/>
        <v>#VALUE!</v>
      </c>
      <c r="E240" s="39" t="e">
        <f t="shared" si="11"/>
        <v>#VALUE!</v>
      </c>
      <c r="F240" s="7" t="str">
        <f t="array" ref="F240">+TIPOARMA(H240,I240)</f>
        <v>ERRO - REVISAR</v>
      </c>
      <c r="H240" t="str">
        <f t="array" ref="H240">+ARMASTD(N240)</f>
        <v>ERRO - REVISAR</v>
      </c>
      <c r="I240" t="str">
        <f t="array" ref="I240">+CALIBRESTD(O240)</f>
        <v>ERRO - REVISAR</v>
      </c>
    </row>
    <row r="241" spans="1:9" ht="14.25" customHeight="1" x14ac:dyDescent="0.35">
      <c r="A241" s="41" t="str">
        <f t="array" ref="A241">EXTRACTEVENT(Q241,S241)</f>
        <v/>
      </c>
      <c r="B241" s="41" t="str">
        <f t="shared" si="9"/>
        <v>-</v>
      </c>
      <c r="C241" s="41" t="e">
        <f>+VLOOKUP(R241,Maps!$A:$C,2,0)</f>
        <v>#N/A</v>
      </c>
      <c r="D241" s="41" t="e">
        <f t="shared" si="10"/>
        <v>#VALUE!</v>
      </c>
      <c r="E241" s="42" t="e">
        <f t="shared" si="11"/>
        <v>#VALUE!</v>
      </c>
      <c r="F241" s="43" t="str">
        <f t="array" ref="F241">+TIPOARMA(H241,I241)</f>
        <v>ERRO - REVISAR</v>
      </c>
      <c r="G241" s="41"/>
      <c r="H241" s="41" t="str">
        <f t="array" ref="H241">+ARMASTD(N241)</f>
        <v>ERRO - REVISAR</v>
      </c>
      <c r="I241" s="41" t="str">
        <f t="array" ref="I241">+CALIBRESTD(O241)</f>
        <v>ERRO - REVISAR</v>
      </c>
    </row>
    <row r="242" spans="1:9" ht="14.25" customHeight="1" x14ac:dyDescent="0.35">
      <c r="A242" t="str">
        <f t="array" ref="A242">EXTRACTEVENT(Q242,S242)</f>
        <v/>
      </c>
      <c r="B242" t="str">
        <f t="shared" si="9"/>
        <v>-</v>
      </c>
      <c r="C242" t="e">
        <f>+VLOOKUP(R242,Maps!$A:$C,2,0)</f>
        <v>#N/A</v>
      </c>
      <c r="D242" t="e">
        <f t="shared" si="10"/>
        <v>#VALUE!</v>
      </c>
      <c r="E242" s="39" t="e">
        <f t="shared" si="11"/>
        <v>#VALUE!</v>
      </c>
      <c r="F242" s="7" t="str">
        <f t="array" ref="F242">+TIPOARMA(H242,I242)</f>
        <v>ERRO - REVISAR</v>
      </c>
      <c r="H242" t="str">
        <f t="array" ref="H242">+ARMASTD(N242)</f>
        <v>ERRO - REVISAR</v>
      </c>
      <c r="I242" t="str">
        <f t="array" ref="I242">+CALIBRESTD(O242)</f>
        <v>ERRO - REVISAR</v>
      </c>
    </row>
    <row r="243" spans="1:9" ht="14.25" customHeight="1" x14ac:dyDescent="0.35">
      <c r="A243" s="41" t="str">
        <f t="array" ref="A243">EXTRACTEVENT(Q243,S243)</f>
        <v/>
      </c>
      <c r="B243" s="41" t="str">
        <f t="shared" si="9"/>
        <v>-</v>
      </c>
      <c r="C243" s="41" t="e">
        <f>+VLOOKUP(R243,Maps!$A:$C,2,0)</f>
        <v>#N/A</v>
      </c>
      <c r="D243" s="41" t="e">
        <f t="shared" si="10"/>
        <v>#VALUE!</v>
      </c>
      <c r="E243" s="42" t="e">
        <f t="shared" si="11"/>
        <v>#VALUE!</v>
      </c>
      <c r="F243" s="43" t="str">
        <f t="array" ref="F243">+TIPOARMA(H243,I243)</f>
        <v>ERRO - REVISAR</v>
      </c>
      <c r="G243" s="41"/>
      <c r="H243" s="41" t="str">
        <f t="array" ref="H243">+ARMASTD(N243)</f>
        <v>ERRO - REVISAR</v>
      </c>
      <c r="I243" s="41" t="str">
        <f t="array" ref="I243">+CALIBRESTD(O243)</f>
        <v>ERRO - REVISAR</v>
      </c>
    </row>
    <row r="244" spans="1:9" ht="14.25" customHeight="1" x14ac:dyDescent="0.35">
      <c r="A244" t="str">
        <f t="array" ref="A244">EXTRACTEVENT(Q244,S244)</f>
        <v/>
      </c>
      <c r="B244" t="str">
        <f t="shared" si="9"/>
        <v>-</v>
      </c>
      <c r="C244" t="e">
        <f>+VLOOKUP(R244,Maps!$A:$C,2,0)</f>
        <v>#N/A</v>
      </c>
      <c r="D244" t="e">
        <f t="shared" si="10"/>
        <v>#VALUE!</v>
      </c>
      <c r="E244" s="39" t="e">
        <f t="shared" si="11"/>
        <v>#VALUE!</v>
      </c>
      <c r="F244" s="7" t="str">
        <f t="array" ref="F244">+TIPOARMA(H244,I244)</f>
        <v>ERRO - REVISAR</v>
      </c>
      <c r="H244" t="str">
        <f t="array" ref="H244">+ARMASTD(N244)</f>
        <v>ERRO - REVISAR</v>
      </c>
      <c r="I244" t="str">
        <f t="array" ref="I244">+CALIBRESTD(O244)</f>
        <v>ERRO - REVISAR</v>
      </c>
    </row>
    <row r="245" spans="1:9" ht="14.25" customHeight="1" x14ac:dyDescent="0.35">
      <c r="A245" s="41" t="str">
        <f t="array" ref="A245">EXTRACTEVENT(Q245,S245)</f>
        <v/>
      </c>
      <c r="B245" s="41" t="str">
        <f t="shared" si="9"/>
        <v>-</v>
      </c>
      <c r="C245" s="41" t="e">
        <f>+VLOOKUP(R245,Maps!$A:$C,2,0)</f>
        <v>#N/A</v>
      </c>
      <c r="D245" s="41" t="e">
        <f t="shared" si="10"/>
        <v>#VALUE!</v>
      </c>
      <c r="E245" s="42" t="e">
        <f t="shared" si="11"/>
        <v>#VALUE!</v>
      </c>
      <c r="F245" s="43" t="str">
        <f t="array" ref="F245">+TIPOARMA(H245,I245)</f>
        <v>ERRO - REVISAR</v>
      </c>
      <c r="G245" s="41"/>
      <c r="H245" s="41" t="str">
        <f t="array" ref="H245">+ARMASTD(N245)</f>
        <v>ERRO - REVISAR</v>
      </c>
      <c r="I245" s="41" t="str">
        <f t="array" ref="I245">+CALIBRESTD(O245)</f>
        <v>ERRO - REVISAR</v>
      </c>
    </row>
    <row r="246" spans="1:9" ht="14.25" customHeight="1" x14ac:dyDescent="0.35">
      <c r="A246" t="str">
        <f t="array" ref="A246">EXTRACTEVENT(Q246,S246)</f>
        <v/>
      </c>
      <c r="B246" t="str">
        <f t="shared" si="9"/>
        <v>-</v>
      </c>
      <c r="C246" t="e">
        <f>+VLOOKUP(R246,Maps!$A:$C,2,0)</f>
        <v>#N/A</v>
      </c>
      <c r="D246" t="e">
        <f t="shared" si="10"/>
        <v>#VALUE!</v>
      </c>
      <c r="E246" s="39" t="e">
        <f t="shared" si="11"/>
        <v>#VALUE!</v>
      </c>
      <c r="F246" s="7" t="str">
        <f t="array" ref="F246">+TIPOARMA(H246,I246)</f>
        <v>ERRO - REVISAR</v>
      </c>
      <c r="H246" t="str">
        <f t="array" ref="H246">+ARMASTD(N246)</f>
        <v>ERRO - REVISAR</v>
      </c>
      <c r="I246" t="str">
        <f t="array" ref="I246">+CALIBRESTD(O246)</f>
        <v>ERRO - REVISAR</v>
      </c>
    </row>
    <row r="247" spans="1:9" ht="14.25" customHeight="1" x14ac:dyDescent="0.35">
      <c r="A247" s="41" t="str">
        <f t="array" ref="A247">EXTRACTEVENT(Q247,S247)</f>
        <v/>
      </c>
      <c r="B247" s="41" t="str">
        <f t="shared" si="9"/>
        <v>-</v>
      </c>
      <c r="C247" s="41" t="e">
        <f>+VLOOKUP(R247,Maps!$A:$C,2,0)</f>
        <v>#N/A</v>
      </c>
      <c r="D247" s="41" t="e">
        <f t="shared" si="10"/>
        <v>#VALUE!</v>
      </c>
      <c r="E247" s="42" t="e">
        <f t="shared" si="11"/>
        <v>#VALUE!</v>
      </c>
      <c r="F247" s="43" t="str">
        <f t="array" ref="F247">+TIPOARMA(H247,I247)</f>
        <v>ERRO - REVISAR</v>
      </c>
      <c r="G247" s="41"/>
      <c r="H247" s="41" t="str">
        <f t="array" ref="H247">+ARMASTD(N247)</f>
        <v>ERRO - REVISAR</v>
      </c>
      <c r="I247" s="41" t="str">
        <f t="array" ref="I247">+CALIBRESTD(O247)</f>
        <v>ERRO - REVISAR</v>
      </c>
    </row>
    <row r="248" spans="1:9" ht="14.25" customHeight="1" x14ac:dyDescent="0.35">
      <c r="A248" t="str">
        <f t="array" ref="A248">EXTRACTEVENT(Q248,S248)</f>
        <v/>
      </c>
      <c r="B248" t="str">
        <f t="shared" si="9"/>
        <v>-</v>
      </c>
      <c r="C248" t="e">
        <f>+VLOOKUP(R248,Maps!$A:$C,2,0)</f>
        <v>#N/A</v>
      </c>
      <c r="D248" t="e">
        <f t="shared" si="10"/>
        <v>#VALUE!</v>
      </c>
      <c r="E248" s="39" t="e">
        <f t="shared" si="11"/>
        <v>#VALUE!</v>
      </c>
      <c r="F248" s="7" t="str">
        <f t="array" ref="F248">+TIPOARMA(H248,I248)</f>
        <v>ERRO - REVISAR</v>
      </c>
      <c r="H248" t="str">
        <f t="array" ref="H248">+ARMASTD(N248)</f>
        <v>ERRO - REVISAR</v>
      </c>
      <c r="I248" t="str">
        <f t="array" ref="I248">+CALIBRESTD(O248)</f>
        <v>ERRO - REVISAR</v>
      </c>
    </row>
    <row r="249" spans="1:9" ht="14.25" customHeight="1" x14ac:dyDescent="0.35">
      <c r="A249" s="41" t="str">
        <f t="array" ref="A249">EXTRACTEVENT(Q249,S249)</f>
        <v/>
      </c>
      <c r="B249" s="41" t="str">
        <f t="shared" si="9"/>
        <v>-</v>
      </c>
      <c r="C249" s="41" t="e">
        <f>+VLOOKUP(R249,Maps!$A:$C,2,0)</f>
        <v>#N/A</v>
      </c>
      <c r="D249" s="41" t="e">
        <f t="shared" si="10"/>
        <v>#VALUE!</v>
      </c>
      <c r="E249" s="42" t="e">
        <f t="shared" si="11"/>
        <v>#VALUE!</v>
      </c>
      <c r="F249" s="43" t="str">
        <f t="array" ref="F249">+TIPOARMA(H249,I249)</f>
        <v>ERRO - REVISAR</v>
      </c>
      <c r="G249" s="41"/>
      <c r="H249" s="41" t="str">
        <f t="array" ref="H249">+ARMASTD(N249)</f>
        <v>ERRO - REVISAR</v>
      </c>
      <c r="I249" s="41" t="str">
        <f t="array" ref="I249">+CALIBRESTD(O249)</f>
        <v>ERRO - REVISAR</v>
      </c>
    </row>
    <row r="250" spans="1:9" ht="14.25" customHeight="1" x14ac:dyDescent="0.35">
      <c r="A250" t="str">
        <f t="array" ref="A250">EXTRACTEVENT(Q250,S250)</f>
        <v/>
      </c>
      <c r="B250" t="str">
        <f t="shared" si="9"/>
        <v>-</v>
      </c>
      <c r="C250" t="e">
        <f>+VLOOKUP(R250,Maps!$A:$C,2,0)</f>
        <v>#N/A</v>
      </c>
      <c r="D250" t="e">
        <f t="shared" si="10"/>
        <v>#VALUE!</v>
      </c>
      <c r="E250" s="39" t="e">
        <f t="shared" si="11"/>
        <v>#VALUE!</v>
      </c>
      <c r="F250" s="7" t="str">
        <f t="array" ref="F250">+TIPOARMA(H250,I250)</f>
        <v>ERRO - REVISAR</v>
      </c>
      <c r="H250" t="str">
        <f t="array" ref="H250">+ARMASTD(N250)</f>
        <v>ERRO - REVISAR</v>
      </c>
      <c r="I250" t="str">
        <f t="array" ref="I250">+CALIBRESTD(O250)</f>
        <v>ERRO - REVISAR</v>
      </c>
    </row>
    <row r="251" spans="1:9" ht="14.25" customHeight="1" x14ac:dyDescent="0.35">
      <c r="A251" s="41" t="str">
        <f t="array" ref="A251">EXTRACTEVENT(Q251,S251)</f>
        <v/>
      </c>
      <c r="B251" s="41" t="str">
        <f t="shared" si="9"/>
        <v>-</v>
      </c>
      <c r="C251" s="41" t="e">
        <f>+VLOOKUP(R251,Maps!$A:$C,2,0)</f>
        <v>#N/A</v>
      </c>
      <c r="D251" s="41" t="e">
        <f t="shared" si="10"/>
        <v>#VALUE!</v>
      </c>
      <c r="E251" s="42" t="e">
        <f t="shared" si="11"/>
        <v>#VALUE!</v>
      </c>
      <c r="F251" s="43" t="str">
        <f t="array" ref="F251">+TIPOARMA(H251,I251)</f>
        <v>ERRO - REVISAR</v>
      </c>
      <c r="G251" s="41"/>
      <c r="H251" s="41" t="str">
        <f t="array" ref="H251">+ARMASTD(N251)</f>
        <v>ERRO - REVISAR</v>
      </c>
      <c r="I251" s="41" t="str">
        <f t="array" ref="I251">+CALIBRESTD(O251)</f>
        <v>ERRO - REVISAR</v>
      </c>
    </row>
    <row r="252" spans="1:9" ht="14.25" customHeight="1" x14ac:dyDescent="0.35">
      <c r="A252" t="str">
        <f t="array" ref="A252">EXTRACTEVENT(Q252,S252)</f>
        <v/>
      </c>
      <c r="B252" t="str">
        <f t="shared" si="9"/>
        <v>-</v>
      </c>
      <c r="C252" t="e">
        <f>+VLOOKUP(R252,Maps!$A:$C,2,0)</f>
        <v>#N/A</v>
      </c>
      <c r="D252" t="e">
        <f t="shared" si="10"/>
        <v>#VALUE!</v>
      </c>
      <c r="E252" s="39" t="e">
        <f t="shared" si="11"/>
        <v>#VALUE!</v>
      </c>
      <c r="F252" s="7" t="str">
        <f t="array" ref="F252">+TIPOARMA(H252,I252)</f>
        <v>ERRO - REVISAR</v>
      </c>
      <c r="H252" t="str">
        <f t="array" ref="H252">+ARMASTD(N252)</f>
        <v>ERRO - REVISAR</v>
      </c>
      <c r="I252" t="str">
        <f t="array" ref="I252">+CALIBRESTD(O252)</f>
        <v>ERRO - REVISAR</v>
      </c>
    </row>
    <row r="253" spans="1:9" ht="14.25" customHeight="1" x14ac:dyDescent="0.35">
      <c r="A253" s="41" t="str">
        <f t="array" ref="A253">EXTRACTEVENT(Q253,S253)</f>
        <v/>
      </c>
      <c r="B253" s="41" t="str">
        <f t="shared" si="9"/>
        <v>-</v>
      </c>
      <c r="C253" s="41" t="e">
        <f>+VLOOKUP(R253,Maps!$A:$C,2,0)</f>
        <v>#N/A</v>
      </c>
      <c r="D253" s="41" t="e">
        <f t="shared" si="10"/>
        <v>#VALUE!</v>
      </c>
      <c r="E253" s="42" t="e">
        <f t="shared" si="11"/>
        <v>#VALUE!</v>
      </c>
      <c r="F253" s="43" t="str">
        <f t="array" ref="F253">+TIPOARMA(H253,I253)</f>
        <v>ERRO - REVISAR</v>
      </c>
      <c r="G253" s="41"/>
      <c r="H253" s="41" t="str">
        <f t="array" ref="H253">+ARMASTD(N253)</f>
        <v>ERRO - REVISAR</v>
      </c>
      <c r="I253" s="41" t="str">
        <f t="array" ref="I253">+CALIBRESTD(O253)</f>
        <v>ERRO - REVISAR</v>
      </c>
    </row>
    <row r="254" spans="1:9" ht="14.25" customHeight="1" x14ac:dyDescent="0.35">
      <c r="A254" t="str">
        <f t="array" ref="A254">EXTRACTEVENT(Q254,S254)</f>
        <v/>
      </c>
      <c r="B254" t="str">
        <f t="shared" si="9"/>
        <v>-</v>
      </c>
      <c r="C254" t="e">
        <f>+VLOOKUP(R254,Maps!$A:$C,2,0)</f>
        <v>#N/A</v>
      </c>
      <c r="D254" t="e">
        <f t="shared" si="10"/>
        <v>#VALUE!</v>
      </c>
      <c r="E254" s="39" t="e">
        <f t="shared" si="11"/>
        <v>#VALUE!</v>
      </c>
      <c r="F254" s="7" t="str">
        <f t="array" ref="F254">+TIPOARMA(H254,I254)</f>
        <v>ERRO - REVISAR</v>
      </c>
      <c r="H254" t="str">
        <f t="array" ref="H254">+ARMASTD(N254)</f>
        <v>ERRO - REVISAR</v>
      </c>
      <c r="I254" t="str">
        <f t="array" ref="I254">+CALIBRESTD(O254)</f>
        <v>ERRO - REVISAR</v>
      </c>
    </row>
    <row r="255" spans="1:9" ht="14.25" customHeight="1" x14ac:dyDescent="0.35">
      <c r="A255" s="41" t="str">
        <f t="array" ref="A255">EXTRACTEVENT(Q255,S255)</f>
        <v/>
      </c>
      <c r="B255" s="41" t="str">
        <f t="shared" si="9"/>
        <v>-</v>
      </c>
      <c r="C255" s="41" t="e">
        <f>+VLOOKUP(R255,Maps!$A:$C,2,0)</f>
        <v>#N/A</v>
      </c>
      <c r="D255" s="41" t="e">
        <f t="shared" si="10"/>
        <v>#VALUE!</v>
      </c>
      <c r="E255" s="42" t="e">
        <f t="shared" si="11"/>
        <v>#VALUE!</v>
      </c>
      <c r="F255" s="43" t="str">
        <f t="array" ref="F255">+TIPOARMA(H255,I255)</f>
        <v>ERRO - REVISAR</v>
      </c>
      <c r="G255" s="41"/>
      <c r="H255" s="41" t="str">
        <f t="array" ref="H255">+ARMASTD(N255)</f>
        <v>ERRO - REVISAR</v>
      </c>
      <c r="I255" s="41" t="str">
        <f t="array" ref="I255">+CALIBRESTD(O255)</f>
        <v>ERRO - REVISAR</v>
      </c>
    </row>
    <row r="256" spans="1:9" ht="14.25" customHeight="1" x14ac:dyDescent="0.35">
      <c r="A256" t="str">
        <f t="array" ref="A256">EXTRACTEVENT(Q256,S256)</f>
        <v/>
      </c>
      <c r="B256" t="str">
        <f t="shared" si="9"/>
        <v>-</v>
      </c>
      <c r="C256" t="e">
        <f>+VLOOKUP(R256,Maps!$A:$C,2,0)</f>
        <v>#N/A</v>
      </c>
      <c r="D256" t="e">
        <f t="shared" si="10"/>
        <v>#VALUE!</v>
      </c>
      <c r="E256" s="39" t="e">
        <f t="shared" si="11"/>
        <v>#VALUE!</v>
      </c>
      <c r="F256" s="7" t="str">
        <f t="array" ref="F256">+TIPOARMA(H256,I256)</f>
        <v>ERRO - REVISAR</v>
      </c>
      <c r="H256" t="str">
        <f t="array" ref="H256">+ARMASTD(N256)</f>
        <v>ERRO - REVISAR</v>
      </c>
      <c r="I256" t="str">
        <f t="array" ref="I256">+CALIBRESTD(O256)</f>
        <v>ERRO - REVISAR</v>
      </c>
    </row>
    <row r="257" spans="1:9" ht="14.25" customHeight="1" x14ac:dyDescent="0.35">
      <c r="A257" s="41" t="str">
        <f t="array" ref="A257">EXTRACTEVENT(Q257,S257)</f>
        <v/>
      </c>
      <c r="B257" s="41" t="str">
        <f t="shared" si="9"/>
        <v>-</v>
      </c>
      <c r="C257" s="41" t="e">
        <f>+VLOOKUP(R257,Maps!$A:$C,2,0)</f>
        <v>#N/A</v>
      </c>
      <c r="D257" s="41" t="e">
        <f t="shared" si="10"/>
        <v>#VALUE!</v>
      </c>
      <c r="E257" s="42" t="e">
        <f t="shared" si="11"/>
        <v>#VALUE!</v>
      </c>
      <c r="F257" s="43" t="str">
        <f t="array" ref="F257">+TIPOARMA(H257,I257)</f>
        <v>ERRO - REVISAR</v>
      </c>
      <c r="G257" s="41"/>
      <c r="H257" s="41" t="str">
        <f t="array" ref="H257">+ARMASTD(N257)</f>
        <v>ERRO - REVISAR</v>
      </c>
      <c r="I257" s="41" t="str">
        <f t="array" ref="I257">+CALIBRESTD(O257)</f>
        <v>ERRO - REVISAR</v>
      </c>
    </row>
    <row r="258" spans="1:9" ht="14.25" customHeight="1" x14ac:dyDescent="0.35">
      <c r="A258" t="str">
        <f t="array" ref="A258">EXTRACTEVENT(Q258,S258)</f>
        <v/>
      </c>
      <c r="B258" t="str">
        <f t="shared" ref="B258:B321" si="12">+EXTRACTETAPANUM(Q258)</f>
        <v>-</v>
      </c>
      <c r="C258" t="e">
        <f>+VLOOKUP(R258,Maps!$A:$C,2,0)</f>
        <v>#N/A</v>
      </c>
      <c r="D258" t="e">
        <f t="shared" ref="D258:D321" si="13">+DEFINEAMBITO(Q258,C258)</f>
        <v>#VALUE!</v>
      </c>
      <c r="E258" s="39" t="e">
        <f t="shared" ref="E258:E321" si="14">DATEVALUE(L258)</f>
        <v>#VALUE!</v>
      </c>
      <c r="F258" s="7" t="str">
        <f t="array" ref="F258">+TIPOARMA(H258,I258)</f>
        <v>ERRO - REVISAR</v>
      </c>
      <c r="H258" t="str">
        <f t="array" ref="H258">+ARMASTD(N258)</f>
        <v>ERRO - REVISAR</v>
      </c>
      <c r="I258" t="str">
        <f t="array" ref="I258">+CALIBRESTD(O258)</f>
        <v>ERRO - REVISAR</v>
      </c>
    </row>
    <row r="259" spans="1:9" ht="14.25" customHeight="1" x14ac:dyDescent="0.35">
      <c r="A259" s="41" t="str">
        <f t="array" ref="A259">EXTRACTEVENT(Q259,S259)</f>
        <v/>
      </c>
      <c r="B259" s="41" t="str">
        <f t="shared" si="12"/>
        <v>-</v>
      </c>
      <c r="C259" s="41" t="e">
        <f>+VLOOKUP(R259,Maps!$A:$C,2,0)</f>
        <v>#N/A</v>
      </c>
      <c r="D259" s="41" t="e">
        <f t="shared" si="13"/>
        <v>#VALUE!</v>
      </c>
      <c r="E259" s="42" t="e">
        <f t="shared" si="14"/>
        <v>#VALUE!</v>
      </c>
      <c r="F259" s="43" t="str">
        <f t="array" ref="F259">+TIPOARMA(H259,I259)</f>
        <v>ERRO - REVISAR</v>
      </c>
      <c r="G259" s="41"/>
      <c r="H259" s="41" t="str">
        <f t="array" ref="H259">+ARMASTD(N259)</f>
        <v>ERRO - REVISAR</v>
      </c>
      <c r="I259" s="41" t="str">
        <f t="array" ref="I259">+CALIBRESTD(O259)</f>
        <v>ERRO - REVISAR</v>
      </c>
    </row>
    <row r="260" spans="1:9" ht="14.25" customHeight="1" x14ac:dyDescent="0.35">
      <c r="A260" t="str">
        <f t="array" ref="A260">EXTRACTEVENT(Q260,S260)</f>
        <v/>
      </c>
      <c r="B260" t="str">
        <f t="shared" si="12"/>
        <v>-</v>
      </c>
      <c r="C260" t="e">
        <f>+VLOOKUP(R260,Maps!$A:$C,2,0)</f>
        <v>#N/A</v>
      </c>
      <c r="D260" t="e">
        <f t="shared" si="13"/>
        <v>#VALUE!</v>
      </c>
      <c r="E260" s="39" t="e">
        <f t="shared" si="14"/>
        <v>#VALUE!</v>
      </c>
      <c r="F260" s="7" t="str">
        <f t="array" ref="F260">+TIPOARMA(H260,I260)</f>
        <v>ERRO - REVISAR</v>
      </c>
      <c r="H260" t="str">
        <f t="array" ref="H260">+ARMASTD(N260)</f>
        <v>ERRO - REVISAR</v>
      </c>
      <c r="I260" t="str">
        <f t="array" ref="I260">+CALIBRESTD(O260)</f>
        <v>ERRO - REVISAR</v>
      </c>
    </row>
    <row r="261" spans="1:9" ht="14.25" customHeight="1" x14ac:dyDescent="0.35">
      <c r="A261" s="41" t="str">
        <f t="array" ref="A261">EXTRACTEVENT(Q261,S261)</f>
        <v/>
      </c>
      <c r="B261" s="41" t="str">
        <f t="shared" si="12"/>
        <v>-</v>
      </c>
      <c r="C261" s="41" t="e">
        <f>+VLOOKUP(R261,Maps!$A:$C,2,0)</f>
        <v>#N/A</v>
      </c>
      <c r="D261" s="41" t="e">
        <f t="shared" si="13"/>
        <v>#VALUE!</v>
      </c>
      <c r="E261" s="42" t="e">
        <f t="shared" si="14"/>
        <v>#VALUE!</v>
      </c>
      <c r="F261" s="43" t="str">
        <f t="array" ref="F261">+TIPOARMA(H261,I261)</f>
        <v>ERRO - REVISAR</v>
      </c>
      <c r="G261" s="41"/>
      <c r="H261" s="41" t="str">
        <f t="array" ref="H261">+ARMASTD(N261)</f>
        <v>ERRO - REVISAR</v>
      </c>
      <c r="I261" s="41" t="str">
        <f t="array" ref="I261">+CALIBRESTD(O261)</f>
        <v>ERRO - REVISAR</v>
      </c>
    </row>
    <row r="262" spans="1:9" ht="14.25" customHeight="1" x14ac:dyDescent="0.35">
      <c r="A262" t="str">
        <f t="array" ref="A262">EXTRACTEVENT(Q262,S262)</f>
        <v/>
      </c>
      <c r="B262" t="str">
        <f t="shared" si="12"/>
        <v>-</v>
      </c>
      <c r="C262" t="e">
        <f>+VLOOKUP(R262,Maps!$A:$C,2,0)</f>
        <v>#N/A</v>
      </c>
      <c r="D262" t="e">
        <f t="shared" si="13"/>
        <v>#VALUE!</v>
      </c>
      <c r="E262" s="39" t="e">
        <f t="shared" si="14"/>
        <v>#VALUE!</v>
      </c>
      <c r="F262" s="7" t="str">
        <f t="array" ref="F262">+TIPOARMA(H262,I262)</f>
        <v>ERRO - REVISAR</v>
      </c>
      <c r="H262" t="str">
        <f t="array" ref="H262">+ARMASTD(N262)</f>
        <v>ERRO - REVISAR</v>
      </c>
      <c r="I262" t="str">
        <f t="array" ref="I262">+CALIBRESTD(O262)</f>
        <v>ERRO - REVISAR</v>
      </c>
    </row>
    <row r="263" spans="1:9" ht="14.25" customHeight="1" x14ac:dyDescent="0.35">
      <c r="A263" s="41" t="str">
        <f t="array" ref="A263">EXTRACTEVENT(Q263,S263)</f>
        <v/>
      </c>
      <c r="B263" s="41" t="str">
        <f t="shared" si="12"/>
        <v>-</v>
      </c>
      <c r="C263" s="41" t="e">
        <f>+VLOOKUP(R263,Maps!$A:$C,2,0)</f>
        <v>#N/A</v>
      </c>
      <c r="D263" s="41" t="e">
        <f t="shared" si="13"/>
        <v>#VALUE!</v>
      </c>
      <c r="E263" s="42" t="e">
        <f t="shared" si="14"/>
        <v>#VALUE!</v>
      </c>
      <c r="F263" s="43" t="str">
        <f t="array" ref="F263">+TIPOARMA(H263,I263)</f>
        <v>ERRO - REVISAR</v>
      </c>
      <c r="G263" s="41"/>
      <c r="H263" s="41" t="str">
        <f t="array" ref="H263">+ARMASTD(N263)</f>
        <v>ERRO - REVISAR</v>
      </c>
      <c r="I263" s="41" t="str">
        <f t="array" ref="I263">+CALIBRESTD(O263)</f>
        <v>ERRO - REVISAR</v>
      </c>
    </row>
    <row r="264" spans="1:9" ht="14.25" customHeight="1" x14ac:dyDescent="0.35">
      <c r="A264" t="str">
        <f t="array" ref="A264">EXTRACTEVENT(Q264,S264)</f>
        <v/>
      </c>
      <c r="B264" t="str">
        <f t="shared" si="12"/>
        <v>-</v>
      </c>
      <c r="C264" t="e">
        <f>+VLOOKUP(R264,Maps!$A:$C,2,0)</f>
        <v>#N/A</v>
      </c>
      <c r="D264" t="e">
        <f t="shared" si="13"/>
        <v>#VALUE!</v>
      </c>
      <c r="E264" s="39" t="e">
        <f t="shared" si="14"/>
        <v>#VALUE!</v>
      </c>
      <c r="F264" s="7" t="str">
        <f t="array" ref="F264">+TIPOARMA(H264,I264)</f>
        <v>ERRO - REVISAR</v>
      </c>
      <c r="H264" t="str">
        <f t="array" ref="H264">+ARMASTD(N264)</f>
        <v>ERRO - REVISAR</v>
      </c>
      <c r="I264" t="str">
        <f t="array" ref="I264">+CALIBRESTD(O264)</f>
        <v>ERRO - REVISAR</v>
      </c>
    </row>
    <row r="265" spans="1:9" ht="14.25" customHeight="1" x14ac:dyDescent="0.35">
      <c r="A265" s="41" t="str">
        <f t="array" ref="A265">EXTRACTEVENT(Q265,S265)</f>
        <v/>
      </c>
      <c r="B265" s="41" t="str">
        <f t="shared" si="12"/>
        <v>-</v>
      </c>
      <c r="C265" s="41" t="e">
        <f>+VLOOKUP(R265,Maps!$A:$C,2,0)</f>
        <v>#N/A</v>
      </c>
      <c r="D265" s="41" t="e">
        <f t="shared" si="13"/>
        <v>#VALUE!</v>
      </c>
      <c r="E265" s="42" t="e">
        <f t="shared" si="14"/>
        <v>#VALUE!</v>
      </c>
      <c r="F265" s="43" t="str">
        <f t="array" ref="F265">+TIPOARMA(H265,I265)</f>
        <v>ERRO - REVISAR</v>
      </c>
      <c r="G265" s="41"/>
      <c r="H265" s="41" t="str">
        <f t="array" ref="H265">+ARMASTD(N265)</f>
        <v>ERRO - REVISAR</v>
      </c>
      <c r="I265" s="41" t="str">
        <f t="array" ref="I265">+CALIBRESTD(O265)</f>
        <v>ERRO - REVISAR</v>
      </c>
    </row>
    <row r="266" spans="1:9" ht="14.25" customHeight="1" x14ac:dyDescent="0.35">
      <c r="A266" t="str">
        <f t="array" ref="A266">EXTRACTEVENT(Q266,S266)</f>
        <v/>
      </c>
      <c r="B266" t="str">
        <f t="shared" si="12"/>
        <v>-</v>
      </c>
      <c r="C266" t="e">
        <f>+VLOOKUP(R266,Maps!$A:$C,2,0)</f>
        <v>#N/A</v>
      </c>
      <c r="D266" t="e">
        <f t="shared" si="13"/>
        <v>#VALUE!</v>
      </c>
      <c r="E266" s="39" t="e">
        <f t="shared" si="14"/>
        <v>#VALUE!</v>
      </c>
      <c r="F266" s="7" t="str">
        <f t="array" ref="F266">+TIPOARMA(H266,I266)</f>
        <v>ERRO - REVISAR</v>
      </c>
      <c r="H266" t="str">
        <f t="array" ref="H266">+ARMASTD(N266)</f>
        <v>ERRO - REVISAR</v>
      </c>
      <c r="I266" t="str">
        <f t="array" ref="I266">+CALIBRESTD(O266)</f>
        <v>ERRO - REVISAR</v>
      </c>
    </row>
    <row r="267" spans="1:9" ht="14.25" customHeight="1" x14ac:dyDescent="0.35">
      <c r="A267" s="41" t="str">
        <f t="array" ref="A267">EXTRACTEVENT(Q267,S267)</f>
        <v/>
      </c>
      <c r="B267" s="41" t="str">
        <f t="shared" si="12"/>
        <v>-</v>
      </c>
      <c r="C267" s="41" t="e">
        <f>+VLOOKUP(R267,Maps!$A:$C,2,0)</f>
        <v>#N/A</v>
      </c>
      <c r="D267" s="41" t="e">
        <f t="shared" si="13"/>
        <v>#VALUE!</v>
      </c>
      <c r="E267" s="42" t="e">
        <f t="shared" si="14"/>
        <v>#VALUE!</v>
      </c>
      <c r="F267" s="43" t="str">
        <f t="array" ref="F267">+TIPOARMA(H267,I267)</f>
        <v>ERRO - REVISAR</v>
      </c>
      <c r="G267" s="41"/>
      <c r="H267" s="41" t="str">
        <f t="array" ref="H267">+ARMASTD(N267)</f>
        <v>ERRO - REVISAR</v>
      </c>
      <c r="I267" s="41" t="str">
        <f t="array" ref="I267">+CALIBRESTD(O267)</f>
        <v>ERRO - REVISAR</v>
      </c>
    </row>
    <row r="268" spans="1:9" ht="14.25" customHeight="1" x14ac:dyDescent="0.35">
      <c r="A268" t="str">
        <f t="array" ref="A268">EXTRACTEVENT(Q268,S268)</f>
        <v/>
      </c>
      <c r="B268" t="str">
        <f t="shared" si="12"/>
        <v>-</v>
      </c>
      <c r="C268" t="e">
        <f>+VLOOKUP(R268,Maps!$A:$C,2,0)</f>
        <v>#N/A</v>
      </c>
      <c r="D268" t="e">
        <f t="shared" si="13"/>
        <v>#VALUE!</v>
      </c>
      <c r="E268" s="39" t="e">
        <f t="shared" si="14"/>
        <v>#VALUE!</v>
      </c>
      <c r="F268" s="7" t="str">
        <f t="array" ref="F268">+TIPOARMA(H268,I268)</f>
        <v>ERRO - REVISAR</v>
      </c>
      <c r="H268" t="str">
        <f t="array" ref="H268">+ARMASTD(N268)</f>
        <v>ERRO - REVISAR</v>
      </c>
      <c r="I268" t="str">
        <f t="array" ref="I268">+CALIBRESTD(O268)</f>
        <v>ERRO - REVISAR</v>
      </c>
    </row>
    <row r="269" spans="1:9" ht="14.25" customHeight="1" x14ac:dyDescent="0.35">
      <c r="A269" s="41" t="str">
        <f t="array" ref="A269">EXTRACTEVENT(Q269,S269)</f>
        <v/>
      </c>
      <c r="B269" s="41" t="str">
        <f t="shared" si="12"/>
        <v>-</v>
      </c>
      <c r="C269" s="41" t="e">
        <f>+VLOOKUP(R269,Maps!$A:$C,2,0)</f>
        <v>#N/A</v>
      </c>
      <c r="D269" s="41" t="e">
        <f t="shared" si="13"/>
        <v>#VALUE!</v>
      </c>
      <c r="E269" s="42" t="e">
        <f t="shared" si="14"/>
        <v>#VALUE!</v>
      </c>
      <c r="F269" s="43" t="str">
        <f t="array" ref="F269">+TIPOARMA(H269,I269)</f>
        <v>ERRO - REVISAR</v>
      </c>
      <c r="G269" s="41"/>
      <c r="H269" s="41" t="str">
        <f t="array" ref="H269">+ARMASTD(N269)</f>
        <v>ERRO - REVISAR</v>
      </c>
      <c r="I269" s="41" t="str">
        <f t="array" ref="I269">+CALIBRESTD(O269)</f>
        <v>ERRO - REVISAR</v>
      </c>
    </row>
    <row r="270" spans="1:9" ht="14.25" customHeight="1" x14ac:dyDescent="0.35">
      <c r="A270" t="str">
        <f t="array" ref="A270">EXTRACTEVENT(Q270,S270)</f>
        <v/>
      </c>
      <c r="B270" t="str">
        <f t="shared" si="12"/>
        <v>-</v>
      </c>
      <c r="C270" t="e">
        <f>+VLOOKUP(R270,Maps!$A:$C,2,0)</f>
        <v>#N/A</v>
      </c>
      <c r="D270" t="e">
        <f t="shared" si="13"/>
        <v>#VALUE!</v>
      </c>
      <c r="E270" s="39" t="e">
        <f t="shared" si="14"/>
        <v>#VALUE!</v>
      </c>
      <c r="F270" s="7" t="str">
        <f t="array" ref="F270">+TIPOARMA(H270,I270)</f>
        <v>ERRO - REVISAR</v>
      </c>
      <c r="H270" t="str">
        <f t="array" ref="H270">+ARMASTD(N270)</f>
        <v>ERRO - REVISAR</v>
      </c>
      <c r="I270" t="str">
        <f t="array" ref="I270">+CALIBRESTD(O270)</f>
        <v>ERRO - REVISAR</v>
      </c>
    </row>
    <row r="271" spans="1:9" ht="14.25" customHeight="1" x14ac:dyDescent="0.35">
      <c r="A271" s="41" t="str">
        <f t="array" ref="A271">EXTRACTEVENT(Q271,S271)</f>
        <v/>
      </c>
      <c r="B271" s="41" t="str">
        <f t="shared" si="12"/>
        <v>-</v>
      </c>
      <c r="C271" s="41" t="e">
        <f>+VLOOKUP(R271,Maps!$A:$C,2,0)</f>
        <v>#N/A</v>
      </c>
      <c r="D271" s="41" t="e">
        <f t="shared" si="13"/>
        <v>#VALUE!</v>
      </c>
      <c r="E271" s="42" t="e">
        <f t="shared" si="14"/>
        <v>#VALUE!</v>
      </c>
      <c r="F271" s="43" t="str">
        <f t="array" ref="F271">+TIPOARMA(H271,I271)</f>
        <v>ERRO - REVISAR</v>
      </c>
      <c r="G271" s="41"/>
      <c r="H271" s="41" t="str">
        <f t="array" ref="H271">+ARMASTD(N271)</f>
        <v>ERRO - REVISAR</v>
      </c>
      <c r="I271" s="41" t="str">
        <f t="array" ref="I271">+CALIBRESTD(O271)</f>
        <v>ERRO - REVISAR</v>
      </c>
    </row>
    <row r="272" spans="1:9" ht="14.25" customHeight="1" x14ac:dyDescent="0.35">
      <c r="A272" t="str">
        <f t="array" ref="A272">EXTRACTEVENT(Q272,S272)</f>
        <v/>
      </c>
      <c r="B272" t="str">
        <f t="shared" si="12"/>
        <v>-</v>
      </c>
      <c r="C272" t="e">
        <f>+VLOOKUP(R272,Maps!$A:$C,2,0)</f>
        <v>#N/A</v>
      </c>
      <c r="D272" t="e">
        <f t="shared" si="13"/>
        <v>#VALUE!</v>
      </c>
      <c r="E272" s="39" t="e">
        <f t="shared" si="14"/>
        <v>#VALUE!</v>
      </c>
      <c r="F272" s="7" t="str">
        <f t="array" ref="F272">+TIPOARMA(H272,I272)</f>
        <v>ERRO - REVISAR</v>
      </c>
      <c r="H272" t="str">
        <f t="array" ref="H272">+ARMASTD(N272)</f>
        <v>ERRO - REVISAR</v>
      </c>
      <c r="I272" t="str">
        <f t="array" ref="I272">+CALIBRESTD(O272)</f>
        <v>ERRO - REVISAR</v>
      </c>
    </row>
    <row r="273" spans="1:9" ht="14.25" customHeight="1" x14ac:dyDescent="0.35">
      <c r="A273" s="41" t="str">
        <f t="array" ref="A273">EXTRACTEVENT(Q273,S273)</f>
        <v/>
      </c>
      <c r="B273" s="41" t="str">
        <f t="shared" si="12"/>
        <v>-</v>
      </c>
      <c r="C273" s="41" t="e">
        <f>+VLOOKUP(R273,Maps!$A:$C,2,0)</f>
        <v>#N/A</v>
      </c>
      <c r="D273" s="41" t="e">
        <f t="shared" si="13"/>
        <v>#VALUE!</v>
      </c>
      <c r="E273" s="42" t="e">
        <f t="shared" si="14"/>
        <v>#VALUE!</v>
      </c>
      <c r="F273" s="43" t="str">
        <f t="array" ref="F273">+TIPOARMA(H273,I273)</f>
        <v>ERRO - REVISAR</v>
      </c>
      <c r="G273" s="41"/>
      <c r="H273" s="41" t="str">
        <f t="array" ref="H273">+ARMASTD(N273)</f>
        <v>ERRO - REVISAR</v>
      </c>
      <c r="I273" s="41" t="str">
        <f t="array" ref="I273">+CALIBRESTD(O273)</f>
        <v>ERRO - REVISAR</v>
      </c>
    </row>
    <row r="274" spans="1:9" ht="14.25" customHeight="1" x14ac:dyDescent="0.35">
      <c r="A274" t="str">
        <f t="array" ref="A274">EXTRACTEVENT(Q274,S274)</f>
        <v/>
      </c>
      <c r="B274" t="str">
        <f t="shared" si="12"/>
        <v>-</v>
      </c>
      <c r="C274" t="e">
        <f>+VLOOKUP(R274,Maps!$A:$C,2,0)</f>
        <v>#N/A</v>
      </c>
      <c r="D274" t="e">
        <f t="shared" si="13"/>
        <v>#VALUE!</v>
      </c>
      <c r="E274" s="39" t="e">
        <f t="shared" si="14"/>
        <v>#VALUE!</v>
      </c>
      <c r="F274" s="7" t="str">
        <f t="array" ref="F274">+TIPOARMA(H274,I274)</f>
        <v>ERRO - REVISAR</v>
      </c>
      <c r="H274" t="str">
        <f t="array" ref="H274">+ARMASTD(N274)</f>
        <v>ERRO - REVISAR</v>
      </c>
      <c r="I274" t="str">
        <f t="array" ref="I274">+CALIBRESTD(O274)</f>
        <v>ERRO - REVISAR</v>
      </c>
    </row>
    <row r="275" spans="1:9" ht="14.25" customHeight="1" x14ac:dyDescent="0.35">
      <c r="A275" s="41" t="str">
        <f t="array" ref="A275">EXTRACTEVENT(Q275,S275)</f>
        <v/>
      </c>
      <c r="B275" s="41" t="str">
        <f t="shared" si="12"/>
        <v>-</v>
      </c>
      <c r="C275" s="41" t="e">
        <f>+VLOOKUP(R275,Maps!$A:$C,2,0)</f>
        <v>#N/A</v>
      </c>
      <c r="D275" s="41" t="e">
        <f t="shared" si="13"/>
        <v>#VALUE!</v>
      </c>
      <c r="E275" s="42" t="e">
        <f t="shared" si="14"/>
        <v>#VALUE!</v>
      </c>
      <c r="F275" s="43" t="str">
        <f t="array" ref="F275">+TIPOARMA(H275,I275)</f>
        <v>ERRO - REVISAR</v>
      </c>
      <c r="G275" s="41"/>
      <c r="H275" s="41" t="str">
        <f t="array" ref="H275">+ARMASTD(N275)</f>
        <v>ERRO - REVISAR</v>
      </c>
      <c r="I275" s="41" t="str">
        <f t="array" ref="I275">+CALIBRESTD(O275)</f>
        <v>ERRO - REVISAR</v>
      </c>
    </row>
    <row r="276" spans="1:9" ht="14.25" customHeight="1" x14ac:dyDescent="0.35">
      <c r="A276" t="str">
        <f t="array" ref="A276">EXTRACTEVENT(Q276,S276)</f>
        <v/>
      </c>
      <c r="B276" t="str">
        <f t="shared" si="12"/>
        <v>-</v>
      </c>
      <c r="C276" t="e">
        <f>+VLOOKUP(R276,Maps!$A:$C,2,0)</f>
        <v>#N/A</v>
      </c>
      <c r="D276" t="e">
        <f t="shared" si="13"/>
        <v>#VALUE!</v>
      </c>
      <c r="E276" s="39" t="e">
        <f t="shared" si="14"/>
        <v>#VALUE!</v>
      </c>
      <c r="F276" s="7" t="str">
        <f t="array" ref="F276">+TIPOARMA(H276,I276)</f>
        <v>ERRO - REVISAR</v>
      </c>
      <c r="H276" t="str">
        <f t="array" ref="H276">+ARMASTD(N276)</f>
        <v>ERRO - REVISAR</v>
      </c>
      <c r="I276" t="str">
        <f t="array" ref="I276">+CALIBRESTD(O276)</f>
        <v>ERRO - REVISAR</v>
      </c>
    </row>
    <row r="277" spans="1:9" ht="14.25" customHeight="1" x14ac:dyDescent="0.35">
      <c r="A277" s="41" t="str">
        <f t="array" ref="A277">EXTRACTEVENT(Q277,S277)</f>
        <v/>
      </c>
      <c r="B277" s="41" t="str">
        <f t="shared" si="12"/>
        <v>-</v>
      </c>
      <c r="C277" s="41" t="e">
        <f>+VLOOKUP(R277,Maps!$A:$C,2,0)</f>
        <v>#N/A</v>
      </c>
      <c r="D277" s="41" t="e">
        <f t="shared" si="13"/>
        <v>#VALUE!</v>
      </c>
      <c r="E277" s="42" t="e">
        <f t="shared" si="14"/>
        <v>#VALUE!</v>
      </c>
      <c r="F277" s="43" t="str">
        <f t="array" ref="F277">+TIPOARMA(H277,I277)</f>
        <v>ERRO - REVISAR</v>
      </c>
      <c r="G277" s="41"/>
      <c r="H277" s="41" t="str">
        <f t="array" ref="H277">+ARMASTD(N277)</f>
        <v>ERRO - REVISAR</v>
      </c>
      <c r="I277" s="41" t="str">
        <f t="array" ref="I277">+CALIBRESTD(O277)</f>
        <v>ERRO - REVISAR</v>
      </c>
    </row>
    <row r="278" spans="1:9" ht="14.25" customHeight="1" x14ac:dyDescent="0.35">
      <c r="A278" t="str">
        <f t="array" ref="A278">EXTRACTEVENT(Q278,S278)</f>
        <v/>
      </c>
      <c r="B278" t="str">
        <f t="shared" si="12"/>
        <v>-</v>
      </c>
      <c r="C278" t="e">
        <f>+VLOOKUP(R278,Maps!$A:$C,2,0)</f>
        <v>#N/A</v>
      </c>
      <c r="D278" t="e">
        <f t="shared" si="13"/>
        <v>#VALUE!</v>
      </c>
      <c r="E278" s="39" t="e">
        <f t="shared" si="14"/>
        <v>#VALUE!</v>
      </c>
      <c r="F278" s="7" t="str">
        <f t="array" ref="F278">+TIPOARMA(H278,I278)</f>
        <v>ERRO - REVISAR</v>
      </c>
      <c r="H278" t="str">
        <f t="array" ref="H278">+ARMASTD(N278)</f>
        <v>ERRO - REVISAR</v>
      </c>
      <c r="I278" t="str">
        <f t="array" ref="I278">+CALIBRESTD(O278)</f>
        <v>ERRO - REVISAR</v>
      </c>
    </row>
    <row r="279" spans="1:9" ht="14.25" customHeight="1" x14ac:dyDescent="0.35">
      <c r="A279" s="41" t="str">
        <f t="array" ref="A279">EXTRACTEVENT(Q279,S279)</f>
        <v/>
      </c>
      <c r="B279" s="41" t="str">
        <f t="shared" si="12"/>
        <v>-</v>
      </c>
      <c r="C279" s="41" t="e">
        <f>+VLOOKUP(R279,Maps!$A:$C,2,0)</f>
        <v>#N/A</v>
      </c>
      <c r="D279" s="41" t="e">
        <f t="shared" si="13"/>
        <v>#VALUE!</v>
      </c>
      <c r="E279" s="42" t="e">
        <f t="shared" si="14"/>
        <v>#VALUE!</v>
      </c>
      <c r="F279" s="43" t="str">
        <f t="array" ref="F279">+TIPOARMA(H279,I279)</f>
        <v>ERRO - REVISAR</v>
      </c>
      <c r="G279" s="41"/>
      <c r="H279" s="41" t="str">
        <f t="array" ref="H279">+ARMASTD(N279)</f>
        <v>ERRO - REVISAR</v>
      </c>
      <c r="I279" s="41" t="str">
        <f t="array" ref="I279">+CALIBRESTD(O279)</f>
        <v>ERRO - REVISAR</v>
      </c>
    </row>
    <row r="280" spans="1:9" ht="14.25" customHeight="1" x14ac:dyDescent="0.35">
      <c r="A280" t="str">
        <f t="array" ref="A280">EXTRACTEVENT(Q280,S280)</f>
        <v/>
      </c>
      <c r="B280" t="str">
        <f t="shared" si="12"/>
        <v>-</v>
      </c>
      <c r="C280" t="e">
        <f>+VLOOKUP(R280,Maps!$A:$C,2,0)</f>
        <v>#N/A</v>
      </c>
      <c r="D280" t="e">
        <f t="shared" si="13"/>
        <v>#VALUE!</v>
      </c>
      <c r="E280" s="39" t="e">
        <f t="shared" si="14"/>
        <v>#VALUE!</v>
      </c>
      <c r="F280" s="7" t="str">
        <f t="array" ref="F280">+TIPOARMA(H280,I280)</f>
        <v>ERRO - REVISAR</v>
      </c>
      <c r="H280" t="str">
        <f t="array" ref="H280">+ARMASTD(N280)</f>
        <v>ERRO - REVISAR</v>
      </c>
      <c r="I280" t="str">
        <f t="array" ref="I280">+CALIBRESTD(O280)</f>
        <v>ERRO - REVISAR</v>
      </c>
    </row>
    <row r="281" spans="1:9" ht="14.25" customHeight="1" x14ac:dyDescent="0.35">
      <c r="A281" s="41" t="str">
        <f t="array" ref="A281">EXTRACTEVENT(Q281,S281)</f>
        <v/>
      </c>
      <c r="B281" s="41" t="str">
        <f t="shared" si="12"/>
        <v>-</v>
      </c>
      <c r="C281" s="41" t="e">
        <f>+VLOOKUP(R281,Maps!$A:$C,2,0)</f>
        <v>#N/A</v>
      </c>
      <c r="D281" s="41" t="e">
        <f t="shared" si="13"/>
        <v>#VALUE!</v>
      </c>
      <c r="E281" s="42" t="e">
        <f t="shared" si="14"/>
        <v>#VALUE!</v>
      </c>
      <c r="F281" s="43" t="str">
        <f t="array" ref="F281">+TIPOARMA(H281,I281)</f>
        <v>ERRO - REVISAR</v>
      </c>
      <c r="G281" s="41"/>
      <c r="H281" s="41" t="str">
        <f t="array" ref="H281">+ARMASTD(N281)</f>
        <v>ERRO - REVISAR</v>
      </c>
      <c r="I281" s="41" t="str">
        <f t="array" ref="I281">+CALIBRESTD(O281)</f>
        <v>ERRO - REVISAR</v>
      </c>
    </row>
    <row r="282" spans="1:9" ht="14.25" customHeight="1" x14ac:dyDescent="0.35">
      <c r="A282" t="str">
        <f t="array" ref="A282">EXTRACTEVENT(Q282,S282)</f>
        <v/>
      </c>
      <c r="B282" t="str">
        <f t="shared" si="12"/>
        <v>-</v>
      </c>
      <c r="C282" t="e">
        <f>+VLOOKUP(R282,Maps!$A:$C,2,0)</f>
        <v>#N/A</v>
      </c>
      <c r="D282" t="e">
        <f t="shared" si="13"/>
        <v>#VALUE!</v>
      </c>
      <c r="E282" s="39" t="e">
        <f t="shared" si="14"/>
        <v>#VALUE!</v>
      </c>
      <c r="F282" s="7" t="str">
        <f t="array" ref="F282">+TIPOARMA(H282,I282)</f>
        <v>ERRO - REVISAR</v>
      </c>
      <c r="H282" t="str">
        <f t="array" ref="H282">+ARMASTD(N282)</f>
        <v>ERRO - REVISAR</v>
      </c>
      <c r="I282" t="str">
        <f t="array" ref="I282">+CALIBRESTD(O282)</f>
        <v>ERRO - REVISAR</v>
      </c>
    </row>
    <row r="283" spans="1:9" ht="14.25" customHeight="1" x14ac:dyDescent="0.35">
      <c r="A283" s="41" t="str">
        <f t="array" ref="A283">EXTRACTEVENT(Q283,S283)</f>
        <v/>
      </c>
      <c r="B283" s="41" t="str">
        <f t="shared" si="12"/>
        <v>-</v>
      </c>
      <c r="C283" s="41" t="e">
        <f>+VLOOKUP(R283,Maps!$A:$C,2,0)</f>
        <v>#N/A</v>
      </c>
      <c r="D283" s="41" t="e">
        <f t="shared" si="13"/>
        <v>#VALUE!</v>
      </c>
      <c r="E283" s="42" t="e">
        <f t="shared" si="14"/>
        <v>#VALUE!</v>
      </c>
      <c r="F283" s="43" t="str">
        <f t="array" ref="F283">+TIPOARMA(H283,I283)</f>
        <v>ERRO - REVISAR</v>
      </c>
      <c r="G283" s="41"/>
      <c r="H283" s="41" t="str">
        <f t="array" ref="H283">+ARMASTD(N283)</f>
        <v>ERRO - REVISAR</v>
      </c>
      <c r="I283" s="41" t="str">
        <f t="array" ref="I283">+CALIBRESTD(O283)</f>
        <v>ERRO - REVISAR</v>
      </c>
    </row>
    <row r="284" spans="1:9" ht="14.25" customHeight="1" x14ac:dyDescent="0.35">
      <c r="A284" t="str">
        <f t="array" ref="A284">EXTRACTEVENT(Q284,S284)</f>
        <v/>
      </c>
      <c r="B284" t="str">
        <f t="shared" si="12"/>
        <v>-</v>
      </c>
      <c r="C284" t="e">
        <f>+VLOOKUP(R284,Maps!$A:$C,2,0)</f>
        <v>#N/A</v>
      </c>
      <c r="D284" t="e">
        <f t="shared" si="13"/>
        <v>#VALUE!</v>
      </c>
      <c r="E284" s="39" t="e">
        <f t="shared" si="14"/>
        <v>#VALUE!</v>
      </c>
      <c r="F284" s="7" t="str">
        <f t="array" ref="F284">+TIPOARMA(H284,I284)</f>
        <v>ERRO - REVISAR</v>
      </c>
      <c r="H284" t="str">
        <f t="array" ref="H284">+ARMASTD(N284)</f>
        <v>ERRO - REVISAR</v>
      </c>
      <c r="I284" t="str">
        <f t="array" ref="I284">+CALIBRESTD(O284)</f>
        <v>ERRO - REVISAR</v>
      </c>
    </row>
    <row r="285" spans="1:9" ht="14.25" customHeight="1" x14ac:dyDescent="0.35">
      <c r="A285" s="41" t="str">
        <f t="array" ref="A285">EXTRACTEVENT(Q285,S285)</f>
        <v/>
      </c>
      <c r="B285" s="41" t="str">
        <f t="shared" si="12"/>
        <v>-</v>
      </c>
      <c r="C285" s="41" t="e">
        <f>+VLOOKUP(R285,Maps!$A:$C,2,0)</f>
        <v>#N/A</v>
      </c>
      <c r="D285" s="41" t="e">
        <f t="shared" si="13"/>
        <v>#VALUE!</v>
      </c>
      <c r="E285" s="42" t="e">
        <f t="shared" si="14"/>
        <v>#VALUE!</v>
      </c>
      <c r="F285" s="43" t="str">
        <f t="array" ref="F285">+TIPOARMA(H285,I285)</f>
        <v>ERRO - REVISAR</v>
      </c>
      <c r="G285" s="41"/>
      <c r="H285" s="41" t="str">
        <f t="array" ref="H285">+ARMASTD(N285)</f>
        <v>ERRO - REVISAR</v>
      </c>
      <c r="I285" s="41" t="str">
        <f t="array" ref="I285">+CALIBRESTD(O285)</f>
        <v>ERRO - REVISAR</v>
      </c>
    </row>
    <row r="286" spans="1:9" ht="14.25" customHeight="1" x14ac:dyDescent="0.35">
      <c r="A286" t="str">
        <f t="array" ref="A286">EXTRACTEVENT(Q286,S286)</f>
        <v/>
      </c>
      <c r="B286" t="str">
        <f t="shared" si="12"/>
        <v>-</v>
      </c>
      <c r="C286" t="e">
        <f>+VLOOKUP(R286,Maps!$A:$C,2,0)</f>
        <v>#N/A</v>
      </c>
      <c r="D286" t="e">
        <f t="shared" si="13"/>
        <v>#VALUE!</v>
      </c>
      <c r="E286" s="39" t="e">
        <f t="shared" si="14"/>
        <v>#VALUE!</v>
      </c>
      <c r="F286" s="7" t="str">
        <f t="array" ref="F286">+TIPOARMA(H286,I286)</f>
        <v>ERRO - REVISAR</v>
      </c>
      <c r="H286" t="str">
        <f t="array" ref="H286">+ARMASTD(N286)</f>
        <v>ERRO - REVISAR</v>
      </c>
      <c r="I286" t="str">
        <f t="array" ref="I286">+CALIBRESTD(O286)</f>
        <v>ERRO - REVISAR</v>
      </c>
    </row>
    <row r="287" spans="1:9" ht="14.25" customHeight="1" x14ac:dyDescent="0.35">
      <c r="A287" s="41" t="str">
        <f t="array" ref="A287">EXTRACTEVENT(Q287,S287)</f>
        <v/>
      </c>
      <c r="B287" s="41" t="str">
        <f t="shared" si="12"/>
        <v>-</v>
      </c>
      <c r="C287" s="41" t="e">
        <f>+VLOOKUP(R287,Maps!$A:$C,2,0)</f>
        <v>#N/A</v>
      </c>
      <c r="D287" s="41" t="e">
        <f t="shared" si="13"/>
        <v>#VALUE!</v>
      </c>
      <c r="E287" s="42" t="e">
        <f t="shared" si="14"/>
        <v>#VALUE!</v>
      </c>
      <c r="F287" s="43" t="str">
        <f t="array" ref="F287">+TIPOARMA(H287,I287)</f>
        <v>ERRO - REVISAR</v>
      </c>
      <c r="G287" s="41"/>
      <c r="H287" s="41" t="str">
        <f t="array" ref="H287">+ARMASTD(N287)</f>
        <v>ERRO - REVISAR</v>
      </c>
      <c r="I287" s="41" t="str">
        <f t="array" ref="I287">+CALIBRESTD(O287)</f>
        <v>ERRO - REVISAR</v>
      </c>
    </row>
    <row r="288" spans="1:9" ht="14.25" customHeight="1" x14ac:dyDescent="0.35">
      <c r="A288" t="str">
        <f t="array" ref="A288">EXTRACTEVENT(Q288,S288)</f>
        <v/>
      </c>
      <c r="B288" t="str">
        <f t="shared" si="12"/>
        <v>-</v>
      </c>
      <c r="C288" t="e">
        <f>+VLOOKUP(R288,Maps!$A:$C,2,0)</f>
        <v>#N/A</v>
      </c>
      <c r="D288" t="e">
        <f t="shared" si="13"/>
        <v>#VALUE!</v>
      </c>
      <c r="E288" s="39" t="e">
        <f t="shared" si="14"/>
        <v>#VALUE!</v>
      </c>
      <c r="F288" s="7" t="str">
        <f t="array" ref="F288">+TIPOARMA(H288,I288)</f>
        <v>ERRO - REVISAR</v>
      </c>
      <c r="H288" t="str">
        <f t="array" ref="H288">+ARMASTD(N288)</f>
        <v>ERRO - REVISAR</v>
      </c>
      <c r="I288" t="str">
        <f t="array" ref="I288">+CALIBRESTD(O288)</f>
        <v>ERRO - REVISAR</v>
      </c>
    </row>
    <row r="289" spans="1:9" ht="14.25" customHeight="1" x14ac:dyDescent="0.35">
      <c r="A289" s="41" t="str">
        <f t="array" ref="A289">EXTRACTEVENT(Q289,S289)</f>
        <v/>
      </c>
      <c r="B289" s="41" t="str">
        <f t="shared" si="12"/>
        <v>-</v>
      </c>
      <c r="C289" s="41" t="e">
        <f>+VLOOKUP(R289,Maps!$A:$C,2,0)</f>
        <v>#N/A</v>
      </c>
      <c r="D289" s="41" t="e">
        <f t="shared" si="13"/>
        <v>#VALUE!</v>
      </c>
      <c r="E289" s="42" t="e">
        <f t="shared" si="14"/>
        <v>#VALUE!</v>
      </c>
      <c r="F289" s="43" t="str">
        <f t="array" ref="F289">+TIPOARMA(H289,I289)</f>
        <v>ERRO - REVISAR</v>
      </c>
      <c r="G289" s="41"/>
      <c r="H289" s="41" t="str">
        <f t="array" ref="H289">+ARMASTD(N289)</f>
        <v>ERRO - REVISAR</v>
      </c>
      <c r="I289" s="41" t="str">
        <f t="array" ref="I289">+CALIBRESTD(O289)</f>
        <v>ERRO - REVISAR</v>
      </c>
    </row>
    <row r="290" spans="1:9" ht="14.25" customHeight="1" x14ac:dyDescent="0.35">
      <c r="A290" t="str">
        <f t="array" ref="A290">EXTRACTEVENT(Q290,S290)</f>
        <v/>
      </c>
      <c r="B290" t="str">
        <f t="shared" si="12"/>
        <v>-</v>
      </c>
      <c r="C290" t="e">
        <f>+VLOOKUP(R290,Maps!$A:$C,2,0)</f>
        <v>#N/A</v>
      </c>
      <c r="D290" t="e">
        <f t="shared" si="13"/>
        <v>#VALUE!</v>
      </c>
      <c r="E290" s="39" t="e">
        <f t="shared" si="14"/>
        <v>#VALUE!</v>
      </c>
      <c r="F290" s="7" t="str">
        <f t="array" ref="F290">+TIPOARMA(H290,I290)</f>
        <v>ERRO - REVISAR</v>
      </c>
      <c r="H290" t="str">
        <f t="array" ref="H290">+ARMASTD(N290)</f>
        <v>ERRO - REVISAR</v>
      </c>
      <c r="I290" t="str">
        <f t="array" ref="I290">+CALIBRESTD(O290)</f>
        <v>ERRO - REVISAR</v>
      </c>
    </row>
    <row r="291" spans="1:9" ht="14.25" customHeight="1" x14ac:dyDescent="0.35">
      <c r="A291" s="41" t="str">
        <f t="array" ref="A291">EXTRACTEVENT(Q291,S291)</f>
        <v/>
      </c>
      <c r="B291" s="41" t="str">
        <f t="shared" si="12"/>
        <v>-</v>
      </c>
      <c r="C291" s="41" t="e">
        <f>+VLOOKUP(R291,Maps!$A:$C,2,0)</f>
        <v>#N/A</v>
      </c>
      <c r="D291" s="41" t="e">
        <f t="shared" si="13"/>
        <v>#VALUE!</v>
      </c>
      <c r="E291" s="42" t="e">
        <f t="shared" si="14"/>
        <v>#VALUE!</v>
      </c>
      <c r="F291" s="43" t="str">
        <f t="array" ref="F291">+TIPOARMA(H291,I291)</f>
        <v>ERRO - REVISAR</v>
      </c>
      <c r="G291" s="41"/>
      <c r="H291" s="41" t="str">
        <f t="array" ref="H291">+ARMASTD(N291)</f>
        <v>ERRO - REVISAR</v>
      </c>
      <c r="I291" s="41" t="str">
        <f t="array" ref="I291">+CALIBRESTD(O291)</f>
        <v>ERRO - REVISAR</v>
      </c>
    </row>
    <row r="292" spans="1:9" ht="14.25" customHeight="1" x14ac:dyDescent="0.35">
      <c r="A292" t="str">
        <f t="array" ref="A292">EXTRACTEVENT(Q292,S292)</f>
        <v/>
      </c>
      <c r="B292" t="str">
        <f t="shared" si="12"/>
        <v>-</v>
      </c>
      <c r="C292" t="e">
        <f>+VLOOKUP(R292,Maps!$A:$C,2,0)</f>
        <v>#N/A</v>
      </c>
      <c r="D292" t="e">
        <f t="shared" si="13"/>
        <v>#VALUE!</v>
      </c>
      <c r="E292" s="39" t="e">
        <f t="shared" si="14"/>
        <v>#VALUE!</v>
      </c>
      <c r="F292" s="7" t="str">
        <f t="array" ref="F292">+TIPOARMA(H292,I292)</f>
        <v>ERRO - REVISAR</v>
      </c>
      <c r="H292" t="str">
        <f t="array" ref="H292">+ARMASTD(N292)</f>
        <v>ERRO - REVISAR</v>
      </c>
      <c r="I292" t="str">
        <f t="array" ref="I292">+CALIBRESTD(O292)</f>
        <v>ERRO - REVISAR</v>
      </c>
    </row>
    <row r="293" spans="1:9" ht="14.25" customHeight="1" x14ac:dyDescent="0.35">
      <c r="A293" s="41" t="str">
        <f t="array" ref="A293">EXTRACTEVENT(Q293,S293)</f>
        <v/>
      </c>
      <c r="B293" s="41" t="str">
        <f t="shared" si="12"/>
        <v>-</v>
      </c>
      <c r="C293" s="41" t="e">
        <f>+VLOOKUP(R293,Maps!$A:$C,2,0)</f>
        <v>#N/A</v>
      </c>
      <c r="D293" s="41" t="e">
        <f t="shared" si="13"/>
        <v>#VALUE!</v>
      </c>
      <c r="E293" s="42" t="e">
        <f t="shared" si="14"/>
        <v>#VALUE!</v>
      </c>
      <c r="F293" s="43" t="str">
        <f t="array" ref="F293">+TIPOARMA(H293,I293)</f>
        <v>ERRO - REVISAR</v>
      </c>
      <c r="G293" s="41"/>
      <c r="H293" s="41" t="str">
        <f t="array" ref="H293">+ARMASTD(N293)</f>
        <v>ERRO - REVISAR</v>
      </c>
      <c r="I293" s="41" t="str">
        <f t="array" ref="I293">+CALIBRESTD(O293)</f>
        <v>ERRO - REVISAR</v>
      </c>
    </row>
    <row r="294" spans="1:9" ht="14.25" customHeight="1" x14ac:dyDescent="0.35">
      <c r="A294" t="str">
        <f t="array" ref="A294">EXTRACTEVENT(Q294,S294)</f>
        <v/>
      </c>
      <c r="B294" t="str">
        <f t="shared" si="12"/>
        <v>-</v>
      </c>
      <c r="C294" t="e">
        <f>+VLOOKUP(R294,Maps!$A:$C,2,0)</f>
        <v>#N/A</v>
      </c>
      <c r="D294" t="e">
        <f t="shared" si="13"/>
        <v>#VALUE!</v>
      </c>
      <c r="E294" s="39" t="e">
        <f t="shared" si="14"/>
        <v>#VALUE!</v>
      </c>
      <c r="F294" s="7" t="str">
        <f t="array" ref="F294">+TIPOARMA(H294,I294)</f>
        <v>ERRO - REVISAR</v>
      </c>
      <c r="H294" t="str">
        <f t="array" ref="H294">+ARMASTD(N294)</f>
        <v>ERRO - REVISAR</v>
      </c>
      <c r="I294" t="str">
        <f t="array" ref="I294">+CALIBRESTD(O294)</f>
        <v>ERRO - REVISAR</v>
      </c>
    </row>
    <row r="295" spans="1:9" ht="14.25" customHeight="1" x14ac:dyDescent="0.35">
      <c r="A295" s="41" t="str">
        <f t="array" ref="A295">EXTRACTEVENT(Q295,S295)</f>
        <v/>
      </c>
      <c r="B295" s="41" t="str">
        <f t="shared" si="12"/>
        <v>-</v>
      </c>
      <c r="C295" s="41" t="e">
        <f>+VLOOKUP(R295,Maps!$A:$C,2,0)</f>
        <v>#N/A</v>
      </c>
      <c r="D295" s="41" t="e">
        <f t="shared" si="13"/>
        <v>#VALUE!</v>
      </c>
      <c r="E295" s="42" t="e">
        <f t="shared" si="14"/>
        <v>#VALUE!</v>
      </c>
      <c r="F295" s="43" t="str">
        <f t="array" ref="F295">+TIPOARMA(H295,I295)</f>
        <v>ERRO - REVISAR</v>
      </c>
      <c r="G295" s="41"/>
      <c r="H295" s="41" t="str">
        <f t="array" ref="H295">+ARMASTD(N295)</f>
        <v>ERRO - REVISAR</v>
      </c>
      <c r="I295" s="41" t="str">
        <f t="array" ref="I295">+CALIBRESTD(O295)</f>
        <v>ERRO - REVISAR</v>
      </c>
    </row>
    <row r="296" spans="1:9" ht="14.25" customHeight="1" x14ac:dyDescent="0.35">
      <c r="A296" t="str">
        <f t="array" ref="A296">EXTRACTEVENT(Q296,S296)</f>
        <v/>
      </c>
      <c r="B296" t="str">
        <f t="shared" si="12"/>
        <v>-</v>
      </c>
      <c r="C296" t="e">
        <f>+VLOOKUP(R296,Maps!$A:$C,2,0)</f>
        <v>#N/A</v>
      </c>
      <c r="D296" t="e">
        <f t="shared" si="13"/>
        <v>#VALUE!</v>
      </c>
      <c r="E296" s="39" t="e">
        <f t="shared" si="14"/>
        <v>#VALUE!</v>
      </c>
      <c r="F296" s="7" t="str">
        <f t="array" ref="F296">+TIPOARMA(H296,I296)</f>
        <v>ERRO - REVISAR</v>
      </c>
      <c r="H296" t="str">
        <f t="array" ref="H296">+ARMASTD(N296)</f>
        <v>ERRO - REVISAR</v>
      </c>
      <c r="I296" t="str">
        <f t="array" ref="I296">+CALIBRESTD(O296)</f>
        <v>ERRO - REVISAR</v>
      </c>
    </row>
    <row r="297" spans="1:9" ht="14.25" customHeight="1" x14ac:dyDescent="0.35">
      <c r="A297" s="41" t="str">
        <f t="array" ref="A297">EXTRACTEVENT(Q297,S297)</f>
        <v/>
      </c>
      <c r="B297" s="41" t="str">
        <f t="shared" si="12"/>
        <v>-</v>
      </c>
      <c r="C297" s="41" t="e">
        <f>+VLOOKUP(R297,Maps!$A:$C,2,0)</f>
        <v>#N/A</v>
      </c>
      <c r="D297" s="41" t="e">
        <f t="shared" si="13"/>
        <v>#VALUE!</v>
      </c>
      <c r="E297" s="42" t="e">
        <f t="shared" si="14"/>
        <v>#VALUE!</v>
      </c>
      <c r="F297" s="43" t="str">
        <f t="array" ref="F297">+TIPOARMA(H297,I297)</f>
        <v>ERRO - REVISAR</v>
      </c>
      <c r="G297" s="41"/>
      <c r="H297" s="41" t="str">
        <f t="array" ref="H297">+ARMASTD(N297)</f>
        <v>ERRO - REVISAR</v>
      </c>
      <c r="I297" s="41" t="str">
        <f t="array" ref="I297">+CALIBRESTD(O297)</f>
        <v>ERRO - REVISAR</v>
      </c>
    </row>
    <row r="298" spans="1:9" ht="14.25" customHeight="1" x14ac:dyDescent="0.35">
      <c r="A298" t="str">
        <f t="array" ref="A298">EXTRACTEVENT(Q298,S298)</f>
        <v/>
      </c>
      <c r="B298" t="str">
        <f t="shared" si="12"/>
        <v>-</v>
      </c>
      <c r="C298" t="e">
        <f>+VLOOKUP(R298,Maps!$A:$C,2,0)</f>
        <v>#N/A</v>
      </c>
      <c r="D298" t="e">
        <f t="shared" si="13"/>
        <v>#VALUE!</v>
      </c>
      <c r="E298" s="39" t="e">
        <f t="shared" si="14"/>
        <v>#VALUE!</v>
      </c>
      <c r="F298" s="7" t="str">
        <f t="array" ref="F298">+TIPOARMA(H298,I298)</f>
        <v>ERRO - REVISAR</v>
      </c>
      <c r="H298" t="str">
        <f t="array" ref="H298">+ARMASTD(N298)</f>
        <v>ERRO - REVISAR</v>
      </c>
      <c r="I298" t="str">
        <f t="array" ref="I298">+CALIBRESTD(O298)</f>
        <v>ERRO - REVISAR</v>
      </c>
    </row>
    <row r="299" spans="1:9" ht="14.25" customHeight="1" x14ac:dyDescent="0.35">
      <c r="A299" s="41" t="str">
        <f t="array" ref="A299">EXTRACTEVENT(Q299,S299)</f>
        <v/>
      </c>
      <c r="B299" s="41" t="str">
        <f t="shared" si="12"/>
        <v>-</v>
      </c>
      <c r="C299" s="41" t="e">
        <f>+VLOOKUP(R299,Maps!$A:$C,2,0)</f>
        <v>#N/A</v>
      </c>
      <c r="D299" s="41" t="e">
        <f t="shared" si="13"/>
        <v>#VALUE!</v>
      </c>
      <c r="E299" s="42" t="e">
        <f t="shared" si="14"/>
        <v>#VALUE!</v>
      </c>
      <c r="F299" s="43" t="str">
        <f t="array" ref="F299">+TIPOARMA(H299,I299)</f>
        <v>ERRO - REVISAR</v>
      </c>
      <c r="G299" s="41"/>
      <c r="H299" s="41" t="str">
        <f t="array" ref="H299">+ARMASTD(N299)</f>
        <v>ERRO - REVISAR</v>
      </c>
      <c r="I299" s="41" t="str">
        <f t="array" ref="I299">+CALIBRESTD(O299)</f>
        <v>ERRO - REVISAR</v>
      </c>
    </row>
    <row r="300" spans="1:9" ht="14.25" customHeight="1" x14ac:dyDescent="0.35">
      <c r="A300" t="str">
        <f t="array" ref="A300">EXTRACTEVENT(Q300,S300)</f>
        <v/>
      </c>
      <c r="B300" t="str">
        <f t="shared" si="12"/>
        <v>-</v>
      </c>
      <c r="C300" t="e">
        <f>+VLOOKUP(R300,Maps!$A:$C,2,0)</f>
        <v>#N/A</v>
      </c>
      <c r="D300" t="e">
        <f t="shared" si="13"/>
        <v>#VALUE!</v>
      </c>
      <c r="E300" s="39" t="e">
        <f t="shared" si="14"/>
        <v>#VALUE!</v>
      </c>
      <c r="F300" s="7" t="str">
        <f t="array" ref="F300">+TIPOARMA(H300,I300)</f>
        <v>ERRO - REVISAR</v>
      </c>
      <c r="H300" t="str">
        <f t="array" ref="H300">+ARMASTD(N300)</f>
        <v>ERRO - REVISAR</v>
      </c>
      <c r="I300" t="str">
        <f t="array" ref="I300">+CALIBRESTD(O300)</f>
        <v>ERRO - REVISAR</v>
      </c>
    </row>
    <row r="301" spans="1:9" ht="14.25" customHeight="1" x14ac:dyDescent="0.35">
      <c r="A301" s="41" t="str">
        <f t="array" ref="A301">EXTRACTEVENT(Q301,S301)</f>
        <v/>
      </c>
      <c r="B301" s="41" t="str">
        <f t="shared" si="12"/>
        <v>-</v>
      </c>
      <c r="C301" s="41" t="e">
        <f>+VLOOKUP(R301,Maps!$A:$C,2,0)</f>
        <v>#N/A</v>
      </c>
      <c r="D301" s="41" t="e">
        <f t="shared" si="13"/>
        <v>#VALUE!</v>
      </c>
      <c r="E301" s="42" t="e">
        <f t="shared" si="14"/>
        <v>#VALUE!</v>
      </c>
      <c r="F301" s="43" t="str">
        <f t="array" ref="F301">+TIPOARMA(H301,I301)</f>
        <v>ERRO - REVISAR</v>
      </c>
      <c r="G301" s="41"/>
      <c r="H301" s="41" t="str">
        <f t="array" ref="H301">+ARMASTD(N301)</f>
        <v>ERRO - REVISAR</v>
      </c>
      <c r="I301" s="41" t="str">
        <f t="array" ref="I301">+CALIBRESTD(O301)</f>
        <v>ERRO - REVISAR</v>
      </c>
    </row>
    <row r="302" spans="1:9" ht="14.25" customHeight="1" x14ac:dyDescent="0.35">
      <c r="A302" t="str">
        <f t="array" ref="A302">EXTRACTEVENT(Q302,S302)</f>
        <v/>
      </c>
      <c r="B302" t="str">
        <f t="shared" si="12"/>
        <v>-</v>
      </c>
      <c r="C302" t="e">
        <f>+VLOOKUP(R302,Maps!$A:$C,2,0)</f>
        <v>#N/A</v>
      </c>
      <c r="D302" t="e">
        <f t="shared" si="13"/>
        <v>#VALUE!</v>
      </c>
      <c r="E302" s="39" t="e">
        <f t="shared" si="14"/>
        <v>#VALUE!</v>
      </c>
      <c r="F302" s="7" t="str">
        <f t="array" ref="F302">+TIPOARMA(H302,I302)</f>
        <v>ERRO - REVISAR</v>
      </c>
      <c r="H302" t="str">
        <f t="array" ref="H302">+ARMASTD(N302)</f>
        <v>ERRO - REVISAR</v>
      </c>
      <c r="I302" t="str">
        <f t="array" ref="I302">+CALIBRESTD(O302)</f>
        <v>ERRO - REVISAR</v>
      </c>
    </row>
    <row r="303" spans="1:9" ht="14.25" customHeight="1" x14ac:dyDescent="0.35">
      <c r="A303" s="41" t="str">
        <f t="array" ref="A303">EXTRACTEVENT(Q303,S303)</f>
        <v/>
      </c>
      <c r="B303" s="41" t="str">
        <f t="shared" si="12"/>
        <v>-</v>
      </c>
      <c r="C303" s="41" t="e">
        <f>+VLOOKUP(R303,Maps!$A:$C,2,0)</f>
        <v>#N/A</v>
      </c>
      <c r="D303" s="41" t="e">
        <f t="shared" si="13"/>
        <v>#VALUE!</v>
      </c>
      <c r="E303" s="42" t="e">
        <f t="shared" si="14"/>
        <v>#VALUE!</v>
      </c>
      <c r="F303" s="43" t="str">
        <f t="array" ref="F303">+TIPOARMA(H303,I303)</f>
        <v>ERRO - REVISAR</v>
      </c>
      <c r="G303" s="41"/>
      <c r="H303" s="41" t="str">
        <f t="array" ref="H303">+ARMASTD(N303)</f>
        <v>ERRO - REVISAR</v>
      </c>
      <c r="I303" s="41" t="str">
        <f t="array" ref="I303">+CALIBRESTD(O303)</f>
        <v>ERRO - REVISAR</v>
      </c>
    </row>
    <row r="304" spans="1:9" ht="14.25" customHeight="1" x14ac:dyDescent="0.35">
      <c r="A304" t="str">
        <f t="array" ref="A304">EXTRACTEVENT(Q304,S304)</f>
        <v/>
      </c>
      <c r="B304" t="str">
        <f t="shared" si="12"/>
        <v>-</v>
      </c>
      <c r="C304" t="e">
        <f>+VLOOKUP(R304,Maps!$A:$C,2,0)</f>
        <v>#N/A</v>
      </c>
      <c r="D304" t="e">
        <f t="shared" si="13"/>
        <v>#VALUE!</v>
      </c>
      <c r="E304" s="39" t="e">
        <f t="shared" si="14"/>
        <v>#VALUE!</v>
      </c>
      <c r="F304" s="7" t="str">
        <f t="array" ref="F304">+TIPOARMA(H304,I304)</f>
        <v>ERRO - REVISAR</v>
      </c>
      <c r="H304" t="str">
        <f t="array" ref="H304">+ARMASTD(N304)</f>
        <v>ERRO - REVISAR</v>
      </c>
      <c r="I304" t="str">
        <f t="array" ref="I304">+CALIBRESTD(O304)</f>
        <v>ERRO - REVISAR</v>
      </c>
    </row>
    <row r="305" spans="1:9" ht="14.25" customHeight="1" x14ac:dyDescent="0.35">
      <c r="A305" s="41" t="str">
        <f t="array" ref="A305">EXTRACTEVENT(Q305,S305)</f>
        <v/>
      </c>
      <c r="B305" s="41" t="str">
        <f t="shared" si="12"/>
        <v>-</v>
      </c>
      <c r="C305" s="41" t="e">
        <f>+VLOOKUP(R305,Maps!$A:$C,2,0)</f>
        <v>#N/A</v>
      </c>
      <c r="D305" s="41" t="e">
        <f t="shared" si="13"/>
        <v>#VALUE!</v>
      </c>
      <c r="E305" s="42" t="e">
        <f t="shared" si="14"/>
        <v>#VALUE!</v>
      </c>
      <c r="F305" s="43" t="str">
        <f t="array" ref="F305">+TIPOARMA(H305,I305)</f>
        <v>ERRO - REVISAR</v>
      </c>
      <c r="G305" s="41"/>
      <c r="H305" s="41" t="str">
        <f t="array" ref="H305">+ARMASTD(N305)</f>
        <v>ERRO - REVISAR</v>
      </c>
      <c r="I305" s="41" t="str">
        <f t="array" ref="I305">+CALIBRESTD(O305)</f>
        <v>ERRO - REVISAR</v>
      </c>
    </row>
    <row r="306" spans="1:9" ht="14.25" customHeight="1" x14ac:dyDescent="0.35">
      <c r="A306" t="str">
        <f t="array" ref="A306">EXTRACTEVENT(Q306,S306)</f>
        <v/>
      </c>
      <c r="B306" t="str">
        <f t="shared" si="12"/>
        <v>-</v>
      </c>
      <c r="C306" t="e">
        <f>+VLOOKUP(R306,Maps!$A:$C,2,0)</f>
        <v>#N/A</v>
      </c>
      <c r="D306" t="e">
        <f t="shared" si="13"/>
        <v>#VALUE!</v>
      </c>
      <c r="E306" s="39" t="e">
        <f t="shared" si="14"/>
        <v>#VALUE!</v>
      </c>
      <c r="F306" s="7" t="str">
        <f t="array" ref="F306">+TIPOARMA(H306,I306)</f>
        <v>ERRO - REVISAR</v>
      </c>
      <c r="H306" t="str">
        <f t="array" ref="H306">+ARMASTD(N306)</f>
        <v>ERRO - REVISAR</v>
      </c>
      <c r="I306" t="str">
        <f t="array" ref="I306">+CALIBRESTD(O306)</f>
        <v>ERRO - REVISAR</v>
      </c>
    </row>
    <row r="307" spans="1:9" ht="14.25" customHeight="1" x14ac:dyDescent="0.35">
      <c r="A307" s="41" t="str">
        <f t="array" ref="A307">EXTRACTEVENT(Q307,S307)</f>
        <v/>
      </c>
      <c r="B307" s="41" t="str">
        <f t="shared" si="12"/>
        <v>-</v>
      </c>
      <c r="C307" s="41" t="e">
        <f>+VLOOKUP(R307,Maps!$A:$C,2,0)</f>
        <v>#N/A</v>
      </c>
      <c r="D307" s="41" t="e">
        <f t="shared" si="13"/>
        <v>#VALUE!</v>
      </c>
      <c r="E307" s="42" t="e">
        <f t="shared" si="14"/>
        <v>#VALUE!</v>
      </c>
      <c r="F307" s="43" t="str">
        <f t="array" ref="F307">+TIPOARMA(H307,I307)</f>
        <v>ERRO - REVISAR</v>
      </c>
      <c r="G307" s="41"/>
      <c r="H307" s="41" t="str">
        <f t="array" ref="H307">+ARMASTD(N307)</f>
        <v>ERRO - REVISAR</v>
      </c>
      <c r="I307" s="41" t="str">
        <f t="array" ref="I307">+CALIBRESTD(O307)</f>
        <v>ERRO - REVISAR</v>
      </c>
    </row>
    <row r="308" spans="1:9" ht="14.25" customHeight="1" x14ac:dyDescent="0.35">
      <c r="A308" t="str">
        <f t="array" ref="A308">EXTRACTEVENT(Q308,S308)</f>
        <v/>
      </c>
      <c r="B308" t="str">
        <f t="shared" si="12"/>
        <v>-</v>
      </c>
      <c r="C308" t="e">
        <f>+VLOOKUP(R308,Maps!$A:$C,2,0)</f>
        <v>#N/A</v>
      </c>
      <c r="D308" t="e">
        <f t="shared" si="13"/>
        <v>#VALUE!</v>
      </c>
      <c r="E308" s="39" t="e">
        <f t="shared" si="14"/>
        <v>#VALUE!</v>
      </c>
      <c r="F308" s="7" t="str">
        <f t="array" ref="F308">+TIPOARMA(H308,I308)</f>
        <v>ERRO - REVISAR</v>
      </c>
      <c r="H308" t="str">
        <f t="array" ref="H308">+ARMASTD(N308)</f>
        <v>ERRO - REVISAR</v>
      </c>
      <c r="I308" t="str">
        <f t="array" ref="I308">+CALIBRESTD(O308)</f>
        <v>ERRO - REVISAR</v>
      </c>
    </row>
    <row r="309" spans="1:9" ht="14.25" customHeight="1" x14ac:dyDescent="0.35">
      <c r="A309" s="41" t="str">
        <f t="array" ref="A309">EXTRACTEVENT(Q309,S309)</f>
        <v/>
      </c>
      <c r="B309" s="41" t="str">
        <f t="shared" si="12"/>
        <v>-</v>
      </c>
      <c r="C309" s="41" t="e">
        <f>+VLOOKUP(R309,Maps!$A:$C,2,0)</f>
        <v>#N/A</v>
      </c>
      <c r="D309" s="41" t="e">
        <f t="shared" si="13"/>
        <v>#VALUE!</v>
      </c>
      <c r="E309" s="42" t="e">
        <f t="shared" si="14"/>
        <v>#VALUE!</v>
      </c>
      <c r="F309" s="43" t="str">
        <f t="array" ref="F309">+TIPOARMA(H309,I309)</f>
        <v>ERRO - REVISAR</v>
      </c>
      <c r="G309" s="41"/>
      <c r="H309" s="41" t="str">
        <f t="array" ref="H309">+ARMASTD(N309)</f>
        <v>ERRO - REVISAR</v>
      </c>
      <c r="I309" s="41" t="str">
        <f t="array" ref="I309">+CALIBRESTD(O309)</f>
        <v>ERRO - REVISAR</v>
      </c>
    </row>
    <row r="310" spans="1:9" ht="14.25" customHeight="1" x14ac:dyDescent="0.35">
      <c r="A310" t="str">
        <f t="array" ref="A310">EXTRACTEVENT(Q310,S310)</f>
        <v/>
      </c>
      <c r="B310" t="str">
        <f t="shared" si="12"/>
        <v>-</v>
      </c>
      <c r="C310" t="e">
        <f>+VLOOKUP(R310,Maps!$A:$C,2,0)</f>
        <v>#N/A</v>
      </c>
      <c r="D310" t="e">
        <f t="shared" si="13"/>
        <v>#VALUE!</v>
      </c>
      <c r="E310" s="39" t="e">
        <f t="shared" si="14"/>
        <v>#VALUE!</v>
      </c>
      <c r="F310" s="7" t="str">
        <f t="array" ref="F310">+TIPOARMA(H310,I310)</f>
        <v>ERRO - REVISAR</v>
      </c>
      <c r="H310" t="str">
        <f t="array" ref="H310">+ARMASTD(N310)</f>
        <v>ERRO - REVISAR</v>
      </c>
      <c r="I310" t="str">
        <f t="array" ref="I310">+CALIBRESTD(O310)</f>
        <v>ERRO - REVISAR</v>
      </c>
    </row>
    <row r="311" spans="1:9" ht="14.25" customHeight="1" x14ac:dyDescent="0.35">
      <c r="A311" s="41" t="str">
        <f t="array" ref="A311">EXTRACTEVENT(Q311,S311)</f>
        <v/>
      </c>
      <c r="B311" s="41" t="str">
        <f t="shared" si="12"/>
        <v>-</v>
      </c>
      <c r="C311" s="41" t="e">
        <f>+VLOOKUP(R311,Maps!$A:$C,2,0)</f>
        <v>#N/A</v>
      </c>
      <c r="D311" s="41" t="e">
        <f t="shared" si="13"/>
        <v>#VALUE!</v>
      </c>
      <c r="E311" s="42" t="e">
        <f t="shared" si="14"/>
        <v>#VALUE!</v>
      </c>
      <c r="F311" s="43" t="str">
        <f t="array" ref="F311">+TIPOARMA(H311,I311)</f>
        <v>ERRO - REVISAR</v>
      </c>
      <c r="G311" s="41"/>
      <c r="H311" s="41" t="str">
        <f t="array" ref="H311">+ARMASTD(N311)</f>
        <v>ERRO - REVISAR</v>
      </c>
      <c r="I311" s="41" t="str">
        <f t="array" ref="I311">+CALIBRESTD(O311)</f>
        <v>ERRO - REVISAR</v>
      </c>
    </row>
    <row r="312" spans="1:9" ht="14.25" customHeight="1" x14ac:dyDescent="0.35">
      <c r="A312" t="str">
        <f t="array" ref="A312">EXTRACTEVENT(Q312,S312)</f>
        <v/>
      </c>
      <c r="B312" t="str">
        <f t="shared" si="12"/>
        <v>-</v>
      </c>
      <c r="C312" t="e">
        <f>+VLOOKUP(R312,Maps!$A:$C,2,0)</f>
        <v>#N/A</v>
      </c>
      <c r="D312" t="e">
        <f t="shared" si="13"/>
        <v>#VALUE!</v>
      </c>
      <c r="E312" s="39" t="e">
        <f t="shared" si="14"/>
        <v>#VALUE!</v>
      </c>
      <c r="F312" s="7" t="str">
        <f t="array" ref="F312">+TIPOARMA(H312,I312)</f>
        <v>ERRO - REVISAR</v>
      </c>
      <c r="H312" t="str">
        <f t="array" ref="H312">+ARMASTD(N312)</f>
        <v>ERRO - REVISAR</v>
      </c>
      <c r="I312" t="str">
        <f t="array" ref="I312">+CALIBRESTD(O312)</f>
        <v>ERRO - REVISAR</v>
      </c>
    </row>
    <row r="313" spans="1:9" ht="14.25" customHeight="1" x14ac:dyDescent="0.35">
      <c r="A313" s="41" t="str">
        <f t="array" ref="A313">EXTRACTEVENT(Q313,S313)</f>
        <v/>
      </c>
      <c r="B313" s="41" t="str">
        <f t="shared" si="12"/>
        <v>-</v>
      </c>
      <c r="C313" s="41" t="e">
        <f>+VLOOKUP(R313,Maps!$A:$C,2,0)</f>
        <v>#N/A</v>
      </c>
      <c r="D313" s="41" t="e">
        <f t="shared" si="13"/>
        <v>#VALUE!</v>
      </c>
      <c r="E313" s="42" t="e">
        <f t="shared" si="14"/>
        <v>#VALUE!</v>
      </c>
      <c r="F313" s="43" t="str">
        <f t="array" ref="F313">+TIPOARMA(H313,I313)</f>
        <v>ERRO - REVISAR</v>
      </c>
      <c r="G313" s="41"/>
      <c r="H313" s="41" t="str">
        <f t="array" ref="H313">+ARMASTD(N313)</f>
        <v>ERRO - REVISAR</v>
      </c>
      <c r="I313" s="41" t="str">
        <f t="array" ref="I313">+CALIBRESTD(O313)</f>
        <v>ERRO - REVISAR</v>
      </c>
    </row>
    <row r="314" spans="1:9" ht="14.25" customHeight="1" x14ac:dyDescent="0.35">
      <c r="A314" t="str">
        <f t="array" ref="A314">EXTRACTEVENT(Q314,S314)</f>
        <v/>
      </c>
      <c r="B314" t="str">
        <f t="shared" si="12"/>
        <v>-</v>
      </c>
      <c r="C314" t="e">
        <f>+VLOOKUP(R314,Maps!$A:$C,2,0)</f>
        <v>#N/A</v>
      </c>
      <c r="D314" t="e">
        <f t="shared" si="13"/>
        <v>#VALUE!</v>
      </c>
      <c r="E314" s="39" t="e">
        <f t="shared" si="14"/>
        <v>#VALUE!</v>
      </c>
      <c r="F314" s="7" t="str">
        <f t="array" ref="F314">+TIPOARMA(H314,I314)</f>
        <v>ERRO - REVISAR</v>
      </c>
      <c r="H314" t="str">
        <f t="array" ref="H314">+ARMASTD(N314)</f>
        <v>ERRO - REVISAR</v>
      </c>
      <c r="I314" t="str">
        <f t="array" ref="I314">+CALIBRESTD(O314)</f>
        <v>ERRO - REVISAR</v>
      </c>
    </row>
    <row r="315" spans="1:9" ht="14.25" customHeight="1" x14ac:dyDescent="0.35">
      <c r="A315" s="41" t="str">
        <f t="array" ref="A315">EXTRACTEVENT(Q315,S315)</f>
        <v/>
      </c>
      <c r="B315" s="41" t="str">
        <f t="shared" si="12"/>
        <v>-</v>
      </c>
      <c r="C315" s="41" t="e">
        <f>+VLOOKUP(R315,Maps!$A:$C,2,0)</f>
        <v>#N/A</v>
      </c>
      <c r="D315" s="41" t="e">
        <f t="shared" si="13"/>
        <v>#VALUE!</v>
      </c>
      <c r="E315" s="42" t="e">
        <f t="shared" si="14"/>
        <v>#VALUE!</v>
      </c>
      <c r="F315" s="43" t="str">
        <f t="array" ref="F315">+TIPOARMA(H315,I315)</f>
        <v>ERRO - REVISAR</v>
      </c>
      <c r="G315" s="41"/>
      <c r="H315" s="41" t="str">
        <f t="array" ref="H315">+ARMASTD(N315)</f>
        <v>ERRO - REVISAR</v>
      </c>
      <c r="I315" s="41" t="str">
        <f t="array" ref="I315">+CALIBRESTD(O315)</f>
        <v>ERRO - REVISAR</v>
      </c>
    </row>
    <row r="316" spans="1:9" ht="14.25" customHeight="1" x14ac:dyDescent="0.35">
      <c r="A316" t="str">
        <f t="array" ref="A316">EXTRACTEVENT(Q316,S316)</f>
        <v/>
      </c>
      <c r="B316" t="str">
        <f t="shared" si="12"/>
        <v>-</v>
      </c>
      <c r="C316" t="e">
        <f>+VLOOKUP(R316,Maps!$A:$C,2,0)</f>
        <v>#N/A</v>
      </c>
      <c r="D316" t="e">
        <f t="shared" si="13"/>
        <v>#VALUE!</v>
      </c>
      <c r="E316" s="39" t="e">
        <f t="shared" si="14"/>
        <v>#VALUE!</v>
      </c>
      <c r="F316" s="7" t="str">
        <f t="array" ref="F316">+TIPOARMA(H316,I316)</f>
        <v>ERRO - REVISAR</v>
      </c>
      <c r="H316" t="str">
        <f t="array" ref="H316">+ARMASTD(N316)</f>
        <v>ERRO - REVISAR</v>
      </c>
      <c r="I316" t="str">
        <f t="array" ref="I316">+CALIBRESTD(O316)</f>
        <v>ERRO - REVISAR</v>
      </c>
    </row>
    <row r="317" spans="1:9" ht="14.25" customHeight="1" x14ac:dyDescent="0.35">
      <c r="A317" s="41" t="str">
        <f t="array" ref="A317">EXTRACTEVENT(Q317,S317)</f>
        <v/>
      </c>
      <c r="B317" s="41" t="str">
        <f t="shared" si="12"/>
        <v>-</v>
      </c>
      <c r="C317" s="41" t="e">
        <f>+VLOOKUP(R317,Maps!$A:$C,2,0)</f>
        <v>#N/A</v>
      </c>
      <c r="D317" s="41" t="e">
        <f t="shared" si="13"/>
        <v>#VALUE!</v>
      </c>
      <c r="E317" s="42" t="e">
        <f t="shared" si="14"/>
        <v>#VALUE!</v>
      </c>
      <c r="F317" s="43" t="str">
        <f t="array" ref="F317">+TIPOARMA(H317,I317)</f>
        <v>ERRO - REVISAR</v>
      </c>
      <c r="G317" s="41"/>
      <c r="H317" s="41" t="str">
        <f t="array" ref="H317">+ARMASTD(N317)</f>
        <v>ERRO - REVISAR</v>
      </c>
      <c r="I317" s="41" t="str">
        <f t="array" ref="I317">+CALIBRESTD(O317)</f>
        <v>ERRO - REVISAR</v>
      </c>
    </row>
    <row r="318" spans="1:9" ht="14.25" customHeight="1" x14ac:dyDescent="0.35">
      <c r="A318" t="str">
        <f t="array" ref="A318">EXTRACTEVENT(Q318,S318)</f>
        <v/>
      </c>
      <c r="B318" t="str">
        <f t="shared" si="12"/>
        <v>-</v>
      </c>
      <c r="C318" t="e">
        <f>+VLOOKUP(R318,Maps!$A:$C,2,0)</f>
        <v>#N/A</v>
      </c>
      <c r="D318" t="e">
        <f t="shared" si="13"/>
        <v>#VALUE!</v>
      </c>
      <c r="E318" s="39" t="e">
        <f t="shared" si="14"/>
        <v>#VALUE!</v>
      </c>
      <c r="F318" s="7" t="str">
        <f t="array" ref="F318">+TIPOARMA(H318,I318)</f>
        <v>ERRO - REVISAR</v>
      </c>
      <c r="H318" t="str">
        <f t="array" ref="H318">+ARMASTD(N318)</f>
        <v>ERRO - REVISAR</v>
      </c>
      <c r="I318" t="str">
        <f t="array" ref="I318">+CALIBRESTD(O318)</f>
        <v>ERRO - REVISAR</v>
      </c>
    </row>
    <row r="319" spans="1:9" ht="14.25" customHeight="1" x14ac:dyDescent="0.35">
      <c r="A319" s="41" t="str">
        <f t="array" ref="A319">EXTRACTEVENT(Q319,S319)</f>
        <v/>
      </c>
      <c r="B319" s="41" t="str">
        <f t="shared" si="12"/>
        <v>-</v>
      </c>
      <c r="C319" s="41" t="e">
        <f>+VLOOKUP(R319,Maps!$A:$C,2,0)</f>
        <v>#N/A</v>
      </c>
      <c r="D319" s="41" t="e">
        <f t="shared" si="13"/>
        <v>#VALUE!</v>
      </c>
      <c r="E319" s="42" t="e">
        <f t="shared" si="14"/>
        <v>#VALUE!</v>
      </c>
      <c r="F319" s="43" t="str">
        <f t="array" ref="F319">+TIPOARMA(H319,I319)</f>
        <v>ERRO - REVISAR</v>
      </c>
      <c r="G319" s="41"/>
      <c r="H319" s="41" t="str">
        <f t="array" ref="H319">+ARMASTD(N319)</f>
        <v>ERRO - REVISAR</v>
      </c>
      <c r="I319" s="41" t="str">
        <f t="array" ref="I319">+CALIBRESTD(O319)</f>
        <v>ERRO - REVISAR</v>
      </c>
    </row>
    <row r="320" spans="1:9" ht="14.25" customHeight="1" x14ac:dyDescent="0.35">
      <c r="A320" t="str">
        <f t="array" ref="A320">EXTRACTEVENT(Q320,S320)</f>
        <v/>
      </c>
      <c r="B320" t="str">
        <f t="shared" si="12"/>
        <v>-</v>
      </c>
      <c r="C320" t="e">
        <f>+VLOOKUP(R320,Maps!$A:$C,2,0)</f>
        <v>#N/A</v>
      </c>
      <c r="D320" t="e">
        <f t="shared" si="13"/>
        <v>#VALUE!</v>
      </c>
      <c r="E320" s="39" t="e">
        <f t="shared" si="14"/>
        <v>#VALUE!</v>
      </c>
      <c r="F320" s="7" t="str">
        <f t="array" ref="F320">+TIPOARMA(H320,I320)</f>
        <v>ERRO - REVISAR</v>
      </c>
      <c r="H320" t="str">
        <f t="array" ref="H320">+ARMASTD(N320)</f>
        <v>ERRO - REVISAR</v>
      </c>
      <c r="I320" t="str">
        <f t="array" ref="I320">+CALIBRESTD(O320)</f>
        <v>ERRO - REVISAR</v>
      </c>
    </row>
    <row r="321" spans="1:9" ht="14.25" customHeight="1" x14ac:dyDescent="0.35">
      <c r="A321" s="41" t="str">
        <f t="array" ref="A321">EXTRACTEVENT(Q321,S321)</f>
        <v/>
      </c>
      <c r="B321" s="41" t="str">
        <f t="shared" si="12"/>
        <v>-</v>
      </c>
      <c r="C321" s="41" t="e">
        <f>+VLOOKUP(R321,Maps!$A:$C,2,0)</f>
        <v>#N/A</v>
      </c>
      <c r="D321" s="41" t="e">
        <f t="shared" si="13"/>
        <v>#VALUE!</v>
      </c>
      <c r="E321" s="42" t="e">
        <f t="shared" si="14"/>
        <v>#VALUE!</v>
      </c>
      <c r="F321" s="43" t="str">
        <f t="array" ref="F321">+TIPOARMA(H321,I321)</f>
        <v>ERRO - REVISAR</v>
      </c>
      <c r="G321" s="41"/>
      <c r="H321" s="41" t="str">
        <f t="array" ref="H321">+ARMASTD(N321)</f>
        <v>ERRO - REVISAR</v>
      </c>
      <c r="I321" s="41" t="str">
        <f t="array" ref="I321">+CALIBRESTD(O321)</f>
        <v>ERRO - REVISAR</v>
      </c>
    </row>
    <row r="322" spans="1:9" ht="14.25" customHeight="1" x14ac:dyDescent="0.35">
      <c r="A322" t="str">
        <f t="array" ref="A322">EXTRACTEVENT(Q322,S322)</f>
        <v/>
      </c>
      <c r="B322" t="str">
        <f t="shared" ref="B322:B385" si="15">+EXTRACTETAPANUM(Q322)</f>
        <v>-</v>
      </c>
      <c r="C322" t="e">
        <f>+VLOOKUP(R322,Maps!$A:$C,2,0)</f>
        <v>#N/A</v>
      </c>
      <c r="D322" t="e">
        <f t="shared" ref="D322:D385" si="16">+DEFINEAMBITO(Q322,C322)</f>
        <v>#VALUE!</v>
      </c>
      <c r="E322" s="39" t="e">
        <f t="shared" ref="E322:E385" si="17">DATEVALUE(L322)</f>
        <v>#VALUE!</v>
      </c>
      <c r="F322" s="7" t="str">
        <f t="array" ref="F322">+TIPOARMA(H322,I322)</f>
        <v>ERRO - REVISAR</v>
      </c>
      <c r="H322" t="str">
        <f t="array" ref="H322">+ARMASTD(N322)</f>
        <v>ERRO - REVISAR</v>
      </c>
      <c r="I322" t="str">
        <f t="array" ref="I322">+CALIBRESTD(O322)</f>
        <v>ERRO - REVISAR</v>
      </c>
    </row>
    <row r="323" spans="1:9" ht="14.25" customHeight="1" x14ac:dyDescent="0.35">
      <c r="A323" s="41" t="str">
        <f t="array" ref="A323">EXTRACTEVENT(Q323,S323)</f>
        <v/>
      </c>
      <c r="B323" s="41" t="str">
        <f t="shared" si="15"/>
        <v>-</v>
      </c>
      <c r="C323" s="41" t="e">
        <f>+VLOOKUP(R323,Maps!$A:$C,2,0)</f>
        <v>#N/A</v>
      </c>
      <c r="D323" s="41" t="e">
        <f t="shared" si="16"/>
        <v>#VALUE!</v>
      </c>
      <c r="E323" s="42" t="e">
        <f t="shared" si="17"/>
        <v>#VALUE!</v>
      </c>
      <c r="F323" s="43" t="str">
        <f t="array" ref="F323">+TIPOARMA(H323,I323)</f>
        <v>ERRO - REVISAR</v>
      </c>
      <c r="G323" s="41"/>
      <c r="H323" s="41" t="str">
        <f t="array" ref="H323">+ARMASTD(N323)</f>
        <v>ERRO - REVISAR</v>
      </c>
      <c r="I323" s="41" t="str">
        <f t="array" ref="I323">+CALIBRESTD(O323)</f>
        <v>ERRO - REVISAR</v>
      </c>
    </row>
    <row r="324" spans="1:9" ht="14.25" customHeight="1" x14ac:dyDescent="0.35">
      <c r="A324" t="str">
        <f t="array" ref="A324">EXTRACTEVENT(Q324,S324)</f>
        <v/>
      </c>
      <c r="B324" t="str">
        <f t="shared" si="15"/>
        <v>-</v>
      </c>
      <c r="C324" t="e">
        <f>+VLOOKUP(R324,Maps!$A:$C,2,0)</f>
        <v>#N/A</v>
      </c>
      <c r="D324" t="e">
        <f t="shared" si="16"/>
        <v>#VALUE!</v>
      </c>
      <c r="E324" s="39" t="e">
        <f t="shared" si="17"/>
        <v>#VALUE!</v>
      </c>
      <c r="F324" s="7" t="str">
        <f t="array" ref="F324">+TIPOARMA(H324,I324)</f>
        <v>ERRO - REVISAR</v>
      </c>
      <c r="H324" t="str">
        <f t="array" ref="H324">+ARMASTD(N324)</f>
        <v>ERRO - REVISAR</v>
      </c>
      <c r="I324" t="str">
        <f t="array" ref="I324">+CALIBRESTD(O324)</f>
        <v>ERRO - REVISAR</v>
      </c>
    </row>
    <row r="325" spans="1:9" ht="14.25" customHeight="1" x14ac:dyDescent="0.35">
      <c r="A325" s="41" t="str">
        <f t="array" ref="A325">EXTRACTEVENT(Q325,S325)</f>
        <v/>
      </c>
      <c r="B325" s="41" t="str">
        <f t="shared" si="15"/>
        <v>-</v>
      </c>
      <c r="C325" s="41" t="e">
        <f>+VLOOKUP(R325,Maps!$A:$C,2,0)</f>
        <v>#N/A</v>
      </c>
      <c r="D325" s="41" t="e">
        <f t="shared" si="16"/>
        <v>#VALUE!</v>
      </c>
      <c r="E325" s="42" t="e">
        <f t="shared" si="17"/>
        <v>#VALUE!</v>
      </c>
      <c r="F325" s="43" t="str">
        <f t="array" ref="F325">+TIPOARMA(H325,I325)</f>
        <v>ERRO - REVISAR</v>
      </c>
      <c r="G325" s="41"/>
      <c r="H325" s="41" t="str">
        <f t="array" ref="H325">+ARMASTD(N325)</f>
        <v>ERRO - REVISAR</v>
      </c>
      <c r="I325" s="41" t="str">
        <f t="array" ref="I325">+CALIBRESTD(O325)</f>
        <v>ERRO - REVISAR</v>
      </c>
    </row>
    <row r="326" spans="1:9" ht="14.25" customHeight="1" x14ac:dyDescent="0.35">
      <c r="A326" t="str">
        <f t="array" ref="A326">EXTRACTEVENT(Q326,S326)</f>
        <v/>
      </c>
      <c r="B326" t="str">
        <f t="shared" si="15"/>
        <v>-</v>
      </c>
      <c r="C326" t="e">
        <f>+VLOOKUP(R326,Maps!$A:$C,2,0)</f>
        <v>#N/A</v>
      </c>
      <c r="D326" t="e">
        <f t="shared" si="16"/>
        <v>#VALUE!</v>
      </c>
      <c r="E326" s="39" t="e">
        <f t="shared" si="17"/>
        <v>#VALUE!</v>
      </c>
      <c r="F326" s="7" t="str">
        <f t="array" ref="F326">+TIPOARMA(H326,I326)</f>
        <v>ERRO - REVISAR</v>
      </c>
      <c r="H326" t="str">
        <f t="array" ref="H326">+ARMASTD(N326)</f>
        <v>ERRO - REVISAR</v>
      </c>
      <c r="I326" t="str">
        <f t="array" ref="I326">+CALIBRESTD(O326)</f>
        <v>ERRO - REVISAR</v>
      </c>
    </row>
    <row r="327" spans="1:9" ht="14.25" customHeight="1" x14ac:dyDescent="0.35">
      <c r="A327" s="41" t="str">
        <f t="array" ref="A327">EXTRACTEVENT(Q327,S327)</f>
        <v/>
      </c>
      <c r="B327" s="41" t="str">
        <f t="shared" si="15"/>
        <v>-</v>
      </c>
      <c r="C327" s="41" t="e">
        <f>+VLOOKUP(R327,Maps!$A:$C,2,0)</f>
        <v>#N/A</v>
      </c>
      <c r="D327" s="41" t="e">
        <f t="shared" si="16"/>
        <v>#VALUE!</v>
      </c>
      <c r="E327" s="42" t="e">
        <f t="shared" si="17"/>
        <v>#VALUE!</v>
      </c>
      <c r="F327" s="43" t="str">
        <f t="array" ref="F327">+TIPOARMA(H327,I327)</f>
        <v>ERRO - REVISAR</v>
      </c>
      <c r="G327" s="41"/>
      <c r="H327" s="41" t="str">
        <f t="array" ref="H327">+ARMASTD(N327)</f>
        <v>ERRO - REVISAR</v>
      </c>
      <c r="I327" s="41" t="str">
        <f t="array" ref="I327">+CALIBRESTD(O327)</f>
        <v>ERRO - REVISAR</v>
      </c>
    </row>
    <row r="328" spans="1:9" ht="14.25" customHeight="1" x14ac:dyDescent="0.35">
      <c r="A328" t="str">
        <f t="array" ref="A328">EXTRACTEVENT(Q328,S328)</f>
        <v/>
      </c>
      <c r="B328" t="str">
        <f t="shared" si="15"/>
        <v>-</v>
      </c>
      <c r="C328" t="e">
        <f>+VLOOKUP(R328,Maps!$A:$C,2,0)</f>
        <v>#N/A</v>
      </c>
      <c r="D328" t="e">
        <f t="shared" si="16"/>
        <v>#VALUE!</v>
      </c>
      <c r="E328" s="39" t="e">
        <f t="shared" si="17"/>
        <v>#VALUE!</v>
      </c>
      <c r="F328" s="7" t="str">
        <f t="array" ref="F328">+TIPOARMA(H328,I328)</f>
        <v>ERRO - REVISAR</v>
      </c>
      <c r="H328" t="str">
        <f t="array" ref="H328">+ARMASTD(N328)</f>
        <v>ERRO - REVISAR</v>
      </c>
      <c r="I328" t="str">
        <f t="array" ref="I328">+CALIBRESTD(O328)</f>
        <v>ERRO - REVISAR</v>
      </c>
    </row>
    <row r="329" spans="1:9" ht="14.25" customHeight="1" x14ac:dyDescent="0.35">
      <c r="A329" s="41" t="str">
        <f t="array" ref="A329">EXTRACTEVENT(Q329,S329)</f>
        <v/>
      </c>
      <c r="B329" s="41" t="str">
        <f t="shared" si="15"/>
        <v>-</v>
      </c>
      <c r="C329" s="41" t="e">
        <f>+VLOOKUP(R329,Maps!$A:$C,2,0)</f>
        <v>#N/A</v>
      </c>
      <c r="D329" s="41" t="e">
        <f t="shared" si="16"/>
        <v>#VALUE!</v>
      </c>
      <c r="E329" s="42" t="e">
        <f t="shared" si="17"/>
        <v>#VALUE!</v>
      </c>
      <c r="F329" s="43" t="str">
        <f t="array" ref="F329">+TIPOARMA(H329,I329)</f>
        <v>ERRO - REVISAR</v>
      </c>
      <c r="G329" s="41"/>
      <c r="H329" s="41" t="str">
        <f t="array" ref="H329">+ARMASTD(N329)</f>
        <v>ERRO - REVISAR</v>
      </c>
      <c r="I329" s="41" t="str">
        <f t="array" ref="I329">+CALIBRESTD(O329)</f>
        <v>ERRO - REVISAR</v>
      </c>
    </row>
    <row r="330" spans="1:9" ht="14.25" customHeight="1" x14ac:dyDescent="0.35">
      <c r="A330" t="str">
        <f t="array" ref="A330">EXTRACTEVENT(Q330,S330)</f>
        <v/>
      </c>
      <c r="B330" t="str">
        <f t="shared" si="15"/>
        <v>-</v>
      </c>
      <c r="C330" t="e">
        <f>+VLOOKUP(R330,Maps!$A:$C,2,0)</f>
        <v>#N/A</v>
      </c>
      <c r="D330" t="e">
        <f t="shared" si="16"/>
        <v>#VALUE!</v>
      </c>
      <c r="E330" s="39" t="e">
        <f t="shared" si="17"/>
        <v>#VALUE!</v>
      </c>
      <c r="F330" s="7" t="str">
        <f t="array" ref="F330">+TIPOARMA(H330,I330)</f>
        <v>ERRO - REVISAR</v>
      </c>
      <c r="H330" t="str">
        <f t="array" ref="H330">+ARMASTD(N330)</f>
        <v>ERRO - REVISAR</v>
      </c>
      <c r="I330" t="str">
        <f t="array" ref="I330">+CALIBRESTD(O330)</f>
        <v>ERRO - REVISAR</v>
      </c>
    </row>
    <row r="331" spans="1:9" ht="14.25" customHeight="1" x14ac:dyDescent="0.35">
      <c r="A331" s="41" t="str">
        <f t="array" ref="A331">EXTRACTEVENT(Q331,S331)</f>
        <v/>
      </c>
      <c r="B331" s="41" t="str">
        <f t="shared" si="15"/>
        <v>-</v>
      </c>
      <c r="C331" s="41" t="e">
        <f>+VLOOKUP(R331,Maps!$A:$C,2,0)</f>
        <v>#N/A</v>
      </c>
      <c r="D331" s="41" t="e">
        <f t="shared" si="16"/>
        <v>#VALUE!</v>
      </c>
      <c r="E331" s="42" t="e">
        <f t="shared" si="17"/>
        <v>#VALUE!</v>
      </c>
      <c r="F331" s="43" t="str">
        <f t="array" ref="F331">+TIPOARMA(H331,I331)</f>
        <v>ERRO - REVISAR</v>
      </c>
      <c r="G331" s="41"/>
      <c r="H331" s="41" t="str">
        <f t="array" ref="H331">+ARMASTD(N331)</f>
        <v>ERRO - REVISAR</v>
      </c>
      <c r="I331" s="41" t="str">
        <f t="array" ref="I331">+CALIBRESTD(O331)</f>
        <v>ERRO - REVISAR</v>
      </c>
    </row>
    <row r="332" spans="1:9" ht="14.25" customHeight="1" x14ac:dyDescent="0.35">
      <c r="A332" t="str">
        <f t="array" ref="A332">EXTRACTEVENT(Q332,S332)</f>
        <v/>
      </c>
      <c r="B332" t="str">
        <f t="shared" si="15"/>
        <v>-</v>
      </c>
      <c r="C332" t="e">
        <f>+VLOOKUP(R332,Maps!$A:$C,2,0)</f>
        <v>#N/A</v>
      </c>
      <c r="D332" t="e">
        <f t="shared" si="16"/>
        <v>#VALUE!</v>
      </c>
      <c r="E332" s="39" t="e">
        <f t="shared" si="17"/>
        <v>#VALUE!</v>
      </c>
      <c r="F332" s="7" t="str">
        <f t="array" ref="F332">+TIPOARMA(H332,I332)</f>
        <v>ERRO - REVISAR</v>
      </c>
      <c r="H332" t="str">
        <f t="array" ref="H332">+ARMASTD(N332)</f>
        <v>ERRO - REVISAR</v>
      </c>
      <c r="I332" t="str">
        <f t="array" ref="I332">+CALIBRESTD(O332)</f>
        <v>ERRO - REVISAR</v>
      </c>
    </row>
    <row r="333" spans="1:9" ht="14.25" customHeight="1" x14ac:dyDescent="0.35">
      <c r="A333" s="41" t="str">
        <f t="array" ref="A333">EXTRACTEVENT(Q333,S333)</f>
        <v/>
      </c>
      <c r="B333" s="41" t="str">
        <f t="shared" si="15"/>
        <v>-</v>
      </c>
      <c r="C333" s="41" t="e">
        <f>+VLOOKUP(R333,Maps!$A:$C,2,0)</f>
        <v>#N/A</v>
      </c>
      <c r="D333" s="41" t="e">
        <f t="shared" si="16"/>
        <v>#VALUE!</v>
      </c>
      <c r="E333" s="42" t="e">
        <f t="shared" si="17"/>
        <v>#VALUE!</v>
      </c>
      <c r="F333" s="43" t="str">
        <f t="array" ref="F333">+TIPOARMA(H333,I333)</f>
        <v>ERRO - REVISAR</v>
      </c>
      <c r="G333" s="41"/>
      <c r="H333" s="41" t="str">
        <f t="array" ref="H333">+ARMASTD(N333)</f>
        <v>ERRO - REVISAR</v>
      </c>
      <c r="I333" s="41" t="str">
        <f t="array" ref="I333">+CALIBRESTD(O333)</f>
        <v>ERRO - REVISAR</v>
      </c>
    </row>
    <row r="334" spans="1:9" ht="14.25" customHeight="1" x14ac:dyDescent="0.35">
      <c r="A334" t="str">
        <f t="array" ref="A334">EXTRACTEVENT(Q334,S334)</f>
        <v/>
      </c>
      <c r="B334" t="str">
        <f t="shared" si="15"/>
        <v>-</v>
      </c>
      <c r="C334" t="e">
        <f>+VLOOKUP(R334,Maps!$A:$C,2,0)</f>
        <v>#N/A</v>
      </c>
      <c r="D334" t="e">
        <f t="shared" si="16"/>
        <v>#VALUE!</v>
      </c>
      <c r="E334" s="39" t="e">
        <f t="shared" si="17"/>
        <v>#VALUE!</v>
      </c>
      <c r="F334" s="7" t="str">
        <f t="array" ref="F334">+TIPOARMA(H334,I334)</f>
        <v>ERRO - REVISAR</v>
      </c>
      <c r="H334" t="str">
        <f t="array" ref="H334">+ARMASTD(N334)</f>
        <v>ERRO - REVISAR</v>
      </c>
      <c r="I334" t="str">
        <f t="array" ref="I334">+CALIBRESTD(O334)</f>
        <v>ERRO - REVISAR</v>
      </c>
    </row>
    <row r="335" spans="1:9" ht="14.25" customHeight="1" x14ac:dyDescent="0.35">
      <c r="A335" s="41" t="str">
        <f t="array" ref="A335">EXTRACTEVENT(Q335,S335)</f>
        <v/>
      </c>
      <c r="B335" s="41" t="str">
        <f t="shared" si="15"/>
        <v>-</v>
      </c>
      <c r="C335" s="41" t="e">
        <f>+VLOOKUP(R335,Maps!$A:$C,2,0)</f>
        <v>#N/A</v>
      </c>
      <c r="D335" s="41" t="e">
        <f t="shared" si="16"/>
        <v>#VALUE!</v>
      </c>
      <c r="E335" s="42" t="e">
        <f t="shared" si="17"/>
        <v>#VALUE!</v>
      </c>
      <c r="F335" s="43" t="str">
        <f t="array" ref="F335">+TIPOARMA(H335,I335)</f>
        <v>ERRO - REVISAR</v>
      </c>
      <c r="G335" s="41"/>
      <c r="H335" s="41" t="str">
        <f t="array" ref="H335">+ARMASTD(N335)</f>
        <v>ERRO - REVISAR</v>
      </c>
      <c r="I335" s="41" t="str">
        <f t="array" ref="I335">+CALIBRESTD(O335)</f>
        <v>ERRO - REVISAR</v>
      </c>
    </row>
    <row r="336" spans="1:9" ht="14.25" customHeight="1" x14ac:dyDescent="0.35">
      <c r="A336" t="str">
        <f t="array" ref="A336">EXTRACTEVENT(Q336,S336)</f>
        <v/>
      </c>
      <c r="B336" t="str">
        <f t="shared" si="15"/>
        <v>-</v>
      </c>
      <c r="C336" t="e">
        <f>+VLOOKUP(R336,Maps!$A:$C,2,0)</f>
        <v>#N/A</v>
      </c>
      <c r="D336" t="e">
        <f t="shared" si="16"/>
        <v>#VALUE!</v>
      </c>
      <c r="E336" s="39" t="e">
        <f t="shared" si="17"/>
        <v>#VALUE!</v>
      </c>
      <c r="F336" s="7" t="str">
        <f t="array" ref="F336">+TIPOARMA(H336,I336)</f>
        <v>ERRO - REVISAR</v>
      </c>
      <c r="H336" t="str">
        <f t="array" ref="H336">+ARMASTD(N336)</f>
        <v>ERRO - REVISAR</v>
      </c>
      <c r="I336" t="str">
        <f t="array" ref="I336">+CALIBRESTD(O336)</f>
        <v>ERRO - REVISAR</v>
      </c>
    </row>
    <row r="337" spans="1:9" ht="14.25" customHeight="1" x14ac:dyDescent="0.35">
      <c r="A337" s="41" t="str">
        <f t="array" ref="A337">EXTRACTEVENT(Q337,S337)</f>
        <v/>
      </c>
      <c r="B337" s="41" t="str">
        <f t="shared" si="15"/>
        <v>-</v>
      </c>
      <c r="C337" s="41" t="e">
        <f>+VLOOKUP(R337,Maps!$A:$C,2,0)</f>
        <v>#N/A</v>
      </c>
      <c r="D337" s="41" t="e">
        <f t="shared" si="16"/>
        <v>#VALUE!</v>
      </c>
      <c r="E337" s="42" t="e">
        <f t="shared" si="17"/>
        <v>#VALUE!</v>
      </c>
      <c r="F337" s="43" t="str">
        <f t="array" ref="F337">+TIPOARMA(H337,I337)</f>
        <v>ERRO - REVISAR</v>
      </c>
      <c r="G337" s="41"/>
      <c r="H337" s="41" t="str">
        <f t="array" ref="H337">+ARMASTD(N337)</f>
        <v>ERRO - REVISAR</v>
      </c>
      <c r="I337" s="41" t="str">
        <f t="array" ref="I337">+CALIBRESTD(O337)</f>
        <v>ERRO - REVISAR</v>
      </c>
    </row>
    <row r="338" spans="1:9" ht="14.25" customHeight="1" x14ac:dyDescent="0.35">
      <c r="A338" t="str">
        <f t="array" ref="A338">EXTRACTEVENT(Q338,S338)</f>
        <v/>
      </c>
      <c r="B338" t="str">
        <f t="shared" si="15"/>
        <v>-</v>
      </c>
      <c r="C338" t="e">
        <f>+VLOOKUP(R338,Maps!$A:$C,2,0)</f>
        <v>#N/A</v>
      </c>
      <c r="D338" t="e">
        <f t="shared" si="16"/>
        <v>#VALUE!</v>
      </c>
      <c r="E338" s="39" t="e">
        <f t="shared" si="17"/>
        <v>#VALUE!</v>
      </c>
      <c r="F338" s="7" t="str">
        <f t="array" ref="F338">+TIPOARMA(H338,I338)</f>
        <v>ERRO - REVISAR</v>
      </c>
      <c r="H338" t="str">
        <f t="array" ref="H338">+ARMASTD(N338)</f>
        <v>ERRO - REVISAR</v>
      </c>
      <c r="I338" t="str">
        <f t="array" ref="I338">+CALIBRESTD(O338)</f>
        <v>ERRO - REVISAR</v>
      </c>
    </row>
    <row r="339" spans="1:9" ht="14.25" customHeight="1" x14ac:dyDescent="0.35">
      <c r="A339" s="41" t="str">
        <f t="array" ref="A339">EXTRACTEVENT(Q339,S339)</f>
        <v/>
      </c>
      <c r="B339" s="41" t="str">
        <f t="shared" si="15"/>
        <v>-</v>
      </c>
      <c r="C339" s="41" t="e">
        <f>+VLOOKUP(R339,Maps!$A:$C,2,0)</f>
        <v>#N/A</v>
      </c>
      <c r="D339" s="41" t="e">
        <f t="shared" si="16"/>
        <v>#VALUE!</v>
      </c>
      <c r="E339" s="42" t="e">
        <f t="shared" si="17"/>
        <v>#VALUE!</v>
      </c>
      <c r="F339" s="43" t="str">
        <f t="array" ref="F339">+TIPOARMA(H339,I339)</f>
        <v>ERRO - REVISAR</v>
      </c>
      <c r="G339" s="41"/>
      <c r="H339" s="41" t="str">
        <f t="array" ref="H339">+ARMASTD(N339)</f>
        <v>ERRO - REVISAR</v>
      </c>
      <c r="I339" s="41" t="str">
        <f t="array" ref="I339">+CALIBRESTD(O339)</f>
        <v>ERRO - REVISAR</v>
      </c>
    </row>
    <row r="340" spans="1:9" ht="14.25" customHeight="1" x14ac:dyDescent="0.35">
      <c r="A340" t="str">
        <f t="array" ref="A340">EXTRACTEVENT(Q340,S340)</f>
        <v/>
      </c>
      <c r="B340" t="str">
        <f t="shared" si="15"/>
        <v>-</v>
      </c>
      <c r="C340" t="e">
        <f>+VLOOKUP(R340,Maps!$A:$C,2,0)</f>
        <v>#N/A</v>
      </c>
      <c r="D340" t="e">
        <f t="shared" si="16"/>
        <v>#VALUE!</v>
      </c>
      <c r="E340" s="39" t="e">
        <f t="shared" si="17"/>
        <v>#VALUE!</v>
      </c>
      <c r="F340" s="7" t="str">
        <f t="array" ref="F340">+TIPOARMA(H340,I340)</f>
        <v>ERRO - REVISAR</v>
      </c>
      <c r="H340" t="str">
        <f t="array" ref="H340">+ARMASTD(N340)</f>
        <v>ERRO - REVISAR</v>
      </c>
      <c r="I340" t="str">
        <f t="array" ref="I340">+CALIBRESTD(O340)</f>
        <v>ERRO - REVISAR</v>
      </c>
    </row>
    <row r="341" spans="1:9" ht="14.25" customHeight="1" x14ac:dyDescent="0.35">
      <c r="A341" s="41" t="str">
        <f t="array" ref="A341">EXTRACTEVENT(Q341,S341)</f>
        <v/>
      </c>
      <c r="B341" s="41" t="str">
        <f t="shared" si="15"/>
        <v>-</v>
      </c>
      <c r="C341" s="41" t="e">
        <f>+VLOOKUP(R341,Maps!$A:$C,2,0)</f>
        <v>#N/A</v>
      </c>
      <c r="D341" s="41" t="e">
        <f t="shared" si="16"/>
        <v>#VALUE!</v>
      </c>
      <c r="E341" s="42" t="e">
        <f t="shared" si="17"/>
        <v>#VALUE!</v>
      </c>
      <c r="F341" s="43" t="str">
        <f t="array" ref="F341">+TIPOARMA(H341,I341)</f>
        <v>ERRO - REVISAR</v>
      </c>
      <c r="G341" s="41"/>
      <c r="H341" s="41" t="str">
        <f t="array" ref="H341">+ARMASTD(N341)</f>
        <v>ERRO - REVISAR</v>
      </c>
      <c r="I341" s="41" t="str">
        <f t="array" ref="I341">+CALIBRESTD(O341)</f>
        <v>ERRO - REVISAR</v>
      </c>
    </row>
    <row r="342" spans="1:9" ht="14.25" customHeight="1" x14ac:dyDescent="0.35">
      <c r="A342" t="str">
        <f t="array" ref="A342">EXTRACTEVENT(Q342,S342)</f>
        <v/>
      </c>
      <c r="B342" t="str">
        <f t="shared" si="15"/>
        <v>-</v>
      </c>
      <c r="C342" t="e">
        <f>+VLOOKUP(R342,Maps!$A:$C,2,0)</f>
        <v>#N/A</v>
      </c>
      <c r="D342" t="e">
        <f t="shared" si="16"/>
        <v>#VALUE!</v>
      </c>
      <c r="E342" s="39" t="e">
        <f t="shared" si="17"/>
        <v>#VALUE!</v>
      </c>
      <c r="F342" s="7" t="str">
        <f t="array" ref="F342">+TIPOARMA(H342,I342)</f>
        <v>ERRO - REVISAR</v>
      </c>
      <c r="H342" t="str">
        <f t="array" ref="H342">+ARMASTD(N342)</f>
        <v>ERRO - REVISAR</v>
      </c>
      <c r="I342" t="str">
        <f t="array" ref="I342">+CALIBRESTD(O342)</f>
        <v>ERRO - REVISAR</v>
      </c>
    </row>
    <row r="343" spans="1:9" ht="14.25" customHeight="1" x14ac:dyDescent="0.35">
      <c r="A343" s="41" t="str">
        <f t="array" ref="A343">EXTRACTEVENT(Q343,S343)</f>
        <v/>
      </c>
      <c r="B343" s="41" t="str">
        <f t="shared" si="15"/>
        <v>-</v>
      </c>
      <c r="C343" s="41" t="e">
        <f>+VLOOKUP(R343,Maps!$A:$C,2,0)</f>
        <v>#N/A</v>
      </c>
      <c r="D343" s="41" t="e">
        <f t="shared" si="16"/>
        <v>#VALUE!</v>
      </c>
      <c r="E343" s="42" t="e">
        <f t="shared" si="17"/>
        <v>#VALUE!</v>
      </c>
      <c r="F343" s="43" t="str">
        <f t="array" ref="F343">+TIPOARMA(H343,I343)</f>
        <v>ERRO - REVISAR</v>
      </c>
      <c r="G343" s="41"/>
      <c r="H343" s="41" t="str">
        <f t="array" ref="H343">+ARMASTD(N343)</f>
        <v>ERRO - REVISAR</v>
      </c>
      <c r="I343" s="41" t="str">
        <f t="array" ref="I343">+CALIBRESTD(O343)</f>
        <v>ERRO - REVISAR</v>
      </c>
    </row>
    <row r="344" spans="1:9" ht="14.25" customHeight="1" x14ac:dyDescent="0.35">
      <c r="A344" t="str">
        <f t="array" ref="A344">EXTRACTEVENT(Q344,S344)</f>
        <v/>
      </c>
      <c r="B344" t="str">
        <f t="shared" si="15"/>
        <v>-</v>
      </c>
      <c r="C344" t="e">
        <f>+VLOOKUP(R344,Maps!$A:$C,2,0)</f>
        <v>#N/A</v>
      </c>
      <c r="D344" t="e">
        <f t="shared" si="16"/>
        <v>#VALUE!</v>
      </c>
      <c r="E344" s="39" t="e">
        <f t="shared" si="17"/>
        <v>#VALUE!</v>
      </c>
      <c r="F344" s="7" t="str">
        <f t="array" ref="F344">+TIPOARMA(H344,I344)</f>
        <v>ERRO - REVISAR</v>
      </c>
      <c r="H344" t="str">
        <f t="array" ref="H344">+ARMASTD(N344)</f>
        <v>ERRO - REVISAR</v>
      </c>
      <c r="I344" t="str">
        <f t="array" ref="I344">+CALIBRESTD(O344)</f>
        <v>ERRO - REVISAR</v>
      </c>
    </row>
    <row r="345" spans="1:9" ht="14.25" customHeight="1" x14ac:dyDescent="0.35">
      <c r="A345" s="41" t="str">
        <f t="array" ref="A345">EXTRACTEVENT(Q345,S345)</f>
        <v/>
      </c>
      <c r="B345" s="41" t="str">
        <f t="shared" si="15"/>
        <v>-</v>
      </c>
      <c r="C345" s="41" t="e">
        <f>+VLOOKUP(R345,Maps!$A:$C,2,0)</f>
        <v>#N/A</v>
      </c>
      <c r="D345" s="41" t="e">
        <f t="shared" si="16"/>
        <v>#VALUE!</v>
      </c>
      <c r="E345" s="42" t="e">
        <f t="shared" si="17"/>
        <v>#VALUE!</v>
      </c>
      <c r="F345" s="43" t="str">
        <f t="array" ref="F345">+TIPOARMA(H345,I345)</f>
        <v>ERRO - REVISAR</v>
      </c>
      <c r="G345" s="41"/>
      <c r="H345" s="41" t="str">
        <f t="array" ref="H345">+ARMASTD(N345)</f>
        <v>ERRO - REVISAR</v>
      </c>
      <c r="I345" s="41" t="str">
        <f t="array" ref="I345">+CALIBRESTD(O345)</f>
        <v>ERRO - REVISAR</v>
      </c>
    </row>
    <row r="346" spans="1:9" ht="14.25" customHeight="1" x14ac:dyDescent="0.35">
      <c r="A346" t="str">
        <f t="array" ref="A346">EXTRACTEVENT(Q346,S346)</f>
        <v/>
      </c>
      <c r="B346" t="str">
        <f t="shared" si="15"/>
        <v>-</v>
      </c>
      <c r="C346" t="e">
        <f>+VLOOKUP(R346,Maps!$A:$C,2,0)</f>
        <v>#N/A</v>
      </c>
      <c r="D346" t="e">
        <f t="shared" si="16"/>
        <v>#VALUE!</v>
      </c>
      <c r="E346" s="39" t="e">
        <f t="shared" si="17"/>
        <v>#VALUE!</v>
      </c>
      <c r="F346" s="7" t="str">
        <f t="array" ref="F346">+TIPOARMA(H346,I346)</f>
        <v>ERRO - REVISAR</v>
      </c>
      <c r="H346" t="str">
        <f t="array" ref="H346">+ARMASTD(N346)</f>
        <v>ERRO - REVISAR</v>
      </c>
      <c r="I346" t="str">
        <f t="array" ref="I346">+CALIBRESTD(O346)</f>
        <v>ERRO - REVISAR</v>
      </c>
    </row>
    <row r="347" spans="1:9" ht="14.25" customHeight="1" x14ac:dyDescent="0.35">
      <c r="A347" s="41" t="str">
        <f t="array" ref="A347">EXTRACTEVENT(Q347,S347)</f>
        <v/>
      </c>
      <c r="B347" s="41" t="str">
        <f t="shared" si="15"/>
        <v>-</v>
      </c>
      <c r="C347" s="41" t="e">
        <f>+VLOOKUP(R347,Maps!$A:$C,2,0)</f>
        <v>#N/A</v>
      </c>
      <c r="D347" s="41" t="e">
        <f t="shared" si="16"/>
        <v>#VALUE!</v>
      </c>
      <c r="E347" s="42" t="e">
        <f t="shared" si="17"/>
        <v>#VALUE!</v>
      </c>
      <c r="F347" s="43" t="str">
        <f t="array" ref="F347">+TIPOARMA(H347,I347)</f>
        <v>ERRO - REVISAR</v>
      </c>
      <c r="G347" s="41"/>
      <c r="H347" s="41" t="str">
        <f t="array" ref="H347">+ARMASTD(N347)</f>
        <v>ERRO - REVISAR</v>
      </c>
      <c r="I347" s="41" t="str">
        <f t="array" ref="I347">+CALIBRESTD(O347)</f>
        <v>ERRO - REVISAR</v>
      </c>
    </row>
    <row r="348" spans="1:9" ht="14.25" customHeight="1" x14ac:dyDescent="0.35">
      <c r="A348" t="str">
        <f t="array" ref="A348">EXTRACTEVENT(Q348,S348)</f>
        <v/>
      </c>
      <c r="B348" t="str">
        <f t="shared" si="15"/>
        <v>-</v>
      </c>
      <c r="C348" t="e">
        <f>+VLOOKUP(R348,Maps!$A:$C,2,0)</f>
        <v>#N/A</v>
      </c>
      <c r="D348" t="e">
        <f t="shared" si="16"/>
        <v>#VALUE!</v>
      </c>
      <c r="E348" s="39" t="e">
        <f t="shared" si="17"/>
        <v>#VALUE!</v>
      </c>
      <c r="F348" s="7" t="str">
        <f t="array" ref="F348">+TIPOARMA(H348,I348)</f>
        <v>ERRO - REVISAR</v>
      </c>
      <c r="H348" t="str">
        <f t="array" ref="H348">+ARMASTD(N348)</f>
        <v>ERRO - REVISAR</v>
      </c>
      <c r="I348" t="str">
        <f t="array" ref="I348">+CALIBRESTD(O348)</f>
        <v>ERRO - REVISAR</v>
      </c>
    </row>
    <row r="349" spans="1:9" ht="14.25" customHeight="1" x14ac:dyDescent="0.35">
      <c r="A349" s="41" t="str">
        <f t="array" ref="A349">EXTRACTEVENT(Q349,S349)</f>
        <v/>
      </c>
      <c r="B349" s="41" t="str">
        <f t="shared" si="15"/>
        <v>-</v>
      </c>
      <c r="C349" s="41" t="e">
        <f>+VLOOKUP(R349,Maps!$A:$C,2,0)</f>
        <v>#N/A</v>
      </c>
      <c r="D349" s="41" t="e">
        <f t="shared" si="16"/>
        <v>#VALUE!</v>
      </c>
      <c r="E349" s="42" t="e">
        <f t="shared" si="17"/>
        <v>#VALUE!</v>
      </c>
      <c r="F349" s="43" t="str">
        <f t="array" ref="F349">+TIPOARMA(H349,I349)</f>
        <v>ERRO - REVISAR</v>
      </c>
      <c r="G349" s="41"/>
      <c r="H349" s="41" t="str">
        <f t="array" ref="H349">+ARMASTD(N349)</f>
        <v>ERRO - REVISAR</v>
      </c>
      <c r="I349" s="41" t="str">
        <f t="array" ref="I349">+CALIBRESTD(O349)</f>
        <v>ERRO - REVISAR</v>
      </c>
    </row>
    <row r="350" spans="1:9" ht="14.25" customHeight="1" x14ac:dyDescent="0.35">
      <c r="A350" t="str">
        <f t="array" ref="A350">EXTRACTEVENT(Q350,S350)</f>
        <v/>
      </c>
      <c r="B350" t="str">
        <f t="shared" si="15"/>
        <v>-</v>
      </c>
      <c r="C350" t="e">
        <f>+VLOOKUP(R350,Maps!$A:$C,2,0)</f>
        <v>#N/A</v>
      </c>
      <c r="D350" t="e">
        <f t="shared" si="16"/>
        <v>#VALUE!</v>
      </c>
      <c r="E350" s="39" t="e">
        <f t="shared" si="17"/>
        <v>#VALUE!</v>
      </c>
      <c r="F350" s="7" t="str">
        <f t="array" ref="F350">+TIPOARMA(H350,I350)</f>
        <v>ERRO - REVISAR</v>
      </c>
      <c r="H350" t="str">
        <f t="array" ref="H350">+ARMASTD(N350)</f>
        <v>ERRO - REVISAR</v>
      </c>
      <c r="I350" t="str">
        <f t="array" ref="I350">+CALIBRESTD(O350)</f>
        <v>ERRO - REVISAR</v>
      </c>
    </row>
    <row r="351" spans="1:9" ht="14.25" customHeight="1" x14ac:dyDescent="0.35">
      <c r="A351" s="41" t="str">
        <f t="array" ref="A351">EXTRACTEVENT(Q351,S351)</f>
        <v/>
      </c>
      <c r="B351" s="41" t="str">
        <f t="shared" si="15"/>
        <v>-</v>
      </c>
      <c r="C351" s="41" t="e">
        <f>+VLOOKUP(R351,Maps!$A:$C,2,0)</f>
        <v>#N/A</v>
      </c>
      <c r="D351" s="41" t="e">
        <f t="shared" si="16"/>
        <v>#VALUE!</v>
      </c>
      <c r="E351" s="42" t="e">
        <f t="shared" si="17"/>
        <v>#VALUE!</v>
      </c>
      <c r="F351" s="43" t="str">
        <f t="array" ref="F351">+TIPOARMA(H351,I351)</f>
        <v>ERRO - REVISAR</v>
      </c>
      <c r="G351" s="41"/>
      <c r="H351" s="41" t="str">
        <f t="array" ref="H351">+ARMASTD(N351)</f>
        <v>ERRO - REVISAR</v>
      </c>
      <c r="I351" s="41" t="str">
        <f t="array" ref="I351">+CALIBRESTD(O351)</f>
        <v>ERRO - REVISAR</v>
      </c>
    </row>
    <row r="352" spans="1:9" ht="14.25" customHeight="1" x14ac:dyDescent="0.35">
      <c r="A352" t="str">
        <f t="array" ref="A352">EXTRACTEVENT(Q352,S352)</f>
        <v/>
      </c>
      <c r="B352" t="str">
        <f t="shared" si="15"/>
        <v>-</v>
      </c>
      <c r="C352" t="e">
        <f>+VLOOKUP(R352,Maps!$A:$C,2,0)</f>
        <v>#N/A</v>
      </c>
      <c r="D352" t="e">
        <f t="shared" si="16"/>
        <v>#VALUE!</v>
      </c>
      <c r="E352" s="39" t="e">
        <f t="shared" si="17"/>
        <v>#VALUE!</v>
      </c>
      <c r="F352" s="7" t="str">
        <f t="array" ref="F352">+TIPOARMA(H352,I352)</f>
        <v>ERRO - REVISAR</v>
      </c>
      <c r="H352" t="str">
        <f t="array" ref="H352">+ARMASTD(N352)</f>
        <v>ERRO - REVISAR</v>
      </c>
      <c r="I352" t="str">
        <f t="array" ref="I352">+CALIBRESTD(O352)</f>
        <v>ERRO - REVISAR</v>
      </c>
    </row>
    <row r="353" spans="1:9" ht="14.25" customHeight="1" x14ac:dyDescent="0.35">
      <c r="A353" s="41" t="str">
        <f t="array" ref="A353">EXTRACTEVENT(Q353,S353)</f>
        <v/>
      </c>
      <c r="B353" s="41" t="str">
        <f t="shared" si="15"/>
        <v>-</v>
      </c>
      <c r="C353" s="41" t="e">
        <f>+VLOOKUP(R353,Maps!$A:$C,2,0)</f>
        <v>#N/A</v>
      </c>
      <c r="D353" s="41" t="e">
        <f t="shared" si="16"/>
        <v>#VALUE!</v>
      </c>
      <c r="E353" s="42" t="e">
        <f t="shared" si="17"/>
        <v>#VALUE!</v>
      </c>
      <c r="F353" s="43" t="str">
        <f t="array" ref="F353">+TIPOARMA(H353,I353)</f>
        <v>ERRO - REVISAR</v>
      </c>
      <c r="G353" s="41"/>
      <c r="H353" s="41" t="str">
        <f t="array" ref="H353">+ARMASTD(N353)</f>
        <v>ERRO - REVISAR</v>
      </c>
      <c r="I353" s="41" t="str">
        <f t="array" ref="I353">+CALIBRESTD(O353)</f>
        <v>ERRO - REVISAR</v>
      </c>
    </row>
    <row r="354" spans="1:9" ht="14.25" customHeight="1" x14ac:dyDescent="0.35">
      <c r="A354" t="str">
        <f t="array" ref="A354">EXTRACTEVENT(Q354,S354)</f>
        <v/>
      </c>
      <c r="B354" t="str">
        <f t="shared" si="15"/>
        <v>-</v>
      </c>
      <c r="C354" t="e">
        <f>+VLOOKUP(R354,Maps!$A:$C,2,0)</f>
        <v>#N/A</v>
      </c>
      <c r="D354" t="e">
        <f t="shared" si="16"/>
        <v>#VALUE!</v>
      </c>
      <c r="E354" s="39" t="e">
        <f t="shared" si="17"/>
        <v>#VALUE!</v>
      </c>
      <c r="F354" s="7" t="str">
        <f t="array" ref="F354">+TIPOARMA(H354,I354)</f>
        <v>ERRO - REVISAR</v>
      </c>
      <c r="H354" t="str">
        <f t="array" ref="H354">+ARMASTD(N354)</f>
        <v>ERRO - REVISAR</v>
      </c>
      <c r="I354" t="str">
        <f t="array" ref="I354">+CALIBRESTD(O354)</f>
        <v>ERRO - REVISAR</v>
      </c>
    </row>
    <row r="355" spans="1:9" ht="14.25" customHeight="1" x14ac:dyDescent="0.35">
      <c r="A355" s="41" t="str">
        <f t="array" ref="A355">EXTRACTEVENT(Q355,S355)</f>
        <v/>
      </c>
      <c r="B355" s="41" t="str">
        <f t="shared" si="15"/>
        <v>-</v>
      </c>
      <c r="C355" s="41" t="e">
        <f>+VLOOKUP(R355,Maps!$A:$C,2,0)</f>
        <v>#N/A</v>
      </c>
      <c r="D355" s="41" t="e">
        <f t="shared" si="16"/>
        <v>#VALUE!</v>
      </c>
      <c r="E355" s="42" t="e">
        <f t="shared" si="17"/>
        <v>#VALUE!</v>
      </c>
      <c r="F355" s="43" t="str">
        <f t="array" ref="F355">+TIPOARMA(H355,I355)</f>
        <v>ERRO - REVISAR</v>
      </c>
      <c r="G355" s="41"/>
      <c r="H355" s="41" t="str">
        <f t="array" ref="H355">+ARMASTD(N355)</f>
        <v>ERRO - REVISAR</v>
      </c>
      <c r="I355" s="41" t="str">
        <f t="array" ref="I355">+CALIBRESTD(O355)</f>
        <v>ERRO - REVISAR</v>
      </c>
    </row>
    <row r="356" spans="1:9" ht="14.25" customHeight="1" x14ac:dyDescent="0.35">
      <c r="A356" t="str">
        <f t="array" ref="A356">EXTRACTEVENT(Q356,S356)</f>
        <v/>
      </c>
      <c r="B356" t="str">
        <f t="shared" si="15"/>
        <v>-</v>
      </c>
      <c r="C356" t="e">
        <f>+VLOOKUP(R356,Maps!$A:$C,2,0)</f>
        <v>#N/A</v>
      </c>
      <c r="D356" t="e">
        <f t="shared" si="16"/>
        <v>#VALUE!</v>
      </c>
      <c r="E356" s="39" t="e">
        <f t="shared" si="17"/>
        <v>#VALUE!</v>
      </c>
      <c r="F356" s="7" t="str">
        <f t="array" ref="F356">+TIPOARMA(H356,I356)</f>
        <v>ERRO - REVISAR</v>
      </c>
      <c r="H356" t="str">
        <f t="array" ref="H356">+ARMASTD(N356)</f>
        <v>ERRO - REVISAR</v>
      </c>
      <c r="I356" t="str">
        <f t="array" ref="I356">+CALIBRESTD(O356)</f>
        <v>ERRO - REVISAR</v>
      </c>
    </row>
    <row r="357" spans="1:9" ht="14.25" customHeight="1" x14ac:dyDescent="0.35">
      <c r="A357" s="41" t="str">
        <f t="array" ref="A357">EXTRACTEVENT(Q357,S357)</f>
        <v/>
      </c>
      <c r="B357" s="41" t="str">
        <f t="shared" si="15"/>
        <v>-</v>
      </c>
      <c r="C357" s="41" t="e">
        <f>+VLOOKUP(R357,Maps!$A:$C,2,0)</f>
        <v>#N/A</v>
      </c>
      <c r="D357" s="41" t="e">
        <f t="shared" si="16"/>
        <v>#VALUE!</v>
      </c>
      <c r="E357" s="42" t="e">
        <f t="shared" si="17"/>
        <v>#VALUE!</v>
      </c>
      <c r="F357" s="43" t="str">
        <f t="array" ref="F357">+TIPOARMA(H357,I357)</f>
        <v>ERRO - REVISAR</v>
      </c>
      <c r="G357" s="41"/>
      <c r="H357" s="41" t="str">
        <f t="array" ref="H357">+ARMASTD(N357)</f>
        <v>ERRO - REVISAR</v>
      </c>
      <c r="I357" s="41" t="str">
        <f t="array" ref="I357">+CALIBRESTD(O357)</f>
        <v>ERRO - REVISAR</v>
      </c>
    </row>
    <row r="358" spans="1:9" ht="14.25" customHeight="1" x14ac:dyDescent="0.35">
      <c r="A358" t="str">
        <f t="array" ref="A358">EXTRACTEVENT(Q358,S358)</f>
        <v/>
      </c>
      <c r="B358" t="str">
        <f t="shared" si="15"/>
        <v>-</v>
      </c>
      <c r="C358" t="e">
        <f>+VLOOKUP(R358,Maps!$A:$C,2,0)</f>
        <v>#N/A</v>
      </c>
      <c r="D358" t="e">
        <f t="shared" si="16"/>
        <v>#VALUE!</v>
      </c>
      <c r="E358" s="39" t="e">
        <f t="shared" si="17"/>
        <v>#VALUE!</v>
      </c>
      <c r="F358" s="7" t="str">
        <f t="array" ref="F358">+TIPOARMA(H358,I358)</f>
        <v>ERRO - REVISAR</v>
      </c>
      <c r="H358" t="str">
        <f t="array" ref="H358">+ARMASTD(N358)</f>
        <v>ERRO - REVISAR</v>
      </c>
      <c r="I358" t="str">
        <f t="array" ref="I358">+CALIBRESTD(O358)</f>
        <v>ERRO - REVISAR</v>
      </c>
    </row>
    <row r="359" spans="1:9" ht="14.25" customHeight="1" x14ac:dyDescent="0.35">
      <c r="A359" s="41" t="str">
        <f t="array" ref="A359">EXTRACTEVENT(Q359,S359)</f>
        <v/>
      </c>
      <c r="B359" s="41" t="str">
        <f t="shared" si="15"/>
        <v>-</v>
      </c>
      <c r="C359" s="41" t="e">
        <f>+VLOOKUP(R359,Maps!$A:$C,2,0)</f>
        <v>#N/A</v>
      </c>
      <c r="D359" s="41" t="e">
        <f t="shared" si="16"/>
        <v>#VALUE!</v>
      </c>
      <c r="E359" s="42" t="e">
        <f t="shared" si="17"/>
        <v>#VALUE!</v>
      </c>
      <c r="F359" s="43" t="str">
        <f t="array" ref="F359">+TIPOARMA(H359,I359)</f>
        <v>ERRO - REVISAR</v>
      </c>
      <c r="G359" s="41"/>
      <c r="H359" s="41" t="str">
        <f t="array" ref="H359">+ARMASTD(N359)</f>
        <v>ERRO - REVISAR</v>
      </c>
      <c r="I359" s="41" t="str">
        <f t="array" ref="I359">+CALIBRESTD(O359)</f>
        <v>ERRO - REVISAR</v>
      </c>
    </row>
    <row r="360" spans="1:9" ht="14.25" customHeight="1" x14ac:dyDescent="0.35">
      <c r="A360" t="str">
        <f t="array" ref="A360">EXTRACTEVENT(Q360,S360)</f>
        <v/>
      </c>
      <c r="B360" t="str">
        <f t="shared" si="15"/>
        <v>-</v>
      </c>
      <c r="C360" t="e">
        <f>+VLOOKUP(R360,Maps!$A:$C,2,0)</f>
        <v>#N/A</v>
      </c>
      <c r="D360" t="e">
        <f t="shared" si="16"/>
        <v>#VALUE!</v>
      </c>
      <c r="E360" s="39" t="e">
        <f t="shared" si="17"/>
        <v>#VALUE!</v>
      </c>
      <c r="F360" s="7" t="str">
        <f t="array" ref="F360">+TIPOARMA(H360,I360)</f>
        <v>ERRO - REVISAR</v>
      </c>
      <c r="H360" t="str">
        <f t="array" ref="H360">+ARMASTD(N360)</f>
        <v>ERRO - REVISAR</v>
      </c>
      <c r="I360" t="str">
        <f t="array" ref="I360">+CALIBRESTD(O360)</f>
        <v>ERRO - REVISAR</v>
      </c>
    </row>
    <row r="361" spans="1:9" ht="14.25" customHeight="1" x14ac:dyDescent="0.35">
      <c r="A361" s="41" t="str">
        <f t="array" ref="A361">EXTRACTEVENT(Q361,S361)</f>
        <v/>
      </c>
      <c r="B361" s="41" t="str">
        <f t="shared" si="15"/>
        <v>-</v>
      </c>
      <c r="C361" s="41" t="e">
        <f>+VLOOKUP(R361,Maps!$A:$C,2,0)</f>
        <v>#N/A</v>
      </c>
      <c r="D361" s="41" t="e">
        <f t="shared" si="16"/>
        <v>#VALUE!</v>
      </c>
      <c r="E361" s="42" t="e">
        <f t="shared" si="17"/>
        <v>#VALUE!</v>
      </c>
      <c r="F361" s="43" t="str">
        <f t="array" ref="F361">+TIPOARMA(H361,I361)</f>
        <v>ERRO - REVISAR</v>
      </c>
      <c r="G361" s="41"/>
      <c r="H361" s="41" t="str">
        <f t="array" ref="H361">+ARMASTD(N361)</f>
        <v>ERRO - REVISAR</v>
      </c>
      <c r="I361" s="41" t="str">
        <f t="array" ref="I361">+CALIBRESTD(O361)</f>
        <v>ERRO - REVISAR</v>
      </c>
    </row>
    <row r="362" spans="1:9" ht="14.25" customHeight="1" x14ac:dyDescent="0.35">
      <c r="A362" t="str">
        <f t="array" ref="A362">EXTRACTEVENT(Q362,S362)</f>
        <v/>
      </c>
      <c r="B362" t="str">
        <f t="shared" si="15"/>
        <v>-</v>
      </c>
      <c r="C362" t="e">
        <f>+VLOOKUP(R362,Maps!$A:$C,2,0)</f>
        <v>#N/A</v>
      </c>
      <c r="D362" t="e">
        <f t="shared" si="16"/>
        <v>#VALUE!</v>
      </c>
      <c r="E362" s="39" t="e">
        <f t="shared" si="17"/>
        <v>#VALUE!</v>
      </c>
      <c r="F362" s="7" t="str">
        <f t="array" ref="F362">+TIPOARMA(H362,I362)</f>
        <v>ERRO - REVISAR</v>
      </c>
      <c r="H362" t="str">
        <f t="array" ref="H362">+ARMASTD(N362)</f>
        <v>ERRO - REVISAR</v>
      </c>
      <c r="I362" t="str">
        <f t="array" ref="I362">+CALIBRESTD(O362)</f>
        <v>ERRO - REVISAR</v>
      </c>
    </row>
    <row r="363" spans="1:9" ht="14.25" customHeight="1" x14ac:dyDescent="0.35">
      <c r="A363" s="41" t="str">
        <f t="array" ref="A363">EXTRACTEVENT(Q363,S363)</f>
        <v/>
      </c>
      <c r="B363" s="41" t="str">
        <f t="shared" si="15"/>
        <v>-</v>
      </c>
      <c r="C363" s="41" t="e">
        <f>+VLOOKUP(R363,Maps!$A:$C,2,0)</f>
        <v>#N/A</v>
      </c>
      <c r="D363" s="41" t="e">
        <f t="shared" si="16"/>
        <v>#VALUE!</v>
      </c>
      <c r="E363" s="42" t="e">
        <f t="shared" si="17"/>
        <v>#VALUE!</v>
      </c>
      <c r="F363" s="43" t="str">
        <f t="array" ref="F363">+TIPOARMA(H363,I363)</f>
        <v>ERRO - REVISAR</v>
      </c>
      <c r="G363" s="41"/>
      <c r="H363" s="41" t="str">
        <f t="array" ref="H363">+ARMASTD(N363)</f>
        <v>ERRO - REVISAR</v>
      </c>
      <c r="I363" s="41" t="str">
        <f t="array" ref="I363">+CALIBRESTD(O363)</f>
        <v>ERRO - REVISAR</v>
      </c>
    </row>
    <row r="364" spans="1:9" ht="14.25" customHeight="1" x14ac:dyDescent="0.35">
      <c r="A364" t="str">
        <f t="array" ref="A364">EXTRACTEVENT(Q364,S364)</f>
        <v/>
      </c>
      <c r="B364" t="str">
        <f t="shared" si="15"/>
        <v>-</v>
      </c>
      <c r="C364" t="e">
        <f>+VLOOKUP(R364,Maps!$A:$C,2,0)</f>
        <v>#N/A</v>
      </c>
      <c r="D364" t="e">
        <f t="shared" si="16"/>
        <v>#VALUE!</v>
      </c>
      <c r="E364" s="39" t="e">
        <f t="shared" si="17"/>
        <v>#VALUE!</v>
      </c>
      <c r="F364" s="7" t="str">
        <f t="array" ref="F364">+TIPOARMA(H364,I364)</f>
        <v>ERRO - REVISAR</v>
      </c>
      <c r="H364" t="str">
        <f t="array" ref="H364">+ARMASTD(N364)</f>
        <v>ERRO - REVISAR</v>
      </c>
      <c r="I364" t="str">
        <f t="array" ref="I364">+CALIBRESTD(O364)</f>
        <v>ERRO - REVISAR</v>
      </c>
    </row>
    <row r="365" spans="1:9" ht="14.25" customHeight="1" x14ac:dyDescent="0.35">
      <c r="A365" s="41" t="str">
        <f t="array" ref="A365">EXTRACTEVENT(Q365,S365)</f>
        <v/>
      </c>
      <c r="B365" s="41" t="str">
        <f t="shared" si="15"/>
        <v>-</v>
      </c>
      <c r="C365" s="41" t="e">
        <f>+VLOOKUP(R365,Maps!$A:$C,2,0)</f>
        <v>#N/A</v>
      </c>
      <c r="D365" s="41" t="e">
        <f t="shared" si="16"/>
        <v>#VALUE!</v>
      </c>
      <c r="E365" s="42" t="e">
        <f t="shared" si="17"/>
        <v>#VALUE!</v>
      </c>
      <c r="F365" s="43" t="str">
        <f t="array" ref="F365">+TIPOARMA(H365,I365)</f>
        <v>ERRO - REVISAR</v>
      </c>
      <c r="G365" s="41"/>
      <c r="H365" s="41" t="str">
        <f t="array" ref="H365">+ARMASTD(N365)</f>
        <v>ERRO - REVISAR</v>
      </c>
      <c r="I365" s="41" t="str">
        <f t="array" ref="I365">+CALIBRESTD(O365)</f>
        <v>ERRO - REVISAR</v>
      </c>
    </row>
    <row r="366" spans="1:9" ht="14.25" customHeight="1" x14ac:dyDescent="0.35">
      <c r="A366" t="str">
        <f t="array" ref="A366">EXTRACTEVENT(Q366,S366)</f>
        <v/>
      </c>
      <c r="B366" t="str">
        <f t="shared" si="15"/>
        <v>-</v>
      </c>
      <c r="C366" t="e">
        <f>+VLOOKUP(R366,Maps!$A:$C,2,0)</f>
        <v>#N/A</v>
      </c>
      <c r="D366" t="e">
        <f t="shared" si="16"/>
        <v>#VALUE!</v>
      </c>
      <c r="E366" s="39" t="e">
        <f t="shared" si="17"/>
        <v>#VALUE!</v>
      </c>
      <c r="F366" s="7" t="str">
        <f t="array" ref="F366">+TIPOARMA(H366,I366)</f>
        <v>ERRO - REVISAR</v>
      </c>
      <c r="H366" t="str">
        <f t="array" ref="H366">+ARMASTD(N366)</f>
        <v>ERRO - REVISAR</v>
      </c>
      <c r="I366" t="str">
        <f t="array" ref="I366">+CALIBRESTD(O366)</f>
        <v>ERRO - REVISAR</v>
      </c>
    </row>
    <row r="367" spans="1:9" ht="14.25" customHeight="1" x14ac:dyDescent="0.35">
      <c r="A367" s="41" t="str">
        <f t="array" ref="A367">EXTRACTEVENT(Q367,S367)</f>
        <v/>
      </c>
      <c r="B367" s="41" t="str">
        <f t="shared" si="15"/>
        <v>-</v>
      </c>
      <c r="C367" s="41" t="e">
        <f>+VLOOKUP(R367,Maps!$A:$C,2,0)</f>
        <v>#N/A</v>
      </c>
      <c r="D367" s="41" t="e">
        <f t="shared" si="16"/>
        <v>#VALUE!</v>
      </c>
      <c r="E367" s="42" t="e">
        <f t="shared" si="17"/>
        <v>#VALUE!</v>
      </c>
      <c r="F367" s="43" t="str">
        <f t="array" ref="F367">+TIPOARMA(H367,I367)</f>
        <v>ERRO - REVISAR</v>
      </c>
      <c r="G367" s="41"/>
      <c r="H367" s="41" t="str">
        <f t="array" ref="H367">+ARMASTD(N367)</f>
        <v>ERRO - REVISAR</v>
      </c>
      <c r="I367" s="41" t="str">
        <f t="array" ref="I367">+CALIBRESTD(O367)</f>
        <v>ERRO - REVISAR</v>
      </c>
    </row>
    <row r="368" spans="1:9" ht="14.25" customHeight="1" x14ac:dyDescent="0.35">
      <c r="A368" t="str">
        <f t="array" ref="A368">EXTRACTEVENT(Q368,S368)</f>
        <v/>
      </c>
      <c r="B368" t="str">
        <f t="shared" si="15"/>
        <v>-</v>
      </c>
      <c r="C368" t="e">
        <f>+VLOOKUP(R368,Maps!$A:$C,2,0)</f>
        <v>#N/A</v>
      </c>
      <c r="D368" t="e">
        <f t="shared" si="16"/>
        <v>#VALUE!</v>
      </c>
      <c r="E368" s="39" t="e">
        <f t="shared" si="17"/>
        <v>#VALUE!</v>
      </c>
      <c r="F368" s="7" t="str">
        <f t="array" ref="F368">+TIPOARMA(H368,I368)</f>
        <v>ERRO - REVISAR</v>
      </c>
      <c r="H368" t="str">
        <f t="array" ref="H368">+ARMASTD(N368)</f>
        <v>ERRO - REVISAR</v>
      </c>
      <c r="I368" t="str">
        <f t="array" ref="I368">+CALIBRESTD(O368)</f>
        <v>ERRO - REVISAR</v>
      </c>
    </row>
    <row r="369" spans="1:9" ht="14.25" customHeight="1" x14ac:dyDescent="0.35">
      <c r="A369" s="41" t="str">
        <f t="array" ref="A369">EXTRACTEVENT(Q369,S369)</f>
        <v/>
      </c>
      <c r="B369" s="41" t="str">
        <f t="shared" si="15"/>
        <v>-</v>
      </c>
      <c r="C369" s="41" t="e">
        <f>+VLOOKUP(R369,Maps!$A:$C,2,0)</f>
        <v>#N/A</v>
      </c>
      <c r="D369" s="41" t="e">
        <f t="shared" si="16"/>
        <v>#VALUE!</v>
      </c>
      <c r="E369" s="42" t="e">
        <f t="shared" si="17"/>
        <v>#VALUE!</v>
      </c>
      <c r="F369" s="43" t="str">
        <f t="array" ref="F369">+TIPOARMA(H369,I369)</f>
        <v>ERRO - REVISAR</v>
      </c>
      <c r="G369" s="41"/>
      <c r="H369" s="41" t="str">
        <f t="array" ref="H369">+ARMASTD(N369)</f>
        <v>ERRO - REVISAR</v>
      </c>
      <c r="I369" s="41" t="str">
        <f t="array" ref="I369">+CALIBRESTD(O369)</f>
        <v>ERRO - REVISAR</v>
      </c>
    </row>
    <row r="370" spans="1:9" ht="14.25" customHeight="1" x14ac:dyDescent="0.35">
      <c r="A370" t="str">
        <f t="array" ref="A370">EXTRACTEVENT(Q370,S370)</f>
        <v/>
      </c>
      <c r="B370" t="str">
        <f t="shared" si="15"/>
        <v>-</v>
      </c>
      <c r="C370" t="e">
        <f>+VLOOKUP(R370,Maps!$A:$C,2,0)</f>
        <v>#N/A</v>
      </c>
      <c r="D370" t="e">
        <f t="shared" si="16"/>
        <v>#VALUE!</v>
      </c>
      <c r="E370" s="39" t="e">
        <f t="shared" si="17"/>
        <v>#VALUE!</v>
      </c>
      <c r="F370" s="7" t="str">
        <f t="array" ref="F370">+TIPOARMA(H370,I370)</f>
        <v>ERRO - REVISAR</v>
      </c>
      <c r="H370" t="str">
        <f t="array" ref="H370">+ARMASTD(N370)</f>
        <v>ERRO - REVISAR</v>
      </c>
      <c r="I370" t="str">
        <f t="array" ref="I370">+CALIBRESTD(O370)</f>
        <v>ERRO - REVISAR</v>
      </c>
    </row>
    <row r="371" spans="1:9" ht="14.25" customHeight="1" x14ac:dyDescent="0.35">
      <c r="A371" s="41" t="str">
        <f t="array" ref="A371">EXTRACTEVENT(Q371,S371)</f>
        <v/>
      </c>
      <c r="B371" s="41" t="str">
        <f t="shared" si="15"/>
        <v>-</v>
      </c>
      <c r="C371" s="41" t="e">
        <f>+VLOOKUP(R371,Maps!$A:$C,2,0)</f>
        <v>#N/A</v>
      </c>
      <c r="D371" s="41" t="e">
        <f t="shared" si="16"/>
        <v>#VALUE!</v>
      </c>
      <c r="E371" s="42" t="e">
        <f t="shared" si="17"/>
        <v>#VALUE!</v>
      </c>
      <c r="F371" s="43" t="str">
        <f t="array" ref="F371">+TIPOARMA(H371,I371)</f>
        <v>ERRO - REVISAR</v>
      </c>
      <c r="G371" s="41"/>
      <c r="H371" s="41" t="str">
        <f t="array" ref="H371">+ARMASTD(N371)</f>
        <v>ERRO - REVISAR</v>
      </c>
      <c r="I371" s="41" t="str">
        <f t="array" ref="I371">+CALIBRESTD(O371)</f>
        <v>ERRO - REVISAR</v>
      </c>
    </row>
    <row r="372" spans="1:9" ht="14.25" customHeight="1" x14ac:dyDescent="0.35">
      <c r="A372" t="str">
        <f t="array" ref="A372">EXTRACTEVENT(Q372,S372)</f>
        <v/>
      </c>
      <c r="B372" t="str">
        <f t="shared" si="15"/>
        <v>-</v>
      </c>
      <c r="C372" t="e">
        <f>+VLOOKUP(R372,Maps!$A:$C,2,0)</f>
        <v>#N/A</v>
      </c>
      <c r="D372" t="e">
        <f t="shared" si="16"/>
        <v>#VALUE!</v>
      </c>
      <c r="E372" s="39" t="e">
        <f t="shared" si="17"/>
        <v>#VALUE!</v>
      </c>
      <c r="F372" s="7" t="str">
        <f t="array" ref="F372">+TIPOARMA(H372,I372)</f>
        <v>ERRO - REVISAR</v>
      </c>
      <c r="H372" t="str">
        <f t="array" ref="H372">+ARMASTD(N372)</f>
        <v>ERRO - REVISAR</v>
      </c>
      <c r="I372" t="str">
        <f t="array" ref="I372">+CALIBRESTD(O372)</f>
        <v>ERRO - REVISAR</v>
      </c>
    </row>
    <row r="373" spans="1:9" ht="14.25" customHeight="1" x14ac:dyDescent="0.35">
      <c r="A373" s="41" t="str">
        <f t="array" ref="A373">EXTRACTEVENT(Q373,S373)</f>
        <v/>
      </c>
      <c r="B373" s="41" t="str">
        <f t="shared" si="15"/>
        <v>-</v>
      </c>
      <c r="C373" s="41" t="e">
        <f>+VLOOKUP(R373,Maps!$A:$C,2,0)</f>
        <v>#N/A</v>
      </c>
      <c r="D373" s="41" t="e">
        <f t="shared" si="16"/>
        <v>#VALUE!</v>
      </c>
      <c r="E373" s="42" t="e">
        <f t="shared" si="17"/>
        <v>#VALUE!</v>
      </c>
      <c r="F373" s="43" t="str">
        <f t="array" ref="F373">+TIPOARMA(H373,I373)</f>
        <v>ERRO - REVISAR</v>
      </c>
      <c r="G373" s="41"/>
      <c r="H373" s="41" t="str">
        <f t="array" ref="H373">+ARMASTD(N373)</f>
        <v>ERRO - REVISAR</v>
      </c>
      <c r="I373" s="41" t="str">
        <f t="array" ref="I373">+CALIBRESTD(O373)</f>
        <v>ERRO - REVISAR</v>
      </c>
    </row>
    <row r="374" spans="1:9" ht="14.25" customHeight="1" x14ac:dyDescent="0.35">
      <c r="A374" t="str">
        <f t="array" ref="A374">EXTRACTEVENT(Q374,S374)</f>
        <v/>
      </c>
      <c r="B374" t="str">
        <f t="shared" si="15"/>
        <v>-</v>
      </c>
      <c r="C374" t="e">
        <f>+VLOOKUP(R374,Maps!$A:$C,2,0)</f>
        <v>#N/A</v>
      </c>
      <c r="D374" t="e">
        <f t="shared" si="16"/>
        <v>#VALUE!</v>
      </c>
      <c r="E374" s="39" t="e">
        <f t="shared" si="17"/>
        <v>#VALUE!</v>
      </c>
      <c r="F374" s="7" t="str">
        <f t="array" ref="F374">+TIPOARMA(H374,I374)</f>
        <v>ERRO - REVISAR</v>
      </c>
      <c r="H374" t="str">
        <f t="array" ref="H374">+ARMASTD(N374)</f>
        <v>ERRO - REVISAR</v>
      </c>
      <c r="I374" t="str">
        <f t="array" ref="I374">+CALIBRESTD(O374)</f>
        <v>ERRO - REVISAR</v>
      </c>
    </row>
    <row r="375" spans="1:9" ht="14.25" customHeight="1" x14ac:dyDescent="0.35">
      <c r="A375" s="41" t="str">
        <f t="array" ref="A375">EXTRACTEVENT(Q375,S375)</f>
        <v/>
      </c>
      <c r="B375" s="41" t="str">
        <f t="shared" si="15"/>
        <v>-</v>
      </c>
      <c r="C375" s="41" t="e">
        <f>+VLOOKUP(R375,Maps!$A:$C,2,0)</f>
        <v>#N/A</v>
      </c>
      <c r="D375" s="41" t="e">
        <f t="shared" si="16"/>
        <v>#VALUE!</v>
      </c>
      <c r="E375" s="42" t="e">
        <f t="shared" si="17"/>
        <v>#VALUE!</v>
      </c>
      <c r="F375" s="43" t="str">
        <f t="array" ref="F375">+TIPOARMA(H375,I375)</f>
        <v>ERRO - REVISAR</v>
      </c>
      <c r="G375" s="41"/>
      <c r="H375" s="41" t="str">
        <f t="array" ref="H375">+ARMASTD(N375)</f>
        <v>ERRO - REVISAR</v>
      </c>
      <c r="I375" s="41" t="str">
        <f t="array" ref="I375">+CALIBRESTD(O375)</f>
        <v>ERRO - REVISAR</v>
      </c>
    </row>
    <row r="376" spans="1:9" ht="14.25" customHeight="1" x14ac:dyDescent="0.35">
      <c r="A376" t="str">
        <f t="array" ref="A376">EXTRACTEVENT(Q376,S376)</f>
        <v/>
      </c>
      <c r="B376" t="str">
        <f t="shared" si="15"/>
        <v>-</v>
      </c>
      <c r="C376" t="e">
        <f>+VLOOKUP(R376,Maps!$A:$C,2,0)</f>
        <v>#N/A</v>
      </c>
      <c r="D376" t="e">
        <f t="shared" si="16"/>
        <v>#VALUE!</v>
      </c>
      <c r="E376" s="39" t="e">
        <f t="shared" si="17"/>
        <v>#VALUE!</v>
      </c>
      <c r="F376" s="7" t="str">
        <f t="array" ref="F376">+TIPOARMA(H376,I376)</f>
        <v>ERRO - REVISAR</v>
      </c>
      <c r="H376" t="str">
        <f t="array" ref="H376">+ARMASTD(N376)</f>
        <v>ERRO - REVISAR</v>
      </c>
      <c r="I376" t="str">
        <f t="array" ref="I376">+CALIBRESTD(O376)</f>
        <v>ERRO - REVISAR</v>
      </c>
    </row>
    <row r="377" spans="1:9" ht="14.25" customHeight="1" x14ac:dyDescent="0.35">
      <c r="A377" s="41" t="str">
        <f t="array" ref="A377">EXTRACTEVENT(Q377,S377)</f>
        <v/>
      </c>
      <c r="B377" s="41" t="str">
        <f t="shared" si="15"/>
        <v>-</v>
      </c>
      <c r="C377" s="41" t="e">
        <f>+VLOOKUP(R377,Maps!$A:$C,2,0)</f>
        <v>#N/A</v>
      </c>
      <c r="D377" s="41" t="e">
        <f t="shared" si="16"/>
        <v>#VALUE!</v>
      </c>
      <c r="E377" s="42" t="e">
        <f t="shared" si="17"/>
        <v>#VALUE!</v>
      </c>
      <c r="F377" s="43" t="str">
        <f t="array" ref="F377">+TIPOARMA(H377,I377)</f>
        <v>ERRO - REVISAR</v>
      </c>
      <c r="G377" s="41"/>
      <c r="H377" s="41" t="str">
        <f t="array" ref="H377">+ARMASTD(N377)</f>
        <v>ERRO - REVISAR</v>
      </c>
      <c r="I377" s="41" t="str">
        <f t="array" ref="I377">+CALIBRESTD(O377)</f>
        <v>ERRO - REVISAR</v>
      </c>
    </row>
    <row r="378" spans="1:9" ht="14.25" customHeight="1" x14ac:dyDescent="0.35">
      <c r="A378" t="str">
        <f t="array" ref="A378">EXTRACTEVENT(Q378,S378)</f>
        <v/>
      </c>
      <c r="B378" t="str">
        <f t="shared" si="15"/>
        <v>-</v>
      </c>
      <c r="C378" t="e">
        <f>+VLOOKUP(R378,Maps!$A:$C,2,0)</f>
        <v>#N/A</v>
      </c>
      <c r="D378" t="e">
        <f t="shared" si="16"/>
        <v>#VALUE!</v>
      </c>
      <c r="E378" s="39" t="e">
        <f t="shared" si="17"/>
        <v>#VALUE!</v>
      </c>
      <c r="F378" s="7" t="str">
        <f t="array" ref="F378">+TIPOARMA(H378,I378)</f>
        <v>ERRO - REVISAR</v>
      </c>
      <c r="H378" t="str">
        <f t="array" ref="H378">+ARMASTD(N378)</f>
        <v>ERRO - REVISAR</v>
      </c>
      <c r="I378" t="str">
        <f t="array" ref="I378">+CALIBRESTD(O378)</f>
        <v>ERRO - REVISAR</v>
      </c>
    </row>
    <row r="379" spans="1:9" ht="14.25" customHeight="1" x14ac:dyDescent="0.35">
      <c r="A379" s="41" t="str">
        <f t="array" ref="A379">EXTRACTEVENT(Q379,S379)</f>
        <v/>
      </c>
      <c r="B379" s="41" t="str">
        <f t="shared" si="15"/>
        <v>-</v>
      </c>
      <c r="C379" s="41" t="e">
        <f>+VLOOKUP(R379,Maps!$A:$C,2,0)</f>
        <v>#N/A</v>
      </c>
      <c r="D379" s="41" t="e">
        <f t="shared" si="16"/>
        <v>#VALUE!</v>
      </c>
      <c r="E379" s="42" t="e">
        <f t="shared" si="17"/>
        <v>#VALUE!</v>
      </c>
      <c r="F379" s="43" t="str">
        <f t="array" ref="F379">+TIPOARMA(H379,I379)</f>
        <v>ERRO - REVISAR</v>
      </c>
      <c r="G379" s="41"/>
      <c r="H379" s="41" t="str">
        <f t="array" ref="H379">+ARMASTD(N379)</f>
        <v>ERRO - REVISAR</v>
      </c>
      <c r="I379" s="41" t="str">
        <f t="array" ref="I379">+CALIBRESTD(O379)</f>
        <v>ERRO - REVISAR</v>
      </c>
    </row>
    <row r="380" spans="1:9" ht="14.25" customHeight="1" x14ac:dyDescent="0.35">
      <c r="A380" t="str">
        <f t="array" ref="A380">EXTRACTEVENT(Q380,S380)</f>
        <v/>
      </c>
      <c r="B380" t="str">
        <f t="shared" si="15"/>
        <v>-</v>
      </c>
      <c r="C380" t="e">
        <f>+VLOOKUP(R380,Maps!$A:$C,2,0)</f>
        <v>#N/A</v>
      </c>
      <c r="D380" t="e">
        <f t="shared" si="16"/>
        <v>#VALUE!</v>
      </c>
      <c r="E380" s="39" t="e">
        <f t="shared" si="17"/>
        <v>#VALUE!</v>
      </c>
      <c r="F380" s="7" t="str">
        <f t="array" ref="F380">+TIPOARMA(H380,I380)</f>
        <v>ERRO - REVISAR</v>
      </c>
      <c r="H380" t="str">
        <f t="array" ref="H380">+ARMASTD(N380)</f>
        <v>ERRO - REVISAR</v>
      </c>
      <c r="I380" t="str">
        <f t="array" ref="I380">+CALIBRESTD(O380)</f>
        <v>ERRO - REVISAR</v>
      </c>
    </row>
    <row r="381" spans="1:9" ht="14.25" customHeight="1" x14ac:dyDescent="0.35">
      <c r="A381" s="41" t="str">
        <f t="array" ref="A381">EXTRACTEVENT(Q381,S381)</f>
        <v/>
      </c>
      <c r="B381" s="41" t="str">
        <f t="shared" si="15"/>
        <v>-</v>
      </c>
      <c r="C381" s="41" t="e">
        <f>+VLOOKUP(R381,Maps!$A:$C,2,0)</f>
        <v>#N/A</v>
      </c>
      <c r="D381" s="41" t="e">
        <f t="shared" si="16"/>
        <v>#VALUE!</v>
      </c>
      <c r="E381" s="42" t="e">
        <f t="shared" si="17"/>
        <v>#VALUE!</v>
      </c>
      <c r="F381" s="43" t="str">
        <f t="array" ref="F381">+TIPOARMA(H381,I381)</f>
        <v>ERRO - REVISAR</v>
      </c>
      <c r="G381" s="41"/>
      <c r="H381" s="41" t="str">
        <f t="array" ref="H381">+ARMASTD(N381)</f>
        <v>ERRO - REVISAR</v>
      </c>
      <c r="I381" s="41" t="str">
        <f t="array" ref="I381">+CALIBRESTD(O381)</f>
        <v>ERRO - REVISAR</v>
      </c>
    </row>
    <row r="382" spans="1:9" ht="14.25" customHeight="1" x14ac:dyDescent="0.35">
      <c r="A382" t="str">
        <f t="array" ref="A382">EXTRACTEVENT(Q382,S382)</f>
        <v/>
      </c>
      <c r="B382" t="str">
        <f t="shared" si="15"/>
        <v>-</v>
      </c>
      <c r="C382" t="e">
        <f>+VLOOKUP(R382,Maps!$A:$C,2,0)</f>
        <v>#N/A</v>
      </c>
      <c r="D382" t="e">
        <f t="shared" si="16"/>
        <v>#VALUE!</v>
      </c>
      <c r="E382" s="39" t="e">
        <f t="shared" si="17"/>
        <v>#VALUE!</v>
      </c>
      <c r="F382" s="7" t="str">
        <f t="array" ref="F382">+TIPOARMA(H382,I382)</f>
        <v>ERRO - REVISAR</v>
      </c>
      <c r="H382" t="str">
        <f t="array" ref="H382">+ARMASTD(N382)</f>
        <v>ERRO - REVISAR</v>
      </c>
      <c r="I382" t="str">
        <f t="array" ref="I382">+CALIBRESTD(O382)</f>
        <v>ERRO - REVISAR</v>
      </c>
    </row>
    <row r="383" spans="1:9" ht="14.25" customHeight="1" x14ac:dyDescent="0.35">
      <c r="A383" s="41" t="str">
        <f t="array" ref="A383">EXTRACTEVENT(Q383,S383)</f>
        <v/>
      </c>
      <c r="B383" s="41" t="str">
        <f t="shared" si="15"/>
        <v>-</v>
      </c>
      <c r="C383" s="41" t="e">
        <f>+VLOOKUP(R383,Maps!$A:$C,2,0)</f>
        <v>#N/A</v>
      </c>
      <c r="D383" s="41" t="e">
        <f t="shared" si="16"/>
        <v>#VALUE!</v>
      </c>
      <c r="E383" s="42" t="e">
        <f t="shared" si="17"/>
        <v>#VALUE!</v>
      </c>
      <c r="F383" s="43" t="str">
        <f t="array" ref="F383">+TIPOARMA(H383,I383)</f>
        <v>ERRO - REVISAR</v>
      </c>
      <c r="G383" s="41"/>
      <c r="H383" s="41" t="str">
        <f t="array" ref="H383">+ARMASTD(N383)</f>
        <v>ERRO - REVISAR</v>
      </c>
      <c r="I383" s="41" t="str">
        <f t="array" ref="I383">+CALIBRESTD(O383)</f>
        <v>ERRO - REVISAR</v>
      </c>
    </row>
    <row r="384" spans="1:9" ht="14.25" customHeight="1" x14ac:dyDescent="0.35">
      <c r="A384" t="str">
        <f t="array" ref="A384">EXTRACTEVENT(Q384,S384)</f>
        <v/>
      </c>
      <c r="B384" t="str">
        <f t="shared" si="15"/>
        <v>-</v>
      </c>
      <c r="C384" t="e">
        <f>+VLOOKUP(R384,Maps!$A:$C,2,0)</f>
        <v>#N/A</v>
      </c>
      <c r="D384" t="e">
        <f t="shared" si="16"/>
        <v>#VALUE!</v>
      </c>
      <c r="E384" s="39" t="e">
        <f t="shared" si="17"/>
        <v>#VALUE!</v>
      </c>
      <c r="F384" s="7" t="str">
        <f t="array" ref="F384">+TIPOARMA(H384,I384)</f>
        <v>ERRO - REVISAR</v>
      </c>
      <c r="H384" t="str">
        <f t="array" ref="H384">+ARMASTD(N384)</f>
        <v>ERRO - REVISAR</v>
      </c>
      <c r="I384" t="str">
        <f t="array" ref="I384">+CALIBRESTD(O384)</f>
        <v>ERRO - REVISAR</v>
      </c>
    </row>
    <row r="385" spans="1:9" ht="14.25" customHeight="1" x14ac:dyDescent="0.35">
      <c r="A385" s="41" t="str">
        <f t="array" ref="A385">EXTRACTEVENT(Q385,S385)</f>
        <v/>
      </c>
      <c r="B385" s="41" t="str">
        <f t="shared" si="15"/>
        <v>-</v>
      </c>
      <c r="C385" s="41" t="e">
        <f>+VLOOKUP(R385,Maps!$A:$C,2,0)</f>
        <v>#N/A</v>
      </c>
      <c r="D385" s="41" t="e">
        <f t="shared" si="16"/>
        <v>#VALUE!</v>
      </c>
      <c r="E385" s="42" t="e">
        <f t="shared" si="17"/>
        <v>#VALUE!</v>
      </c>
      <c r="F385" s="43" t="str">
        <f t="array" ref="F385">+TIPOARMA(H385,I385)</f>
        <v>ERRO - REVISAR</v>
      </c>
      <c r="G385" s="41"/>
      <c r="H385" s="41" t="str">
        <f t="array" ref="H385">+ARMASTD(N385)</f>
        <v>ERRO - REVISAR</v>
      </c>
      <c r="I385" s="41" t="str">
        <f t="array" ref="I385">+CALIBRESTD(O385)</f>
        <v>ERRO - REVISAR</v>
      </c>
    </row>
    <row r="386" spans="1:9" ht="14.25" customHeight="1" x14ac:dyDescent="0.35">
      <c r="A386" t="str">
        <f t="array" ref="A386">EXTRACTEVENT(Q386,S386)</f>
        <v/>
      </c>
      <c r="B386" t="str">
        <f t="shared" ref="B386:B449" si="18">+EXTRACTETAPANUM(Q386)</f>
        <v>-</v>
      </c>
      <c r="C386" t="e">
        <f>+VLOOKUP(R386,Maps!$A:$C,2,0)</f>
        <v>#N/A</v>
      </c>
      <c r="D386" t="e">
        <f t="shared" ref="D386:D449" si="19">+DEFINEAMBITO(Q386,C386)</f>
        <v>#VALUE!</v>
      </c>
      <c r="E386" s="39" t="e">
        <f t="shared" ref="E386:E449" si="20">DATEVALUE(L386)</f>
        <v>#VALUE!</v>
      </c>
      <c r="F386" s="7" t="str">
        <f t="array" ref="F386">+TIPOARMA(H386,I386)</f>
        <v>ERRO - REVISAR</v>
      </c>
      <c r="H386" t="str">
        <f t="array" ref="H386">+ARMASTD(N386)</f>
        <v>ERRO - REVISAR</v>
      </c>
      <c r="I386" t="str">
        <f t="array" ref="I386">+CALIBRESTD(O386)</f>
        <v>ERRO - REVISAR</v>
      </c>
    </row>
    <row r="387" spans="1:9" ht="14.25" customHeight="1" x14ac:dyDescent="0.35">
      <c r="A387" s="41" t="str">
        <f t="array" ref="A387">EXTRACTEVENT(Q387,S387)</f>
        <v/>
      </c>
      <c r="B387" s="41" t="str">
        <f t="shared" si="18"/>
        <v>-</v>
      </c>
      <c r="C387" s="41" t="e">
        <f>+VLOOKUP(R387,Maps!$A:$C,2,0)</f>
        <v>#N/A</v>
      </c>
      <c r="D387" s="41" t="e">
        <f t="shared" si="19"/>
        <v>#VALUE!</v>
      </c>
      <c r="E387" s="42" t="e">
        <f t="shared" si="20"/>
        <v>#VALUE!</v>
      </c>
      <c r="F387" s="43" t="str">
        <f t="array" ref="F387">+TIPOARMA(H387,I387)</f>
        <v>ERRO - REVISAR</v>
      </c>
      <c r="G387" s="41"/>
      <c r="H387" s="41" t="str">
        <f t="array" ref="H387">+ARMASTD(N387)</f>
        <v>ERRO - REVISAR</v>
      </c>
      <c r="I387" s="41" t="str">
        <f t="array" ref="I387">+CALIBRESTD(O387)</f>
        <v>ERRO - REVISAR</v>
      </c>
    </row>
    <row r="388" spans="1:9" ht="14.25" customHeight="1" x14ac:dyDescent="0.35">
      <c r="A388" t="str">
        <f t="array" ref="A388">EXTRACTEVENT(Q388,S388)</f>
        <v/>
      </c>
      <c r="B388" t="str">
        <f t="shared" si="18"/>
        <v>-</v>
      </c>
      <c r="C388" t="e">
        <f>+VLOOKUP(R388,Maps!$A:$C,2,0)</f>
        <v>#N/A</v>
      </c>
      <c r="D388" t="e">
        <f t="shared" si="19"/>
        <v>#VALUE!</v>
      </c>
      <c r="E388" s="39" t="e">
        <f t="shared" si="20"/>
        <v>#VALUE!</v>
      </c>
      <c r="F388" s="7" t="str">
        <f t="array" ref="F388">+TIPOARMA(H388,I388)</f>
        <v>ERRO - REVISAR</v>
      </c>
      <c r="H388" t="str">
        <f t="array" ref="H388">+ARMASTD(N388)</f>
        <v>ERRO - REVISAR</v>
      </c>
      <c r="I388" t="str">
        <f t="array" ref="I388">+CALIBRESTD(O388)</f>
        <v>ERRO - REVISAR</v>
      </c>
    </row>
    <row r="389" spans="1:9" ht="14.25" customHeight="1" x14ac:dyDescent="0.35">
      <c r="A389" s="41" t="str">
        <f t="array" ref="A389">EXTRACTEVENT(Q389,S389)</f>
        <v/>
      </c>
      <c r="B389" s="41" t="str">
        <f t="shared" si="18"/>
        <v>-</v>
      </c>
      <c r="C389" s="41" t="e">
        <f>+VLOOKUP(R389,Maps!$A:$C,2,0)</f>
        <v>#N/A</v>
      </c>
      <c r="D389" s="41" t="e">
        <f t="shared" si="19"/>
        <v>#VALUE!</v>
      </c>
      <c r="E389" s="42" t="e">
        <f t="shared" si="20"/>
        <v>#VALUE!</v>
      </c>
      <c r="F389" s="43" t="str">
        <f t="array" ref="F389">+TIPOARMA(H389,I389)</f>
        <v>ERRO - REVISAR</v>
      </c>
      <c r="G389" s="41"/>
      <c r="H389" s="41" t="str">
        <f t="array" ref="H389">+ARMASTD(N389)</f>
        <v>ERRO - REVISAR</v>
      </c>
      <c r="I389" s="41" t="str">
        <f t="array" ref="I389">+CALIBRESTD(O389)</f>
        <v>ERRO - REVISAR</v>
      </c>
    </row>
    <row r="390" spans="1:9" ht="14.25" customHeight="1" x14ac:dyDescent="0.35">
      <c r="A390" t="str">
        <f t="array" ref="A390">EXTRACTEVENT(Q390,S390)</f>
        <v/>
      </c>
      <c r="B390" t="str">
        <f t="shared" si="18"/>
        <v>-</v>
      </c>
      <c r="C390" t="e">
        <f>+VLOOKUP(R390,Maps!$A:$C,2,0)</f>
        <v>#N/A</v>
      </c>
      <c r="D390" t="e">
        <f t="shared" si="19"/>
        <v>#VALUE!</v>
      </c>
      <c r="E390" s="39" t="e">
        <f t="shared" si="20"/>
        <v>#VALUE!</v>
      </c>
      <c r="F390" s="7" t="str">
        <f t="array" ref="F390">+TIPOARMA(H390,I390)</f>
        <v>ERRO - REVISAR</v>
      </c>
      <c r="H390" t="str">
        <f t="array" ref="H390">+ARMASTD(N390)</f>
        <v>ERRO - REVISAR</v>
      </c>
      <c r="I390" t="str">
        <f t="array" ref="I390">+CALIBRESTD(O390)</f>
        <v>ERRO - REVISAR</v>
      </c>
    </row>
    <row r="391" spans="1:9" ht="14.25" customHeight="1" x14ac:dyDescent="0.35">
      <c r="A391" s="41" t="str">
        <f t="array" ref="A391">EXTRACTEVENT(Q391,S391)</f>
        <v/>
      </c>
      <c r="B391" s="41" t="str">
        <f t="shared" si="18"/>
        <v>-</v>
      </c>
      <c r="C391" s="41" t="e">
        <f>+VLOOKUP(R391,Maps!$A:$C,2,0)</f>
        <v>#N/A</v>
      </c>
      <c r="D391" s="41" t="e">
        <f t="shared" si="19"/>
        <v>#VALUE!</v>
      </c>
      <c r="E391" s="42" t="e">
        <f t="shared" si="20"/>
        <v>#VALUE!</v>
      </c>
      <c r="F391" s="43" t="str">
        <f t="array" ref="F391">+TIPOARMA(H391,I391)</f>
        <v>ERRO - REVISAR</v>
      </c>
      <c r="G391" s="41"/>
      <c r="H391" s="41" t="str">
        <f t="array" ref="H391">+ARMASTD(N391)</f>
        <v>ERRO - REVISAR</v>
      </c>
      <c r="I391" s="41" t="str">
        <f t="array" ref="I391">+CALIBRESTD(O391)</f>
        <v>ERRO - REVISAR</v>
      </c>
    </row>
    <row r="392" spans="1:9" ht="14.25" customHeight="1" x14ac:dyDescent="0.35">
      <c r="A392" t="str">
        <f t="array" ref="A392">EXTRACTEVENT(Q392,S392)</f>
        <v/>
      </c>
      <c r="B392" t="str">
        <f t="shared" si="18"/>
        <v>-</v>
      </c>
      <c r="C392" t="e">
        <f>+VLOOKUP(R392,Maps!$A:$C,2,0)</f>
        <v>#N/A</v>
      </c>
      <c r="D392" t="e">
        <f t="shared" si="19"/>
        <v>#VALUE!</v>
      </c>
      <c r="E392" s="39" t="e">
        <f t="shared" si="20"/>
        <v>#VALUE!</v>
      </c>
      <c r="F392" s="7" t="str">
        <f t="array" ref="F392">+TIPOARMA(H392,I392)</f>
        <v>ERRO - REVISAR</v>
      </c>
      <c r="H392" t="str">
        <f t="array" ref="H392">+ARMASTD(N392)</f>
        <v>ERRO - REVISAR</v>
      </c>
      <c r="I392" t="str">
        <f t="array" ref="I392">+CALIBRESTD(O392)</f>
        <v>ERRO - REVISAR</v>
      </c>
    </row>
    <row r="393" spans="1:9" ht="14.25" customHeight="1" x14ac:dyDescent="0.35">
      <c r="A393" s="41" t="str">
        <f t="array" ref="A393">EXTRACTEVENT(Q393,S393)</f>
        <v/>
      </c>
      <c r="B393" s="41" t="str">
        <f t="shared" si="18"/>
        <v>-</v>
      </c>
      <c r="C393" s="41" t="e">
        <f>+VLOOKUP(R393,Maps!$A:$C,2,0)</f>
        <v>#N/A</v>
      </c>
      <c r="D393" s="41" t="e">
        <f t="shared" si="19"/>
        <v>#VALUE!</v>
      </c>
      <c r="E393" s="42" t="e">
        <f t="shared" si="20"/>
        <v>#VALUE!</v>
      </c>
      <c r="F393" s="43" t="str">
        <f t="array" ref="F393">+TIPOARMA(H393,I393)</f>
        <v>ERRO - REVISAR</v>
      </c>
      <c r="G393" s="41"/>
      <c r="H393" s="41" t="str">
        <f t="array" ref="H393">+ARMASTD(N393)</f>
        <v>ERRO - REVISAR</v>
      </c>
      <c r="I393" s="41" t="str">
        <f t="array" ref="I393">+CALIBRESTD(O393)</f>
        <v>ERRO - REVISAR</v>
      </c>
    </row>
    <row r="394" spans="1:9" ht="14.25" customHeight="1" x14ac:dyDescent="0.35">
      <c r="A394" t="str">
        <f t="array" ref="A394">EXTRACTEVENT(Q394,S394)</f>
        <v/>
      </c>
      <c r="B394" t="str">
        <f t="shared" si="18"/>
        <v>-</v>
      </c>
      <c r="C394" t="e">
        <f>+VLOOKUP(R394,Maps!$A:$C,2,0)</f>
        <v>#N/A</v>
      </c>
      <c r="D394" t="e">
        <f t="shared" si="19"/>
        <v>#VALUE!</v>
      </c>
      <c r="E394" s="39" t="e">
        <f t="shared" si="20"/>
        <v>#VALUE!</v>
      </c>
      <c r="F394" s="7" t="str">
        <f t="array" ref="F394">+TIPOARMA(H394,I394)</f>
        <v>ERRO - REVISAR</v>
      </c>
      <c r="H394" t="str">
        <f t="array" ref="H394">+ARMASTD(N394)</f>
        <v>ERRO - REVISAR</v>
      </c>
      <c r="I394" t="str">
        <f t="array" ref="I394">+CALIBRESTD(O394)</f>
        <v>ERRO - REVISAR</v>
      </c>
    </row>
    <row r="395" spans="1:9" ht="14.25" customHeight="1" x14ac:dyDescent="0.35">
      <c r="A395" s="41" t="str">
        <f t="array" ref="A395">EXTRACTEVENT(Q395,S395)</f>
        <v/>
      </c>
      <c r="B395" s="41" t="str">
        <f t="shared" si="18"/>
        <v>-</v>
      </c>
      <c r="C395" s="41" t="e">
        <f>+VLOOKUP(R395,Maps!$A:$C,2,0)</f>
        <v>#N/A</v>
      </c>
      <c r="D395" s="41" t="e">
        <f t="shared" si="19"/>
        <v>#VALUE!</v>
      </c>
      <c r="E395" s="42" t="e">
        <f t="shared" si="20"/>
        <v>#VALUE!</v>
      </c>
      <c r="F395" s="43" t="str">
        <f t="array" ref="F395">+TIPOARMA(H395,I395)</f>
        <v>ERRO - REVISAR</v>
      </c>
      <c r="G395" s="41"/>
      <c r="H395" s="41" t="str">
        <f t="array" ref="H395">+ARMASTD(N395)</f>
        <v>ERRO - REVISAR</v>
      </c>
      <c r="I395" s="41" t="str">
        <f t="array" ref="I395">+CALIBRESTD(O395)</f>
        <v>ERRO - REVISAR</v>
      </c>
    </row>
    <row r="396" spans="1:9" ht="14.25" customHeight="1" x14ac:dyDescent="0.35">
      <c r="A396" t="str">
        <f t="array" ref="A396">EXTRACTEVENT(Q396,S396)</f>
        <v/>
      </c>
      <c r="B396" t="str">
        <f t="shared" si="18"/>
        <v>-</v>
      </c>
      <c r="C396" t="e">
        <f>+VLOOKUP(R396,Maps!$A:$C,2,0)</f>
        <v>#N/A</v>
      </c>
      <c r="D396" t="e">
        <f t="shared" si="19"/>
        <v>#VALUE!</v>
      </c>
      <c r="E396" s="39" t="e">
        <f t="shared" si="20"/>
        <v>#VALUE!</v>
      </c>
      <c r="F396" s="7" t="str">
        <f t="array" ref="F396">+TIPOARMA(H396,I396)</f>
        <v>ERRO - REVISAR</v>
      </c>
      <c r="H396" t="str">
        <f t="array" ref="H396">+ARMASTD(N396)</f>
        <v>ERRO - REVISAR</v>
      </c>
      <c r="I396" t="str">
        <f t="array" ref="I396">+CALIBRESTD(O396)</f>
        <v>ERRO - REVISAR</v>
      </c>
    </row>
    <row r="397" spans="1:9" ht="14.25" customHeight="1" x14ac:dyDescent="0.35">
      <c r="A397" s="41" t="str">
        <f t="array" ref="A397">EXTRACTEVENT(Q397,S397)</f>
        <v/>
      </c>
      <c r="B397" s="41" t="str">
        <f t="shared" si="18"/>
        <v>-</v>
      </c>
      <c r="C397" s="41" t="e">
        <f>+VLOOKUP(R397,Maps!$A:$C,2,0)</f>
        <v>#N/A</v>
      </c>
      <c r="D397" s="41" t="e">
        <f t="shared" si="19"/>
        <v>#VALUE!</v>
      </c>
      <c r="E397" s="42" t="e">
        <f t="shared" si="20"/>
        <v>#VALUE!</v>
      </c>
      <c r="F397" s="43" t="str">
        <f t="array" ref="F397">+TIPOARMA(H397,I397)</f>
        <v>ERRO - REVISAR</v>
      </c>
      <c r="G397" s="41"/>
      <c r="H397" s="41" t="str">
        <f t="array" ref="H397">+ARMASTD(N397)</f>
        <v>ERRO - REVISAR</v>
      </c>
      <c r="I397" s="41" t="str">
        <f t="array" ref="I397">+CALIBRESTD(O397)</f>
        <v>ERRO - REVISAR</v>
      </c>
    </row>
    <row r="398" spans="1:9" ht="14.25" customHeight="1" x14ac:dyDescent="0.35">
      <c r="A398" t="str">
        <f t="array" ref="A398">EXTRACTEVENT(Q398,S398)</f>
        <v/>
      </c>
      <c r="B398" t="str">
        <f t="shared" si="18"/>
        <v>-</v>
      </c>
      <c r="C398" t="e">
        <f>+VLOOKUP(R398,Maps!$A:$C,2,0)</f>
        <v>#N/A</v>
      </c>
      <c r="D398" t="e">
        <f t="shared" si="19"/>
        <v>#VALUE!</v>
      </c>
      <c r="E398" s="39" t="e">
        <f t="shared" si="20"/>
        <v>#VALUE!</v>
      </c>
      <c r="F398" s="7" t="str">
        <f t="array" ref="F398">+TIPOARMA(H398,I398)</f>
        <v>ERRO - REVISAR</v>
      </c>
      <c r="H398" t="str">
        <f t="array" ref="H398">+ARMASTD(N398)</f>
        <v>ERRO - REVISAR</v>
      </c>
      <c r="I398" t="str">
        <f t="array" ref="I398">+CALIBRESTD(O398)</f>
        <v>ERRO - REVISAR</v>
      </c>
    </row>
    <row r="399" spans="1:9" ht="14.25" customHeight="1" x14ac:dyDescent="0.35">
      <c r="A399" s="41" t="str">
        <f t="array" ref="A399">EXTRACTEVENT(Q399,S399)</f>
        <v/>
      </c>
      <c r="B399" s="41" t="str">
        <f t="shared" si="18"/>
        <v>-</v>
      </c>
      <c r="C399" s="41" t="e">
        <f>+VLOOKUP(R399,Maps!$A:$C,2,0)</f>
        <v>#N/A</v>
      </c>
      <c r="D399" s="41" t="e">
        <f t="shared" si="19"/>
        <v>#VALUE!</v>
      </c>
      <c r="E399" s="42" t="e">
        <f t="shared" si="20"/>
        <v>#VALUE!</v>
      </c>
      <c r="F399" s="43" t="str">
        <f t="array" ref="F399">+TIPOARMA(H399,I399)</f>
        <v>ERRO - REVISAR</v>
      </c>
      <c r="G399" s="41"/>
      <c r="H399" s="41" t="str">
        <f t="array" ref="H399">+ARMASTD(N399)</f>
        <v>ERRO - REVISAR</v>
      </c>
      <c r="I399" s="41" t="str">
        <f t="array" ref="I399">+CALIBRESTD(O399)</f>
        <v>ERRO - REVISAR</v>
      </c>
    </row>
    <row r="400" spans="1:9" ht="14.25" customHeight="1" x14ac:dyDescent="0.35">
      <c r="A400" t="str">
        <f t="array" ref="A400">EXTRACTEVENT(Q400,S400)</f>
        <v/>
      </c>
      <c r="B400" t="str">
        <f t="shared" si="18"/>
        <v>-</v>
      </c>
      <c r="C400" t="e">
        <f>+VLOOKUP(R400,Maps!$A:$C,2,0)</f>
        <v>#N/A</v>
      </c>
      <c r="D400" t="e">
        <f t="shared" si="19"/>
        <v>#VALUE!</v>
      </c>
      <c r="E400" s="39" t="e">
        <f t="shared" si="20"/>
        <v>#VALUE!</v>
      </c>
      <c r="F400" s="7" t="str">
        <f t="array" ref="F400">+TIPOARMA(H400,I400)</f>
        <v>ERRO - REVISAR</v>
      </c>
      <c r="H400" t="str">
        <f t="array" ref="H400">+ARMASTD(N400)</f>
        <v>ERRO - REVISAR</v>
      </c>
      <c r="I400" t="str">
        <f t="array" ref="I400">+CALIBRESTD(O400)</f>
        <v>ERRO - REVISAR</v>
      </c>
    </row>
    <row r="401" spans="1:9" ht="14.25" customHeight="1" x14ac:dyDescent="0.35">
      <c r="A401" s="41" t="str">
        <f t="array" ref="A401">EXTRACTEVENT(Q401,S401)</f>
        <v/>
      </c>
      <c r="B401" s="41" t="str">
        <f t="shared" si="18"/>
        <v>-</v>
      </c>
      <c r="C401" s="41" t="e">
        <f>+VLOOKUP(R401,Maps!$A:$C,2,0)</f>
        <v>#N/A</v>
      </c>
      <c r="D401" s="41" t="e">
        <f t="shared" si="19"/>
        <v>#VALUE!</v>
      </c>
      <c r="E401" s="42" t="e">
        <f t="shared" si="20"/>
        <v>#VALUE!</v>
      </c>
      <c r="F401" s="43" t="str">
        <f t="array" ref="F401">+TIPOARMA(H401,I401)</f>
        <v>ERRO - REVISAR</v>
      </c>
      <c r="G401" s="41"/>
      <c r="H401" s="41" t="str">
        <f t="array" ref="H401">+ARMASTD(N401)</f>
        <v>ERRO - REVISAR</v>
      </c>
      <c r="I401" s="41" t="str">
        <f t="array" ref="I401">+CALIBRESTD(O401)</f>
        <v>ERRO - REVISAR</v>
      </c>
    </row>
    <row r="402" spans="1:9" ht="14.25" customHeight="1" x14ac:dyDescent="0.35">
      <c r="A402" t="str">
        <f t="array" ref="A402">EXTRACTEVENT(Q402,S402)</f>
        <v/>
      </c>
      <c r="B402" t="str">
        <f t="shared" si="18"/>
        <v>-</v>
      </c>
      <c r="C402" t="e">
        <f>+VLOOKUP(R402,Maps!$A:$C,2,0)</f>
        <v>#N/A</v>
      </c>
      <c r="D402" t="e">
        <f t="shared" si="19"/>
        <v>#VALUE!</v>
      </c>
      <c r="E402" s="39" t="e">
        <f t="shared" si="20"/>
        <v>#VALUE!</v>
      </c>
      <c r="F402" s="7" t="str">
        <f t="array" ref="F402">+TIPOARMA(H402,I402)</f>
        <v>ERRO - REVISAR</v>
      </c>
      <c r="H402" t="str">
        <f t="array" ref="H402">+ARMASTD(N402)</f>
        <v>ERRO - REVISAR</v>
      </c>
      <c r="I402" t="str">
        <f t="array" ref="I402">+CALIBRESTD(O402)</f>
        <v>ERRO - REVISAR</v>
      </c>
    </row>
    <row r="403" spans="1:9" ht="14.25" customHeight="1" x14ac:dyDescent="0.35">
      <c r="A403" s="41" t="str">
        <f t="array" ref="A403">EXTRACTEVENT(Q403,S403)</f>
        <v/>
      </c>
      <c r="B403" s="41" t="str">
        <f t="shared" si="18"/>
        <v>-</v>
      </c>
      <c r="C403" s="41" t="e">
        <f>+VLOOKUP(R403,Maps!$A:$C,2,0)</f>
        <v>#N/A</v>
      </c>
      <c r="D403" s="41" t="e">
        <f t="shared" si="19"/>
        <v>#VALUE!</v>
      </c>
      <c r="E403" s="42" t="e">
        <f t="shared" si="20"/>
        <v>#VALUE!</v>
      </c>
      <c r="F403" s="43" t="str">
        <f t="array" ref="F403">+TIPOARMA(H403,I403)</f>
        <v>ERRO - REVISAR</v>
      </c>
      <c r="G403" s="41"/>
      <c r="H403" s="41" t="str">
        <f t="array" ref="H403">+ARMASTD(N403)</f>
        <v>ERRO - REVISAR</v>
      </c>
      <c r="I403" s="41" t="str">
        <f t="array" ref="I403">+CALIBRESTD(O403)</f>
        <v>ERRO - REVISAR</v>
      </c>
    </row>
    <row r="404" spans="1:9" ht="14.25" customHeight="1" x14ac:dyDescent="0.35">
      <c r="A404" t="str">
        <f t="array" ref="A404">EXTRACTEVENT(Q404,S404)</f>
        <v/>
      </c>
      <c r="B404" t="str">
        <f t="shared" si="18"/>
        <v>-</v>
      </c>
      <c r="C404" t="e">
        <f>+VLOOKUP(R404,Maps!$A:$C,2,0)</f>
        <v>#N/A</v>
      </c>
      <c r="D404" t="e">
        <f t="shared" si="19"/>
        <v>#VALUE!</v>
      </c>
      <c r="E404" s="39" t="e">
        <f t="shared" si="20"/>
        <v>#VALUE!</v>
      </c>
      <c r="F404" s="7" t="str">
        <f t="array" ref="F404">+TIPOARMA(H404,I404)</f>
        <v>ERRO - REVISAR</v>
      </c>
      <c r="H404" t="str">
        <f t="array" ref="H404">+ARMASTD(N404)</f>
        <v>ERRO - REVISAR</v>
      </c>
      <c r="I404" t="str">
        <f t="array" ref="I404">+CALIBRESTD(O404)</f>
        <v>ERRO - REVISAR</v>
      </c>
    </row>
    <row r="405" spans="1:9" ht="14.25" customHeight="1" x14ac:dyDescent="0.35">
      <c r="A405" s="41" t="str">
        <f t="array" ref="A405">EXTRACTEVENT(Q405,S405)</f>
        <v/>
      </c>
      <c r="B405" s="41" t="str">
        <f t="shared" si="18"/>
        <v>-</v>
      </c>
      <c r="C405" s="41" t="e">
        <f>+VLOOKUP(R405,Maps!$A:$C,2,0)</f>
        <v>#N/A</v>
      </c>
      <c r="D405" s="41" t="e">
        <f t="shared" si="19"/>
        <v>#VALUE!</v>
      </c>
      <c r="E405" s="42" t="e">
        <f t="shared" si="20"/>
        <v>#VALUE!</v>
      </c>
      <c r="F405" s="43" t="str">
        <f t="array" ref="F405">+TIPOARMA(H405,I405)</f>
        <v>ERRO - REVISAR</v>
      </c>
      <c r="G405" s="41"/>
      <c r="H405" s="41" t="str">
        <f t="array" ref="H405">+ARMASTD(N405)</f>
        <v>ERRO - REVISAR</v>
      </c>
      <c r="I405" s="41" t="str">
        <f t="array" ref="I405">+CALIBRESTD(O405)</f>
        <v>ERRO - REVISAR</v>
      </c>
    </row>
    <row r="406" spans="1:9" ht="14.25" customHeight="1" x14ac:dyDescent="0.35">
      <c r="A406" t="str">
        <f t="array" ref="A406">EXTRACTEVENT(Q406,S406)</f>
        <v/>
      </c>
      <c r="B406" t="str">
        <f t="shared" si="18"/>
        <v>-</v>
      </c>
      <c r="C406" t="e">
        <f>+VLOOKUP(R406,Maps!$A:$C,2,0)</f>
        <v>#N/A</v>
      </c>
      <c r="D406" t="e">
        <f t="shared" si="19"/>
        <v>#VALUE!</v>
      </c>
      <c r="E406" s="39" t="e">
        <f t="shared" si="20"/>
        <v>#VALUE!</v>
      </c>
      <c r="F406" s="7" t="str">
        <f t="array" ref="F406">+TIPOARMA(H406,I406)</f>
        <v>ERRO - REVISAR</v>
      </c>
      <c r="H406" t="str">
        <f t="array" ref="H406">+ARMASTD(N406)</f>
        <v>ERRO - REVISAR</v>
      </c>
      <c r="I406" t="str">
        <f t="array" ref="I406">+CALIBRESTD(O406)</f>
        <v>ERRO - REVISAR</v>
      </c>
    </row>
    <row r="407" spans="1:9" ht="14.25" customHeight="1" x14ac:dyDescent="0.35">
      <c r="A407" s="41" t="str">
        <f t="array" ref="A407">EXTRACTEVENT(Q407,S407)</f>
        <v/>
      </c>
      <c r="B407" s="41" t="str">
        <f t="shared" si="18"/>
        <v>-</v>
      </c>
      <c r="C407" s="41" t="e">
        <f>+VLOOKUP(R407,Maps!$A:$C,2,0)</f>
        <v>#N/A</v>
      </c>
      <c r="D407" s="41" t="e">
        <f t="shared" si="19"/>
        <v>#VALUE!</v>
      </c>
      <c r="E407" s="42" t="e">
        <f t="shared" si="20"/>
        <v>#VALUE!</v>
      </c>
      <c r="F407" s="43" t="str">
        <f t="array" ref="F407">+TIPOARMA(H407,I407)</f>
        <v>ERRO - REVISAR</v>
      </c>
      <c r="G407" s="41"/>
      <c r="H407" s="41" t="str">
        <f t="array" ref="H407">+ARMASTD(N407)</f>
        <v>ERRO - REVISAR</v>
      </c>
      <c r="I407" s="41" t="str">
        <f t="array" ref="I407">+CALIBRESTD(O407)</f>
        <v>ERRO - REVISAR</v>
      </c>
    </row>
    <row r="408" spans="1:9" ht="14.25" customHeight="1" x14ac:dyDescent="0.35">
      <c r="A408" t="str">
        <f t="array" ref="A408">EXTRACTEVENT(Q408,S408)</f>
        <v/>
      </c>
      <c r="B408" t="str">
        <f t="shared" si="18"/>
        <v>-</v>
      </c>
      <c r="C408" t="e">
        <f>+VLOOKUP(R408,Maps!$A:$C,2,0)</f>
        <v>#N/A</v>
      </c>
      <c r="D408" t="e">
        <f t="shared" si="19"/>
        <v>#VALUE!</v>
      </c>
      <c r="E408" s="39" t="e">
        <f t="shared" si="20"/>
        <v>#VALUE!</v>
      </c>
      <c r="F408" s="7" t="str">
        <f t="array" ref="F408">+TIPOARMA(H408,I408)</f>
        <v>ERRO - REVISAR</v>
      </c>
      <c r="H408" t="str">
        <f t="array" ref="H408">+ARMASTD(N408)</f>
        <v>ERRO - REVISAR</v>
      </c>
      <c r="I408" t="str">
        <f t="array" ref="I408">+CALIBRESTD(O408)</f>
        <v>ERRO - REVISAR</v>
      </c>
    </row>
    <row r="409" spans="1:9" ht="14.25" customHeight="1" x14ac:dyDescent="0.35">
      <c r="A409" s="41" t="str">
        <f t="array" ref="A409">EXTRACTEVENT(Q409,S409)</f>
        <v/>
      </c>
      <c r="B409" s="41" t="str">
        <f t="shared" si="18"/>
        <v>-</v>
      </c>
      <c r="C409" s="41" t="e">
        <f>+VLOOKUP(R409,Maps!$A:$C,2,0)</f>
        <v>#N/A</v>
      </c>
      <c r="D409" s="41" t="e">
        <f t="shared" si="19"/>
        <v>#VALUE!</v>
      </c>
      <c r="E409" s="42" t="e">
        <f t="shared" si="20"/>
        <v>#VALUE!</v>
      </c>
      <c r="F409" s="43" t="str">
        <f t="array" ref="F409">+TIPOARMA(H409,I409)</f>
        <v>ERRO - REVISAR</v>
      </c>
      <c r="G409" s="41"/>
      <c r="H409" s="41" t="str">
        <f t="array" ref="H409">+ARMASTD(N409)</f>
        <v>ERRO - REVISAR</v>
      </c>
      <c r="I409" s="41" t="str">
        <f t="array" ref="I409">+CALIBRESTD(O409)</f>
        <v>ERRO - REVISAR</v>
      </c>
    </row>
    <row r="410" spans="1:9" ht="14.25" customHeight="1" x14ac:dyDescent="0.35">
      <c r="A410" t="str">
        <f t="array" ref="A410">EXTRACTEVENT(Q410,S410)</f>
        <v/>
      </c>
      <c r="B410" t="str">
        <f t="shared" si="18"/>
        <v>-</v>
      </c>
      <c r="C410" t="e">
        <f>+VLOOKUP(R410,Maps!$A:$C,2,0)</f>
        <v>#N/A</v>
      </c>
      <c r="D410" t="e">
        <f t="shared" si="19"/>
        <v>#VALUE!</v>
      </c>
      <c r="E410" s="39" t="e">
        <f t="shared" si="20"/>
        <v>#VALUE!</v>
      </c>
      <c r="F410" s="7" t="str">
        <f t="array" ref="F410">+TIPOARMA(H410,I410)</f>
        <v>ERRO - REVISAR</v>
      </c>
      <c r="H410" t="str">
        <f t="array" ref="H410">+ARMASTD(N410)</f>
        <v>ERRO - REVISAR</v>
      </c>
      <c r="I410" t="str">
        <f t="array" ref="I410">+CALIBRESTD(O410)</f>
        <v>ERRO - REVISAR</v>
      </c>
    </row>
    <row r="411" spans="1:9" ht="14.25" customHeight="1" x14ac:dyDescent="0.35">
      <c r="A411" s="41" t="str">
        <f t="array" ref="A411">EXTRACTEVENT(Q411,S411)</f>
        <v/>
      </c>
      <c r="B411" s="41" t="str">
        <f t="shared" si="18"/>
        <v>-</v>
      </c>
      <c r="C411" s="41" t="e">
        <f>+VLOOKUP(R411,Maps!$A:$C,2,0)</f>
        <v>#N/A</v>
      </c>
      <c r="D411" s="41" t="e">
        <f t="shared" si="19"/>
        <v>#VALUE!</v>
      </c>
      <c r="E411" s="42" t="e">
        <f t="shared" si="20"/>
        <v>#VALUE!</v>
      </c>
      <c r="F411" s="43" t="str">
        <f t="array" ref="F411">+TIPOARMA(H411,I411)</f>
        <v>ERRO - REVISAR</v>
      </c>
      <c r="G411" s="41"/>
      <c r="H411" s="41" t="str">
        <f t="array" ref="H411">+ARMASTD(N411)</f>
        <v>ERRO - REVISAR</v>
      </c>
      <c r="I411" s="41" t="str">
        <f t="array" ref="I411">+CALIBRESTD(O411)</f>
        <v>ERRO - REVISAR</v>
      </c>
    </row>
    <row r="412" spans="1:9" ht="14.25" customHeight="1" x14ac:dyDescent="0.35">
      <c r="A412" t="str">
        <f t="array" ref="A412">EXTRACTEVENT(Q412,S412)</f>
        <v/>
      </c>
      <c r="B412" t="str">
        <f t="shared" si="18"/>
        <v>-</v>
      </c>
      <c r="C412" t="e">
        <f>+VLOOKUP(R412,Maps!$A:$C,2,0)</f>
        <v>#N/A</v>
      </c>
      <c r="D412" t="e">
        <f t="shared" si="19"/>
        <v>#VALUE!</v>
      </c>
      <c r="E412" s="39" t="e">
        <f t="shared" si="20"/>
        <v>#VALUE!</v>
      </c>
      <c r="F412" s="7" t="str">
        <f t="array" ref="F412">+TIPOARMA(H412,I412)</f>
        <v>ERRO - REVISAR</v>
      </c>
      <c r="H412" t="str">
        <f t="array" ref="H412">+ARMASTD(N412)</f>
        <v>ERRO - REVISAR</v>
      </c>
      <c r="I412" t="str">
        <f t="array" ref="I412">+CALIBRESTD(O412)</f>
        <v>ERRO - REVISAR</v>
      </c>
    </row>
    <row r="413" spans="1:9" ht="14.25" customHeight="1" x14ac:dyDescent="0.35">
      <c r="A413" s="41" t="str">
        <f t="array" ref="A413">EXTRACTEVENT(Q413,S413)</f>
        <v/>
      </c>
      <c r="B413" s="41" t="str">
        <f t="shared" si="18"/>
        <v>-</v>
      </c>
      <c r="C413" s="41" t="e">
        <f>+VLOOKUP(R413,Maps!$A:$C,2,0)</f>
        <v>#N/A</v>
      </c>
      <c r="D413" s="41" t="e">
        <f t="shared" si="19"/>
        <v>#VALUE!</v>
      </c>
      <c r="E413" s="42" t="e">
        <f t="shared" si="20"/>
        <v>#VALUE!</v>
      </c>
      <c r="F413" s="43" t="str">
        <f t="array" ref="F413">+TIPOARMA(H413,I413)</f>
        <v>ERRO - REVISAR</v>
      </c>
      <c r="G413" s="41"/>
      <c r="H413" s="41" t="str">
        <f t="array" ref="H413">+ARMASTD(N413)</f>
        <v>ERRO - REVISAR</v>
      </c>
      <c r="I413" s="41" t="str">
        <f t="array" ref="I413">+CALIBRESTD(O413)</f>
        <v>ERRO - REVISAR</v>
      </c>
    </row>
    <row r="414" spans="1:9" ht="14.25" customHeight="1" x14ac:dyDescent="0.35">
      <c r="A414" t="str">
        <f t="array" ref="A414">EXTRACTEVENT(Q414,S414)</f>
        <v/>
      </c>
      <c r="B414" t="str">
        <f t="shared" si="18"/>
        <v>-</v>
      </c>
      <c r="C414" t="e">
        <f>+VLOOKUP(R414,Maps!$A:$C,2,0)</f>
        <v>#N/A</v>
      </c>
      <c r="D414" t="e">
        <f t="shared" si="19"/>
        <v>#VALUE!</v>
      </c>
      <c r="E414" s="39" t="e">
        <f t="shared" si="20"/>
        <v>#VALUE!</v>
      </c>
      <c r="F414" s="7" t="str">
        <f t="array" ref="F414">+TIPOARMA(H414,I414)</f>
        <v>ERRO - REVISAR</v>
      </c>
      <c r="H414" t="str">
        <f t="array" ref="H414">+ARMASTD(N414)</f>
        <v>ERRO - REVISAR</v>
      </c>
      <c r="I414" t="str">
        <f t="array" ref="I414">+CALIBRESTD(O414)</f>
        <v>ERRO - REVISAR</v>
      </c>
    </row>
    <row r="415" spans="1:9" ht="14.25" customHeight="1" x14ac:dyDescent="0.35">
      <c r="A415" s="41" t="str">
        <f t="array" ref="A415">EXTRACTEVENT(Q415,S415)</f>
        <v/>
      </c>
      <c r="B415" s="41" t="str">
        <f t="shared" si="18"/>
        <v>-</v>
      </c>
      <c r="C415" s="41" t="e">
        <f>+VLOOKUP(R415,Maps!$A:$C,2,0)</f>
        <v>#N/A</v>
      </c>
      <c r="D415" s="41" t="e">
        <f t="shared" si="19"/>
        <v>#VALUE!</v>
      </c>
      <c r="E415" s="42" t="e">
        <f t="shared" si="20"/>
        <v>#VALUE!</v>
      </c>
      <c r="F415" s="43" t="str">
        <f t="array" ref="F415">+TIPOARMA(H415,I415)</f>
        <v>ERRO - REVISAR</v>
      </c>
      <c r="G415" s="41"/>
      <c r="H415" s="41" t="str">
        <f t="array" ref="H415">+ARMASTD(N415)</f>
        <v>ERRO - REVISAR</v>
      </c>
      <c r="I415" s="41" t="str">
        <f t="array" ref="I415">+CALIBRESTD(O415)</f>
        <v>ERRO - REVISAR</v>
      </c>
    </row>
    <row r="416" spans="1:9" ht="14.25" customHeight="1" x14ac:dyDescent="0.35">
      <c r="A416" t="str">
        <f t="array" ref="A416">EXTRACTEVENT(Q416,S416)</f>
        <v/>
      </c>
      <c r="B416" t="str">
        <f t="shared" si="18"/>
        <v>-</v>
      </c>
      <c r="C416" t="e">
        <f>+VLOOKUP(R416,Maps!$A:$C,2,0)</f>
        <v>#N/A</v>
      </c>
      <c r="D416" t="e">
        <f t="shared" si="19"/>
        <v>#VALUE!</v>
      </c>
      <c r="E416" s="39" t="e">
        <f t="shared" si="20"/>
        <v>#VALUE!</v>
      </c>
      <c r="F416" s="7" t="str">
        <f t="array" ref="F416">+TIPOARMA(H416,I416)</f>
        <v>ERRO - REVISAR</v>
      </c>
      <c r="H416" t="str">
        <f t="array" ref="H416">+ARMASTD(N416)</f>
        <v>ERRO - REVISAR</v>
      </c>
      <c r="I416" t="str">
        <f t="array" ref="I416">+CALIBRESTD(O416)</f>
        <v>ERRO - REVISAR</v>
      </c>
    </row>
    <row r="417" spans="1:9" ht="14.25" customHeight="1" x14ac:dyDescent="0.35">
      <c r="A417" s="41" t="str">
        <f t="array" ref="A417">EXTRACTEVENT(Q417,S417)</f>
        <v/>
      </c>
      <c r="B417" s="41" t="str">
        <f t="shared" si="18"/>
        <v>-</v>
      </c>
      <c r="C417" s="41" t="e">
        <f>+VLOOKUP(R417,Maps!$A:$C,2,0)</f>
        <v>#N/A</v>
      </c>
      <c r="D417" s="41" t="e">
        <f t="shared" si="19"/>
        <v>#VALUE!</v>
      </c>
      <c r="E417" s="42" t="e">
        <f t="shared" si="20"/>
        <v>#VALUE!</v>
      </c>
      <c r="F417" s="43" t="str">
        <f t="array" ref="F417">+TIPOARMA(H417,I417)</f>
        <v>ERRO - REVISAR</v>
      </c>
      <c r="G417" s="41"/>
      <c r="H417" s="41" t="str">
        <f t="array" ref="H417">+ARMASTD(N417)</f>
        <v>ERRO - REVISAR</v>
      </c>
      <c r="I417" s="41" t="str">
        <f t="array" ref="I417">+CALIBRESTD(O417)</f>
        <v>ERRO - REVISAR</v>
      </c>
    </row>
    <row r="418" spans="1:9" ht="14.25" customHeight="1" x14ac:dyDescent="0.35">
      <c r="A418" t="str">
        <f t="array" ref="A418">EXTRACTEVENT(Q418,S418)</f>
        <v/>
      </c>
      <c r="B418" t="str">
        <f t="shared" si="18"/>
        <v>-</v>
      </c>
      <c r="C418" t="e">
        <f>+VLOOKUP(R418,Maps!$A:$C,2,0)</f>
        <v>#N/A</v>
      </c>
      <c r="D418" t="e">
        <f t="shared" si="19"/>
        <v>#VALUE!</v>
      </c>
      <c r="E418" s="39" t="e">
        <f t="shared" si="20"/>
        <v>#VALUE!</v>
      </c>
      <c r="F418" s="7" t="str">
        <f t="array" ref="F418">+TIPOARMA(H418,I418)</f>
        <v>ERRO - REVISAR</v>
      </c>
      <c r="H418" t="str">
        <f t="array" ref="H418">+ARMASTD(N418)</f>
        <v>ERRO - REVISAR</v>
      </c>
      <c r="I418" t="str">
        <f t="array" ref="I418">+CALIBRESTD(O418)</f>
        <v>ERRO - REVISAR</v>
      </c>
    </row>
    <row r="419" spans="1:9" ht="14.25" customHeight="1" x14ac:dyDescent="0.35">
      <c r="A419" s="41" t="str">
        <f t="array" ref="A419">EXTRACTEVENT(Q419,S419)</f>
        <v/>
      </c>
      <c r="B419" s="41" t="str">
        <f t="shared" si="18"/>
        <v>-</v>
      </c>
      <c r="C419" s="41" t="e">
        <f>+VLOOKUP(R419,Maps!$A:$C,2,0)</f>
        <v>#N/A</v>
      </c>
      <c r="D419" s="41" t="e">
        <f t="shared" si="19"/>
        <v>#VALUE!</v>
      </c>
      <c r="E419" s="42" t="e">
        <f t="shared" si="20"/>
        <v>#VALUE!</v>
      </c>
      <c r="F419" s="43" t="str">
        <f t="array" ref="F419">+TIPOARMA(H419,I419)</f>
        <v>ERRO - REVISAR</v>
      </c>
      <c r="G419" s="41"/>
      <c r="H419" s="41" t="str">
        <f t="array" ref="H419">+ARMASTD(N419)</f>
        <v>ERRO - REVISAR</v>
      </c>
      <c r="I419" s="41" t="str">
        <f t="array" ref="I419">+CALIBRESTD(O419)</f>
        <v>ERRO - REVISAR</v>
      </c>
    </row>
    <row r="420" spans="1:9" ht="14.25" customHeight="1" x14ac:dyDescent="0.35">
      <c r="A420" t="str">
        <f t="array" ref="A420">EXTRACTEVENT(Q420,S420)</f>
        <v/>
      </c>
      <c r="B420" t="str">
        <f t="shared" si="18"/>
        <v>-</v>
      </c>
      <c r="C420" t="e">
        <f>+VLOOKUP(R420,Maps!$A:$C,2,0)</f>
        <v>#N/A</v>
      </c>
      <c r="D420" t="e">
        <f t="shared" si="19"/>
        <v>#VALUE!</v>
      </c>
      <c r="E420" s="39" t="e">
        <f t="shared" si="20"/>
        <v>#VALUE!</v>
      </c>
      <c r="F420" s="7" t="str">
        <f t="array" ref="F420">+TIPOARMA(H420,I420)</f>
        <v>ERRO - REVISAR</v>
      </c>
      <c r="H420" t="str">
        <f t="array" ref="H420">+ARMASTD(N420)</f>
        <v>ERRO - REVISAR</v>
      </c>
      <c r="I420" t="str">
        <f t="array" ref="I420">+CALIBRESTD(O420)</f>
        <v>ERRO - REVISAR</v>
      </c>
    </row>
    <row r="421" spans="1:9" ht="14.25" customHeight="1" x14ac:dyDescent="0.35">
      <c r="A421" s="41" t="str">
        <f t="array" ref="A421">EXTRACTEVENT(Q421,S421)</f>
        <v/>
      </c>
      <c r="B421" s="41" t="str">
        <f t="shared" si="18"/>
        <v>-</v>
      </c>
      <c r="C421" s="41" t="e">
        <f>+VLOOKUP(R421,Maps!$A:$C,2,0)</f>
        <v>#N/A</v>
      </c>
      <c r="D421" s="41" t="e">
        <f t="shared" si="19"/>
        <v>#VALUE!</v>
      </c>
      <c r="E421" s="42" t="e">
        <f t="shared" si="20"/>
        <v>#VALUE!</v>
      </c>
      <c r="F421" s="43" t="str">
        <f t="array" ref="F421">+TIPOARMA(H421,I421)</f>
        <v>ERRO - REVISAR</v>
      </c>
      <c r="G421" s="41"/>
      <c r="H421" s="41" t="str">
        <f t="array" ref="H421">+ARMASTD(N421)</f>
        <v>ERRO - REVISAR</v>
      </c>
      <c r="I421" s="41" t="str">
        <f t="array" ref="I421">+CALIBRESTD(O421)</f>
        <v>ERRO - REVISAR</v>
      </c>
    </row>
    <row r="422" spans="1:9" ht="14.25" customHeight="1" x14ac:dyDescent="0.35">
      <c r="A422" t="str">
        <f t="array" ref="A422">EXTRACTEVENT(Q422,S422)</f>
        <v/>
      </c>
      <c r="B422" t="str">
        <f t="shared" si="18"/>
        <v>-</v>
      </c>
      <c r="C422" t="e">
        <f>+VLOOKUP(R422,Maps!$A:$C,2,0)</f>
        <v>#N/A</v>
      </c>
      <c r="D422" t="e">
        <f t="shared" si="19"/>
        <v>#VALUE!</v>
      </c>
      <c r="E422" s="39" t="e">
        <f t="shared" si="20"/>
        <v>#VALUE!</v>
      </c>
      <c r="F422" s="7" t="str">
        <f t="array" ref="F422">+TIPOARMA(H422,I422)</f>
        <v>ERRO - REVISAR</v>
      </c>
      <c r="H422" t="str">
        <f t="array" ref="H422">+ARMASTD(N422)</f>
        <v>ERRO - REVISAR</v>
      </c>
      <c r="I422" t="str">
        <f t="array" ref="I422">+CALIBRESTD(O422)</f>
        <v>ERRO - REVISAR</v>
      </c>
    </row>
    <row r="423" spans="1:9" ht="14.25" customHeight="1" x14ac:dyDescent="0.35">
      <c r="A423" s="41" t="str">
        <f t="array" ref="A423">EXTRACTEVENT(Q423,S423)</f>
        <v/>
      </c>
      <c r="B423" s="41" t="str">
        <f t="shared" si="18"/>
        <v>-</v>
      </c>
      <c r="C423" s="41" t="e">
        <f>+VLOOKUP(R423,Maps!$A:$C,2,0)</f>
        <v>#N/A</v>
      </c>
      <c r="D423" s="41" t="e">
        <f t="shared" si="19"/>
        <v>#VALUE!</v>
      </c>
      <c r="E423" s="42" t="e">
        <f t="shared" si="20"/>
        <v>#VALUE!</v>
      </c>
      <c r="F423" s="43" t="str">
        <f t="array" ref="F423">+TIPOARMA(H423,I423)</f>
        <v>ERRO - REVISAR</v>
      </c>
      <c r="G423" s="41"/>
      <c r="H423" s="41" t="str">
        <f t="array" ref="H423">+ARMASTD(N423)</f>
        <v>ERRO - REVISAR</v>
      </c>
      <c r="I423" s="41" t="str">
        <f t="array" ref="I423">+CALIBRESTD(O423)</f>
        <v>ERRO - REVISAR</v>
      </c>
    </row>
    <row r="424" spans="1:9" ht="14.25" customHeight="1" x14ac:dyDescent="0.35">
      <c r="A424" t="str">
        <f t="array" ref="A424">EXTRACTEVENT(Q424,S424)</f>
        <v/>
      </c>
      <c r="B424" t="str">
        <f t="shared" si="18"/>
        <v>-</v>
      </c>
      <c r="C424" t="e">
        <f>+VLOOKUP(R424,Maps!$A:$C,2,0)</f>
        <v>#N/A</v>
      </c>
      <c r="D424" t="e">
        <f t="shared" si="19"/>
        <v>#VALUE!</v>
      </c>
      <c r="E424" s="39" t="e">
        <f t="shared" si="20"/>
        <v>#VALUE!</v>
      </c>
      <c r="F424" s="7" t="str">
        <f t="array" ref="F424">+TIPOARMA(H424,I424)</f>
        <v>ERRO - REVISAR</v>
      </c>
      <c r="H424" t="str">
        <f t="array" ref="H424">+ARMASTD(N424)</f>
        <v>ERRO - REVISAR</v>
      </c>
      <c r="I424" t="str">
        <f t="array" ref="I424">+CALIBRESTD(O424)</f>
        <v>ERRO - REVISAR</v>
      </c>
    </row>
    <row r="425" spans="1:9" ht="14.25" customHeight="1" x14ac:dyDescent="0.35">
      <c r="A425" s="41" t="str">
        <f t="array" ref="A425">EXTRACTEVENT(Q425,S425)</f>
        <v/>
      </c>
      <c r="B425" s="41" t="str">
        <f t="shared" si="18"/>
        <v>-</v>
      </c>
      <c r="C425" s="41" t="e">
        <f>+VLOOKUP(R425,Maps!$A:$C,2,0)</f>
        <v>#N/A</v>
      </c>
      <c r="D425" s="41" t="e">
        <f t="shared" si="19"/>
        <v>#VALUE!</v>
      </c>
      <c r="E425" s="42" t="e">
        <f t="shared" si="20"/>
        <v>#VALUE!</v>
      </c>
      <c r="F425" s="43" t="str">
        <f t="array" ref="F425">+TIPOARMA(H425,I425)</f>
        <v>ERRO - REVISAR</v>
      </c>
      <c r="G425" s="41"/>
      <c r="H425" s="41" t="str">
        <f t="array" ref="H425">+ARMASTD(N425)</f>
        <v>ERRO - REVISAR</v>
      </c>
      <c r="I425" s="41" t="str">
        <f t="array" ref="I425">+CALIBRESTD(O425)</f>
        <v>ERRO - REVISAR</v>
      </c>
    </row>
    <row r="426" spans="1:9" ht="14.25" customHeight="1" x14ac:dyDescent="0.35">
      <c r="A426" t="str">
        <f t="array" ref="A426">EXTRACTEVENT(Q426,S426)</f>
        <v/>
      </c>
      <c r="B426" t="str">
        <f t="shared" si="18"/>
        <v>-</v>
      </c>
      <c r="C426" t="e">
        <f>+VLOOKUP(R426,Maps!$A:$C,2,0)</f>
        <v>#N/A</v>
      </c>
      <c r="D426" t="e">
        <f t="shared" si="19"/>
        <v>#VALUE!</v>
      </c>
      <c r="E426" s="39" t="e">
        <f t="shared" si="20"/>
        <v>#VALUE!</v>
      </c>
      <c r="F426" s="7" t="str">
        <f t="array" ref="F426">+TIPOARMA(H426,I426)</f>
        <v>ERRO - REVISAR</v>
      </c>
      <c r="H426" t="str">
        <f t="array" ref="H426">+ARMASTD(N426)</f>
        <v>ERRO - REVISAR</v>
      </c>
      <c r="I426" t="str">
        <f t="array" ref="I426">+CALIBRESTD(O426)</f>
        <v>ERRO - REVISAR</v>
      </c>
    </row>
    <row r="427" spans="1:9" ht="14.25" customHeight="1" x14ac:dyDescent="0.35">
      <c r="A427" s="41" t="str">
        <f t="array" ref="A427">EXTRACTEVENT(Q427,S427)</f>
        <v/>
      </c>
      <c r="B427" s="41" t="str">
        <f t="shared" si="18"/>
        <v>-</v>
      </c>
      <c r="C427" s="41" t="e">
        <f>+VLOOKUP(R427,Maps!$A:$C,2,0)</f>
        <v>#N/A</v>
      </c>
      <c r="D427" s="41" t="e">
        <f t="shared" si="19"/>
        <v>#VALUE!</v>
      </c>
      <c r="E427" s="42" t="e">
        <f t="shared" si="20"/>
        <v>#VALUE!</v>
      </c>
      <c r="F427" s="43" t="str">
        <f t="array" ref="F427">+TIPOARMA(H427,I427)</f>
        <v>ERRO - REVISAR</v>
      </c>
      <c r="G427" s="41"/>
      <c r="H427" s="41" t="str">
        <f t="array" ref="H427">+ARMASTD(N427)</f>
        <v>ERRO - REVISAR</v>
      </c>
      <c r="I427" s="41" t="str">
        <f t="array" ref="I427">+CALIBRESTD(O427)</f>
        <v>ERRO - REVISAR</v>
      </c>
    </row>
    <row r="428" spans="1:9" ht="14.25" customHeight="1" x14ac:dyDescent="0.35">
      <c r="A428" t="str">
        <f t="array" ref="A428">EXTRACTEVENT(Q428,S428)</f>
        <v/>
      </c>
      <c r="B428" t="str">
        <f t="shared" si="18"/>
        <v>-</v>
      </c>
      <c r="C428" t="e">
        <f>+VLOOKUP(R428,Maps!$A:$C,2,0)</f>
        <v>#N/A</v>
      </c>
      <c r="D428" t="e">
        <f t="shared" si="19"/>
        <v>#VALUE!</v>
      </c>
      <c r="E428" s="39" t="e">
        <f t="shared" si="20"/>
        <v>#VALUE!</v>
      </c>
      <c r="F428" s="7" t="str">
        <f t="array" ref="F428">+TIPOARMA(H428,I428)</f>
        <v>ERRO - REVISAR</v>
      </c>
      <c r="H428" t="str">
        <f t="array" ref="H428">+ARMASTD(N428)</f>
        <v>ERRO - REVISAR</v>
      </c>
      <c r="I428" t="str">
        <f t="array" ref="I428">+CALIBRESTD(O428)</f>
        <v>ERRO - REVISAR</v>
      </c>
    </row>
    <row r="429" spans="1:9" ht="14.25" customHeight="1" x14ac:dyDescent="0.35">
      <c r="A429" s="41" t="str">
        <f t="array" ref="A429">EXTRACTEVENT(Q429,S429)</f>
        <v/>
      </c>
      <c r="B429" s="41" t="str">
        <f t="shared" si="18"/>
        <v>-</v>
      </c>
      <c r="C429" s="41" t="e">
        <f>+VLOOKUP(R429,Maps!$A:$C,2,0)</f>
        <v>#N/A</v>
      </c>
      <c r="D429" s="41" t="e">
        <f t="shared" si="19"/>
        <v>#VALUE!</v>
      </c>
      <c r="E429" s="42" t="e">
        <f t="shared" si="20"/>
        <v>#VALUE!</v>
      </c>
      <c r="F429" s="43" t="str">
        <f t="array" ref="F429">+TIPOARMA(H429,I429)</f>
        <v>ERRO - REVISAR</v>
      </c>
      <c r="G429" s="41"/>
      <c r="H429" s="41" t="str">
        <f t="array" ref="H429">+ARMASTD(N429)</f>
        <v>ERRO - REVISAR</v>
      </c>
      <c r="I429" s="41" t="str">
        <f t="array" ref="I429">+CALIBRESTD(O429)</f>
        <v>ERRO - REVISAR</v>
      </c>
    </row>
    <row r="430" spans="1:9" ht="14.25" customHeight="1" x14ac:dyDescent="0.35">
      <c r="A430" t="str">
        <f t="array" ref="A430">EXTRACTEVENT(Q430,S430)</f>
        <v/>
      </c>
      <c r="B430" t="str">
        <f t="shared" si="18"/>
        <v>-</v>
      </c>
      <c r="C430" t="e">
        <f>+VLOOKUP(R430,Maps!$A:$C,2,0)</f>
        <v>#N/A</v>
      </c>
      <c r="D430" t="e">
        <f t="shared" si="19"/>
        <v>#VALUE!</v>
      </c>
      <c r="E430" s="39" t="e">
        <f t="shared" si="20"/>
        <v>#VALUE!</v>
      </c>
      <c r="F430" s="7" t="str">
        <f t="array" ref="F430">+TIPOARMA(H430,I430)</f>
        <v>ERRO - REVISAR</v>
      </c>
      <c r="H430" t="str">
        <f t="array" ref="H430">+ARMASTD(N430)</f>
        <v>ERRO - REVISAR</v>
      </c>
      <c r="I430" t="str">
        <f t="array" ref="I430">+CALIBRESTD(O430)</f>
        <v>ERRO - REVISAR</v>
      </c>
    </row>
    <row r="431" spans="1:9" ht="14.25" customHeight="1" x14ac:dyDescent="0.35">
      <c r="A431" s="41" t="str">
        <f t="array" ref="A431">EXTRACTEVENT(Q431,S431)</f>
        <v/>
      </c>
      <c r="B431" s="41" t="str">
        <f t="shared" si="18"/>
        <v>-</v>
      </c>
      <c r="C431" s="41" t="e">
        <f>+VLOOKUP(R431,Maps!$A:$C,2,0)</f>
        <v>#N/A</v>
      </c>
      <c r="D431" s="41" t="e">
        <f t="shared" si="19"/>
        <v>#VALUE!</v>
      </c>
      <c r="E431" s="42" t="e">
        <f t="shared" si="20"/>
        <v>#VALUE!</v>
      </c>
      <c r="F431" s="43" t="str">
        <f t="array" ref="F431">+TIPOARMA(H431,I431)</f>
        <v>ERRO - REVISAR</v>
      </c>
      <c r="G431" s="41"/>
      <c r="H431" s="41" t="str">
        <f t="array" ref="H431">+ARMASTD(N431)</f>
        <v>ERRO - REVISAR</v>
      </c>
      <c r="I431" s="41" t="str">
        <f t="array" ref="I431">+CALIBRESTD(O431)</f>
        <v>ERRO - REVISAR</v>
      </c>
    </row>
    <row r="432" spans="1:9" ht="14.25" customHeight="1" x14ac:dyDescent="0.35">
      <c r="A432" t="str">
        <f t="array" ref="A432">EXTRACTEVENT(Q432,S432)</f>
        <v/>
      </c>
      <c r="B432" t="str">
        <f t="shared" si="18"/>
        <v>-</v>
      </c>
      <c r="C432" t="e">
        <f>+VLOOKUP(R432,Maps!$A:$C,2,0)</f>
        <v>#N/A</v>
      </c>
      <c r="D432" t="e">
        <f t="shared" si="19"/>
        <v>#VALUE!</v>
      </c>
      <c r="E432" s="39" t="e">
        <f t="shared" si="20"/>
        <v>#VALUE!</v>
      </c>
      <c r="F432" s="7" t="str">
        <f t="array" ref="F432">+TIPOARMA(H432,I432)</f>
        <v>ERRO - REVISAR</v>
      </c>
      <c r="H432" t="str">
        <f t="array" ref="H432">+ARMASTD(N432)</f>
        <v>ERRO - REVISAR</v>
      </c>
      <c r="I432" t="str">
        <f t="array" ref="I432">+CALIBRESTD(O432)</f>
        <v>ERRO - REVISAR</v>
      </c>
    </row>
    <row r="433" spans="1:9" ht="14.25" customHeight="1" x14ac:dyDescent="0.35">
      <c r="A433" s="41" t="str">
        <f t="array" ref="A433">EXTRACTEVENT(Q433,S433)</f>
        <v/>
      </c>
      <c r="B433" s="41" t="str">
        <f t="shared" si="18"/>
        <v>-</v>
      </c>
      <c r="C433" s="41" t="e">
        <f>+VLOOKUP(R433,Maps!$A:$C,2,0)</f>
        <v>#N/A</v>
      </c>
      <c r="D433" s="41" t="e">
        <f t="shared" si="19"/>
        <v>#VALUE!</v>
      </c>
      <c r="E433" s="42" t="e">
        <f t="shared" si="20"/>
        <v>#VALUE!</v>
      </c>
      <c r="F433" s="43" t="str">
        <f t="array" ref="F433">+TIPOARMA(H433,I433)</f>
        <v>ERRO - REVISAR</v>
      </c>
      <c r="G433" s="41"/>
      <c r="H433" s="41" t="str">
        <f t="array" ref="H433">+ARMASTD(N433)</f>
        <v>ERRO - REVISAR</v>
      </c>
      <c r="I433" s="41" t="str">
        <f t="array" ref="I433">+CALIBRESTD(O433)</f>
        <v>ERRO - REVISAR</v>
      </c>
    </row>
    <row r="434" spans="1:9" ht="14.25" customHeight="1" x14ac:dyDescent="0.35">
      <c r="A434" t="str">
        <f t="array" ref="A434">EXTRACTEVENT(Q434,S434)</f>
        <v/>
      </c>
      <c r="B434" t="str">
        <f t="shared" si="18"/>
        <v>-</v>
      </c>
      <c r="C434" t="e">
        <f>+VLOOKUP(R434,Maps!$A:$C,2,0)</f>
        <v>#N/A</v>
      </c>
      <c r="D434" t="e">
        <f t="shared" si="19"/>
        <v>#VALUE!</v>
      </c>
      <c r="E434" s="39" t="e">
        <f t="shared" si="20"/>
        <v>#VALUE!</v>
      </c>
      <c r="F434" s="7" t="str">
        <f t="array" ref="F434">+TIPOARMA(H434,I434)</f>
        <v>ERRO - REVISAR</v>
      </c>
      <c r="H434" t="str">
        <f t="array" ref="H434">+ARMASTD(N434)</f>
        <v>ERRO - REVISAR</v>
      </c>
      <c r="I434" t="str">
        <f t="array" ref="I434">+CALIBRESTD(O434)</f>
        <v>ERRO - REVISAR</v>
      </c>
    </row>
    <row r="435" spans="1:9" ht="14.25" customHeight="1" x14ac:dyDescent="0.35">
      <c r="A435" s="41" t="str">
        <f t="array" ref="A435">EXTRACTEVENT(Q435,S435)</f>
        <v/>
      </c>
      <c r="B435" s="41" t="str">
        <f t="shared" si="18"/>
        <v>-</v>
      </c>
      <c r="C435" s="41" t="e">
        <f>+VLOOKUP(R435,Maps!$A:$C,2,0)</f>
        <v>#N/A</v>
      </c>
      <c r="D435" s="41" t="e">
        <f t="shared" si="19"/>
        <v>#VALUE!</v>
      </c>
      <c r="E435" s="42" t="e">
        <f t="shared" si="20"/>
        <v>#VALUE!</v>
      </c>
      <c r="F435" s="43" t="str">
        <f t="array" ref="F435">+TIPOARMA(H435,I435)</f>
        <v>ERRO - REVISAR</v>
      </c>
      <c r="G435" s="41"/>
      <c r="H435" s="41" t="str">
        <f t="array" ref="H435">+ARMASTD(N435)</f>
        <v>ERRO - REVISAR</v>
      </c>
      <c r="I435" s="41" t="str">
        <f t="array" ref="I435">+CALIBRESTD(O435)</f>
        <v>ERRO - REVISAR</v>
      </c>
    </row>
    <row r="436" spans="1:9" ht="14.25" customHeight="1" x14ac:dyDescent="0.35">
      <c r="A436" t="str">
        <f t="array" ref="A436">EXTRACTEVENT(Q436,S436)</f>
        <v/>
      </c>
      <c r="B436" t="str">
        <f t="shared" si="18"/>
        <v>-</v>
      </c>
      <c r="C436" t="e">
        <f>+VLOOKUP(R436,Maps!$A:$C,2,0)</f>
        <v>#N/A</v>
      </c>
      <c r="D436" t="e">
        <f t="shared" si="19"/>
        <v>#VALUE!</v>
      </c>
      <c r="E436" s="39" t="e">
        <f t="shared" si="20"/>
        <v>#VALUE!</v>
      </c>
      <c r="F436" s="7" t="str">
        <f t="array" ref="F436">+TIPOARMA(H436,I436)</f>
        <v>ERRO - REVISAR</v>
      </c>
      <c r="H436" t="str">
        <f t="array" ref="H436">+ARMASTD(N436)</f>
        <v>ERRO - REVISAR</v>
      </c>
      <c r="I436" t="str">
        <f t="array" ref="I436">+CALIBRESTD(O436)</f>
        <v>ERRO - REVISAR</v>
      </c>
    </row>
    <row r="437" spans="1:9" ht="14.25" customHeight="1" x14ac:dyDescent="0.35">
      <c r="A437" s="41" t="str">
        <f t="array" ref="A437">EXTRACTEVENT(Q437,S437)</f>
        <v/>
      </c>
      <c r="B437" s="41" t="str">
        <f t="shared" si="18"/>
        <v>-</v>
      </c>
      <c r="C437" s="41" t="e">
        <f>+VLOOKUP(R437,Maps!$A:$C,2,0)</f>
        <v>#N/A</v>
      </c>
      <c r="D437" s="41" t="e">
        <f t="shared" si="19"/>
        <v>#VALUE!</v>
      </c>
      <c r="E437" s="42" t="e">
        <f t="shared" si="20"/>
        <v>#VALUE!</v>
      </c>
      <c r="F437" s="43" t="str">
        <f t="array" ref="F437">+TIPOARMA(H437,I437)</f>
        <v>ERRO - REVISAR</v>
      </c>
      <c r="G437" s="41"/>
      <c r="H437" s="41" t="str">
        <f t="array" ref="H437">+ARMASTD(N437)</f>
        <v>ERRO - REVISAR</v>
      </c>
      <c r="I437" s="41" t="str">
        <f t="array" ref="I437">+CALIBRESTD(O437)</f>
        <v>ERRO - REVISAR</v>
      </c>
    </row>
    <row r="438" spans="1:9" ht="14.25" customHeight="1" x14ac:dyDescent="0.35">
      <c r="A438" t="str">
        <f t="array" ref="A438">EXTRACTEVENT(Q438,S438)</f>
        <v/>
      </c>
      <c r="B438" t="str">
        <f t="shared" si="18"/>
        <v>-</v>
      </c>
      <c r="C438" t="e">
        <f>+VLOOKUP(R438,Maps!$A:$C,2,0)</f>
        <v>#N/A</v>
      </c>
      <c r="D438" t="e">
        <f t="shared" si="19"/>
        <v>#VALUE!</v>
      </c>
      <c r="E438" s="39" t="e">
        <f t="shared" si="20"/>
        <v>#VALUE!</v>
      </c>
      <c r="F438" s="7" t="str">
        <f t="array" ref="F438">+TIPOARMA(H438,I438)</f>
        <v>ERRO - REVISAR</v>
      </c>
      <c r="H438" t="str">
        <f t="array" ref="H438">+ARMASTD(N438)</f>
        <v>ERRO - REVISAR</v>
      </c>
      <c r="I438" t="str">
        <f t="array" ref="I438">+CALIBRESTD(O438)</f>
        <v>ERRO - REVISAR</v>
      </c>
    </row>
    <row r="439" spans="1:9" ht="14.25" customHeight="1" x14ac:dyDescent="0.35">
      <c r="A439" s="41" t="str">
        <f t="array" ref="A439">EXTRACTEVENT(Q439,S439)</f>
        <v/>
      </c>
      <c r="B439" s="41" t="str">
        <f t="shared" si="18"/>
        <v>-</v>
      </c>
      <c r="C439" s="41" t="e">
        <f>+VLOOKUP(R439,Maps!$A:$C,2,0)</f>
        <v>#N/A</v>
      </c>
      <c r="D439" s="41" t="e">
        <f t="shared" si="19"/>
        <v>#VALUE!</v>
      </c>
      <c r="E439" s="42" t="e">
        <f t="shared" si="20"/>
        <v>#VALUE!</v>
      </c>
      <c r="F439" s="43" t="str">
        <f t="array" ref="F439">+TIPOARMA(H439,I439)</f>
        <v>ERRO - REVISAR</v>
      </c>
      <c r="G439" s="41"/>
      <c r="H439" s="41" t="str">
        <f t="array" ref="H439">+ARMASTD(N439)</f>
        <v>ERRO - REVISAR</v>
      </c>
      <c r="I439" s="41" t="str">
        <f t="array" ref="I439">+CALIBRESTD(O439)</f>
        <v>ERRO - REVISAR</v>
      </c>
    </row>
    <row r="440" spans="1:9" ht="14.25" customHeight="1" x14ac:dyDescent="0.35">
      <c r="A440" t="str">
        <f t="array" ref="A440">EXTRACTEVENT(Q440,S440)</f>
        <v/>
      </c>
      <c r="B440" t="str">
        <f t="shared" si="18"/>
        <v>-</v>
      </c>
      <c r="C440" t="e">
        <f>+VLOOKUP(R440,Maps!$A:$C,2,0)</f>
        <v>#N/A</v>
      </c>
      <c r="D440" t="e">
        <f t="shared" si="19"/>
        <v>#VALUE!</v>
      </c>
      <c r="E440" s="39" t="e">
        <f t="shared" si="20"/>
        <v>#VALUE!</v>
      </c>
      <c r="F440" s="7" t="str">
        <f t="array" ref="F440">+TIPOARMA(H440,I440)</f>
        <v>ERRO - REVISAR</v>
      </c>
      <c r="H440" t="str">
        <f t="array" ref="H440">+ARMASTD(N440)</f>
        <v>ERRO - REVISAR</v>
      </c>
      <c r="I440" t="str">
        <f t="array" ref="I440">+CALIBRESTD(O440)</f>
        <v>ERRO - REVISAR</v>
      </c>
    </row>
    <row r="441" spans="1:9" ht="14.25" customHeight="1" x14ac:dyDescent="0.35">
      <c r="A441" s="41" t="str">
        <f t="array" ref="A441">EXTRACTEVENT(Q441,S441)</f>
        <v/>
      </c>
      <c r="B441" s="41" t="str">
        <f t="shared" si="18"/>
        <v>-</v>
      </c>
      <c r="C441" s="41" t="e">
        <f>+VLOOKUP(R441,Maps!$A:$C,2,0)</f>
        <v>#N/A</v>
      </c>
      <c r="D441" s="41" t="e">
        <f t="shared" si="19"/>
        <v>#VALUE!</v>
      </c>
      <c r="E441" s="42" t="e">
        <f t="shared" si="20"/>
        <v>#VALUE!</v>
      </c>
      <c r="F441" s="43" t="str">
        <f t="array" ref="F441">+TIPOARMA(H441,I441)</f>
        <v>ERRO - REVISAR</v>
      </c>
      <c r="G441" s="41"/>
      <c r="H441" s="41" t="str">
        <f t="array" ref="H441">+ARMASTD(N441)</f>
        <v>ERRO - REVISAR</v>
      </c>
      <c r="I441" s="41" t="str">
        <f t="array" ref="I441">+CALIBRESTD(O441)</f>
        <v>ERRO - REVISAR</v>
      </c>
    </row>
    <row r="442" spans="1:9" ht="14.25" customHeight="1" x14ac:dyDescent="0.35">
      <c r="A442" t="str">
        <f t="array" ref="A442">EXTRACTEVENT(Q442,S442)</f>
        <v/>
      </c>
      <c r="B442" t="str">
        <f t="shared" si="18"/>
        <v>-</v>
      </c>
      <c r="C442" t="e">
        <f>+VLOOKUP(R442,Maps!$A:$C,2,0)</f>
        <v>#N/A</v>
      </c>
      <c r="D442" t="e">
        <f t="shared" si="19"/>
        <v>#VALUE!</v>
      </c>
      <c r="E442" s="39" t="e">
        <f t="shared" si="20"/>
        <v>#VALUE!</v>
      </c>
      <c r="F442" s="7" t="str">
        <f t="array" ref="F442">+TIPOARMA(H442,I442)</f>
        <v>ERRO - REVISAR</v>
      </c>
      <c r="H442" t="str">
        <f t="array" ref="H442">+ARMASTD(N442)</f>
        <v>ERRO - REVISAR</v>
      </c>
      <c r="I442" t="str">
        <f t="array" ref="I442">+CALIBRESTD(O442)</f>
        <v>ERRO - REVISAR</v>
      </c>
    </row>
    <row r="443" spans="1:9" ht="14.25" customHeight="1" x14ac:dyDescent="0.35">
      <c r="A443" s="41" t="str">
        <f t="array" ref="A443">EXTRACTEVENT(Q443,S443)</f>
        <v/>
      </c>
      <c r="B443" s="41" t="str">
        <f t="shared" si="18"/>
        <v>-</v>
      </c>
      <c r="C443" s="41" t="e">
        <f>+VLOOKUP(R443,Maps!$A:$C,2,0)</f>
        <v>#N/A</v>
      </c>
      <c r="D443" s="41" t="e">
        <f t="shared" si="19"/>
        <v>#VALUE!</v>
      </c>
      <c r="E443" s="42" t="e">
        <f t="shared" si="20"/>
        <v>#VALUE!</v>
      </c>
      <c r="F443" s="43" t="str">
        <f t="array" ref="F443">+TIPOARMA(H443,I443)</f>
        <v>ERRO - REVISAR</v>
      </c>
      <c r="G443" s="41"/>
      <c r="H443" s="41" t="str">
        <f t="array" ref="H443">+ARMASTD(N443)</f>
        <v>ERRO - REVISAR</v>
      </c>
      <c r="I443" s="41" t="str">
        <f t="array" ref="I443">+CALIBRESTD(O443)</f>
        <v>ERRO - REVISAR</v>
      </c>
    </row>
    <row r="444" spans="1:9" ht="14.25" customHeight="1" x14ac:dyDescent="0.35">
      <c r="A444" t="str">
        <f t="array" ref="A444">EXTRACTEVENT(Q444,S444)</f>
        <v/>
      </c>
      <c r="B444" t="str">
        <f t="shared" si="18"/>
        <v>-</v>
      </c>
      <c r="C444" t="e">
        <f>+VLOOKUP(R444,Maps!$A:$C,2,0)</f>
        <v>#N/A</v>
      </c>
      <c r="D444" t="e">
        <f t="shared" si="19"/>
        <v>#VALUE!</v>
      </c>
      <c r="E444" s="39" t="e">
        <f t="shared" si="20"/>
        <v>#VALUE!</v>
      </c>
      <c r="F444" s="7" t="str">
        <f t="array" ref="F444">+TIPOARMA(H444,I444)</f>
        <v>ERRO - REVISAR</v>
      </c>
      <c r="H444" t="str">
        <f t="array" ref="H444">+ARMASTD(N444)</f>
        <v>ERRO - REVISAR</v>
      </c>
      <c r="I444" t="str">
        <f t="array" ref="I444">+CALIBRESTD(O444)</f>
        <v>ERRO - REVISAR</v>
      </c>
    </row>
    <row r="445" spans="1:9" ht="14.25" customHeight="1" x14ac:dyDescent="0.35">
      <c r="A445" s="41" t="str">
        <f t="array" ref="A445">EXTRACTEVENT(Q445,S445)</f>
        <v/>
      </c>
      <c r="B445" s="41" t="str">
        <f t="shared" si="18"/>
        <v>-</v>
      </c>
      <c r="C445" s="41" t="e">
        <f>+VLOOKUP(R445,Maps!$A:$C,2,0)</f>
        <v>#N/A</v>
      </c>
      <c r="D445" s="41" t="e">
        <f t="shared" si="19"/>
        <v>#VALUE!</v>
      </c>
      <c r="E445" s="42" t="e">
        <f t="shared" si="20"/>
        <v>#VALUE!</v>
      </c>
      <c r="F445" s="43" t="str">
        <f t="array" ref="F445">+TIPOARMA(H445,I445)</f>
        <v>ERRO - REVISAR</v>
      </c>
      <c r="G445" s="41"/>
      <c r="H445" s="41" t="str">
        <f t="array" ref="H445">+ARMASTD(N445)</f>
        <v>ERRO - REVISAR</v>
      </c>
      <c r="I445" s="41" t="str">
        <f t="array" ref="I445">+CALIBRESTD(O445)</f>
        <v>ERRO - REVISAR</v>
      </c>
    </row>
    <row r="446" spans="1:9" ht="14.25" customHeight="1" x14ac:dyDescent="0.35">
      <c r="A446" t="str">
        <f t="array" ref="A446">EXTRACTEVENT(Q446,S446)</f>
        <v/>
      </c>
      <c r="B446" t="str">
        <f t="shared" si="18"/>
        <v>-</v>
      </c>
      <c r="C446" t="e">
        <f>+VLOOKUP(R446,Maps!$A:$C,2,0)</f>
        <v>#N/A</v>
      </c>
      <c r="D446" t="e">
        <f t="shared" si="19"/>
        <v>#VALUE!</v>
      </c>
      <c r="E446" s="39" t="e">
        <f t="shared" si="20"/>
        <v>#VALUE!</v>
      </c>
      <c r="F446" s="7" t="str">
        <f t="array" ref="F446">+TIPOARMA(H446,I446)</f>
        <v>ERRO - REVISAR</v>
      </c>
      <c r="H446" t="str">
        <f t="array" ref="H446">+ARMASTD(N446)</f>
        <v>ERRO - REVISAR</v>
      </c>
      <c r="I446" t="str">
        <f t="array" ref="I446">+CALIBRESTD(O446)</f>
        <v>ERRO - REVISAR</v>
      </c>
    </row>
    <row r="447" spans="1:9" ht="14.25" customHeight="1" x14ac:dyDescent="0.35">
      <c r="A447" s="41" t="str">
        <f t="array" ref="A447">EXTRACTEVENT(Q447,S447)</f>
        <v/>
      </c>
      <c r="B447" s="41" t="str">
        <f t="shared" si="18"/>
        <v>-</v>
      </c>
      <c r="C447" s="41" t="e">
        <f>+VLOOKUP(R447,Maps!$A:$C,2,0)</f>
        <v>#N/A</v>
      </c>
      <c r="D447" s="41" t="e">
        <f t="shared" si="19"/>
        <v>#VALUE!</v>
      </c>
      <c r="E447" s="42" t="e">
        <f t="shared" si="20"/>
        <v>#VALUE!</v>
      </c>
      <c r="F447" s="43" t="str">
        <f t="array" ref="F447">+TIPOARMA(H447,I447)</f>
        <v>ERRO - REVISAR</v>
      </c>
      <c r="G447" s="41"/>
      <c r="H447" s="41" t="str">
        <f t="array" ref="H447">+ARMASTD(N447)</f>
        <v>ERRO - REVISAR</v>
      </c>
      <c r="I447" s="41" t="str">
        <f t="array" ref="I447">+CALIBRESTD(O447)</f>
        <v>ERRO - REVISAR</v>
      </c>
    </row>
    <row r="448" spans="1:9" ht="14.25" customHeight="1" x14ac:dyDescent="0.35">
      <c r="A448" t="str">
        <f t="array" ref="A448">EXTRACTEVENT(Q448,S448)</f>
        <v/>
      </c>
      <c r="B448" t="str">
        <f t="shared" si="18"/>
        <v>-</v>
      </c>
      <c r="C448" t="e">
        <f>+VLOOKUP(R448,Maps!$A:$C,2,0)</f>
        <v>#N/A</v>
      </c>
      <c r="D448" t="e">
        <f t="shared" si="19"/>
        <v>#VALUE!</v>
      </c>
      <c r="E448" s="39" t="e">
        <f t="shared" si="20"/>
        <v>#VALUE!</v>
      </c>
      <c r="F448" s="7" t="str">
        <f t="array" ref="F448">+TIPOARMA(H448,I448)</f>
        <v>ERRO - REVISAR</v>
      </c>
      <c r="H448" t="str">
        <f t="array" ref="H448">+ARMASTD(N448)</f>
        <v>ERRO - REVISAR</v>
      </c>
      <c r="I448" t="str">
        <f t="array" ref="I448">+CALIBRESTD(O448)</f>
        <v>ERRO - REVISAR</v>
      </c>
    </row>
    <row r="449" spans="1:9" ht="14.25" customHeight="1" x14ac:dyDescent="0.35">
      <c r="A449" s="41" t="str">
        <f t="array" ref="A449">EXTRACTEVENT(Q449,S449)</f>
        <v/>
      </c>
      <c r="B449" s="41" t="str">
        <f t="shared" si="18"/>
        <v>-</v>
      </c>
      <c r="C449" s="41" t="e">
        <f>+VLOOKUP(R449,Maps!$A:$C,2,0)</f>
        <v>#N/A</v>
      </c>
      <c r="D449" s="41" t="e">
        <f t="shared" si="19"/>
        <v>#VALUE!</v>
      </c>
      <c r="E449" s="42" t="e">
        <f t="shared" si="20"/>
        <v>#VALUE!</v>
      </c>
      <c r="F449" s="43" t="str">
        <f t="array" ref="F449">+TIPOARMA(H449,I449)</f>
        <v>ERRO - REVISAR</v>
      </c>
      <c r="G449" s="41"/>
      <c r="H449" s="41" t="str">
        <f t="array" ref="H449">+ARMASTD(N449)</f>
        <v>ERRO - REVISAR</v>
      </c>
      <c r="I449" s="41" t="str">
        <f t="array" ref="I449">+CALIBRESTD(O449)</f>
        <v>ERRO - REVISAR</v>
      </c>
    </row>
    <row r="450" spans="1:9" ht="14.25" customHeight="1" x14ac:dyDescent="0.35">
      <c r="A450" t="str">
        <f t="array" ref="A450">EXTRACTEVENT(Q450,S450)</f>
        <v/>
      </c>
      <c r="B450" t="str">
        <f t="shared" ref="B450:B513" si="21">+EXTRACTETAPANUM(Q450)</f>
        <v>-</v>
      </c>
      <c r="C450" t="e">
        <f>+VLOOKUP(R450,Maps!$A:$C,2,0)</f>
        <v>#N/A</v>
      </c>
      <c r="D450" t="e">
        <f t="shared" ref="D450:D513" si="22">+DEFINEAMBITO(Q450,C450)</f>
        <v>#VALUE!</v>
      </c>
      <c r="E450" s="39" t="e">
        <f t="shared" ref="E450:E513" si="23">DATEVALUE(L450)</f>
        <v>#VALUE!</v>
      </c>
      <c r="F450" s="7" t="str">
        <f t="array" ref="F450">+TIPOARMA(H450,I450)</f>
        <v>ERRO - REVISAR</v>
      </c>
      <c r="H450" t="str">
        <f t="array" ref="H450">+ARMASTD(N450)</f>
        <v>ERRO - REVISAR</v>
      </c>
      <c r="I450" t="str">
        <f t="array" ref="I450">+CALIBRESTD(O450)</f>
        <v>ERRO - REVISAR</v>
      </c>
    </row>
    <row r="451" spans="1:9" ht="14.25" customHeight="1" x14ac:dyDescent="0.35">
      <c r="A451" s="41" t="str">
        <f t="array" ref="A451">EXTRACTEVENT(Q451,S451)</f>
        <v/>
      </c>
      <c r="B451" s="41" t="str">
        <f t="shared" si="21"/>
        <v>-</v>
      </c>
      <c r="C451" s="41" t="e">
        <f>+VLOOKUP(R451,Maps!$A:$C,2,0)</f>
        <v>#N/A</v>
      </c>
      <c r="D451" s="41" t="e">
        <f t="shared" si="22"/>
        <v>#VALUE!</v>
      </c>
      <c r="E451" s="42" t="e">
        <f t="shared" si="23"/>
        <v>#VALUE!</v>
      </c>
      <c r="F451" s="43" t="str">
        <f t="array" ref="F451">+TIPOARMA(H451,I451)</f>
        <v>ERRO - REVISAR</v>
      </c>
      <c r="G451" s="41"/>
      <c r="H451" s="41" t="str">
        <f t="array" ref="H451">+ARMASTD(N451)</f>
        <v>ERRO - REVISAR</v>
      </c>
      <c r="I451" s="41" t="str">
        <f t="array" ref="I451">+CALIBRESTD(O451)</f>
        <v>ERRO - REVISAR</v>
      </c>
    </row>
    <row r="452" spans="1:9" ht="14.25" customHeight="1" x14ac:dyDescent="0.35">
      <c r="A452" t="str">
        <f t="array" ref="A452">EXTRACTEVENT(Q452,S452)</f>
        <v/>
      </c>
      <c r="B452" t="str">
        <f t="shared" si="21"/>
        <v>-</v>
      </c>
      <c r="C452" t="e">
        <f>+VLOOKUP(R452,Maps!$A:$C,2,0)</f>
        <v>#N/A</v>
      </c>
      <c r="D452" t="e">
        <f t="shared" si="22"/>
        <v>#VALUE!</v>
      </c>
      <c r="E452" s="39" t="e">
        <f t="shared" si="23"/>
        <v>#VALUE!</v>
      </c>
      <c r="F452" s="7" t="str">
        <f t="array" ref="F452">+TIPOARMA(H452,I452)</f>
        <v>ERRO - REVISAR</v>
      </c>
      <c r="H452" t="str">
        <f t="array" ref="H452">+ARMASTD(N452)</f>
        <v>ERRO - REVISAR</v>
      </c>
      <c r="I452" t="str">
        <f t="array" ref="I452">+CALIBRESTD(O452)</f>
        <v>ERRO - REVISAR</v>
      </c>
    </row>
    <row r="453" spans="1:9" ht="14.25" customHeight="1" x14ac:dyDescent="0.35">
      <c r="A453" s="41" t="str">
        <f t="array" ref="A453">EXTRACTEVENT(Q453,S453)</f>
        <v/>
      </c>
      <c r="B453" s="41" t="str">
        <f t="shared" si="21"/>
        <v>-</v>
      </c>
      <c r="C453" s="41" t="e">
        <f>+VLOOKUP(R453,Maps!$A:$C,2,0)</f>
        <v>#N/A</v>
      </c>
      <c r="D453" s="41" t="e">
        <f t="shared" si="22"/>
        <v>#VALUE!</v>
      </c>
      <c r="E453" s="42" t="e">
        <f t="shared" si="23"/>
        <v>#VALUE!</v>
      </c>
      <c r="F453" s="43" t="str">
        <f t="array" ref="F453">+TIPOARMA(H453,I453)</f>
        <v>ERRO - REVISAR</v>
      </c>
      <c r="G453" s="41"/>
      <c r="H453" s="41" t="str">
        <f t="array" ref="H453">+ARMASTD(N453)</f>
        <v>ERRO - REVISAR</v>
      </c>
      <c r="I453" s="41" t="str">
        <f t="array" ref="I453">+CALIBRESTD(O453)</f>
        <v>ERRO - REVISAR</v>
      </c>
    </row>
    <row r="454" spans="1:9" ht="14.25" customHeight="1" x14ac:dyDescent="0.35">
      <c r="A454" t="str">
        <f t="array" ref="A454">EXTRACTEVENT(Q454,S454)</f>
        <v/>
      </c>
      <c r="B454" t="str">
        <f t="shared" si="21"/>
        <v>-</v>
      </c>
      <c r="C454" t="e">
        <f>+VLOOKUP(R454,Maps!$A:$C,2,0)</f>
        <v>#N/A</v>
      </c>
      <c r="D454" t="e">
        <f t="shared" si="22"/>
        <v>#VALUE!</v>
      </c>
      <c r="E454" s="39" t="e">
        <f t="shared" si="23"/>
        <v>#VALUE!</v>
      </c>
      <c r="F454" s="7" t="str">
        <f t="array" ref="F454">+TIPOARMA(H454,I454)</f>
        <v>ERRO - REVISAR</v>
      </c>
      <c r="H454" t="str">
        <f t="array" ref="H454">+ARMASTD(N454)</f>
        <v>ERRO - REVISAR</v>
      </c>
      <c r="I454" t="str">
        <f t="array" ref="I454">+CALIBRESTD(O454)</f>
        <v>ERRO - REVISAR</v>
      </c>
    </row>
    <row r="455" spans="1:9" ht="14.25" customHeight="1" x14ac:dyDescent="0.35">
      <c r="A455" s="41" t="str">
        <f t="array" ref="A455">EXTRACTEVENT(Q455,S455)</f>
        <v/>
      </c>
      <c r="B455" s="41" t="str">
        <f t="shared" si="21"/>
        <v>-</v>
      </c>
      <c r="C455" s="41" t="e">
        <f>+VLOOKUP(R455,Maps!$A:$C,2,0)</f>
        <v>#N/A</v>
      </c>
      <c r="D455" s="41" t="e">
        <f t="shared" si="22"/>
        <v>#VALUE!</v>
      </c>
      <c r="E455" s="42" t="e">
        <f t="shared" si="23"/>
        <v>#VALUE!</v>
      </c>
      <c r="F455" s="43" t="str">
        <f t="array" ref="F455">+TIPOARMA(H455,I455)</f>
        <v>ERRO - REVISAR</v>
      </c>
      <c r="G455" s="41"/>
      <c r="H455" s="41" t="str">
        <f t="array" ref="H455">+ARMASTD(N455)</f>
        <v>ERRO - REVISAR</v>
      </c>
      <c r="I455" s="41" t="str">
        <f t="array" ref="I455">+CALIBRESTD(O455)</f>
        <v>ERRO - REVISAR</v>
      </c>
    </row>
    <row r="456" spans="1:9" ht="14.25" customHeight="1" x14ac:dyDescent="0.35">
      <c r="A456" t="str">
        <f t="array" ref="A456">EXTRACTEVENT(Q456,S456)</f>
        <v/>
      </c>
      <c r="B456" t="str">
        <f t="shared" si="21"/>
        <v>-</v>
      </c>
      <c r="C456" t="e">
        <f>+VLOOKUP(R456,Maps!$A:$C,2,0)</f>
        <v>#N/A</v>
      </c>
      <c r="D456" t="e">
        <f t="shared" si="22"/>
        <v>#VALUE!</v>
      </c>
      <c r="E456" s="39" t="e">
        <f t="shared" si="23"/>
        <v>#VALUE!</v>
      </c>
      <c r="F456" s="7" t="str">
        <f t="array" ref="F456">+TIPOARMA(H456,I456)</f>
        <v>ERRO - REVISAR</v>
      </c>
      <c r="H456" t="str">
        <f t="array" ref="H456">+ARMASTD(N456)</f>
        <v>ERRO - REVISAR</v>
      </c>
      <c r="I456" t="str">
        <f t="array" ref="I456">+CALIBRESTD(O456)</f>
        <v>ERRO - REVISAR</v>
      </c>
    </row>
    <row r="457" spans="1:9" ht="14.25" customHeight="1" x14ac:dyDescent="0.35">
      <c r="A457" s="41" t="str">
        <f t="array" ref="A457">EXTRACTEVENT(Q457,S457)</f>
        <v/>
      </c>
      <c r="B457" s="41" t="str">
        <f t="shared" si="21"/>
        <v>-</v>
      </c>
      <c r="C457" s="41" t="e">
        <f>+VLOOKUP(R457,Maps!$A:$C,2,0)</f>
        <v>#N/A</v>
      </c>
      <c r="D457" s="41" t="e">
        <f t="shared" si="22"/>
        <v>#VALUE!</v>
      </c>
      <c r="E457" s="42" t="e">
        <f t="shared" si="23"/>
        <v>#VALUE!</v>
      </c>
      <c r="F457" s="43" t="str">
        <f t="array" ref="F457">+TIPOARMA(H457,I457)</f>
        <v>ERRO - REVISAR</v>
      </c>
      <c r="G457" s="41"/>
      <c r="H457" s="41" t="str">
        <f t="array" ref="H457">+ARMASTD(N457)</f>
        <v>ERRO - REVISAR</v>
      </c>
      <c r="I457" s="41" t="str">
        <f t="array" ref="I457">+CALIBRESTD(O457)</f>
        <v>ERRO - REVISAR</v>
      </c>
    </row>
    <row r="458" spans="1:9" ht="14.25" customHeight="1" x14ac:dyDescent="0.35">
      <c r="A458" t="str">
        <f t="array" ref="A458">EXTRACTEVENT(Q458,S458)</f>
        <v/>
      </c>
      <c r="B458" t="str">
        <f t="shared" si="21"/>
        <v>-</v>
      </c>
      <c r="C458" t="e">
        <f>+VLOOKUP(R458,Maps!$A:$C,2,0)</f>
        <v>#N/A</v>
      </c>
      <c r="D458" t="e">
        <f t="shared" si="22"/>
        <v>#VALUE!</v>
      </c>
      <c r="E458" s="39" t="e">
        <f t="shared" si="23"/>
        <v>#VALUE!</v>
      </c>
      <c r="F458" s="7" t="str">
        <f t="array" ref="F458">+TIPOARMA(H458,I458)</f>
        <v>ERRO - REVISAR</v>
      </c>
      <c r="H458" t="str">
        <f t="array" ref="H458">+ARMASTD(N458)</f>
        <v>ERRO - REVISAR</v>
      </c>
      <c r="I458" t="str">
        <f t="array" ref="I458">+CALIBRESTD(O458)</f>
        <v>ERRO - REVISAR</v>
      </c>
    </row>
    <row r="459" spans="1:9" ht="14.25" customHeight="1" x14ac:dyDescent="0.35">
      <c r="A459" s="41" t="str">
        <f t="array" ref="A459">EXTRACTEVENT(Q459,S459)</f>
        <v/>
      </c>
      <c r="B459" s="41" t="str">
        <f t="shared" si="21"/>
        <v>-</v>
      </c>
      <c r="C459" s="41" t="e">
        <f>+VLOOKUP(R459,Maps!$A:$C,2,0)</f>
        <v>#N/A</v>
      </c>
      <c r="D459" s="41" t="e">
        <f t="shared" si="22"/>
        <v>#VALUE!</v>
      </c>
      <c r="E459" s="42" t="e">
        <f t="shared" si="23"/>
        <v>#VALUE!</v>
      </c>
      <c r="F459" s="43" t="str">
        <f t="array" ref="F459">+TIPOARMA(H459,I459)</f>
        <v>ERRO - REVISAR</v>
      </c>
      <c r="G459" s="41"/>
      <c r="H459" s="41" t="str">
        <f t="array" ref="H459">+ARMASTD(N459)</f>
        <v>ERRO - REVISAR</v>
      </c>
      <c r="I459" s="41" t="str">
        <f t="array" ref="I459">+CALIBRESTD(O459)</f>
        <v>ERRO - REVISAR</v>
      </c>
    </row>
    <row r="460" spans="1:9" ht="14.25" customHeight="1" x14ac:dyDescent="0.35">
      <c r="A460" t="str">
        <f t="array" ref="A460">EXTRACTEVENT(Q460,S460)</f>
        <v/>
      </c>
      <c r="B460" t="str">
        <f t="shared" si="21"/>
        <v>-</v>
      </c>
      <c r="C460" t="e">
        <f>+VLOOKUP(R460,Maps!$A:$C,2,0)</f>
        <v>#N/A</v>
      </c>
      <c r="D460" t="e">
        <f t="shared" si="22"/>
        <v>#VALUE!</v>
      </c>
      <c r="E460" s="39" t="e">
        <f t="shared" si="23"/>
        <v>#VALUE!</v>
      </c>
      <c r="F460" s="7" t="str">
        <f t="array" ref="F460">+TIPOARMA(H460,I460)</f>
        <v>ERRO - REVISAR</v>
      </c>
      <c r="H460" t="str">
        <f t="array" ref="H460">+ARMASTD(N460)</f>
        <v>ERRO - REVISAR</v>
      </c>
      <c r="I460" t="str">
        <f t="array" ref="I460">+CALIBRESTD(O460)</f>
        <v>ERRO - REVISAR</v>
      </c>
    </row>
    <row r="461" spans="1:9" ht="14.25" customHeight="1" x14ac:dyDescent="0.35">
      <c r="A461" s="41" t="str">
        <f t="array" ref="A461">EXTRACTEVENT(Q461,S461)</f>
        <v/>
      </c>
      <c r="B461" s="41" t="str">
        <f t="shared" si="21"/>
        <v>-</v>
      </c>
      <c r="C461" s="41" t="e">
        <f>+VLOOKUP(R461,Maps!$A:$C,2,0)</f>
        <v>#N/A</v>
      </c>
      <c r="D461" s="41" t="e">
        <f t="shared" si="22"/>
        <v>#VALUE!</v>
      </c>
      <c r="E461" s="42" t="e">
        <f t="shared" si="23"/>
        <v>#VALUE!</v>
      </c>
      <c r="F461" s="43" t="str">
        <f t="array" ref="F461">+TIPOARMA(H461,I461)</f>
        <v>ERRO - REVISAR</v>
      </c>
      <c r="G461" s="41"/>
      <c r="H461" s="41" t="str">
        <f t="array" ref="H461">+ARMASTD(N461)</f>
        <v>ERRO - REVISAR</v>
      </c>
      <c r="I461" s="41" t="str">
        <f t="array" ref="I461">+CALIBRESTD(O461)</f>
        <v>ERRO - REVISAR</v>
      </c>
    </row>
    <row r="462" spans="1:9" ht="14.25" customHeight="1" x14ac:dyDescent="0.35">
      <c r="A462" t="str">
        <f t="array" ref="A462">EXTRACTEVENT(Q462,S462)</f>
        <v/>
      </c>
      <c r="B462" t="str">
        <f t="shared" si="21"/>
        <v>-</v>
      </c>
      <c r="C462" t="e">
        <f>+VLOOKUP(R462,Maps!$A:$C,2,0)</f>
        <v>#N/A</v>
      </c>
      <c r="D462" t="e">
        <f t="shared" si="22"/>
        <v>#VALUE!</v>
      </c>
      <c r="E462" s="39" t="e">
        <f t="shared" si="23"/>
        <v>#VALUE!</v>
      </c>
      <c r="F462" s="7" t="str">
        <f t="array" ref="F462">+TIPOARMA(H462,I462)</f>
        <v>ERRO - REVISAR</v>
      </c>
      <c r="H462" t="str">
        <f t="array" ref="H462">+ARMASTD(N462)</f>
        <v>ERRO - REVISAR</v>
      </c>
      <c r="I462" t="str">
        <f t="array" ref="I462">+CALIBRESTD(O462)</f>
        <v>ERRO - REVISAR</v>
      </c>
    </row>
    <row r="463" spans="1:9" ht="14.25" customHeight="1" x14ac:dyDescent="0.35">
      <c r="A463" s="41" t="str">
        <f t="array" ref="A463">EXTRACTEVENT(Q463,S463)</f>
        <v/>
      </c>
      <c r="B463" s="41" t="str">
        <f t="shared" si="21"/>
        <v>-</v>
      </c>
      <c r="C463" s="41" t="e">
        <f>+VLOOKUP(R463,Maps!$A:$C,2,0)</f>
        <v>#N/A</v>
      </c>
      <c r="D463" s="41" t="e">
        <f t="shared" si="22"/>
        <v>#VALUE!</v>
      </c>
      <c r="E463" s="42" t="e">
        <f t="shared" si="23"/>
        <v>#VALUE!</v>
      </c>
      <c r="F463" s="43" t="str">
        <f t="array" ref="F463">+TIPOARMA(H463,I463)</f>
        <v>ERRO - REVISAR</v>
      </c>
      <c r="G463" s="41"/>
      <c r="H463" s="41" t="str">
        <f t="array" ref="H463">+ARMASTD(N463)</f>
        <v>ERRO - REVISAR</v>
      </c>
      <c r="I463" s="41" t="str">
        <f t="array" ref="I463">+CALIBRESTD(O463)</f>
        <v>ERRO - REVISAR</v>
      </c>
    </row>
    <row r="464" spans="1:9" ht="14.25" customHeight="1" x14ac:dyDescent="0.35">
      <c r="A464" t="str">
        <f t="array" ref="A464">EXTRACTEVENT(Q464,S464)</f>
        <v/>
      </c>
      <c r="B464" t="str">
        <f t="shared" si="21"/>
        <v>-</v>
      </c>
      <c r="C464" t="e">
        <f>+VLOOKUP(R464,Maps!$A:$C,2,0)</f>
        <v>#N/A</v>
      </c>
      <c r="D464" t="e">
        <f t="shared" si="22"/>
        <v>#VALUE!</v>
      </c>
      <c r="E464" s="39" t="e">
        <f t="shared" si="23"/>
        <v>#VALUE!</v>
      </c>
      <c r="F464" s="7" t="str">
        <f t="array" ref="F464">+TIPOARMA(H464,I464)</f>
        <v>ERRO - REVISAR</v>
      </c>
      <c r="H464" t="str">
        <f t="array" ref="H464">+ARMASTD(N464)</f>
        <v>ERRO - REVISAR</v>
      </c>
      <c r="I464" t="str">
        <f t="array" ref="I464">+CALIBRESTD(O464)</f>
        <v>ERRO - REVISAR</v>
      </c>
    </row>
    <row r="465" spans="1:9" ht="14.25" customHeight="1" x14ac:dyDescent="0.35">
      <c r="A465" s="41" t="str">
        <f t="array" ref="A465">EXTRACTEVENT(Q465,S465)</f>
        <v/>
      </c>
      <c r="B465" s="41" t="str">
        <f t="shared" si="21"/>
        <v>-</v>
      </c>
      <c r="C465" s="41" t="e">
        <f>+VLOOKUP(R465,Maps!$A:$C,2,0)</f>
        <v>#N/A</v>
      </c>
      <c r="D465" s="41" t="e">
        <f t="shared" si="22"/>
        <v>#VALUE!</v>
      </c>
      <c r="E465" s="42" t="e">
        <f t="shared" si="23"/>
        <v>#VALUE!</v>
      </c>
      <c r="F465" s="43" t="str">
        <f t="array" ref="F465">+TIPOARMA(H465,I465)</f>
        <v>ERRO - REVISAR</v>
      </c>
      <c r="G465" s="41"/>
      <c r="H465" s="41" t="str">
        <f t="array" ref="H465">+ARMASTD(N465)</f>
        <v>ERRO - REVISAR</v>
      </c>
      <c r="I465" s="41" t="str">
        <f t="array" ref="I465">+CALIBRESTD(O465)</f>
        <v>ERRO - REVISAR</v>
      </c>
    </row>
    <row r="466" spans="1:9" ht="14.25" customHeight="1" x14ac:dyDescent="0.35">
      <c r="A466" t="str">
        <f t="array" ref="A466">EXTRACTEVENT(Q466,S466)</f>
        <v/>
      </c>
      <c r="B466" t="str">
        <f t="shared" si="21"/>
        <v>-</v>
      </c>
      <c r="C466" t="e">
        <f>+VLOOKUP(R466,Maps!$A:$C,2,0)</f>
        <v>#N/A</v>
      </c>
      <c r="D466" t="e">
        <f t="shared" si="22"/>
        <v>#VALUE!</v>
      </c>
      <c r="E466" s="39" t="e">
        <f t="shared" si="23"/>
        <v>#VALUE!</v>
      </c>
      <c r="F466" s="7" t="str">
        <f t="array" ref="F466">+TIPOARMA(H466,I466)</f>
        <v>ERRO - REVISAR</v>
      </c>
      <c r="H466" t="str">
        <f t="array" ref="H466">+ARMASTD(N466)</f>
        <v>ERRO - REVISAR</v>
      </c>
      <c r="I466" t="str">
        <f t="array" ref="I466">+CALIBRESTD(O466)</f>
        <v>ERRO - REVISAR</v>
      </c>
    </row>
    <row r="467" spans="1:9" ht="14.25" customHeight="1" x14ac:dyDescent="0.35">
      <c r="A467" s="41" t="str">
        <f t="array" ref="A467">EXTRACTEVENT(Q467,S467)</f>
        <v/>
      </c>
      <c r="B467" s="41" t="str">
        <f t="shared" si="21"/>
        <v>-</v>
      </c>
      <c r="C467" s="41" t="e">
        <f>+VLOOKUP(R467,Maps!$A:$C,2,0)</f>
        <v>#N/A</v>
      </c>
      <c r="D467" s="41" t="e">
        <f t="shared" si="22"/>
        <v>#VALUE!</v>
      </c>
      <c r="E467" s="42" t="e">
        <f t="shared" si="23"/>
        <v>#VALUE!</v>
      </c>
      <c r="F467" s="43" t="str">
        <f t="array" ref="F467">+TIPOARMA(H467,I467)</f>
        <v>ERRO - REVISAR</v>
      </c>
      <c r="G467" s="41"/>
      <c r="H467" s="41" t="str">
        <f t="array" ref="H467">+ARMASTD(N467)</f>
        <v>ERRO - REVISAR</v>
      </c>
      <c r="I467" s="41" t="str">
        <f t="array" ref="I467">+CALIBRESTD(O467)</f>
        <v>ERRO - REVISAR</v>
      </c>
    </row>
    <row r="468" spans="1:9" ht="14.25" customHeight="1" x14ac:dyDescent="0.35">
      <c r="A468" t="str">
        <f t="array" ref="A468">EXTRACTEVENT(Q468,S468)</f>
        <v/>
      </c>
      <c r="B468" t="str">
        <f t="shared" si="21"/>
        <v>-</v>
      </c>
      <c r="C468" t="e">
        <f>+VLOOKUP(R468,Maps!$A:$C,2,0)</f>
        <v>#N/A</v>
      </c>
      <c r="D468" t="e">
        <f t="shared" si="22"/>
        <v>#VALUE!</v>
      </c>
      <c r="E468" s="39" t="e">
        <f t="shared" si="23"/>
        <v>#VALUE!</v>
      </c>
      <c r="F468" s="7" t="str">
        <f t="array" ref="F468">+TIPOARMA(H468,I468)</f>
        <v>ERRO - REVISAR</v>
      </c>
      <c r="H468" t="str">
        <f t="array" ref="H468">+ARMASTD(N468)</f>
        <v>ERRO - REVISAR</v>
      </c>
      <c r="I468" t="str">
        <f t="array" ref="I468">+CALIBRESTD(O468)</f>
        <v>ERRO - REVISAR</v>
      </c>
    </row>
    <row r="469" spans="1:9" ht="14.25" customHeight="1" x14ac:dyDescent="0.35">
      <c r="A469" s="41" t="str">
        <f t="array" ref="A469">EXTRACTEVENT(Q469,S469)</f>
        <v/>
      </c>
      <c r="B469" s="41" t="str">
        <f t="shared" si="21"/>
        <v>-</v>
      </c>
      <c r="C469" s="41" t="e">
        <f>+VLOOKUP(R469,Maps!$A:$C,2,0)</f>
        <v>#N/A</v>
      </c>
      <c r="D469" s="41" t="e">
        <f t="shared" si="22"/>
        <v>#VALUE!</v>
      </c>
      <c r="E469" s="42" t="e">
        <f t="shared" si="23"/>
        <v>#VALUE!</v>
      </c>
      <c r="F469" s="43" t="str">
        <f t="array" ref="F469">+TIPOARMA(H469,I469)</f>
        <v>ERRO - REVISAR</v>
      </c>
      <c r="G469" s="41"/>
      <c r="H469" s="41" t="str">
        <f t="array" ref="H469">+ARMASTD(N469)</f>
        <v>ERRO - REVISAR</v>
      </c>
      <c r="I469" s="41" t="str">
        <f t="array" ref="I469">+CALIBRESTD(O469)</f>
        <v>ERRO - REVISAR</v>
      </c>
    </row>
    <row r="470" spans="1:9" ht="14.25" customHeight="1" x14ac:dyDescent="0.35">
      <c r="A470" t="str">
        <f t="array" ref="A470">EXTRACTEVENT(Q470,S470)</f>
        <v/>
      </c>
      <c r="B470" t="str">
        <f t="shared" si="21"/>
        <v>-</v>
      </c>
      <c r="C470" t="e">
        <f>+VLOOKUP(R470,Maps!$A:$C,2,0)</f>
        <v>#N/A</v>
      </c>
      <c r="D470" t="e">
        <f t="shared" si="22"/>
        <v>#VALUE!</v>
      </c>
      <c r="E470" s="39" t="e">
        <f t="shared" si="23"/>
        <v>#VALUE!</v>
      </c>
      <c r="F470" s="7" t="str">
        <f t="array" ref="F470">+TIPOARMA(H470,I470)</f>
        <v>ERRO - REVISAR</v>
      </c>
      <c r="H470" t="str">
        <f t="array" ref="H470">+ARMASTD(N470)</f>
        <v>ERRO - REVISAR</v>
      </c>
      <c r="I470" t="str">
        <f t="array" ref="I470">+CALIBRESTD(O470)</f>
        <v>ERRO - REVISAR</v>
      </c>
    </row>
    <row r="471" spans="1:9" ht="14.25" customHeight="1" x14ac:dyDescent="0.35">
      <c r="A471" s="41" t="str">
        <f t="array" ref="A471">EXTRACTEVENT(Q471,S471)</f>
        <v/>
      </c>
      <c r="B471" s="41" t="str">
        <f t="shared" si="21"/>
        <v>-</v>
      </c>
      <c r="C471" s="41" t="e">
        <f>+VLOOKUP(R471,Maps!$A:$C,2,0)</f>
        <v>#N/A</v>
      </c>
      <c r="D471" s="41" t="e">
        <f t="shared" si="22"/>
        <v>#VALUE!</v>
      </c>
      <c r="E471" s="42" t="e">
        <f t="shared" si="23"/>
        <v>#VALUE!</v>
      </c>
      <c r="F471" s="43" t="str">
        <f t="array" ref="F471">+TIPOARMA(H471,I471)</f>
        <v>ERRO - REVISAR</v>
      </c>
      <c r="G471" s="41"/>
      <c r="H471" s="41" t="str">
        <f t="array" ref="H471">+ARMASTD(N471)</f>
        <v>ERRO - REVISAR</v>
      </c>
      <c r="I471" s="41" t="str">
        <f t="array" ref="I471">+CALIBRESTD(O471)</f>
        <v>ERRO - REVISAR</v>
      </c>
    </row>
    <row r="472" spans="1:9" ht="14.25" customHeight="1" x14ac:dyDescent="0.35">
      <c r="A472" t="str">
        <f t="array" ref="A472">EXTRACTEVENT(Q472,S472)</f>
        <v/>
      </c>
      <c r="B472" t="str">
        <f t="shared" si="21"/>
        <v>-</v>
      </c>
      <c r="C472" t="e">
        <f>+VLOOKUP(R472,Maps!$A:$C,2,0)</f>
        <v>#N/A</v>
      </c>
      <c r="D472" t="e">
        <f t="shared" si="22"/>
        <v>#VALUE!</v>
      </c>
      <c r="E472" s="39" t="e">
        <f t="shared" si="23"/>
        <v>#VALUE!</v>
      </c>
      <c r="F472" s="7" t="str">
        <f t="array" ref="F472">+TIPOARMA(H472,I472)</f>
        <v>ERRO - REVISAR</v>
      </c>
      <c r="H472" t="str">
        <f t="array" ref="H472">+ARMASTD(N472)</f>
        <v>ERRO - REVISAR</v>
      </c>
      <c r="I472" t="str">
        <f t="array" ref="I472">+CALIBRESTD(O472)</f>
        <v>ERRO - REVISAR</v>
      </c>
    </row>
    <row r="473" spans="1:9" ht="14.25" customHeight="1" x14ac:dyDescent="0.35">
      <c r="A473" s="41" t="str">
        <f t="array" ref="A473">EXTRACTEVENT(Q473,S473)</f>
        <v/>
      </c>
      <c r="B473" s="41" t="str">
        <f t="shared" si="21"/>
        <v>-</v>
      </c>
      <c r="C473" s="41" t="e">
        <f>+VLOOKUP(R473,Maps!$A:$C,2,0)</f>
        <v>#N/A</v>
      </c>
      <c r="D473" s="41" t="e">
        <f t="shared" si="22"/>
        <v>#VALUE!</v>
      </c>
      <c r="E473" s="42" t="e">
        <f t="shared" si="23"/>
        <v>#VALUE!</v>
      </c>
      <c r="F473" s="43" t="str">
        <f t="array" ref="F473">+TIPOARMA(H473,I473)</f>
        <v>ERRO - REVISAR</v>
      </c>
      <c r="G473" s="41"/>
      <c r="H473" s="41" t="str">
        <f t="array" ref="H473">+ARMASTD(N473)</f>
        <v>ERRO - REVISAR</v>
      </c>
      <c r="I473" s="41" t="str">
        <f t="array" ref="I473">+CALIBRESTD(O473)</f>
        <v>ERRO - REVISAR</v>
      </c>
    </row>
    <row r="474" spans="1:9" ht="14.25" customHeight="1" x14ac:dyDescent="0.35">
      <c r="A474" t="str">
        <f t="array" ref="A474">EXTRACTEVENT(Q474,S474)</f>
        <v/>
      </c>
      <c r="B474" t="str">
        <f t="shared" si="21"/>
        <v>-</v>
      </c>
      <c r="C474" t="e">
        <f>+VLOOKUP(R474,Maps!$A:$C,2,0)</f>
        <v>#N/A</v>
      </c>
      <c r="D474" t="e">
        <f t="shared" si="22"/>
        <v>#VALUE!</v>
      </c>
      <c r="E474" s="39" t="e">
        <f t="shared" si="23"/>
        <v>#VALUE!</v>
      </c>
      <c r="F474" s="7" t="str">
        <f t="array" ref="F474">+TIPOARMA(H474,I474)</f>
        <v>ERRO - REVISAR</v>
      </c>
      <c r="H474" t="str">
        <f t="array" ref="H474">+ARMASTD(N474)</f>
        <v>ERRO - REVISAR</v>
      </c>
      <c r="I474" t="str">
        <f t="array" ref="I474">+CALIBRESTD(O474)</f>
        <v>ERRO - REVISAR</v>
      </c>
    </row>
    <row r="475" spans="1:9" ht="14.25" customHeight="1" x14ac:dyDescent="0.35">
      <c r="A475" s="41" t="str">
        <f t="array" ref="A475">EXTRACTEVENT(Q475,S475)</f>
        <v/>
      </c>
      <c r="B475" s="41" t="str">
        <f t="shared" si="21"/>
        <v>-</v>
      </c>
      <c r="C475" s="41" t="e">
        <f>+VLOOKUP(R475,Maps!$A:$C,2,0)</f>
        <v>#N/A</v>
      </c>
      <c r="D475" s="41" t="e">
        <f t="shared" si="22"/>
        <v>#VALUE!</v>
      </c>
      <c r="E475" s="42" t="e">
        <f t="shared" si="23"/>
        <v>#VALUE!</v>
      </c>
      <c r="F475" s="43" t="str">
        <f t="array" ref="F475">+TIPOARMA(H475,I475)</f>
        <v>ERRO - REVISAR</v>
      </c>
      <c r="G475" s="41"/>
      <c r="H475" s="41" t="str">
        <f t="array" ref="H475">+ARMASTD(N475)</f>
        <v>ERRO - REVISAR</v>
      </c>
      <c r="I475" s="41" t="str">
        <f t="array" ref="I475">+CALIBRESTD(O475)</f>
        <v>ERRO - REVISAR</v>
      </c>
    </row>
    <row r="476" spans="1:9" ht="14.25" customHeight="1" x14ac:dyDescent="0.35">
      <c r="A476" t="str">
        <f t="array" ref="A476">EXTRACTEVENT(Q476,S476)</f>
        <v/>
      </c>
      <c r="B476" t="str">
        <f t="shared" si="21"/>
        <v>-</v>
      </c>
      <c r="C476" t="e">
        <f>+VLOOKUP(R476,Maps!$A:$C,2,0)</f>
        <v>#N/A</v>
      </c>
      <c r="D476" t="e">
        <f t="shared" si="22"/>
        <v>#VALUE!</v>
      </c>
      <c r="E476" s="39" t="e">
        <f t="shared" si="23"/>
        <v>#VALUE!</v>
      </c>
      <c r="F476" s="7" t="str">
        <f t="array" ref="F476">+TIPOARMA(H476,I476)</f>
        <v>ERRO - REVISAR</v>
      </c>
      <c r="H476" t="str">
        <f t="array" ref="H476">+ARMASTD(N476)</f>
        <v>ERRO - REVISAR</v>
      </c>
      <c r="I476" t="str">
        <f t="array" ref="I476">+CALIBRESTD(O476)</f>
        <v>ERRO - REVISAR</v>
      </c>
    </row>
    <row r="477" spans="1:9" ht="14.25" customHeight="1" x14ac:dyDescent="0.35">
      <c r="A477" s="41" t="str">
        <f t="array" ref="A477">EXTRACTEVENT(Q477,S477)</f>
        <v/>
      </c>
      <c r="B477" s="41" t="str">
        <f t="shared" si="21"/>
        <v>-</v>
      </c>
      <c r="C477" s="41" t="e">
        <f>+VLOOKUP(R477,Maps!$A:$C,2,0)</f>
        <v>#N/A</v>
      </c>
      <c r="D477" s="41" t="e">
        <f t="shared" si="22"/>
        <v>#VALUE!</v>
      </c>
      <c r="E477" s="42" t="e">
        <f t="shared" si="23"/>
        <v>#VALUE!</v>
      </c>
      <c r="F477" s="43" t="str">
        <f t="array" ref="F477">+TIPOARMA(H477,I477)</f>
        <v>ERRO - REVISAR</v>
      </c>
      <c r="G477" s="41"/>
      <c r="H477" s="41" t="str">
        <f t="array" ref="H477">+ARMASTD(N477)</f>
        <v>ERRO - REVISAR</v>
      </c>
      <c r="I477" s="41" t="str">
        <f t="array" ref="I477">+CALIBRESTD(O477)</f>
        <v>ERRO - REVISAR</v>
      </c>
    </row>
    <row r="478" spans="1:9" ht="14.25" customHeight="1" x14ac:dyDescent="0.35">
      <c r="A478" t="str">
        <f t="array" ref="A478">EXTRACTEVENT(Q478,S478)</f>
        <v/>
      </c>
      <c r="B478" t="str">
        <f t="shared" si="21"/>
        <v>-</v>
      </c>
      <c r="C478" t="e">
        <f>+VLOOKUP(R478,Maps!$A:$C,2,0)</f>
        <v>#N/A</v>
      </c>
      <c r="D478" t="e">
        <f t="shared" si="22"/>
        <v>#VALUE!</v>
      </c>
      <c r="E478" s="39" t="e">
        <f t="shared" si="23"/>
        <v>#VALUE!</v>
      </c>
      <c r="F478" s="7" t="str">
        <f t="array" ref="F478">+TIPOARMA(H478,I478)</f>
        <v>ERRO - REVISAR</v>
      </c>
      <c r="H478" t="str">
        <f t="array" ref="H478">+ARMASTD(N478)</f>
        <v>ERRO - REVISAR</v>
      </c>
      <c r="I478" t="str">
        <f t="array" ref="I478">+CALIBRESTD(O478)</f>
        <v>ERRO - REVISAR</v>
      </c>
    </row>
    <row r="479" spans="1:9" ht="14.25" customHeight="1" x14ac:dyDescent="0.35">
      <c r="A479" s="41" t="str">
        <f t="array" ref="A479">EXTRACTEVENT(Q479,S479)</f>
        <v/>
      </c>
      <c r="B479" s="41" t="str">
        <f t="shared" si="21"/>
        <v>-</v>
      </c>
      <c r="C479" s="41" t="e">
        <f>+VLOOKUP(R479,Maps!$A:$C,2,0)</f>
        <v>#N/A</v>
      </c>
      <c r="D479" s="41" t="e">
        <f t="shared" si="22"/>
        <v>#VALUE!</v>
      </c>
      <c r="E479" s="42" t="e">
        <f t="shared" si="23"/>
        <v>#VALUE!</v>
      </c>
      <c r="F479" s="43" t="str">
        <f t="array" ref="F479">+TIPOARMA(H479,I479)</f>
        <v>ERRO - REVISAR</v>
      </c>
      <c r="G479" s="41"/>
      <c r="H479" s="41" t="str">
        <f t="array" ref="H479">+ARMASTD(N479)</f>
        <v>ERRO - REVISAR</v>
      </c>
      <c r="I479" s="41" t="str">
        <f t="array" ref="I479">+CALIBRESTD(O479)</f>
        <v>ERRO - REVISAR</v>
      </c>
    </row>
    <row r="480" spans="1:9" ht="14.25" customHeight="1" x14ac:dyDescent="0.35">
      <c r="A480" t="str">
        <f t="array" ref="A480">EXTRACTEVENT(Q480,S480)</f>
        <v/>
      </c>
      <c r="B480" t="str">
        <f t="shared" si="21"/>
        <v>-</v>
      </c>
      <c r="C480" t="e">
        <f>+VLOOKUP(R480,Maps!$A:$C,2,0)</f>
        <v>#N/A</v>
      </c>
      <c r="D480" t="e">
        <f t="shared" si="22"/>
        <v>#VALUE!</v>
      </c>
      <c r="E480" s="39" t="e">
        <f t="shared" si="23"/>
        <v>#VALUE!</v>
      </c>
      <c r="F480" s="7" t="str">
        <f t="array" ref="F480">+TIPOARMA(H480,I480)</f>
        <v>ERRO - REVISAR</v>
      </c>
      <c r="H480" t="str">
        <f t="array" ref="H480">+ARMASTD(N480)</f>
        <v>ERRO - REVISAR</v>
      </c>
      <c r="I480" t="str">
        <f t="array" ref="I480">+CALIBRESTD(O480)</f>
        <v>ERRO - REVISAR</v>
      </c>
    </row>
    <row r="481" spans="1:9" ht="14.25" customHeight="1" x14ac:dyDescent="0.35">
      <c r="A481" s="41" t="str">
        <f t="array" ref="A481">EXTRACTEVENT(Q481,S481)</f>
        <v/>
      </c>
      <c r="B481" s="41" t="str">
        <f t="shared" si="21"/>
        <v>-</v>
      </c>
      <c r="C481" s="41" t="e">
        <f>+VLOOKUP(R481,Maps!$A:$C,2,0)</f>
        <v>#N/A</v>
      </c>
      <c r="D481" s="41" t="e">
        <f t="shared" si="22"/>
        <v>#VALUE!</v>
      </c>
      <c r="E481" s="42" t="e">
        <f t="shared" si="23"/>
        <v>#VALUE!</v>
      </c>
      <c r="F481" s="43" t="str">
        <f t="array" ref="F481">+TIPOARMA(H481,I481)</f>
        <v>ERRO - REVISAR</v>
      </c>
      <c r="G481" s="41"/>
      <c r="H481" s="41" t="str">
        <f t="array" ref="H481">+ARMASTD(N481)</f>
        <v>ERRO - REVISAR</v>
      </c>
      <c r="I481" s="41" t="str">
        <f t="array" ref="I481">+CALIBRESTD(O481)</f>
        <v>ERRO - REVISAR</v>
      </c>
    </row>
    <row r="482" spans="1:9" ht="14.25" customHeight="1" x14ac:dyDescent="0.35">
      <c r="A482" t="str">
        <f t="array" ref="A482">EXTRACTEVENT(Q482,S482)</f>
        <v/>
      </c>
      <c r="B482" t="str">
        <f t="shared" si="21"/>
        <v>-</v>
      </c>
      <c r="C482" t="e">
        <f>+VLOOKUP(R482,Maps!$A:$C,2,0)</f>
        <v>#N/A</v>
      </c>
      <c r="D482" t="e">
        <f t="shared" si="22"/>
        <v>#VALUE!</v>
      </c>
      <c r="E482" s="39" t="e">
        <f t="shared" si="23"/>
        <v>#VALUE!</v>
      </c>
      <c r="F482" s="7" t="str">
        <f t="array" ref="F482">+TIPOARMA(H482,I482)</f>
        <v>ERRO - REVISAR</v>
      </c>
      <c r="H482" t="str">
        <f t="array" ref="H482">+ARMASTD(N482)</f>
        <v>ERRO - REVISAR</v>
      </c>
      <c r="I482" t="str">
        <f t="array" ref="I482">+CALIBRESTD(O482)</f>
        <v>ERRO - REVISAR</v>
      </c>
    </row>
    <row r="483" spans="1:9" ht="14.25" customHeight="1" x14ac:dyDescent="0.35">
      <c r="A483" s="41" t="str">
        <f t="array" ref="A483">EXTRACTEVENT(Q483,S483)</f>
        <v/>
      </c>
      <c r="B483" s="41" t="str">
        <f t="shared" si="21"/>
        <v>-</v>
      </c>
      <c r="C483" s="41" t="e">
        <f>+VLOOKUP(R483,Maps!$A:$C,2,0)</f>
        <v>#N/A</v>
      </c>
      <c r="D483" s="41" t="e">
        <f t="shared" si="22"/>
        <v>#VALUE!</v>
      </c>
      <c r="E483" s="42" t="e">
        <f t="shared" si="23"/>
        <v>#VALUE!</v>
      </c>
      <c r="F483" s="43" t="str">
        <f t="array" ref="F483">+TIPOARMA(H483,I483)</f>
        <v>ERRO - REVISAR</v>
      </c>
      <c r="G483" s="41"/>
      <c r="H483" s="41" t="str">
        <f t="array" ref="H483">+ARMASTD(N483)</f>
        <v>ERRO - REVISAR</v>
      </c>
      <c r="I483" s="41" t="str">
        <f t="array" ref="I483">+CALIBRESTD(O483)</f>
        <v>ERRO - REVISAR</v>
      </c>
    </row>
    <row r="484" spans="1:9" ht="14.25" customHeight="1" x14ac:dyDescent="0.35">
      <c r="A484" t="str">
        <f t="array" ref="A484">EXTRACTEVENT(Q484,S484)</f>
        <v/>
      </c>
      <c r="B484" t="str">
        <f t="shared" si="21"/>
        <v>-</v>
      </c>
      <c r="C484" t="e">
        <f>+VLOOKUP(R484,Maps!$A:$C,2,0)</f>
        <v>#N/A</v>
      </c>
      <c r="D484" t="e">
        <f t="shared" si="22"/>
        <v>#VALUE!</v>
      </c>
      <c r="E484" s="39" t="e">
        <f t="shared" si="23"/>
        <v>#VALUE!</v>
      </c>
      <c r="F484" s="7" t="str">
        <f t="array" ref="F484">+TIPOARMA(H484,I484)</f>
        <v>ERRO - REVISAR</v>
      </c>
      <c r="H484" t="str">
        <f t="array" ref="H484">+ARMASTD(N484)</f>
        <v>ERRO - REVISAR</v>
      </c>
      <c r="I484" t="str">
        <f t="array" ref="I484">+CALIBRESTD(O484)</f>
        <v>ERRO - REVISAR</v>
      </c>
    </row>
    <row r="485" spans="1:9" ht="14.25" customHeight="1" x14ac:dyDescent="0.35">
      <c r="A485" s="41" t="str">
        <f t="array" ref="A485">EXTRACTEVENT(Q485,S485)</f>
        <v/>
      </c>
      <c r="B485" s="41" t="str">
        <f t="shared" si="21"/>
        <v>-</v>
      </c>
      <c r="C485" s="41" t="e">
        <f>+VLOOKUP(R485,Maps!$A:$C,2,0)</f>
        <v>#N/A</v>
      </c>
      <c r="D485" s="41" t="e">
        <f t="shared" si="22"/>
        <v>#VALUE!</v>
      </c>
      <c r="E485" s="42" t="e">
        <f t="shared" si="23"/>
        <v>#VALUE!</v>
      </c>
      <c r="F485" s="43" t="str">
        <f t="array" ref="F485">+TIPOARMA(H485,I485)</f>
        <v>ERRO - REVISAR</v>
      </c>
      <c r="G485" s="41"/>
      <c r="H485" s="41" t="str">
        <f t="array" ref="H485">+ARMASTD(N485)</f>
        <v>ERRO - REVISAR</v>
      </c>
      <c r="I485" s="41" t="str">
        <f t="array" ref="I485">+CALIBRESTD(O485)</f>
        <v>ERRO - REVISAR</v>
      </c>
    </row>
    <row r="486" spans="1:9" ht="14.25" customHeight="1" x14ac:dyDescent="0.35">
      <c r="A486" t="str">
        <f t="array" ref="A486">EXTRACTEVENT(Q486,S486)</f>
        <v/>
      </c>
      <c r="B486" t="str">
        <f t="shared" si="21"/>
        <v>-</v>
      </c>
      <c r="C486" t="e">
        <f>+VLOOKUP(R486,Maps!$A:$C,2,0)</f>
        <v>#N/A</v>
      </c>
      <c r="D486" t="e">
        <f t="shared" si="22"/>
        <v>#VALUE!</v>
      </c>
      <c r="E486" s="39" t="e">
        <f t="shared" si="23"/>
        <v>#VALUE!</v>
      </c>
      <c r="F486" s="7" t="str">
        <f t="array" ref="F486">+TIPOARMA(H486,I486)</f>
        <v>ERRO - REVISAR</v>
      </c>
      <c r="H486" t="str">
        <f t="array" ref="H486">+ARMASTD(N486)</f>
        <v>ERRO - REVISAR</v>
      </c>
      <c r="I486" t="str">
        <f t="array" ref="I486">+CALIBRESTD(O486)</f>
        <v>ERRO - REVISAR</v>
      </c>
    </row>
    <row r="487" spans="1:9" ht="14.25" customHeight="1" x14ac:dyDescent="0.35">
      <c r="A487" s="41" t="str">
        <f t="array" ref="A487">EXTRACTEVENT(Q487,S487)</f>
        <v/>
      </c>
      <c r="B487" s="41" t="str">
        <f t="shared" si="21"/>
        <v>-</v>
      </c>
      <c r="C487" s="41" t="e">
        <f>+VLOOKUP(R487,Maps!$A:$C,2,0)</f>
        <v>#N/A</v>
      </c>
      <c r="D487" s="41" t="e">
        <f t="shared" si="22"/>
        <v>#VALUE!</v>
      </c>
      <c r="E487" s="42" t="e">
        <f t="shared" si="23"/>
        <v>#VALUE!</v>
      </c>
      <c r="F487" s="43" t="str">
        <f t="array" ref="F487">+TIPOARMA(H487,I487)</f>
        <v>ERRO - REVISAR</v>
      </c>
      <c r="G487" s="41"/>
      <c r="H487" s="41" t="str">
        <f t="array" ref="H487">+ARMASTD(N487)</f>
        <v>ERRO - REVISAR</v>
      </c>
      <c r="I487" s="41" t="str">
        <f t="array" ref="I487">+CALIBRESTD(O487)</f>
        <v>ERRO - REVISAR</v>
      </c>
    </row>
    <row r="488" spans="1:9" ht="14.25" customHeight="1" x14ac:dyDescent="0.35">
      <c r="A488" t="str">
        <f t="array" ref="A488">EXTRACTEVENT(Q488,S488)</f>
        <v/>
      </c>
      <c r="B488" t="str">
        <f t="shared" si="21"/>
        <v>-</v>
      </c>
      <c r="C488" t="e">
        <f>+VLOOKUP(R488,Maps!$A:$C,2,0)</f>
        <v>#N/A</v>
      </c>
      <c r="D488" t="e">
        <f t="shared" si="22"/>
        <v>#VALUE!</v>
      </c>
      <c r="E488" s="39" t="e">
        <f t="shared" si="23"/>
        <v>#VALUE!</v>
      </c>
      <c r="F488" s="7" t="str">
        <f t="array" ref="F488">+TIPOARMA(H488,I488)</f>
        <v>ERRO - REVISAR</v>
      </c>
      <c r="H488" t="str">
        <f t="array" ref="H488">+ARMASTD(N488)</f>
        <v>ERRO - REVISAR</v>
      </c>
      <c r="I488" t="str">
        <f t="array" ref="I488">+CALIBRESTD(O488)</f>
        <v>ERRO - REVISAR</v>
      </c>
    </row>
    <row r="489" spans="1:9" ht="14.25" customHeight="1" x14ac:dyDescent="0.35">
      <c r="A489" s="41" t="str">
        <f t="array" ref="A489">EXTRACTEVENT(Q489,S489)</f>
        <v/>
      </c>
      <c r="B489" s="41" t="str">
        <f t="shared" si="21"/>
        <v>-</v>
      </c>
      <c r="C489" s="41" t="e">
        <f>+VLOOKUP(R489,Maps!$A:$C,2,0)</f>
        <v>#N/A</v>
      </c>
      <c r="D489" s="41" t="e">
        <f t="shared" si="22"/>
        <v>#VALUE!</v>
      </c>
      <c r="E489" s="42" t="e">
        <f t="shared" si="23"/>
        <v>#VALUE!</v>
      </c>
      <c r="F489" s="43" t="str">
        <f t="array" ref="F489">+TIPOARMA(H489,I489)</f>
        <v>ERRO - REVISAR</v>
      </c>
      <c r="G489" s="41"/>
      <c r="H489" s="41" t="str">
        <f t="array" ref="H489">+ARMASTD(N489)</f>
        <v>ERRO - REVISAR</v>
      </c>
      <c r="I489" s="41" t="str">
        <f t="array" ref="I489">+CALIBRESTD(O489)</f>
        <v>ERRO - REVISAR</v>
      </c>
    </row>
    <row r="490" spans="1:9" ht="14.25" customHeight="1" x14ac:dyDescent="0.35">
      <c r="A490" t="str">
        <f t="array" ref="A490">EXTRACTEVENT(Q490,S490)</f>
        <v/>
      </c>
      <c r="B490" t="str">
        <f t="shared" si="21"/>
        <v>-</v>
      </c>
      <c r="C490" t="e">
        <f>+VLOOKUP(R490,Maps!$A:$C,2,0)</f>
        <v>#N/A</v>
      </c>
      <c r="D490" t="e">
        <f t="shared" si="22"/>
        <v>#VALUE!</v>
      </c>
      <c r="E490" s="39" t="e">
        <f t="shared" si="23"/>
        <v>#VALUE!</v>
      </c>
      <c r="F490" s="7" t="str">
        <f t="array" ref="F490">+TIPOARMA(H490,I490)</f>
        <v>ERRO - REVISAR</v>
      </c>
      <c r="H490" t="str">
        <f t="array" ref="H490">+ARMASTD(N490)</f>
        <v>ERRO - REVISAR</v>
      </c>
      <c r="I490" t="str">
        <f t="array" ref="I490">+CALIBRESTD(O490)</f>
        <v>ERRO - REVISAR</v>
      </c>
    </row>
    <row r="491" spans="1:9" ht="14.25" customHeight="1" x14ac:dyDescent="0.35">
      <c r="A491" s="41" t="str">
        <f t="array" ref="A491">EXTRACTEVENT(Q491,S491)</f>
        <v/>
      </c>
      <c r="B491" s="41" t="str">
        <f t="shared" si="21"/>
        <v>-</v>
      </c>
      <c r="C491" s="41" t="e">
        <f>+VLOOKUP(R491,Maps!$A:$C,2,0)</f>
        <v>#N/A</v>
      </c>
      <c r="D491" s="41" t="e">
        <f t="shared" si="22"/>
        <v>#VALUE!</v>
      </c>
      <c r="E491" s="42" t="e">
        <f t="shared" si="23"/>
        <v>#VALUE!</v>
      </c>
      <c r="F491" s="43" t="str">
        <f t="array" ref="F491">+TIPOARMA(H491,I491)</f>
        <v>ERRO - REVISAR</v>
      </c>
      <c r="G491" s="41"/>
      <c r="H491" s="41" t="str">
        <f t="array" ref="H491">+ARMASTD(N491)</f>
        <v>ERRO - REVISAR</v>
      </c>
      <c r="I491" s="41" t="str">
        <f t="array" ref="I491">+CALIBRESTD(O491)</f>
        <v>ERRO - REVISAR</v>
      </c>
    </row>
    <row r="492" spans="1:9" ht="14.25" customHeight="1" x14ac:dyDescent="0.35">
      <c r="A492" t="str">
        <f t="array" ref="A492">EXTRACTEVENT(Q492,S492)</f>
        <v/>
      </c>
      <c r="B492" t="str">
        <f t="shared" si="21"/>
        <v>-</v>
      </c>
      <c r="C492" t="e">
        <f>+VLOOKUP(R492,Maps!$A:$C,2,0)</f>
        <v>#N/A</v>
      </c>
      <c r="D492" t="e">
        <f t="shared" si="22"/>
        <v>#VALUE!</v>
      </c>
      <c r="E492" s="39" t="e">
        <f t="shared" si="23"/>
        <v>#VALUE!</v>
      </c>
      <c r="F492" s="7" t="str">
        <f t="array" ref="F492">+TIPOARMA(H492,I492)</f>
        <v>ERRO - REVISAR</v>
      </c>
      <c r="H492" t="str">
        <f t="array" ref="H492">+ARMASTD(N492)</f>
        <v>ERRO - REVISAR</v>
      </c>
      <c r="I492" t="str">
        <f t="array" ref="I492">+CALIBRESTD(O492)</f>
        <v>ERRO - REVISAR</v>
      </c>
    </row>
    <row r="493" spans="1:9" ht="14.25" customHeight="1" x14ac:dyDescent="0.35">
      <c r="A493" s="41" t="str">
        <f t="array" ref="A493">EXTRACTEVENT(Q493,S493)</f>
        <v/>
      </c>
      <c r="B493" s="41" t="str">
        <f t="shared" si="21"/>
        <v>-</v>
      </c>
      <c r="C493" s="41" t="e">
        <f>+VLOOKUP(R493,Maps!$A:$C,2,0)</f>
        <v>#N/A</v>
      </c>
      <c r="D493" s="41" t="e">
        <f t="shared" si="22"/>
        <v>#VALUE!</v>
      </c>
      <c r="E493" s="42" t="e">
        <f t="shared" si="23"/>
        <v>#VALUE!</v>
      </c>
      <c r="F493" s="43" t="str">
        <f t="array" ref="F493">+TIPOARMA(H493,I493)</f>
        <v>ERRO - REVISAR</v>
      </c>
      <c r="G493" s="41"/>
      <c r="H493" s="41" t="str">
        <f t="array" ref="H493">+ARMASTD(N493)</f>
        <v>ERRO - REVISAR</v>
      </c>
      <c r="I493" s="41" t="str">
        <f t="array" ref="I493">+CALIBRESTD(O493)</f>
        <v>ERRO - REVISAR</v>
      </c>
    </row>
    <row r="494" spans="1:9" ht="14.25" customHeight="1" x14ac:dyDescent="0.35">
      <c r="A494" t="str">
        <f t="array" ref="A494">EXTRACTEVENT(Q494,S494)</f>
        <v/>
      </c>
      <c r="B494" t="str">
        <f t="shared" si="21"/>
        <v>-</v>
      </c>
      <c r="C494" t="e">
        <f>+VLOOKUP(R494,Maps!$A:$C,2,0)</f>
        <v>#N/A</v>
      </c>
      <c r="D494" t="e">
        <f t="shared" si="22"/>
        <v>#VALUE!</v>
      </c>
      <c r="E494" s="39" t="e">
        <f t="shared" si="23"/>
        <v>#VALUE!</v>
      </c>
      <c r="F494" s="7" t="str">
        <f t="array" ref="F494">+TIPOARMA(H494,I494)</f>
        <v>ERRO - REVISAR</v>
      </c>
      <c r="H494" t="str">
        <f t="array" ref="H494">+ARMASTD(N494)</f>
        <v>ERRO - REVISAR</v>
      </c>
      <c r="I494" t="str">
        <f t="array" ref="I494">+CALIBRESTD(O494)</f>
        <v>ERRO - REVISAR</v>
      </c>
    </row>
    <row r="495" spans="1:9" ht="14.25" customHeight="1" x14ac:dyDescent="0.35">
      <c r="A495" s="41" t="str">
        <f t="array" ref="A495">EXTRACTEVENT(Q495,S495)</f>
        <v/>
      </c>
      <c r="B495" s="41" t="str">
        <f t="shared" si="21"/>
        <v>-</v>
      </c>
      <c r="C495" s="41" t="e">
        <f>+VLOOKUP(R495,Maps!$A:$C,2,0)</f>
        <v>#N/A</v>
      </c>
      <c r="D495" s="41" t="e">
        <f t="shared" si="22"/>
        <v>#VALUE!</v>
      </c>
      <c r="E495" s="42" t="e">
        <f t="shared" si="23"/>
        <v>#VALUE!</v>
      </c>
      <c r="F495" s="43" t="str">
        <f t="array" ref="F495">+TIPOARMA(H495,I495)</f>
        <v>ERRO - REVISAR</v>
      </c>
      <c r="G495" s="41"/>
      <c r="H495" s="41" t="str">
        <f t="array" ref="H495">+ARMASTD(N495)</f>
        <v>ERRO - REVISAR</v>
      </c>
      <c r="I495" s="41" t="str">
        <f t="array" ref="I495">+CALIBRESTD(O495)</f>
        <v>ERRO - REVISAR</v>
      </c>
    </row>
    <row r="496" spans="1:9" ht="14.25" customHeight="1" x14ac:dyDescent="0.35">
      <c r="A496" t="str">
        <f t="array" ref="A496">EXTRACTEVENT(Q496,S496)</f>
        <v/>
      </c>
      <c r="B496" t="str">
        <f t="shared" si="21"/>
        <v>-</v>
      </c>
      <c r="C496" t="e">
        <f>+VLOOKUP(R496,Maps!$A:$C,2,0)</f>
        <v>#N/A</v>
      </c>
      <c r="D496" t="e">
        <f t="shared" si="22"/>
        <v>#VALUE!</v>
      </c>
      <c r="E496" s="39" t="e">
        <f t="shared" si="23"/>
        <v>#VALUE!</v>
      </c>
      <c r="F496" s="7" t="str">
        <f t="array" ref="F496">+TIPOARMA(H496,I496)</f>
        <v>ERRO - REVISAR</v>
      </c>
      <c r="H496" t="str">
        <f t="array" ref="H496">+ARMASTD(N496)</f>
        <v>ERRO - REVISAR</v>
      </c>
      <c r="I496" t="str">
        <f t="array" ref="I496">+CALIBRESTD(O496)</f>
        <v>ERRO - REVISAR</v>
      </c>
    </row>
    <row r="497" spans="1:9" ht="14.25" customHeight="1" x14ac:dyDescent="0.35">
      <c r="A497" s="41" t="str">
        <f t="array" ref="A497">EXTRACTEVENT(Q497,S497)</f>
        <v/>
      </c>
      <c r="B497" s="41" t="str">
        <f t="shared" si="21"/>
        <v>-</v>
      </c>
      <c r="C497" s="41" t="e">
        <f>+VLOOKUP(R497,Maps!$A:$C,2,0)</f>
        <v>#N/A</v>
      </c>
      <c r="D497" s="41" t="e">
        <f t="shared" si="22"/>
        <v>#VALUE!</v>
      </c>
      <c r="E497" s="42" t="e">
        <f t="shared" si="23"/>
        <v>#VALUE!</v>
      </c>
      <c r="F497" s="43" t="str">
        <f t="array" ref="F497">+TIPOARMA(H497,I497)</f>
        <v>ERRO - REVISAR</v>
      </c>
      <c r="G497" s="41"/>
      <c r="H497" s="41" t="str">
        <f t="array" ref="H497">+ARMASTD(N497)</f>
        <v>ERRO - REVISAR</v>
      </c>
      <c r="I497" s="41" t="str">
        <f t="array" ref="I497">+CALIBRESTD(O497)</f>
        <v>ERRO - REVISAR</v>
      </c>
    </row>
    <row r="498" spans="1:9" ht="14.25" customHeight="1" x14ac:dyDescent="0.35">
      <c r="A498" t="str">
        <f t="array" ref="A498">EXTRACTEVENT(Q498,S498)</f>
        <v/>
      </c>
      <c r="B498" t="str">
        <f t="shared" si="21"/>
        <v>-</v>
      </c>
      <c r="C498" t="e">
        <f>+VLOOKUP(R498,Maps!$A:$C,2,0)</f>
        <v>#N/A</v>
      </c>
      <c r="D498" t="e">
        <f t="shared" si="22"/>
        <v>#VALUE!</v>
      </c>
      <c r="E498" s="39" t="e">
        <f t="shared" si="23"/>
        <v>#VALUE!</v>
      </c>
      <c r="F498" s="7" t="str">
        <f t="array" ref="F498">+TIPOARMA(H498,I498)</f>
        <v>ERRO - REVISAR</v>
      </c>
      <c r="H498" t="str">
        <f t="array" ref="H498">+ARMASTD(N498)</f>
        <v>ERRO - REVISAR</v>
      </c>
      <c r="I498" t="str">
        <f t="array" ref="I498">+CALIBRESTD(O498)</f>
        <v>ERRO - REVISAR</v>
      </c>
    </row>
    <row r="499" spans="1:9" ht="14.25" customHeight="1" x14ac:dyDescent="0.35">
      <c r="A499" s="41" t="str">
        <f t="array" ref="A499">EXTRACTEVENT(Q499,S499)</f>
        <v/>
      </c>
      <c r="B499" s="41" t="str">
        <f t="shared" si="21"/>
        <v>-</v>
      </c>
      <c r="C499" s="41" t="e">
        <f>+VLOOKUP(R499,Maps!$A:$C,2,0)</f>
        <v>#N/A</v>
      </c>
      <c r="D499" s="41" t="e">
        <f t="shared" si="22"/>
        <v>#VALUE!</v>
      </c>
      <c r="E499" s="42" t="e">
        <f t="shared" si="23"/>
        <v>#VALUE!</v>
      </c>
      <c r="F499" s="43" t="str">
        <f t="array" ref="F499">+TIPOARMA(H499,I499)</f>
        <v>ERRO - REVISAR</v>
      </c>
      <c r="G499" s="41"/>
      <c r="H499" s="41" t="str">
        <f t="array" ref="H499">+ARMASTD(N499)</f>
        <v>ERRO - REVISAR</v>
      </c>
      <c r="I499" s="41" t="str">
        <f t="array" ref="I499">+CALIBRESTD(O499)</f>
        <v>ERRO - REVISAR</v>
      </c>
    </row>
    <row r="500" spans="1:9" ht="14.25" customHeight="1" x14ac:dyDescent="0.35">
      <c r="A500" t="str">
        <f t="array" ref="A500">EXTRACTEVENT(Q500,S500)</f>
        <v/>
      </c>
      <c r="B500" t="str">
        <f t="shared" si="21"/>
        <v>-</v>
      </c>
      <c r="C500" t="e">
        <f>+VLOOKUP(R500,Maps!$A:$C,2,0)</f>
        <v>#N/A</v>
      </c>
      <c r="D500" t="e">
        <f t="shared" si="22"/>
        <v>#VALUE!</v>
      </c>
      <c r="E500" s="39" t="e">
        <f t="shared" si="23"/>
        <v>#VALUE!</v>
      </c>
      <c r="F500" s="7" t="str">
        <f t="array" ref="F500">+TIPOARMA(H500,I500)</f>
        <v>ERRO - REVISAR</v>
      </c>
      <c r="H500" t="str">
        <f t="array" ref="H500">+ARMASTD(N500)</f>
        <v>ERRO - REVISAR</v>
      </c>
      <c r="I500" t="str">
        <f t="array" ref="I500">+CALIBRESTD(O500)</f>
        <v>ERRO - REVISAR</v>
      </c>
    </row>
    <row r="501" spans="1:9" ht="14.25" customHeight="1" x14ac:dyDescent="0.35">
      <c r="A501" s="41" t="str">
        <f t="array" ref="A501">EXTRACTEVENT(Q501,S501)</f>
        <v/>
      </c>
      <c r="B501" s="41" t="str">
        <f t="shared" si="21"/>
        <v>-</v>
      </c>
      <c r="C501" s="41" t="e">
        <f>+VLOOKUP(R501,Maps!$A:$C,2,0)</f>
        <v>#N/A</v>
      </c>
      <c r="D501" s="41" t="e">
        <f t="shared" si="22"/>
        <v>#VALUE!</v>
      </c>
      <c r="E501" s="42" t="e">
        <f t="shared" si="23"/>
        <v>#VALUE!</v>
      </c>
      <c r="F501" s="43" t="str">
        <f t="array" ref="F501">+TIPOARMA(H501,I501)</f>
        <v>ERRO - REVISAR</v>
      </c>
      <c r="G501" s="41"/>
      <c r="H501" s="41" t="str">
        <f t="array" ref="H501">+ARMASTD(N501)</f>
        <v>ERRO - REVISAR</v>
      </c>
      <c r="I501" s="41" t="str">
        <f t="array" ref="I501">+CALIBRESTD(O501)</f>
        <v>ERRO - REVISAR</v>
      </c>
    </row>
    <row r="502" spans="1:9" ht="14.25" customHeight="1" x14ac:dyDescent="0.35">
      <c r="A502" t="str">
        <f t="array" ref="A502">EXTRACTEVENT(Q502,S502)</f>
        <v/>
      </c>
      <c r="B502" t="str">
        <f t="shared" si="21"/>
        <v>-</v>
      </c>
      <c r="C502" t="e">
        <f>+VLOOKUP(R502,Maps!$A:$C,2,0)</f>
        <v>#N/A</v>
      </c>
      <c r="D502" t="e">
        <f t="shared" si="22"/>
        <v>#VALUE!</v>
      </c>
      <c r="E502" s="39" t="e">
        <f t="shared" si="23"/>
        <v>#VALUE!</v>
      </c>
      <c r="F502" s="7" t="str">
        <f t="array" ref="F502">+TIPOARMA(H502,I502)</f>
        <v>ERRO - REVISAR</v>
      </c>
      <c r="H502" t="str">
        <f t="array" ref="H502">+ARMASTD(N502)</f>
        <v>ERRO - REVISAR</v>
      </c>
      <c r="I502" t="str">
        <f t="array" ref="I502">+CALIBRESTD(O502)</f>
        <v>ERRO - REVISAR</v>
      </c>
    </row>
    <row r="503" spans="1:9" ht="14.25" customHeight="1" x14ac:dyDescent="0.35">
      <c r="A503" s="41" t="str">
        <f t="array" ref="A503">EXTRACTEVENT(Q503,S503)</f>
        <v/>
      </c>
      <c r="B503" s="41" t="str">
        <f t="shared" si="21"/>
        <v>-</v>
      </c>
      <c r="C503" s="41" t="e">
        <f>+VLOOKUP(R503,Maps!$A:$C,2,0)</f>
        <v>#N/A</v>
      </c>
      <c r="D503" s="41" t="e">
        <f t="shared" si="22"/>
        <v>#VALUE!</v>
      </c>
      <c r="E503" s="42" t="e">
        <f t="shared" si="23"/>
        <v>#VALUE!</v>
      </c>
      <c r="F503" s="43" t="str">
        <f t="array" ref="F503">+TIPOARMA(H503,I503)</f>
        <v>ERRO - REVISAR</v>
      </c>
      <c r="G503" s="41"/>
      <c r="H503" s="41" t="str">
        <f t="array" ref="H503">+ARMASTD(N503)</f>
        <v>ERRO - REVISAR</v>
      </c>
      <c r="I503" s="41" t="str">
        <f t="array" ref="I503">+CALIBRESTD(O503)</f>
        <v>ERRO - REVISAR</v>
      </c>
    </row>
    <row r="504" spans="1:9" ht="14.25" customHeight="1" x14ac:dyDescent="0.35">
      <c r="A504" t="str">
        <f t="array" ref="A504">EXTRACTEVENT(Q504,S504)</f>
        <v/>
      </c>
      <c r="B504" t="str">
        <f t="shared" si="21"/>
        <v>-</v>
      </c>
      <c r="C504" t="e">
        <f>+VLOOKUP(R504,Maps!$A:$C,2,0)</f>
        <v>#N/A</v>
      </c>
      <c r="D504" t="e">
        <f t="shared" si="22"/>
        <v>#VALUE!</v>
      </c>
      <c r="E504" s="39" t="e">
        <f t="shared" si="23"/>
        <v>#VALUE!</v>
      </c>
      <c r="F504" s="7" t="str">
        <f t="array" ref="F504">+TIPOARMA(H504,I504)</f>
        <v>ERRO - REVISAR</v>
      </c>
      <c r="H504" t="str">
        <f t="array" ref="H504">+ARMASTD(N504)</f>
        <v>ERRO - REVISAR</v>
      </c>
      <c r="I504" t="str">
        <f t="array" ref="I504">+CALIBRESTD(O504)</f>
        <v>ERRO - REVISAR</v>
      </c>
    </row>
    <row r="505" spans="1:9" ht="14.25" customHeight="1" x14ac:dyDescent="0.35">
      <c r="A505" s="41" t="str">
        <f t="array" ref="A505">EXTRACTEVENT(Q505,S505)</f>
        <v/>
      </c>
      <c r="B505" s="41" t="str">
        <f t="shared" si="21"/>
        <v>-</v>
      </c>
      <c r="C505" s="41" t="e">
        <f>+VLOOKUP(R505,Maps!$A:$C,2,0)</f>
        <v>#N/A</v>
      </c>
      <c r="D505" s="41" t="e">
        <f t="shared" si="22"/>
        <v>#VALUE!</v>
      </c>
      <c r="E505" s="42" t="e">
        <f t="shared" si="23"/>
        <v>#VALUE!</v>
      </c>
      <c r="F505" s="43" t="str">
        <f t="array" ref="F505">+TIPOARMA(H505,I505)</f>
        <v>ERRO - REVISAR</v>
      </c>
      <c r="G505" s="41"/>
      <c r="H505" s="41" t="str">
        <f t="array" ref="H505">+ARMASTD(N505)</f>
        <v>ERRO - REVISAR</v>
      </c>
      <c r="I505" s="41" t="str">
        <f t="array" ref="I505">+CALIBRESTD(O505)</f>
        <v>ERRO - REVISAR</v>
      </c>
    </row>
    <row r="506" spans="1:9" ht="14.25" customHeight="1" x14ac:dyDescent="0.35">
      <c r="A506" t="str">
        <f t="array" ref="A506">EXTRACTEVENT(Q506,S506)</f>
        <v/>
      </c>
      <c r="B506" t="str">
        <f t="shared" si="21"/>
        <v>-</v>
      </c>
      <c r="C506" t="e">
        <f>+VLOOKUP(R506,Maps!$A:$C,2,0)</f>
        <v>#N/A</v>
      </c>
      <c r="D506" t="e">
        <f t="shared" si="22"/>
        <v>#VALUE!</v>
      </c>
      <c r="E506" s="39" t="e">
        <f t="shared" si="23"/>
        <v>#VALUE!</v>
      </c>
      <c r="F506" s="7" t="str">
        <f t="array" ref="F506">+TIPOARMA(H506,I506)</f>
        <v>ERRO - REVISAR</v>
      </c>
      <c r="H506" t="str">
        <f t="array" ref="H506">+ARMASTD(N506)</f>
        <v>ERRO - REVISAR</v>
      </c>
      <c r="I506" t="str">
        <f t="array" ref="I506">+CALIBRESTD(O506)</f>
        <v>ERRO - REVISAR</v>
      </c>
    </row>
    <row r="507" spans="1:9" ht="14.25" customHeight="1" x14ac:dyDescent="0.35">
      <c r="A507" s="41" t="str">
        <f t="array" ref="A507">EXTRACTEVENT(Q507,S507)</f>
        <v/>
      </c>
      <c r="B507" s="41" t="str">
        <f t="shared" si="21"/>
        <v>-</v>
      </c>
      <c r="C507" s="41" t="e">
        <f>+VLOOKUP(R507,Maps!$A:$C,2,0)</f>
        <v>#N/A</v>
      </c>
      <c r="D507" s="41" t="e">
        <f t="shared" si="22"/>
        <v>#VALUE!</v>
      </c>
      <c r="E507" s="42" t="e">
        <f t="shared" si="23"/>
        <v>#VALUE!</v>
      </c>
      <c r="F507" s="43" t="str">
        <f t="array" ref="F507">+TIPOARMA(H507,I507)</f>
        <v>ERRO - REVISAR</v>
      </c>
      <c r="G507" s="41"/>
      <c r="H507" s="41" t="str">
        <f t="array" ref="H507">+ARMASTD(N507)</f>
        <v>ERRO - REVISAR</v>
      </c>
      <c r="I507" s="41" t="str">
        <f t="array" ref="I507">+CALIBRESTD(O507)</f>
        <v>ERRO - REVISAR</v>
      </c>
    </row>
    <row r="508" spans="1:9" ht="14.25" customHeight="1" x14ac:dyDescent="0.35">
      <c r="A508" t="str">
        <f t="array" ref="A508">EXTRACTEVENT(Q508,S508)</f>
        <v/>
      </c>
      <c r="B508" t="str">
        <f t="shared" si="21"/>
        <v>-</v>
      </c>
      <c r="C508" t="e">
        <f>+VLOOKUP(R508,Maps!$A:$C,2,0)</f>
        <v>#N/A</v>
      </c>
      <c r="D508" t="e">
        <f t="shared" si="22"/>
        <v>#VALUE!</v>
      </c>
      <c r="E508" s="39" t="e">
        <f t="shared" si="23"/>
        <v>#VALUE!</v>
      </c>
      <c r="F508" s="7" t="str">
        <f t="array" ref="F508">+TIPOARMA(H508,I508)</f>
        <v>ERRO - REVISAR</v>
      </c>
      <c r="H508" t="str">
        <f t="array" ref="H508">+ARMASTD(N508)</f>
        <v>ERRO - REVISAR</v>
      </c>
      <c r="I508" t="str">
        <f t="array" ref="I508">+CALIBRESTD(O508)</f>
        <v>ERRO - REVISAR</v>
      </c>
    </row>
    <row r="509" spans="1:9" ht="14.25" customHeight="1" x14ac:dyDescent="0.35">
      <c r="A509" s="41" t="str">
        <f t="array" ref="A509">EXTRACTEVENT(Q509,S509)</f>
        <v/>
      </c>
      <c r="B509" s="41" t="str">
        <f t="shared" si="21"/>
        <v>-</v>
      </c>
      <c r="C509" s="41" t="e">
        <f>+VLOOKUP(R509,Maps!$A:$C,2,0)</f>
        <v>#N/A</v>
      </c>
      <c r="D509" s="41" t="e">
        <f t="shared" si="22"/>
        <v>#VALUE!</v>
      </c>
      <c r="E509" s="42" t="e">
        <f t="shared" si="23"/>
        <v>#VALUE!</v>
      </c>
      <c r="F509" s="43" t="str">
        <f t="array" ref="F509">+TIPOARMA(H509,I509)</f>
        <v>ERRO - REVISAR</v>
      </c>
      <c r="G509" s="41"/>
      <c r="H509" s="41" t="str">
        <f t="array" ref="H509">+ARMASTD(N509)</f>
        <v>ERRO - REVISAR</v>
      </c>
      <c r="I509" s="41" t="str">
        <f t="array" ref="I509">+CALIBRESTD(O509)</f>
        <v>ERRO - REVISAR</v>
      </c>
    </row>
    <row r="510" spans="1:9" ht="14.25" customHeight="1" x14ac:dyDescent="0.35">
      <c r="A510" t="str">
        <f t="array" ref="A510">EXTRACTEVENT(Q510,S510)</f>
        <v/>
      </c>
      <c r="B510" t="str">
        <f t="shared" si="21"/>
        <v>-</v>
      </c>
      <c r="C510" t="e">
        <f>+VLOOKUP(R510,Maps!$A:$C,2,0)</f>
        <v>#N/A</v>
      </c>
      <c r="D510" t="e">
        <f t="shared" si="22"/>
        <v>#VALUE!</v>
      </c>
      <c r="E510" s="39" t="e">
        <f t="shared" si="23"/>
        <v>#VALUE!</v>
      </c>
      <c r="F510" s="7" t="str">
        <f t="array" ref="F510">+TIPOARMA(H510,I510)</f>
        <v>ERRO - REVISAR</v>
      </c>
      <c r="H510" t="str">
        <f t="array" ref="H510">+ARMASTD(N510)</f>
        <v>ERRO - REVISAR</v>
      </c>
      <c r="I510" t="str">
        <f t="array" ref="I510">+CALIBRESTD(O510)</f>
        <v>ERRO - REVISAR</v>
      </c>
    </row>
    <row r="511" spans="1:9" ht="14.25" customHeight="1" x14ac:dyDescent="0.35">
      <c r="A511" s="41" t="str">
        <f t="array" ref="A511">EXTRACTEVENT(Q511,S511)</f>
        <v/>
      </c>
      <c r="B511" s="41" t="str">
        <f t="shared" si="21"/>
        <v>-</v>
      </c>
      <c r="C511" s="41" t="e">
        <f>+VLOOKUP(R511,Maps!$A:$C,2,0)</f>
        <v>#N/A</v>
      </c>
      <c r="D511" s="41" t="e">
        <f t="shared" si="22"/>
        <v>#VALUE!</v>
      </c>
      <c r="E511" s="42" t="e">
        <f t="shared" si="23"/>
        <v>#VALUE!</v>
      </c>
      <c r="F511" s="43" t="str">
        <f t="array" ref="F511">+TIPOARMA(H511,I511)</f>
        <v>ERRO - REVISAR</v>
      </c>
      <c r="G511" s="41"/>
      <c r="H511" s="41" t="str">
        <f t="array" ref="H511">+ARMASTD(N511)</f>
        <v>ERRO - REVISAR</v>
      </c>
      <c r="I511" s="41" t="str">
        <f t="array" ref="I511">+CALIBRESTD(O511)</f>
        <v>ERRO - REVISAR</v>
      </c>
    </row>
    <row r="512" spans="1:9" ht="14.25" customHeight="1" x14ac:dyDescent="0.35">
      <c r="A512" t="str">
        <f t="array" ref="A512">EXTRACTEVENT(Q512,S512)</f>
        <v/>
      </c>
      <c r="B512" t="str">
        <f t="shared" si="21"/>
        <v>-</v>
      </c>
      <c r="C512" t="e">
        <f>+VLOOKUP(R512,Maps!$A:$C,2,0)</f>
        <v>#N/A</v>
      </c>
      <c r="D512" t="e">
        <f t="shared" si="22"/>
        <v>#VALUE!</v>
      </c>
      <c r="E512" s="39" t="e">
        <f t="shared" si="23"/>
        <v>#VALUE!</v>
      </c>
      <c r="F512" s="7" t="str">
        <f t="array" ref="F512">+TIPOARMA(H512,I512)</f>
        <v>ERRO - REVISAR</v>
      </c>
      <c r="H512" t="str">
        <f t="array" ref="H512">+ARMASTD(N512)</f>
        <v>ERRO - REVISAR</v>
      </c>
      <c r="I512" t="str">
        <f t="array" ref="I512">+CALIBRESTD(O512)</f>
        <v>ERRO - REVISAR</v>
      </c>
    </row>
    <row r="513" spans="1:9" ht="14.25" customHeight="1" x14ac:dyDescent="0.35">
      <c r="A513" s="41" t="str">
        <f t="array" ref="A513">EXTRACTEVENT(Q513,S513)</f>
        <v/>
      </c>
      <c r="B513" s="41" t="str">
        <f t="shared" si="21"/>
        <v>-</v>
      </c>
      <c r="C513" s="41" t="e">
        <f>+VLOOKUP(R513,Maps!$A:$C,2,0)</f>
        <v>#N/A</v>
      </c>
      <c r="D513" s="41" t="e">
        <f t="shared" si="22"/>
        <v>#VALUE!</v>
      </c>
      <c r="E513" s="42" t="e">
        <f t="shared" si="23"/>
        <v>#VALUE!</v>
      </c>
      <c r="F513" s="43" t="str">
        <f t="array" ref="F513">+TIPOARMA(H513,I513)</f>
        <v>ERRO - REVISAR</v>
      </c>
      <c r="G513" s="41"/>
      <c r="H513" s="41" t="str">
        <f t="array" ref="H513">+ARMASTD(N513)</f>
        <v>ERRO - REVISAR</v>
      </c>
      <c r="I513" s="41" t="str">
        <f t="array" ref="I513">+CALIBRESTD(O513)</f>
        <v>ERRO - REVISAR</v>
      </c>
    </row>
    <row r="514" spans="1:9" ht="14.25" customHeight="1" x14ac:dyDescent="0.35">
      <c r="A514" t="str">
        <f t="array" ref="A514">EXTRACTEVENT(Q514,S514)</f>
        <v/>
      </c>
      <c r="B514" t="str">
        <f t="shared" ref="B514:B577" si="24">+EXTRACTETAPANUM(Q514)</f>
        <v>-</v>
      </c>
      <c r="C514" t="e">
        <f>+VLOOKUP(R514,Maps!$A:$C,2,0)</f>
        <v>#N/A</v>
      </c>
      <c r="D514" t="e">
        <f t="shared" ref="D514:D577" si="25">+DEFINEAMBITO(Q514,C514)</f>
        <v>#VALUE!</v>
      </c>
      <c r="E514" s="39" t="e">
        <f t="shared" ref="E514:E577" si="26">DATEVALUE(L514)</f>
        <v>#VALUE!</v>
      </c>
      <c r="F514" s="7" t="str">
        <f t="array" ref="F514">+TIPOARMA(H514,I514)</f>
        <v>ERRO - REVISAR</v>
      </c>
      <c r="H514" t="str">
        <f t="array" ref="H514">+ARMASTD(N514)</f>
        <v>ERRO - REVISAR</v>
      </c>
      <c r="I514" t="str">
        <f t="array" ref="I514">+CALIBRESTD(O514)</f>
        <v>ERRO - REVISAR</v>
      </c>
    </row>
    <row r="515" spans="1:9" ht="14.25" customHeight="1" x14ac:dyDescent="0.35">
      <c r="A515" s="41" t="str">
        <f t="array" ref="A515">EXTRACTEVENT(Q515,S515)</f>
        <v/>
      </c>
      <c r="B515" s="41" t="str">
        <f t="shared" si="24"/>
        <v>-</v>
      </c>
      <c r="C515" s="41" t="e">
        <f>+VLOOKUP(R515,Maps!$A:$C,2,0)</f>
        <v>#N/A</v>
      </c>
      <c r="D515" s="41" t="e">
        <f t="shared" si="25"/>
        <v>#VALUE!</v>
      </c>
      <c r="E515" s="42" t="e">
        <f t="shared" si="26"/>
        <v>#VALUE!</v>
      </c>
      <c r="F515" s="43" t="str">
        <f t="array" ref="F515">+TIPOARMA(H515,I515)</f>
        <v>ERRO - REVISAR</v>
      </c>
      <c r="G515" s="41"/>
      <c r="H515" s="41" t="str">
        <f t="array" ref="H515">+ARMASTD(N515)</f>
        <v>ERRO - REVISAR</v>
      </c>
      <c r="I515" s="41" t="str">
        <f t="array" ref="I515">+CALIBRESTD(O515)</f>
        <v>ERRO - REVISAR</v>
      </c>
    </row>
    <row r="516" spans="1:9" ht="14.25" customHeight="1" x14ac:dyDescent="0.35">
      <c r="A516" t="str">
        <f t="array" ref="A516">EXTRACTEVENT(Q516,S516)</f>
        <v/>
      </c>
      <c r="B516" t="str">
        <f t="shared" si="24"/>
        <v>-</v>
      </c>
      <c r="C516" t="e">
        <f>+VLOOKUP(R516,Maps!$A:$C,2,0)</f>
        <v>#N/A</v>
      </c>
      <c r="D516" t="e">
        <f t="shared" si="25"/>
        <v>#VALUE!</v>
      </c>
      <c r="E516" s="39" t="e">
        <f t="shared" si="26"/>
        <v>#VALUE!</v>
      </c>
      <c r="F516" s="7" t="str">
        <f t="array" ref="F516">+TIPOARMA(H516,I516)</f>
        <v>ERRO - REVISAR</v>
      </c>
      <c r="H516" t="str">
        <f t="array" ref="H516">+ARMASTD(N516)</f>
        <v>ERRO - REVISAR</v>
      </c>
      <c r="I516" t="str">
        <f t="array" ref="I516">+CALIBRESTD(O516)</f>
        <v>ERRO - REVISAR</v>
      </c>
    </row>
    <row r="517" spans="1:9" ht="14.25" customHeight="1" x14ac:dyDescent="0.35">
      <c r="A517" s="41" t="str">
        <f t="array" ref="A517">EXTRACTEVENT(Q517,S517)</f>
        <v/>
      </c>
      <c r="B517" s="41" t="str">
        <f t="shared" si="24"/>
        <v>-</v>
      </c>
      <c r="C517" s="41" t="e">
        <f>+VLOOKUP(R517,Maps!$A:$C,2,0)</f>
        <v>#N/A</v>
      </c>
      <c r="D517" s="41" t="e">
        <f t="shared" si="25"/>
        <v>#VALUE!</v>
      </c>
      <c r="E517" s="42" t="e">
        <f t="shared" si="26"/>
        <v>#VALUE!</v>
      </c>
      <c r="F517" s="43" t="str">
        <f t="array" ref="F517">+TIPOARMA(H517,I517)</f>
        <v>ERRO - REVISAR</v>
      </c>
      <c r="G517" s="41"/>
      <c r="H517" s="41" t="str">
        <f t="array" ref="H517">+ARMASTD(N517)</f>
        <v>ERRO - REVISAR</v>
      </c>
      <c r="I517" s="41" t="str">
        <f t="array" ref="I517">+CALIBRESTD(O517)</f>
        <v>ERRO - REVISAR</v>
      </c>
    </row>
    <row r="518" spans="1:9" ht="14.25" customHeight="1" x14ac:dyDescent="0.35">
      <c r="A518" t="str">
        <f t="array" ref="A518">EXTRACTEVENT(Q518,S518)</f>
        <v/>
      </c>
      <c r="B518" t="str">
        <f t="shared" si="24"/>
        <v>-</v>
      </c>
      <c r="C518" t="e">
        <f>+VLOOKUP(R518,Maps!$A:$C,2,0)</f>
        <v>#N/A</v>
      </c>
      <c r="D518" t="e">
        <f t="shared" si="25"/>
        <v>#VALUE!</v>
      </c>
      <c r="E518" s="39" t="e">
        <f t="shared" si="26"/>
        <v>#VALUE!</v>
      </c>
      <c r="F518" s="7" t="str">
        <f t="array" ref="F518">+TIPOARMA(H518,I518)</f>
        <v>ERRO - REVISAR</v>
      </c>
      <c r="H518" t="str">
        <f t="array" ref="H518">+ARMASTD(N518)</f>
        <v>ERRO - REVISAR</v>
      </c>
      <c r="I518" t="str">
        <f t="array" ref="I518">+CALIBRESTD(O518)</f>
        <v>ERRO - REVISAR</v>
      </c>
    </row>
    <row r="519" spans="1:9" ht="14.25" customHeight="1" x14ac:dyDescent="0.35">
      <c r="A519" s="41" t="str">
        <f t="array" ref="A519">EXTRACTEVENT(Q519,S519)</f>
        <v/>
      </c>
      <c r="B519" s="41" t="str">
        <f t="shared" si="24"/>
        <v>-</v>
      </c>
      <c r="C519" s="41" t="e">
        <f>+VLOOKUP(R519,Maps!$A:$C,2,0)</f>
        <v>#N/A</v>
      </c>
      <c r="D519" s="41" t="e">
        <f t="shared" si="25"/>
        <v>#VALUE!</v>
      </c>
      <c r="E519" s="42" t="e">
        <f t="shared" si="26"/>
        <v>#VALUE!</v>
      </c>
      <c r="F519" s="43" t="str">
        <f t="array" ref="F519">+TIPOARMA(H519,I519)</f>
        <v>ERRO - REVISAR</v>
      </c>
      <c r="G519" s="41"/>
      <c r="H519" s="41" t="str">
        <f t="array" ref="H519">+ARMASTD(N519)</f>
        <v>ERRO - REVISAR</v>
      </c>
      <c r="I519" s="41" t="str">
        <f t="array" ref="I519">+CALIBRESTD(O519)</f>
        <v>ERRO - REVISAR</v>
      </c>
    </row>
    <row r="520" spans="1:9" ht="14.25" customHeight="1" x14ac:dyDescent="0.35">
      <c r="A520" t="str">
        <f t="array" ref="A520">EXTRACTEVENT(Q520,S520)</f>
        <v/>
      </c>
      <c r="B520" t="str">
        <f t="shared" si="24"/>
        <v>-</v>
      </c>
      <c r="C520" t="e">
        <f>+VLOOKUP(R520,Maps!$A:$C,2,0)</f>
        <v>#N/A</v>
      </c>
      <c r="D520" t="e">
        <f t="shared" si="25"/>
        <v>#VALUE!</v>
      </c>
      <c r="E520" s="39" t="e">
        <f t="shared" si="26"/>
        <v>#VALUE!</v>
      </c>
      <c r="F520" s="7" t="str">
        <f t="array" ref="F520">+TIPOARMA(H520,I520)</f>
        <v>ERRO - REVISAR</v>
      </c>
      <c r="H520" t="str">
        <f t="array" ref="H520">+ARMASTD(N520)</f>
        <v>ERRO - REVISAR</v>
      </c>
      <c r="I520" t="str">
        <f t="array" ref="I520">+CALIBRESTD(O520)</f>
        <v>ERRO - REVISAR</v>
      </c>
    </row>
    <row r="521" spans="1:9" ht="14.25" customHeight="1" x14ac:dyDescent="0.35">
      <c r="A521" s="41" t="str">
        <f t="array" ref="A521">EXTRACTEVENT(Q521,S521)</f>
        <v/>
      </c>
      <c r="B521" s="41" t="str">
        <f t="shared" si="24"/>
        <v>-</v>
      </c>
      <c r="C521" s="41" t="e">
        <f>+VLOOKUP(R521,Maps!$A:$C,2,0)</f>
        <v>#N/A</v>
      </c>
      <c r="D521" s="41" t="e">
        <f t="shared" si="25"/>
        <v>#VALUE!</v>
      </c>
      <c r="E521" s="42" t="e">
        <f t="shared" si="26"/>
        <v>#VALUE!</v>
      </c>
      <c r="F521" s="43" t="str">
        <f t="array" ref="F521">+TIPOARMA(H521,I521)</f>
        <v>ERRO - REVISAR</v>
      </c>
      <c r="G521" s="41"/>
      <c r="H521" s="41" t="str">
        <f t="array" ref="H521">+ARMASTD(N521)</f>
        <v>ERRO - REVISAR</v>
      </c>
      <c r="I521" s="41" t="str">
        <f t="array" ref="I521">+CALIBRESTD(O521)</f>
        <v>ERRO - REVISAR</v>
      </c>
    </row>
    <row r="522" spans="1:9" ht="14.25" customHeight="1" x14ac:dyDescent="0.35">
      <c r="A522" t="str">
        <f t="array" ref="A522">EXTRACTEVENT(Q522,S522)</f>
        <v/>
      </c>
      <c r="B522" t="str">
        <f t="shared" si="24"/>
        <v>-</v>
      </c>
      <c r="C522" t="e">
        <f>+VLOOKUP(R522,Maps!$A:$C,2,0)</f>
        <v>#N/A</v>
      </c>
      <c r="D522" t="e">
        <f t="shared" si="25"/>
        <v>#VALUE!</v>
      </c>
      <c r="E522" s="39" t="e">
        <f t="shared" si="26"/>
        <v>#VALUE!</v>
      </c>
      <c r="F522" s="7" t="str">
        <f t="array" ref="F522">+TIPOARMA(H522,I522)</f>
        <v>ERRO - REVISAR</v>
      </c>
      <c r="H522" t="str">
        <f t="array" ref="H522">+ARMASTD(N522)</f>
        <v>ERRO - REVISAR</v>
      </c>
      <c r="I522" t="str">
        <f t="array" ref="I522">+CALIBRESTD(O522)</f>
        <v>ERRO - REVISAR</v>
      </c>
    </row>
    <row r="523" spans="1:9" ht="14.25" customHeight="1" x14ac:dyDescent="0.35">
      <c r="A523" s="41" t="str">
        <f t="array" ref="A523">EXTRACTEVENT(Q523,S523)</f>
        <v/>
      </c>
      <c r="B523" s="41" t="str">
        <f t="shared" si="24"/>
        <v>-</v>
      </c>
      <c r="C523" s="41" t="e">
        <f>+VLOOKUP(R523,Maps!$A:$C,2,0)</f>
        <v>#N/A</v>
      </c>
      <c r="D523" s="41" t="e">
        <f t="shared" si="25"/>
        <v>#VALUE!</v>
      </c>
      <c r="E523" s="42" t="e">
        <f t="shared" si="26"/>
        <v>#VALUE!</v>
      </c>
      <c r="F523" s="43" t="str">
        <f t="array" ref="F523">+TIPOARMA(H523,I523)</f>
        <v>ERRO - REVISAR</v>
      </c>
      <c r="G523" s="41"/>
      <c r="H523" s="41" t="str">
        <f t="array" ref="H523">+ARMASTD(N523)</f>
        <v>ERRO - REVISAR</v>
      </c>
      <c r="I523" s="41" t="str">
        <f t="array" ref="I523">+CALIBRESTD(O523)</f>
        <v>ERRO - REVISAR</v>
      </c>
    </row>
    <row r="524" spans="1:9" ht="14.25" customHeight="1" x14ac:dyDescent="0.35">
      <c r="A524" t="str">
        <f t="array" ref="A524">EXTRACTEVENT(Q524,S524)</f>
        <v/>
      </c>
      <c r="B524" t="str">
        <f t="shared" si="24"/>
        <v>-</v>
      </c>
      <c r="C524" t="e">
        <f>+VLOOKUP(R524,Maps!$A:$C,2,0)</f>
        <v>#N/A</v>
      </c>
      <c r="D524" t="e">
        <f t="shared" si="25"/>
        <v>#VALUE!</v>
      </c>
      <c r="E524" s="39" t="e">
        <f t="shared" si="26"/>
        <v>#VALUE!</v>
      </c>
      <c r="F524" s="7" t="str">
        <f t="array" ref="F524">+TIPOARMA(H524,I524)</f>
        <v>ERRO - REVISAR</v>
      </c>
      <c r="H524" t="str">
        <f t="array" ref="H524">+ARMASTD(N524)</f>
        <v>ERRO - REVISAR</v>
      </c>
      <c r="I524" t="str">
        <f t="array" ref="I524">+CALIBRESTD(O524)</f>
        <v>ERRO - REVISAR</v>
      </c>
    </row>
    <row r="525" spans="1:9" ht="14.25" customHeight="1" x14ac:dyDescent="0.35">
      <c r="A525" s="41" t="str">
        <f t="array" ref="A525">EXTRACTEVENT(Q525,S525)</f>
        <v/>
      </c>
      <c r="B525" s="41" t="str">
        <f t="shared" si="24"/>
        <v>-</v>
      </c>
      <c r="C525" s="41" t="e">
        <f>+VLOOKUP(R525,Maps!$A:$C,2,0)</f>
        <v>#N/A</v>
      </c>
      <c r="D525" s="41" t="e">
        <f t="shared" si="25"/>
        <v>#VALUE!</v>
      </c>
      <c r="E525" s="42" t="e">
        <f t="shared" si="26"/>
        <v>#VALUE!</v>
      </c>
      <c r="F525" s="43" t="str">
        <f t="array" ref="F525">+TIPOARMA(H525,I525)</f>
        <v>ERRO - REVISAR</v>
      </c>
      <c r="G525" s="41"/>
      <c r="H525" s="41" t="str">
        <f t="array" ref="H525">+ARMASTD(N525)</f>
        <v>ERRO - REVISAR</v>
      </c>
      <c r="I525" s="41" t="str">
        <f t="array" ref="I525">+CALIBRESTD(O525)</f>
        <v>ERRO - REVISAR</v>
      </c>
    </row>
    <row r="526" spans="1:9" ht="14.25" customHeight="1" x14ac:dyDescent="0.35">
      <c r="A526" t="str">
        <f t="array" ref="A526">EXTRACTEVENT(Q526,S526)</f>
        <v/>
      </c>
      <c r="B526" t="str">
        <f t="shared" si="24"/>
        <v>-</v>
      </c>
      <c r="C526" t="e">
        <f>+VLOOKUP(R526,Maps!$A:$C,2,0)</f>
        <v>#N/A</v>
      </c>
      <c r="D526" t="e">
        <f t="shared" si="25"/>
        <v>#VALUE!</v>
      </c>
      <c r="E526" s="39" t="e">
        <f t="shared" si="26"/>
        <v>#VALUE!</v>
      </c>
      <c r="F526" s="7" t="str">
        <f t="array" ref="F526">+TIPOARMA(H526,I526)</f>
        <v>ERRO - REVISAR</v>
      </c>
      <c r="H526" t="str">
        <f t="array" ref="H526">+ARMASTD(N526)</f>
        <v>ERRO - REVISAR</v>
      </c>
      <c r="I526" t="str">
        <f t="array" ref="I526">+CALIBRESTD(O526)</f>
        <v>ERRO - REVISAR</v>
      </c>
    </row>
    <row r="527" spans="1:9" ht="14.25" customHeight="1" x14ac:dyDescent="0.35">
      <c r="A527" s="41" t="str">
        <f t="array" ref="A527">EXTRACTEVENT(Q527,S527)</f>
        <v/>
      </c>
      <c r="B527" s="41" t="str">
        <f t="shared" si="24"/>
        <v>-</v>
      </c>
      <c r="C527" s="41" t="e">
        <f>+VLOOKUP(R527,Maps!$A:$C,2,0)</f>
        <v>#N/A</v>
      </c>
      <c r="D527" s="41" t="e">
        <f t="shared" si="25"/>
        <v>#VALUE!</v>
      </c>
      <c r="E527" s="42" t="e">
        <f t="shared" si="26"/>
        <v>#VALUE!</v>
      </c>
      <c r="F527" s="43" t="str">
        <f t="array" ref="F527">+TIPOARMA(H527,I527)</f>
        <v>ERRO - REVISAR</v>
      </c>
      <c r="G527" s="41"/>
      <c r="H527" s="41" t="str">
        <f t="array" ref="H527">+ARMASTD(N527)</f>
        <v>ERRO - REVISAR</v>
      </c>
      <c r="I527" s="41" t="str">
        <f t="array" ref="I527">+CALIBRESTD(O527)</f>
        <v>ERRO - REVISAR</v>
      </c>
    </row>
    <row r="528" spans="1:9" ht="14.25" customHeight="1" x14ac:dyDescent="0.35">
      <c r="A528" t="str">
        <f t="array" ref="A528">EXTRACTEVENT(Q528,S528)</f>
        <v/>
      </c>
      <c r="B528" t="str">
        <f t="shared" si="24"/>
        <v>-</v>
      </c>
      <c r="C528" t="e">
        <f>+VLOOKUP(R528,Maps!$A:$C,2,0)</f>
        <v>#N/A</v>
      </c>
      <c r="D528" t="e">
        <f t="shared" si="25"/>
        <v>#VALUE!</v>
      </c>
      <c r="E528" s="39" t="e">
        <f t="shared" si="26"/>
        <v>#VALUE!</v>
      </c>
      <c r="F528" s="7" t="str">
        <f t="array" ref="F528">+TIPOARMA(H528,I528)</f>
        <v>ERRO - REVISAR</v>
      </c>
      <c r="H528" t="str">
        <f t="array" ref="H528">+ARMASTD(N528)</f>
        <v>ERRO - REVISAR</v>
      </c>
      <c r="I528" t="str">
        <f t="array" ref="I528">+CALIBRESTD(O528)</f>
        <v>ERRO - REVISAR</v>
      </c>
    </row>
    <row r="529" spans="1:9" ht="14.25" customHeight="1" x14ac:dyDescent="0.35">
      <c r="A529" s="41" t="str">
        <f t="array" ref="A529">EXTRACTEVENT(Q529,S529)</f>
        <v/>
      </c>
      <c r="B529" s="41" t="str">
        <f t="shared" si="24"/>
        <v>-</v>
      </c>
      <c r="C529" s="41" t="e">
        <f>+VLOOKUP(R529,Maps!$A:$C,2,0)</f>
        <v>#N/A</v>
      </c>
      <c r="D529" s="41" t="e">
        <f t="shared" si="25"/>
        <v>#VALUE!</v>
      </c>
      <c r="E529" s="42" t="e">
        <f t="shared" si="26"/>
        <v>#VALUE!</v>
      </c>
      <c r="F529" s="43" t="str">
        <f t="array" ref="F529">+TIPOARMA(H529,I529)</f>
        <v>ERRO - REVISAR</v>
      </c>
      <c r="G529" s="41"/>
      <c r="H529" s="41" t="str">
        <f t="array" ref="H529">+ARMASTD(N529)</f>
        <v>ERRO - REVISAR</v>
      </c>
      <c r="I529" s="41" t="str">
        <f t="array" ref="I529">+CALIBRESTD(O529)</f>
        <v>ERRO - REVISAR</v>
      </c>
    </row>
    <row r="530" spans="1:9" ht="14.25" customHeight="1" x14ac:dyDescent="0.35">
      <c r="A530" t="str">
        <f t="array" ref="A530">EXTRACTEVENT(Q530,S530)</f>
        <v/>
      </c>
      <c r="B530" t="str">
        <f t="shared" si="24"/>
        <v>-</v>
      </c>
      <c r="C530" t="e">
        <f>+VLOOKUP(R530,Maps!$A:$C,2,0)</f>
        <v>#N/A</v>
      </c>
      <c r="D530" t="e">
        <f t="shared" si="25"/>
        <v>#VALUE!</v>
      </c>
      <c r="E530" s="39" t="e">
        <f t="shared" si="26"/>
        <v>#VALUE!</v>
      </c>
      <c r="F530" s="7" t="str">
        <f t="array" ref="F530">+TIPOARMA(H530,I530)</f>
        <v>ERRO - REVISAR</v>
      </c>
      <c r="H530" t="str">
        <f t="array" ref="H530">+ARMASTD(N530)</f>
        <v>ERRO - REVISAR</v>
      </c>
      <c r="I530" t="str">
        <f t="array" ref="I530">+CALIBRESTD(O530)</f>
        <v>ERRO - REVISAR</v>
      </c>
    </row>
    <row r="531" spans="1:9" ht="14.25" customHeight="1" x14ac:dyDescent="0.35">
      <c r="A531" s="41" t="str">
        <f t="array" ref="A531">EXTRACTEVENT(Q531,S531)</f>
        <v/>
      </c>
      <c r="B531" s="41" t="str">
        <f t="shared" si="24"/>
        <v>-</v>
      </c>
      <c r="C531" s="41" t="e">
        <f>+VLOOKUP(R531,Maps!$A:$C,2,0)</f>
        <v>#N/A</v>
      </c>
      <c r="D531" s="41" t="e">
        <f t="shared" si="25"/>
        <v>#VALUE!</v>
      </c>
      <c r="E531" s="42" t="e">
        <f t="shared" si="26"/>
        <v>#VALUE!</v>
      </c>
      <c r="F531" s="43" t="str">
        <f t="array" ref="F531">+TIPOARMA(H531,I531)</f>
        <v>ERRO - REVISAR</v>
      </c>
      <c r="G531" s="41"/>
      <c r="H531" s="41" t="str">
        <f t="array" ref="H531">+ARMASTD(N531)</f>
        <v>ERRO - REVISAR</v>
      </c>
      <c r="I531" s="41" t="str">
        <f t="array" ref="I531">+CALIBRESTD(O531)</f>
        <v>ERRO - REVISAR</v>
      </c>
    </row>
    <row r="532" spans="1:9" ht="14.25" customHeight="1" x14ac:dyDescent="0.35">
      <c r="A532" t="str">
        <f t="array" ref="A532">EXTRACTEVENT(Q532,S532)</f>
        <v/>
      </c>
      <c r="B532" t="str">
        <f t="shared" si="24"/>
        <v>-</v>
      </c>
      <c r="C532" t="e">
        <f>+VLOOKUP(R532,Maps!$A:$C,2,0)</f>
        <v>#N/A</v>
      </c>
      <c r="D532" t="e">
        <f t="shared" si="25"/>
        <v>#VALUE!</v>
      </c>
      <c r="E532" s="39" t="e">
        <f t="shared" si="26"/>
        <v>#VALUE!</v>
      </c>
      <c r="F532" s="7" t="str">
        <f t="array" ref="F532">+TIPOARMA(H532,I532)</f>
        <v>ERRO - REVISAR</v>
      </c>
      <c r="H532" t="str">
        <f t="array" ref="H532">+ARMASTD(N532)</f>
        <v>ERRO - REVISAR</v>
      </c>
      <c r="I532" t="str">
        <f t="array" ref="I532">+CALIBRESTD(O532)</f>
        <v>ERRO - REVISAR</v>
      </c>
    </row>
    <row r="533" spans="1:9" ht="14.25" customHeight="1" x14ac:dyDescent="0.35">
      <c r="A533" s="41" t="str">
        <f t="array" ref="A533">EXTRACTEVENT(Q533,S533)</f>
        <v/>
      </c>
      <c r="B533" s="41" t="str">
        <f t="shared" si="24"/>
        <v>-</v>
      </c>
      <c r="C533" s="41" t="e">
        <f>+VLOOKUP(R533,Maps!$A:$C,2,0)</f>
        <v>#N/A</v>
      </c>
      <c r="D533" s="41" t="e">
        <f t="shared" si="25"/>
        <v>#VALUE!</v>
      </c>
      <c r="E533" s="42" t="e">
        <f t="shared" si="26"/>
        <v>#VALUE!</v>
      </c>
      <c r="F533" s="43" t="str">
        <f t="array" ref="F533">+TIPOARMA(H533,I533)</f>
        <v>ERRO - REVISAR</v>
      </c>
      <c r="G533" s="41"/>
      <c r="H533" s="41" t="str">
        <f t="array" ref="H533">+ARMASTD(N533)</f>
        <v>ERRO - REVISAR</v>
      </c>
      <c r="I533" s="41" t="str">
        <f t="array" ref="I533">+CALIBRESTD(O533)</f>
        <v>ERRO - REVISAR</v>
      </c>
    </row>
    <row r="534" spans="1:9" ht="14.25" customHeight="1" x14ac:dyDescent="0.35">
      <c r="A534" t="str">
        <f t="array" ref="A534">EXTRACTEVENT(Q534,S534)</f>
        <v/>
      </c>
      <c r="B534" t="str">
        <f t="shared" si="24"/>
        <v>-</v>
      </c>
      <c r="C534" t="e">
        <f>+VLOOKUP(R534,Maps!$A:$C,2,0)</f>
        <v>#N/A</v>
      </c>
      <c r="D534" t="e">
        <f t="shared" si="25"/>
        <v>#VALUE!</v>
      </c>
      <c r="E534" s="39" t="e">
        <f t="shared" si="26"/>
        <v>#VALUE!</v>
      </c>
      <c r="F534" s="7" t="str">
        <f t="array" ref="F534">+TIPOARMA(H534,I534)</f>
        <v>ERRO - REVISAR</v>
      </c>
      <c r="H534" t="str">
        <f t="array" ref="H534">+ARMASTD(N534)</f>
        <v>ERRO - REVISAR</v>
      </c>
      <c r="I534" t="str">
        <f t="array" ref="I534">+CALIBRESTD(O534)</f>
        <v>ERRO - REVISAR</v>
      </c>
    </row>
    <row r="535" spans="1:9" ht="14.25" customHeight="1" x14ac:dyDescent="0.35">
      <c r="A535" s="41" t="str">
        <f t="array" ref="A535">EXTRACTEVENT(Q535,S535)</f>
        <v/>
      </c>
      <c r="B535" s="41" t="str">
        <f t="shared" si="24"/>
        <v>-</v>
      </c>
      <c r="C535" s="41" t="e">
        <f>+VLOOKUP(R535,Maps!$A:$C,2,0)</f>
        <v>#N/A</v>
      </c>
      <c r="D535" s="41" t="e">
        <f t="shared" si="25"/>
        <v>#VALUE!</v>
      </c>
      <c r="E535" s="42" t="e">
        <f t="shared" si="26"/>
        <v>#VALUE!</v>
      </c>
      <c r="F535" s="43" t="str">
        <f t="array" ref="F535">+TIPOARMA(H535,I535)</f>
        <v>ERRO - REVISAR</v>
      </c>
      <c r="G535" s="41"/>
      <c r="H535" s="41" t="str">
        <f t="array" ref="H535">+ARMASTD(N535)</f>
        <v>ERRO - REVISAR</v>
      </c>
      <c r="I535" s="41" t="str">
        <f t="array" ref="I535">+CALIBRESTD(O535)</f>
        <v>ERRO - REVISAR</v>
      </c>
    </row>
    <row r="536" spans="1:9" ht="14.25" customHeight="1" x14ac:dyDescent="0.35">
      <c r="A536" t="str">
        <f t="array" ref="A536">EXTRACTEVENT(Q536,S536)</f>
        <v/>
      </c>
      <c r="B536" t="str">
        <f t="shared" si="24"/>
        <v>-</v>
      </c>
      <c r="C536" t="e">
        <f>+VLOOKUP(R536,Maps!$A:$C,2,0)</f>
        <v>#N/A</v>
      </c>
      <c r="D536" t="e">
        <f t="shared" si="25"/>
        <v>#VALUE!</v>
      </c>
      <c r="E536" s="39" t="e">
        <f t="shared" si="26"/>
        <v>#VALUE!</v>
      </c>
      <c r="F536" s="7" t="str">
        <f t="array" ref="F536">+TIPOARMA(H536,I536)</f>
        <v>ERRO - REVISAR</v>
      </c>
      <c r="H536" t="str">
        <f t="array" ref="H536">+ARMASTD(N536)</f>
        <v>ERRO - REVISAR</v>
      </c>
      <c r="I536" t="str">
        <f t="array" ref="I536">+CALIBRESTD(O536)</f>
        <v>ERRO - REVISAR</v>
      </c>
    </row>
    <row r="537" spans="1:9" ht="14.25" customHeight="1" x14ac:dyDescent="0.35">
      <c r="A537" s="41" t="str">
        <f t="array" ref="A537">EXTRACTEVENT(Q537,S537)</f>
        <v/>
      </c>
      <c r="B537" s="41" t="str">
        <f t="shared" si="24"/>
        <v>-</v>
      </c>
      <c r="C537" s="41" t="e">
        <f>+VLOOKUP(R537,Maps!$A:$C,2,0)</f>
        <v>#N/A</v>
      </c>
      <c r="D537" s="41" t="e">
        <f t="shared" si="25"/>
        <v>#VALUE!</v>
      </c>
      <c r="E537" s="42" t="e">
        <f t="shared" si="26"/>
        <v>#VALUE!</v>
      </c>
      <c r="F537" s="43" t="str">
        <f t="array" ref="F537">+TIPOARMA(H537,I537)</f>
        <v>ERRO - REVISAR</v>
      </c>
      <c r="G537" s="41"/>
      <c r="H537" s="41" t="str">
        <f t="array" ref="H537">+ARMASTD(N537)</f>
        <v>ERRO - REVISAR</v>
      </c>
      <c r="I537" s="41" t="str">
        <f t="array" ref="I537">+CALIBRESTD(O537)</f>
        <v>ERRO - REVISAR</v>
      </c>
    </row>
    <row r="538" spans="1:9" ht="14.25" customHeight="1" x14ac:dyDescent="0.35">
      <c r="A538" t="str">
        <f t="array" ref="A538">EXTRACTEVENT(Q538,S538)</f>
        <v/>
      </c>
      <c r="B538" t="str">
        <f t="shared" si="24"/>
        <v>-</v>
      </c>
      <c r="C538" t="e">
        <f>+VLOOKUP(R538,Maps!$A:$C,2,0)</f>
        <v>#N/A</v>
      </c>
      <c r="D538" t="e">
        <f t="shared" si="25"/>
        <v>#VALUE!</v>
      </c>
      <c r="E538" s="39" t="e">
        <f t="shared" si="26"/>
        <v>#VALUE!</v>
      </c>
      <c r="F538" s="7" t="str">
        <f t="array" ref="F538">+TIPOARMA(H538,I538)</f>
        <v>ERRO - REVISAR</v>
      </c>
      <c r="H538" t="str">
        <f t="array" ref="H538">+ARMASTD(N538)</f>
        <v>ERRO - REVISAR</v>
      </c>
      <c r="I538" t="str">
        <f t="array" ref="I538">+CALIBRESTD(O538)</f>
        <v>ERRO - REVISAR</v>
      </c>
    </row>
    <row r="539" spans="1:9" ht="14.25" customHeight="1" x14ac:dyDescent="0.35">
      <c r="A539" s="41" t="str">
        <f t="array" ref="A539">EXTRACTEVENT(Q539,S539)</f>
        <v/>
      </c>
      <c r="B539" s="41" t="str">
        <f t="shared" si="24"/>
        <v>-</v>
      </c>
      <c r="C539" s="41" t="e">
        <f>+VLOOKUP(R539,Maps!$A:$C,2,0)</f>
        <v>#N/A</v>
      </c>
      <c r="D539" s="41" t="e">
        <f t="shared" si="25"/>
        <v>#VALUE!</v>
      </c>
      <c r="E539" s="42" t="e">
        <f t="shared" si="26"/>
        <v>#VALUE!</v>
      </c>
      <c r="F539" s="43" t="str">
        <f t="array" ref="F539">+TIPOARMA(H539,I539)</f>
        <v>ERRO - REVISAR</v>
      </c>
      <c r="G539" s="41"/>
      <c r="H539" s="41" t="str">
        <f t="array" ref="H539">+ARMASTD(N539)</f>
        <v>ERRO - REVISAR</v>
      </c>
      <c r="I539" s="41" t="str">
        <f t="array" ref="I539">+CALIBRESTD(O539)</f>
        <v>ERRO - REVISAR</v>
      </c>
    </row>
    <row r="540" spans="1:9" ht="14.25" customHeight="1" x14ac:dyDescent="0.35">
      <c r="A540" t="str">
        <f t="array" ref="A540">EXTRACTEVENT(Q540,S540)</f>
        <v/>
      </c>
      <c r="B540" t="str">
        <f t="shared" si="24"/>
        <v>-</v>
      </c>
      <c r="C540" t="e">
        <f>+VLOOKUP(R540,Maps!$A:$C,2,0)</f>
        <v>#N/A</v>
      </c>
      <c r="D540" t="e">
        <f t="shared" si="25"/>
        <v>#VALUE!</v>
      </c>
      <c r="E540" s="39" t="e">
        <f t="shared" si="26"/>
        <v>#VALUE!</v>
      </c>
      <c r="F540" s="7" t="str">
        <f t="array" ref="F540">+TIPOARMA(H540,I540)</f>
        <v>ERRO - REVISAR</v>
      </c>
      <c r="H540" t="str">
        <f t="array" ref="H540">+ARMASTD(N540)</f>
        <v>ERRO - REVISAR</v>
      </c>
      <c r="I540" t="str">
        <f t="array" ref="I540">+CALIBRESTD(O540)</f>
        <v>ERRO - REVISAR</v>
      </c>
    </row>
    <row r="541" spans="1:9" ht="14.25" customHeight="1" x14ac:dyDescent="0.35">
      <c r="A541" s="41" t="str">
        <f t="array" ref="A541">EXTRACTEVENT(Q541,S541)</f>
        <v/>
      </c>
      <c r="B541" s="41" t="str">
        <f t="shared" si="24"/>
        <v>-</v>
      </c>
      <c r="C541" s="41" t="e">
        <f>+VLOOKUP(R541,Maps!$A:$C,2,0)</f>
        <v>#N/A</v>
      </c>
      <c r="D541" s="41" t="e">
        <f t="shared" si="25"/>
        <v>#VALUE!</v>
      </c>
      <c r="E541" s="42" t="e">
        <f t="shared" si="26"/>
        <v>#VALUE!</v>
      </c>
      <c r="F541" s="43" t="str">
        <f t="array" ref="F541">+TIPOARMA(H541,I541)</f>
        <v>ERRO - REVISAR</v>
      </c>
      <c r="G541" s="41"/>
      <c r="H541" s="41" t="str">
        <f t="array" ref="H541">+ARMASTD(N541)</f>
        <v>ERRO - REVISAR</v>
      </c>
      <c r="I541" s="41" t="str">
        <f t="array" ref="I541">+CALIBRESTD(O541)</f>
        <v>ERRO - REVISAR</v>
      </c>
    </row>
    <row r="542" spans="1:9" ht="14.25" customHeight="1" x14ac:dyDescent="0.35">
      <c r="A542" t="str">
        <f t="array" ref="A542">EXTRACTEVENT(Q542,S542)</f>
        <v/>
      </c>
      <c r="B542" t="str">
        <f t="shared" si="24"/>
        <v>-</v>
      </c>
      <c r="C542" t="e">
        <f>+VLOOKUP(R542,Maps!$A:$C,2,0)</f>
        <v>#N/A</v>
      </c>
      <c r="D542" t="e">
        <f t="shared" si="25"/>
        <v>#VALUE!</v>
      </c>
      <c r="E542" s="39" t="e">
        <f t="shared" si="26"/>
        <v>#VALUE!</v>
      </c>
      <c r="F542" s="7" t="str">
        <f t="array" ref="F542">+TIPOARMA(H542,I542)</f>
        <v>ERRO - REVISAR</v>
      </c>
      <c r="H542" t="str">
        <f t="array" ref="H542">+ARMASTD(N542)</f>
        <v>ERRO - REVISAR</v>
      </c>
      <c r="I542" t="str">
        <f t="array" ref="I542">+CALIBRESTD(O542)</f>
        <v>ERRO - REVISAR</v>
      </c>
    </row>
    <row r="543" spans="1:9" ht="14.25" customHeight="1" x14ac:dyDescent="0.35">
      <c r="A543" s="41" t="str">
        <f t="array" ref="A543">EXTRACTEVENT(Q543,S543)</f>
        <v/>
      </c>
      <c r="B543" s="41" t="str">
        <f t="shared" si="24"/>
        <v>-</v>
      </c>
      <c r="C543" s="41" t="e">
        <f>+VLOOKUP(R543,Maps!$A:$C,2,0)</f>
        <v>#N/A</v>
      </c>
      <c r="D543" s="41" t="e">
        <f t="shared" si="25"/>
        <v>#VALUE!</v>
      </c>
      <c r="E543" s="42" t="e">
        <f t="shared" si="26"/>
        <v>#VALUE!</v>
      </c>
      <c r="F543" s="43" t="str">
        <f t="array" ref="F543">+TIPOARMA(H543,I543)</f>
        <v>ERRO - REVISAR</v>
      </c>
      <c r="G543" s="41"/>
      <c r="H543" s="41" t="str">
        <f t="array" ref="H543">+ARMASTD(N543)</f>
        <v>ERRO - REVISAR</v>
      </c>
      <c r="I543" s="41" t="str">
        <f t="array" ref="I543">+CALIBRESTD(O543)</f>
        <v>ERRO - REVISAR</v>
      </c>
    </row>
    <row r="544" spans="1:9" ht="14.25" customHeight="1" x14ac:dyDescent="0.35">
      <c r="A544" t="str">
        <f t="array" ref="A544">EXTRACTEVENT(Q544,S544)</f>
        <v/>
      </c>
      <c r="B544" t="str">
        <f t="shared" si="24"/>
        <v>-</v>
      </c>
      <c r="C544" t="e">
        <f>+VLOOKUP(R544,Maps!$A:$C,2,0)</f>
        <v>#N/A</v>
      </c>
      <c r="D544" t="e">
        <f t="shared" si="25"/>
        <v>#VALUE!</v>
      </c>
      <c r="E544" s="39" t="e">
        <f t="shared" si="26"/>
        <v>#VALUE!</v>
      </c>
      <c r="F544" s="7" t="str">
        <f t="array" ref="F544">+TIPOARMA(H544,I544)</f>
        <v>ERRO - REVISAR</v>
      </c>
      <c r="H544" t="str">
        <f t="array" ref="H544">+ARMASTD(N544)</f>
        <v>ERRO - REVISAR</v>
      </c>
      <c r="I544" t="str">
        <f t="array" ref="I544">+CALIBRESTD(O544)</f>
        <v>ERRO - REVISAR</v>
      </c>
    </row>
    <row r="545" spans="1:9" ht="14.25" customHeight="1" x14ac:dyDescent="0.35">
      <c r="A545" s="41" t="str">
        <f t="array" ref="A545">EXTRACTEVENT(Q545,S545)</f>
        <v/>
      </c>
      <c r="B545" s="41" t="str">
        <f t="shared" si="24"/>
        <v>-</v>
      </c>
      <c r="C545" s="41" t="e">
        <f>+VLOOKUP(R545,Maps!$A:$C,2,0)</f>
        <v>#N/A</v>
      </c>
      <c r="D545" s="41" t="e">
        <f t="shared" si="25"/>
        <v>#VALUE!</v>
      </c>
      <c r="E545" s="42" t="e">
        <f t="shared" si="26"/>
        <v>#VALUE!</v>
      </c>
      <c r="F545" s="43" t="str">
        <f t="array" ref="F545">+TIPOARMA(H545,I545)</f>
        <v>ERRO - REVISAR</v>
      </c>
      <c r="G545" s="41"/>
      <c r="H545" s="41" t="str">
        <f t="array" ref="H545">+ARMASTD(N545)</f>
        <v>ERRO - REVISAR</v>
      </c>
      <c r="I545" s="41" t="str">
        <f t="array" ref="I545">+CALIBRESTD(O545)</f>
        <v>ERRO - REVISAR</v>
      </c>
    </row>
    <row r="546" spans="1:9" ht="14.25" customHeight="1" x14ac:dyDescent="0.35">
      <c r="A546" t="str">
        <f t="array" ref="A546">EXTRACTEVENT(Q546,S546)</f>
        <v/>
      </c>
      <c r="B546" t="str">
        <f t="shared" si="24"/>
        <v>-</v>
      </c>
      <c r="C546" t="e">
        <f>+VLOOKUP(R546,Maps!$A:$C,2,0)</f>
        <v>#N/A</v>
      </c>
      <c r="D546" t="e">
        <f t="shared" si="25"/>
        <v>#VALUE!</v>
      </c>
      <c r="E546" s="39" t="e">
        <f t="shared" si="26"/>
        <v>#VALUE!</v>
      </c>
      <c r="F546" s="7" t="str">
        <f t="array" ref="F546">+TIPOARMA(H546,I546)</f>
        <v>ERRO - REVISAR</v>
      </c>
      <c r="H546" t="str">
        <f t="array" ref="H546">+ARMASTD(N546)</f>
        <v>ERRO - REVISAR</v>
      </c>
      <c r="I546" t="str">
        <f t="array" ref="I546">+CALIBRESTD(O546)</f>
        <v>ERRO - REVISAR</v>
      </c>
    </row>
    <row r="547" spans="1:9" ht="14.25" customHeight="1" x14ac:dyDescent="0.35">
      <c r="A547" s="41" t="str">
        <f t="array" ref="A547">EXTRACTEVENT(Q547,S547)</f>
        <v/>
      </c>
      <c r="B547" s="41" t="str">
        <f t="shared" si="24"/>
        <v>-</v>
      </c>
      <c r="C547" s="41" t="e">
        <f>+VLOOKUP(R547,Maps!$A:$C,2,0)</f>
        <v>#N/A</v>
      </c>
      <c r="D547" s="41" t="e">
        <f t="shared" si="25"/>
        <v>#VALUE!</v>
      </c>
      <c r="E547" s="42" t="e">
        <f t="shared" si="26"/>
        <v>#VALUE!</v>
      </c>
      <c r="F547" s="43" t="str">
        <f t="array" ref="F547">+TIPOARMA(H547,I547)</f>
        <v>ERRO - REVISAR</v>
      </c>
      <c r="G547" s="41"/>
      <c r="H547" s="41" t="str">
        <f t="array" ref="H547">+ARMASTD(N547)</f>
        <v>ERRO - REVISAR</v>
      </c>
      <c r="I547" s="41" t="str">
        <f t="array" ref="I547">+CALIBRESTD(O547)</f>
        <v>ERRO - REVISAR</v>
      </c>
    </row>
    <row r="548" spans="1:9" ht="14.25" customHeight="1" x14ac:dyDescent="0.35">
      <c r="A548" t="str">
        <f t="array" ref="A548">EXTRACTEVENT(Q548,S548)</f>
        <v/>
      </c>
      <c r="B548" t="str">
        <f t="shared" si="24"/>
        <v>-</v>
      </c>
      <c r="C548" t="e">
        <f>+VLOOKUP(R548,Maps!$A:$C,2,0)</f>
        <v>#N/A</v>
      </c>
      <c r="D548" t="e">
        <f t="shared" si="25"/>
        <v>#VALUE!</v>
      </c>
      <c r="E548" s="39" t="e">
        <f t="shared" si="26"/>
        <v>#VALUE!</v>
      </c>
      <c r="F548" s="7" t="str">
        <f t="array" ref="F548">+TIPOARMA(H548,I548)</f>
        <v>ERRO - REVISAR</v>
      </c>
      <c r="H548" t="str">
        <f t="array" ref="H548">+ARMASTD(N548)</f>
        <v>ERRO - REVISAR</v>
      </c>
      <c r="I548" t="str">
        <f t="array" ref="I548">+CALIBRESTD(O548)</f>
        <v>ERRO - REVISAR</v>
      </c>
    </row>
    <row r="549" spans="1:9" ht="14.25" customHeight="1" x14ac:dyDescent="0.35">
      <c r="A549" s="41" t="str">
        <f t="array" ref="A549">EXTRACTEVENT(Q549,S549)</f>
        <v/>
      </c>
      <c r="B549" s="41" t="str">
        <f t="shared" si="24"/>
        <v>-</v>
      </c>
      <c r="C549" s="41" t="e">
        <f>+VLOOKUP(R549,Maps!$A:$C,2,0)</f>
        <v>#N/A</v>
      </c>
      <c r="D549" s="41" t="e">
        <f t="shared" si="25"/>
        <v>#VALUE!</v>
      </c>
      <c r="E549" s="42" t="e">
        <f t="shared" si="26"/>
        <v>#VALUE!</v>
      </c>
      <c r="F549" s="43" t="str">
        <f t="array" ref="F549">+TIPOARMA(H549,I549)</f>
        <v>ERRO - REVISAR</v>
      </c>
      <c r="G549" s="41"/>
      <c r="H549" s="41" t="str">
        <f t="array" ref="H549">+ARMASTD(N549)</f>
        <v>ERRO - REVISAR</v>
      </c>
      <c r="I549" s="41" t="str">
        <f t="array" ref="I549">+CALIBRESTD(O549)</f>
        <v>ERRO - REVISAR</v>
      </c>
    </row>
    <row r="550" spans="1:9" ht="14.25" customHeight="1" x14ac:dyDescent="0.35">
      <c r="A550" t="str">
        <f t="array" ref="A550">EXTRACTEVENT(Q550,S550)</f>
        <v/>
      </c>
      <c r="B550" t="str">
        <f t="shared" si="24"/>
        <v>-</v>
      </c>
      <c r="C550" t="e">
        <f>+VLOOKUP(R550,Maps!$A:$C,2,0)</f>
        <v>#N/A</v>
      </c>
      <c r="D550" t="e">
        <f t="shared" si="25"/>
        <v>#VALUE!</v>
      </c>
      <c r="E550" s="39" t="e">
        <f t="shared" si="26"/>
        <v>#VALUE!</v>
      </c>
      <c r="F550" s="7" t="str">
        <f t="array" ref="F550">+TIPOARMA(H550,I550)</f>
        <v>ERRO - REVISAR</v>
      </c>
      <c r="H550" t="str">
        <f t="array" ref="H550">+ARMASTD(N550)</f>
        <v>ERRO - REVISAR</v>
      </c>
      <c r="I550" t="str">
        <f t="array" ref="I550">+CALIBRESTD(O550)</f>
        <v>ERRO - REVISAR</v>
      </c>
    </row>
    <row r="551" spans="1:9" ht="14.25" customHeight="1" x14ac:dyDescent="0.35">
      <c r="A551" s="41" t="str">
        <f t="array" ref="A551">EXTRACTEVENT(Q551,S551)</f>
        <v/>
      </c>
      <c r="B551" s="41" t="str">
        <f t="shared" si="24"/>
        <v>-</v>
      </c>
      <c r="C551" s="41" t="e">
        <f>+VLOOKUP(R551,Maps!$A:$C,2,0)</f>
        <v>#N/A</v>
      </c>
      <c r="D551" s="41" t="e">
        <f t="shared" si="25"/>
        <v>#VALUE!</v>
      </c>
      <c r="E551" s="42" t="e">
        <f t="shared" si="26"/>
        <v>#VALUE!</v>
      </c>
      <c r="F551" s="43" t="str">
        <f t="array" ref="F551">+TIPOARMA(H551,I551)</f>
        <v>ERRO - REVISAR</v>
      </c>
      <c r="G551" s="41"/>
      <c r="H551" s="41" t="str">
        <f t="array" ref="H551">+ARMASTD(N551)</f>
        <v>ERRO - REVISAR</v>
      </c>
      <c r="I551" s="41" t="str">
        <f t="array" ref="I551">+CALIBRESTD(O551)</f>
        <v>ERRO - REVISAR</v>
      </c>
    </row>
    <row r="552" spans="1:9" ht="14.25" customHeight="1" x14ac:dyDescent="0.35">
      <c r="A552" t="str">
        <f t="array" ref="A552">EXTRACTEVENT(Q552,S552)</f>
        <v/>
      </c>
      <c r="B552" t="str">
        <f t="shared" si="24"/>
        <v>-</v>
      </c>
      <c r="C552" t="e">
        <f>+VLOOKUP(R552,Maps!$A:$C,2,0)</f>
        <v>#N/A</v>
      </c>
      <c r="D552" t="e">
        <f t="shared" si="25"/>
        <v>#VALUE!</v>
      </c>
      <c r="E552" s="39" t="e">
        <f t="shared" si="26"/>
        <v>#VALUE!</v>
      </c>
      <c r="F552" s="7" t="str">
        <f t="array" ref="F552">+TIPOARMA(H552,I552)</f>
        <v>ERRO - REVISAR</v>
      </c>
      <c r="H552" t="str">
        <f t="array" ref="H552">+ARMASTD(N552)</f>
        <v>ERRO - REVISAR</v>
      </c>
      <c r="I552" t="str">
        <f t="array" ref="I552">+CALIBRESTD(O552)</f>
        <v>ERRO - REVISAR</v>
      </c>
    </row>
    <row r="553" spans="1:9" ht="14.25" customHeight="1" x14ac:dyDescent="0.35">
      <c r="A553" s="41" t="str">
        <f t="array" ref="A553">EXTRACTEVENT(Q553,S553)</f>
        <v/>
      </c>
      <c r="B553" s="41" t="str">
        <f t="shared" si="24"/>
        <v>-</v>
      </c>
      <c r="C553" s="41" t="e">
        <f>+VLOOKUP(R553,Maps!$A:$C,2,0)</f>
        <v>#N/A</v>
      </c>
      <c r="D553" s="41" t="e">
        <f t="shared" si="25"/>
        <v>#VALUE!</v>
      </c>
      <c r="E553" s="42" t="e">
        <f t="shared" si="26"/>
        <v>#VALUE!</v>
      </c>
      <c r="F553" s="43" t="str">
        <f t="array" ref="F553">+TIPOARMA(H553,I553)</f>
        <v>ERRO - REVISAR</v>
      </c>
      <c r="G553" s="41"/>
      <c r="H553" s="41" t="str">
        <f t="array" ref="H553">+ARMASTD(N553)</f>
        <v>ERRO - REVISAR</v>
      </c>
      <c r="I553" s="41" t="str">
        <f t="array" ref="I553">+CALIBRESTD(O553)</f>
        <v>ERRO - REVISAR</v>
      </c>
    </row>
    <row r="554" spans="1:9" ht="14.25" customHeight="1" x14ac:dyDescent="0.35">
      <c r="A554" t="str">
        <f t="array" ref="A554">EXTRACTEVENT(Q554,S554)</f>
        <v/>
      </c>
      <c r="B554" t="str">
        <f t="shared" si="24"/>
        <v>-</v>
      </c>
      <c r="C554" t="e">
        <f>+VLOOKUP(R554,Maps!$A:$C,2,0)</f>
        <v>#N/A</v>
      </c>
      <c r="D554" t="e">
        <f t="shared" si="25"/>
        <v>#VALUE!</v>
      </c>
      <c r="E554" s="39" t="e">
        <f t="shared" si="26"/>
        <v>#VALUE!</v>
      </c>
      <c r="F554" s="7" t="str">
        <f t="array" ref="F554">+TIPOARMA(H554,I554)</f>
        <v>ERRO - REVISAR</v>
      </c>
      <c r="H554" t="str">
        <f t="array" ref="H554">+ARMASTD(N554)</f>
        <v>ERRO - REVISAR</v>
      </c>
      <c r="I554" t="str">
        <f t="array" ref="I554">+CALIBRESTD(O554)</f>
        <v>ERRO - REVISAR</v>
      </c>
    </row>
    <row r="555" spans="1:9" ht="14.25" customHeight="1" x14ac:dyDescent="0.35">
      <c r="A555" s="41" t="str">
        <f t="array" ref="A555">EXTRACTEVENT(Q555,S555)</f>
        <v/>
      </c>
      <c r="B555" s="41" t="str">
        <f t="shared" si="24"/>
        <v>-</v>
      </c>
      <c r="C555" s="41" t="e">
        <f>+VLOOKUP(R555,Maps!$A:$C,2,0)</f>
        <v>#N/A</v>
      </c>
      <c r="D555" s="41" t="e">
        <f t="shared" si="25"/>
        <v>#VALUE!</v>
      </c>
      <c r="E555" s="42" t="e">
        <f t="shared" si="26"/>
        <v>#VALUE!</v>
      </c>
      <c r="F555" s="43" t="str">
        <f t="array" ref="F555">+TIPOARMA(H555,I555)</f>
        <v>ERRO - REVISAR</v>
      </c>
      <c r="G555" s="41"/>
      <c r="H555" s="41" t="str">
        <f t="array" ref="H555">+ARMASTD(N555)</f>
        <v>ERRO - REVISAR</v>
      </c>
      <c r="I555" s="41" t="str">
        <f t="array" ref="I555">+CALIBRESTD(O555)</f>
        <v>ERRO - REVISAR</v>
      </c>
    </row>
    <row r="556" spans="1:9" ht="14.25" customHeight="1" x14ac:dyDescent="0.35">
      <c r="A556" t="str">
        <f t="array" ref="A556">EXTRACTEVENT(Q556,S556)</f>
        <v/>
      </c>
      <c r="B556" t="str">
        <f t="shared" si="24"/>
        <v>-</v>
      </c>
      <c r="C556" t="e">
        <f>+VLOOKUP(R556,Maps!$A:$C,2,0)</f>
        <v>#N/A</v>
      </c>
      <c r="D556" t="e">
        <f t="shared" si="25"/>
        <v>#VALUE!</v>
      </c>
      <c r="E556" s="39" t="e">
        <f t="shared" si="26"/>
        <v>#VALUE!</v>
      </c>
      <c r="F556" s="7" t="str">
        <f t="array" ref="F556">+TIPOARMA(H556,I556)</f>
        <v>ERRO - REVISAR</v>
      </c>
      <c r="H556" t="str">
        <f t="array" ref="H556">+ARMASTD(N556)</f>
        <v>ERRO - REVISAR</v>
      </c>
      <c r="I556" t="str">
        <f t="array" ref="I556">+CALIBRESTD(O556)</f>
        <v>ERRO - REVISAR</v>
      </c>
    </row>
    <row r="557" spans="1:9" ht="14.25" customHeight="1" x14ac:dyDescent="0.35">
      <c r="A557" s="41" t="str">
        <f t="array" ref="A557">EXTRACTEVENT(Q557,S557)</f>
        <v/>
      </c>
      <c r="B557" s="41" t="str">
        <f t="shared" si="24"/>
        <v>-</v>
      </c>
      <c r="C557" s="41" t="e">
        <f>+VLOOKUP(R557,Maps!$A:$C,2,0)</f>
        <v>#N/A</v>
      </c>
      <c r="D557" s="41" t="e">
        <f t="shared" si="25"/>
        <v>#VALUE!</v>
      </c>
      <c r="E557" s="42" t="e">
        <f t="shared" si="26"/>
        <v>#VALUE!</v>
      </c>
      <c r="F557" s="43" t="str">
        <f t="array" ref="F557">+TIPOARMA(H557,I557)</f>
        <v>ERRO - REVISAR</v>
      </c>
      <c r="G557" s="41"/>
      <c r="H557" s="41" t="str">
        <f t="array" ref="H557">+ARMASTD(N557)</f>
        <v>ERRO - REVISAR</v>
      </c>
      <c r="I557" s="41" t="str">
        <f t="array" ref="I557">+CALIBRESTD(O557)</f>
        <v>ERRO - REVISAR</v>
      </c>
    </row>
    <row r="558" spans="1:9" ht="14.25" customHeight="1" x14ac:dyDescent="0.35">
      <c r="A558" t="str">
        <f t="array" ref="A558">EXTRACTEVENT(Q558,S558)</f>
        <v/>
      </c>
      <c r="B558" t="str">
        <f t="shared" si="24"/>
        <v>-</v>
      </c>
      <c r="C558" t="e">
        <f>+VLOOKUP(R558,Maps!$A:$C,2,0)</f>
        <v>#N/A</v>
      </c>
      <c r="D558" t="e">
        <f t="shared" si="25"/>
        <v>#VALUE!</v>
      </c>
      <c r="E558" s="39" t="e">
        <f t="shared" si="26"/>
        <v>#VALUE!</v>
      </c>
      <c r="F558" s="7" t="str">
        <f t="array" ref="F558">+TIPOARMA(H558,I558)</f>
        <v>ERRO - REVISAR</v>
      </c>
      <c r="H558" t="str">
        <f t="array" ref="H558">+ARMASTD(N558)</f>
        <v>ERRO - REVISAR</v>
      </c>
      <c r="I558" t="str">
        <f t="array" ref="I558">+CALIBRESTD(O558)</f>
        <v>ERRO - REVISAR</v>
      </c>
    </row>
    <row r="559" spans="1:9" ht="14.25" customHeight="1" x14ac:dyDescent="0.35">
      <c r="A559" s="41" t="str">
        <f t="array" ref="A559">EXTRACTEVENT(Q559,S559)</f>
        <v/>
      </c>
      <c r="B559" s="41" t="str">
        <f t="shared" si="24"/>
        <v>-</v>
      </c>
      <c r="C559" s="41" t="e">
        <f>+VLOOKUP(R559,Maps!$A:$C,2,0)</f>
        <v>#N/A</v>
      </c>
      <c r="D559" s="41" t="e">
        <f t="shared" si="25"/>
        <v>#VALUE!</v>
      </c>
      <c r="E559" s="42" t="e">
        <f t="shared" si="26"/>
        <v>#VALUE!</v>
      </c>
      <c r="F559" s="43" t="str">
        <f t="array" ref="F559">+TIPOARMA(H559,I559)</f>
        <v>ERRO - REVISAR</v>
      </c>
      <c r="G559" s="41"/>
      <c r="H559" s="41" t="str">
        <f t="array" ref="H559">+ARMASTD(N559)</f>
        <v>ERRO - REVISAR</v>
      </c>
      <c r="I559" s="41" t="str">
        <f t="array" ref="I559">+CALIBRESTD(O559)</f>
        <v>ERRO - REVISAR</v>
      </c>
    </row>
    <row r="560" spans="1:9" ht="14.25" customHeight="1" x14ac:dyDescent="0.35">
      <c r="A560" t="str">
        <f t="array" ref="A560">EXTRACTEVENT(Q560,S560)</f>
        <v/>
      </c>
      <c r="B560" t="str">
        <f t="shared" si="24"/>
        <v>-</v>
      </c>
      <c r="C560" t="e">
        <f>+VLOOKUP(R560,Maps!$A:$C,2,0)</f>
        <v>#N/A</v>
      </c>
      <c r="D560" t="e">
        <f t="shared" si="25"/>
        <v>#VALUE!</v>
      </c>
      <c r="E560" s="39" t="e">
        <f t="shared" si="26"/>
        <v>#VALUE!</v>
      </c>
      <c r="F560" s="7" t="str">
        <f t="array" ref="F560">+TIPOARMA(H560,I560)</f>
        <v>ERRO - REVISAR</v>
      </c>
      <c r="H560" t="str">
        <f t="array" ref="H560">+ARMASTD(N560)</f>
        <v>ERRO - REVISAR</v>
      </c>
      <c r="I560" t="str">
        <f t="array" ref="I560">+CALIBRESTD(O560)</f>
        <v>ERRO - REVISAR</v>
      </c>
    </row>
    <row r="561" spans="1:9" ht="14.25" customHeight="1" x14ac:dyDescent="0.35">
      <c r="A561" s="41" t="str">
        <f t="array" ref="A561">EXTRACTEVENT(Q561,S561)</f>
        <v/>
      </c>
      <c r="B561" s="41" t="str">
        <f t="shared" si="24"/>
        <v>-</v>
      </c>
      <c r="C561" s="41" t="e">
        <f>+VLOOKUP(R561,Maps!$A:$C,2,0)</f>
        <v>#N/A</v>
      </c>
      <c r="D561" s="41" t="e">
        <f t="shared" si="25"/>
        <v>#VALUE!</v>
      </c>
      <c r="E561" s="42" t="e">
        <f t="shared" si="26"/>
        <v>#VALUE!</v>
      </c>
      <c r="F561" s="43" t="str">
        <f t="array" ref="F561">+TIPOARMA(H561,I561)</f>
        <v>ERRO - REVISAR</v>
      </c>
      <c r="G561" s="41"/>
      <c r="H561" s="41" t="str">
        <f t="array" ref="H561">+ARMASTD(N561)</f>
        <v>ERRO - REVISAR</v>
      </c>
      <c r="I561" s="41" t="str">
        <f t="array" ref="I561">+CALIBRESTD(O561)</f>
        <v>ERRO - REVISAR</v>
      </c>
    </row>
    <row r="562" spans="1:9" ht="14.25" customHeight="1" x14ac:dyDescent="0.35">
      <c r="A562" t="str">
        <f t="array" ref="A562">EXTRACTEVENT(Q562,S562)</f>
        <v/>
      </c>
      <c r="B562" t="str">
        <f t="shared" si="24"/>
        <v>-</v>
      </c>
      <c r="C562" t="e">
        <f>+VLOOKUP(R562,Maps!$A:$C,2,0)</f>
        <v>#N/A</v>
      </c>
      <c r="D562" t="e">
        <f t="shared" si="25"/>
        <v>#VALUE!</v>
      </c>
      <c r="E562" s="39" t="e">
        <f t="shared" si="26"/>
        <v>#VALUE!</v>
      </c>
      <c r="F562" s="7" t="str">
        <f t="array" ref="F562">+TIPOARMA(H562,I562)</f>
        <v>ERRO - REVISAR</v>
      </c>
      <c r="H562" t="str">
        <f t="array" ref="H562">+ARMASTD(N562)</f>
        <v>ERRO - REVISAR</v>
      </c>
      <c r="I562" t="str">
        <f t="array" ref="I562">+CALIBRESTD(O562)</f>
        <v>ERRO - REVISAR</v>
      </c>
    </row>
    <row r="563" spans="1:9" ht="14.25" customHeight="1" x14ac:dyDescent="0.35">
      <c r="A563" s="41" t="str">
        <f t="array" ref="A563">EXTRACTEVENT(Q563,S563)</f>
        <v/>
      </c>
      <c r="B563" s="41" t="str">
        <f t="shared" si="24"/>
        <v>-</v>
      </c>
      <c r="C563" s="41" t="e">
        <f>+VLOOKUP(R563,Maps!$A:$C,2,0)</f>
        <v>#N/A</v>
      </c>
      <c r="D563" s="41" t="e">
        <f t="shared" si="25"/>
        <v>#VALUE!</v>
      </c>
      <c r="E563" s="42" t="e">
        <f t="shared" si="26"/>
        <v>#VALUE!</v>
      </c>
      <c r="F563" s="43" t="str">
        <f t="array" ref="F563">+TIPOARMA(H563,I563)</f>
        <v>ERRO - REVISAR</v>
      </c>
      <c r="G563" s="41"/>
      <c r="H563" s="41" t="str">
        <f t="array" ref="H563">+ARMASTD(N563)</f>
        <v>ERRO - REVISAR</v>
      </c>
      <c r="I563" s="41" t="str">
        <f t="array" ref="I563">+CALIBRESTD(O563)</f>
        <v>ERRO - REVISAR</v>
      </c>
    </row>
    <row r="564" spans="1:9" ht="14.25" customHeight="1" x14ac:dyDescent="0.35">
      <c r="A564" t="str">
        <f t="array" ref="A564">EXTRACTEVENT(Q564,S564)</f>
        <v/>
      </c>
      <c r="B564" t="str">
        <f t="shared" si="24"/>
        <v>-</v>
      </c>
      <c r="C564" t="e">
        <f>+VLOOKUP(R564,Maps!$A:$C,2,0)</f>
        <v>#N/A</v>
      </c>
      <c r="D564" t="e">
        <f t="shared" si="25"/>
        <v>#VALUE!</v>
      </c>
      <c r="E564" s="39" t="e">
        <f t="shared" si="26"/>
        <v>#VALUE!</v>
      </c>
      <c r="F564" s="7" t="str">
        <f t="array" ref="F564">+TIPOARMA(H564,I564)</f>
        <v>ERRO - REVISAR</v>
      </c>
      <c r="H564" t="str">
        <f t="array" ref="H564">+ARMASTD(N564)</f>
        <v>ERRO - REVISAR</v>
      </c>
      <c r="I564" t="str">
        <f t="array" ref="I564">+CALIBRESTD(O564)</f>
        <v>ERRO - REVISAR</v>
      </c>
    </row>
    <row r="565" spans="1:9" ht="14.25" customHeight="1" x14ac:dyDescent="0.35">
      <c r="A565" s="41" t="str">
        <f t="array" ref="A565">EXTRACTEVENT(Q565,S565)</f>
        <v/>
      </c>
      <c r="B565" s="41" t="str">
        <f t="shared" si="24"/>
        <v>-</v>
      </c>
      <c r="C565" s="41" t="e">
        <f>+VLOOKUP(R565,Maps!$A:$C,2,0)</f>
        <v>#N/A</v>
      </c>
      <c r="D565" s="41" t="e">
        <f t="shared" si="25"/>
        <v>#VALUE!</v>
      </c>
      <c r="E565" s="42" t="e">
        <f t="shared" si="26"/>
        <v>#VALUE!</v>
      </c>
      <c r="F565" s="43" t="str">
        <f t="array" ref="F565">+TIPOARMA(H565,I565)</f>
        <v>ERRO - REVISAR</v>
      </c>
      <c r="G565" s="41"/>
      <c r="H565" s="41" t="str">
        <f t="array" ref="H565">+ARMASTD(N565)</f>
        <v>ERRO - REVISAR</v>
      </c>
      <c r="I565" s="41" t="str">
        <f t="array" ref="I565">+CALIBRESTD(O565)</f>
        <v>ERRO - REVISAR</v>
      </c>
    </row>
    <row r="566" spans="1:9" ht="14.25" customHeight="1" x14ac:dyDescent="0.35">
      <c r="A566" t="str">
        <f t="array" ref="A566">EXTRACTEVENT(Q566,S566)</f>
        <v/>
      </c>
      <c r="B566" t="str">
        <f t="shared" si="24"/>
        <v>-</v>
      </c>
      <c r="C566" t="e">
        <f>+VLOOKUP(R566,Maps!$A:$C,2,0)</f>
        <v>#N/A</v>
      </c>
      <c r="D566" t="e">
        <f t="shared" si="25"/>
        <v>#VALUE!</v>
      </c>
      <c r="E566" s="39" t="e">
        <f t="shared" si="26"/>
        <v>#VALUE!</v>
      </c>
      <c r="F566" s="7" t="str">
        <f t="array" ref="F566">+TIPOARMA(H566,I566)</f>
        <v>ERRO - REVISAR</v>
      </c>
      <c r="H566" t="str">
        <f t="array" ref="H566">+ARMASTD(N566)</f>
        <v>ERRO - REVISAR</v>
      </c>
      <c r="I566" t="str">
        <f t="array" ref="I566">+CALIBRESTD(O566)</f>
        <v>ERRO - REVISAR</v>
      </c>
    </row>
    <row r="567" spans="1:9" ht="14.25" customHeight="1" x14ac:dyDescent="0.35">
      <c r="A567" s="41" t="str">
        <f t="array" ref="A567">EXTRACTEVENT(Q567,S567)</f>
        <v/>
      </c>
      <c r="B567" s="41" t="str">
        <f t="shared" si="24"/>
        <v>-</v>
      </c>
      <c r="C567" s="41" t="e">
        <f>+VLOOKUP(R567,Maps!$A:$C,2,0)</f>
        <v>#N/A</v>
      </c>
      <c r="D567" s="41" t="e">
        <f t="shared" si="25"/>
        <v>#VALUE!</v>
      </c>
      <c r="E567" s="42" t="e">
        <f t="shared" si="26"/>
        <v>#VALUE!</v>
      </c>
      <c r="F567" s="43" t="str">
        <f t="array" ref="F567">+TIPOARMA(H567,I567)</f>
        <v>ERRO - REVISAR</v>
      </c>
      <c r="G567" s="41"/>
      <c r="H567" s="41" t="str">
        <f t="array" ref="H567">+ARMASTD(N567)</f>
        <v>ERRO - REVISAR</v>
      </c>
      <c r="I567" s="41" t="str">
        <f t="array" ref="I567">+CALIBRESTD(O567)</f>
        <v>ERRO - REVISAR</v>
      </c>
    </row>
    <row r="568" spans="1:9" ht="14.25" customHeight="1" x14ac:dyDescent="0.35">
      <c r="A568" t="str">
        <f t="array" ref="A568">EXTRACTEVENT(Q568,S568)</f>
        <v/>
      </c>
      <c r="B568" t="str">
        <f t="shared" si="24"/>
        <v>-</v>
      </c>
      <c r="C568" t="e">
        <f>+VLOOKUP(R568,Maps!$A:$C,2,0)</f>
        <v>#N/A</v>
      </c>
      <c r="D568" t="e">
        <f t="shared" si="25"/>
        <v>#VALUE!</v>
      </c>
      <c r="E568" s="39" t="e">
        <f t="shared" si="26"/>
        <v>#VALUE!</v>
      </c>
      <c r="F568" s="7" t="str">
        <f t="array" ref="F568">+TIPOARMA(H568,I568)</f>
        <v>ERRO - REVISAR</v>
      </c>
      <c r="H568" t="str">
        <f t="array" ref="H568">+ARMASTD(N568)</f>
        <v>ERRO - REVISAR</v>
      </c>
      <c r="I568" t="str">
        <f t="array" ref="I568">+CALIBRESTD(O568)</f>
        <v>ERRO - REVISAR</v>
      </c>
    </row>
    <row r="569" spans="1:9" ht="14.25" customHeight="1" x14ac:dyDescent="0.35">
      <c r="A569" s="41" t="str">
        <f t="array" ref="A569">EXTRACTEVENT(Q569,S569)</f>
        <v/>
      </c>
      <c r="B569" s="41" t="str">
        <f t="shared" si="24"/>
        <v>-</v>
      </c>
      <c r="C569" s="41" t="e">
        <f>+VLOOKUP(R569,Maps!$A:$C,2,0)</f>
        <v>#N/A</v>
      </c>
      <c r="D569" s="41" t="e">
        <f t="shared" si="25"/>
        <v>#VALUE!</v>
      </c>
      <c r="E569" s="42" t="e">
        <f t="shared" si="26"/>
        <v>#VALUE!</v>
      </c>
      <c r="F569" s="43" t="str">
        <f t="array" ref="F569">+TIPOARMA(H569,I569)</f>
        <v>ERRO - REVISAR</v>
      </c>
      <c r="G569" s="41"/>
      <c r="H569" s="41" t="str">
        <f t="array" ref="H569">+ARMASTD(N569)</f>
        <v>ERRO - REVISAR</v>
      </c>
      <c r="I569" s="41" t="str">
        <f t="array" ref="I569">+CALIBRESTD(O569)</f>
        <v>ERRO - REVISAR</v>
      </c>
    </row>
    <row r="570" spans="1:9" ht="14.25" customHeight="1" x14ac:dyDescent="0.35">
      <c r="A570" t="str">
        <f t="array" ref="A570">EXTRACTEVENT(Q570,S570)</f>
        <v/>
      </c>
      <c r="B570" t="str">
        <f t="shared" si="24"/>
        <v>-</v>
      </c>
      <c r="C570" t="e">
        <f>+VLOOKUP(R570,Maps!$A:$C,2,0)</f>
        <v>#N/A</v>
      </c>
      <c r="D570" t="e">
        <f t="shared" si="25"/>
        <v>#VALUE!</v>
      </c>
      <c r="E570" s="39" t="e">
        <f t="shared" si="26"/>
        <v>#VALUE!</v>
      </c>
      <c r="F570" s="7" t="str">
        <f t="array" ref="F570">+TIPOARMA(H570,I570)</f>
        <v>ERRO - REVISAR</v>
      </c>
      <c r="H570" t="str">
        <f t="array" ref="H570">+ARMASTD(N570)</f>
        <v>ERRO - REVISAR</v>
      </c>
      <c r="I570" t="str">
        <f t="array" ref="I570">+CALIBRESTD(O570)</f>
        <v>ERRO - REVISAR</v>
      </c>
    </row>
    <row r="571" spans="1:9" ht="14.25" customHeight="1" x14ac:dyDescent="0.35">
      <c r="A571" s="41" t="str">
        <f t="array" ref="A571">EXTRACTEVENT(Q571,S571)</f>
        <v/>
      </c>
      <c r="B571" s="41" t="str">
        <f t="shared" si="24"/>
        <v>-</v>
      </c>
      <c r="C571" s="41" t="e">
        <f>+VLOOKUP(R571,Maps!$A:$C,2,0)</f>
        <v>#N/A</v>
      </c>
      <c r="D571" s="41" t="e">
        <f t="shared" si="25"/>
        <v>#VALUE!</v>
      </c>
      <c r="E571" s="42" t="e">
        <f t="shared" si="26"/>
        <v>#VALUE!</v>
      </c>
      <c r="F571" s="43" t="str">
        <f t="array" ref="F571">+TIPOARMA(H571,I571)</f>
        <v>ERRO - REVISAR</v>
      </c>
      <c r="G571" s="41"/>
      <c r="H571" s="41" t="str">
        <f t="array" ref="H571">+ARMASTD(N571)</f>
        <v>ERRO - REVISAR</v>
      </c>
      <c r="I571" s="41" t="str">
        <f t="array" ref="I571">+CALIBRESTD(O571)</f>
        <v>ERRO - REVISAR</v>
      </c>
    </row>
    <row r="572" spans="1:9" ht="14.25" customHeight="1" x14ac:dyDescent="0.35">
      <c r="A572" t="str">
        <f t="array" ref="A572">EXTRACTEVENT(Q572,S572)</f>
        <v/>
      </c>
      <c r="B572" t="str">
        <f t="shared" si="24"/>
        <v>-</v>
      </c>
      <c r="C572" t="e">
        <f>+VLOOKUP(R572,Maps!$A:$C,2,0)</f>
        <v>#N/A</v>
      </c>
      <c r="D572" t="e">
        <f t="shared" si="25"/>
        <v>#VALUE!</v>
      </c>
      <c r="E572" s="39" t="e">
        <f t="shared" si="26"/>
        <v>#VALUE!</v>
      </c>
      <c r="F572" s="7" t="str">
        <f t="array" ref="F572">+TIPOARMA(H572,I572)</f>
        <v>ERRO - REVISAR</v>
      </c>
      <c r="H572" t="str">
        <f t="array" ref="H572">+ARMASTD(N572)</f>
        <v>ERRO - REVISAR</v>
      </c>
      <c r="I572" t="str">
        <f t="array" ref="I572">+CALIBRESTD(O572)</f>
        <v>ERRO - REVISAR</v>
      </c>
    </row>
    <row r="573" spans="1:9" ht="14.25" customHeight="1" x14ac:dyDescent="0.35">
      <c r="A573" s="41" t="str">
        <f t="array" ref="A573">EXTRACTEVENT(Q573,S573)</f>
        <v/>
      </c>
      <c r="B573" s="41" t="str">
        <f t="shared" si="24"/>
        <v>-</v>
      </c>
      <c r="C573" s="41" t="e">
        <f>+VLOOKUP(R573,Maps!$A:$C,2,0)</f>
        <v>#N/A</v>
      </c>
      <c r="D573" s="41" t="e">
        <f t="shared" si="25"/>
        <v>#VALUE!</v>
      </c>
      <c r="E573" s="42" t="e">
        <f t="shared" si="26"/>
        <v>#VALUE!</v>
      </c>
      <c r="F573" s="43" t="str">
        <f t="array" ref="F573">+TIPOARMA(H573,I573)</f>
        <v>ERRO - REVISAR</v>
      </c>
      <c r="G573" s="41"/>
      <c r="H573" s="41" t="str">
        <f t="array" ref="H573">+ARMASTD(N573)</f>
        <v>ERRO - REVISAR</v>
      </c>
      <c r="I573" s="41" t="str">
        <f t="array" ref="I573">+CALIBRESTD(O573)</f>
        <v>ERRO - REVISAR</v>
      </c>
    </row>
    <row r="574" spans="1:9" ht="14.25" customHeight="1" x14ac:dyDescent="0.35">
      <c r="A574" t="str">
        <f t="array" ref="A574">EXTRACTEVENT(Q574,S574)</f>
        <v/>
      </c>
      <c r="B574" t="str">
        <f t="shared" si="24"/>
        <v>-</v>
      </c>
      <c r="C574" t="e">
        <f>+VLOOKUP(R574,Maps!$A:$C,2,0)</f>
        <v>#N/A</v>
      </c>
      <c r="D574" t="e">
        <f t="shared" si="25"/>
        <v>#VALUE!</v>
      </c>
      <c r="E574" s="39" t="e">
        <f t="shared" si="26"/>
        <v>#VALUE!</v>
      </c>
      <c r="F574" s="7" t="str">
        <f t="array" ref="F574">+TIPOARMA(H574,I574)</f>
        <v>ERRO - REVISAR</v>
      </c>
      <c r="H574" t="str">
        <f t="array" ref="H574">+ARMASTD(N574)</f>
        <v>ERRO - REVISAR</v>
      </c>
      <c r="I574" t="str">
        <f t="array" ref="I574">+CALIBRESTD(O574)</f>
        <v>ERRO - REVISAR</v>
      </c>
    </row>
    <row r="575" spans="1:9" ht="14.25" customHeight="1" x14ac:dyDescent="0.35">
      <c r="A575" s="41" t="str">
        <f t="array" ref="A575">EXTRACTEVENT(Q575,S575)</f>
        <v/>
      </c>
      <c r="B575" s="41" t="str">
        <f t="shared" si="24"/>
        <v>-</v>
      </c>
      <c r="C575" s="41" t="e">
        <f>+VLOOKUP(R575,Maps!$A:$C,2,0)</f>
        <v>#N/A</v>
      </c>
      <c r="D575" s="41" t="e">
        <f t="shared" si="25"/>
        <v>#VALUE!</v>
      </c>
      <c r="E575" s="42" t="e">
        <f t="shared" si="26"/>
        <v>#VALUE!</v>
      </c>
      <c r="F575" s="43" t="str">
        <f t="array" ref="F575">+TIPOARMA(H575,I575)</f>
        <v>ERRO - REVISAR</v>
      </c>
      <c r="G575" s="41"/>
      <c r="H575" s="41" t="str">
        <f t="array" ref="H575">+ARMASTD(N575)</f>
        <v>ERRO - REVISAR</v>
      </c>
      <c r="I575" s="41" t="str">
        <f t="array" ref="I575">+CALIBRESTD(O575)</f>
        <v>ERRO - REVISAR</v>
      </c>
    </row>
    <row r="576" spans="1:9" ht="14.25" customHeight="1" x14ac:dyDescent="0.35">
      <c r="A576" t="str">
        <f t="array" ref="A576">EXTRACTEVENT(Q576,S576)</f>
        <v/>
      </c>
      <c r="B576" t="str">
        <f t="shared" si="24"/>
        <v>-</v>
      </c>
      <c r="C576" t="e">
        <f>+VLOOKUP(R576,Maps!$A:$C,2,0)</f>
        <v>#N/A</v>
      </c>
      <c r="D576" t="e">
        <f t="shared" si="25"/>
        <v>#VALUE!</v>
      </c>
      <c r="E576" s="39" t="e">
        <f t="shared" si="26"/>
        <v>#VALUE!</v>
      </c>
      <c r="F576" s="7" t="str">
        <f t="array" ref="F576">+TIPOARMA(H576,I576)</f>
        <v>ERRO - REVISAR</v>
      </c>
      <c r="H576" t="str">
        <f t="array" ref="H576">+ARMASTD(N576)</f>
        <v>ERRO - REVISAR</v>
      </c>
      <c r="I576" t="str">
        <f t="array" ref="I576">+CALIBRESTD(O576)</f>
        <v>ERRO - REVISAR</v>
      </c>
    </row>
    <row r="577" spans="1:9" ht="14.25" customHeight="1" x14ac:dyDescent="0.35">
      <c r="A577" s="41" t="str">
        <f t="array" ref="A577">EXTRACTEVENT(Q577,S577)</f>
        <v/>
      </c>
      <c r="B577" s="41" t="str">
        <f t="shared" si="24"/>
        <v>-</v>
      </c>
      <c r="C577" s="41" t="e">
        <f>+VLOOKUP(R577,Maps!$A:$C,2,0)</f>
        <v>#N/A</v>
      </c>
      <c r="D577" s="41" t="e">
        <f t="shared" si="25"/>
        <v>#VALUE!</v>
      </c>
      <c r="E577" s="42" t="e">
        <f t="shared" si="26"/>
        <v>#VALUE!</v>
      </c>
      <c r="F577" s="43" t="str">
        <f t="array" ref="F577">+TIPOARMA(H577,I577)</f>
        <v>ERRO - REVISAR</v>
      </c>
      <c r="G577" s="41"/>
      <c r="H577" s="41" t="str">
        <f t="array" ref="H577">+ARMASTD(N577)</f>
        <v>ERRO - REVISAR</v>
      </c>
      <c r="I577" s="41" t="str">
        <f t="array" ref="I577">+CALIBRESTD(O577)</f>
        <v>ERRO - REVISAR</v>
      </c>
    </row>
    <row r="578" spans="1:9" ht="14.25" customHeight="1" x14ac:dyDescent="0.35">
      <c r="A578" t="str">
        <f t="array" ref="A578">EXTRACTEVENT(Q578,S578)</f>
        <v/>
      </c>
      <c r="B578" t="str">
        <f t="shared" ref="B578:B641" si="27">+EXTRACTETAPANUM(Q578)</f>
        <v>-</v>
      </c>
      <c r="C578" t="e">
        <f>+VLOOKUP(R578,Maps!$A:$C,2,0)</f>
        <v>#N/A</v>
      </c>
      <c r="D578" t="e">
        <f t="shared" ref="D578:D641" si="28">+DEFINEAMBITO(Q578,C578)</f>
        <v>#VALUE!</v>
      </c>
      <c r="E578" s="39" t="e">
        <f t="shared" ref="E578:E641" si="29">DATEVALUE(L578)</f>
        <v>#VALUE!</v>
      </c>
      <c r="F578" s="7" t="str">
        <f t="array" ref="F578">+TIPOARMA(H578,I578)</f>
        <v>ERRO - REVISAR</v>
      </c>
      <c r="H578" t="str">
        <f t="array" ref="H578">+ARMASTD(N578)</f>
        <v>ERRO - REVISAR</v>
      </c>
      <c r="I578" t="str">
        <f t="array" ref="I578">+CALIBRESTD(O578)</f>
        <v>ERRO - REVISAR</v>
      </c>
    </row>
    <row r="579" spans="1:9" ht="14.25" customHeight="1" x14ac:dyDescent="0.35">
      <c r="A579" s="41" t="str">
        <f t="array" ref="A579">EXTRACTEVENT(Q579,S579)</f>
        <v/>
      </c>
      <c r="B579" s="41" t="str">
        <f t="shared" si="27"/>
        <v>-</v>
      </c>
      <c r="C579" s="41" t="e">
        <f>+VLOOKUP(R579,Maps!$A:$C,2,0)</f>
        <v>#N/A</v>
      </c>
      <c r="D579" s="41" t="e">
        <f t="shared" si="28"/>
        <v>#VALUE!</v>
      </c>
      <c r="E579" s="42" t="e">
        <f t="shared" si="29"/>
        <v>#VALUE!</v>
      </c>
      <c r="F579" s="43" t="str">
        <f t="array" ref="F579">+TIPOARMA(H579,I579)</f>
        <v>ERRO - REVISAR</v>
      </c>
      <c r="G579" s="41"/>
      <c r="H579" s="41" t="str">
        <f t="array" ref="H579">+ARMASTD(N579)</f>
        <v>ERRO - REVISAR</v>
      </c>
      <c r="I579" s="41" t="str">
        <f t="array" ref="I579">+CALIBRESTD(O579)</f>
        <v>ERRO - REVISAR</v>
      </c>
    </row>
    <row r="580" spans="1:9" ht="14.25" customHeight="1" x14ac:dyDescent="0.35">
      <c r="A580" t="str">
        <f t="array" ref="A580">EXTRACTEVENT(Q580,S580)</f>
        <v/>
      </c>
      <c r="B580" t="str">
        <f t="shared" si="27"/>
        <v>-</v>
      </c>
      <c r="C580" t="e">
        <f>+VLOOKUP(R580,Maps!$A:$C,2,0)</f>
        <v>#N/A</v>
      </c>
      <c r="D580" t="e">
        <f t="shared" si="28"/>
        <v>#VALUE!</v>
      </c>
      <c r="E580" s="39" t="e">
        <f t="shared" si="29"/>
        <v>#VALUE!</v>
      </c>
      <c r="F580" s="7" t="str">
        <f t="array" ref="F580">+TIPOARMA(H580,I580)</f>
        <v>ERRO - REVISAR</v>
      </c>
      <c r="H580" t="str">
        <f t="array" ref="H580">+ARMASTD(N580)</f>
        <v>ERRO - REVISAR</v>
      </c>
      <c r="I580" t="str">
        <f t="array" ref="I580">+CALIBRESTD(O580)</f>
        <v>ERRO - REVISAR</v>
      </c>
    </row>
    <row r="581" spans="1:9" ht="14.25" customHeight="1" x14ac:dyDescent="0.35">
      <c r="A581" s="41" t="str">
        <f t="array" ref="A581">EXTRACTEVENT(Q581,S581)</f>
        <v/>
      </c>
      <c r="B581" s="41" t="str">
        <f t="shared" si="27"/>
        <v>-</v>
      </c>
      <c r="C581" s="41" t="e">
        <f>+VLOOKUP(R581,Maps!$A:$C,2,0)</f>
        <v>#N/A</v>
      </c>
      <c r="D581" s="41" t="e">
        <f t="shared" si="28"/>
        <v>#VALUE!</v>
      </c>
      <c r="E581" s="42" t="e">
        <f t="shared" si="29"/>
        <v>#VALUE!</v>
      </c>
      <c r="F581" s="43" t="str">
        <f t="array" ref="F581">+TIPOARMA(H581,I581)</f>
        <v>ERRO - REVISAR</v>
      </c>
      <c r="G581" s="41"/>
      <c r="H581" s="41" t="str">
        <f t="array" ref="H581">+ARMASTD(N581)</f>
        <v>ERRO - REVISAR</v>
      </c>
      <c r="I581" s="41" t="str">
        <f t="array" ref="I581">+CALIBRESTD(O581)</f>
        <v>ERRO - REVISAR</v>
      </c>
    </row>
    <row r="582" spans="1:9" ht="14.25" customHeight="1" x14ac:dyDescent="0.35">
      <c r="A582" t="str">
        <f t="array" ref="A582">EXTRACTEVENT(Q582,S582)</f>
        <v/>
      </c>
      <c r="B582" t="str">
        <f t="shared" si="27"/>
        <v>-</v>
      </c>
      <c r="C582" t="e">
        <f>+VLOOKUP(R582,Maps!$A:$C,2,0)</f>
        <v>#N/A</v>
      </c>
      <c r="D582" t="e">
        <f t="shared" si="28"/>
        <v>#VALUE!</v>
      </c>
      <c r="E582" s="39" t="e">
        <f t="shared" si="29"/>
        <v>#VALUE!</v>
      </c>
      <c r="F582" s="7" t="str">
        <f t="array" ref="F582">+TIPOARMA(H582,I582)</f>
        <v>ERRO - REVISAR</v>
      </c>
      <c r="H582" t="str">
        <f t="array" ref="H582">+ARMASTD(N582)</f>
        <v>ERRO - REVISAR</v>
      </c>
      <c r="I582" t="str">
        <f t="array" ref="I582">+CALIBRESTD(O582)</f>
        <v>ERRO - REVISAR</v>
      </c>
    </row>
    <row r="583" spans="1:9" ht="14.25" customHeight="1" x14ac:dyDescent="0.35">
      <c r="A583" s="41" t="str">
        <f t="array" ref="A583">EXTRACTEVENT(Q583,S583)</f>
        <v/>
      </c>
      <c r="B583" s="41" t="str">
        <f t="shared" si="27"/>
        <v>-</v>
      </c>
      <c r="C583" s="41" t="e">
        <f>+VLOOKUP(R583,Maps!$A:$C,2,0)</f>
        <v>#N/A</v>
      </c>
      <c r="D583" s="41" t="e">
        <f t="shared" si="28"/>
        <v>#VALUE!</v>
      </c>
      <c r="E583" s="42" t="e">
        <f t="shared" si="29"/>
        <v>#VALUE!</v>
      </c>
      <c r="F583" s="43" t="str">
        <f t="array" ref="F583">+TIPOARMA(H583,I583)</f>
        <v>ERRO - REVISAR</v>
      </c>
      <c r="G583" s="41"/>
      <c r="H583" s="41" t="str">
        <f t="array" ref="H583">+ARMASTD(N583)</f>
        <v>ERRO - REVISAR</v>
      </c>
      <c r="I583" s="41" t="str">
        <f t="array" ref="I583">+CALIBRESTD(O583)</f>
        <v>ERRO - REVISAR</v>
      </c>
    </row>
    <row r="584" spans="1:9" ht="14.25" customHeight="1" x14ac:dyDescent="0.35">
      <c r="A584" t="str">
        <f t="array" ref="A584">EXTRACTEVENT(Q584,S584)</f>
        <v/>
      </c>
      <c r="B584" t="str">
        <f t="shared" si="27"/>
        <v>-</v>
      </c>
      <c r="C584" t="e">
        <f>+VLOOKUP(R584,Maps!$A:$C,2,0)</f>
        <v>#N/A</v>
      </c>
      <c r="D584" t="e">
        <f t="shared" si="28"/>
        <v>#VALUE!</v>
      </c>
      <c r="E584" s="39" t="e">
        <f t="shared" si="29"/>
        <v>#VALUE!</v>
      </c>
      <c r="F584" s="7" t="str">
        <f t="array" ref="F584">+TIPOARMA(H584,I584)</f>
        <v>ERRO - REVISAR</v>
      </c>
      <c r="H584" t="str">
        <f t="array" ref="H584">+ARMASTD(N584)</f>
        <v>ERRO - REVISAR</v>
      </c>
      <c r="I584" t="str">
        <f t="array" ref="I584">+CALIBRESTD(O584)</f>
        <v>ERRO - REVISAR</v>
      </c>
    </row>
    <row r="585" spans="1:9" ht="14.25" customHeight="1" x14ac:dyDescent="0.35">
      <c r="A585" s="41" t="str">
        <f t="array" ref="A585">EXTRACTEVENT(Q585,S585)</f>
        <v/>
      </c>
      <c r="B585" s="41" t="str">
        <f t="shared" si="27"/>
        <v>-</v>
      </c>
      <c r="C585" s="41" t="e">
        <f>+VLOOKUP(R585,Maps!$A:$C,2,0)</f>
        <v>#N/A</v>
      </c>
      <c r="D585" s="41" t="e">
        <f t="shared" si="28"/>
        <v>#VALUE!</v>
      </c>
      <c r="E585" s="42" t="e">
        <f t="shared" si="29"/>
        <v>#VALUE!</v>
      </c>
      <c r="F585" s="43" t="str">
        <f t="array" ref="F585">+TIPOARMA(H585,I585)</f>
        <v>ERRO - REVISAR</v>
      </c>
      <c r="G585" s="41"/>
      <c r="H585" s="41" t="str">
        <f t="array" ref="H585">+ARMASTD(N585)</f>
        <v>ERRO - REVISAR</v>
      </c>
      <c r="I585" s="41" t="str">
        <f t="array" ref="I585">+CALIBRESTD(O585)</f>
        <v>ERRO - REVISAR</v>
      </c>
    </row>
    <row r="586" spans="1:9" ht="14.25" customHeight="1" x14ac:dyDescent="0.35">
      <c r="A586" t="str">
        <f t="array" ref="A586">EXTRACTEVENT(Q586,S586)</f>
        <v/>
      </c>
      <c r="B586" t="str">
        <f t="shared" si="27"/>
        <v>-</v>
      </c>
      <c r="C586" t="e">
        <f>+VLOOKUP(R586,Maps!$A:$C,2,0)</f>
        <v>#N/A</v>
      </c>
      <c r="D586" t="e">
        <f t="shared" si="28"/>
        <v>#VALUE!</v>
      </c>
      <c r="E586" s="39" t="e">
        <f t="shared" si="29"/>
        <v>#VALUE!</v>
      </c>
      <c r="F586" s="7" t="str">
        <f t="array" ref="F586">+TIPOARMA(H586,I586)</f>
        <v>ERRO - REVISAR</v>
      </c>
      <c r="H586" t="str">
        <f t="array" ref="H586">+ARMASTD(N586)</f>
        <v>ERRO - REVISAR</v>
      </c>
      <c r="I586" t="str">
        <f t="array" ref="I586">+CALIBRESTD(O586)</f>
        <v>ERRO - REVISAR</v>
      </c>
    </row>
    <row r="587" spans="1:9" ht="14.25" customHeight="1" x14ac:dyDescent="0.35">
      <c r="A587" s="41" t="str">
        <f t="array" ref="A587">EXTRACTEVENT(Q587,S587)</f>
        <v/>
      </c>
      <c r="B587" s="41" t="str">
        <f t="shared" si="27"/>
        <v>-</v>
      </c>
      <c r="C587" s="41" t="e">
        <f>+VLOOKUP(R587,Maps!$A:$C,2,0)</f>
        <v>#N/A</v>
      </c>
      <c r="D587" s="41" t="e">
        <f t="shared" si="28"/>
        <v>#VALUE!</v>
      </c>
      <c r="E587" s="42" t="e">
        <f t="shared" si="29"/>
        <v>#VALUE!</v>
      </c>
      <c r="F587" s="43" t="str">
        <f t="array" ref="F587">+TIPOARMA(H587,I587)</f>
        <v>ERRO - REVISAR</v>
      </c>
      <c r="G587" s="41"/>
      <c r="H587" s="41" t="str">
        <f t="array" ref="H587">+ARMASTD(N587)</f>
        <v>ERRO - REVISAR</v>
      </c>
      <c r="I587" s="41" t="str">
        <f t="array" ref="I587">+CALIBRESTD(O587)</f>
        <v>ERRO - REVISAR</v>
      </c>
    </row>
    <row r="588" spans="1:9" ht="14.25" customHeight="1" x14ac:dyDescent="0.35">
      <c r="A588" t="str">
        <f t="array" ref="A588">EXTRACTEVENT(Q588,S588)</f>
        <v/>
      </c>
      <c r="B588" t="str">
        <f t="shared" si="27"/>
        <v>-</v>
      </c>
      <c r="C588" t="e">
        <f>+VLOOKUP(R588,Maps!$A:$C,2,0)</f>
        <v>#N/A</v>
      </c>
      <c r="D588" t="e">
        <f t="shared" si="28"/>
        <v>#VALUE!</v>
      </c>
      <c r="E588" s="39" t="e">
        <f t="shared" si="29"/>
        <v>#VALUE!</v>
      </c>
      <c r="F588" s="7" t="str">
        <f t="array" ref="F588">+TIPOARMA(H588,I588)</f>
        <v>ERRO - REVISAR</v>
      </c>
      <c r="H588" t="str">
        <f t="array" ref="H588">+ARMASTD(N588)</f>
        <v>ERRO - REVISAR</v>
      </c>
      <c r="I588" t="str">
        <f t="array" ref="I588">+CALIBRESTD(O588)</f>
        <v>ERRO - REVISAR</v>
      </c>
    </row>
    <row r="589" spans="1:9" ht="14.25" customHeight="1" x14ac:dyDescent="0.35">
      <c r="A589" s="41" t="str">
        <f t="array" ref="A589">EXTRACTEVENT(Q589,S589)</f>
        <v/>
      </c>
      <c r="B589" s="41" t="str">
        <f t="shared" si="27"/>
        <v>-</v>
      </c>
      <c r="C589" s="41" t="e">
        <f>+VLOOKUP(R589,Maps!$A:$C,2,0)</f>
        <v>#N/A</v>
      </c>
      <c r="D589" s="41" t="e">
        <f t="shared" si="28"/>
        <v>#VALUE!</v>
      </c>
      <c r="E589" s="42" t="e">
        <f t="shared" si="29"/>
        <v>#VALUE!</v>
      </c>
      <c r="F589" s="43" t="str">
        <f t="array" ref="F589">+TIPOARMA(H589,I589)</f>
        <v>ERRO - REVISAR</v>
      </c>
      <c r="G589" s="41"/>
      <c r="H589" s="41" t="str">
        <f t="array" ref="H589">+ARMASTD(N589)</f>
        <v>ERRO - REVISAR</v>
      </c>
      <c r="I589" s="41" t="str">
        <f t="array" ref="I589">+CALIBRESTD(O589)</f>
        <v>ERRO - REVISAR</v>
      </c>
    </row>
    <row r="590" spans="1:9" ht="14.25" customHeight="1" x14ac:dyDescent="0.35">
      <c r="A590" t="str">
        <f t="array" ref="A590">EXTRACTEVENT(Q590,S590)</f>
        <v/>
      </c>
      <c r="B590" t="str">
        <f t="shared" si="27"/>
        <v>-</v>
      </c>
      <c r="C590" t="e">
        <f>+VLOOKUP(R590,Maps!$A:$C,2,0)</f>
        <v>#N/A</v>
      </c>
      <c r="D590" t="e">
        <f t="shared" si="28"/>
        <v>#VALUE!</v>
      </c>
      <c r="E590" s="39" t="e">
        <f t="shared" si="29"/>
        <v>#VALUE!</v>
      </c>
      <c r="F590" s="7" t="str">
        <f t="array" ref="F590">+TIPOARMA(H590,I590)</f>
        <v>ERRO - REVISAR</v>
      </c>
      <c r="H590" t="str">
        <f t="array" ref="H590">+ARMASTD(N590)</f>
        <v>ERRO - REVISAR</v>
      </c>
      <c r="I590" t="str">
        <f t="array" ref="I590">+CALIBRESTD(O590)</f>
        <v>ERRO - REVISAR</v>
      </c>
    </row>
    <row r="591" spans="1:9" ht="14.25" customHeight="1" x14ac:dyDescent="0.35">
      <c r="A591" s="41" t="str">
        <f t="array" ref="A591">EXTRACTEVENT(Q591,S591)</f>
        <v/>
      </c>
      <c r="B591" s="41" t="str">
        <f t="shared" si="27"/>
        <v>-</v>
      </c>
      <c r="C591" s="41" t="e">
        <f>+VLOOKUP(R591,Maps!$A:$C,2,0)</f>
        <v>#N/A</v>
      </c>
      <c r="D591" s="41" t="e">
        <f t="shared" si="28"/>
        <v>#VALUE!</v>
      </c>
      <c r="E591" s="42" t="e">
        <f t="shared" si="29"/>
        <v>#VALUE!</v>
      </c>
      <c r="F591" s="43" t="str">
        <f t="array" ref="F591">+TIPOARMA(H591,I591)</f>
        <v>ERRO - REVISAR</v>
      </c>
      <c r="G591" s="41"/>
      <c r="H591" s="41" t="str">
        <f t="array" ref="H591">+ARMASTD(N591)</f>
        <v>ERRO - REVISAR</v>
      </c>
      <c r="I591" s="41" t="str">
        <f t="array" ref="I591">+CALIBRESTD(O591)</f>
        <v>ERRO - REVISAR</v>
      </c>
    </row>
    <row r="592" spans="1:9" ht="14.25" customHeight="1" x14ac:dyDescent="0.35">
      <c r="A592" t="str">
        <f t="array" ref="A592">EXTRACTEVENT(Q592,S592)</f>
        <v/>
      </c>
      <c r="B592" t="str">
        <f t="shared" si="27"/>
        <v>-</v>
      </c>
      <c r="C592" t="e">
        <f>+VLOOKUP(R592,Maps!$A:$C,2,0)</f>
        <v>#N/A</v>
      </c>
      <c r="D592" t="e">
        <f t="shared" si="28"/>
        <v>#VALUE!</v>
      </c>
      <c r="E592" s="39" t="e">
        <f t="shared" si="29"/>
        <v>#VALUE!</v>
      </c>
      <c r="F592" s="7" t="str">
        <f t="array" ref="F592">+TIPOARMA(H592,I592)</f>
        <v>ERRO - REVISAR</v>
      </c>
      <c r="H592" t="str">
        <f t="array" ref="H592">+ARMASTD(N592)</f>
        <v>ERRO - REVISAR</v>
      </c>
      <c r="I592" t="str">
        <f t="array" ref="I592">+CALIBRESTD(O592)</f>
        <v>ERRO - REVISAR</v>
      </c>
    </row>
    <row r="593" spans="1:9" ht="14.25" customHeight="1" x14ac:dyDescent="0.35">
      <c r="A593" s="41" t="str">
        <f t="array" ref="A593">EXTRACTEVENT(Q593,S593)</f>
        <v/>
      </c>
      <c r="B593" s="41" t="str">
        <f t="shared" si="27"/>
        <v>-</v>
      </c>
      <c r="C593" s="41" t="e">
        <f>+VLOOKUP(R593,Maps!$A:$C,2,0)</f>
        <v>#N/A</v>
      </c>
      <c r="D593" s="41" t="e">
        <f t="shared" si="28"/>
        <v>#VALUE!</v>
      </c>
      <c r="E593" s="42" t="e">
        <f t="shared" si="29"/>
        <v>#VALUE!</v>
      </c>
      <c r="F593" s="43" t="str">
        <f t="array" ref="F593">+TIPOARMA(H593,I593)</f>
        <v>ERRO - REVISAR</v>
      </c>
      <c r="G593" s="41"/>
      <c r="H593" s="41" t="str">
        <f t="array" ref="H593">+ARMASTD(N593)</f>
        <v>ERRO - REVISAR</v>
      </c>
      <c r="I593" s="41" t="str">
        <f t="array" ref="I593">+CALIBRESTD(O593)</f>
        <v>ERRO - REVISAR</v>
      </c>
    </row>
    <row r="594" spans="1:9" ht="14.25" customHeight="1" x14ac:dyDescent="0.35">
      <c r="A594" t="str">
        <f t="array" ref="A594">EXTRACTEVENT(Q594,S594)</f>
        <v/>
      </c>
      <c r="B594" t="str">
        <f t="shared" si="27"/>
        <v>-</v>
      </c>
      <c r="C594" t="e">
        <f>+VLOOKUP(R594,Maps!$A:$C,2,0)</f>
        <v>#N/A</v>
      </c>
      <c r="D594" t="e">
        <f t="shared" si="28"/>
        <v>#VALUE!</v>
      </c>
      <c r="E594" s="39" t="e">
        <f t="shared" si="29"/>
        <v>#VALUE!</v>
      </c>
      <c r="F594" s="7" t="str">
        <f t="array" ref="F594">+TIPOARMA(H594,I594)</f>
        <v>ERRO - REVISAR</v>
      </c>
      <c r="H594" t="str">
        <f t="array" ref="H594">+ARMASTD(N594)</f>
        <v>ERRO - REVISAR</v>
      </c>
      <c r="I594" t="str">
        <f t="array" ref="I594">+CALIBRESTD(O594)</f>
        <v>ERRO - REVISAR</v>
      </c>
    </row>
    <row r="595" spans="1:9" ht="14.25" customHeight="1" x14ac:dyDescent="0.35">
      <c r="A595" s="41" t="str">
        <f t="array" ref="A595">EXTRACTEVENT(Q595,S595)</f>
        <v/>
      </c>
      <c r="B595" s="41" t="str">
        <f t="shared" si="27"/>
        <v>-</v>
      </c>
      <c r="C595" s="41" t="e">
        <f>+VLOOKUP(R595,Maps!$A:$C,2,0)</f>
        <v>#N/A</v>
      </c>
      <c r="D595" s="41" t="e">
        <f t="shared" si="28"/>
        <v>#VALUE!</v>
      </c>
      <c r="E595" s="42" t="e">
        <f t="shared" si="29"/>
        <v>#VALUE!</v>
      </c>
      <c r="F595" s="43" t="str">
        <f t="array" ref="F595">+TIPOARMA(H595,I595)</f>
        <v>ERRO - REVISAR</v>
      </c>
      <c r="G595" s="41"/>
      <c r="H595" s="41" t="str">
        <f t="array" ref="H595">+ARMASTD(N595)</f>
        <v>ERRO - REVISAR</v>
      </c>
      <c r="I595" s="41" t="str">
        <f t="array" ref="I595">+CALIBRESTD(O595)</f>
        <v>ERRO - REVISAR</v>
      </c>
    </row>
    <row r="596" spans="1:9" ht="14.25" customHeight="1" x14ac:dyDescent="0.35">
      <c r="A596" t="str">
        <f t="array" ref="A596">EXTRACTEVENT(Q596,S596)</f>
        <v/>
      </c>
      <c r="B596" t="str">
        <f t="shared" si="27"/>
        <v>-</v>
      </c>
      <c r="C596" t="e">
        <f>+VLOOKUP(R596,Maps!$A:$C,2,0)</f>
        <v>#N/A</v>
      </c>
      <c r="D596" t="e">
        <f t="shared" si="28"/>
        <v>#VALUE!</v>
      </c>
      <c r="E596" s="39" t="e">
        <f t="shared" si="29"/>
        <v>#VALUE!</v>
      </c>
      <c r="F596" s="7" t="str">
        <f t="array" ref="F596">+TIPOARMA(H596,I596)</f>
        <v>ERRO - REVISAR</v>
      </c>
      <c r="H596" t="str">
        <f t="array" ref="H596">+ARMASTD(N596)</f>
        <v>ERRO - REVISAR</v>
      </c>
      <c r="I596" t="str">
        <f t="array" ref="I596">+CALIBRESTD(O596)</f>
        <v>ERRO - REVISAR</v>
      </c>
    </row>
    <row r="597" spans="1:9" ht="14.25" customHeight="1" x14ac:dyDescent="0.35">
      <c r="A597" s="41" t="str">
        <f t="array" ref="A597">EXTRACTEVENT(Q597,S597)</f>
        <v/>
      </c>
      <c r="B597" s="41" t="str">
        <f t="shared" si="27"/>
        <v>-</v>
      </c>
      <c r="C597" s="41" t="e">
        <f>+VLOOKUP(R597,Maps!$A:$C,2,0)</f>
        <v>#N/A</v>
      </c>
      <c r="D597" s="41" t="e">
        <f t="shared" si="28"/>
        <v>#VALUE!</v>
      </c>
      <c r="E597" s="42" t="e">
        <f t="shared" si="29"/>
        <v>#VALUE!</v>
      </c>
      <c r="F597" s="43" t="str">
        <f t="array" ref="F597">+TIPOARMA(H597,I597)</f>
        <v>ERRO - REVISAR</v>
      </c>
      <c r="G597" s="41"/>
      <c r="H597" s="41" t="str">
        <f t="array" ref="H597">+ARMASTD(N597)</f>
        <v>ERRO - REVISAR</v>
      </c>
      <c r="I597" s="41" t="str">
        <f t="array" ref="I597">+CALIBRESTD(O597)</f>
        <v>ERRO - REVISAR</v>
      </c>
    </row>
    <row r="598" spans="1:9" ht="14.25" customHeight="1" x14ac:dyDescent="0.35">
      <c r="A598" t="str">
        <f t="array" ref="A598">EXTRACTEVENT(Q598,S598)</f>
        <v/>
      </c>
      <c r="B598" t="str">
        <f t="shared" si="27"/>
        <v>-</v>
      </c>
      <c r="C598" t="e">
        <f>+VLOOKUP(R598,Maps!$A:$C,2,0)</f>
        <v>#N/A</v>
      </c>
      <c r="D598" t="e">
        <f t="shared" si="28"/>
        <v>#VALUE!</v>
      </c>
      <c r="E598" s="39" t="e">
        <f t="shared" si="29"/>
        <v>#VALUE!</v>
      </c>
      <c r="F598" s="7" t="str">
        <f t="array" ref="F598">+TIPOARMA(H598,I598)</f>
        <v>ERRO - REVISAR</v>
      </c>
      <c r="H598" t="str">
        <f t="array" ref="H598">+ARMASTD(N598)</f>
        <v>ERRO - REVISAR</v>
      </c>
      <c r="I598" t="str">
        <f t="array" ref="I598">+CALIBRESTD(O598)</f>
        <v>ERRO - REVISAR</v>
      </c>
    </row>
    <row r="599" spans="1:9" ht="14.25" customHeight="1" x14ac:dyDescent="0.35">
      <c r="A599" s="41" t="str">
        <f t="array" ref="A599">EXTRACTEVENT(Q599,S599)</f>
        <v/>
      </c>
      <c r="B599" s="41" t="str">
        <f t="shared" si="27"/>
        <v>-</v>
      </c>
      <c r="C599" s="41" t="e">
        <f>+VLOOKUP(R599,Maps!$A:$C,2,0)</f>
        <v>#N/A</v>
      </c>
      <c r="D599" s="41" t="e">
        <f t="shared" si="28"/>
        <v>#VALUE!</v>
      </c>
      <c r="E599" s="42" t="e">
        <f t="shared" si="29"/>
        <v>#VALUE!</v>
      </c>
      <c r="F599" s="43" t="str">
        <f t="array" ref="F599">+TIPOARMA(H599,I599)</f>
        <v>ERRO - REVISAR</v>
      </c>
      <c r="G599" s="41"/>
      <c r="H599" s="41" t="str">
        <f t="array" ref="H599">+ARMASTD(N599)</f>
        <v>ERRO - REVISAR</v>
      </c>
      <c r="I599" s="41" t="str">
        <f t="array" ref="I599">+CALIBRESTD(O599)</f>
        <v>ERRO - REVISAR</v>
      </c>
    </row>
    <row r="600" spans="1:9" ht="14.25" customHeight="1" x14ac:dyDescent="0.35">
      <c r="A600" t="str">
        <f t="array" ref="A600">EXTRACTEVENT(Q600,S600)</f>
        <v/>
      </c>
      <c r="B600" t="str">
        <f t="shared" si="27"/>
        <v>-</v>
      </c>
      <c r="C600" t="e">
        <f>+VLOOKUP(R600,Maps!$A:$C,2,0)</f>
        <v>#N/A</v>
      </c>
      <c r="D600" t="e">
        <f t="shared" si="28"/>
        <v>#VALUE!</v>
      </c>
      <c r="E600" s="39" t="e">
        <f t="shared" si="29"/>
        <v>#VALUE!</v>
      </c>
      <c r="F600" s="7" t="str">
        <f t="array" ref="F600">+TIPOARMA(H600,I600)</f>
        <v>ERRO - REVISAR</v>
      </c>
      <c r="H600" t="str">
        <f t="array" ref="H600">+ARMASTD(N600)</f>
        <v>ERRO - REVISAR</v>
      </c>
      <c r="I600" t="str">
        <f t="array" ref="I600">+CALIBRESTD(O600)</f>
        <v>ERRO - REVISAR</v>
      </c>
    </row>
    <row r="601" spans="1:9" ht="14.25" customHeight="1" x14ac:dyDescent="0.35">
      <c r="A601" s="41" t="str">
        <f t="array" ref="A601">EXTRACTEVENT(Q601,S601)</f>
        <v/>
      </c>
      <c r="B601" s="41" t="str">
        <f t="shared" si="27"/>
        <v>-</v>
      </c>
      <c r="C601" s="41" t="e">
        <f>+VLOOKUP(R601,Maps!$A:$C,2,0)</f>
        <v>#N/A</v>
      </c>
      <c r="D601" s="41" t="e">
        <f t="shared" si="28"/>
        <v>#VALUE!</v>
      </c>
      <c r="E601" s="42" t="e">
        <f t="shared" si="29"/>
        <v>#VALUE!</v>
      </c>
      <c r="F601" s="43" t="str">
        <f t="array" ref="F601">+TIPOARMA(H601,I601)</f>
        <v>ERRO - REVISAR</v>
      </c>
      <c r="G601" s="41"/>
      <c r="H601" s="41" t="str">
        <f t="array" ref="H601">+ARMASTD(N601)</f>
        <v>ERRO - REVISAR</v>
      </c>
      <c r="I601" s="41" t="str">
        <f t="array" ref="I601">+CALIBRESTD(O601)</f>
        <v>ERRO - REVISAR</v>
      </c>
    </row>
    <row r="602" spans="1:9" ht="14.25" customHeight="1" x14ac:dyDescent="0.35">
      <c r="A602" t="str">
        <f t="array" ref="A602">EXTRACTEVENT(Q602,S602)</f>
        <v/>
      </c>
      <c r="B602" t="str">
        <f t="shared" si="27"/>
        <v>-</v>
      </c>
      <c r="C602" t="e">
        <f>+VLOOKUP(R602,Maps!$A:$C,2,0)</f>
        <v>#N/A</v>
      </c>
      <c r="D602" t="e">
        <f t="shared" si="28"/>
        <v>#VALUE!</v>
      </c>
      <c r="E602" s="39" t="e">
        <f t="shared" si="29"/>
        <v>#VALUE!</v>
      </c>
      <c r="F602" s="7" t="str">
        <f t="array" ref="F602">+TIPOARMA(H602,I602)</f>
        <v>ERRO - REVISAR</v>
      </c>
      <c r="H602" t="str">
        <f t="array" ref="H602">+ARMASTD(N602)</f>
        <v>ERRO - REVISAR</v>
      </c>
      <c r="I602" t="str">
        <f t="array" ref="I602">+CALIBRESTD(O602)</f>
        <v>ERRO - REVISAR</v>
      </c>
    </row>
    <row r="603" spans="1:9" ht="14.25" customHeight="1" x14ac:dyDescent="0.35">
      <c r="A603" s="41" t="str">
        <f t="array" ref="A603">EXTRACTEVENT(Q603,S603)</f>
        <v/>
      </c>
      <c r="B603" s="41" t="str">
        <f t="shared" si="27"/>
        <v>-</v>
      </c>
      <c r="C603" s="41" t="e">
        <f>+VLOOKUP(R603,Maps!$A:$C,2,0)</f>
        <v>#N/A</v>
      </c>
      <c r="D603" s="41" t="e">
        <f t="shared" si="28"/>
        <v>#VALUE!</v>
      </c>
      <c r="E603" s="42" t="e">
        <f t="shared" si="29"/>
        <v>#VALUE!</v>
      </c>
      <c r="F603" s="43" t="str">
        <f t="array" ref="F603">+TIPOARMA(H603,I603)</f>
        <v>ERRO - REVISAR</v>
      </c>
      <c r="G603" s="41"/>
      <c r="H603" s="41" t="str">
        <f t="array" ref="H603">+ARMASTD(N603)</f>
        <v>ERRO - REVISAR</v>
      </c>
      <c r="I603" s="41" t="str">
        <f t="array" ref="I603">+CALIBRESTD(O603)</f>
        <v>ERRO - REVISAR</v>
      </c>
    </row>
    <row r="604" spans="1:9" ht="14.25" customHeight="1" x14ac:dyDescent="0.35">
      <c r="A604" t="str">
        <f t="array" ref="A604">EXTRACTEVENT(Q604,S604)</f>
        <v/>
      </c>
      <c r="B604" t="str">
        <f t="shared" si="27"/>
        <v>-</v>
      </c>
      <c r="C604" t="e">
        <f>+VLOOKUP(R604,Maps!$A:$C,2,0)</f>
        <v>#N/A</v>
      </c>
      <c r="D604" t="e">
        <f t="shared" si="28"/>
        <v>#VALUE!</v>
      </c>
      <c r="E604" s="39" t="e">
        <f t="shared" si="29"/>
        <v>#VALUE!</v>
      </c>
      <c r="F604" s="7" t="str">
        <f t="array" ref="F604">+TIPOARMA(H604,I604)</f>
        <v>ERRO - REVISAR</v>
      </c>
      <c r="H604" t="str">
        <f t="array" ref="H604">+ARMASTD(N604)</f>
        <v>ERRO - REVISAR</v>
      </c>
      <c r="I604" t="str">
        <f t="array" ref="I604">+CALIBRESTD(O604)</f>
        <v>ERRO - REVISAR</v>
      </c>
    </row>
    <row r="605" spans="1:9" ht="14.25" customHeight="1" x14ac:dyDescent="0.35">
      <c r="A605" s="41" t="str">
        <f t="array" ref="A605">EXTRACTEVENT(Q605,S605)</f>
        <v/>
      </c>
      <c r="B605" s="41" t="str">
        <f t="shared" si="27"/>
        <v>-</v>
      </c>
      <c r="C605" s="41" t="e">
        <f>+VLOOKUP(R605,Maps!$A:$C,2,0)</f>
        <v>#N/A</v>
      </c>
      <c r="D605" s="41" t="e">
        <f t="shared" si="28"/>
        <v>#VALUE!</v>
      </c>
      <c r="E605" s="42" t="e">
        <f t="shared" si="29"/>
        <v>#VALUE!</v>
      </c>
      <c r="F605" s="43" t="str">
        <f t="array" ref="F605">+TIPOARMA(H605,I605)</f>
        <v>ERRO - REVISAR</v>
      </c>
      <c r="G605" s="41"/>
      <c r="H605" s="41" t="str">
        <f t="array" ref="H605">+ARMASTD(N605)</f>
        <v>ERRO - REVISAR</v>
      </c>
      <c r="I605" s="41" t="str">
        <f t="array" ref="I605">+CALIBRESTD(O605)</f>
        <v>ERRO - REVISAR</v>
      </c>
    </row>
    <row r="606" spans="1:9" ht="14.25" customHeight="1" x14ac:dyDescent="0.35">
      <c r="A606" t="str">
        <f t="array" ref="A606">EXTRACTEVENT(Q606,S606)</f>
        <v/>
      </c>
      <c r="B606" t="str">
        <f t="shared" si="27"/>
        <v>-</v>
      </c>
      <c r="C606" t="e">
        <f>+VLOOKUP(R606,Maps!$A:$C,2,0)</f>
        <v>#N/A</v>
      </c>
      <c r="D606" t="e">
        <f t="shared" si="28"/>
        <v>#VALUE!</v>
      </c>
      <c r="E606" s="39" t="e">
        <f t="shared" si="29"/>
        <v>#VALUE!</v>
      </c>
      <c r="F606" s="7" t="str">
        <f t="array" ref="F606">+TIPOARMA(H606,I606)</f>
        <v>ERRO - REVISAR</v>
      </c>
      <c r="H606" t="str">
        <f t="array" ref="H606">+ARMASTD(N606)</f>
        <v>ERRO - REVISAR</v>
      </c>
      <c r="I606" t="str">
        <f t="array" ref="I606">+CALIBRESTD(O606)</f>
        <v>ERRO - REVISAR</v>
      </c>
    </row>
    <row r="607" spans="1:9" ht="14.25" customHeight="1" x14ac:dyDescent="0.35">
      <c r="A607" s="41" t="str">
        <f t="array" ref="A607">EXTRACTEVENT(Q607,S607)</f>
        <v/>
      </c>
      <c r="B607" s="41" t="str">
        <f t="shared" si="27"/>
        <v>-</v>
      </c>
      <c r="C607" s="41" t="e">
        <f>+VLOOKUP(R607,Maps!$A:$C,2,0)</f>
        <v>#N/A</v>
      </c>
      <c r="D607" s="41" t="e">
        <f t="shared" si="28"/>
        <v>#VALUE!</v>
      </c>
      <c r="E607" s="42" t="e">
        <f t="shared" si="29"/>
        <v>#VALUE!</v>
      </c>
      <c r="F607" s="43" t="str">
        <f t="array" ref="F607">+TIPOARMA(H607,I607)</f>
        <v>ERRO - REVISAR</v>
      </c>
      <c r="G607" s="41"/>
      <c r="H607" s="41" t="str">
        <f t="array" ref="H607">+ARMASTD(N607)</f>
        <v>ERRO - REVISAR</v>
      </c>
      <c r="I607" s="41" t="str">
        <f t="array" ref="I607">+CALIBRESTD(O607)</f>
        <v>ERRO - REVISAR</v>
      </c>
    </row>
    <row r="608" spans="1:9" ht="14.25" customHeight="1" x14ac:dyDescent="0.35">
      <c r="A608" t="str">
        <f t="array" ref="A608">EXTRACTEVENT(Q608,S608)</f>
        <v/>
      </c>
      <c r="B608" t="str">
        <f t="shared" si="27"/>
        <v>-</v>
      </c>
      <c r="C608" t="e">
        <f>+VLOOKUP(R608,Maps!$A:$C,2,0)</f>
        <v>#N/A</v>
      </c>
      <c r="D608" t="e">
        <f t="shared" si="28"/>
        <v>#VALUE!</v>
      </c>
      <c r="E608" s="39" t="e">
        <f t="shared" si="29"/>
        <v>#VALUE!</v>
      </c>
      <c r="F608" s="7" t="str">
        <f t="array" ref="F608">+TIPOARMA(H608,I608)</f>
        <v>ERRO - REVISAR</v>
      </c>
      <c r="H608" t="str">
        <f t="array" ref="H608">+ARMASTD(N608)</f>
        <v>ERRO - REVISAR</v>
      </c>
      <c r="I608" t="str">
        <f t="array" ref="I608">+CALIBRESTD(O608)</f>
        <v>ERRO - REVISAR</v>
      </c>
    </row>
    <row r="609" spans="1:9" ht="14.25" customHeight="1" x14ac:dyDescent="0.35">
      <c r="A609" s="41" t="str">
        <f t="array" ref="A609">EXTRACTEVENT(Q609,S609)</f>
        <v/>
      </c>
      <c r="B609" s="41" t="str">
        <f t="shared" si="27"/>
        <v>-</v>
      </c>
      <c r="C609" s="41" t="e">
        <f>+VLOOKUP(R609,Maps!$A:$C,2,0)</f>
        <v>#N/A</v>
      </c>
      <c r="D609" s="41" t="e">
        <f t="shared" si="28"/>
        <v>#VALUE!</v>
      </c>
      <c r="E609" s="42" t="e">
        <f t="shared" si="29"/>
        <v>#VALUE!</v>
      </c>
      <c r="F609" s="43" t="str">
        <f t="array" ref="F609">+TIPOARMA(H609,I609)</f>
        <v>ERRO - REVISAR</v>
      </c>
      <c r="G609" s="41"/>
      <c r="H609" s="41" t="str">
        <f t="array" ref="H609">+ARMASTD(N609)</f>
        <v>ERRO - REVISAR</v>
      </c>
      <c r="I609" s="41" t="str">
        <f t="array" ref="I609">+CALIBRESTD(O609)</f>
        <v>ERRO - REVISAR</v>
      </c>
    </row>
    <row r="610" spans="1:9" ht="14.25" customHeight="1" x14ac:dyDescent="0.35">
      <c r="A610" t="str">
        <f t="array" ref="A610">EXTRACTEVENT(Q610,S610)</f>
        <v/>
      </c>
      <c r="B610" t="str">
        <f t="shared" si="27"/>
        <v>-</v>
      </c>
      <c r="C610" t="e">
        <f>+VLOOKUP(R610,Maps!$A:$C,2,0)</f>
        <v>#N/A</v>
      </c>
      <c r="D610" t="e">
        <f t="shared" si="28"/>
        <v>#VALUE!</v>
      </c>
      <c r="E610" s="39" t="e">
        <f t="shared" si="29"/>
        <v>#VALUE!</v>
      </c>
      <c r="F610" s="7" t="str">
        <f t="array" ref="F610">+TIPOARMA(H610,I610)</f>
        <v>ERRO - REVISAR</v>
      </c>
      <c r="H610" t="str">
        <f t="array" ref="H610">+ARMASTD(N610)</f>
        <v>ERRO - REVISAR</v>
      </c>
      <c r="I610" t="str">
        <f t="array" ref="I610">+CALIBRESTD(O610)</f>
        <v>ERRO - REVISAR</v>
      </c>
    </row>
    <row r="611" spans="1:9" ht="14.25" customHeight="1" x14ac:dyDescent="0.35">
      <c r="A611" s="41" t="str">
        <f t="array" ref="A611">EXTRACTEVENT(Q611,S611)</f>
        <v/>
      </c>
      <c r="B611" s="41" t="str">
        <f t="shared" si="27"/>
        <v>-</v>
      </c>
      <c r="C611" s="41" t="e">
        <f>+VLOOKUP(R611,Maps!$A:$C,2,0)</f>
        <v>#N/A</v>
      </c>
      <c r="D611" s="41" t="e">
        <f t="shared" si="28"/>
        <v>#VALUE!</v>
      </c>
      <c r="E611" s="42" t="e">
        <f t="shared" si="29"/>
        <v>#VALUE!</v>
      </c>
      <c r="F611" s="43" t="str">
        <f t="array" ref="F611">+TIPOARMA(H611,I611)</f>
        <v>ERRO - REVISAR</v>
      </c>
      <c r="G611" s="41"/>
      <c r="H611" s="41" t="str">
        <f t="array" ref="H611">+ARMASTD(N611)</f>
        <v>ERRO - REVISAR</v>
      </c>
      <c r="I611" s="41" t="str">
        <f t="array" ref="I611">+CALIBRESTD(O611)</f>
        <v>ERRO - REVISAR</v>
      </c>
    </row>
    <row r="612" spans="1:9" ht="14.25" customHeight="1" x14ac:dyDescent="0.35">
      <c r="A612" t="str">
        <f t="array" ref="A612">EXTRACTEVENT(Q612,S612)</f>
        <v/>
      </c>
      <c r="B612" t="str">
        <f t="shared" si="27"/>
        <v>-</v>
      </c>
      <c r="C612" t="e">
        <f>+VLOOKUP(R612,Maps!$A:$C,2,0)</f>
        <v>#N/A</v>
      </c>
      <c r="D612" t="e">
        <f t="shared" si="28"/>
        <v>#VALUE!</v>
      </c>
      <c r="E612" s="39" t="e">
        <f t="shared" si="29"/>
        <v>#VALUE!</v>
      </c>
      <c r="F612" s="7" t="str">
        <f t="array" ref="F612">+TIPOARMA(H612,I612)</f>
        <v>ERRO - REVISAR</v>
      </c>
      <c r="H612" t="str">
        <f t="array" ref="H612">+ARMASTD(N612)</f>
        <v>ERRO - REVISAR</v>
      </c>
      <c r="I612" t="str">
        <f t="array" ref="I612">+CALIBRESTD(O612)</f>
        <v>ERRO - REVISAR</v>
      </c>
    </row>
    <row r="613" spans="1:9" ht="14.25" customHeight="1" x14ac:dyDescent="0.35">
      <c r="A613" s="41" t="str">
        <f t="array" ref="A613">EXTRACTEVENT(Q613,S613)</f>
        <v/>
      </c>
      <c r="B613" s="41" t="str">
        <f t="shared" si="27"/>
        <v>-</v>
      </c>
      <c r="C613" s="41" t="e">
        <f>+VLOOKUP(R613,Maps!$A:$C,2,0)</f>
        <v>#N/A</v>
      </c>
      <c r="D613" s="41" t="e">
        <f t="shared" si="28"/>
        <v>#VALUE!</v>
      </c>
      <c r="E613" s="42" t="e">
        <f t="shared" si="29"/>
        <v>#VALUE!</v>
      </c>
      <c r="F613" s="43" t="str">
        <f t="array" ref="F613">+TIPOARMA(H613,I613)</f>
        <v>ERRO - REVISAR</v>
      </c>
      <c r="G613" s="41"/>
      <c r="H613" s="41" t="str">
        <f t="array" ref="H613">+ARMASTD(N613)</f>
        <v>ERRO - REVISAR</v>
      </c>
      <c r="I613" s="41" t="str">
        <f t="array" ref="I613">+CALIBRESTD(O613)</f>
        <v>ERRO - REVISAR</v>
      </c>
    </row>
    <row r="614" spans="1:9" ht="14.25" customHeight="1" x14ac:dyDescent="0.35">
      <c r="A614" t="str">
        <f t="array" ref="A614">EXTRACTEVENT(Q614,S614)</f>
        <v/>
      </c>
      <c r="B614" t="str">
        <f t="shared" si="27"/>
        <v>-</v>
      </c>
      <c r="C614" t="e">
        <f>+VLOOKUP(R614,Maps!$A:$C,2,0)</f>
        <v>#N/A</v>
      </c>
      <c r="D614" t="e">
        <f t="shared" si="28"/>
        <v>#VALUE!</v>
      </c>
      <c r="E614" s="39" t="e">
        <f t="shared" si="29"/>
        <v>#VALUE!</v>
      </c>
      <c r="F614" s="7" t="str">
        <f t="array" ref="F614">+TIPOARMA(H614,I614)</f>
        <v>ERRO - REVISAR</v>
      </c>
      <c r="H614" t="str">
        <f t="array" ref="H614">+ARMASTD(N614)</f>
        <v>ERRO - REVISAR</v>
      </c>
      <c r="I614" t="str">
        <f t="array" ref="I614">+CALIBRESTD(O614)</f>
        <v>ERRO - REVISAR</v>
      </c>
    </row>
    <row r="615" spans="1:9" ht="14.25" customHeight="1" x14ac:dyDescent="0.35">
      <c r="A615" s="41" t="str">
        <f t="array" ref="A615">EXTRACTEVENT(Q615,S615)</f>
        <v/>
      </c>
      <c r="B615" s="41" t="str">
        <f t="shared" si="27"/>
        <v>-</v>
      </c>
      <c r="C615" s="41" t="e">
        <f>+VLOOKUP(R615,Maps!$A:$C,2,0)</f>
        <v>#N/A</v>
      </c>
      <c r="D615" s="41" t="e">
        <f t="shared" si="28"/>
        <v>#VALUE!</v>
      </c>
      <c r="E615" s="42" t="e">
        <f t="shared" si="29"/>
        <v>#VALUE!</v>
      </c>
      <c r="F615" s="43" t="str">
        <f t="array" ref="F615">+TIPOARMA(H615,I615)</f>
        <v>ERRO - REVISAR</v>
      </c>
      <c r="G615" s="41"/>
      <c r="H615" s="41" t="str">
        <f t="array" ref="H615">+ARMASTD(N615)</f>
        <v>ERRO - REVISAR</v>
      </c>
      <c r="I615" s="41" t="str">
        <f t="array" ref="I615">+CALIBRESTD(O615)</f>
        <v>ERRO - REVISAR</v>
      </c>
    </row>
    <row r="616" spans="1:9" ht="14.25" customHeight="1" x14ac:dyDescent="0.35">
      <c r="A616" t="str">
        <f t="array" ref="A616">EXTRACTEVENT(Q616,S616)</f>
        <v/>
      </c>
      <c r="B616" t="str">
        <f t="shared" si="27"/>
        <v>-</v>
      </c>
      <c r="C616" t="e">
        <f>+VLOOKUP(R616,Maps!$A:$C,2,0)</f>
        <v>#N/A</v>
      </c>
      <c r="D616" t="e">
        <f t="shared" si="28"/>
        <v>#VALUE!</v>
      </c>
      <c r="E616" s="39" t="e">
        <f t="shared" si="29"/>
        <v>#VALUE!</v>
      </c>
      <c r="F616" s="7" t="str">
        <f t="array" ref="F616">+TIPOARMA(H616,I616)</f>
        <v>ERRO - REVISAR</v>
      </c>
      <c r="H616" t="str">
        <f t="array" ref="H616">+ARMASTD(N616)</f>
        <v>ERRO - REVISAR</v>
      </c>
      <c r="I616" t="str">
        <f t="array" ref="I616">+CALIBRESTD(O616)</f>
        <v>ERRO - REVISAR</v>
      </c>
    </row>
    <row r="617" spans="1:9" ht="14.25" customHeight="1" x14ac:dyDescent="0.35">
      <c r="A617" s="41" t="str">
        <f t="array" ref="A617">EXTRACTEVENT(Q617,S617)</f>
        <v/>
      </c>
      <c r="B617" s="41" t="str">
        <f t="shared" si="27"/>
        <v>-</v>
      </c>
      <c r="C617" s="41" t="e">
        <f>+VLOOKUP(R617,Maps!$A:$C,2,0)</f>
        <v>#N/A</v>
      </c>
      <c r="D617" s="41" t="e">
        <f t="shared" si="28"/>
        <v>#VALUE!</v>
      </c>
      <c r="E617" s="42" t="e">
        <f t="shared" si="29"/>
        <v>#VALUE!</v>
      </c>
      <c r="F617" s="43" t="str">
        <f t="array" ref="F617">+TIPOARMA(H617,I617)</f>
        <v>ERRO - REVISAR</v>
      </c>
      <c r="G617" s="41"/>
      <c r="H617" s="41" t="str">
        <f t="array" ref="H617">+ARMASTD(N617)</f>
        <v>ERRO - REVISAR</v>
      </c>
      <c r="I617" s="41" t="str">
        <f t="array" ref="I617">+CALIBRESTD(O617)</f>
        <v>ERRO - REVISAR</v>
      </c>
    </row>
    <row r="618" spans="1:9" ht="14.25" customHeight="1" x14ac:dyDescent="0.35">
      <c r="A618" t="str">
        <f t="array" ref="A618">EXTRACTEVENT(Q618,S618)</f>
        <v/>
      </c>
      <c r="B618" t="str">
        <f t="shared" si="27"/>
        <v>-</v>
      </c>
      <c r="C618" t="e">
        <f>+VLOOKUP(R618,Maps!$A:$C,2,0)</f>
        <v>#N/A</v>
      </c>
      <c r="D618" t="e">
        <f t="shared" si="28"/>
        <v>#VALUE!</v>
      </c>
      <c r="E618" s="39" t="e">
        <f t="shared" si="29"/>
        <v>#VALUE!</v>
      </c>
      <c r="F618" s="7" t="str">
        <f t="array" ref="F618">+TIPOARMA(H618,I618)</f>
        <v>ERRO - REVISAR</v>
      </c>
      <c r="H618" t="str">
        <f t="array" ref="H618">+ARMASTD(N618)</f>
        <v>ERRO - REVISAR</v>
      </c>
      <c r="I618" t="str">
        <f t="array" ref="I618">+CALIBRESTD(O618)</f>
        <v>ERRO - REVISAR</v>
      </c>
    </row>
    <row r="619" spans="1:9" ht="14.25" customHeight="1" x14ac:dyDescent="0.35">
      <c r="A619" s="41" t="str">
        <f t="array" ref="A619">EXTRACTEVENT(Q619,S619)</f>
        <v/>
      </c>
      <c r="B619" s="41" t="str">
        <f t="shared" si="27"/>
        <v>-</v>
      </c>
      <c r="C619" s="41" t="e">
        <f>+VLOOKUP(R619,Maps!$A:$C,2,0)</f>
        <v>#N/A</v>
      </c>
      <c r="D619" s="41" t="e">
        <f t="shared" si="28"/>
        <v>#VALUE!</v>
      </c>
      <c r="E619" s="42" t="e">
        <f t="shared" si="29"/>
        <v>#VALUE!</v>
      </c>
      <c r="F619" s="43" t="str">
        <f t="array" ref="F619">+TIPOARMA(H619,I619)</f>
        <v>ERRO - REVISAR</v>
      </c>
      <c r="G619" s="41"/>
      <c r="H619" s="41" t="str">
        <f t="array" ref="H619">+ARMASTD(N619)</f>
        <v>ERRO - REVISAR</v>
      </c>
      <c r="I619" s="41" t="str">
        <f t="array" ref="I619">+CALIBRESTD(O619)</f>
        <v>ERRO - REVISAR</v>
      </c>
    </row>
    <row r="620" spans="1:9" ht="14.25" customHeight="1" x14ac:dyDescent="0.35">
      <c r="A620" t="str">
        <f t="array" ref="A620">EXTRACTEVENT(Q620,S620)</f>
        <v/>
      </c>
      <c r="B620" t="str">
        <f t="shared" si="27"/>
        <v>-</v>
      </c>
      <c r="C620" t="e">
        <f>+VLOOKUP(R620,Maps!$A:$C,2,0)</f>
        <v>#N/A</v>
      </c>
      <c r="D620" t="e">
        <f t="shared" si="28"/>
        <v>#VALUE!</v>
      </c>
      <c r="E620" s="39" t="e">
        <f t="shared" si="29"/>
        <v>#VALUE!</v>
      </c>
      <c r="F620" s="7" t="str">
        <f t="array" ref="F620">+TIPOARMA(H620,I620)</f>
        <v>ERRO - REVISAR</v>
      </c>
      <c r="H620" t="str">
        <f t="array" ref="H620">+ARMASTD(N620)</f>
        <v>ERRO - REVISAR</v>
      </c>
      <c r="I620" t="str">
        <f t="array" ref="I620">+CALIBRESTD(O620)</f>
        <v>ERRO - REVISAR</v>
      </c>
    </row>
    <row r="621" spans="1:9" ht="14.25" customHeight="1" x14ac:dyDescent="0.35">
      <c r="A621" s="41" t="str">
        <f t="array" ref="A621">EXTRACTEVENT(Q621,S621)</f>
        <v/>
      </c>
      <c r="B621" s="41" t="str">
        <f t="shared" si="27"/>
        <v>-</v>
      </c>
      <c r="C621" s="41" t="e">
        <f>+VLOOKUP(R621,Maps!$A:$C,2,0)</f>
        <v>#N/A</v>
      </c>
      <c r="D621" s="41" t="e">
        <f t="shared" si="28"/>
        <v>#VALUE!</v>
      </c>
      <c r="E621" s="42" t="e">
        <f t="shared" si="29"/>
        <v>#VALUE!</v>
      </c>
      <c r="F621" s="43" t="str">
        <f t="array" ref="F621">+TIPOARMA(H621,I621)</f>
        <v>ERRO - REVISAR</v>
      </c>
      <c r="G621" s="41"/>
      <c r="H621" s="41" t="str">
        <f t="array" ref="H621">+ARMASTD(N621)</f>
        <v>ERRO - REVISAR</v>
      </c>
      <c r="I621" s="41" t="str">
        <f t="array" ref="I621">+CALIBRESTD(O621)</f>
        <v>ERRO - REVISAR</v>
      </c>
    </row>
    <row r="622" spans="1:9" ht="14.25" customHeight="1" x14ac:dyDescent="0.35">
      <c r="A622" t="str">
        <f t="array" ref="A622">EXTRACTEVENT(Q622,S622)</f>
        <v/>
      </c>
      <c r="B622" t="str">
        <f t="shared" si="27"/>
        <v>-</v>
      </c>
      <c r="C622" t="e">
        <f>+VLOOKUP(R622,Maps!$A:$C,2,0)</f>
        <v>#N/A</v>
      </c>
      <c r="D622" t="e">
        <f t="shared" si="28"/>
        <v>#VALUE!</v>
      </c>
      <c r="E622" s="39" t="e">
        <f t="shared" si="29"/>
        <v>#VALUE!</v>
      </c>
      <c r="F622" s="7" t="str">
        <f t="array" ref="F622">+TIPOARMA(H622,I622)</f>
        <v>ERRO - REVISAR</v>
      </c>
      <c r="H622" t="str">
        <f t="array" ref="H622">+ARMASTD(N622)</f>
        <v>ERRO - REVISAR</v>
      </c>
      <c r="I622" t="str">
        <f t="array" ref="I622">+CALIBRESTD(O622)</f>
        <v>ERRO - REVISAR</v>
      </c>
    </row>
    <row r="623" spans="1:9" ht="14.25" customHeight="1" x14ac:dyDescent="0.35">
      <c r="A623" s="41" t="str">
        <f t="array" ref="A623">EXTRACTEVENT(Q623,S623)</f>
        <v/>
      </c>
      <c r="B623" s="41" t="str">
        <f t="shared" si="27"/>
        <v>-</v>
      </c>
      <c r="C623" s="41" t="e">
        <f>+VLOOKUP(R623,Maps!$A:$C,2,0)</f>
        <v>#N/A</v>
      </c>
      <c r="D623" s="41" t="e">
        <f t="shared" si="28"/>
        <v>#VALUE!</v>
      </c>
      <c r="E623" s="42" t="e">
        <f t="shared" si="29"/>
        <v>#VALUE!</v>
      </c>
      <c r="F623" s="43" t="str">
        <f t="array" ref="F623">+TIPOARMA(H623,I623)</f>
        <v>ERRO - REVISAR</v>
      </c>
      <c r="G623" s="41"/>
      <c r="H623" s="41" t="str">
        <f t="array" ref="H623">+ARMASTD(N623)</f>
        <v>ERRO - REVISAR</v>
      </c>
      <c r="I623" s="41" t="str">
        <f t="array" ref="I623">+CALIBRESTD(O623)</f>
        <v>ERRO - REVISAR</v>
      </c>
    </row>
    <row r="624" spans="1:9" ht="14.25" customHeight="1" x14ac:dyDescent="0.35">
      <c r="A624" t="str">
        <f t="array" ref="A624">EXTRACTEVENT(Q624,S624)</f>
        <v/>
      </c>
      <c r="B624" t="str">
        <f t="shared" si="27"/>
        <v>-</v>
      </c>
      <c r="C624" t="e">
        <f>+VLOOKUP(R624,Maps!$A:$C,2,0)</f>
        <v>#N/A</v>
      </c>
      <c r="D624" t="e">
        <f t="shared" si="28"/>
        <v>#VALUE!</v>
      </c>
      <c r="E624" s="39" t="e">
        <f t="shared" si="29"/>
        <v>#VALUE!</v>
      </c>
      <c r="F624" s="7" t="str">
        <f t="array" ref="F624">+TIPOARMA(H624,I624)</f>
        <v>ERRO - REVISAR</v>
      </c>
      <c r="H624" t="str">
        <f t="array" ref="H624">+ARMASTD(N624)</f>
        <v>ERRO - REVISAR</v>
      </c>
      <c r="I624" t="str">
        <f t="array" ref="I624">+CALIBRESTD(O624)</f>
        <v>ERRO - REVISAR</v>
      </c>
    </row>
    <row r="625" spans="1:9" ht="14.25" customHeight="1" x14ac:dyDescent="0.35">
      <c r="A625" s="41" t="str">
        <f t="array" ref="A625">EXTRACTEVENT(Q625,S625)</f>
        <v/>
      </c>
      <c r="B625" s="41" t="str">
        <f t="shared" si="27"/>
        <v>-</v>
      </c>
      <c r="C625" s="41" t="e">
        <f>+VLOOKUP(R625,Maps!$A:$C,2,0)</f>
        <v>#N/A</v>
      </c>
      <c r="D625" s="41" t="e">
        <f t="shared" si="28"/>
        <v>#VALUE!</v>
      </c>
      <c r="E625" s="42" t="e">
        <f t="shared" si="29"/>
        <v>#VALUE!</v>
      </c>
      <c r="F625" s="43" t="str">
        <f t="array" ref="F625">+TIPOARMA(H625,I625)</f>
        <v>ERRO - REVISAR</v>
      </c>
      <c r="G625" s="41"/>
      <c r="H625" s="41" t="str">
        <f t="array" ref="H625">+ARMASTD(N625)</f>
        <v>ERRO - REVISAR</v>
      </c>
      <c r="I625" s="41" t="str">
        <f t="array" ref="I625">+CALIBRESTD(O625)</f>
        <v>ERRO - REVISAR</v>
      </c>
    </row>
    <row r="626" spans="1:9" ht="14.25" customHeight="1" x14ac:dyDescent="0.35">
      <c r="A626" t="str">
        <f t="array" ref="A626">EXTRACTEVENT(Q626,S626)</f>
        <v/>
      </c>
      <c r="B626" t="str">
        <f t="shared" si="27"/>
        <v>-</v>
      </c>
      <c r="C626" t="e">
        <f>+VLOOKUP(R626,Maps!$A:$C,2,0)</f>
        <v>#N/A</v>
      </c>
      <c r="D626" t="e">
        <f t="shared" si="28"/>
        <v>#VALUE!</v>
      </c>
      <c r="E626" s="39" t="e">
        <f t="shared" si="29"/>
        <v>#VALUE!</v>
      </c>
      <c r="F626" s="7" t="str">
        <f t="array" ref="F626">+TIPOARMA(H626,I626)</f>
        <v>ERRO - REVISAR</v>
      </c>
      <c r="H626" t="str">
        <f t="array" ref="H626">+ARMASTD(N626)</f>
        <v>ERRO - REVISAR</v>
      </c>
      <c r="I626" t="str">
        <f t="array" ref="I626">+CALIBRESTD(O626)</f>
        <v>ERRO - REVISAR</v>
      </c>
    </row>
    <row r="627" spans="1:9" ht="14.25" customHeight="1" x14ac:dyDescent="0.35">
      <c r="A627" s="41" t="str">
        <f t="array" ref="A627">EXTRACTEVENT(Q627,S627)</f>
        <v/>
      </c>
      <c r="B627" s="41" t="str">
        <f t="shared" si="27"/>
        <v>-</v>
      </c>
      <c r="C627" s="41" t="e">
        <f>+VLOOKUP(R627,Maps!$A:$C,2,0)</f>
        <v>#N/A</v>
      </c>
      <c r="D627" s="41" t="e">
        <f t="shared" si="28"/>
        <v>#VALUE!</v>
      </c>
      <c r="E627" s="42" t="e">
        <f t="shared" si="29"/>
        <v>#VALUE!</v>
      </c>
      <c r="F627" s="43" t="str">
        <f t="array" ref="F627">+TIPOARMA(H627,I627)</f>
        <v>ERRO - REVISAR</v>
      </c>
      <c r="G627" s="41"/>
      <c r="H627" s="41" t="str">
        <f t="array" ref="H627">+ARMASTD(N627)</f>
        <v>ERRO - REVISAR</v>
      </c>
      <c r="I627" s="41" t="str">
        <f t="array" ref="I627">+CALIBRESTD(O627)</f>
        <v>ERRO - REVISAR</v>
      </c>
    </row>
    <row r="628" spans="1:9" ht="14.25" customHeight="1" x14ac:dyDescent="0.35">
      <c r="A628" t="str">
        <f t="array" ref="A628">EXTRACTEVENT(Q628,S628)</f>
        <v/>
      </c>
      <c r="B628" t="str">
        <f t="shared" si="27"/>
        <v>-</v>
      </c>
      <c r="C628" t="e">
        <f>+VLOOKUP(R628,Maps!$A:$C,2,0)</f>
        <v>#N/A</v>
      </c>
      <c r="D628" t="e">
        <f t="shared" si="28"/>
        <v>#VALUE!</v>
      </c>
      <c r="E628" s="39" t="e">
        <f t="shared" si="29"/>
        <v>#VALUE!</v>
      </c>
      <c r="F628" s="7" t="str">
        <f t="array" ref="F628">+TIPOARMA(H628,I628)</f>
        <v>ERRO - REVISAR</v>
      </c>
      <c r="H628" t="str">
        <f t="array" ref="H628">+ARMASTD(N628)</f>
        <v>ERRO - REVISAR</v>
      </c>
      <c r="I628" t="str">
        <f t="array" ref="I628">+CALIBRESTD(O628)</f>
        <v>ERRO - REVISAR</v>
      </c>
    </row>
    <row r="629" spans="1:9" ht="14.25" customHeight="1" x14ac:dyDescent="0.35">
      <c r="A629" s="41" t="str">
        <f t="array" ref="A629">EXTRACTEVENT(Q629,S629)</f>
        <v/>
      </c>
      <c r="B629" s="41" t="str">
        <f t="shared" si="27"/>
        <v>-</v>
      </c>
      <c r="C629" s="41" t="e">
        <f>+VLOOKUP(R629,Maps!$A:$C,2,0)</f>
        <v>#N/A</v>
      </c>
      <c r="D629" s="41" t="e">
        <f t="shared" si="28"/>
        <v>#VALUE!</v>
      </c>
      <c r="E629" s="42" t="e">
        <f t="shared" si="29"/>
        <v>#VALUE!</v>
      </c>
      <c r="F629" s="43" t="str">
        <f t="array" ref="F629">+TIPOARMA(H629,I629)</f>
        <v>ERRO - REVISAR</v>
      </c>
      <c r="G629" s="41"/>
      <c r="H629" s="41" t="str">
        <f t="array" ref="H629">+ARMASTD(N629)</f>
        <v>ERRO - REVISAR</v>
      </c>
      <c r="I629" s="41" t="str">
        <f t="array" ref="I629">+CALIBRESTD(O629)</f>
        <v>ERRO - REVISAR</v>
      </c>
    </row>
    <row r="630" spans="1:9" ht="14.25" customHeight="1" x14ac:dyDescent="0.35">
      <c r="A630" t="str">
        <f t="array" ref="A630">EXTRACTEVENT(Q630,S630)</f>
        <v/>
      </c>
      <c r="B630" t="str">
        <f t="shared" si="27"/>
        <v>-</v>
      </c>
      <c r="C630" t="e">
        <f>+VLOOKUP(R630,Maps!$A:$C,2,0)</f>
        <v>#N/A</v>
      </c>
      <c r="D630" t="e">
        <f t="shared" si="28"/>
        <v>#VALUE!</v>
      </c>
      <c r="E630" s="39" t="e">
        <f t="shared" si="29"/>
        <v>#VALUE!</v>
      </c>
      <c r="F630" s="7" t="str">
        <f t="array" ref="F630">+TIPOARMA(H630,I630)</f>
        <v>ERRO - REVISAR</v>
      </c>
      <c r="H630" t="str">
        <f t="array" ref="H630">+ARMASTD(N630)</f>
        <v>ERRO - REVISAR</v>
      </c>
      <c r="I630" t="str">
        <f t="array" ref="I630">+CALIBRESTD(O630)</f>
        <v>ERRO - REVISAR</v>
      </c>
    </row>
    <row r="631" spans="1:9" ht="14.25" customHeight="1" x14ac:dyDescent="0.35">
      <c r="A631" s="41" t="str">
        <f t="array" ref="A631">EXTRACTEVENT(Q631,S631)</f>
        <v/>
      </c>
      <c r="B631" s="41" t="str">
        <f t="shared" si="27"/>
        <v>-</v>
      </c>
      <c r="C631" s="41" t="e">
        <f>+VLOOKUP(R631,Maps!$A:$C,2,0)</f>
        <v>#N/A</v>
      </c>
      <c r="D631" s="41" t="e">
        <f t="shared" si="28"/>
        <v>#VALUE!</v>
      </c>
      <c r="E631" s="42" t="e">
        <f t="shared" si="29"/>
        <v>#VALUE!</v>
      </c>
      <c r="F631" s="43" t="str">
        <f t="array" ref="F631">+TIPOARMA(H631,I631)</f>
        <v>ERRO - REVISAR</v>
      </c>
      <c r="G631" s="41"/>
      <c r="H631" s="41" t="str">
        <f t="array" ref="H631">+ARMASTD(N631)</f>
        <v>ERRO - REVISAR</v>
      </c>
      <c r="I631" s="41" t="str">
        <f t="array" ref="I631">+CALIBRESTD(O631)</f>
        <v>ERRO - REVISAR</v>
      </c>
    </row>
    <row r="632" spans="1:9" ht="14.25" customHeight="1" x14ac:dyDescent="0.35">
      <c r="A632" t="str">
        <f t="array" ref="A632">EXTRACTEVENT(Q632,S632)</f>
        <v/>
      </c>
      <c r="B632" t="str">
        <f t="shared" si="27"/>
        <v>-</v>
      </c>
      <c r="C632" t="e">
        <f>+VLOOKUP(R632,Maps!$A:$C,2,0)</f>
        <v>#N/A</v>
      </c>
      <c r="D632" t="e">
        <f t="shared" si="28"/>
        <v>#VALUE!</v>
      </c>
      <c r="E632" s="39" t="e">
        <f t="shared" si="29"/>
        <v>#VALUE!</v>
      </c>
      <c r="F632" s="7" t="str">
        <f t="array" ref="F632">+TIPOARMA(H632,I632)</f>
        <v>ERRO - REVISAR</v>
      </c>
      <c r="H632" t="str">
        <f t="array" ref="H632">+ARMASTD(N632)</f>
        <v>ERRO - REVISAR</v>
      </c>
      <c r="I632" t="str">
        <f t="array" ref="I632">+CALIBRESTD(O632)</f>
        <v>ERRO - REVISAR</v>
      </c>
    </row>
    <row r="633" spans="1:9" ht="14.25" customHeight="1" x14ac:dyDescent="0.35">
      <c r="A633" s="41" t="str">
        <f t="array" ref="A633">EXTRACTEVENT(Q633,S633)</f>
        <v/>
      </c>
      <c r="B633" s="41" t="str">
        <f t="shared" si="27"/>
        <v>-</v>
      </c>
      <c r="C633" s="41" t="e">
        <f>+VLOOKUP(R633,Maps!$A:$C,2,0)</f>
        <v>#N/A</v>
      </c>
      <c r="D633" s="41" t="e">
        <f t="shared" si="28"/>
        <v>#VALUE!</v>
      </c>
      <c r="E633" s="42" t="e">
        <f t="shared" si="29"/>
        <v>#VALUE!</v>
      </c>
      <c r="F633" s="43" t="str">
        <f t="array" ref="F633">+TIPOARMA(H633,I633)</f>
        <v>ERRO - REVISAR</v>
      </c>
      <c r="G633" s="41"/>
      <c r="H633" s="41" t="str">
        <f t="array" ref="H633">+ARMASTD(N633)</f>
        <v>ERRO - REVISAR</v>
      </c>
      <c r="I633" s="41" t="str">
        <f t="array" ref="I633">+CALIBRESTD(O633)</f>
        <v>ERRO - REVISAR</v>
      </c>
    </row>
    <row r="634" spans="1:9" ht="14.25" customHeight="1" x14ac:dyDescent="0.35">
      <c r="A634" t="str">
        <f t="array" ref="A634">EXTRACTEVENT(Q634,S634)</f>
        <v/>
      </c>
      <c r="B634" t="str">
        <f t="shared" si="27"/>
        <v>-</v>
      </c>
      <c r="C634" t="e">
        <f>+VLOOKUP(R634,Maps!$A:$C,2,0)</f>
        <v>#N/A</v>
      </c>
      <c r="D634" t="e">
        <f t="shared" si="28"/>
        <v>#VALUE!</v>
      </c>
      <c r="E634" s="39" t="e">
        <f t="shared" si="29"/>
        <v>#VALUE!</v>
      </c>
      <c r="F634" s="7" t="str">
        <f t="array" ref="F634">+TIPOARMA(H634,I634)</f>
        <v>ERRO - REVISAR</v>
      </c>
      <c r="H634" t="str">
        <f t="array" ref="H634">+ARMASTD(N634)</f>
        <v>ERRO - REVISAR</v>
      </c>
      <c r="I634" t="str">
        <f t="array" ref="I634">+CALIBRESTD(O634)</f>
        <v>ERRO - REVISAR</v>
      </c>
    </row>
    <row r="635" spans="1:9" ht="14.25" customHeight="1" x14ac:dyDescent="0.35">
      <c r="A635" s="41" t="str">
        <f t="array" ref="A635">EXTRACTEVENT(Q635,S635)</f>
        <v/>
      </c>
      <c r="B635" s="41" t="str">
        <f t="shared" si="27"/>
        <v>-</v>
      </c>
      <c r="C635" s="41" t="e">
        <f>+VLOOKUP(R635,Maps!$A:$C,2,0)</f>
        <v>#N/A</v>
      </c>
      <c r="D635" s="41" t="e">
        <f t="shared" si="28"/>
        <v>#VALUE!</v>
      </c>
      <c r="E635" s="42" t="e">
        <f t="shared" si="29"/>
        <v>#VALUE!</v>
      </c>
      <c r="F635" s="43" t="str">
        <f t="array" ref="F635">+TIPOARMA(H635,I635)</f>
        <v>ERRO - REVISAR</v>
      </c>
      <c r="G635" s="41"/>
      <c r="H635" s="41" t="str">
        <f t="array" ref="H635">+ARMASTD(N635)</f>
        <v>ERRO - REVISAR</v>
      </c>
      <c r="I635" s="41" t="str">
        <f t="array" ref="I635">+CALIBRESTD(O635)</f>
        <v>ERRO - REVISAR</v>
      </c>
    </row>
    <row r="636" spans="1:9" ht="14.25" customHeight="1" x14ac:dyDescent="0.35">
      <c r="A636" t="str">
        <f t="array" ref="A636">EXTRACTEVENT(Q636,S636)</f>
        <v/>
      </c>
      <c r="B636" t="str">
        <f t="shared" si="27"/>
        <v>-</v>
      </c>
      <c r="C636" t="e">
        <f>+VLOOKUP(R636,Maps!$A:$C,2,0)</f>
        <v>#N/A</v>
      </c>
      <c r="D636" t="e">
        <f t="shared" si="28"/>
        <v>#VALUE!</v>
      </c>
      <c r="E636" s="39" t="e">
        <f t="shared" si="29"/>
        <v>#VALUE!</v>
      </c>
      <c r="F636" s="7" t="str">
        <f t="array" ref="F636">+TIPOARMA(H636,I636)</f>
        <v>ERRO - REVISAR</v>
      </c>
      <c r="H636" t="str">
        <f t="array" ref="H636">+ARMASTD(N636)</f>
        <v>ERRO - REVISAR</v>
      </c>
      <c r="I636" t="str">
        <f t="array" ref="I636">+CALIBRESTD(O636)</f>
        <v>ERRO - REVISAR</v>
      </c>
    </row>
    <row r="637" spans="1:9" ht="14.25" customHeight="1" x14ac:dyDescent="0.35">
      <c r="A637" s="41" t="str">
        <f t="array" ref="A637">EXTRACTEVENT(Q637,S637)</f>
        <v/>
      </c>
      <c r="B637" s="41" t="str">
        <f t="shared" si="27"/>
        <v>-</v>
      </c>
      <c r="C637" s="41" t="e">
        <f>+VLOOKUP(R637,Maps!$A:$C,2,0)</f>
        <v>#N/A</v>
      </c>
      <c r="D637" s="41" t="e">
        <f t="shared" si="28"/>
        <v>#VALUE!</v>
      </c>
      <c r="E637" s="42" t="e">
        <f t="shared" si="29"/>
        <v>#VALUE!</v>
      </c>
      <c r="F637" s="43" t="str">
        <f t="array" ref="F637">+TIPOARMA(H637,I637)</f>
        <v>ERRO - REVISAR</v>
      </c>
      <c r="G637" s="41"/>
      <c r="H637" s="41" t="str">
        <f t="array" ref="H637">+ARMASTD(N637)</f>
        <v>ERRO - REVISAR</v>
      </c>
      <c r="I637" s="41" t="str">
        <f t="array" ref="I637">+CALIBRESTD(O637)</f>
        <v>ERRO - REVISAR</v>
      </c>
    </row>
    <row r="638" spans="1:9" ht="14.25" customHeight="1" x14ac:dyDescent="0.35">
      <c r="A638" t="str">
        <f t="array" ref="A638">EXTRACTEVENT(Q638,S638)</f>
        <v/>
      </c>
      <c r="B638" t="str">
        <f t="shared" si="27"/>
        <v>-</v>
      </c>
      <c r="C638" t="e">
        <f>+VLOOKUP(R638,Maps!$A:$C,2,0)</f>
        <v>#N/A</v>
      </c>
      <c r="D638" t="e">
        <f t="shared" si="28"/>
        <v>#VALUE!</v>
      </c>
      <c r="E638" s="39" t="e">
        <f t="shared" si="29"/>
        <v>#VALUE!</v>
      </c>
      <c r="F638" s="7" t="str">
        <f t="array" ref="F638">+TIPOARMA(H638,I638)</f>
        <v>ERRO - REVISAR</v>
      </c>
      <c r="H638" t="str">
        <f t="array" ref="H638">+ARMASTD(N638)</f>
        <v>ERRO - REVISAR</v>
      </c>
      <c r="I638" t="str">
        <f t="array" ref="I638">+CALIBRESTD(O638)</f>
        <v>ERRO - REVISAR</v>
      </c>
    </row>
    <row r="639" spans="1:9" ht="14.25" customHeight="1" x14ac:dyDescent="0.35">
      <c r="A639" s="41" t="str">
        <f t="array" ref="A639">EXTRACTEVENT(Q639,S639)</f>
        <v/>
      </c>
      <c r="B639" s="41" t="str">
        <f t="shared" si="27"/>
        <v>-</v>
      </c>
      <c r="C639" s="41" t="e">
        <f>+VLOOKUP(R639,Maps!$A:$C,2,0)</f>
        <v>#N/A</v>
      </c>
      <c r="D639" s="41" t="e">
        <f t="shared" si="28"/>
        <v>#VALUE!</v>
      </c>
      <c r="E639" s="42" t="e">
        <f t="shared" si="29"/>
        <v>#VALUE!</v>
      </c>
      <c r="F639" s="43" t="str">
        <f t="array" ref="F639">+TIPOARMA(H639,I639)</f>
        <v>ERRO - REVISAR</v>
      </c>
      <c r="G639" s="41"/>
      <c r="H639" s="41" t="str">
        <f t="array" ref="H639">+ARMASTD(N639)</f>
        <v>ERRO - REVISAR</v>
      </c>
      <c r="I639" s="41" t="str">
        <f t="array" ref="I639">+CALIBRESTD(O639)</f>
        <v>ERRO - REVISAR</v>
      </c>
    </row>
    <row r="640" spans="1:9" ht="14.25" customHeight="1" x14ac:dyDescent="0.35">
      <c r="A640" t="str">
        <f t="array" ref="A640">EXTRACTEVENT(Q640,S640)</f>
        <v/>
      </c>
      <c r="B640" t="str">
        <f t="shared" si="27"/>
        <v>-</v>
      </c>
      <c r="C640" t="e">
        <f>+VLOOKUP(R640,Maps!$A:$C,2,0)</f>
        <v>#N/A</v>
      </c>
      <c r="D640" t="e">
        <f t="shared" si="28"/>
        <v>#VALUE!</v>
      </c>
      <c r="E640" s="39" t="e">
        <f t="shared" si="29"/>
        <v>#VALUE!</v>
      </c>
      <c r="F640" s="7" t="str">
        <f t="array" ref="F640">+TIPOARMA(H640,I640)</f>
        <v>ERRO - REVISAR</v>
      </c>
      <c r="H640" t="str">
        <f t="array" ref="H640">+ARMASTD(N640)</f>
        <v>ERRO - REVISAR</v>
      </c>
      <c r="I640" t="str">
        <f t="array" ref="I640">+CALIBRESTD(O640)</f>
        <v>ERRO - REVISAR</v>
      </c>
    </row>
    <row r="641" spans="1:9" ht="14.25" customHeight="1" x14ac:dyDescent="0.35">
      <c r="A641" s="41" t="str">
        <f t="array" ref="A641">EXTRACTEVENT(Q641,S641)</f>
        <v/>
      </c>
      <c r="B641" s="41" t="str">
        <f t="shared" si="27"/>
        <v>-</v>
      </c>
      <c r="C641" s="41" t="e">
        <f>+VLOOKUP(R641,Maps!$A:$C,2,0)</f>
        <v>#N/A</v>
      </c>
      <c r="D641" s="41" t="e">
        <f t="shared" si="28"/>
        <v>#VALUE!</v>
      </c>
      <c r="E641" s="42" t="e">
        <f t="shared" si="29"/>
        <v>#VALUE!</v>
      </c>
      <c r="F641" s="43" t="str">
        <f t="array" ref="F641">+TIPOARMA(H641,I641)</f>
        <v>ERRO - REVISAR</v>
      </c>
      <c r="G641" s="41"/>
      <c r="H641" s="41" t="str">
        <f t="array" ref="H641">+ARMASTD(N641)</f>
        <v>ERRO - REVISAR</v>
      </c>
      <c r="I641" s="41" t="str">
        <f t="array" ref="I641">+CALIBRESTD(O641)</f>
        <v>ERRO - REVISAR</v>
      </c>
    </row>
    <row r="642" spans="1:9" ht="14.25" customHeight="1" x14ac:dyDescent="0.35">
      <c r="A642" t="str">
        <f t="array" ref="A642">EXTRACTEVENT(Q642,S642)</f>
        <v/>
      </c>
      <c r="B642" t="str">
        <f t="shared" ref="B642:B705" si="30">+EXTRACTETAPANUM(Q642)</f>
        <v>-</v>
      </c>
      <c r="C642" t="e">
        <f>+VLOOKUP(R642,Maps!$A:$C,2,0)</f>
        <v>#N/A</v>
      </c>
      <c r="D642" t="e">
        <f t="shared" ref="D642:D705" si="31">+DEFINEAMBITO(Q642,C642)</f>
        <v>#VALUE!</v>
      </c>
      <c r="E642" s="39" t="e">
        <f t="shared" ref="E642:E705" si="32">DATEVALUE(L642)</f>
        <v>#VALUE!</v>
      </c>
      <c r="F642" s="7" t="str">
        <f t="array" ref="F642">+TIPOARMA(H642,I642)</f>
        <v>ERRO - REVISAR</v>
      </c>
      <c r="H642" t="str">
        <f t="array" ref="H642">+ARMASTD(N642)</f>
        <v>ERRO - REVISAR</v>
      </c>
      <c r="I642" t="str">
        <f t="array" ref="I642">+CALIBRESTD(O642)</f>
        <v>ERRO - REVISAR</v>
      </c>
    </row>
    <row r="643" spans="1:9" ht="14.25" customHeight="1" x14ac:dyDescent="0.35">
      <c r="A643" s="41" t="str">
        <f t="array" ref="A643">EXTRACTEVENT(Q643,S643)</f>
        <v/>
      </c>
      <c r="B643" s="41" t="str">
        <f t="shared" si="30"/>
        <v>-</v>
      </c>
      <c r="C643" s="41" t="e">
        <f>+VLOOKUP(R643,Maps!$A:$C,2,0)</f>
        <v>#N/A</v>
      </c>
      <c r="D643" s="41" t="e">
        <f t="shared" si="31"/>
        <v>#VALUE!</v>
      </c>
      <c r="E643" s="42" t="e">
        <f t="shared" si="32"/>
        <v>#VALUE!</v>
      </c>
      <c r="F643" s="43" t="str">
        <f t="array" ref="F643">+TIPOARMA(H643,I643)</f>
        <v>ERRO - REVISAR</v>
      </c>
      <c r="G643" s="41"/>
      <c r="H643" s="41" t="str">
        <f t="array" ref="H643">+ARMASTD(N643)</f>
        <v>ERRO - REVISAR</v>
      </c>
      <c r="I643" s="41" t="str">
        <f t="array" ref="I643">+CALIBRESTD(O643)</f>
        <v>ERRO - REVISAR</v>
      </c>
    </row>
    <row r="644" spans="1:9" ht="14.25" customHeight="1" x14ac:dyDescent="0.35">
      <c r="A644" t="str">
        <f t="array" ref="A644">EXTRACTEVENT(Q644,S644)</f>
        <v/>
      </c>
      <c r="B644" t="str">
        <f t="shared" si="30"/>
        <v>-</v>
      </c>
      <c r="C644" t="e">
        <f>+VLOOKUP(R644,Maps!$A:$C,2,0)</f>
        <v>#N/A</v>
      </c>
      <c r="D644" t="e">
        <f t="shared" si="31"/>
        <v>#VALUE!</v>
      </c>
      <c r="E644" s="39" t="e">
        <f t="shared" si="32"/>
        <v>#VALUE!</v>
      </c>
      <c r="F644" s="7" t="str">
        <f t="array" ref="F644">+TIPOARMA(H644,I644)</f>
        <v>ERRO - REVISAR</v>
      </c>
      <c r="H644" t="str">
        <f t="array" ref="H644">+ARMASTD(N644)</f>
        <v>ERRO - REVISAR</v>
      </c>
      <c r="I644" t="str">
        <f t="array" ref="I644">+CALIBRESTD(O644)</f>
        <v>ERRO - REVISAR</v>
      </c>
    </row>
    <row r="645" spans="1:9" ht="14.25" customHeight="1" x14ac:dyDescent="0.35">
      <c r="A645" s="41" t="str">
        <f t="array" ref="A645">EXTRACTEVENT(Q645,S645)</f>
        <v/>
      </c>
      <c r="B645" s="41" t="str">
        <f t="shared" si="30"/>
        <v>-</v>
      </c>
      <c r="C645" s="41" t="e">
        <f>+VLOOKUP(R645,Maps!$A:$C,2,0)</f>
        <v>#N/A</v>
      </c>
      <c r="D645" s="41" t="e">
        <f t="shared" si="31"/>
        <v>#VALUE!</v>
      </c>
      <c r="E645" s="42" t="e">
        <f t="shared" si="32"/>
        <v>#VALUE!</v>
      </c>
      <c r="F645" s="43" t="str">
        <f t="array" ref="F645">+TIPOARMA(H645,I645)</f>
        <v>ERRO - REVISAR</v>
      </c>
      <c r="G645" s="41"/>
      <c r="H645" s="41" t="str">
        <f t="array" ref="H645">+ARMASTD(N645)</f>
        <v>ERRO - REVISAR</v>
      </c>
      <c r="I645" s="41" t="str">
        <f t="array" ref="I645">+CALIBRESTD(O645)</f>
        <v>ERRO - REVISAR</v>
      </c>
    </row>
    <row r="646" spans="1:9" ht="14.25" customHeight="1" x14ac:dyDescent="0.35">
      <c r="A646" t="str">
        <f t="array" ref="A646">EXTRACTEVENT(Q646,S646)</f>
        <v/>
      </c>
      <c r="B646" t="str">
        <f t="shared" si="30"/>
        <v>-</v>
      </c>
      <c r="C646" t="e">
        <f>+VLOOKUP(R646,Maps!$A:$C,2,0)</f>
        <v>#N/A</v>
      </c>
      <c r="D646" t="e">
        <f t="shared" si="31"/>
        <v>#VALUE!</v>
      </c>
      <c r="E646" s="39" t="e">
        <f t="shared" si="32"/>
        <v>#VALUE!</v>
      </c>
      <c r="F646" s="7" t="str">
        <f t="array" ref="F646">+TIPOARMA(H646,I646)</f>
        <v>ERRO - REVISAR</v>
      </c>
      <c r="H646" t="str">
        <f t="array" ref="H646">+ARMASTD(N646)</f>
        <v>ERRO - REVISAR</v>
      </c>
      <c r="I646" t="str">
        <f t="array" ref="I646">+CALIBRESTD(O646)</f>
        <v>ERRO - REVISAR</v>
      </c>
    </row>
    <row r="647" spans="1:9" ht="14.25" customHeight="1" x14ac:dyDescent="0.35">
      <c r="A647" s="41" t="str">
        <f t="array" ref="A647">EXTRACTEVENT(Q647,S647)</f>
        <v/>
      </c>
      <c r="B647" s="41" t="str">
        <f t="shared" si="30"/>
        <v>-</v>
      </c>
      <c r="C647" s="41" t="e">
        <f>+VLOOKUP(R647,Maps!$A:$C,2,0)</f>
        <v>#N/A</v>
      </c>
      <c r="D647" s="41" t="e">
        <f t="shared" si="31"/>
        <v>#VALUE!</v>
      </c>
      <c r="E647" s="42" t="e">
        <f t="shared" si="32"/>
        <v>#VALUE!</v>
      </c>
      <c r="F647" s="43" t="str">
        <f t="array" ref="F647">+TIPOARMA(H647,I647)</f>
        <v>ERRO - REVISAR</v>
      </c>
      <c r="G647" s="41"/>
      <c r="H647" s="41" t="str">
        <f t="array" ref="H647">+ARMASTD(N647)</f>
        <v>ERRO - REVISAR</v>
      </c>
      <c r="I647" s="41" t="str">
        <f t="array" ref="I647">+CALIBRESTD(O647)</f>
        <v>ERRO - REVISAR</v>
      </c>
    </row>
    <row r="648" spans="1:9" ht="14.25" customHeight="1" x14ac:dyDescent="0.35">
      <c r="A648" t="str">
        <f t="array" ref="A648">EXTRACTEVENT(Q648,S648)</f>
        <v/>
      </c>
      <c r="B648" t="str">
        <f t="shared" si="30"/>
        <v>-</v>
      </c>
      <c r="C648" t="e">
        <f>+VLOOKUP(R648,Maps!$A:$C,2,0)</f>
        <v>#N/A</v>
      </c>
      <c r="D648" t="e">
        <f t="shared" si="31"/>
        <v>#VALUE!</v>
      </c>
      <c r="E648" s="39" t="e">
        <f t="shared" si="32"/>
        <v>#VALUE!</v>
      </c>
      <c r="F648" s="7" t="str">
        <f t="array" ref="F648">+TIPOARMA(H648,I648)</f>
        <v>ERRO - REVISAR</v>
      </c>
      <c r="H648" t="str">
        <f t="array" ref="H648">+ARMASTD(N648)</f>
        <v>ERRO - REVISAR</v>
      </c>
      <c r="I648" t="str">
        <f t="array" ref="I648">+CALIBRESTD(O648)</f>
        <v>ERRO - REVISAR</v>
      </c>
    </row>
    <row r="649" spans="1:9" ht="14.25" customHeight="1" x14ac:dyDescent="0.35">
      <c r="A649" s="41" t="str">
        <f t="array" ref="A649">EXTRACTEVENT(Q649,S649)</f>
        <v/>
      </c>
      <c r="B649" s="41" t="str">
        <f t="shared" si="30"/>
        <v>-</v>
      </c>
      <c r="C649" s="41" t="e">
        <f>+VLOOKUP(R649,Maps!$A:$C,2,0)</f>
        <v>#N/A</v>
      </c>
      <c r="D649" s="41" t="e">
        <f t="shared" si="31"/>
        <v>#VALUE!</v>
      </c>
      <c r="E649" s="42" t="e">
        <f t="shared" si="32"/>
        <v>#VALUE!</v>
      </c>
      <c r="F649" s="43" t="str">
        <f t="array" ref="F649">+TIPOARMA(H649,I649)</f>
        <v>ERRO - REVISAR</v>
      </c>
      <c r="G649" s="41"/>
      <c r="H649" s="41" t="str">
        <f t="array" ref="H649">+ARMASTD(N649)</f>
        <v>ERRO - REVISAR</v>
      </c>
      <c r="I649" s="41" t="str">
        <f t="array" ref="I649">+CALIBRESTD(O649)</f>
        <v>ERRO - REVISAR</v>
      </c>
    </row>
    <row r="650" spans="1:9" ht="14.25" customHeight="1" x14ac:dyDescent="0.35">
      <c r="A650" t="str">
        <f t="array" ref="A650">EXTRACTEVENT(Q650,S650)</f>
        <v/>
      </c>
      <c r="B650" t="str">
        <f t="shared" si="30"/>
        <v>-</v>
      </c>
      <c r="C650" t="e">
        <f>+VLOOKUP(R650,Maps!$A:$C,2,0)</f>
        <v>#N/A</v>
      </c>
      <c r="D650" t="e">
        <f t="shared" si="31"/>
        <v>#VALUE!</v>
      </c>
      <c r="E650" s="39" t="e">
        <f t="shared" si="32"/>
        <v>#VALUE!</v>
      </c>
      <c r="F650" s="7" t="str">
        <f t="array" ref="F650">+TIPOARMA(H650,I650)</f>
        <v>ERRO - REVISAR</v>
      </c>
      <c r="H650" t="str">
        <f t="array" ref="H650">+ARMASTD(N650)</f>
        <v>ERRO - REVISAR</v>
      </c>
      <c r="I650" t="str">
        <f t="array" ref="I650">+CALIBRESTD(O650)</f>
        <v>ERRO - REVISAR</v>
      </c>
    </row>
    <row r="651" spans="1:9" ht="14.25" customHeight="1" x14ac:dyDescent="0.35">
      <c r="A651" s="41" t="str">
        <f t="array" ref="A651">EXTRACTEVENT(Q651,S651)</f>
        <v/>
      </c>
      <c r="B651" s="41" t="str">
        <f t="shared" si="30"/>
        <v>-</v>
      </c>
      <c r="C651" s="41" t="e">
        <f>+VLOOKUP(R651,Maps!$A:$C,2,0)</f>
        <v>#N/A</v>
      </c>
      <c r="D651" s="41" t="e">
        <f t="shared" si="31"/>
        <v>#VALUE!</v>
      </c>
      <c r="E651" s="42" t="e">
        <f t="shared" si="32"/>
        <v>#VALUE!</v>
      </c>
      <c r="F651" s="43" t="str">
        <f t="array" ref="F651">+TIPOARMA(H651,I651)</f>
        <v>ERRO - REVISAR</v>
      </c>
      <c r="G651" s="41"/>
      <c r="H651" s="41" t="str">
        <f t="array" ref="H651">+ARMASTD(N651)</f>
        <v>ERRO - REVISAR</v>
      </c>
      <c r="I651" s="41" t="str">
        <f t="array" ref="I651">+CALIBRESTD(O651)</f>
        <v>ERRO - REVISAR</v>
      </c>
    </row>
    <row r="652" spans="1:9" ht="14.25" customHeight="1" x14ac:dyDescent="0.35">
      <c r="A652" t="str">
        <f t="array" ref="A652">EXTRACTEVENT(Q652,S652)</f>
        <v/>
      </c>
      <c r="B652" t="str">
        <f t="shared" si="30"/>
        <v>-</v>
      </c>
      <c r="C652" t="e">
        <f>+VLOOKUP(R652,Maps!$A:$C,2,0)</f>
        <v>#N/A</v>
      </c>
      <c r="D652" t="e">
        <f t="shared" si="31"/>
        <v>#VALUE!</v>
      </c>
      <c r="E652" s="39" t="e">
        <f t="shared" si="32"/>
        <v>#VALUE!</v>
      </c>
      <c r="F652" s="7" t="str">
        <f t="array" ref="F652">+TIPOARMA(H652,I652)</f>
        <v>ERRO - REVISAR</v>
      </c>
      <c r="H652" t="str">
        <f t="array" ref="H652">+ARMASTD(N652)</f>
        <v>ERRO - REVISAR</v>
      </c>
      <c r="I652" t="str">
        <f t="array" ref="I652">+CALIBRESTD(O652)</f>
        <v>ERRO - REVISAR</v>
      </c>
    </row>
    <row r="653" spans="1:9" ht="14.25" customHeight="1" x14ac:dyDescent="0.35">
      <c r="A653" s="41" t="str">
        <f t="array" ref="A653">EXTRACTEVENT(Q653,S653)</f>
        <v/>
      </c>
      <c r="B653" s="41" t="str">
        <f t="shared" si="30"/>
        <v>-</v>
      </c>
      <c r="C653" s="41" t="e">
        <f>+VLOOKUP(R653,Maps!$A:$C,2,0)</f>
        <v>#N/A</v>
      </c>
      <c r="D653" s="41" t="e">
        <f t="shared" si="31"/>
        <v>#VALUE!</v>
      </c>
      <c r="E653" s="42" t="e">
        <f t="shared" si="32"/>
        <v>#VALUE!</v>
      </c>
      <c r="F653" s="43" t="str">
        <f t="array" ref="F653">+TIPOARMA(H653,I653)</f>
        <v>ERRO - REVISAR</v>
      </c>
      <c r="G653" s="41"/>
      <c r="H653" s="41" t="str">
        <f t="array" ref="H653">+ARMASTD(N653)</f>
        <v>ERRO - REVISAR</v>
      </c>
      <c r="I653" s="41" t="str">
        <f t="array" ref="I653">+CALIBRESTD(O653)</f>
        <v>ERRO - REVISAR</v>
      </c>
    </row>
    <row r="654" spans="1:9" ht="14.25" customHeight="1" x14ac:dyDescent="0.35">
      <c r="A654" t="str">
        <f t="array" ref="A654">EXTRACTEVENT(Q654,S654)</f>
        <v/>
      </c>
      <c r="B654" t="str">
        <f t="shared" si="30"/>
        <v>-</v>
      </c>
      <c r="C654" t="e">
        <f>+VLOOKUP(R654,Maps!$A:$C,2,0)</f>
        <v>#N/A</v>
      </c>
      <c r="D654" t="e">
        <f t="shared" si="31"/>
        <v>#VALUE!</v>
      </c>
      <c r="E654" s="39" t="e">
        <f t="shared" si="32"/>
        <v>#VALUE!</v>
      </c>
      <c r="F654" s="7" t="str">
        <f t="array" ref="F654">+TIPOARMA(H654,I654)</f>
        <v>ERRO - REVISAR</v>
      </c>
      <c r="H654" t="str">
        <f t="array" ref="H654">+ARMASTD(N654)</f>
        <v>ERRO - REVISAR</v>
      </c>
      <c r="I654" t="str">
        <f t="array" ref="I654">+CALIBRESTD(O654)</f>
        <v>ERRO - REVISAR</v>
      </c>
    </row>
    <row r="655" spans="1:9" ht="14.25" customHeight="1" x14ac:dyDescent="0.35">
      <c r="A655" s="41" t="str">
        <f t="array" ref="A655">EXTRACTEVENT(Q655,S655)</f>
        <v/>
      </c>
      <c r="B655" s="41" t="str">
        <f t="shared" si="30"/>
        <v>-</v>
      </c>
      <c r="C655" s="41" t="e">
        <f>+VLOOKUP(R655,Maps!$A:$C,2,0)</f>
        <v>#N/A</v>
      </c>
      <c r="D655" s="41" t="e">
        <f t="shared" si="31"/>
        <v>#VALUE!</v>
      </c>
      <c r="E655" s="42" t="e">
        <f t="shared" si="32"/>
        <v>#VALUE!</v>
      </c>
      <c r="F655" s="43" t="str">
        <f t="array" ref="F655">+TIPOARMA(H655,I655)</f>
        <v>ERRO - REVISAR</v>
      </c>
      <c r="G655" s="41"/>
      <c r="H655" s="41" t="str">
        <f t="array" ref="H655">+ARMASTD(N655)</f>
        <v>ERRO - REVISAR</v>
      </c>
      <c r="I655" s="41" t="str">
        <f t="array" ref="I655">+CALIBRESTD(O655)</f>
        <v>ERRO - REVISAR</v>
      </c>
    </row>
    <row r="656" spans="1:9" ht="14.25" customHeight="1" x14ac:dyDescent="0.35">
      <c r="A656" t="str">
        <f t="array" ref="A656">EXTRACTEVENT(Q656,S656)</f>
        <v/>
      </c>
      <c r="B656" t="str">
        <f t="shared" si="30"/>
        <v>-</v>
      </c>
      <c r="C656" t="e">
        <f>+VLOOKUP(R656,Maps!$A:$C,2,0)</f>
        <v>#N/A</v>
      </c>
      <c r="D656" t="e">
        <f t="shared" si="31"/>
        <v>#VALUE!</v>
      </c>
      <c r="E656" s="39" t="e">
        <f t="shared" si="32"/>
        <v>#VALUE!</v>
      </c>
      <c r="F656" s="7" t="str">
        <f t="array" ref="F656">+TIPOARMA(H656,I656)</f>
        <v>ERRO - REVISAR</v>
      </c>
      <c r="H656" t="str">
        <f t="array" ref="H656">+ARMASTD(N656)</f>
        <v>ERRO - REVISAR</v>
      </c>
      <c r="I656" t="str">
        <f t="array" ref="I656">+CALIBRESTD(O656)</f>
        <v>ERRO - REVISAR</v>
      </c>
    </row>
    <row r="657" spans="1:9" ht="14.25" customHeight="1" x14ac:dyDescent="0.35">
      <c r="A657" s="41" t="str">
        <f t="array" ref="A657">EXTRACTEVENT(Q657,S657)</f>
        <v/>
      </c>
      <c r="B657" s="41" t="str">
        <f t="shared" si="30"/>
        <v>-</v>
      </c>
      <c r="C657" s="41" t="e">
        <f>+VLOOKUP(R657,Maps!$A:$C,2,0)</f>
        <v>#N/A</v>
      </c>
      <c r="D657" s="41" t="e">
        <f t="shared" si="31"/>
        <v>#VALUE!</v>
      </c>
      <c r="E657" s="42" t="e">
        <f t="shared" si="32"/>
        <v>#VALUE!</v>
      </c>
      <c r="F657" s="43" t="str">
        <f t="array" ref="F657">+TIPOARMA(H657,I657)</f>
        <v>ERRO - REVISAR</v>
      </c>
      <c r="G657" s="41"/>
      <c r="H657" s="41" t="str">
        <f t="array" ref="H657">+ARMASTD(N657)</f>
        <v>ERRO - REVISAR</v>
      </c>
      <c r="I657" s="41" t="str">
        <f t="array" ref="I657">+CALIBRESTD(O657)</f>
        <v>ERRO - REVISAR</v>
      </c>
    </row>
    <row r="658" spans="1:9" ht="14.25" customHeight="1" x14ac:dyDescent="0.35">
      <c r="A658" t="str">
        <f t="array" ref="A658">EXTRACTEVENT(Q658,S658)</f>
        <v/>
      </c>
      <c r="B658" t="str">
        <f t="shared" si="30"/>
        <v>-</v>
      </c>
      <c r="C658" t="e">
        <f>+VLOOKUP(R658,Maps!$A:$C,2,0)</f>
        <v>#N/A</v>
      </c>
      <c r="D658" t="e">
        <f t="shared" si="31"/>
        <v>#VALUE!</v>
      </c>
      <c r="E658" s="39" t="e">
        <f t="shared" si="32"/>
        <v>#VALUE!</v>
      </c>
      <c r="F658" s="7" t="str">
        <f t="array" ref="F658">+TIPOARMA(H658,I658)</f>
        <v>ERRO - REVISAR</v>
      </c>
      <c r="H658" t="str">
        <f t="array" ref="H658">+ARMASTD(N658)</f>
        <v>ERRO - REVISAR</v>
      </c>
      <c r="I658" t="str">
        <f t="array" ref="I658">+CALIBRESTD(O658)</f>
        <v>ERRO - REVISAR</v>
      </c>
    </row>
    <row r="659" spans="1:9" ht="14.25" customHeight="1" x14ac:dyDescent="0.35">
      <c r="A659" s="41" t="str">
        <f t="array" ref="A659">EXTRACTEVENT(Q659,S659)</f>
        <v/>
      </c>
      <c r="B659" s="41" t="str">
        <f t="shared" si="30"/>
        <v>-</v>
      </c>
      <c r="C659" s="41" t="e">
        <f>+VLOOKUP(R659,Maps!$A:$C,2,0)</f>
        <v>#N/A</v>
      </c>
      <c r="D659" s="41" t="e">
        <f t="shared" si="31"/>
        <v>#VALUE!</v>
      </c>
      <c r="E659" s="42" t="e">
        <f t="shared" si="32"/>
        <v>#VALUE!</v>
      </c>
      <c r="F659" s="43" t="str">
        <f t="array" ref="F659">+TIPOARMA(H659,I659)</f>
        <v>ERRO - REVISAR</v>
      </c>
      <c r="G659" s="41"/>
      <c r="H659" s="41" t="str">
        <f t="array" ref="H659">+ARMASTD(N659)</f>
        <v>ERRO - REVISAR</v>
      </c>
      <c r="I659" s="41" t="str">
        <f t="array" ref="I659">+CALIBRESTD(O659)</f>
        <v>ERRO - REVISAR</v>
      </c>
    </row>
    <row r="660" spans="1:9" ht="14.25" customHeight="1" x14ac:dyDescent="0.35">
      <c r="A660" t="str">
        <f t="array" ref="A660">EXTRACTEVENT(Q660,S660)</f>
        <v/>
      </c>
      <c r="B660" t="str">
        <f t="shared" si="30"/>
        <v>-</v>
      </c>
      <c r="C660" t="e">
        <f>+VLOOKUP(R660,Maps!$A:$C,2,0)</f>
        <v>#N/A</v>
      </c>
      <c r="D660" t="e">
        <f t="shared" si="31"/>
        <v>#VALUE!</v>
      </c>
      <c r="E660" s="39" t="e">
        <f t="shared" si="32"/>
        <v>#VALUE!</v>
      </c>
      <c r="F660" s="7" t="str">
        <f t="array" ref="F660">+TIPOARMA(H660,I660)</f>
        <v>ERRO - REVISAR</v>
      </c>
      <c r="H660" t="str">
        <f t="array" ref="H660">+ARMASTD(N660)</f>
        <v>ERRO - REVISAR</v>
      </c>
      <c r="I660" t="str">
        <f t="array" ref="I660">+CALIBRESTD(O660)</f>
        <v>ERRO - REVISAR</v>
      </c>
    </row>
    <row r="661" spans="1:9" ht="14.25" customHeight="1" x14ac:dyDescent="0.35">
      <c r="A661" s="41" t="str">
        <f t="array" ref="A661">EXTRACTEVENT(Q661,S661)</f>
        <v/>
      </c>
      <c r="B661" s="41" t="str">
        <f t="shared" si="30"/>
        <v>-</v>
      </c>
      <c r="C661" s="41" t="e">
        <f>+VLOOKUP(R661,Maps!$A:$C,2,0)</f>
        <v>#N/A</v>
      </c>
      <c r="D661" s="41" t="e">
        <f t="shared" si="31"/>
        <v>#VALUE!</v>
      </c>
      <c r="E661" s="42" t="e">
        <f t="shared" si="32"/>
        <v>#VALUE!</v>
      </c>
      <c r="F661" s="43" t="str">
        <f t="array" ref="F661">+TIPOARMA(H661,I661)</f>
        <v>ERRO - REVISAR</v>
      </c>
      <c r="G661" s="41"/>
      <c r="H661" s="41" t="str">
        <f t="array" ref="H661">+ARMASTD(N661)</f>
        <v>ERRO - REVISAR</v>
      </c>
      <c r="I661" s="41" t="str">
        <f t="array" ref="I661">+CALIBRESTD(O661)</f>
        <v>ERRO - REVISAR</v>
      </c>
    </row>
    <row r="662" spans="1:9" ht="14.25" customHeight="1" x14ac:dyDescent="0.35">
      <c r="A662" t="str">
        <f t="array" ref="A662">EXTRACTEVENT(Q662,S662)</f>
        <v/>
      </c>
      <c r="B662" t="str">
        <f t="shared" si="30"/>
        <v>-</v>
      </c>
      <c r="C662" t="e">
        <f>+VLOOKUP(R662,Maps!$A:$C,2,0)</f>
        <v>#N/A</v>
      </c>
      <c r="D662" t="e">
        <f t="shared" si="31"/>
        <v>#VALUE!</v>
      </c>
      <c r="E662" s="39" t="e">
        <f t="shared" si="32"/>
        <v>#VALUE!</v>
      </c>
      <c r="F662" s="7" t="str">
        <f t="array" ref="F662">+TIPOARMA(H662,I662)</f>
        <v>ERRO - REVISAR</v>
      </c>
      <c r="H662" t="str">
        <f t="array" ref="H662">+ARMASTD(N662)</f>
        <v>ERRO - REVISAR</v>
      </c>
      <c r="I662" t="str">
        <f t="array" ref="I662">+CALIBRESTD(O662)</f>
        <v>ERRO - REVISAR</v>
      </c>
    </row>
    <row r="663" spans="1:9" ht="14.25" customHeight="1" x14ac:dyDescent="0.35">
      <c r="A663" s="41" t="str">
        <f t="array" ref="A663">EXTRACTEVENT(Q663,S663)</f>
        <v/>
      </c>
      <c r="B663" s="41" t="str">
        <f t="shared" si="30"/>
        <v>-</v>
      </c>
      <c r="C663" s="41" t="e">
        <f>+VLOOKUP(R663,Maps!$A:$C,2,0)</f>
        <v>#N/A</v>
      </c>
      <c r="D663" s="41" t="e">
        <f t="shared" si="31"/>
        <v>#VALUE!</v>
      </c>
      <c r="E663" s="42" t="e">
        <f t="shared" si="32"/>
        <v>#VALUE!</v>
      </c>
      <c r="F663" s="43" t="str">
        <f t="array" ref="F663">+TIPOARMA(H663,I663)</f>
        <v>ERRO - REVISAR</v>
      </c>
      <c r="G663" s="41"/>
      <c r="H663" s="41" t="str">
        <f t="array" ref="H663">+ARMASTD(N663)</f>
        <v>ERRO - REVISAR</v>
      </c>
      <c r="I663" s="41" t="str">
        <f t="array" ref="I663">+CALIBRESTD(O663)</f>
        <v>ERRO - REVISAR</v>
      </c>
    </row>
    <row r="664" spans="1:9" ht="14.25" customHeight="1" x14ac:dyDescent="0.35">
      <c r="A664" t="str">
        <f t="array" ref="A664">EXTRACTEVENT(Q664,S664)</f>
        <v/>
      </c>
      <c r="B664" t="str">
        <f t="shared" si="30"/>
        <v>-</v>
      </c>
      <c r="C664" t="e">
        <f>+VLOOKUP(R664,Maps!$A:$C,2,0)</f>
        <v>#N/A</v>
      </c>
      <c r="D664" t="e">
        <f t="shared" si="31"/>
        <v>#VALUE!</v>
      </c>
      <c r="E664" s="39" t="e">
        <f t="shared" si="32"/>
        <v>#VALUE!</v>
      </c>
      <c r="F664" s="7" t="str">
        <f t="array" ref="F664">+TIPOARMA(H664,I664)</f>
        <v>ERRO - REVISAR</v>
      </c>
      <c r="H664" t="str">
        <f t="array" ref="H664">+ARMASTD(N664)</f>
        <v>ERRO - REVISAR</v>
      </c>
      <c r="I664" t="str">
        <f t="array" ref="I664">+CALIBRESTD(O664)</f>
        <v>ERRO - REVISAR</v>
      </c>
    </row>
    <row r="665" spans="1:9" ht="14.25" customHeight="1" x14ac:dyDescent="0.35">
      <c r="A665" s="41" t="str">
        <f t="array" ref="A665">EXTRACTEVENT(Q665,S665)</f>
        <v/>
      </c>
      <c r="B665" s="41" t="str">
        <f t="shared" si="30"/>
        <v>-</v>
      </c>
      <c r="C665" s="41" t="e">
        <f>+VLOOKUP(R665,Maps!$A:$C,2,0)</f>
        <v>#N/A</v>
      </c>
      <c r="D665" s="41" t="e">
        <f t="shared" si="31"/>
        <v>#VALUE!</v>
      </c>
      <c r="E665" s="42" t="e">
        <f t="shared" si="32"/>
        <v>#VALUE!</v>
      </c>
      <c r="F665" s="43" t="str">
        <f t="array" ref="F665">+TIPOARMA(H665,I665)</f>
        <v>ERRO - REVISAR</v>
      </c>
      <c r="G665" s="41"/>
      <c r="H665" s="41" t="str">
        <f t="array" ref="H665">+ARMASTD(N665)</f>
        <v>ERRO - REVISAR</v>
      </c>
      <c r="I665" s="41" t="str">
        <f t="array" ref="I665">+CALIBRESTD(O665)</f>
        <v>ERRO - REVISAR</v>
      </c>
    </row>
    <row r="666" spans="1:9" ht="14.25" customHeight="1" x14ac:dyDescent="0.35">
      <c r="A666" t="str">
        <f t="array" ref="A666">EXTRACTEVENT(Q666,S666)</f>
        <v/>
      </c>
      <c r="B666" t="str">
        <f t="shared" si="30"/>
        <v>-</v>
      </c>
      <c r="C666" t="e">
        <f>+VLOOKUP(R666,Maps!$A:$C,2,0)</f>
        <v>#N/A</v>
      </c>
      <c r="D666" t="e">
        <f t="shared" si="31"/>
        <v>#VALUE!</v>
      </c>
      <c r="E666" s="39" t="e">
        <f t="shared" si="32"/>
        <v>#VALUE!</v>
      </c>
      <c r="F666" s="7" t="str">
        <f t="array" ref="F666">+TIPOARMA(H666,I666)</f>
        <v>ERRO - REVISAR</v>
      </c>
      <c r="H666" t="str">
        <f t="array" ref="H666">+ARMASTD(N666)</f>
        <v>ERRO - REVISAR</v>
      </c>
      <c r="I666" t="str">
        <f t="array" ref="I666">+CALIBRESTD(O666)</f>
        <v>ERRO - REVISAR</v>
      </c>
    </row>
    <row r="667" spans="1:9" ht="14.25" customHeight="1" x14ac:dyDescent="0.35">
      <c r="A667" s="41" t="str">
        <f t="array" ref="A667">EXTRACTEVENT(Q667,S667)</f>
        <v/>
      </c>
      <c r="B667" s="41" t="str">
        <f t="shared" si="30"/>
        <v>-</v>
      </c>
      <c r="C667" s="41" t="e">
        <f>+VLOOKUP(R667,Maps!$A:$C,2,0)</f>
        <v>#N/A</v>
      </c>
      <c r="D667" s="41" t="e">
        <f t="shared" si="31"/>
        <v>#VALUE!</v>
      </c>
      <c r="E667" s="42" t="e">
        <f t="shared" si="32"/>
        <v>#VALUE!</v>
      </c>
      <c r="F667" s="43" t="str">
        <f t="array" ref="F667">+TIPOARMA(H667,I667)</f>
        <v>ERRO - REVISAR</v>
      </c>
      <c r="G667" s="41"/>
      <c r="H667" s="41" t="str">
        <f t="array" ref="H667">+ARMASTD(N667)</f>
        <v>ERRO - REVISAR</v>
      </c>
      <c r="I667" s="41" t="str">
        <f t="array" ref="I667">+CALIBRESTD(O667)</f>
        <v>ERRO - REVISAR</v>
      </c>
    </row>
    <row r="668" spans="1:9" ht="14.25" customHeight="1" x14ac:dyDescent="0.35">
      <c r="A668" t="str">
        <f t="array" ref="A668">EXTRACTEVENT(Q668,S668)</f>
        <v/>
      </c>
      <c r="B668" t="str">
        <f t="shared" si="30"/>
        <v>-</v>
      </c>
      <c r="C668" t="e">
        <f>+VLOOKUP(R668,Maps!$A:$C,2,0)</f>
        <v>#N/A</v>
      </c>
      <c r="D668" t="e">
        <f t="shared" si="31"/>
        <v>#VALUE!</v>
      </c>
      <c r="E668" s="39" t="e">
        <f t="shared" si="32"/>
        <v>#VALUE!</v>
      </c>
      <c r="F668" s="7" t="str">
        <f t="array" ref="F668">+TIPOARMA(H668,I668)</f>
        <v>ERRO - REVISAR</v>
      </c>
      <c r="H668" t="str">
        <f t="array" ref="H668">+ARMASTD(N668)</f>
        <v>ERRO - REVISAR</v>
      </c>
      <c r="I668" t="str">
        <f t="array" ref="I668">+CALIBRESTD(O668)</f>
        <v>ERRO - REVISAR</v>
      </c>
    </row>
    <row r="669" spans="1:9" ht="14.25" customHeight="1" x14ac:dyDescent="0.35">
      <c r="A669" s="41" t="str">
        <f t="array" ref="A669">EXTRACTEVENT(Q669,S669)</f>
        <v/>
      </c>
      <c r="B669" s="41" t="str">
        <f t="shared" si="30"/>
        <v>-</v>
      </c>
      <c r="C669" s="41" t="e">
        <f>+VLOOKUP(R669,Maps!$A:$C,2,0)</f>
        <v>#N/A</v>
      </c>
      <c r="D669" s="41" t="e">
        <f t="shared" si="31"/>
        <v>#VALUE!</v>
      </c>
      <c r="E669" s="42" t="e">
        <f t="shared" si="32"/>
        <v>#VALUE!</v>
      </c>
      <c r="F669" s="43" t="str">
        <f t="array" ref="F669">+TIPOARMA(H669,I669)</f>
        <v>ERRO - REVISAR</v>
      </c>
      <c r="G669" s="41"/>
      <c r="H669" s="41" t="str">
        <f t="array" ref="H669">+ARMASTD(N669)</f>
        <v>ERRO - REVISAR</v>
      </c>
      <c r="I669" s="41" t="str">
        <f t="array" ref="I669">+CALIBRESTD(O669)</f>
        <v>ERRO - REVISAR</v>
      </c>
    </row>
    <row r="670" spans="1:9" ht="14.25" customHeight="1" x14ac:dyDescent="0.35">
      <c r="A670" t="str">
        <f t="array" ref="A670">EXTRACTEVENT(Q670,S670)</f>
        <v/>
      </c>
      <c r="B670" t="str">
        <f t="shared" si="30"/>
        <v>-</v>
      </c>
      <c r="C670" t="e">
        <f>+VLOOKUP(R670,Maps!$A:$C,2,0)</f>
        <v>#N/A</v>
      </c>
      <c r="D670" t="e">
        <f t="shared" si="31"/>
        <v>#VALUE!</v>
      </c>
      <c r="E670" s="39" t="e">
        <f t="shared" si="32"/>
        <v>#VALUE!</v>
      </c>
      <c r="F670" s="7" t="str">
        <f t="array" ref="F670">+TIPOARMA(H670,I670)</f>
        <v>ERRO - REVISAR</v>
      </c>
      <c r="H670" t="str">
        <f t="array" ref="H670">+ARMASTD(N670)</f>
        <v>ERRO - REVISAR</v>
      </c>
      <c r="I670" t="str">
        <f t="array" ref="I670">+CALIBRESTD(O670)</f>
        <v>ERRO - REVISAR</v>
      </c>
    </row>
    <row r="671" spans="1:9" ht="14.25" customHeight="1" x14ac:dyDescent="0.35">
      <c r="A671" s="41" t="str">
        <f t="array" ref="A671">EXTRACTEVENT(Q671,S671)</f>
        <v/>
      </c>
      <c r="B671" s="41" t="str">
        <f t="shared" si="30"/>
        <v>-</v>
      </c>
      <c r="C671" s="41" t="e">
        <f>+VLOOKUP(R671,Maps!$A:$C,2,0)</f>
        <v>#N/A</v>
      </c>
      <c r="D671" s="41" t="e">
        <f t="shared" si="31"/>
        <v>#VALUE!</v>
      </c>
      <c r="E671" s="42" t="e">
        <f t="shared" si="32"/>
        <v>#VALUE!</v>
      </c>
      <c r="F671" s="43" t="str">
        <f t="array" ref="F671">+TIPOARMA(H671,I671)</f>
        <v>ERRO - REVISAR</v>
      </c>
      <c r="G671" s="41"/>
      <c r="H671" s="41" t="str">
        <f t="array" ref="H671">+ARMASTD(N671)</f>
        <v>ERRO - REVISAR</v>
      </c>
      <c r="I671" s="41" t="str">
        <f t="array" ref="I671">+CALIBRESTD(O671)</f>
        <v>ERRO - REVISAR</v>
      </c>
    </row>
    <row r="672" spans="1:9" ht="14.25" customHeight="1" x14ac:dyDescent="0.35">
      <c r="A672" t="str">
        <f t="array" ref="A672">EXTRACTEVENT(Q672,S672)</f>
        <v/>
      </c>
      <c r="B672" t="str">
        <f t="shared" si="30"/>
        <v>-</v>
      </c>
      <c r="C672" t="e">
        <f>+VLOOKUP(R672,Maps!$A:$C,2,0)</f>
        <v>#N/A</v>
      </c>
      <c r="D672" t="e">
        <f t="shared" si="31"/>
        <v>#VALUE!</v>
      </c>
      <c r="E672" s="39" t="e">
        <f t="shared" si="32"/>
        <v>#VALUE!</v>
      </c>
      <c r="F672" s="7" t="str">
        <f t="array" ref="F672">+TIPOARMA(H672,I672)</f>
        <v>ERRO - REVISAR</v>
      </c>
      <c r="H672" t="str">
        <f t="array" ref="H672">+ARMASTD(N672)</f>
        <v>ERRO - REVISAR</v>
      </c>
      <c r="I672" t="str">
        <f t="array" ref="I672">+CALIBRESTD(O672)</f>
        <v>ERRO - REVISAR</v>
      </c>
    </row>
    <row r="673" spans="1:9" ht="14.25" customHeight="1" x14ac:dyDescent="0.35">
      <c r="A673" s="41" t="str">
        <f t="array" ref="A673">EXTRACTEVENT(Q673,S673)</f>
        <v/>
      </c>
      <c r="B673" s="41" t="str">
        <f t="shared" si="30"/>
        <v>-</v>
      </c>
      <c r="C673" s="41" t="e">
        <f>+VLOOKUP(R673,Maps!$A:$C,2,0)</f>
        <v>#N/A</v>
      </c>
      <c r="D673" s="41" t="e">
        <f t="shared" si="31"/>
        <v>#VALUE!</v>
      </c>
      <c r="E673" s="42" t="e">
        <f t="shared" si="32"/>
        <v>#VALUE!</v>
      </c>
      <c r="F673" s="43" t="str">
        <f t="array" ref="F673">+TIPOARMA(H673,I673)</f>
        <v>ERRO - REVISAR</v>
      </c>
      <c r="G673" s="41"/>
      <c r="H673" s="41" t="str">
        <f t="array" ref="H673">+ARMASTD(N673)</f>
        <v>ERRO - REVISAR</v>
      </c>
      <c r="I673" s="41" t="str">
        <f t="array" ref="I673">+CALIBRESTD(O673)</f>
        <v>ERRO - REVISAR</v>
      </c>
    </row>
    <row r="674" spans="1:9" ht="14.25" customHeight="1" x14ac:dyDescent="0.35">
      <c r="A674" t="str">
        <f t="array" ref="A674">EXTRACTEVENT(Q674,S674)</f>
        <v/>
      </c>
      <c r="B674" t="str">
        <f t="shared" si="30"/>
        <v>-</v>
      </c>
      <c r="C674" t="e">
        <f>+VLOOKUP(R674,Maps!$A:$C,2,0)</f>
        <v>#N/A</v>
      </c>
      <c r="D674" t="e">
        <f t="shared" si="31"/>
        <v>#VALUE!</v>
      </c>
      <c r="E674" s="39" t="e">
        <f t="shared" si="32"/>
        <v>#VALUE!</v>
      </c>
      <c r="F674" s="7" t="str">
        <f t="array" ref="F674">+TIPOARMA(H674,I674)</f>
        <v>ERRO - REVISAR</v>
      </c>
      <c r="H674" t="str">
        <f t="array" ref="H674">+ARMASTD(N674)</f>
        <v>ERRO - REVISAR</v>
      </c>
      <c r="I674" t="str">
        <f t="array" ref="I674">+CALIBRESTD(O674)</f>
        <v>ERRO - REVISAR</v>
      </c>
    </row>
    <row r="675" spans="1:9" ht="14.25" customHeight="1" x14ac:dyDescent="0.35">
      <c r="A675" s="41" t="str">
        <f t="array" ref="A675">EXTRACTEVENT(Q675,S675)</f>
        <v/>
      </c>
      <c r="B675" s="41" t="str">
        <f t="shared" si="30"/>
        <v>-</v>
      </c>
      <c r="C675" s="41" t="e">
        <f>+VLOOKUP(R675,Maps!$A:$C,2,0)</f>
        <v>#N/A</v>
      </c>
      <c r="D675" s="41" t="e">
        <f t="shared" si="31"/>
        <v>#VALUE!</v>
      </c>
      <c r="E675" s="42" t="e">
        <f t="shared" si="32"/>
        <v>#VALUE!</v>
      </c>
      <c r="F675" s="43" t="str">
        <f t="array" ref="F675">+TIPOARMA(H675,I675)</f>
        <v>ERRO - REVISAR</v>
      </c>
      <c r="G675" s="41"/>
      <c r="H675" s="41" t="str">
        <f t="array" ref="H675">+ARMASTD(N675)</f>
        <v>ERRO - REVISAR</v>
      </c>
      <c r="I675" s="41" t="str">
        <f t="array" ref="I675">+CALIBRESTD(O675)</f>
        <v>ERRO - REVISAR</v>
      </c>
    </row>
    <row r="676" spans="1:9" ht="14.25" customHeight="1" x14ac:dyDescent="0.35">
      <c r="A676" t="str">
        <f t="array" ref="A676">EXTRACTEVENT(Q676,S676)</f>
        <v/>
      </c>
      <c r="B676" t="str">
        <f t="shared" si="30"/>
        <v>-</v>
      </c>
      <c r="C676" t="e">
        <f>+VLOOKUP(R676,Maps!$A:$C,2,0)</f>
        <v>#N/A</v>
      </c>
      <c r="D676" t="e">
        <f t="shared" si="31"/>
        <v>#VALUE!</v>
      </c>
      <c r="E676" s="39" t="e">
        <f t="shared" si="32"/>
        <v>#VALUE!</v>
      </c>
      <c r="F676" s="7" t="str">
        <f t="array" ref="F676">+TIPOARMA(H676,I676)</f>
        <v>ERRO - REVISAR</v>
      </c>
      <c r="H676" t="str">
        <f t="array" ref="H676">+ARMASTD(N676)</f>
        <v>ERRO - REVISAR</v>
      </c>
      <c r="I676" t="str">
        <f t="array" ref="I676">+CALIBRESTD(O676)</f>
        <v>ERRO - REVISAR</v>
      </c>
    </row>
    <row r="677" spans="1:9" ht="14.25" customHeight="1" x14ac:dyDescent="0.35">
      <c r="A677" s="41" t="str">
        <f t="array" ref="A677">EXTRACTEVENT(Q677,S677)</f>
        <v/>
      </c>
      <c r="B677" s="41" t="str">
        <f t="shared" si="30"/>
        <v>-</v>
      </c>
      <c r="C677" s="41" t="e">
        <f>+VLOOKUP(R677,Maps!$A:$C,2,0)</f>
        <v>#N/A</v>
      </c>
      <c r="D677" s="41" t="e">
        <f t="shared" si="31"/>
        <v>#VALUE!</v>
      </c>
      <c r="E677" s="42" t="e">
        <f t="shared" si="32"/>
        <v>#VALUE!</v>
      </c>
      <c r="F677" s="43" t="str">
        <f t="array" ref="F677">+TIPOARMA(H677,I677)</f>
        <v>ERRO - REVISAR</v>
      </c>
      <c r="G677" s="41"/>
      <c r="H677" s="41" t="str">
        <f t="array" ref="H677">+ARMASTD(N677)</f>
        <v>ERRO - REVISAR</v>
      </c>
      <c r="I677" s="41" t="str">
        <f t="array" ref="I677">+CALIBRESTD(O677)</f>
        <v>ERRO - REVISAR</v>
      </c>
    </row>
    <row r="678" spans="1:9" ht="14.25" customHeight="1" x14ac:dyDescent="0.35">
      <c r="A678" t="str">
        <f t="array" ref="A678">EXTRACTEVENT(Q678,S678)</f>
        <v/>
      </c>
      <c r="B678" t="str">
        <f t="shared" si="30"/>
        <v>-</v>
      </c>
      <c r="C678" t="e">
        <f>+VLOOKUP(R678,Maps!$A:$C,2,0)</f>
        <v>#N/A</v>
      </c>
      <c r="D678" t="e">
        <f t="shared" si="31"/>
        <v>#VALUE!</v>
      </c>
      <c r="E678" s="39" t="e">
        <f t="shared" si="32"/>
        <v>#VALUE!</v>
      </c>
      <c r="F678" s="7" t="str">
        <f t="array" ref="F678">+TIPOARMA(H678,I678)</f>
        <v>ERRO - REVISAR</v>
      </c>
      <c r="H678" t="str">
        <f t="array" ref="H678">+ARMASTD(N678)</f>
        <v>ERRO - REVISAR</v>
      </c>
      <c r="I678" t="str">
        <f t="array" ref="I678">+CALIBRESTD(O678)</f>
        <v>ERRO - REVISAR</v>
      </c>
    </row>
    <row r="679" spans="1:9" ht="14.25" customHeight="1" x14ac:dyDescent="0.35">
      <c r="A679" s="41" t="str">
        <f t="array" ref="A679">EXTRACTEVENT(Q679,S679)</f>
        <v/>
      </c>
      <c r="B679" s="41" t="str">
        <f t="shared" si="30"/>
        <v>-</v>
      </c>
      <c r="C679" s="41" t="e">
        <f>+VLOOKUP(R679,Maps!$A:$C,2,0)</f>
        <v>#N/A</v>
      </c>
      <c r="D679" s="41" t="e">
        <f t="shared" si="31"/>
        <v>#VALUE!</v>
      </c>
      <c r="E679" s="42" t="e">
        <f t="shared" si="32"/>
        <v>#VALUE!</v>
      </c>
      <c r="F679" s="43" t="str">
        <f t="array" ref="F679">+TIPOARMA(H679,I679)</f>
        <v>ERRO - REVISAR</v>
      </c>
      <c r="G679" s="41"/>
      <c r="H679" s="41" t="str">
        <f t="array" ref="H679">+ARMASTD(N679)</f>
        <v>ERRO - REVISAR</v>
      </c>
      <c r="I679" s="41" t="str">
        <f t="array" ref="I679">+CALIBRESTD(O679)</f>
        <v>ERRO - REVISAR</v>
      </c>
    </row>
    <row r="680" spans="1:9" ht="14.25" customHeight="1" x14ac:dyDescent="0.35">
      <c r="A680" t="str">
        <f t="array" ref="A680">EXTRACTEVENT(Q680,S680)</f>
        <v/>
      </c>
      <c r="B680" t="str">
        <f t="shared" si="30"/>
        <v>-</v>
      </c>
      <c r="C680" t="e">
        <f>+VLOOKUP(R680,Maps!$A:$C,2,0)</f>
        <v>#N/A</v>
      </c>
      <c r="D680" t="e">
        <f t="shared" si="31"/>
        <v>#VALUE!</v>
      </c>
      <c r="E680" s="39" t="e">
        <f t="shared" si="32"/>
        <v>#VALUE!</v>
      </c>
      <c r="F680" s="7" t="str">
        <f t="array" ref="F680">+TIPOARMA(H680,I680)</f>
        <v>ERRO - REVISAR</v>
      </c>
      <c r="H680" t="str">
        <f t="array" ref="H680">+ARMASTD(N680)</f>
        <v>ERRO - REVISAR</v>
      </c>
      <c r="I680" t="str">
        <f t="array" ref="I680">+CALIBRESTD(O680)</f>
        <v>ERRO - REVISAR</v>
      </c>
    </row>
    <row r="681" spans="1:9" ht="14.25" customHeight="1" x14ac:dyDescent="0.35">
      <c r="A681" s="41" t="str">
        <f t="array" ref="A681">EXTRACTEVENT(Q681,S681)</f>
        <v/>
      </c>
      <c r="B681" s="41" t="str">
        <f t="shared" si="30"/>
        <v>-</v>
      </c>
      <c r="C681" s="41" t="e">
        <f>+VLOOKUP(R681,Maps!$A:$C,2,0)</f>
        <v>#N/A</v>
      </c>
      <c r="D681" s="41" t="e">
        <f t="shared" si="31"/>
        <v>#VALUE!</v>
      </c>
      <c r="E681" s="42" t="e">
        <f t="shared" si="32"/>
        <v>#VALUE!</v>
      </c>
      <c r="F681" s="43" t="str">
        <f t="array" ref="F681">+TIPOARMA(H681,I681)</f>
        <v>ERRO - REVISAR</v>
      </c>
      <c r="G681" s="41"/>
      <c r="H681" s="41" t="str">
        <f t="array" ref="H681">+ARMASTD(N681)</f>
        <v>ERRO - REVISAR</v>
      </c>
      <c r="I681" s="41" t="str">
        <f t="array" ref="I681">+CALIBRESTD(O681)</f>
        <v>ERRO - REVISAR</v>
      </c>
    </row>
    <row r="682" spans="1:9" ht="14.25" customHeight="1" x14ac:dyDescent="0.35">
      <c r="A682" t="str">
        <f t="array" ref="A682">EXTRACTEVENT(Q682,S682)</f>
        <v/>
      </c>
      <c r="B682" t="str">
        <f t="shared" si="30"/>
        <v>-</v>
      </c>
      <c r="C682" t="e">
        <f>+VLOOKUP(R682,Maps!$A:$C,2,0)</f>
        <v>#N/A</v>
      </c>
      <c r="D682" t="e">
        <f t="shared" si="31"/>
        <v>#VALUE!</v>
      </c>
      <c r="E682" s="39" t="e">
        <f t="shared" si="32"/>
        <v>#VALUE!</v>
      </c>
      <c r="F682" s="7" t="str">
        <f t="array" ref="F682">+TIPOARMA(H682,I682)</f>
        <v>ERRO - REVISAR</v>
      </c>
      <c r="H682" t="str">
        <f t="array" ref="H682">+ARMASTD(N682)</f>
        <v>ERRO - REVISAR</v>
      </c>
      <c r="I682" t="str">
        <f t="array" ref="I682">+CALIBRESTD(O682)</f>
        <v>ERRO - REVISAR</v>
      </c>
    </row>
    <row r="683" spans="1:9" ht="14.25" customHeight="1" x14ac:dyDescent="0.35">
      <c r="A683" s="41" t="str">
        <f t="array" ref="A683">EXTRACTEVENT(Q683,S683)</f>
        <v/>
      </c>
      <c r="B683" s="41" t="str">
        <f t="shared" si="30"/>
        <v>-</v>
      </c>
      <c r="C683" s="41" t="e">
        <f>+VLOOKUP(R683,Maps!$A:$C,2,0)</f>
        <v>#N/A</v>
      </c>
      <c r="D683" s="41" t="e">
        <f t="shared" si="31"/>
        <v>#VALUE!</v>
      </c>
      <c r="E683" s="42" t="e">
        <f t="shared" si="32"/>
        <v>#VALUE!</v>
      </c>
      <c r="F683" s="43" t="str">
        <f t="array" ref="F683">+TIPOARMA(H683,I683)</f>
        <v>ERRO - REVISAR</v>
      </c>
      <c r="G683" s="41"/>
      <c r="H683" s="41" t="str">
        <f t="array" ref="H683">+ARMASTD(N683)</f>
        <v>ERRO - REVISAR</v>
      </c>
      <c r="I683" s="41" t="str">
        <f t="array" ref="I683">+CALIBRESTD(O683)</f>
        <v>ERRO - REVISAR</v>
      </c>
    </row>
    <row r="684" spans="1:9" ht="14.25" customHeight="1" x14ac:dyDescent="0.35">
      <c r="A684" t="str">
        <f t="array" ref="A684">EXTRACTEVENT(Q684,S684)</f>
        <v/>
      </c>
      <c r="B684" t="str">
        <f t="shared" si="30"/>
        <v>-</v>
      </c>
      <c r="C684" t="e">
        <f>+VLOOKUP(R684,Maps!$A:$C,2,0)</f>
        <v>#N/A</v>
      </c>
      <c r="D684" t="e">
        <f t="shared" si="31"/>
        <v>#VALUE!</v>
      </c>
      <c r="E684" s="39" t="e">
        <f t="shared" si="32"/>
        <v>#VALUE!</v>
      </c>
      <c r="F684" s="7" t="str">
        <f t="array" ref="F684">+TIPOARMA(H684,I684)</f>
        <v>ERRO - REVISAR</v>
      </c>
      <c r="H684" t="str">
        <f t="array" ref="H684">+ARMASTD(N684)</f>
        <v>ERRO - REVISAR</v>
      </c>
      <c r="I684" t="str">
        <f t="array" ref="I684">+CALIBRESTD(O684)</f>
        <v>ERRO - REVISAR</v>
      </c>
    </row>
    <row r="685" spans="1:9" ht="14.25" customHeight="1" x14ac:dyDescent="0.35">
      <c r="A685" s="41" t="str">
        <f t="array" ref="A685">EXTRACTEVENT(Q685,S685)</f>
        <v/>
      </c>
      <c r="B685" s="41" t="str">
        <f t="shared" si="30"/>
        <v>-</v>
      </c>
      <c r="C685" s="41" t="e">
        <f>+VLOOKUP(R685,Maps!$A:$C,2,0)</f>
        <v>#N/A</v>
      </c>
      <c r="D685" s="41" t="e">
        <f t="shared" si="31"/>
        <v>#VALUE!</v>
      </c>
      <c r="E685" s="42" t="e">
        <f t="shared" si="32"/>
        <v>#VALUE!</v>
      </c>
      <c r="F685" s="43" t="str">
        <f t="array" ref="F685">+TIPOARMA(H685,I685)</f>
        <v>ERRO - REVISAR</v>
      </c>
      <c r="G685" s="41"/>
      <c r="H685" s="41" t="str">
        <f t="array" ref="H685">+ARMASTD(N685)</f>
        <v>ERRO - REVISAR</v>
      </c>
      <c r="I685" s="41" t="str">
        <f t="array" ref="I685">+CALIBRESTD(O685)</f>
        <v>ERRO - REVISAR</v>
      </c>
    </row>
    <row r="686" spans="1:9" ht="14.25" customHeight="1" x14ac:dyDescent="0.35">
      <c r="A686" t="str">
        <f t="array" ref="A686">EXTRACTEVENT(Q686,S686)</f>
        <v/>
      </c>
      <c r="B686" t="str">
        <f t="shared" si="30"/>
        <v>-</v>
      </c>
      <c r="C686" t="e">
        <f>+VLOOKUP(R686,Maps!$A:$C,2,0)</f>
        <v>#N/A</v>
      </c>
      <c r="D686" t="e">
        <f t="shared" si="31"/>
        <v>#VALUE!</v>
      </c>
      <c r="E686" s="39" t="e">
        <f t="shared" si="32"/>
        <v>#VALUE!</v>
      </c>
      <c r="F686" s="7" t="str">
        <f t="array" ref="F686">+TIPOARMA(H686,I686)</f>
        <v>ERRO - REVISAR</v>
      </c>
      <c r="H686" t="str">
        <f t="array" ref="H686">+ARMASTD(N686)</f>
        <v>ERRO - REVISAR</v>
      </c>
      <c r="I686" t="str">
        <f t="array" ref="I686">+CALIBRESTD(O686)</f>
        <v>ERRO - REVISAR</v>
      </c>
    </row>
    <row r="687" spans="1:9" ht="14.25" customHeight="1" x14ac:dyDescent="0.35">
      <c r="A687" s="41" t="str">
        <f t="array" ref="A687">EXTRACTEVENT(Q687,S687)</f>
        <v/>
      </c>
      <c r="B687" s="41" t="str">
        <f t="shared" si="30"/>
        <v>-</v>
      </c>
      <c r="C687" s="41" t="e">
        <f>+VLOOKUP(R687,Maps!$A:$C,2,0)</f>
        <v>#N/A</v>
      </c>
      <c r="D687" s="41" t="e">
        <f t="shared" si="31"/>
        <v>#VALUE!</v>
      </c>
      <c r="E687" s="42" t="e">
        <f t="shared" si="32"/>
        <v>#VALUE!</v>
      </c>
      <c r="F687" s="43" t="str">
        <f t="array" ref="F687">+TIPOARMA(H687,I687)</f>
        <v>ERRO - REVISAR</v>
      </c>
      <c r="G687" s="41"/>
      <c r="H687" s="41" t="str">
        <f t="array" ref="H687">+ARMASTD(N687)</f>
        <v>ERRO - REVISAR</v>
      </c>
      <c r="I687" s="41" t="str">
        <f t="array" ref="I687">+CALIBRESTD(O687)</f>
        <v>ERRO - REVISAR</v>
      </c>
    </row>
    <row r="688" spans="1:9" ht="14.25" customHeight="1" x14ac:dyDescent="0.35">
      <c r="A688" t="str">
        <f t="array" ref="A688">EXTRACTEVENT(Q688,S688)</f>
        <v/>
      </c>
      <c r="B688" t="str">
        <f t="shared" si="30"/>
        <v>-</v>
      </c>
      <c r="C688" t="e">
        <f>+VLOOKUP(R688,Maps!$A:$C,2,0)</f>
        <v>#N/A</v>
      </c>
      <c r="D688" t="e">
        <f t="shared" si="31"/>
        <v>#VALUE!</v>
      </c>
      <c r="E688" s="39" t="e">
        <f t="shared" si="32"/>
        <v>#VALUE!</v>
      </c>
      <c r="F688" s="7" t="str">
        <f t="array" ref="F688">+TIPOARMA(H688,I688)</f>
        <v>ERRO - REVISAR</v>
      </c>
      <c r="H688" t="str">
        <f t="array" ref="H688">+ARMASTD(N688)</f>
        <v>ERRO - REVISAR</v>
      </c>
      <c r="I688" t="str">
        <f t="array" ref="I688">+CALIBRESTD(O688)</f>
        <v>ERRO - REVISAR</v>
      </c>
    </row>
    <row r="689" spans="1:9" ht="14.25" customHeight="1" x14ac:dyDescent="0.35">
      <c r="A689" s="41" t="str">
        <f t="array" ref="A689">EXTRACTEVENT(Q689,S689)</f>
        <v/>
      </c>
      <c r="B689" s="41" t="str">
        <f t="shared" si="30"/>
        <v>-</v>
      </c>
      <c r="C689" s="41" t="e">
        <f>+VLOOKUP(R689,Maps!$A:$C,2,0)</f>
        <v>#N/A</v>
      </c>
      <c r="D689" s="41" t="e">
        <f t="shared" si="31"/>
        <v>#VALUE!</v>
      </c>
      <c r="E689" s="42" t="e">
        <f t="shared" si="32"/>
        <v>#VALUE!</v>
      </c>
      <c r="F689" s="43" t="str">
        <f t="array" ref="F689">+TIPOARMA(H689,I689)</f>
        <v>ERRO - REVISAR</v>
      </c>
      <c r="G689" s="41"/>
      <c r="H689" s="41" t="str">
        <f t="array" ref="H689">+ARMASTD(N689)</f>
        <v>ERRO - REVISAR</v>
      </c>
      <c r="I689" s="41" t="str">
        <f t="array" ref="I689">+CALIBRESTD(O689)</f>
        <v>ERRO - REVISAR</v>
      </c>
    </row>
    <row r="690" spans="1:9" ht="14.25" customHeight="1" x14ac:dyDescent="0.35">
      <c r="A690" t="str">
        <f t="array" ref="A690">EXTRACTEVENT(Q690,S690)</f>
        <v/>
      </c>
      <c r="B690" t="str">
        <f t="shared" si="30"/>
        <v>-</v>
      </c>
      <c r="C690" t="e">
        <f>+VLOOKUP(R690,Maps!$A:$C,2,0)</f>
        <v>#N/A</v>
      </c>
      <c r="D690" t="e">
        <f t="shared" si="31"/>
        <v>#VALUE!</v>
      </c>
      <c r="E690" s="39" t="e">
        <f t="shared" si="32"/>
        <v>#VALUE!</v>
      </c>
      <c r="F690" s="7" t="str">
        <f t="array" ref="F690">+TIPOARMA(H690,I690)</f>
        <v>ERRO - REVISAR</v>
      </c>
      <c r="H690" t="str">
        <f t="array" ref="H690">+ARMASTD(N690)</f>
        <v>ERRO - REVISAR</v>
      </c>
      <c r="I690" t="str">
        <f t="array" ref="I690">+CALIBRESTD(O690)</f>
        <v>ERRO - REVISAR</v>
      </c>
    </row>
    <row r="691" spans="1:9" ht="14.25" customHeight="1" x14ac:dyDescent="0.35">
      <c r="A691" s="41" t="str">
        <f t="array" ref="A691">EXTRACTEVENT(Q691,S691)</f>
        <v/>
      </c>
      <c r="B691" s="41" t="str">
        <f t="shared" si="30"/>
        <v>-</v>
      </c>
      <c r="C691" s="41" t="e">
        <f>+VLOOKUP(R691,Maps!$A:$C,2,0)</f>
        <v>#N/A</v>
      </c>
      <c r="D691" s="41" t="e">
        <f t="shared" si="31"/>
        <v>#VALUE!</v>
      </c>
      <c r="E691" s="42" t="e">
        <f t="shared" si="32"/>
        <v>#VALUE!</v>
      </c>
      <c r="F691" s="43" t="str">
        <f t="array" ref="F691">+TIPOARMA(H691,I691)</f>
        <v>ERRO - REVISAR</v>
      </c>
      <c r="G691" s="41"/>
      <c r="H691" s="41" t="str">
        <f t="array" ref="H691">+ARMASTD(N691)</f>
        <v>ERRO - REVISAR</v>
      </c>
      <c r="I691" s="41" t="str">
        <f t="array" ref="I691">+CALIBRESTD(O691)</f>
        <v>ERRO - REVISAR</v>
      </c>
    </row>
    <row r="692" spans="1:9" ht="14.25" customHeight="1" x14ac:dyDescent="0.35">
      <c r="A692" t="str">
        <f t="array" ref="A692">EXTRACTEVENT(Q692,S692)</f>
        <v/>
      </c>
      <c r="B692" t="str">
        <f t="shared" si="30"/>
        <v>-</v>
      </c>
      <c r="C692" t="e">
        <f>+VLOOKUP(R692,Maps!$A:$C,2,0)</f>
        <v>#N/A</v>
      </c>
      <c r="D692" t="e">
        <f t="shared" si="31"/>
        <v>#VALUE!</v>
      </c>
      <c r="E692" s="39" t="e">
        <f t="shared" si="32"/>
        <v>#VALUE!</v>
      </c>
      <c r="F692" s="7" t="str">
        <f t="array" ref="F692">+TIPOARMA(H692,I692)</f>
        <v>ERRO - REVISAR</v>
      </c>
      <c r="H692" t="str">
        <f t="array" ref="H692">+ARMASTD(N692)</f>
        <v>ERRO - REVISAR</v>
      </c>
      <c r="I692" t="str">
        <f t="array" ref="I692">+CALIBRESTD(O692)</f>
        <v>ERRO - REVISAR</v>
      </c>
    </row>
    <row r="693" spans="1:9" ht="14.25" customHeight="1" x14ac:dyDescent="0.35">
      <c r="A693" s="41" t="str">
        <f t="array" ref="A693">EXTRACTEVENT(Q693,S693)</f>
        <v/>
      </c>
      <c r="B693" s="41" t="str">
        <f t="shared" si="30"/>
        <v>-</v>
      </c>
      <c r="C693" s="41" t="e">
        <f>+VLOOKUP(R693,Maps!$A:$C,2,0)</f>
        <v>#N/A</v>
      </c>
      <c r="D693" s="41" t="e">
        <f t="shared" si="31"/>
        <v>#VALUE!</v>
      </c>
      <c r="E693" s="42" t="e">
        <f t="shared" si="32"/>
        <v>#VALUE!</v>
      </c>
      <c r="F693" s="43" t="str">
        <f t="array" ref="F693">+TIPOARMA(H693,I693)</f>
        <v>ERRO - REVISAR</v>
      </c>
      <c r="G693" s="41"/>
      <c r="H693" s="41" t="str">
        <f t="array" ref="H693">+ARMASTD(N693)</f>
        <v>ERRO - REVISAR</v>
      </c>
      <c r="I693" s="41" t="str">
        <f t="array" ref="I693">+CALIBRESTD(O693)</f>
        <v>ERRO - REVISAR</v>
      </c>
    </row>
    <row r="694" spans="1:9" ht="14.25" customHeight="1" x14ac:dyDescent="0.35">
      <c r="A694" t="str">
        <f t="array" ref="A694">EXTRACTEVENT(Q694,S694)</f>
        <v/>
      </c>
      <c r="B694" t="str">
        <f t="shared" si="30"/>
        <v>-</v>
      </c>
      <c r="C694" t="e">
        <f>+VLOOKUP(R694,Maps!$A:$C,2,0)</f>
        <v>#N/A</v>
      </c>
      <c r="D694" t="e">
        <f t="shared" si="31"/>
        <v>#VALUE!</v>
      </c>
      <c r="E694" s="39" t="e">
        <f t="shared" si="32"/>
        <v>#VALUE!</v>
      </c>
      <c r="F694" s="7" t="str">
        <f t="array" ref="F694">+TIPOARMA(H694,I694)</f>
        <v>ERRO - REVISAR</v>
      </c>
      <c r="H694" t="str">
        <f t="array" ref="H694">+ARMASTD(N694)</f>
        <v>ERRO - REVISAR</v>
      </c>
      <c r="I694" t="str">
        <f t="array" ref="I694">+CALIBRESTD(O694)</f>
        <v>ERRO - REVISAR</v>
      </c>
    </row>
    <row r="695" spans="1:9" ht="14.25" customHeight="1" x14ac:dyDescent="0.35">
      <c r="A695" s="41" t="str">
        <f t="array" ref="A695">EXTRACTEVENT(Q695,S695)</f>
        <v/>
      </c>
      <c r="B695" s="41" t="str">
        <f t="shared" si="30"/>
        <v>-</v>
      </c>
      <c r="C695" s="41" t="e">
        <f>+VLOOKUP(R695,Maps!$A:$C,2,0)</f>
        <v>#N/A</v>
      </c>
      <c r="D695" s="41" t="e">
        <f t="shared" si="31"/>
        <v>#VALUE!</v>
      </c>
      <c r="E695" s="42" t="e">
        <f t="shared" si="32"/>
        <v>#VALUE!</v>
      </c>
      <c r="F695" s="43" t="str">
        <f t="array" ref="F695">+TIPOARMA(H695,I695)</f>
        <v>ERRO - REVISAR</v>
      </c>
      <c r="G695" s="41"/>
      <c r="H695" s="41" t="str">
        <f t="array" ref="H695">+ARMASTD(N695)</f>
        <v>ERRO - REVISAR</v>
      </c>
      <c r="I695" s="41" t="str">
        <f t="array" ref="I695">+CALIBRESTD(O695)</f>
        <v>ERRO - REVISAR</v>
      </c>
    </row>
    <row r="696" spans="1:9" ht="14.25" customHeight="1" x14ac:dyDescent="0.35">
      <c r="A696" t="str">
        <f t="array" ref="A696">EXTRACTEVENT(Q696,S696)</f>
        <v/>
      </c>
      <c r="B696" t="str">
        <f t="shared" si="30"/>
        <v>-</v>
      </c>
      <c r="C696" t="e">
        <f>+VLOOKUP(R696,Maps!$A:$C,2,0)</f>
        <v>#N/A</v>
      </c>
      <c r="D696" t="e">
        <f t="shared" si="31"/>
        <v>#VALUE!</v>
      </c>
      <c r="E696" s="39" t="e">
        <f t="shared" si="32"/>
        <v>#VALUE!</v>
      </c>
      <c r="F696" s="7" t="str">
        <f t="array" ref="F696">+TIPOARMA(H696,I696)</f>
        <v>ERRO - REVISAR</v>
      </c>
      <c r="H696" t="str">
        <f t="array" ref="H696">+ARMASTD(N696)</f>
        <v>ERRO - REVISAR</v>
      </c>
      <c r="I696" t="str">
        <f t="array" ref="I696">+CALIBRESTD(O696)</f>
        <v>ERRO - REVISAR</v>
      </c>
    </row>
    <row r="697" spans="1:9" ht="14.25" customHeight="1" x14ac:dyDescent="0.35">
      <c r="A697" s="41" t="str">
        <f t="array" ref="A697">EXTRACTEVENT(Q697,S697)</f>
        <v/>
      </c>
      <c r="B697" s="41" t="str">
        <f t="shared" si="30"/>
        <v>-</v>
      </c>
      <c r="C697" s="41" t="e">
        <f>+VLOOKUP(R697,Maps!$A:$C,2,0)</f>
        <v>#N/A</v>
      </c>
      <c r="D697" s="41" t="e">
        <f t="shared" si="31"/>
        <v>#VALUE!</v>
      </c>
      <c r="E697" s="42" t="e">
        <f t="shared" si="32"/>
        <v>#VALUE!</v>
      </c>
      <c r="F697" s="43" t="str">
        <f t="array" ref="F697">+TIPOARMA(H697,I697)</f>
        <v>ERRO - REVISAR</v>
      </c>
      <c r="G697" s="41"/>
      <c r="H697" s="41" t="str">
        <f t="array" ref="H697">+ARMASTD(N697)</f>
        <v>ERRO - REVISAR</v>
      </c>
      <c r="I697" s="41" t="str">
        <f t="array" ref="I697">+CALIBRESTD(O697)</f>
        <v>ERRO - REVISAR</v>
      </c>
    </row>
    <row r="698" spans="1:9" ht="14.25" customHeight="1" x14ac:dyDescent="0.35">
      <c r="A698" t="str">
        <f t="array" ref="A698">EXTRACTEVENT(Q698,S698)</f>
        <v/>
      </c>
      <c r="B698" t="str">
        <f t="shared" si="30"/>
        <v>-</v>
      </c>
      <c r="C698" t="e">
        <f>+VLOOKUP(R698,Maps!$A:$C,2,0)</f>
        <v>#N/A</v>
      </c>
      <c r="D698" t="e">
        <f t="shared" si="31"/>
        <v>#VALUE!</v>
      </c>
      <c r="E698" s="39" t="e">
        <f t="shared" si="32"/>
        <v>#VALUE!</v>
      </c>
      <c r="F698" s="7" t="str">
        <f t="array" ref="F698">+TIPOARMA(H698,I698)</f>
        <v>ERRO - REVISAR</v>
      </c>
      <c r="H698" t="str">
        <f t="array" ref="H698">+ARMASTD(N698)</f>
        <v>ERRO - REVISAR</v>
      </c>
      <c r="I698" t="str">
        <f t="array" ref="I698">+CALIBRESTD(O698)</f>
        <v>ERRO - REVISAR</v>
      </c>
    </row>
    <row r="699" spans="1:9" ht="14.25" customHeight="1" x14ac:dyDescent="0.35">
      <c r="A699" s="41" t="str">
        <f t="array" ref="A699">EXTRACTEVENT(Q699,S699)</f>
        <v/>
      </c>
      <c r="B699" s="41" t="str">
        <f t="shared" si="30"/>
        <v>-</v>
      </c>
      <c r="C699" s="41" t="e">
        <f>+VLOOKUP(R699,Maps!$A:$C,2,0)</f>
        <v>#N/A</v>
      </c>
      <c r="D699" s="41" t="e">
        <f t="shared" si="31"/>
        <v>#VALUE!</v>
      </c>
      <c r="E699" s="42" t="e">
        <f t="shared" si="32"/>
        <v>#VALUE!</v>
      </c>
      <c r="F699" s="43" t="str">
        <f t="array" ref="F699">+TIPOARMA(H699,I699)</f>
        <v>ERRO - REVISAR</v>
      </c>
      <c r="G699" s="41"/>
      <c r="H699" s="41" t="str">
        <f t="array" ref="H699">+ARMASTD(N699)</f>
        <v>ERRO - REVISAR</v>
      </c>
      <c r="I699" s="41" t="str">
        <f t="array" ref="I699">+CALIBRESTD(O699)</f>
        <v>ERRO - REVISAR</v>
      </c>
    </row>
    <row r="700" spans="1:9" ht="14.25" customHeight="1" x14ac:dyDescent="0.35">
      <c r="A700" t="str">
        <f t="array" ref="A700">EXTRACTEVENT(Q700,S700)</f>
        <v/>
      </c>
      <c r="B700" t="str">
        <f t="shared" si="30"/>
        <v>-</v>
      </c>
      <c r="C700" t="e">
        <f>+VLOOKUP(R700,Maps!$A:$C,2,0)</f>
        <v>#N/A</v>
      </c>
      <c r="D700" t="e">
        <f t="shared" si="31"/>
        <v>#VALUE!</v>
      </c>
      <c r="E700" s="39" t="e">
        <f t="shared" si="32"/>
        <v>#VALUE!</v>
      </c>
      <c r="F700" s="7" t="str">
        <f t="array" ref="F700">+TIPOARMA(H700,I700)</f>
        <v>ERRO - REVISAR</v>
      </c>
      <c r="H700" t="str">
        <f t="array" ref="H700">+ARMASTD(N700)</f>
        <v>ERRO - REVISAR</v>
      </c>
      <c r="I700" t="str">
        <f t="array" ref="I700">+CALIBRESTD(O700)</f>
        <v>ERRO - REVISAR</v>
      </c>
    </row>
    <row r="701" spans="1:9" ht="14.25" customHeight="1" x14ac:dyDescent="0.35">
      <c r="A701" s="41" t="str">
        <f t="array" ref="A701">EXTRACTEVENT(Q701,S701)</f>
        <v/>
      </c>
      <c r="B701" s="41" t="str">
        <f t="shared" si="30"/>
        <v>-</v>
      </c>
      <c r="C701" s="41" t="e">
        <f>+VLOOKUP(R701,Maps!$A:$C,2,0)</f>
        <v>#N/A</v>
      </c>
      <c r="D701" s="41" t="e">
        <f t="shared" si="31"/>
        <v>#VALUE!</v>
      </c>
      <c r="E701" s="42" t="e">
        <f t="shared" si="32"/>
        <v>#VALUE!</v>
      </c>
      <c r="F701" s="43" t="str">
        <f t="array" ref="F701">+TIPOARMA(H701,I701)</f>
        <v>ERRO - REVISAR</v>
      </c>
      <c r="G701" s="41"/>
      <c r="H701" s="41" t="str">
        <f t="array" ref="H701">+ARMASTD(N701)</f>
        <v>ERRO - REVISAR</v>
      </c>
      <c r="I701" s="41" t="str">
        <f t="array" ref="I701">+CALIBRESTD(O701)</f>
        <v>ERRO - REVISAR</v>
      </c>
    </row>
    <row r="702" spans="1:9" ht="14.25" customHeight="1" x14ac:dyDescent="0.35">
      <c r="A702" t="str">
        <f t="array" ref="A702">EXTRACTEVENT(Q702,S702)</f>
        <v/>
      </c>
      <c r="B702" t="str">
        <f t="shared" si="30"/>
        <v>-</v>
      </c>
      <c r="C702" t="e">
        <f>+VLOOKUP(R702,Maps!$A:$C,2,0)</f>
        <v>#N/A</v>
      </c>
      <c r="D702" t="e">
        <f t="shared" si="31"/>
        <v>#VALUE!</v>
      </c>
      <c r="E702" s="39" t="e">
        <f t="shared" si="32"/>
        <v>#VALUE!</v>
      </c>
      <c r="F702" s="7" t="str">
        <f t="array" ref="F702">+TIPOARMA(H702,I702)</f>
        <v>ERRO - REVISAR</v>
      </c>
      <c r="H702" t="str">
        <f t="array" ref="H702">+ARMASTD(N702)</f>
        <v>ERRO - REVISAR</v>
      </c>
      <c r="I702" t="str">
        <f t="array" ref="I702">+CALIBRESTD(O702)</f>
        <v>ERRO - REVISAR</v>
      </c>
    </row>
    <row r="703" spans="1:9" ht="14.25" customHeight="1" x14ac:dyDescent="0.35">
      <c r="A703" s="41" t="str">
        <f t="array" ref="A703">EXTRACTEVENT(Q703,S703)</f>
        <v/>
      </c>
      <c r="B703" s="41" t="str">
        <f t="shared" si="30"/>
        <v>-</v>
      </c>
      <c r="C703" s="41" t="e">
        <f>+VLOOKUP(R703,Maps!$A:$C,2,0)</f>
        <v>#N/A</v>
      </c>
      <c r="D703" s="41" t="e">
        <f t="shared" si="31"/>
        <v>#VALUE!</v>
      </c>
      <c r="E703" s="42" t="e">
        <f t="shared" si="32"/>
        <v>#VALUE!</v>
      </c>
      <c r="F703" s="43" t="str">
        <f t="array" ref="F703">+TIPOARMA(H703,I703)</f>
        <v>ERRO - REVISAR</v>
      </c>
      <c r="G703" s="41"/>
      <c r="H703" s="41" t="str">
        <f t="array" ref="H703">+ARMASTD(N703)</f>
        <v>ERRO - REVISAR</v>
      </c>
      <c r="I703" s="41" t="str">
        <f t="array" ref="I703">+CALIBRESTD(O703)</f>
        <v>ERRO - REVISAR</v>
      </c>
    </row>
    <row r="704" spans="1:9" ht="14.25" customHeight="1" x14ac:dyDescent="0.35">
      <c r="A704" t="str">
        <f t="array" ref="A704">EXTRACTEVENT(Q704,S704)</f>
        <v/>
      </c>
      <c r="B704" t="str">
        <f t="shared" si="30"/>
        <v>-</v>
      </c>
      <c r="C704" t="e">
        <f>+VLOOKUP(R704,Maps!$A:$C,2,0)</f>
        <v>#N/A</v>
      </c>
      <c r="D704" t="e">
        <f t="shared" si="31"/>
        <v>#VALUE!</v>
      </c>
      <c r="E704" s="39" t="e">
        <f t="shared" si="32"/>
        <v>#VALUE!</v>
      </c>
      <c r="F704" s="7" t="str">
        <f t="array" ref="F704">+TIPOARMA(H704,I704)</f>
        <v>ERRO - REVISAR</v>
      </c>
      <c r="H704" t="str">
        <f t="array" ref="H704">+ARMASTD(N704)</f>
        <v>ERRO - REVISAR</v>
      </c>
      <c r="I704" t="str">
        <f t="array" ref="I704">+CALIBRESTD(O704)</f>
        <v>ERRO - REVISAR</v>
      </c>
    </row>
    <row r="705" spans="1:9" ht="14.25" customHeight="1" x14ac:dyDescent="0.35">
      <c r="A705" s="41" t="str">
        <f t="array" ref="A705">EXTRACTEVENT(Q705,S705)</f>
        <v/>
      </c>
      <c r="B705" s="41" t="str">
        <f t="shared" si="30"/>
        <v>-</v>
      </c>
      <c r="C705" s="41" t="e">
        <f>+VLOOKUP(R705,Maps!$A:$C,2,0)</f>
        <v>#N/A</v>
      </c>
      <c r="D705" s="41" t="e">
        <f t="shared" si="31"/>
        <v>#VALUE!</v>
      </c>
      <c r="E705" s="42" t="e">
        <f t="shared" si="32"/>
        <v>#VALUE!</v>
      </c>
      <c r="F705" s="43" t="str">
        <f t="array" ref="F705">+TIPOARMA(H705,I705)</f>
        <v>ERRO - REVISAR</v>
      </c>
      <c r="G705" s="41"/>
      <c r="H705" s="41" t="str">
        <f t="array" ref="H705">+ARMASTD(N705)</f>
        <v>ERRO - REVISAR</v>
      </c>
      <c r="I705" s="41" t="str">
        <f t="array" ref="I705">+CALIBRESTD(O705)</f>
        <v>ERRO - REVISAR</v>
      </c>
    </row>
    <row r="706" spans="1:9" ht="14.25" customHeight="1" x14ac:dyDescent="0.35">
      <c r="A706" t="str">
        <f t="array" ref="A706">EXTRACTEVENT(Q706,S706)</f>
        <v/>
      </c>
      <c r="B706" t="str">
        <f t="shared" ref="B706:B769" si="33">+EXTRACTETAPANUM(Q706)</f>
        <v>-</v>
      </c>
      <c r="C706" t="e">
        <f>+VLOOKUP(R706,Maps!$A:$C,2,0)</f>
        <v>#N/A</v>
      </c>
      <c r="D706" t="e">
        <f t="shared" ref="D706:D769" si="34">+DEFINEAMBITO(Q706,C706)</f>
        <v>#VALUE!</v>
      </c>
      <c r="E706" s="39" t="e">
        <f t="shared" ref="E706:E769" si="35">DATEVALUE(L706)</f>
        <v>#VALUE!</v>
      </c>
      <c r="F706" s="7" t="str">
        <f t="array" ref="F706">+TIPOARMA(H706,I706)</f>
        <v>ERRO - REVISAR</v>
      </c>
      <c r="H706" t="str">
        <f t="array" ref="H706">+ARMASTD(N706)</f>
        <v>ERRO - REVISAR</v>
      </c>
      <c r="I706" t="str">
        <f t="array" ref="I706">+CALIBRESTD(O706)</f>
        <v>ERRO - REVISAR</v>
      </c>
    </row>
    <row r="707" spans="1:9" ht="14.25" customHeight="1" x14ac:dyDescent="0.35">
      <c r="A707" s="41" t="str">
        <f t="array" ref="A707">EXTRACTEVENT(Q707,S707)</f>
        <v/>
      </c>
      <c r="B707" s="41" t="str">
        <f t="shared" si="33"/>
        <v>-</v>
      </c>
      <c r="C707" s="41" t="e">
        <f>+VLOOKUP(R707,Maps!$A:$C,2,0)</f>
        <v>#N/A</v>
      </c>
      <c r="D707" s="41" t="e">
        <f t="shared" si="34"/>
        <v>#VALUE!</v>
      </c>
      <c r="E707" s="42" t="e">
        <f t="shared" si="35"/>
        <v>#VALUE!</v>
      </c>
      <c r="F707" s="43" t="str">
        <f t="array" ref="F707">+TIPOARMA(H707,I707)</f>
        <v>ERRO - REVISAR</v>
      </c>
      <c r="G707" s="41"/>
      <c r="H707" s="41" t="str">
        <f t="array" ref="H707">+ARMASTD(N707)</f>
        <v>ERRO - REVISAR</v>
      </c>
      <c r="I707" s="41" t="str">
        <f t="array" ref="I707">+CALIBRESTD(O707)</f>
        <v>ERRO - REVISAR</v>
      </c>
    </row>
    <row r="708" spans="1:9" ht="14.25" customHeight="1" x14ac:dyDescent="0.35">
      <c r="A708" t="str">
        <f t="array" ref="A708">EXTRACTEVENT(Q708,S708)</f>
        <v/>
      </c>
      <c r="B708" t="str">
        <f t="shared" si="33"/>
        <v>-</v>
      </c>
      <c r="C708" t="e">
        <f>+VLOOKUP(R708,Maps!$A:$C,2,0)</f>
        <v>#N/A</v>
      </c>
      <c r="D708" t="e">
        <f t="shared" si="34"/>
        <v>#VALUE!</v>
      </c>
      <c r="E708" s="39" t="e">
        <f t="shared" si="35"/>
        <v>#VALUE!</v>
      </c>
      <c r="F708" s="7" t="str">
        <f t="array" ref="F708">+TIPOARMA(H708,I708)</f>
        <v>ERRO - REVISAR</v>
      </c>
      <c r="H708" t="str">
        <f t="array" ref="H708">+ARMASTD(N708)</f>
        <v>ERRO - REVISAR</v>
      </c>
      <c r="I708" t="str">
        <f t="array" ref="I708">+CALIBRESTD(O708)</f>
        <v>ERRO - REVISAR</v>
      </c>
    </row>
    <row r="709" spans="1:9" ht="14.25" customHeight="1" x14ac:dyDescent="0.35">
      <c r="A709" s="41" t="str">
        <f t="array" ref="A709">EXTRACTEVENT(Q709,S709)</f>
        <v/>
      </c>
      <c r="B709" s="41" t="str">
        <f t="shared" si="33"/>
        <v>-</v>
      </c>
      <c r="C709" s="41" t="e">
        <f>+VLOOKUP(R709,Maps!$A:$C,2,0)</f>
        <v>#N/A</v>
      </c>
      <c r="D709" s="41" t="e">
        <f t="shared" si="34"/>
        <v>#VALUE!</v>
      </c>
      <c r="E709" s="42" t="e">
        <f t="shared" si="35"/>
        <v>#VALUE!</v>
      </c>
      <c r="F709" s="43" t="str">
        <f t="array" ref="F709">+TIPOARMA(H709,I709)</f>
        <v>ERRO - REVISAR</v>
      </c>
      <c r="G709" s="41"/>
      <c r="H709" s="41" t="str">
        <f t="array" ref="H709">+ARMASTD(N709)</f>
        <v>ERRO - REVISAR</v>
      </c>
      <c r="I709" s="41" t="str">
        <f t="array" ref="I709">+CALIBRESTD(O709)</f>
        <v>ERRO - REVISAR</v>
      </c>
    </row>
    <row r="710" spans="1:9" ht="14.25" customHeight="1" x14ac:dyDescent="0.35">
      <c r="A710" t="str">
        <f t="array" ref="A710">EXTRACTEVENT(Q710,S710)</f>
        <v/>
      </c>
      <c r="B710" t="str">
        <f t="shared" si="33"/>
        <v>-</v>
      </c>
      <c r="C710" t="e">
        <f>+VLOOKUP(R710,Maps!$A:$C,2,0)</f>
        <v>#N/A</v>
      </c>
      <c r="D710" t="e">
        <f t="shared" si="34"/>
        <v>#VALUE!</v>
      </c>
      <c r="E710" s="39" t="e">
        <f t="shared" si="35"/>
        <v>#VALUE!</v>
      </c>
      <c r="F710" s="7" t="str">
        <f t="array" ref="F710">+TIPOARMA(H710,I710)</f>
        <v>ERRO - REVISAR</v>
      </c>
      <c r="H710" t="str">
        <f t="array" ref="H710">+ARMASTD(N710)</f>
        <v>ERRO - REVISAR</v>
      </c>
      <c r="I710" t="str">
        <f t="array" ref="I710">+CALIBRESTD(O710)</f>
        <v>ERRO - REVISAR</v>
      </c>
    </row>
    <row r="711" spans="1:9" ht="14.25" customHeight="1" x14ac:dyDescent="0.35">
      <c r="A711" s="41" t="str">
        <f t="array" ref="A711">EXTRACTEVENT(Q711,S711)</f>
        <v/>
      </c>
      <c r="B711" s="41" t="str">
        <f t="shared" si="33"/>
        <v>-</v>
      </c>
      <c r="C711" s="41" t="e">
        <f>+VLOOKUP(R711,Maps!$A:$C,2,0)</f>
        <v>#N/A</v>
      </c>
      <c r="D711" s="41" t="e">
        <f t="shared" si="34"/>
        <v>#VALUE!</v>
      </c>
      <c r="E711" s="42" t="e">
        <f t="shared" si="35"/>
        <v>#VALUE!</v>
      </c>
      <c r="F711" s="43" t="str">
        <f t="array" ref="F711">+TIPOARMA(H711,I711)</f>
        <v>ERRO - REVISAR</v>
      </c>
      <c r="G711" s="41"/>
      <c r="H711" s="41" t="str">
        <f t="array" ref="H711">+ARMASTD(N711)</f>
        <v>ERRO - REVISAR</v>
      </c>
      <c r="I711" s="41" t="str">
        <f t="array" ref="I711">+CALIBRESTD(O711)</f>
        <v>ERRO - REVISAR</v>
      </c>
    </row>
    <row r="712" spans="1:9" ht="14.25" customHeight="1" x14ac:dyDescent="0.35">
      <c r="A712" t="str">
        <f t="array" ref="A712">EXTRACTEVENT(Q712,S712)</f>
        <v/>
      </c>
      <c r="B712" t="str">
        <f t="shared" si="33"/>
        <v>-</v>
      </c>
      <c r="C712" t="e">
        <f>+VLOOKUP(R712,Maps!$A:$C,2,0)</f>
        <v>#N/A</v>
      </c>
      <c r="D712" t="e">
        <f t="shared" si="34"/>
        <v>#VALUE!</v>
      </c>
      <c r="E712" s="39" t="e">
        <f t="shared" si="35"/>
        <v>#VALUE!</v>
      </c>
      <c r="F712" s="7" t="str">
        <f t="array" ref="F712">+TIPOARMA(H712,I712)</f>
        <v>ERRO - REVISAR</v>
      </c>
      <c r="H712" t="str">
        <f t="array" ref="H712">+ARMASTD(N712)</f>
        <v>ERRO - REVISAR</v>
      </c>
      <c r="I712" t="str">
        <f t="array" ref="I712">+CALIBRESTD(O712)</f>
        <v>ERRO - REVISAR</v>
      </c>
    </row>
    <row r="713" spans="1:9" ht="14.25" customHeight="1" x14ac:dyDescent="0.35">
      <c r="A713" s="41" t="str">
        <f t="array" ref="A713">EXTRACTEVENT(Q713,S713)</f>
        <v/>
      </c>
      <c r="B713" s="41" t="str">
        <f t="shared" si="33"/>
        <v>-</v>
      </c>
      <c r="C713" s="41" t="e">
        <f>+VLOOKUP(R713,Maps!$A:$C,2,0)</f>
        <v>#N/A</v>
      </c>
      <c r="D713" s="41" t="e">
        <f t="shared" si="34"/>
        <v>#VALUE!</v>
      </c>
      <c r="E713" s="42" t="e">
        <f t="shared" si="35"/>
        <v>#VALUE!</v>
      </c>
      <c r="F713" s="43" t="str">
        <f t="array" ref="F713">+TIPOARMA(H713,I713)</f>
        <v>ERRO - REVISAR</v>
      </c>
      <c r="G713" s="41"/>
      <c r="H713" s="41" t="str">
        <f t="array" ref="H713">+ARMASTD(N713)</f>
        <v>ERRO - REVISAR</v>
      </c>
      <c r="I713" s="41" t="str">
        <f t="array" ref="I713">+CALIBRESTD(O713)</f>
        <v>ERRO - REVISAR</v>
      </c>
    </row>
    <row r="714" spans="1:9" ht="14.25" customHeight="1" x14ac:dyDescent="0.35">
      <c r="A714" t="str">
        <f t="array" ref="A714">EXTRACTEVENT(Q714,S714)</f>
        <v/>
      </c>
      <c r="B714" t="str">
        <f t="shared" si="33"/>
        <v>-</v>
      </c>
      <c r="C714" t="e">
        <f>+VLOOKUP(R714,Maps!$A:$C,2,0)</f>
        <v>#N/A</v>
      </c>
      <c r="D714" t="e">
        <f t="shared" si="34"/>
        <v>#VALUE!</v>
      </c>
      <c r="E714" s="39" t="e">
        <f t="shared" si="35"/>
        <v>#VALUE!</v>
      </c>
      <c r="F714" s="7" t="str">
        <f t="array" ref="F714">+TIPOARMA(H714,I714)</f>
        <v>ERRO - REVISAR</v>
      </c>
      <c r="H714" t="str">
        <f t="array" ref="H714">+ARMASTD(N714)</f>
        <v>ERRO - REVISAR</v>
      </c>
      <c r="I714" t="str">
        <f t="array" ref="I714">+CALIBRESTD(O714)</f>
        <v>ERRO - REVISAR</v>
      </c>
    </row>
    <row r="715" spans="1:9" ht="14.25" customHeight="1" x14ac:dyDescent="0.35">
      <c r="A715" s="41" t="str">
        <f t="array" ref="A715">EXTRACTEVENT(Q715,S715)</f>
        <v/>
      </c>
      <c r="B715" s="41" t="str">
        <f t="shared" si="33"/>
        <v>-</v>
      </c>
      <c r="C715" s="41" t="e">
        <f>+VLOOKUP(R715,Maps!$A:$C,2,0)</f>
        <v>#N/A</v>
      </c>
      <c r="D715" s="41" t="e">
        <f t="shared" si="34"/>
        <v>#VALUE!</v>
      </c>
      <c r="E715" s="42" t="e">
        <f t="shared" si="35"/>
        <v>#VALUE!</v>
      </c>
      <c r="F715" s="43" t="str">
        <f t="array" ref="F715">+TIPOARMA(H715,I715)</f>
        <v>ERRO - REVISAR</v>
      </c>
      <c r="G715" s="41"/>
      <c r="H715" s="41" t="str">
        <f t="array" ref="H715">+ARMASTD(N715)</f>
        <v>ERRO - REVISAR</v>
      </c>
      <c r="I715" s="41" t="str">
        <f t="array" ref="I715">+CALIBRESTD(O715)</f>
        <v>ERRO - REVISAR</v>
      </c>
    </row>
    <row r="716" spans="1:9" ht="14.25" customHeight="1" x14ac:dyDescent="0.35">
      <c r="A716" t="str">
        <f t="array" ref="A716">EXTRACTEVENT(Q716,S716)</f>
        <v/>
      </c>
      <c r="B716" t="str">
        <f t="shared" si="33"/>
        <v>-</v>
      </c>
      <c r="C716" t="e">
        <f>+VLOOKUP(R716,Maps!$A:$C,2,0)</f>
        <v>#N/A</v>
      </c>
      <c r="D716" t="e">
        <f t="shared" si="34"/>
        <v>#VALUE!</v>
      </c>
      <c r="E716" s="39" t="e">
        <f t="shared" si="35"/>
        <v>#VALUE!</v>
      </c>
      <c r="F716" s="7" t="str">
        <f t="array" ref="F716">+TIPOARMA(H716,I716)</f>
        <v>ERRO - REVISAR</v>
      </c>
      <c r="H716" t="str">
        <f t="array" ref="H716">+ARMASTD(N716)</f>
        <v>ERRO - REVISAR</v>
      </c>
      <c r="I716" t="str">
        <f t="array" ref="I716">+CALIBRESTD(O716)</f>
        <v>ERRO - REVISAR</v>
      </c>
    </row>
    <row r="717" spans="1:9" ht="14.25" customHeight="1" x14ac:dyDescent="0.35">
      <c r="A717" s="41" t="str">
        <f t="array" ref="A717">EXTRACTEVENT(Q717,S717)</f>
        <v/>
      </c>
      <c r="B717" s="41" t="str">
        <f t="shared" si="33"/>
        <v>-</v>
      </c>
      <c r="C717" s="41" t="e">
        <f>+VLOOKUP(R717,Maps!$A:$C,2,0)</f>
        <v>#N/A</v>
      </c>
      <c r="D717" s="41" t="e">
        <f t="shared" si="34"/>
        <v>#VALUE!</v>
      </c>
      <c r="E717" s="42" t="e">
        <f t="shared" si="35"/>
        <v>#VALUE!</v>
      </c>
      <c r="F717" s="43" t="str">
        <f t="array" ref="F717">+TIPOARMA(H717,I717)</f>
        <v>ERRO - REVISAR</v>
      </c>
      <c r="G717" s="41"/>
      <c r="H717" s="41" t="str">
        <f t="array" ref="H717">+ARMASTD(N717)</f>
        <v>ERRO - REVISAR</v>
      </c>
      <c r="I717" s="41" t="str">
        <f t="array" ref="I717">+CALIBRESTD(O717)</f>
        <v>ERRO - REVISAR</v>
      </c>
    </row>
    <row r="718" spans="1:9" ht="14.25" customHeight="1" x14ac:dyDescent="0.35">
      <c r="A718" t="str">
        <f t="array" ref="A718">EXTRACTEVENT(Q718,S718)</f>
        <v/>
      </c>
      <c r="B718" t="str">
        <f t="shared" si="33"/>
        <v>-</v>
      </c>
      <c r="C718" t="e">
        <f>+VLOOKUP(R718,Maps!$A:$C,2,0)</f>
        <v>#N/A</v>
      </c>
      <c r="D718" t="e">
        <f t="shared" si="34"/>
        <v>#VALUE!</v>
      </c>
      <c r="E718" s="39" t="e">
        <f t="shared" si="35"/>
        <v>#VALUE!</v>
      </c>
      <c r="F718" s="7" t="str">
        <f t="array" ref="F718">+TIPOARMA(H718,I718)</f>
        <v>ERRO - REVISAR</v>
      </c>
      <c r="H718" t="str">
        <f t="array" ref="H718">+ARMASTD(N718)</f>
        <v>ERRO - REVISAR</v>
      </c>
      <c r="I718" t="str">
        <f t="array" ref="I718">+CALIBRESTD(O718)</f>
        <v>ERRO - REVISAR</v>
      </c>
    </row>
    <row r="719" spans="1:9" ht="14.25" customHeight="1" x14ac:dyDescent="0.35">
      <c r="A719" s="41" t="str">
        <f t="array" ref="A719">EXTRACTEVENT(Q719,S719)</f>
        <v/>
      </c>
      <c r="B719" s="41" t="str">
        <f t="shared" si="33"/>
        <v>-</v>
      </c>
      <c r="C719" s="41" t="e">
        <f>+VLOOKUP(R719,Maps!$A:$C,2,0)</f>
        <v>#N/A</v>
      </c>
      <c r="D719" s="41" t="e">
        <f t="shared" si="34"/>
        <v>#VALUE!</v>
      </c>
      <c r="E719" s="42" t="e">
        <f t="shared" si="35"/>
        <v>#VALUE!</v>
      </c>
      <c r="F719" s="43" t="str">
        <f t="array" ref="F719">+TIPOARMA(H719,I719)</f>
        <v>ERRO - REVISAR</v>
      </c>
      <c r="G719" s="41"/>
      <c r="H719" s="41" t="str">
        <f t="array" ref="H719">+ARMASTD(N719)</f>
        <v>ERRO - REVISAR</v>
      </c>
      <c r="I719" s="41" t="str">
        <f t="array" ref="I719">+CALIBRESTD(O719)</f>
        <v>ERRO - REVISAR</v>
      </c>
    </row>
    <row r="720" spans="1:9" ht="14.25" customHeight="1" x14ac:dyDescent="0.35">
      <c r="A720" t="str">
        <f t="array" ref="A720">EXTRACTEVENT(Q720,S720)</f>
        <v/>
      </c>
      <c r="B720" t="str">
        <f t="shared" si="33"/>
        <v>-</v>
      </c>
      <c r="C720" t="e">
        <f>+VLOOKUP(R720,Maps!$A:$C,2,0)</f>
        <v>#N/A</v>
      </c>
      <c r="D720" t="e">
        <f t="shared" si="34"/>
        <v>#VALUE!</v>
      </c>
      <c r="E720" s="39" t="e">
        <f t="shared" si="35"/>
        <v>#VALUE!</v>
      </c>
      <c r="F720" s="7" t="str">
        <f t="array" ref="F720">+TIPOARMA(H720,I720)</f>
        <v>ERRO - REVISAR</v>
      </c>
      <c r="H720" t="str">
        <f t="array" ref="H720">+ARMASTD(N720)</f>
        <v>ERRO - REVISAR</v>
      </c>
      <c r="I720" t="str">
        <f t="array" ref="I720">+CALIBRESTD(O720)</f>
        <v>ERRO - REVISAR</v>
      </c>
    </row>
    <row r="721" spans="1:9" ht="14.25" customHeight="1" x14ac:dyDescent="0.35">
      <c r="A721" s="41" t="str">
        <f t="array" ref="A721">EXTRACTEVENT(Q721,S721)</f>
        <v/>
      </c>
      <c r="B721" s="41" t="str">
        <f t="shared" si="33"/>
        <v>-</v>
      </c>
      <c r="C721" s="41" t="e">
        <f>+VLOOKUP(R721,Maps!$A:$C,2,0)</f>
        <v>#N/A</v>
      </c>
      <c r="D721" s="41" t="e">
        <f t="shared" si="34"/>
        <v>#VALUE!</v>
      </c>
      <c r="E721" s="42" t="e">
        <f t="shared" si="35"/>
        <v>#VALUE!</v>
      </c>
      <c r="F721" s="43" t="str">
        <f t="array" ref="F721">+TIPOARMA(H721,I721)</f>
        <v>ERRO - REVISAR</v>
      </c>
      <c r="G721" s="41"/>
      <c r="H721" s="41" t="str">
        <f t="array" ref="H721">+ARMASTD(N721)</f>
        <v>ERRO - REVISAR</v>
      </c>
      <c r="I721" s="41" t="str">
        <f t="array" ref="I721">+CALIBRESTD(O721)</f>
        <v>ERRO - REVISAR</v>
      </c>
    </row>
    <row r="722" spans="1:9" ht="14.25" customHeight="1" x14ac:dyDescent="0.35">
      <c r="A722" t="str">
        <f t="array" ref="A722">EXTRACTEVENT(Q722,S722)</f>
        <v/>
      </c>
      <c r="B722" t="str">
        <f t="shared" si="33"/>
        <v>-</v>
      </c>
      <c r="C722" t="e">
        <f>+VLOOKUP(R722,Maps!$A:$C,2,0)</f>
        <v>#N/A</v>
      </c>
      <c r="D722" t="e">
        <f t="shared" si="34"/>
        <v>#VALUE!</v>
      </c>
      <c r="E722" s="39" t="e">
        <f t="shared" si="35"/>
        <v>#VALUE!</v>
      </c>
      <c r="F722" s="7" t="str">
        <f t="array" ref="F722">+TIPOARMA(H722,I722)</f>
        <v>ERRO - REVISAR</v>
      </c>
      <c r="H722" t="str">
        <f t="array" ref="H722">+ARMASTD(N722)</f>
        <v>ERRO - REVISAR</v>
      </c>
      <c r="I722" t="str">
        <f t="array" ref="I722">+CALIBRESTD(O722)</f>
        <v>ERRO - REVISAR</v>
      </c>
    </row>
    <row r="723" spans="1:9" ht="14.25" customHeight="1" x14ac:dyDescent="0.35">
      <c r="A723" s="41" t="str">
        <f t="array" ref="A723">EXTRACTEVENT(Q723,S723)</f>
        <v/>
      </c>
      <c r="B723" s="41" t="str">
        <f t="shared" si="33"/>
        <v>-</v>
      </c>
      <c r="C723" s="41" t="e">
        <f>+VLOOKUP(R723,Maps!$A:$C,2,0)</f>
        <v>#N/A</v>
      </c>
      <c r="D723" s="41" t="e">
        <f t="shared" si="34"/>
        <v>#VALUE!</v>
      </c>
      <c r="E723" s="42" t="e">
        <f t="shared" si="35"/>
        <v>#VALUE!</v>
      </c>
      <c r="F723" s="43" t="str">
        <f t="array" ref="F723">+TIPOARMA(H723,I723)</f>
        <v>ERRO - REVISAR</v>
      </c>
      <c r="G723" s="41"/>
      <c r="H723" s="41" t="str">
        <f t="array" ref="H723">+ARMASTD(N723)</f>
        <v>ERRO - REVISAR</v>
      </c>
      <c r="I723" s="41" t="str">
        <f t="array" ref="I723">+CALIBRESTD(O723)</f>
        <v>ERRO - REVISAR</v>
      </c>
    </row>
    <row r="724" spans="1:9" ht="14.25" customHeight="1" x14ac:dyDescent="0.35">
      <c r="A724" t="str">
        <f t="array" ref="A724">EXTRACTEVENT(Q724,S724)</f>
        <v/>
      </c>
      <c r="B724" t="str">
        <f t="shared" si="33"/>
        <v>-</v>
      </c>
      <c r="C724" t="e">
        <f>+VLOOKUP(R724,Maps!$A:$C,2,0)</f>
        <v>#N/A</v>
      </c>
      <c r="D724" t="e">
        <f t="shared" si="34"/>
        <v>#VALUE!</v>
      </c>
      <c r="E724" s="39" t="e">
        <f t="shared" si="35"/>
        <v>#VALUE!</v>
      </c>
      <c r="F724" s="7" t="str">
        <f t="array" ref="F724">+TIPOARMA(H724,I724)</f>
        <v>ERRO - REVISAR</v>
      </c>
      <c r="H724" t="str">
        <f t="array" ref="H724">+ARMASTD(N724)</f>
        <v>ERRO - REVISAR</v>
      </c>
      <c r="I724" t="str">
        <f t="array" ref="I724">+CALIBRESTD(O724)</f>
        <v>ERRO - REVISAR</v>
      </c>
    </row>
    <row r="725" spans="1:9" ht="14.25" customHeight="1" x14ac:dyDescent="0.35">
      <c r="A725" s="41" t="str">
        <f t="array" ref="A725">EXTRACTEVENT(Q725,S725)</f>
        <v/>
      </c>
      <c r="B725" s="41" t="str">
        <f t="shared" si="33"/>
        <v>-</v>
      </c>
      <c r="C725" s="41" t="e">
        <f>+VLOOKUP(R725,Maps!$A:$C,2,0)</f>
        <v>#N/A</v>
      </c>
      <c r="D725" s="41" t="e">
        <f t="shared" si="34"/>
        <v>#VALUE!</v>
      </c>
      <c r="E725" s="42" t="e">
        <f t="shared" si="35"/>
        <v>#VALUE!</v>
      </c>
      <c r="F725" s="43" t="str">
        <f t="array" ref="F725">+TIPOARMA(H725,I725)</f>
        <v>ERRO - REVISAR</v>
      </c>
      <c r="G725" s="41"/>
      <c r="H725" s="41" t="str">
        <f t="array" ref="H725">+ARMASTD(N725)</f>
        <v>ERRO - REVISAR</v>
      </c>
      <c r="I725" s="41" t="str">
        <f t="array" ref="I725">+CALIBRESTD(O725)</f>
        <v>ERRO - REVISAR</v>
      </c>
    </row>
    <row r="726" spans="1:9" ht="14.25" customHeight="1" x14ac:dyDescent="0.35">
      <c r="A726" t="str">
        <f t="array" ref="A726">EXTRACTEVENT(Q726,S726)</f>
        <v/>
      </c>
      <c r="B726" t="str">
        <f t="shared" si="33"/>
        <v>-</v>
      </c>
      <c r="C726" t="e">
        <f>+VLOOKUP(R726,Maps!$A:$C,2,0)</f>
        <v>#N/A</v>
      </c>
      <c r="D726" t="e">
        <f t="shared" si="34"/>
        <v>#VALUE!</v>
      </c>
      <c r="E726" s="39" t="e">
        <f t="shared" si="35"/>
        <v>#VALUE!</v>
      </c>
      <c r="F726" s="7" t="str">
        <f t="array" ref="F726">+TIPOARMA(H726,I726)</f>
        <v>ERRO - REVISAR</v>
      </c>
      <c r="H726" t="str">
        <f t="array" ref="H726">+ARMASTD(N726)</f>
        <v>ERRO - REVISAR</v>
      </c>
      <c r="I726" t="str">
        <f t="array" ref="I726">+CALIBRESTD(O726)</f>
        <v>ERRO - REVISAR</v>
      </c>
    </row>
    <row r="727" spans="1:9" ht="14.25" customHeight="1" x14ac:dyDescent="0.35">
      <c r="A727" s="41" t="str">
        <f t="array" ref="A727">EXTRACTEVENT(Q727,S727)</f>
        <v/>
      </c>
      <c r="B727" s="41" t="str">
        <f t="shared" si="33"/>
        <v>-</v>
      </c>
      <c r="C727" s="41" t="e">
        <f>+VLOOKUP(R727,Maps!$A:$C,2,0)</f>
        <v>#N/A</v>
      </c>
      <c r="D727" s="41" t="e">
        <f t="shared" si="34"/>
        <v>#VALUE!</v>
      </c>
      <c r="E727" s="42" t="e">
        <f t="shared" si="35"/>
        <v>#VALUE!</v>
      </c>
      <c r="F727" s="43" t="str">
        <f t="array" ref="F727">+TIPOARMA(H727,I727)</f>
        <v>ERRO - REVISAR</v>
      </c>
      <c r="G727" s="41"/>
      <c r="H727" s="41" t="str">
        <f t="array" ref="H727">+ARMASTD(N727)</f>
        <v>ERRO - REVISAR</v>
      </c>
      <c r="I727" s="41" t="str">
        <f t="array" ref="I727">+CALIBRESTD(O727)</f>
        <v>ERRO - REVISAR</v>
      </c>
    </row>
    <row r="728" spans="1:9" ht="14.25" customHeight="1" x14ac:dyDescent="0.35">
      <c r="A728" t="str">
        <f t="array" ref="A728">EXTRACTEVENT(Q728,S728)</f>
        <v/>
      </c>
      <c r="B728" t="str">
        <f t="shared" si="33"/>
        <v>-</v>
      </c>
      <c r="C728" t="e">
        <f>+VLOOKUP(R728,Maps!$A:$C,2,0)</f>
        <v>#N/A</v>
      </c>
      <c r="D728" t="e">
        <f t="shared" si="34"/>
        <v>#VALUE!</v>
      </c>
      <c r="E728" s="39" t="e">
        <f t="shared" si="35"/>
        <v>#VALUE!</v>
      </c>
      <c r="F728" s="7" t="str">
        <f t="array" ref="F728">+TIPOARMA(H728,I728)</f>
        <v>ERRO - REVISAR</v>
      </c>
      <c r="H728" t="str">
        <f t="array" ref="H728">+ARMASTD(N728)</f>
        <v>ERRO - REVISAR</v>
      </c>
      <c r="I728" t="str">
        <f t="array" ref="I728">+CALIBRESTD(O728)</f>
        <v>ERRO - REVISAR</v>
      </c>
    </row>
    <row r="729" spans="1:9" ht="14.25" customHeight="1" x14ac:dyDescent="0.35">
      <c r="A729" s="41" t="str">
        <f t="array" ref="A729">EXTRACTEVENT(Q729,S729)</f>
        <v/>
      </c>
      <c r="B729" s="41" t="str">
        <f t="shared" si="33"/>
        <v>-</v>
      </c>
      <c r="C729" s="41" t="e">
        <f>+VLOOKUP(R729,Maps!$A:$C,2,0)</f>
        <v>#N/A</v>
      </c>
      <c r="D729" s="41" t="e">
        <f t="shared" si="34"/>
        <v>#VALUE!</v>
      </c>
      <c r="E729" s="42" t="e">
        <f t="shared" si="35"/>
        <v>#VALUE!</v>
      </c>
      <c r="F729" s="43" t="str">
        <f t="array" ref="F729">+TIPOARMA(H729,I729)</f>
        <v>ERRO - REVISAR</v>
      </c>
      <c r="G729" s="41"/>
      <c r="H729" s="41" t="str">
        <f t="array" ref="H729">+ARMASTD(N729)</f>
        <v>ERRO - REVISAR</v>
      </c>
      <c r="I729" s="41" t="str">
        <f t="array" ref="I729">+CALIBRESTD(O729)</f>
        <v>ERRO - REVISAR</v>
      </c>
    </row>
    <row r="730" spans="1:9" ht="14.25" customHeight="1" x14ac:dyDescent="0.35">
      <c r="A730" t="str">
        <f t="array" ref="A730">EXTRACTEVENT(Q730,S730)</f>
        <v/>
      </c>
      <c r="B730" t="str">
        <f t="shared" si="33"/>
        <v>-</v>
      </c>
      <c r="C730" t="e">
        <f>+VLOOKUP(R730,Maps!$A:$C,2,0)</f>
        <v>#N/A</v>
      </c>
      <c r="D730" t="e">
        <f t="shared" si="34"/>
        <v>#VALUE!</v>
      </c>
      <c r="E730" s="39" t="e">
        <f t="shared" si="35"/>
        <v>#VALUE!</v>
      </c>
      <c r="F730" s="7" t="str">
        <f t="array" ref="F730">+TIPOARMA(H730,I730)</f>
        <v>ERRO - REVISAR</v>
      </c>
      <c r="H730" t="str">
        <f t="array" ref="H730">+ARMASTD(N730)</f>
        <v>ERRO - REVISAR</v>
      </c>
      <c r="I730" t="str">
        <f t="array" ref="I730">+CALIBRESTD(O730)</f>
        <v>ERRO - REVISAR</v>
      </c>
    </row>
    <row r="731" spans="1:9" ht="14.25" customHeight="1" x14ac:dyDescent="0.35">
      <c r="A731" s="41" t="str">
        <f t="array" ref="A731">EXTRACTEVENT(Q731,S731)</f>
        <v/>
      </c>
      <c r="B731" s="41" t="str">
        <f t="shared" si="33"/>
        <v>-</v>
      </c>
      <c r="C731" s="41" t="e">
        <f>+VLOOKUP(R731,Maps!$A:$C,2,0)</f>
        <v>#N/A</v>
      </c>
      <c r="D731" s="41" t="e">
        <f t="shared" si="34"/>
        <v>#VALUE!</v>
      </c>
      <c r="E731" s="42" t="e">
        <f t="shared" si="35"/>
        <v>#VALUE!</v>
      </c>
      <c r="F731" s="43" t="str">
        <f t="array" ref="F731">+TIPOARMA(H731,I731)</f>
        <v>ERRO - REVISAR</v>
      </c>
      <c r="G731" s="41"/>
      <c r="H731" s="41" t="str">
        <f t="array" ref="H731">+ARMASTD(N731)</f>
        <v>ERRO - REVISAR</v>
      </c>
      <c r="I731" s="41" t="str">
        <f t="array" ref="I731">+CALIBRESTD(O731)</f>
        <v>ERRO - REVISAR</v>
      </c>
    </row>
    <row r="732" spans="1:9" ht="14.25" customHeight="1" x14ac:dyDescent="0.35">
      <c r="A732" t="str">
        <f t="array" ref="A732">EXTRACTEVENT(Q732,S732)</f>
        <v/>
      </c>
      <c r="B732" t="str">
        <f t="shared" si="33"/>
        <v>-</v>
      </c>
      <c r="C732" t="e">
        <f>+VLOOKUP(R732,Maps!$A:$C,2,0)</f>
        <v>#N/A</v>
      </c>
      <c r="D732" t="e">
        <f t="shared" si="34"/>
        <v>#VALUE!</v>
      </c>
      <c r="E732" s="39" t="e">
        <f t="shared" si="35"/>
        <v>#VALUE!</v>
      </c>
      <c r="F732" s="7" t="str">
        <f t="array" ref="F732">+TIPOARMA(H732,I732)</f>
        <v>ERRO - REVISAR</v>
      </c>
      <c r="H732" t="str">
        <f t="array" ref="H732">+ARMASTD(N732)</f>
        <v>ERRO - REVISAR</v>
      </c>
      <c r="I732" t="str">
        <f t="array" ref="I732">+CALIBRESTD(O732)</f>
        <v>ERRO - REVISAR</v>
      </c>
    </row>
    <row r="733" spans="1:9" ht="14.25" customHeight="1" x14ac:dyDescent="0.35">
      <c r="A733" s="41" t="str">
        <f t="array" ref="A733">EXTRACTEVENT(Q733,S733)</f>
        <v/>
      </c>
      <c r="B733" s="41" t="str">
        <f t="shared" si="33"/>
        <v>-</v>
      </c>
      <c r="C733" s="41" t="e">
        <f>+VLOOKUP(R733,Maps!$A:$C,2,0)</f>
        <v>#N/A</v>
      </c>
      <c r="D733" s="41" t="e">
        <f t="shared" si="34"/>
        <v>#VALUE!</v>
      </c>
      <c r="E733" s="42" t="e">
        <f t="shared" si="35"/>
        <v>#VALUE!</v>
      </c>
      <c r="F733" s="43" t="str">
        <f t="array" ref="F733">+TIPOARMA(H733,I733)</f>
        <v>ERRO - REVISAR</v>
      </c>
      <c r="G733" s="41"/>
      <c r="H733" s="41" t="str">
        <f t="array" ref="H733">+ARMASTD(N733)</f>
        <v>ERRO - REVISAR</v>
      </c>
      <c r="I733" s="41" t="str">
        <f t="array" ref="I733">+CALIBRESTD(O733)</f>
        <v>ERRO - REVISAR</v>
      </c>
    </row>
    <row r="734" spans="1:9" ht="14.25" customHeight="1" x14ac:dyDescent="0.35">
      <c r="A734" t="str">
        <f t="array" ref="A734">EXTRACTEVENT(Q734,S734)</f>
        <v/>
      </c>
      <c r="B734" t="str">
        <f t="shared" si="33"/>
        <v>-</v>
      </c>
      <c r="C734" t="e">
        <f>+VLOOKUP(R734,Maps!$A:$C,2,0)</f>
        <v>#N/A</v>
      </c>
      <c r="D734" t="e">
        <f t="shared" si="34"/>
        <v>#VALUE!</v>
      </c>
      <c r="E734" s="39" t="e">
        <f t="shared" si="35"/>
        <v>#VALUE!</v>
      </c>
      <c r="F734" s="7" t="str">
        <f t="array" ref="F734">+TIPOARMA(H734,I734)</f>
        <v>ERRO - REVISAR</v>
      </c>
      <c r="H734" t="str">
        <f t="array" ref="H734">+ARMASTD(N734)</f>
        <v>ERRO - REVISAR</v>
      </c>
      <c r="I734" t="str">
        <f t="array" ref="I734">+CALIBRESTD(O734)</f>
        <v>ERRO - REVISAR</v>
      </c>
    </row>
    <row r="735" spans="1:9" ht="14.25" customHeight="1" x14ac:dyDescent="0.35">
      <c r="A735" s="41" t="str">
        <f t="array" ref="A735">EXTRACTEVENT(Q735,S735)</f>
        <v/>
      </c>
      <c r="B735" s="41" t="str">
        <f t="shared" si="33"/>
        <v>-</v>
      </c>
      <c r="C735" s="41" t="e">
        <f>+VLOOKUP(R735,Maps!$A:$C,2,0)</f>
        <v>#N/A</v>
      </c>
      <c r="D735" s="41" t="e">
        <f t="shared" si="34"/>
        <v>#VALUE!</v>
      </c>
      <c r="E735" s="42" t="e">
        <f t="shared" si="35"/>
        <v>#VALUE!</v>
      </c>
      <c r="F735" s="43" t="str">
        <f t="array" ref="F735">+TIPOARMA(H735,I735)</f>
        <v>ERRO - REVISAR</v>
      </c>
      <c r="G735" s="41"/>
      <c r="H735" s="41" t="str">
        <f t="array" ref="H735">+ARMASTD(N735)</f>
        <v>ERRO - REVISAR</v>
      </c>
      <c r="I735" s="41" t="str">
        <f t="array" ref="I735">+CALIBRESTD(O735)</f>
        <v>ERRO - REVISAR</v>
      </c>
    </row>
    <row r="736" spans="1:9" ht="14.25" customHeight="1" x14ac:dyDescent="0.35">
      <c r="A736" t="str">
        <f t="array" ref="A736">EXTRACTEVENT(Q736,S736)</f>
        <v/>
      </c>
      <c r="B736" t="str">
        <f t="shared" si="33"/>
        <v>-</v>
      </c>
      <c r="C736" t="e">
        <f>+VLOOKUP(R736,Maps!$A:$C,2,0)</f>
        <v>#N/A</v>
      </c>
      <c r="D736" t="e">
        <f t="shared" si="34"/>
        <v>#VALUE!</v>
      </c>
      <c r="E736" s="39" t="e">
        <f t="shared" si="35"/>
        <v>#VALUE!</v>
      </c>
      <c r="F736" s="7" t="str">
        <f t="array" ref="F736">+TIPOARMA(H736,I736)</f>
        <v>ERRO - REVISAR</v>
      </c>
      <c r="H736" t="str">
        <f t="array" ref="H736">+ARMASTD(N736)</f>
        <v>ERRO - REVISAR</v>
      </c>
      <c r="I736" t="str">
        <f t="array" ref="I736">+CALIBRESTD(O736)</f>
        <v>ERRO - REVISAR</v>
      </c>
    </row>
    <row r="737" spans="1:9" ht="14.25" customHeight="1" x14ac:dyDescent="0.35">
      <c r="A737" s="41" t="str">
        <f t="array" ref="A737">EXTRACTEVENT(Q737,S737)</f>
        <v/>
      </c>
      <c r="B737" s="41" t="str">
        <f t="shared" si="33"/>
        <v>-</v>
      </c>
      <c r="C737" s="41" t="e">
        <f>+VLOOKUP(R737,Maps!$A:$C,2,0)</f>
        <v>#N/A</v>
      </c>
      <c r="D737" s="41" t="e">
        <f t="shared" si="34"/>
        <v>#VALUE!</v>
      </c>
      <c r="E737" s="42" t="e">
        <f t="shared" si="35"/>
        <v>#VALUE!</v>
      </c>
      <c r="F737" s="43" t="str">
        <f t="array" ref="F737">+TIPOARMA(H737,I737)</f>
        <v>ERRO - REVISAR</v>
      </c>
      <c r="G737" s="41"/>
      <c r="H737" s="41" t="str">
        <f t="array" ref="H737">+ARMASTD(N737)</f>
        <v>ERRO - REVISAR</v>
      </c>
      <c r="I737" s="41" t="str">
        <f t="array" ref="I737">+CALIBRESTD(O737)</f>
        <v>ERRO - REVISAR</v>
      </c>
    </row>
    <row r="738" spans="1:9" ht="14.25" customHeight="1" x14ac:dyDescent="0.35">
      <c r="A738" t="str">
        <f t="array" ref="A738">EXTRACTEVENT(Q738,S738)</f>
        <v/>
      </c>
      <c r="B738" t="str">
        <f t="shared" si="33"/>
        <v>-</v>
      </c>
      <c r="C738" t="e">
        <f>+VLOOKUP(R738,Maps!$A:$C,2,0)</f>
        <v>#N/A</v>
      </c>
      <c r="D738" t="e">
        <f t="shared" si="34"/>
        <v>#VALUE!</v>
      </c>
      <c r="E738" s="39" t="e">
        <f t="shared" si="35"/>
        <v>#VALUE!</v>
      </c>
      <c r="F738" s="7" t="str">
        <f t="array" ref="F738">+TIPOARMA(H738,I738)</f>
        <v>ERRO - REVISAR</v>
      </c>
      <c r="H738" t="str">
        <f t="array" ref="H738">+ARMASTD(N738)</f>
        <v>ERRO - REVISAR</v>
      </c>
      <c r="I738" t="str">
        <f t="array" ref="I738">+CALIBRESTD(O738)</f>
        <v>ERRO - REVISAR</v>
      </c>
    </row>
    <row r="739" spans="1:9" ht="14.25" customHeight="1" x14ac:dyDescent="0.35">
      <c r="A739" s="41" t="str">
        <f t="array" ref="A739">EXTRACTEVENT(Q739,S739)</f>
        <v/>
      </c>
      <c r="B739" s="41" t="str">
        <f t="shared" si="33"/>
        <v>-</v>
      </c>
      <c r="C739" s="41" t="e">
        <f>+VLOOKUP(R739,Maps!$A:$C,2,0)</f>
        <v>#N/A</v>
      </c>
      <c r="D739" s="41" t="e">
        <f t="shared" si="34"/>
        <v>#VALUE!</v>
      </c>
      <c r="E739" s="42" t="e">
        <f t="shared" si="35"/>
        <v>#VALUE!</v>
      </c>
      <c r="F739" s="43" t="str">
        <f t="array" ref="F739">+TIPOARMA(H739,I739)</f>
        <v>ERRO - REVISAR</v>
      </c>
      <c r="G739" s="41"/>
      <c r="H739" s="41" t="str">
        <f t="array" ref="H739">+ARMASTD(N739)</f>
        <v>ERRO - REVISAR</v>
      </c>
      <c r="I739" s="41" t="str">
        <f t="array" ref="I739">+CALIBRESTD(O739)</f>
        <v>ERRO - REVISAR</v>
      </c>
    </row>
    <row r="740" spans="1:9" ht="14.25" customHeight="1" x14ac:dyDescent="0.35">
      <c r="A740" t="str">
        <f t="array" ref="A740">EXTRACTEVENT(Q740,S740)</f>
        <v/>
      </c>
      <c r="B740" t="str">
        <f t="shared" si="33"/>
        <v>-</v>
      </c>
      <c r="C740" t="e">
        <f>+VLOOKUP(R740,Maps!$A:$C,2,0)</f>
        <v>#N/A</v>
      </c>
      <c r="D740" t="e">
        <f t="shared" si="34"/>
        <v>#VALUE!</v>
      </c>
      <c r="E740" s="39" t="e">
        <f t="shared" si="35"/>
        <v>#VALUE!</v>
      </c>
      <c r="F740" s="7" t="str">
        <f t="array" ref="F740">+TIPOARMA(H740,I740)</f>
        <v>ERRO - REVISAR</v>
      </c>
      <c r="H740" t="str">
        <f t="array" ref="H740">+ARMASTD(N740)</f>
        <v>ERRO - REVISAR</v>
      </c>
      <c r="I740" t="str">
        <f t="array" ref="I740">+CALIBRESTD(O740)</f>
        <v>ERRO - REVISAR</v>
      </c>
    </row>
    <row r="741" spans="1:9" ht="14.25" customHeight="1" x14ac:dyDescent="0.35">
      <c r="A741" s="41" t="str">
        <f t="array" ref="A741">EXTRACTEVENT(Q741,S741)</f>
        <v/>
      </c>
      <c r="B741" s="41" t="str">
        <f t="shared" si="33"/>
        <v>-</v>
      </c>
      <c r="C741" s="41" t="e">
        <f>+VLOOKUP(R741,Maps!$A:$C,2,0)</f>
        <v>#N/A</v>
      </c>
      <c r="D741" s="41" t="e">
        <f t="shared" si="34"/>
        <v>#VALUE!</v>
      </c>
      <c r="E741" s="42" t="e">
        <f t="shared" si="35"/>
        <v>#VALUE!</v>
      </c>
      <c r="F741" s="43" t="str">
        <f t="array" ref="F741">+TIPOARMA(H741,I741)</f>
        <v>ERRO - REVISAR</v>
      </c>
      <c r="G741" s="41"/>
      <c r="H741" s="41" t="str">
        <f t="array" ref="H741">+ARMASTD(N741)</f>
        <v>ERRO - REVISAR</v>
      </c>
      <c r="I741" s="41" t="str">
        <f t="array" ref="I741">+CALIBRESTD(O741)</f>
        <v>ERRO - REVISAR</v>
      </c>
    </row>
    <row r="742" spans="1:9" ht="14.25" customHeight="1" x14ac:dyDescent="0.35">
      <c r="A742" t="str">
        <f t="array" ref="A742">EXTRACTEVENT(Q742,S742)</f>
        <v/>
      </c>
      <c r="B742" t="str">
        <f t="shared" si="33"/>
        <v>-</v>
      </c>
      <c r="C742" t="e">
        <f>+VLOOKUP(R742,Maps!$A:$C,2,0)</f>
        <v>#N/A</v>
      </c>
      <c r="D742" t="e">
        <f t="shared" si="34"/>
        <v>#VALUE!</v>
      </c>
      <c r="E742" s="39" t="e">
        <f t="shared" si="35"/>
        <v>#VALUE!</v>
      </c>
      <c r="F742" s="7" t="str">
        <f t="array" ref="F742">+TIPOARMA(H742,I742)</f>
        <v>ERRO - REVISAR</v>
      </c>
      <c r="H742" t="str">
        <f t="array" ref="H742">+ARMASTD(N742)</f>
        <v>ERRO - REVISAR</v>
      </c>
      <c r="I742" t="str">
        <f t="array" ref="I742">+CALIBRESTD(O742)</f>
        <v>ERRO - REVISAR</v>
      </c>
    </row>
    <row r="743" spans="1:9" ht="14.25" customHeight="1" x14ac:dyDescent="0.35">
      <c r="A743" s="41" t="str">
        <f t="array" ref="A743">EXTRACTEVENT(Q743,S743)</f>
        <v/>
      </c>
      <c r="B743" s="41" t="str">
        <f t="shared" si="33"/>
        <v>-</v>
      </c>
      <c r="C743" s="41" t="e">
        <f>+VLOOKUP(R743,Maps!$A:$C,2,0)</f>
        <v>#N/A</v>
      </c>
      <c r="D743" s="41" t="e">
        <f t="shared" si="34"/>
        <v>#VALUE!</v>
      </c>
      <c r="E743" s="42" t="e">
        <f t="shared" si="35"/>
        <v>#VALUE!</v>
      </c>
      <c r="F743" s="43" t="str">
        <f t="array" ref="F743">+TIPOARMA(H743,I743)</f>
        <v>ERRO - REVISAR</v>
      </c>
      <c r="G743" s="41"/>
      <c r="H743" s="41" t="str">
        <f t="array" ref="H743">+ARMASTD(N743)</f>
        <v>ERRO - REVISAR</v>
      </c>
      <c r="I743" s="41" t="str">
        <f t="array" ref="I743">+CALIBRESTD(O743)</f>
        <v>ERRO - REVISAR</v>
      </c>
    </row>
    <row r="744" spans="1:9" ht="14.25" customHeight="1" x14ac:dyDescent="0.35">
      <c r="A744" t="str">
        <f t="array" ref="A744">EXTRACTEVENT(Q744,S744)</f>
        <v/>
      </c>
      <c r="B744" t="str">
        <f t="shared" si="33"/>
        <v>-</v>
      </c>
      <c r="C744" t="e">
        <f>+VLOOKUP(R744,Maps!$A:$C,2,0)</f>
        <v>#N/A</v>
      </c>
      <c r="D744" t="e">
        <f t="shared" si="34"/>
        <v>#VALUE!</v>
      </c>
      <c r="E744" s="39" t="e">
        <f t="shared" si="35"/>
        <v>#VALUE!</v>
      </c>
      <c r="F744" s="7" t="str">
        <f t="array" ref="F744">+TIPOARMA(H744,I744)</f>
        <v>ERRO - REVISAR</v>
      </c>
      <c r="H744" t="str">
        <f t="array" ref="H744">+ARMASTD(N744)</f>
        <v>ERRO - REVISAR</v>
      </c>
      <c r="I744" t="str">
        <f t="array" ref="I744">+CALIBRESTD(O744)</f>
        <v>ERRO - REVISAR</v>
      </c>
    </row>
    <row r="745" spans="1:9" ht="14.25" customHeight="1" x14ac:dyDescent="0.35">
      <c r="A745" s="41" t="str">
        <f t="array" ref="A745">EXTRACTEVENT(Q745,S745)</f>
        <v/>
      </c>
      <c r="B745" s="41" t="str">
        <f t="shared" si="33"/>
        <v>-</v>
      </c>
      <c r="C745" s="41" t="e">
        <f>+VLOOKUP(R745,Maps!$A:$C,2,0)</f>
        <v>#N/A</v>
      </c>
      <c r="D745" s="41" t="e">
        <f t="shared" si="34"/>
        <v>#VALUE!</v>
      </c>
      <c r="E745" s="42" t="e">
        <f t="shared" si="35"/>
        <v>#VALUE!</v>
      </c>
      <c r="F745" s="43" t="str">
        <f t="array" ref="F745">+TIPOARMA(H745,I745)</f>
        <v>ERRO - REVISAR</v>
      </c>
      <c r="G745" s="41"/>
      <c r="H745" s="41" t="str">
        <f t="array" ref="H745">+ARMASTD(N745)</f>
        <v>ERRO - REVISAR</v>
      </c>
      <c r="I745" s="41" t="str">
        <f t="array" ref="I745">+CALIBRESTD(O745)</f>
        <v>ERRO - REVISAR</v>
      </c>
    </row>
    <row r="746" spans="1:9" ht="14.25" customHeight="1" x14ac:dyDescent="0.35">
      <c r="A746" t="str">
        <f t="array" ref="A746">EXTRACTEVENT(Q746,S746)</f>
        <v/>
      </c>
      <c r="B746" t="str">
        <f t="shared" si="33"/>
        <v>-</v>
      </c>
      <c r="C746" t="e">
        <f>+VLOOKUP(R746,Maps!$A:$C,2,0)</f>
        <v>#N/A</v>
      </c>
      <c r="D746" t="e">
        <f t="shared" si="34"/>
        <v>#VALUE!</v>
      </c>
      <c r="E746" s="39" t="e">
        <f t="shared" si="35"/>
        <v>#VALUE!</v>
      </c>
      <c r="F746" s="7" t="str">
        <f t="array" ref="F746">+TIPOARMA(H746,I746)</f>
        <v>ERRO - REVISAR</v>
      </c>
      <c r="H746" t="str">
        <f t="array" ref="H746">+ARMASTD(N746)</f>
        <v>ERRO - REVISAR</v>
      </c>
      <c r="I746" t="str">
        <f t="array" ref="I746">+CALIBRESTD(O746)</f>
        <v>ERRO - REVISAR</v>
      </c>
    </row>
    <row r="747" spans="1:9" ht="14.25" customHeight="1" x14ac:dyDescent="0.35">
      <c r="A747" s="41" t="str">
        <f t="array" ref="A747">EXTRACTEVENT(Q747,S747)</f>
        <v/>
      </c>
      <c r="B747" s="41" t="str">
        <f t="shared" si="33"/>
        <v>-</v>
      </c>
      <c r="C747" s="41" t="e">
        <f>+VLOOKUP(R747,Maps!$A:$C,2,0)</f>
        <v>#N/A</v>
      </c>
      <c r="D747" s="41" t="e">
        <f t="shared" si="34"/>
        <v>#VALUE!</v>
      </c>
      <c r="E747" s="42" t="e">
        <f t="shared" si="35"/>
        <v>#VALUE!</v>
      </c>
      <c r="F747" s="43" t="str">
        <f t="array" ref="F747">+TIPOARMA(H747,I747)</f>
        <v>ERRO - REVISAR</v>
      </c>
      <c r="G747" s="41"/>
      <c r="H747" s="41" t="str">
        <f t="array" ref="H747">+ARMASTD(N747)</f>
        <v>ERRO - REVISAR</v>
      </c>
      <c r="I747" s="41" t="str">
        <f t="array" ref="I747">+CALIBRESTD(O747)</f>
        <v>ERRO - REVISAR</v>
      </c>
    </row>
    <row r="748" spans="1:9" ht="14.25" customHeight="1" x14ac:dyDescent="0.35">
      <c r="A748" t="str">
        <f t="array" ref="A748">EXTRACTEVENT(Q748,S748)</f>
        <v/>
      </c>
      <c r="B748" t="str">
        <f t="shared" si="33"/>
        <v>-</v>
      </c>
      <c r="C748" t="e">
        <f>+VLOOKUP(R748,Maps!$A:$C,2,0)</f>
        <v>#N/A</v>
      </c>
      <c r="D748" t="e">
        <f t="shared" si="34"/>
        <v>#VALUE!</v>
      </c>
      <c r="E748" s="39" t="e">
        <f t="shared" si="35"/>
        <v>#VALUE!</v>
      </c>
      <c r="F748" s="7" t="str">
        <f t="array" ref="F748">+TIPOARMA(H748,I748)</f>
        <v>ERRO - REVISAR</v>
      </c>
      <c r="H748" t="str">
        <f t="array" ref="H748">+ARMASTD(N748)</f>
        <v>ERRO - REVISAR</v>
      </c>
      <c r="I748" t="str">
        <f t="array" ref="I748">+CALIBRESTD(O748)</f>
        <v>ERRO - REVISAR</v>
      </c>
    </row>
    <row r="749" spans="1:9" ht="14.25" customHeight="1" x14ac:dyDescent="0.35">
      <c r="A749" s="41" t="str">
        <f t="array" ref="A749">EXTRACTEVENT(Q749,S749)</f>
        <v/>
      </c>
      <c r="B749" s="41" t="str">
        <f t="shared" si="33"/>
        <v>-</v>
      </c>
      <c r="C749" s="41" t="e">
        <f>+VLOOKUP(R749,Maps!$A:$C,2,0)</f>
        <v>#N/A</v>
      </c>
      <c r="D749" s="41" t="e">
        <f t="shared" si="34"/>
        <v>#VALUE!</v>
      </c>
      <c r="E749" s="42" t="e">
        <f t="shared" si="35"/>
        <v>#VALUE!</v>
      </c>
      <c r="F749" s="43" t="str">
        <f t="array" ref="F749">+TIPOARMA(H749,I749)</f>
        <v>ERRO - REVISAR</v>
      </c>
      <c r="G749" s="41"/>
      <c r="H749" s="41" t="str">
        <f t="array" ref="H749">+ARMASTD(N749)</f>
        <v>ERRO - REVISAR</v>
      </c>
      <c r="I749" s="41" t="str">
        <f t="array" ref="I749">+CALIBRESTD(O749)</f>
        <v>ERRO - REVISAR</v>
      </c>
    </row>
    <row r="750" spans="1:9" ht="14.25" customHeight="1" x14ac:dyDescent="0.35">
      <c r="A750" t="str">
        <f t="array" ref="A750">EXTRACTEVENT(Q750,S750)</f>
        <v/>
      </c>
      <c r="B750" t="str">
        <f t="shared" si="33"/>
        <v>-</v>
      </c>
      <c r="C750" t="e">
        <f>+VLOOKUP(R750,Maps!$A:$C,2,0)</f>
        <v>#N/A</v>
      </c>
      <c r="D750" t="e">
        <f t="shared" si="34"/>
        <v>#VALUE!</v>
      </c>
      <c r="E750" s="39" t="e">
        <f t="shared" si="35"/>
        <v>#VALUE!</v>
      </c>
      <c r="F750" s="7" t="str">
        <f t="array" ref="F750">+TIPOARMA(H750,I750)</f>
        <v>ERRO - REVISAR</v>
      </c>
      <c r="H750" t="str">
        <f t="array" ref="H750">+ARMASTD(N750)</f>
        <v>ERRO - REVISAR</v>
      </c>
      <c r="I750" t="str">
        <f t="array" ref="I750">+CALIBRESTD(O750)</f>
        <v>ERRO - REVISAR</v>
      </c>
    </row>
    <row r="751" spans="1:9" ht="14.25" customHeight="1" x14ac:dyDescent="0.35">
      <c r="A751" s="41" t="str">
        <f t="array" ref="A751">EXTRACTEVENT(Q751,S751)</f>
        <v/>
      </c>
      <c r="B751" s="41" t="str">
        <f t="shared" si="33"/>
        <v>-</v>
      </c>
      <c r="C751" s="41" t="e">
        <f>+VLOOKUP(R751,Maps!$A:$C,2,0)</f>
        <v>#N/A</v>
      </c>
      <c r="D751" s="41" t="e">
        <f t="shared" si="34"/>
        <v>#VALUE!</v>
      </c>
      <c r="E751" s="42" t="e">
        <f t="shared" si="35"/>
        <v>#VALUE!</v>
      </c>
      <c r="F751" s="43" t="str">
        <f t="array" ref="F751">+TIPOARMA(H751,I751)</f>
        <v>ERRO - REVISAR</v>
      </c>
      <c r="G751" s="41"/>
      <c r="H751" s="41" t="str">
        <f t="array" ref="H751">+ARMASTD(N751)</f>
        <v>ERRO - REVISAR</v>
      </c>
      <c r="I751" s="41" t="str">
        <f t="array" ref="I751">+CALIBRESTD(O751)</f>
        <v>ERRO - REVISAR</v>
      </c>
    </row>
    <row r="752" spans="1:9" ht="14.25" customHeight="1" x14ac:dyDescent="0.35">
      <c r="A752" t="str">
        <f t="array" ref="A752">EXTRACTEVENT(Q752,S752)</f>
        <v/>
      </c>
      <c r="B752" t="str">
        <f t="shared" si="33"/>
        <v>-</v>
      </c>
      <c r="C752" t="e">
        <f>+VLOOKUP(R752,Maps!$A:$C,2,0)</f>
        <v>#N/A</v>
      </c>
      <c r="D752" t="e">
        <f t="shared" si="34"/>
        <v>#VALUE!</v>
      </c>
      <c r="E752" s="39" t="e">
        <f t="shared" si="35"/>
        <v>#VALUE!</v>
      </c>
      <c r="F752" s="7" t="str">
        <f t="array" ref="F752">+TIPOARMA(H752,I752)</f>
        <v>ERRO - REVISAR</v>
      </c>
      <c r="H752" t="str">
        <f t="array" ref="H752">+ARMASTD(N752)</f>
        <v>ERRO - REVISAR</v>
      </c>
      <c r="I752" t="str">
        <f t="array" ref="I752">+CALIBRESTD(O752)</f>
        <v>ERRO - REVISAR</v>
      </c>
    </row>
    <row r="753" spans="1:9" ht="14.25" customHeight="1" x14ac:dyDescent="0.35">
      <c r="A753" s="41" t="str">
        <f t="array" ref="A753">EXTRACTEVENT(Q753,S753)</f>
        <v/>
      </c>
      <c r="B753" s="41" t="str">
        <f t="shared" si="33"/>
        <v>-</v>
      </c>
      <c r="C753" s="41" t="e">
        <f>+VLOOKUP(R753,Maps!$A:$C,2,0)</f>
        <v>#N/A</v>
      </c>
      <c r="D753" s="41" t="e">
        <f t="shared" si="34"/>
        <v>#VALUE!</v>
      </c>
      <c r="E753" s="42" t="e">
        <f t="shared" si="35"/>
        <v>#VALUE!</v>
      </c>
      <c r="F753" s="43" t="str">
        <f t="array" ref="F753">+TIPOARMA(H753,I753)</f>
        <v>ERRO - REVISAR</v>
      </c>
      <c r="G753" s="41"/>
      <c r="H753" s="41" t="str">
        <f t="array" ref="H753">+ARMASTD(N753)</f>
        <v>ERRO - REVISAR</v>
      </c>
      <c r="I753" s="41" t="str">
        <f t="array" ref="I753">+CALIBRESTD(O753)</f>
        <v>ERRO - REVISAR</v>
      </c>
    </row>
    <row r="754" spans="1:9" ht="14.25" customHeight="1" x14ac:dyDescent="0.35">
      <c r="A754" t="str">
        <f t="array" ref="A754">EXTRACTEVENT(Q754,S754)</f>
        <v/>
      </c>
      <c r="B754" t="str">
        <f t="shared" si="33"/>
        <v>-</v>
      </c>
      <c r="C754" t="e">
        <f>+VLOOKUP(R754,Maps!$A:$C,2,0)</f>
        <v>#N/A</v>
      </c>
      <c r="D754" t="e">
        <f t="shared" si="34"/>
        <v>#VALUE!</v>
      </c>
      <c r="E754" s="39" t="e">
        <f t="shared" si="35"/>
        <v>#VALUE!</v>
      </c>
      <c r="F754" s="7" t="str">
        <f t="array" ref="F754">+TIPOARMA(H754,I754)</f>
        <v>ERRO - REVISAR</v>
      </c>
      <c r="H754" t="str">
        <f t="array" ref="H754">+ARMASTD(N754)</f>
        <v>ERRO - REVISAR</v>
      </c>
      <c r="I754" t="str">
        <f t="array" ref="I754">+CALIBRESTD(O754)</f>
        <v>ERRO - REVISAR</v>
      </c>
    </row>
    <row r="755" spans="1:9" ht="14.25" customHeight="1" x14ac:dyDescent="0.35">
      <c r="A755" s="41" t="str">
        <f t="array" ref="A755">EXTRACTEVENT(Q755,S755)</f>
        <v/>
      </c>
      <c r="B755" s="41" t="str">
        <f t="shared" si="33"/>
        <v>-</v>
      </c>
      <c r="C755" s="41" t="e">
        <f>+VLOOKUP(R755,Maps!$A:$C,2,0)</f>
        <v>#N/A</v>
      </c>
      <c r="D755" s="41" t="e">
        <f t="shared" si="34"/>
        <v>#VALUE!</v>
      </c>
      <c r="E755" s="42" t="e">
        <f t="shared" si="35"/>
        <v>#VALUE!</v>
      </c>
      <c r="F755" s="43" t="str">
        <f t="array" ref="F755">+TIPOARMA(H755,I755)</f>
        <v>ERRO - REVISAR</v>
      </c>
      <c r="G755" s="41"/>
      <c r="H755" s="41" t="str">
        <f t="array" ref="H755">+ARMASTD(N755)</f>
        <v>ERRO - REVISAR</v>
      </c>
      <c r="I755" s="41" t="str">
        <f t="array" ref="I755">+CALIBRESTD(O755)</f>
        <v>ERRO - REVISAR</v>
      </c>
    </row>
    <row r="756" spans="1:9" ht="14.25" customHeight="1" x14ac:dyDescent="0.35">
      <c r="A756" t="str">
        <f t="array" ref="A756">EXTRACTEVENT(Q756,S756)</f>
        <v/>
      </c>
      <c r="B756" t="str">
        <f t="shared" si="33"/>
        <v>-</v>
      </c>
      <c r="C756" t="e">
        <f>+VLOOKUP(R756,Maps!$A:$C,2,0)</f>
        <v>#N/A</v>
      </c>
      <c r="D756" t="e">
        <f t="shared" si="34"/>
        <v>#VALUE!</v>
      </c>
      <c r="E756" s="39" t="e">
        <f t="shared" si="35"/>
        <v>#VALUE!</v>
      </c>
      <c r="F756" s="7" t="str">
        <f t="array" ref="F756">+TIPOARMA(H756,I756)</f>
        <v>ERRO - REVISAR</v>
      </c>
      <c r="H756" t="str">
        <f t="array" ref="H756">+ARMASTD(N756)</f>
        <v>ERRO - REVISAR</v>
      </c>
      <c r="I756" t="str">
        <f t="array" ref="I756">+CALIBRESTD(O756)</f>
        <v>ERRO - REVISAR</v>
      </c>
    </row>
    <row r="757" spans="1:9" ht="14.25" customHeight="1" x14ac:dyDescent="0.35">
      <c r="A757" s="41" t="str">
        <f t="array" ref="A757">EXTRACTEVENT(Q757,S757)</f>
        <v/>
      </c>
      <c r="B757" s="41" t="str">
        <f t="shared" si="33"/>
        <v>-</v>
      </c>
      <c r="C757" s="41" t="e">
        <f>+VLOOKUP(R757,Maps!$A:$C,2,0)</f>
        <v>#N/A</v>
      </c>
      <c r="D757" s="41" t="e">
        <f t="shared" si="34"/>
        <v>#VALUE!</v>
      </c>
      <c r="E757" s="42" t="e">
        <f t="shared" si="35"/>
        <v>#VALUE!</v>
      </c>
      <c r="F757" s="43" t="str">
        <f t="array" ref="F757">+TIPOARMA(H757,I757)</f>
        <v>ERRO - REVISAR</v>
      </c>
      <c r="G757" s="41"/>
      <c r="H757" s="41" t="str">
        <f t="array" ref="H757">+ARMASTD(N757)</f>
        <v>ERRO - REVISAR</v>
      </c>
      <c r="I757" s="41" t="str">
        <f t="array" ref="I757">+CALIBRESTD(O757)</f>
        <v>ERRO - REVISAR</v>
      </c>
    </row>
    <row r="758" spans="1:9" ht="14.25" customHeight="1" x14ac:dyDescent="0.35">
      <c r="A758" t="str">
        <f t="array" ref="A758">EXTRACTEVENT(Q758,S758)</f>
        <v/>
      </c>
      <c r="B758" t="str">
        <f t="shared" si="33"/>
        <v>-</v>
      </c>
      <c r="C758" t="e">
        <f>+VLOOKUP(R758,Maps!$A:$C,2,0)</f>
        <v>#N/A</v>
      </c>
      <c r="D758" t="e">
        <f t="shared" si="34"/>
        <v>#VALUE!</v>
      </c>
      <c r="E758" s="39" t="e">
        <f t="shared" si="35"/>
        <v>#VALUE!</v>
      </c>
      <c r="F758" s="7" t="str">
        <f t="array" ref="F758">+TIPOARMA(H758,I758)</f>
        <v>ERRO - REVISAR</v>
      </c>
      <c r="H758" t="str">
        <f t="array" ref="H758">+ARMASTD(N758)</f>
        <v>ERRO - REVISAR</v>
      </c>
      <c r="I758" t="str">
        <f t="array" ref="I758">+CALIBRESTD(O758)</f>
        <v>ERRO - REVISAR</v>
      </c>
    </row>
    <row r="759" spans="1:9" ht="14.25" customHeight="1" x14ac:dyDescent="0.35">
      <c r="A759" s="41" t="str">
        <f t="array" ref="A759">EXTRACTEVENT(Q759,S759)</f>
        <v/>
      </c>
      <c r="B759" s="41" t="str">
        <f t="shared" si="33"/>
        <v>-</v>
      </c>
      <c r="C759" s="41" t="e">
        <f>+VLOOKUP(R759,Maps!$A:$C,2,0)</f>
        <v>#N/A</v>
      </c>
      <c r="D759" s="41" t="e">
        <f t="shared" si="34"/>
        <v>#VALUE!</v>
      </c>
      <c r="E759" s="42" t="e">
        <f t="shared" si="35"/>
        <v>#VALUE!</v>
      </c>
      <c r="F759" s="43" t="str">
        <f t="array" ref="F759">+TIPOARMA(H759,I759)</f>
        <v>ERRO - REVISAR</v>
      </c>
      <c r="G759" s="41"/>
      <c r="H759" s="41" t="str">
        <f t="array" ref="H759">+ARMASTD(N759)</f>
        <v>ERRO - REVISAR</v>
      </c>
      <c r="I759" s="41" t="str">
        <f t="array" ref="I759">+CALIBRESTD(O759)</f>
        <v>ERRO - REVISAR</v>
      </c>
    </row>
    <row r="760" spans="1:9" ht="14.25" customHeight="1" x14ac:dyDescent="0.35">
      <c r="A760" t="str">
        <f t="array" ref="A760">EXTRACTEVENT(Q760,S760)</f>
        <v/>
      </c>
      <c r="B760" t="str">
        <f t="shared" si="33"/>
        <v>-</v>
      </c>
      <c r="C760" t="e">
        <f>+VLOOKUP(R760,Maps!$A:$C,2,0)</f>
        <v>#N/A</v>
      </c>
      <c r="D760" t="e">
        <f t="shared" si="34"/>
        <v>#VALUE!</v>
      </c>
      <c r="E760" s="39" t="e">
        <f t="shared" si="35"/>
        <v>#VALUE!</v>
      </c>
      <c r="F760" s="7" t="str">
        <f t="array" ref="F760">+TIPOARMA(H760,I760)</f>
        <v>ERRO - REVISAR</v>
      </c>
      <c r="H760" t="str">
        <f t="array" ref="H760">+ARMASTD(N760)</f>
        <v>ERRO - REVISAR</v>
      </c>
      <c r="I760" t="str">
        <f t="array" ref="I760">+CALIBRESTD(O760)</f>
        <v>ERRO - REVISAR</v>
      </c>
    </row>
    <row r="761" spans="1:9" ht="14.25" customHeight="1" x14ac:dyDescent="0.35">
      <c r="A761" s="41" t="str">
        <f t="array" ref="A761">EXTRACTEVENT(Q761,S761)</f>
        <v/>
      </c>
      <c r="B761" s="41" t="str">
        <f t="shared" si="33"/>
        <v>-</v>
      </c>
      <c r="C761" s="41" t="e">
        <f>+VLOOKUP(R761,Maps!$A:$C,2,0)</f>
        <v>#N/A</v>
      </c>
      <c r="D761" s="41" t="e">
        <f t="shared" si="34"/>
        <v>#VALUE!</v>
      </c>
      <c r="E761" s="42" t="e">
        <f t="shared" si="35"/>
        <v>#VALUE!</v>
      </c>
      <c r="F761" s="43" t="str">
        <f t="array" ref="F761">+TIPOARMA(H761,I761)</f>
        <v>ERRO - REVISAR</v>
      </c>
      <c r="G761" s="41"/>
      <c r="H761" s="41" t="str">
        <f t="array" ref="H761">+ARMASTD(N761)</f>
        <v>ERRO - REVISAR</v>
      </c>
      <c r="I761" s="41" t="str">
        <f t="array" ref="I761">+CALIBRESTD(O761)</f>
        <v>ERRO - REVISAR</v>
      </c>
    </row>
    <row r="762" spans="1:9" ht="14.25" customHeight="1" x14ac:dyDescent="0.35">
      <c r="A762" t="str">
        <f t="array" ref="A762">EXTRACTEVENT(Q762,S762)</f>
        <v/>
      </c>
      <c r="B762" t="str">
        <f t="shared" si="33"/>
        <v>-</v>
      </c>
      <c r="C762" t="e">
        <f>+VLOOKUP(R762,Maps!$A:$C,2,0)</f>
        <v>#N/A</v>
      </c>
      <c r="D762" t="e">
        <f t="shared" si="34"/>
        <v>#VALUE!</v>
      </c>
      <c r="E762" s="39" t="e">
        <f t="shared" si="35"/>
        <v>#VALUE!</v>
      </c>
      <c r="F762" s="7" t="str">
        <f t="array" ref="F762">+TIPOARMA(H762,I762)</f>
        <v>ERRO - REVISAR</v>
      </c>
      <c r="H762" t="str">
        <f t="array" ref="H762">+ARMASTD(N762)</f>
        <v>ERRO - REVISAR</v>
      </c>
      <c r="I762" t="str">
        <f t="array" ref="I762">+CALIBRESTD(O762)</f>
        <v>ERRO - REVISAR</v>
      </c>
    </row>
    <row r="763" spans="1:9" ht="14.25" customHeight="1" x14ac:dyDescent="0.35">
      <c r="A763" s="41" t="str">
        <f t="array" ref="A763">EXTRACTEVENT(Q763,S763)</f>
        <v/>
      </c>
      <c r="B763" s="41" t="str">
        <f t="shared" si="33"/>
        <v>-</v>
      </c>
      <c r="C763" s="41" t="e">
        <f>+VLOOKUP(R763,Maps!$A:$C,2,0)</f>
        <v>#N/A</v>
      </c>
      <c r="D763" s="41" t="e">
        <f t="shared" si="34"/>
        <v>#VALUE!</v>
      </c>
      <c r="E763" s="42" t="e">
        <f t="shared" si="35"/>
        <v>#VALUE!</v>
      </c>
      <c r="F763" s="43" t="str">
        <f t="array" ref="F763">+TIPOARMA(H763,I763)</f>
        <v>ERRO - REVISAR</v>
      </c>
      <c r="G763" s="41"/>
      <c r="H763" s="41" t="str">
        <f t="array" ref="H763">+ARMASTD(N763)</f>
        <v>ERRO - REVISAR</v>
      </c>
      <c r="I763" s="41" t="str">
        <f t="array" ref="I763">+CALIBRESTD(O763)</f>
        <v>ERRO - REVISAR</v>
      </c>
    </row>
    <row r="764" spans="1:9" ht="14.25" customHeight="1" x14ac:dyDescent="0.35">
      <c r="A764" t="str">
        <f t="array" ref="A764">EXTRACTEVENT(Q764,S764)</f>
        <v/>
      </c>
      <c r="B764" t="str">
        <f t="shared" si="33"/>
        <v>-</v>
      </c>
      <c r="C764" t="e">
        <f>+VLOOKUP(R764,Maps!$A:$C,2,0)</f>
        <v>#N/A</v>
      </c>
      <c r="D764" t="e">
        <f t="shared" si="34"/>
        <v>#VALUE!</v>
      </c>
      <c r="E764" s="39" t="e">
        <f t="shared" si="35"/>
        <v>#VALUE!</v>
      </c>
      <c r="F764" s="7" t="str">
        <f t="array" ref="F764">+TIPOARMA(H764,I764)</f>
        <v>ERRO - REVISAR</v>
      </c>
      <c r="H764" t="str">
        <f t="array" ref="H764">+ARMASTD(N764)</f>
        <v>ERRO - REVISAR</v>
      </c>
      <c r="I764" t="str">
        <f t="array" ref="I764">+CALIBRESTD(O764)</f>
        <v>ERRO - REVISAR</v>
      </c>
    </row>
    <row r="765" spans="1:9" ht="14.25" customHeight="1" x14ac:dyDescent="0.35">
      <c r="A765" s="41" t="str">
        <f t="array" ref="A765">EXTRACTEVENT(Q765,S765)</f>
        <v/>
      </c>
      <c r="B765" s="41" t="str">
        <f t="shared" si="33"/>
        <v>-</v>
      </c>
      <c r="C765" s="41" t="e">
        <f>+VLOOKUP(R765,Maps!$A:$C,2,0)</f>
        <v>#N/A</v>
      </c>
      <c r="D765" s="41" t="e">
        <f t="shared" si="34"/>
        <v>#VALUE!</v>
      </c>
      <c r="E765" s="42" t="e">
        <f t="shared" si="35"/>
        <v>#VALUE!</v>
      </c>
      <c r="F765" s="43" t="str">
        <f t="array" ref="F765">+TIPOARMA(H765,I765)</f>
        <v>ERRO - REVISAR</v>
      </c>
      <c r="G765" s="41"/>
      <c r="H765" s="41" t="str">
        <f t="array" ref="H765">+ARMASTD(N765)</f>
        <v>ERRO - REVISAR</v>
      </c>
      <c r="I765" s="41" t="str">
        <f t="array" ref="I765">+CALIBRESTD(O765)</f>
        <v>ERRO - REVISAR</v>
      </c>
    </row>
    <row r="766" spans="1:9" ht="14.25" customHeight="1" x14ac:dyDescent="0.35">
      <c r="A766" t="str">
        <f t="array" ref="A766">EXTRACTEVENT(Q766,S766)</f>
        <v/>
      </c>
      <c r="B766" t="str">
        <f t="shared" si="33"/>
        <v>-</v>
      </c>
      <c r="C766" t="e">
        <f>+VLOOKUP(R766,Maps!$A:$C,2,0)</f>
        <v>#N/A</v>
      </c>
      <c r="D766" t="e">
        <f t="shared" si="34"/>
        <v>#VALUE!</v>
      </c>
      <c r="E766" s="39" t="e">
        <f t="shared" si="35"/>
        <v>#VALUE!</v>
      </c>
      <c r="F766" s="7" t="str">
        <f t="array" ref="F766">+TIPOARMA(H766,I766)</f>
        <v>ERRO - REVISAR</v>
      </c>
      <c r="H766" t="str">
        <f t="array" ref="H766">+ARMASTD(N766)</f>
        <v>ERRO - REVISAR</v>
      </c>
      <c r="I766" t="str">
        <f t="array" ref="I766">+CALIBRESTD(O766)</f>
        <v>ERRO - REVISAR</v>
      </c>
    </row>
    <row r="767" spans="1:9" ht="14.25" customHeight="1" x14ac:dyDescent="0.35">
      <c r="A767" s="41" t="str">
        <f t="array" ref="A767">EXTRACTEVENT(Q767,S767)</f>
        <v/>
      </c>
      <c r="B767" s="41" t="str">
        <f t="shared" si="33"/>
        <v>-</v>
      </c>
      <c r="C767" s="41" t="e">
        <f>+VLOOKUP(R767,Maps!$A:$C,2,0)</f>
        <v>#N/A</v>
      </c>
      <c r="D767" s="41" t="e">
        <f t="shared" si="34"/>
        <v>#VALUE!</v>
      </c>
      <c r="E767" s="42" t="e">
        <f t="shared" si="35"/>
        <v>#VALUE!</v>
      </c>
      <c r="F767" s="43" t="str">
        <f t="array" ref="F767">+TIPOARMA(H767,I767)</f>
        <v>ERRO - REVISAR</v>
      </c>
      <c r="G767" s="41"/>
      <c r="H767" s="41" t="str">
        <f t="array" ref="H767">+ARMASTD(N767)</f>
        <v>ERRO - REVISAR</v>
      </c>
      <c r="I767" s="41" t="str">
        <f t="array" ref="I767">+CALIBRESTD(O767)</f>
        <v>ERRO - REVISAR</v>
      </c>
    </row>
    <row r="768" spans="1:9" ht="14.25" customHeight="1" x14ac:dyDescent="0.35">
      <c r="A768" t="str">
        <f t="array" ref="A768">EXTRACTEVENT(Q768,S768)</f>
        <v/>
      </c>
      <c r="B768" t="str">
        <f t="shared" si="33"/>
        <v>-</v>
      </c>
      <c r="C768" t="e">
        <f>+VLOOKUP(R768,Maps!$A:$C,2,0)</f>
        <v>#N/A</v>
      </c>
      <c r="D768" t="e">
        <f t="shared" si="34"/>
        <v>#VALUE!</v>
      </c>
      <c r="E768" s="39" t="e">
        <f t="shared" si="35"/>
        <v>#VALUE!</v>
      </c>
      <c r="F768" s="7" t="str">
        <f t="array" ref="F768">+TIPOARMA(H768,I768)</f>
        <v>ERRO - REVISAR</v>
      </c>
      <c r="H768" t="str">
        <f t="array" ref="H768">+ARMASTD(N768)</f>
        <v>ERRO - REVISAR</v>
      </c>
      <c r="I768" t="str">
        <f t="array" ref="I768">+CALIBRESTD(O768)</f>
        <v>ERRO - REVISAR</v>
      </c>
    </row>
    <row r="769" spans="1:9" ht="14.25" customHeight="1" x14ac:dyDescent="0.35">
      <c r="A769" s="41" t="str">
        <f t="array" ref="A769">EXTRACTEVENT(Q769,S769)</f>
        <v/>
      </c>
      <c r="B769" s="41" t="str">
        <f t="shared" si="33"/>
        <v>-</v>
      </c>
      <c r="C769" s="41" t="e">
        <f>+VLOOKUP(R769,Maps!$A:$C,2,0)</f>
        <v>#N/A</v>
      </c>
      <c r="D769" s="41" t="e">
        <f t="shared" si="34"/>
        <v>#VALUE!</v>
      </c>
      <c r="E769" s="42" t="e">
        <f t="shared" si="35"/>
        <v>#VALUE!</v>
      </c>
      <c r="F769" s="43" t="str">
        <f t="array" ref="F769">+TIPOARMA(H769,I769)</f>
        <v>ERRO - REVISAR</v>
      </c>
      <c r="G769" s="41"/>
      <c r="H769" s="41" t="str">
        <f t="array" ref="H769">+ARMASTD(N769)</f>
        <v>ERRO - REVISAR</v>
      </c>
      <c r="I769" s="41" t="str">
        <f t="array" ref="I769">+CALIBRESTD(O769)</f>
        <v>ERRO - REVISAR</v>
      </c>
    </row>
    <row r="770" spans="1:9" ht="14.25" customHeight="1" x14ac:dyDescent="0.35">
      <c r="A770" t="str">
        <f t="array" ref="A770">EXTRACTEVENT(Q770,S770)</f>
        <v/>
      </c>
      <c r="B770" t="str">
        <f t="shared" ref="B770:B833" si="36">+EXTRACTETAPANUM(Q770)</f>
        <v>-</v>
      </c>
      <c r="C770" t="e">
        <f>+VLOOKUP(R770,Maps!$A:$C,2,0)</f>
        <v>#N/A</v>
      </c>
      <c r="D770" t="e">
        <f t="shared" ref="D770:D833" si="37">+DEFINEAMBITO(Q770,C770)</f>
        <v>#VALUE!</v>
      </c>
      <c r="E770" s="39" t="e">
        <f t="shared" ref="E770:E833" si="38">DATEVALUE(L770)</f>
        <v>#VALUE!</v>
      </c>
      <c r="F770" s="7" t="str">
        <f t="array" ref="F770">+TIPOARMA(H770,I770)</f>
        <v>ERRO - REVISAR</v>
      </c>
      <c r="H770" t="str">
        <f t="array" ref="H770">+ARMASTD(N770)</f>
        <v>ERRO - REVISAR</v>
      </c>
      <c r="I770" t="str">
        <f t="array" ref="I770">+CALIBRESTD(O770)</f>
        <v>ERRO - REVISAR</v>
      </c>
    </row>
    <row r="771" spans="1:9" ht="14.25" customHeight="1" x14ac:dyDescent="0.35">
      <c r="A771" s="41" t="str">
        <f t="array" ref="A771">EXTRACTEVENT(Q771,S771)</f>
        <v/>
      </c>
      <c r="B771" s="41" t="str">
        <f t="shared" si="36"/>
        <v>-</v>
      </c>
      <c r="C771" s="41" t="e">
        <f>+VLOOKUP(R771,Maps!$A:$C,2,0)</f>
        <v>#N/A</v>
      </c>
      <c r="D771" s="41" t="e">
        <f t="shared" si="37"/>
        <v>#VALUE!</v>
      </c>
      <c r="E771" s="42" t="e">
        <f t="shared" si="38"/>
        <v>#VALUE!</v>
      </c>
      <c r="F771" s="43" t="str">
        <f t="array" ref="F771">+TIPOARMA(H771,I771)</f>
        <v>ERRO - REVISAR</v>
      </c>
      <c r="G771" s="41"/>
      <c r="H771" s="41" t="str">
        <f t="array" ref="H771">+ARMASTD(N771)</f>
        <v>ERRO - REVISAR</v>
      </c>
      <c r="I771" s="41" t="str">
        <f t="array" ref="I771">+CALIBRESTD(O771)</f>
        <v>ERRO - REVISAR</v>
      </c>
    </row>
    <row r="772" spans="1:9" ht="14.25" customHeight="1" x14ac:dyDescent="0.35">
      <c r="A772" t="str">
        <f t="array" ref="A772">EXTRACTEVENT(Q772,S772)</f>
        <v/>
      </c>
      <c r="B772" t="str">
        <f t="shared" si="36"/>
        <v>-</v>
      </c>
      <c r="C772" t="e">
        <f>+VLOOKUP(R772,Maps!$A:$C,2,0)</f>
        <v>#N/A</v>
      </c>
      <c r="D772" t="e">
        <f t="shared" si="37"/>
        <v>#VALUE!</v>
      </c>
      <c r="E772" s="39" t="e">
        <f t="shared" si="38"/>
        <v>#VALUE!</v>
      </c>
      <c r="F772" s="7" t="str">
        <f t="array" ref="F772">+TIPOARMA(H772,I772)</f>
        <v>ERRO - REVISAR</v>
      </c>
      <c r="H772" t="str">
        <f t="array" ref="H772">+ARMASTD(N772)</f>
        <v>ERRO - REVISAR</v>
      </c>
      <c r="I772" t="str">
        <f t="array" ref="I772">+CALIBRESTD(O772)</f>
        <v>ERRO - REVISAR</v>
      </c>
    </row>
    <row r="773" spans="1:9" ht="14.25" customHeight="1" x14ac:dyDescent="0.35">
      <c r="A773" s="41" t="str">
        <f t="array" ref="A773">EXTRACTEVENT(Q773,S773)</f>
        <v/>
      </c>
      <c r="B773" s="41" t="str">
        <f t="shared" si="36"/>
        <v>-</v>
      </c>
      <c r="C773" s="41" t="e">
        <f>+VLOOKUP(R773,Maps!$A:$C,2,0)</f>
        <v>#N/A</v>
      </c>
      <c r="D773" s="41" t="e">
        <f t="shared" si="37"/>
        <v>#VALUE!</v>
      </c>
      <c r="E773" s="42" t="e">
        <f t="shared" si="38"/>
        <v>#VALUE!</v>
      </c>
      <c r="F773" s="43" t="str">
        <f t="array" ref="F773">+TIPOARMA(H773,I773)</f>
        <v>ERRO - REVISAR</v>
      </c>
      <c r="G773" s="41"/>
      <c r="H773" s="41" t="str">
        <f t="array" ref="H773">+ARMASTD(N773)</f>
        <v>ERRO - REVISAR</v>
      </c>
      <c r="I773" s="41" t="str">
        <f t="array" ref="I773">+CALIBRESTD(O773)</f>
        <v>ERRO - REVISAR</v>
      </c>
    </row>
    <row r="774" spans="1:9" ht="14.25" customHeight="1" x14ac:dyDescent="0.35">
      <c r="A774" t="str">
        <f t="array" ref="A774">EXTRACTEVENT(Q774,S774)</f>
        <v/>
      </c>
      <c r="B774" t="str">
        <f t="shared" si="36"/>
        <v>-</v>
      </c>
      <c r="C774" t="e">
        <f>+VLOOKUP(R774,Maps!$A:$C,2,0)</f>
        <v>#N/A</v>
      </c>
      <c r="D774" t="e">
        <f t="shared" si="37"/>
        <v>#VALUE!</v>
      </c>
      <c r="E774" s="39" t="e">
        <f t="shared" si="38"/>
        <v>#VALUE!</v>
      </c>
      <c r="F774" s="7" t="str">
        <f t="array" ref="F774">+TIPOARMA(H774,I774)</f>
        <v>ERRO - REVISAR</v>
      </c>
      <c r="H774" t="str">
        <f t="array" ref="H774">+ARMASTD(N774)</f>
        <v>ERRO - REVISAR</v>
      </c>
      <c r="I774" t="str">
        <f t="array" ref="I774">+CALIBRESTD(O774)</f>
        <v>ERRO - REVISAR</v>
      </c>
    </row>
    <row r="775" spans="1:9" ht="14.25" customHeight="1" x14ac:dyDescent="0.35">
      <c r="A775" s="41" t="str">
        <f t="array" ref="A775">EXTRACTEVENT(Q775,S775)</f>
        <v/>
      </c>
      <c r="B775" s="41" t="str">
        <f t="shared" si="36"/>
        <v>-</v>
      </c>
      <c r="C775" s="41" t="e">
        <f>+VLOOKUP(R775,Maps!$A:$C,2,0)</f>
        <v>#N/A</v>
      </c>
      <c r="D775" s="41" t="e">
        <f t="shared" si="37"/>
        <v>#VALUE!</v>
      </c>
      <c r="E775" s="42" t="e">
        <f t="shared" si="38"/>
        <v>#VALUE!</v>
      </c>
      <c r="F775" s="43" t="str">
        <f t="array" ref="F775">+TIPOARMA(H775,I775)</f>
        <v>ERRO - REVISAR</v>
      </c>
      <c r="G775" s="41"/>
      <c r="H775" s="41" t="str">
        <f t="array" ref="H775">+ARMASTD(N775)</f>
        <v>ERRO - REVISAR</v>
      </c>
      <c r="I775" s="41" t="str">
        <f t="array" ref="I775">+CALIBRESTD(O775)</f>
        <v>ERRO - REVISAR</v>
      </c>
    </row>
    <row r="776" spans="1:9" ht="14.25" customHeight="1" x14ac:dyDescent="0.35">
      <c r="A776" t="str">
        <f t="array" ref="A776">EXTRACTEVENT(Q776,S776)</f>
        <v/>
      </c>
      <c r="B776" t="str">
        <f t="shared" si="36"/>
        <v>-</v>
      </c>
      <c r="C776" t="e">
        <f>+VLOOKUP(R776,Maps!$A:$C,2,0)</f>
        <v>#N/A</v>
      </c>
      <c r="D776" t="e">
        <f t="shared" si="37"/>
        <v>#VALUE!</v>
      </c>
      <c r="E776" s="39" t="e">
        <f t="shared" si="38"/>
        <v>#VALUE!</v>
      </c>
      <c r="F776" s="7" t="str">
        <f t="array" ref="F776">+TIPOARMA(H776,I776)</f>
        <v>ERRO - REVISAR</v>
      </c>
      <c r="H776" t="str">
        <f t="array" ref="H776">+ARMASTD(N776)</f>
        <v>ERRO - REVISAR</v>
      </c>
      <c r="I776" t="str">
        <f t="array" ref="I776">+CALIBRESTD(O776)</f>
        <v>ERRO - REVISAR</v>
      </c>
    </row>
    <row r="777" spans="1:9" ht="14.25" customHeight="1" x14ac:dyDescent="0.35">
      <c r="A777" s="41" t="str">
        <f t="array" ref="A777">EXTRACTEVENT(Q777,S777)</f>
        <v/>
      </c>
      <c r="B777" s="41" t="str">
        <f t="shared" si="36"/>
        <v>-</v>
      </c>
      <c r="C777" s="41" t="e">
        <f>+VLOOKUP(R777,Maps!$A:$C,2,0)</f>
        <v>#N/A</v>
      </c>
      <c r="D777" s="41" t="e">
        <f t="shared" si="37"/>
        <v>#VALUE!</v>
      </c>
      <c r="E777" s="42" t="e">
        <f t="shared" si="38"/>
        <v>#VALUE!</v>
      </c>
      <c r="F777" s="43" t="str">
        <f t="array" ref="F777">+TIPOARMA(H777,I777)</f>
        <v>ERRO - REVISAR</v>
      </c>
      <c r="G777" s="41"/>
      <c r="H777" s="41" t="str">
        <f t="array" ref="H777">+ARMASTD(N777)</f>
        <v>ERRO - REVISAR</v>
      </c>
      <c r="I777" s="41" t="str">
        <f t="array" ref="I777">+CALIBRESTD(O777)</f>
        <v>ERRO - REVISAR</v>
      </c>
    </row>
    <row r="778" spans="1:9" ht="14.25" customHeight="1" x14ac:dyDescent="0.35">
      <c r="A778" t="str">
        <f t="array" ref="A778">EXTRACTEVENT(Q778,S778)</f>
        <v/>
      </c>
      <c r="B778" t="str">
        <f t="shared" si="36"/>
        <v>-</v>
      </c>
      <c r="C778" t="e">
        <f>+VLOOKUP(R778,Maps!$A:$C,2,0)</f>
        <v>#N/A</v>
      </c>
      <c r="D778" t="e">
        <f t="shared" si="37"/>
        <v>#VALUE!</v>
      </c>
      <c r="E778" s="39" t="e">
        <f t="shared" si="38"/>
        <v>#VALUE!</v>
      </c>
      <c r="F778" s="7" t="str">
        <f t="array" ref="F778">+TIPOARMA(H778,I778)</f>
        <v>ERRO - REVISAR</v>
      </c>
      <c r="H778" t="str">
        <f t="array" ref="H778">+ARMASTD(N778)</f>
        <v>ERRO - REVISAR</v>
      </c>
      <c r="I778" t="str">
        <f t="array" ref="I778">+CALIBRESTD(O778)</f>
        <v>ERRO - REVISAR</v>
      </c>
    </row>
    <row r="779" spans="1:9" ht="14.25" customHeight="1" x14ac:dyDescent="0.35">
      <c r="A779" s="41" t="str">
        <f t="array" ref="A779">EXTRACTEVENT(Q779,S779)</f>
        <v/>
      </c>
      <c r="B779" s="41" t="str">
        <f t="shared" si="36"/>
        <v>-</v>
      </c>
      <c r="C779" s="41" t="e">
        <f>+VLOOKUP(R779,Maps!$A:$C,2,0)</f>
        <v>#N/A</v>
      </c>
      <c r="D779" s="41" t="e">
        <f t="shared" si="37"/>
        <v>#VALUE!</v>
      </c>
      <c r="E779" s="42" t="e">
        <f t="shared" si="38"/>
        <v>#VALUE!</v>
      </c>
      <c r="F779" s="43" t="str">
        <f t="array" ref="F779">+TIPOARMA(H779,I779)</f>
        <v>ERRO - REVISAR</v>
      </c>
      <c r="G779" s="41"/>
      <c r="H779" s="41" t="str">
        <f t="array" ref="H779">+ARMASTD(N779)</f>
        <v>ERRO - REVISAR</v>
      </c>
      <c r="I779" s="41" t="str">
        <f t="array" ref="I779">+CALIBRESTD(O779)</f>
        <v>ERRO - REVISAR</v>
      </c>
    </row>
    <row r="780" spans="1:9" ht="14.25" customHeight="1" x14ac:dyDescent="0.35">
      <c r="A780" t="str">
        <f t="array" ref="A780">EXTRACTEVENT(Q780,S780)</f>
        <v/>
      </c>
      <c r="B780" t="str">
        <f t="shared" si="36"/>
        <v>-</v>
      </c>
      <c r="C780" t="e">
        <f>+VLOOKUP(R780,Maps!$A:$C,2,0)</f>
        <v>#N/A</v>
      </c>
      <c r="D780" t="e">
        <f t="shared" si="37"/>
        <v>#VALUE!</v>
      </c>
      <c r="E780" s="39" t="e">
        <f t="shared" si="38"/>
        <v>#VALUE!</v>
      </c>
      <c r="F780" s="7" t="str">
        <f t="array" ref="F780">+TIPOARMA(H780,I780)</f>
        <v>ERRO - REVISAR</v>
      </c>
      <c r="H780" t="str">
        <f t="array" ref="H780">+ARMASTD(N780)</f>
        <v>ERRO - REVISAR</v>
      </c>
      <c r="I780" t="str">
        <f t="array" ref="I780">+CALIBRESTD(O780)</f>
        <v>ERRO - REVISAR</v>
      </c>
    </row>
    <row r="781" spans="1:9" ht="14.25" customHeight="1" x14ac:dyDescent="0.35">
      <c r="A781" s="41" t="str">
        <f t="array" ref="A781">EXTRACTEVENT(Q781,S781)</f>
        <v/>
      </c>
      <c r="B781" s="41" t="str">
        <f t="shared" si="36"/>
        <v>-</v>
      </c>
      <c r="C781" s="41" t="e">
        <f>+VLOOKUP(R781,Maps!$A:$C,2,0)</f>
        <v>#N/A</v>
      </c>
      <c r="D781" s="41" t="e">
        <f t="shared" si="37"/>
        <v>#VALUE!</v>
      </c>
      <c r="E781" s="42" t="e">
        <f t="shared" si="38"/>
        <v>#VALUE!</v>
      </c>
      <c r="F781" s="43" t="str">
        <f t="array" ref="F781">+TIPOARMA(H781,I781)</f>
        <v>ERRO - REVISAR</v>
      </c>
      <c r="G781" s="41"/>
      <c r="H781" s="41" t="str">
        <f t="array" ref="H781">+ARMASTD(N781)</f>
        <v>ERRO - REVISAR</v>
      </c>
      <c r="I781" s="41" t="str">
        <f t="array" ref="I781">+CALIBRESTD(O781)</f>
        <v>ERRO - REVISAR</v>
      </c>
    </row>
    <row r="782" spans="1:9" ht="14.25" customHeight="1" x14ac:dyDescent="0.35">
      <c r="A782" t="str">
        <f t="array" ref="A782">EXTRACTEVENT(Q782,S782)</f>
        <v/>
      </c>
      <c r="B782" t="str">
        <f t="shared" si="36"/>
        <v>-</v>
      </c>
      <c r="C782" t="e">
        <f>+VLOOKUP(R782,Maps!$A:$C,2,0)</f>
        <v>#N/A</v>
      </c>
      <c r="D782" t="e">
        <f t="shared" si="37"/>
        <v>#VALUE!</v>
      </c>
      <c r="E782" s="39" t="e">
        <f t="shared" si="38"/>
        <v>#VALUE!</v>
      </c>
      <c r="F782" s="7" t="str">
        <f t="array" ref="F782">+TIPOARMA(H782,I782)</f>
        <v>ERRO - REVISAR</v>
      </c>
      <c r="H782" t="str">
        <f t="array" ref="H782">+ARMASTD(N782)</f>
        <v>ERRO - REVISAR</v>
      </c>
      <c r="I782" t="str">
        <f t="array" ref="I782">+CALIBRESTD(O782)</f>
        <v>ERRO - REVISAR</v>
      </c>
    </row>
    <row r="783" spans="1:9" ht="14.25" customHeight="1" x14ac:dyDescent="0.35">
      <c r="A783" s="41" t="str">
        <f t="array" ref="A783">EXTRACTEVENT(Q783,S783)</f>
        <v/>
      </c>
      <c r="B783" s="41" t="str">
        <f t="shared" si="36"/>
        <v>-</v>
      </c>
      <c r="C783" s="41" t="e">
        <f>+VLOOKUP(R783,Maps!$A:$C,2,0)</f>
        <v>#N/A</v>
      </c>
      <c r="D783" s="41" t="e">
        <f t="shared" si="37"/>
        <v>#VALUE!</v>
      </c>
      <c r="E783" s="42" t="e">
        <f t="shared" si="38"/>
        <v>#VALUE!</v>
      </c>
      <c r="F783" s="43" t="str">
        <f t="array" ref="F783">+TIPOARMA(H783,I783)</f>
        <v>ERRO - REVISAR</v>
      </c>
      <c r="G783" s="41"/>
      <c r="H783" s="41" t="str">
        <f t="array" ref="H783">+ARMASTD(N783)</f>
        <v>ERRO - REVISAR</v>
      </c>
      <c r="I783" s="41" t="str">
        <f t="array" ref="I783">+CALIBRESTD(O783)</f>
        <v>ERRO - REVISAR</v>
      </c>
    </row>
    <row r="784" spans="1:9" ht="14.25" customHeight="1" x14ac:dyDescent="0.35">
      <c r="A784" t="str">
        <f t="array" ref="A784">EXTRACTEVENT(Q784,S784)</f>
        <v/>
      </c>
      <c r="B784" t="str">
        <f t="shared" si="36"/>
        <v>-</v>
      </c>
      <c r="C784" t="e">
        <f>+VLOOKUP(R784,Maps!$A:$C,2,0)</f>
        <v>#N/A</v>
      </c>
      <c r="D784" t="e">
        <f t="shared" si="37"/>
        <v>#VALUE!</v>
      </c>
      <c r="E784" s="39" t="e">
        <f t="shared" si="38"/>
        <v>#VALUE!</v>
      </c>
      <c r="F784" s="7" t="str">
        <f t="array" ref="F784">+TIPOARMA(H784,I784)</f>
        <v>ERRO - REVISAR</v>
      </c>
      <c r="H784" t="str">
        <f t="array" ref="H784">+ARMASTD(N784)</f>
        <v>ERRO - REVISAR</v>
      </c>
      <c r="I784" t="str">
        <f t="array" ref="I784">+CALIBRESTD(O784)</f>
        <v>ERRO - REVISAR</v>
      </c>
    </row>
    <row r="785" spans="1:9" ht="14.25" customHeight="1" x14ac:dyDescent="0.35">
      <c r="A785" s="41" t="str">
        <f t="array" ref="A785">EXTRACTEVENT(Q785,S785)</f>
        <v/>
      </c>
      <c r="B785" s="41" t="str">
        <f t="shared" si="36"/>
        <v>-</v>
      </c>
      <c r="C785" s="41" t="e">
        <f>+VLOOKUP(R785,Maps!$A:$C,2,0)</f>
        <v>#N/A</v>
      </c>
      <c r="D785" s="41" t="e">
        <f t="shared" si="37"/>
        <v>#VALUE!</v>
      </c>
      <c r="E785" s="42" t="e">
        <f t="shared" si="38"/>
        <v>#VALUE!</v>
      </c>
      <c r="F785" s="43" t="str">
        <f t="array" ref="F785">+TIPOARMA(H785,I785)</f>
        <v>ERRO - REVISAR</v>
      </c>
      <c r="G785" s="41"/>
      <c r="H785" s="41" t="str">
        <f t="array" ref="H785">+ARMASTD(N785)</f>
        <v>ERRO - REVISAR</v>
      </c>
      <c r="I785" s="41" t="str">
        <f t="array" ref="I785">+CALIBRESTD(O785)</f>
        <v>ERRO - REVISAR</v>
      </c>
    </row>
    <row r="786" spans="1:9" ht="14.25" customHeight="1" x14ac:dyDescent="0.35">
      <c r="A786" t="str">
        <f t="array" ref="A786">EXTRACTEVENT(Q786,S786)</f>
        <v/>
      </c>
      <c r="B786" t="str">
        <f t="shared" si="36"/>
        <v>-</v>
      </c>
      <c r="C786" t="e">
        <f>+VLOOKUP(R786,Maps!$A:$C,2,0)</f>
        <v>#N/A</v>
      </c>
      <c r="D786" t="e">
        <f t="shared" si="37"/>
        <v>#VALUE!</v>
      </c>
      <c r="E786" s="39" t="e">
        <f t="shared" si="38"/>
        <v>#VALUE!</v>
      </c>
      <c r="F786" s="7" t="str">
        <f t="array" ref="F786">+TIPOARMA(H786,I786)</f>
        <v>ERRO - REVISAR</v>
      </c>
      <c r="H786" t="str">
        <f t="array" ref="H786">+ARMASTD(N786)</f>
        <v>ERRO - REVISAR</v>
      </c>
      <c r="I786" t="str">
        <f t="array" ref="I786">+CALIBRESTD(O786)</f>
        <v>ERRO - REVISAR</v>
      </c>
    </row>
    <row r="787" spans="1:9" ht="14.25" customHeight="1" x14ac:dyDescent="0.35">
      <c r="A787" s="41" t="str">
        <f t="array" ref="A787">EXTRACTEVENT(Q787,S787)</f>
        <v/>
      </c>
      <c r="B787" s="41" t="str">
        <f t="shared" si="36"/>
        <v>-</v>
      </c>
      <c r="C787" s="41" t="e">
        <f>+VLOOKUP(R787,Maps!$A:$C,2,0)</f>
        <v>#N/A</v>
      </c>
      <c r="D787" s="41" t="e">
        <f t="shared" si="37"/>
        <v>#VALUE!</v>
      </c>
      <c r="E787" s="42" t="e">
        <f t="shared" si="38"/>
        <v>#VALUE!</v>
      </c>
      <c r="F787" s="43" t="str">
        <f t="array" ref="F787">+TIPOARMA(H787,I787)</f>
        <v>ERRO - REVISAR</v>
      </c>
      <c r="G787" s="41"/>
      <c r="H787" s="41" t="str">
        <f t="array" ref="H787">+ARMASTD(N787)</f>
        <v>ERRO - REVISAR</v>
      </c>
      <c r="I787" s="41" t="str">
        <f t="array" ref="I787">+CALIBRESTD(O787)</f>
        <v>ERRO - REVISAR</v>
      </c>
    </row>
    <row r="788" spans="1:9" ht="14.25" customHeight="1" x14ac:dyDescent="0.35">
      <c r="A788" t="str">
        <f t="array" ref="A788">EXTRACTEVENT(Q788,S788)</f>
        <v/>
      </c>
      <c r="B788" t="str">
        <f t="shared" si="36"/>
        <v>-</v>
      </c>
      <c r="C788" t="e">
        <f>+VLOOKUP(R788,Maps!$A:$C,2,0)</f>
        <v>#N/A</v>
      </c>
      <c r="D788" t="e">
        <f t="shared" si="37"/>
        <v>#VALUE!</v>
      </c>
      <c r="E788" s="39" t="e">
        <f t="shared" si="38"/>
        <v>#VALUE!</v>
      </c>
      <c r="F788" s="7" t="str">
        <f t="array" ref="F788">+TIPOARMA(H788,I788)</f>
        <v>ERRO - REVISAR</v>
      </c>
      <c r="H788" t="str">
        <f t="array" ref="H788">+ARMASTD(N788)</f>
        <v>ERRO - REVISAR</v>
      </c>
      <c r="I788" t="str">
        <f t="array" ref="I788">+CALIBRESTD(O788)</f>
        <v>ERRO - REVISAR</v>
      </c>
    </row>
    <row r="789" spans="1:9" ht="14.25" customHeight="1" x14ac:dyDescent="0.35">
      <c r="A789" s="41" t="str">
        <f t="array" ref="A789">EXTRACTEVENT(Q789,S789)</f>
        <v/>
      </c>
      <c r="B789" s="41" t="str">
        <f t="shared" si="36"/>
        <v>-</v>
      </c>
      <c r="C789" s="41" t="e">
        <f>+VLOOKUP(R789,Maps!$A:$C,2,0)</f>
        <v>#N/A</v>
      </c>
      <c r="D789" s="41" t="e">
        <f t="shared" si="37"/>
        <v>#VALUE!</v>
      </c>
      <c r="E789" s="42" t="e">
        <f t="shared" si="38"/>
        <v>#VALUE!</v>
      </c>
      <c r="F789" s="43" t="str">
        <f t="array" ref="F789">+TIPOARMA(H789,I789)</f>
        <v>ERRO - REVISAR</v>
      </c>
      <c r="G789" s="41"/>
      <c r="H789" s="41" t="str">
        <f t="array" ref="H789">+ARMASTD(N789)</f>
        <v>ERRO - REVISAR</v>
      </c>
      <c r="I789" s="41" t="str">
        <f t="array" ref="I789">+CALIBRESTD(O789)</f>
        <v>ERRO - REVISAR</v>
      </c>
    </row>
    <row r="790" spans="1:9" ht="14.25" customHeight="1" x14ac:dyDescent="0.35">
      <c r="A790" t="str">
        <f t="array" ref="A790">EXTRACTEVENT(Q790,S790)</f>
        <v/>
      </c>
      <c r="B790" t="str">
        <f t="shared" si="36"/>
        <v>-</v>
      </c>
      <c r="C790" t="e">
        <f>+VLOOKUP(R790,Maps!$A:$C,2,0)</f>
        <v>#N/A</v>
      </c>
      <c r="D790" t="e">
        <f t="shared" si="37"/>
        <v>#VALUE!</v>
      </c>
      <c r="E790" s="39" t="e">
        <f t="shared" si="38"/>
        <v>#VALUE!</v>
      </c>
      <c r="F790" s="7" t="str">
        <f t="array" ref="F790">+TIPOARMA(H790,I790)</f>
        <v>ERRO - REVISAR</v>
      </c>
      <c r="H790" t="str">
        <f t="array" ref="H790">+ARMASTD(N790)</f>
        <v>ERRO - REVISAR</v>
      </c>
      <c r="I790" t="str">
        <f t="array" ref="I790">+CALIBRESTD(O790)</f>
        <v>ERRO - REVISAR</v>
      </c>
    </row>
    <row r="791" spans="1:9" ht="14.25" customHeight="1" x14ac:dyDescent="0.35">
      <c r="A791" s="41" t="str">
        <f t="array" ref="A791">EXTRACTEVENT(Q791,S791)</f>
        <v/>
      </c>
      <c r="B791" s="41" t="str">
        <f t="shared" si="36"/>
        <v>-</v>
      </c>
      <c r="C791" s="41" t="e">
        <f>+VLOOKUP(R791,Maps!$A:$C,2,0)</f>
        <v>#N/A</v>
      </c>
      <c r="D791" s="41" t="e">
        <f t="shared" si="37"/>
        <v>#VALUE!</v>
      </c>
      <c r="E791" s="42" t="e">
        <f t="shared" si="38"/>
        <v>#VALUE!</v>
      </c>
      <c r="F791" s="43" t="str">
        <f t="array" ref="F791">+TIPOARMA(H791,I791)</f>
        <v>ERRO - REVISAR</v>
      </c>
      <c r="G791" s="41"/>
      <c r="H791" s="41" t="str">
        <f t="array" ref="H791">+ARMASTD(N791)</f>
        <v>ERRO - REVISAR</v>
      </c>
      <c r="I791" s="41" t="str">
        <f t="array" ref="I791">+CALIBRESTD(O791)</f>
        <v>ERRO - REVISAR</v>
      </c>
    </row>
    <row r="792" spans="1:9" ht="14.25" customHeight="1" x14ac:dyDescent="0.35">
      <c r="A792" t="str">
        <f t="array" ref="A792">EXTRACTEVENT(Q792,S792)</f>
        <v/>
      </c>
      <c r="B792" t="str">
        <f t="shared" si="36"/>
        <v>-</v>
      </c>
      <c r="C792" t="e">
        <f>+VLOOKUP(R792,Maps!$A:$C,2,0)</f>
        <v>#N/A</v>
      </c>
      <c r="D792" t="e">
        <f t="shared" si="37"/>
        <v>#VALUE!</v>
      </c>
      <c r="E792" s="39" t="e">
        <f t="shared" si="38"/>
        <v>#VALUE!</v>
      </c>
      <c r="F792" s="7" t="str">
        <f t="array" ref="F792">+TIPOARMA(H792,I792)</f>
        <v>ERRO - REVISAR</v>
      </c>
      <c r="H792" t="str">
        <f t="array" ref="H792">+ARMASTD(N792)</f>
        <v>ERRO - REVISAR</v>
      </c>
      <c r="I792" t="str">
        <f t="array" ref="I792">+CALIBRESTD(O792)</f>
        <v>ERRO - REVISAR</v>
      </c>
    </row>
    <row r="793" spans="1:9" ht="14.25" customHeight="1" x14ac:dyDescent="0.35">
      <c r="A793" s="41" t="str">
        <f t="array" ref="A793">EXTRACTEVENT(Q793,S793)</f>
        <v/>
      </c>
      <c r="B793" s="41" t="str">
        <f t="shared" si="36"/>
        <v>-</v>
      </c>
      <c r="C793" s="41" t="e">
        <f>+VLOOKUP(R793,Maps!$A:$C,2,0)</f>
        <v>#N/A</v>
      </c>
      <c r="D793" s="41" t="e">
        <f t="shared" si="37"/>
        <v>#VALUE!</v>
      </c>
      <c r="E793" s="42" t="e">
        <f t="shared" si="38"/>
        <v>#VALUE!</v>
      </c>
      <c r="F793" s="43" t="str">
        <f t="array" ref="F793">+TIPOARMA(H793,I793)</f>
        <v>ERRO - REVISAR</v>
      </c>
      <c r="G793" s="41"/>
      <c r="H793" s="41" t="str">
        <f t="array" ref="H793">+ARMASTD(N793)</f>
        <v>ERRO - REVISAR</v>
      </c>
      <c r="I793" s="41" t="str">
        <f t="array" ref="I793">+CALIBRESTD(O793)</f>
        <v>ERRO - REVISAR</v>
      </c>
    </row>
    <row r="794" spans="1:9" ht="14.25" customHeight="1" x14ac:dyDescent="0.35">
      <c r="A794" t="str">
        <f t="array" ref="A794">EXTRACTEVENT(Q794,S794)</f>
        <v/>
      </c>
      <c r="B794" t="str">
        <f t="shared" si="36"/>
        <v>-</v>
      </c>
      <c r="C794" t="e">
        <f>+VLOOKUP(R794,Maps!$A:$C,2,0)</f>
        <v>#N/A</v>
      </c>
      <c r="D794" t="e">
        <f t="shared" si="37"/>
        <v>#VALUE!</v>
      </c>
      <c r="E794" s="39" t="e">
        <f t="shared" si="38"/>
        <v>#VALUE!</v>
      </c>
      <c r="F794" s="7" t="str">
        <f t="array" ref="F794">+TIPOARMA(H794,I794)</f>
        <v>ERRO - REVISAR</v>
      </c>
      <c r="H794" t="str">
        <f t="array" ref="H794">+ARMASTD(N794)</f>
        <v>ERRO - REVISAR</v>
      </c>
      <c r="I794" t="str">
        <f t="array" ref="I794">+CALIBRESTD(O794)</f>
        <v>ERRO - REVISAR</v>
      </c>
    </row>
    <row r="795" spans="1:9" ht="14.25" customHeight="1" x14ac:dyDescent="0.35">
      <c r="A795" s="41" t="str">
        <f t="array" ref="A795">EXTRACTEVENT(Q795,S795)</f>
        <v/>
      </c>
      <c r="B795" s="41" t="str">
        <f t="shared" si="36"/>
        <v>-</v>
      </c>
      <c r="C795" s="41" t="e">
        <f>+VLOOKUP(R795,Maps!$A:$C,2,0)</f>
        <v>#N/A</v>
      </c>
      <c r="D795" s="41" t="e">
        <f t="shared" si="37"/>
        <v>#VALUE!</v>
      </c>
      <c r="E795" s="42" t="e">
        <f t="shared" si="38"/>
        <v>#VALUE!</v>
      </c>
      <c r="F795" s="43" t="str">
        <f t="array" ref="F795">+TIPOARMA(H795,I795)</f>
        <v>ERRO - REVISAR</v>
      </c>
      <c r="G795" s="41"/>
      <c r="H795" s="41" t="str">
        <f t="array" ref="H795">+ARMASTD(N795)</f>
        <v>ERRO - REVISAR</v>
      </c>
      <c r="I795" s="41" t="str">
        <f t="array" ref="I795">+CALIBRESTD(O795)</f>
        <v>ERRO - REVISAR</v>
      </c>
    </row>
    <row r="796" spans="1:9" ht="14.25" customHeight="1" x14ac:dyDescent="0.35">
      <c r="A796" t="str">
        <f t="array" ref="A796">EXTRACTEVENT(Q796,S796)</f>
        <v/>
      </c>
      <c r="B796" t="str">
        <f t="shared" si="36"/>
        <v>-</v>
      </c>
      <c r="C796" t="e">
        <f>+VLOOKUP(R796,Maps!$A:$C,2,0)</f>
        <v>#N/A</v>
      </c>
      <c r="D796" t="e">
        <f t="shared" si="37"/>
        <v>#VALUE!</v>
      </c>
      <c r="E796" s="39" t="e">
        <f t="shared" si="38"/>
        <v>#VALUE!</v>
      </c>
      <c r="F796" s="7" t="str">
        <f t="array" ref="F796">+TIPOARMA(H796,I796)</f>
        <v>ERRO - REVISAR</v>
      </c>
      <c r="H796" t="str">
        <f t="array" ref="H796">+ARMASTD(N796)</f>
        <v>ERRO - REVISAR</v>
      </c>
      <c r="I796" t="str">
        <f t="array" ref="I796">+CALIBRESTD(O796)</f>
        <v>ERRO - REVISAR</v>
      </c>
    </row>
    <row r="797" spans="1:9" ht="14.25" customHeight="1" x14ac:dyDescent="0.35">
      <c r="A797" s="41" t="str">
        <f t="array" ref="A797">EXTRACTEVENT(Q797,S797)</f>
        <v/>
      </c>
      <c r="B797" s="41" t="str">
        <f t="shared" si="36"/>
        <v>-</v>
      </c>
      <c r="C797" s="41" t="e">
        <f>+VLOOKUP(R797,Maps!$A:$C,2,0)</f>
        <v>#N/A</v>
      </c>
      <c r="D797" s="41" t="e">
        <f t="shared" si="37"/>
        <v>#VALUE!</v>
      </c>
      <c r="E797" s="42" t="e">
        <f t="shared" si="38"/>
        <v>#VALUE!</v>
      </c>
      <c r="F797" s="43" t="str">
        <f t="array" ref="F797">+TIPOARMA(H797,I797)</f>
        <v>ERRO - REVISAR</v>
      </c>
      <c r="G797" s="41"/>
      <c r="H797" s="41" t="str">
        <f t="array" ref="H797">+ARMASTD(N797)</f>
        <v>ERRO - REVISAR</v>
      </c>
      <c r="I797" s="41" t="str">
        <f t="array" ref="I797">+CALIBRESTD(O797)</f>
        <v>ERRO - REVISAR</v>
      </c>
    </row>
    <row r="798" spans="1:9" ht="14.25" customHeight="1" x14ac:dyDescent="0.35">
      <c r="A798" t="str">
        <f t="array" ref="A798">EXTRACTEVENT(Q798,S798)</f>
        <v/>
      </c>
      <c r="B798" t="str">
        <f t="shared" si="36"/>
        <v>-</v>
      </c>
      <c r="C798" t="e">
        <f>+VLOOKUP(R798,Maps!$A:$C,2,0)</f>
        <v>#N/A</v>
      </c>
      <c r="D798" t="e">
        <f t="shared" si="37"/>
        <v>#VALUE!</v>
      </c>
      <c r="E798" s="39" t="e">
        <f t="shared" si="38"/>
        <v>#VALUE!</v>
      </c>
      <c r="F798" s="7" t="str">
        <f t="array" ref="F798">+TIPOARMA(H798,I798)</f>
        <v>ERRO - REVISAR</v>
      </c>
      <c r="H798" t="str">
        <f t="array" ref="H798">+ARMASTD(N798)</f>
        <v>ERRO - REVISAR</v>
      </c>
      <c r="I798" t="str">
        <f t="array" ref="I798">+CALIBRESTD(O798)</f>
        <v>ERRO - REVISAR</v>
      </c>
    </row>
    <row r="799" spans="1:9" ht="14.25" customHeight="1" x14ac:dyDescent="0.35">
      <c r="A799" s="41" t="str">
        <f t="array" ref="A799">EXTRACTEVENT(Q799,S799)</f>
        <v/>
      </c>
      <c r="B799" s="41" t="str">
        <f t="shared" si="36"/>
        <v>-</v>
      </c>
      <c r="C799" s="41" t="e">
        <f>+VLOOKUP(R799,Maps!$A:$C,2,0)</f>
        <v>#N/A</v>
      </c>
      <c r="D799" s="41" t="e">
        <f t="shared" si="37"/>
        <v>#VALUE!</v>
      </c>
      <c r="E799" s="42" t="e">
        <f t="shared" si="38"/>
        <v>#VALUE!</v>
      </c>
      <c r="F799" s="43" t="str">
        <f t="array" ref="F799">+TIPOARMA(H799,I799)</f>
        <v>ERRO - REVISAR</v>
      </c>
      <c r="G799" s="41"/>
      <c r="H799" s="41" t="str">
        <f t="array" ref="H799">+ARMASTD(N799)</f>
        <v>ERRO - REVISAR</v>
      </c>
      <c r="I799" s="41" t="str">
        <f t="array" ref="I799">+CALIBRESTD(O799)</f>
        <v>ERRO - REVISAR</v>
      </c>
    </row>
    <row r="800" spans="1:9" ht="14.25" customHeight="1" x14ac:dyDescent="0.35">
      <c r="A800" t="str">
        <f t="array" ref="A800">EXTRACTEVENT(Q800,S800)</f>
        <v/>
      </c>
      <c r="B800" t="str">
        <f t="shared" si="36"/>
        <v>-</v>
      </c>
      <c r="C800" t="e">
        <f>+VLOOKUP(R800,Maps!$A:$C,2,0)</f>
        <v>#N/A</v>
      </c>
      <c r="D800" t="e">
        <f t="shared" si="37"/>
        <v>#VALUE!</v>
      </c>
      <c r="E800" s="39" t="e">
        <f t="shared" si="38"/>
        <v>#VALUE!</v>
      </c>
      <c r="F800" s="7" t="str">
        <f t="array" ref="F800">+TIPOARMA(H800,I800)</f>
        <v>ERRO - REVISAR</v>
      </c>
      <c r="H800" t="str">
        <f t="array" ref="H800">+ARMASTD(N800)</f>
        <v>ERRO - REVISAR</v>
      </c>
      <c r="I800" t="str">
        <f t="array" ref="I800">+CALIBRESTD(O800)</f>
        <v>ERRO - REVISAR</v>
      </c>
    </row>
    <row r="801" spans="1:9" ht="14.25" customHeight="1" x14ac:dyDescent="0.35">
      <c r="A801" s="41" t="str">
        <f t="array" ref="A801">EXTRACTEVENT(Q801,S801)</f>
        <v/>
      </c>
      <c r="B801" s="41" t="str">
        <f t="shared" si="36"/>
        <v>-</v>
      </c>
      <c r="C801" s="41" t="e">
        <f>+VLOOKUP(R801,Maps!$A:$C,2,0)</f>
        <v>#N/A</v>
      </c>
      <c r="D801" s="41" t="e">
        <f t="shared" si="37"/>
        <v>#VALUE!</v>
      </c>
      <c r="E801" s="42" t="e">
        <f t="shared" si="38"/>
        <v>#VALUE!</v>
      </c>
      <c r="F801" s="43" t="str">
        <f t="array" ref="F801">+TIPOARMA(H801,I801)</f>
        <v>ERRO - REVISAR</v>
      </c>
      <c r="G801" s="41"/>
      <c r="H801" s="41" t="str">
        <f t="array" ref="H801">+ARMASTD(N801)</f>
        <v>ERRO - REVISAR</v>
      </c>
      <c r="I801" s="41" t="str">
        <f t="array" ref="I801">+CALIBRESTD(O801)</f>
        <v>ERRO - REVISAR</v>
      </c>
    </row>
    <row r="802" spans="1:9" ht="14.25" customHeight="1" x14ac:dyDescent="0.35">
      <c r="A802" t="str">
        <f t="array" ref="A802">EXTRACTEVENT(Q802,S802)</f>
        <v/>
      </c>
      <c r="B802" t="str">
        <f t="shared" si="36"/>
        <v>-</v>
      </c>
      <c r="C802" t="e">
        <f>+VLOOKUP(R802,Maps!$A:$C,2,0)</f>
        <v>#N/A</v>
      </c>
      <c r="D802" t="e">
        <f t="shared" si="37"/>
        <v>#VALUE!</v>
      </c>
      <c r="E802" s="39" t="e">
        <f t="shared" si="38"/>
        <v>#VALUE!</v>
      </c>
      <c r="F802" s="7" t="str">
        <f t="array" ref="F802">+TIPOARMA(H802,I802)</f>
        <v>ERRO - REVISAR</v>
      </c>
      <c r="H802" t="str">
        <f t="array" ref="H802">+ARMASTD(N802)</f>
        <v>ERRO - REVISAR</v>
      </c>
      <c r="I802" t="str">
        <f t="array" ref="I802">+CALIBRESTD(O802)</f>
        <v>ERRO - REVISAR</v>
      </c>
    </row>
    <row r="803" spans="1:9" ht="14.25" customHeight="1" x14ac:dyDescent="0.35">
      <c r="A803" s="41" t="str">
        <f t="array" ref="A803">EXTRACTEVENT(Q803,S803)</f>
        <v/>
      </c>
      <c r="B803" s="41" t="str">
        <f t="shared" si="36"/>
        <v>-</v>
      </c>
      <c r="C803" s="41" t="e">
        <f>+VLOOKUP(R803,Maps!$A:$C,2,0)</f>
        <v>#N/A</v>
      </c>
      <c r="D803" s="41" t="e">
        <f t="shared" si="37"/>
        <v>#VALUE!</v>
      </c>
      <c r="E803" s="42" t="e">
        <f t="shared" si="38"/>
        <v>#VALUE!</v>
      </c>
      <c r="F803" s="43" t="str">
        <f t="array" ref="F803">+TIPOARMA(H803,I803)</f>
        <v>ERRO - REVISAR</v>
      </c>
      <c r="G803" s="41"/>
      <c r="H803" s="41" t="str">
        <f t="array" ref="H803">+ARMASTD(N803)</f>
        <v>ERRO - REVISAR</v>
      </c>
      <c r="I803" s="41" t="str">
        <f t="array" ref="I803">+CALIBRESTD(O803)</f>
        <v>ERRO - REVISAR</v>
      </c>
    </row>
    <row r="804" spans="1:9" ht="14.25" customHeight="1" x14ac:dyDescent="0.35">
      <c r="A804" t="str">
        <f t="array" ref="A804">EXTRACTEVENT(Q804,S804)</f>
        <v/>
      </c>
      <c r="B804" t="str">
        <f t="shared" si="36"/>
        <v>-</v>
      </c>
      <c r="C804" t="e">
        <f>+VLOOKUP(R804,Maps!$A:$C,2,0)</f>
        <v>#N/A</v>
      </c>
      <c r="D804" t="e">
        <f t="shared" si="37"/>
        <v>#VALUE!</v>
      </c>
      <c r="E804" s="39" t="e">
        <f t="shared" si="38"/>
        <v>#VALUE!</v>
      </c>
      <c r="F804" s="7" t="str">
        <f t="array" ref="F804">+TIPOARMA(H804,I804)</f>
        <v>ERRO - REVISAR</v>
      </c>
      <c r="H804" t="str">
        <f t="array" ref="H804">+ARMASTD(N804)</f>
        <v>ERRO - REVISAR</v>
      </c>
      <c r="I804" t="str">
        <f t="array" ref="I804">+CALIBRESTD(O804)</f>
        <v>ERRO - REVISAR</v>
      </c>
    </row>
    <row r="805" spans="1:9" ht="14.25" customHeight="1" x14ac:dyDescent="0.35">
      <c r="A805" s="41" t="str">
        <f t="array" ref="A805">EXTRACTEVENT(Q805,S805)</f>
        <v/>
      </c>
      <c r="B805" s="41" t="str">
        <f t="shared" si="36"/>
        <v>-</v>
      </c>
      <c r="C805" s="41" t="e">
        <f>+VLOOKUP(R805,Maps!$A:$C,2,0)</f>
        <v>#N/A</v>
      </c>
      <c r="D805" s="41" t="e">
        <f t="shared" si="37"/>
        <v>#VALUE!</v>
      </c>
      <c r="E805" s="42" t="e">
        <f t="shared" si="38"/>
        <v>#VALUE!</v>
      </c>
      <c r="F805" s="43" t="str">
        <f t="array" ref="F805">+TIPOARMA(H805,I805)</f>
        <v>ERRO - REVISAR</v>
      </c>
      <c r="G805" s="41"/>
      <c r="H805" s="41" t="str">
        <f t="array" ref="H805">+ARMASTD(N805)</f>
        <v>ERRO - REVISAR</v>
      </c>
      <c r="I805" s="41" t="str">
        <f t="array" ref="I805">+CALIBRESTD(O805)</f>
        <v>ERRO - REVISAR</v>
      </c>
    </row>
    <row r="806" spans="1:9" ht="14.25" customHeight="1" x14ac:dyDescent="0.35">
      <c r="A806" t="str">
        <f t="array" ref="A806">EXTRACTEVENT(Q806,S806)</f>
        <v/>
      </c>
      <c r="B806" t="str">
        <f t="shared" si="36"/>
        <v>-</v>
      </c>
      <c r="C806" t="e">
        <f>+VLOOKUP(R806,Maps!$A:$C,2,0)</f>
        <v>#N/A</v>
      </c>
      <c r="D806" t="e">
        <f t="shared" si="37"/>
        <v>#VALUE!</v>
      </c>
      <c r="E806" s="39" t="e">
        <f t="shared" si="38"/>
        <v>#VALUE!</v>
      </c>
      <c r="F806" s="7" t="str">
        <f t="array" ref="F806">+TIPOARMA(H806,I806)</f>
        <v>ERRO - REVISAR</v>
      </c>
      <c r="H806" t="str">
        <f t="array" ref="H806">+ARMASTD(N806)</f>
        <v>ERRO - REVISAR</v>
      </c>
      <c r="I806" t="str">
        <f t="array" ref="I806">+CALIBRESTD(O806)</f>
        <v>ERRO - REVISAR</v>
      </c>
    </row>
    <row r="807" spans="1:9" ht="14.25" customHeight="1" x14ac:dyDescent="0.35">
      <c r="A807" s="41" t="str">
        <f t="array" ref="A807">EXTRACTEVENT(Q807,S807)</f>
        <v/>
      </c>
      <c r="B807" s="41" t="str">
        <f t="shared" si="36"/>
        <v>-</v>
      </c>
      <c r="C807" s="41" t="e">
        <f>+VLOOKUP(R807,Maps!$A:$C,2,0)</f>
        <v>#N/A</v>
      </c>
      <c r="D807" s="41" t="e">
        <f t="shared" si="37"/>
        <v>#VALUE!</v>
      </c>
      <c r="E807" s="42" t="e">
        <f t="shared" si="38"/>
        <v>#VALUE!</v>
      </c>
      <c r="F807" s="43" t="str">
        <f t="array" ref="F807">+TIPOARMA(H807,I807)</f>
        <v>ERRO - REVISAR</v>
      </c>
      <c r="G807" s="41"/>
      <c r="H807" s="41" t="str">
        <f t="array" ref="H807">+ARMASTD(N807)</f>
        <v>ERRO - REVISAR</v>
      </c>
      <c r="I807" s="41" t="str">
        <f t="array" ref="I807">+CALIBRESTD(O807)</f>
        <v>ERRO - REVISAR</v>
      </c>
    </row>
    <row r="808" spans="1:9" ht="14.25" customHeight="1" x14ac:dyDescent="0.35">
      <c r="A808" t="str">
        <f t="array" ref="A808">EXTRACTEVENT(Q808,S808)</f>
        <v/>
      </c>
      <c r="B808" t="str">
        <f t="shared" si="36"/>
        <v>-</v>
      </c>
      <c r="C808" t="e">
        <f>+VLOOKUP(R808,Maps!$A:$C,2,0)</f>
        <v>#N/A</v>
      </c>
      <c r="D808" t="e">
        <f t="shared" si="37"/>
        <v>#VALUE!</v>
      </c>
      <c r="E808" s="39" t="e">
        <f t="shared" si="38"/>
        <v>#VALUE!</v>
      </c>
      <c r="F808" s="7" t="str">
        <f t="array" ref="F808">+TIPOARMA(H808,I808)</f>
        <v>ERRO - REVISAR</v>
      </c>
      <c r="H808" t="str">
        <f t="array" ref="H808">+ARMASTD(N808)</f>
        <v>ERRO - REVISAR</v>
      </c>
      <c r="I808" t="str">
        <f t="array" ref="I808">+CALIBRESTD(O808)</f>
        <v>ERRO - REVISAR</v>
      </c>
    </row>
    <row r="809" spans="1:9" ht="14.25" customHeight="1" x14ac:dyDescent="0.35">
      <c r="A809" s="41" t="str">
        <f t="array" ref="A809">EXTRACTEVENT(Q809,S809)</f>
        <v/>
      </c>
      <c r="B809" s="41" t="str">
        <f t="shared" si="36"/>
        <v>-</v>
      </c>
      <c r="C809" s="41" t="e">
        <f>+VLOOKUP(R809,Maps!$A:$C,2,0)</f>
        <v>#N/A</v>
      </c>
      <c r="D809" s="41" t="e">
        <f t="shared" si="37"/>
        <v>#VALUE!</v>
      </c>
      <c r="E809" s="42" t="e">
        <f t="shared" si="38"/>
        <v>#VALUE!</v>
      </c>
      <c r="F809" s="43" t="str">
        <f t="array" ref="F809">+TIPOARMA(H809,I809)</f>
        <v>ERRO - REVISAR</v>
      </c>
      <c r="G809" s="41"/>
      <c r="H809" s="41" t="str">
        <f t="array" ref="H809">+ARMASTD(N809)</f>
        <v>ERRO - REVISAR</v>
      </c>
      <c r="I809" s="41" t="str">
        <f t="array" ref="I809">+CALIBRESTD(O809)</f>
        <v>ERRO - REVISAR</v>
      </c>
    </row>
    <row r="810" spans="1:9" ht="14.25" customHeight="1" x14ac:dyDescent="0.35">
      <c r="A810" t="str">
        <f t="array" ref="A810">EXTRACTEVENT(Q810,S810)</f>
        <v/>
      </c>
      <c r="B810" t="str">
        <f t="shared" si="36"/>
        <v>-</v>
      </c>
      <c r="C810" t="e">
        <f>+VLOOKUP(R810,Maps!$A:$C,2,0)</f>
        <v>#N/A</v>
      </c>
      <c r="D810" t="e">
        <f t="shared" si="37"/>
        <v>#VALUE!</v>
      </c>
      <c r="E810" s="39" t="e">
        <f t="shared" si="38"/>
        <v>#VALUE!</v>
      </c>
      <c r="F810" s="7" t="str">
        <f t="array" ref="F810">+TIPOARMA(H810,I810)</f>
        <v>ERRO - REVISAR</v>
      </c>
      <c r="H810" t="str">
        <f t="array" ref="H810">+ARMASTD(N810)</f>
        <v>ERRO - REVISAR</v>
      </c>
      <c r="I810" t="str">
        <f t="array" ref="I810">+CALIBRESTD(O810)</f>
        <v>ERRO - REVISAR</v>
      </c>
    </row>
    <row r="811" spans="1:9" ht="14.25" customHeight="1" x14ac:dyDescent="0.35">
      <c r="A811" s="41" t="str">
        <f t="array" ref="A811">EXTRACTEVENT(Q811,S811)</f>
        <v/>
      </c>
      <c r="B811" s="41" t="str">
        <f t="shared" si="36"/>
        <v>-</v>
      </c>
      <c r="C811" s="41" t="e">
        <f>+VLOOKUP(R811,Maps!$A:$C,2,0)</f>
        <v>#N/A</v>
      </c>
      <c r="D811" s="41" t="e">
        <f t="shared" si="37"/>
        <v>#VALUE!</v>
      </c>
      <c r="E811" s="42" t="e">
        <f t="shared" si="38"/>
        <v>#VALUE!</v>
      </c>
      <c r="F811" s="43" t="str">
        <f t="array" ref="F811">+TIPOARMA(H811,I811)</f>
        <v>ERRO - REVISAR</v>
      </c>
      <c r="G811" s="41"/>
      <c r="H811" s="41" t="str">
        <f t="array" ref="H811">+ARMASTD(N811)</f>
        <v>ERRO - REVISAR</v>
      </c>
      <c r="I811" s="41" t="str">
        <f t="array" ref="I811">+CALIBRESTD(O811)</f>
        <v>ERRO - REVISAR</v>
      </c>
    </row>
    <row r="812" spans="1:9" ht="14.25" customHeight="1" x14ac:dyDescent="0.35">
      <c r="A812" t="str">
        <f t="array" ref="A812">EXTRACTEVENT(Q812,S812)</f>
        <v/>
      </c>
      <c r="B812" t="str">
        <f t="shared" si="36"/>
        <v>-</v>
      </c>
      <c r="C812" t="e">
        <f>+VLOOKUP(R812,Maps!$A:$C,2,0)</f>
        <v>#N/A</v>
      </c>
      <c r="D812" t="e">
        <f t="shared" si="37"/>
        <v>#VALUE!</v>
      </c>
      <c r="E812" s="39" t="e">
        <f t="shared" si="38"/>
        <v>#VALUE!</v>
      </c>
      <c r="F812" s="7" t="str">
        <f t="array" ref="F812">+TIPOARMA(H812,I812)</f>
        <v>ERRO - REVISAR</v>
      </c>
      <c r="H812" t="str">
        <f t="array" ref="H812">+ARMASTD(N812)</f>
        <v>ERRO - REVISAR</v>
      </c>
      <c r="I812" t="str">
        <f t="array" ref="I812">+CALIBRESTD(O812)</f>
        <v>ERRO - REVISAR</v>
      </c>
    </row>
    <row r="813" spans="1:9" ht="14.25" customHeight="1" x14ac:dyDescent="0.35">
      <c r="A813" s="41" t="str">
        <f t="array" ref="A813">EXTRACTEVENT(Q813,S813)</f>
        <v/>
      </c>
      <c r="B813" s="41" t="str">
        <f t="shared" si="36"/>
        <v>-</v>
      </c>
      <c r="C813" s="41" t="e">
        <f>+VLOOKUP(R813,Maps!$A:$C,2,0)</f>
        <v>#N/A</v>
      </c>
      <c r="D813" s="41" t="e">
        <f t="shared" si="37"/>
        <v>#VALUE!</v>
      </c>
      <c r="E813" s="42" t="e">
        <f t="shared" si="38"/>
        <v>#VALUE!</v>
      </c>
      <c r="F813" s="43" t="str">
        <f t="array" ref="F813">+TIPOARMA(H813,I813)</f>
        <v>ERRO - REVISAR</v>
      </c>
      <c r="G813" s="41"/>
      <c r="H813" s="41" t="str">
        <f t="array" ref="H813">+ARMASTD(N813)</f>
        <v>ERRO - REVISAR</v>
      </c>
      <c r="I813" s="41" t="str">
        <f t="array" ref="I813">+CALIBRESTD(O813)</f>
        <v>ERRO - REVISAR</v>
      </c>
    </row>
    <row r="814" spans="1:9" ht="14.25" customHeight="1" x14ac:dyDescent="0.35">
      <c r="A814" t="str">
        <f t="array" ref="A814">EXTRACTEVENT(Q814,S814)</f>
        <v/>
      </c>
      <c r="B814" t="str">
        <f t="shared" si="36"/>
        <v>-</v>
      </c>
      <c r="C814" t="e">
        <f>+VLOOKUP(R814,Maps!$A:$C,2,0)</f>
        <v>#N/A</v>
      </c>
      <c r="D814" t="e">
        <f t="shared" si="37"/>
        <v>#VALUE!</v>
      </c>
      <c r="E814" s="39" t="e">
        <f t="shared" si="38"/>
        <v>#VALUE!</v>
      </c>
      <c r="F814" s="7" t="str">
        <f t="array" ref="F814">+TIPOARMA(H814,I814)</f>
        <v>ERRO - REVISAR</v>
      </c>
      <c r="H814" t="str">
        <f t="array" ref="H814">+ARMASTD(N814)</f>
        <v>ERRO - REVISAR</v>
      </c>
      <c r="I814" t="str">
        <f t="array" ref="I814">+CALIBRESTD(O814)</f>
        <v>ERRO - REVISAR</v>
      </c>
    </row>
    <row r="815" spans="1:9" ht="14.25" customHeight="1" x14ac:dyDescent="0.35">
      <c r="A815" s="41" t="str">
        <f t="array" ref="A815">EXTRACTEVENT(Q815,S815)</f>
        <v/>
      </c>
      <c r="B815" s="41" t="str">
        <f t="shared" si="36"/>
        <v>-</v>
      </c>
      <c r="C815" s="41" t="e">
        <f>+VLOOKUP(R815,Maps!$A:$C,2,0)</f>
        <v>#N/A</v>
      </c>
      <c r="D815" s="41" t="e">
        <f t="shared" si="37"/>
        <v>#VALUE!</v>
      </c>
      <c r="E815" s="42" t="e">
        <f t="shared" si="38"/>
        <v>#VALUE!</v>
      </c>
      <c r="F815" s="43" t="str">
        <f t="array" ref="F815">+TIPOARMA(H815,I815)</f>
        <v>ERRO - REVISAR</v>
      </c>
      <c r="G815" s="41"/>
      <c r="H815" s="41" t="str">
        <f t="array" ref="H815">+ARMASTD(N815)</f>
        <v>ERRO - REVISAR</v>
      </c>
      <c r="I815" s="41" t="str">
        <f t="array" ref="I815">+CALIBRESTD(O815)</f>
        <v>ERRO - REVISAR</v>
      </c>
    </row>
    <row r="816" spans="1:9" ht="14.25" customHeight="1" x14ac:dyDescent="0.35">
      <c r="A816" t="str">
        <f t="array" ref="A816">EXTRACTEVENT(Q816,S816)</f>
        <v/>
      </c>
      <c r="B816" t="str">
        <f t="shared" si="36"/>
        <v>-</v>
      </c>
      <c r="C816" t="e">
        <f>+VLOOKUP(R816,Maps!$A:$C,2,0)</f>
        <v>#N/A</v>
      </c>
      <c r="D816" t="e">
        <f t="shared" si="37"/>
        <v>#VALUE!</v>
      </c>
      <c r="E816" s="39" t="e">
        <f t="shared" si="38"/>
        <v>#VALUE!</v>
      </c>
      <c r="F816" s="7" t="str">
        <f t="array" ref="F816">+TIPOARMA(H816,I816)</f>
        <v>ERRO - REVISAR</v>
      </c>
      <c r="H816" t="str">
        <f t="array" ref="H816">+ARMASTD(N816)</f>
        <v>ERRO - REVISAR</v>
      </c>
      <c r="I816" t="str">
        <f t="array" ref="I816">+CALIBRESTD(O816)</f>
        <v>ERRO - REVISAR</v>
      </c>
    </row>
    <row r="817" spans="1:9" ht="14.25" customHeight="1" x14ac:dyDescent="0.35">
      <c r="A817" s="41" t="str">
        <f t="array" ref="A817">EXTRACTEVENT(Q817,S817)</f>
        <v/>
      </c>
      <c r="B817" s="41" t="str">
        <f t="shared" si="36"/>
        <v>-</v>
      </c>
      <c r="C817" s="41" t="e">
        <f>+VLOOKUP(R817,Maps!$A:$C,2,0)</f>
        <v>#N/A</v>
      </c>
      <c r="D817" s="41" t="e">
        <f t="shared" si="37"/>
        <v>#VALUE!</v>
      </c>
      <c r="E817" s="42" t="e">
        <f t="shared" si="38"/>
        <v>#VALUE!</v>
      </c>
      <c r="F817" s="43" t="str">
        <f t="array" ref="F817">+TIPOARMA(H817,I817)</f>
        <v>ERRO - REVISAR</v>
      </c>
      <c r="G817" s="41"/>
      <c r="H817" s="41" t="str">
        <f t="array" ref="H817">+ARMASTD(N817)</f>
        <v>ERRO - REVISAR</v>
      </c>
      <c r="I817" s="41" t="str">
        <f t="array" ref="I817">+CALIBRESTD(O817)</f>
        <v>ERRO - REVISAR</v>
      </c>
    </row>
    <row r="818" spans="1:9" ht="14.25" customHeight="1" x14ac:dyDescent="0.35">
      <c r="A818" t="str">
        <f t="array" ref="A818">EXTRACTEVENT(Q818,S818)</f>
        <v/>
      </c>
      <c r="B818" t="str">
        <f t="shared" si="36"/>
        <v>-</v>
      </c>
      <c r="C818" t="e">
        <f>+VLOOKUP(R818,Maps!$A:$C,2,0)</f>
        <v>#N/A</v>
      </c>
      <c r="D818" t="e">
        <f t="shared" si="37"/>
        <v>#VALUE!</v>
      </c>
      <c r="E818" s="39" t="e">
        <f t="shared" si="38"/>
        <v>#VALUE!</v>
      </c>
      <c r="F818" s="7" t="str">
        <f t="array" ref="F818">+TIPOARMA(H818,I818)</f>
        <v>ERRO - REVISAR</v>
      </c>
      <c r="H818" t="str">
        <f t="array" ref="H818">+ARMASTD(N818)</f>
        <v>ERRO - REVISAR</v>
      </c>
      <c r="I818" t="str">
        <f t="array" ref="I818">+CALIBRESTD(O818)</f>
        <v>ERRO - REVISAR</v>
      </c>
    </row>
    <row r="819" spans="1:9" ht="14.25" customHeight="1" x14ac:dyDescent="0.35">
      <c r="A819" s="41" t="str">
        <f t="array" ref="A819">EXTRACTEVENT(Q819,S819)</f>
        <v/>
      </c>
      <c r="B819" s="41" t="str">
        <f t="shared" si="36"/>
        <v>-</v>
      </c>
      <c r="C819" s="41" t="e">
        <f>+VLOOKUP(R819,Maps!$A:$C,2,0)</f>
        <v>#N/A</v>
      </c>
      <c r="D819" s="41" t="e">
        <f t="shared" si="37"/>
        <v>#VALUE!</v>
      </c>
      <c r="E819" s="42" t="e">
        <f t="shared" si="38"/>
        <v>#VALUE!</v>
      </c>
      <c r="F819" s="43" t="str">
        <f t="array" ref="F819">+TIPOARMA(H819,I819)</f>
        <v>ERRO - REVISAR</v>
      </c>
      <c r="G819" s="41"/>
      <c r="H819" s="41" t="str">
        <f t="array" ref="H819">+ARMASTD(N819)</f>
        <v>ERRO - REVISAR</v>
      </c>
      <c r="I819" s="41" t="str">
        <f t="array" ref="I819">+CALIBRESTD(O819)</f>
        <v>ERRO - REVISAR</v>
      </c>
    </row>
    <row r="820" spans="1:9" ht="14.25" customHeight="1" x14ac:dyDescent="0.35">
      <c r="A820" t="str">
        <f t="array" ref="A820">EXTRACTEVENT(Q820,S820)</f>
        <v/>
      </c>
      <c r="B820" t="str">
        <f t="shared" si="36"/>
        <v>-</v>
      </c>
      <c r="C820" t="e">
        <f>+VLOOKUP(R820,Maps!$A:$C,2,0)</f>
        <v>#N/A</v>
      </c>
      <c r="D820" t="e">
        <f t="shared" si="37"/>
        <v>#VALUE!</v>
      </c>
      <c r="E820" s="39" t="e">
        <f t="shared" si="38"/>
        <v>#VALUE!</v>
      </c>
      <c r="F820" s="7" t="str">
        <f t="array" ref="F820">+TIPOARMA(H820,I820)</f>
        <v>ERRO - REVISAR</v>
      </c>
      <c r="H820" t="str">
        <f t="array" ref="H820">+ARMASTD(N820)</f>
        <v>ERRO - REVISAR</v>
      </c>
      <c r="I820" t="str">
        <f t="array" ref="I820">+CALIBRESTD(O820)</f>
        <v>ERRO - REVISAR</v>
      </c>
    </row>
    <row r="821" spans="1:9" ht="14.25" customHeight="1" x14ac:dyDescent="0.35">
      <c r="A821" s="41" t="str">
        <f t="array" ref="A821">EXTRACTEVENT(Q821,S821)</f>
        <v/>
      </c>
      <c r="B821" s="41" t="str">
        <f t="shared" si="36"/>
        <v>-</v>
      </c>
      <c r="C821" s="41" t="e">
        <f>+VLOOKUP(R821,Maps!$A:$C,2,0)</f>
        <v>#N/A</v>
      </c>
      <c r="D821" s="41" t="e">
        <f t="shared" si="37"/>
        <v>#VALUE!</v>
      </c>
      <c r="E821" s="42" t="e">
        <f t="shared" si="38"/>
        <v>#VALUE!</v>
      </c>
      <c r="F821" s="43" t="str">
        <f t="array" ref="F821">+TIPOARMA(H821,I821)</f>
        <v>ERRO - REVISAR</v>
      </c>
      <c r="G821" s="41"/>
      <c r="H821" s="41" t="str">
        <f t="array" ref="H821">+ARMASTD(N821)</f>
        <v>ERRO - REVISAR</v>
      </c>
      <c r="I821" s="41" t="str">
        <f t="array" ref="I821">+CALIBRESTD(O821)</f>
        <v>ERRO - REVISAR</v>
      </c>
    </row>
    <row r="822" spans="1:9" ht="14.25" customHeight="1" x14ac:dyDescent="0.35">
      <c r="A822" t="str">
        <f t="array" ref="A822">EXTRACTEVENT(Q822,S822)</f>
        <v/>
      </c>
      <c r="B822" t="str">
        <f t="shared" si="36"/>
        <v>-</v>
      </c>
      <c r="C822" t="e">
        <f>+VLOOKUP(R822,Maps!$A:$C,2,0)</f>
        <v>#N/A</v>
      </c>
      <c r="D822" t="e">
        <f t="shared" si="37"/>
        <v>#VALUE!</v>
      </c>
      <c r="E822" s="39" t="e">
        <f t="shared" si="38"/>
        <v>#VALUE!</v>
      </c>
      <c r="F822" s="7" t="str">
        <f t="array" ref="F822">+TIPOARMA(H822,I822)</f>
        <v>ERRO - REVISAR</v>
      </c>
      <c r="H822" t="str">
        <f t="array" ref="H822">+ARMASTD(N822)</f>
        <v>ERRO - REVISAR</v>
      </c>
      <c r="I822" t="str">
        <f t="array" ref="I822">+CALIBRESTD(O822)</f>
        <v>ERRO - REVISAR</v>
      </c>
    </row>
    <row r="823" spans="1:9" ht="14.25" customHeight="1" x14ac:dyDescent="0.35">
      <c r="A823" s="41" t="str">
        <f t="array" ref="A823">EXTRACTEVENT(Q823,S823)</f>
        <v/>
      </c>
      <c r="B823" s="41" t="str">
        <f t="shared" si="36"/>
        <v>-</v>
      </c>
      <c r="C823" s="41" t="e">
        <f>+VLOOKUP(R823,Maps!$A:$C,2,0)</f>
        <v>#N/A</v>
      </c>
      <c r="D823" s="41" t="e">
        <f t="shared" si="37"/>
        <v>#VALUE!</v>
      </c>
      <c r="E823" s="42" t="e">
        <f t="shared" si="38"/>
        <v>#VALUE!</v>
      </c>
      <c r="F823" s="43" t="str">
        <f t="array" ref="F823">+TIPOARMA(H823,I823)</f>
        <v>ERRO - REVISAR</v>
      </c>
      <c r="G823" s="41"/>
      <c r="H823" s="41" t="str">
        <f t="array" ref="H823">+ARMASTD(N823)</f>
        <v>ERRO - REVISAR</v>
      </c>
      <c r="I823" s="41" t="str">
        <f t="array" ref="I823">+CALIBRESTD(O823)</f>
        <v>ERRO - REVISAR</v>
      </c>
    </row>
    <row r="824" spans="1:9" ht="14.25" customHeight="1" x14ac:dyDescent="0.35">
      <c r="A824" t="str">
        <f t="array" ref="A824">EXTRACTEVENT(Q824,S824)</f>
        <v/>
      </c>
      <c r="B824" t="str">
        <f t="shared" si="36"/>
        <v>-</v>
      </c>
      <c r="C824" t="e">
        <f>+VLOOKUP(R824,Maps!$A:$C,2,0)</f>
        <v>#N/A</v>
      </c>
      <c r="D824" t="e">
        <f t="shared" si="37"/>
        <v>#VALUE!</v>
      </c>
      <c r="E824" s="39" t="e">
        <f t="shared" si="38"/>
        <v>#VALUE!</v>
      </c>
      <c r="F824" s="7" t="str">
        <f t="array" ref="F824">+TIPOARMA(H824,I824)</f>
        <v>ERRO - REVISAR</v>
      </c>
      <c r="H824" t="str">
        <f t="array" ref="H824">+ARMASTD(N824)</f>
        <v>ERRO - REVISAR</v>
      </c>
      <c r="I824" t="str">
        <f t="array" ref="I824">+CALIBRESTD(O824)</f>
        <v>ERRO - REVISAR</v>
      </c>
    </row>
    <row r="825" spans="1:9" ht="14.25" customHeight="1" x14ac:dyDescent="0.35">
      <c r="A825" s="41" t="str">
        <f t="array" ref="A825">EXTRACTEVENT(Q825,S825)</f>
        <v/>
      </c>
      <c r="B825" s="41" t="str">
        <f t="shared" si="36"/>
        <v>-</v>
      </c>
      <c r="C825" s="41" t="e">
        <f>+VLOOKUP(R825,Maps!$A:$C,2,0)</f>
        <v>#N/A</v>
      </c>
      <c r="D825" s="41" t="e">
        <f t="shared" si="37"/>
        <v>#VALUE!</v>
      </c>
      <c r="E825" s="42" t="e">
        <f t="shared" si="38"/>
        <v>#VALUE!</v>
      </c>
      <c r="F825" s="43" t="str">
        <f t="array" ref="F825">+TIPOARMA(H825,I825)</f>
        <v>ERRO - REVISAR</v>
      </c>
      <c r="G825" s="41"/>
      <c r="H825" s="41" t="str">
        <f t="array" ref="H825">+ARMASTD(N825)</f>
        <v>ERRO - REVISAR</v>
      </c>
      <c r="I825" s="41" t="str">
        <f t="array" ref="I825">+CALIBRESTD(O825)</f>
        <v>ERRO - REVISAR</v>
      </c>
    </row>
    <row r="826" spans="1:9" ht="14.25" customHeight="1" x14ac:dyDescent="0.35">
      <c r="A826" t="str">
        <f t="array" ref="A826">EXTRACTEVENT(Q826,S826)</f>
        <v/>
      </c>
      <c r="B826" t="str">
        <f t="shared" si="36"/>
        <v>-</v>
      </c>
      <c r="C826" t="e">
        <f>+VLOOKUP(R826,Maps!$A:$C,2,0)</f>
        <v>#N/A</v>
      </c>
      <c r="D826" t="e">
        <f t="shared" si="37"/>
        <v>#VALUE!</v>
      </c>
      <c r="E826" s="39" t="e">
        <f t="shared" si="38"/>
        <v>#VALUE!</v>
      </c>
      <c r="F826" s="7" t="str">
        <f t="array" ref="F826">+TIPOARMA(H826,I826)</f>
        <v>ERRO - REVISAR</v>
      </c>
      <c r="H826" t="str">
        <f t="array" ref="H826">+ARMASTD(N826)</f>
        <v>ERRO - REVISAR</v>
      </c>
      <c r="I826" t="str">
        <f t="array" ref="I826">+CALIBRESTD(O826)</f>
        <v>ERRO - REVISAR</v>
      </c>
    </row>
    <row r="827" spans="1:9" ht="14.25" customHeight="1" x14ac:dyDescent="0.35">
      <c r="A827" s="41" t="str">
        <f t="array" ref="A827">EXTRACTEVENT(Q827,S827)</f>
        <v/>
      </c>
      <c r="B827" s="41" t="str">
        <f t="shared" si="36"/>
        <v>-</v>
      </c>
      <c r="C827" s="41" t="e">
        <f>+VLOOKUP(R827,Maps!$A:$C,2,0)</f>
        <v>#N/A</v>
      </c>
      <c r="D827" s="41" t="e">
        <f t="shared" si="37"/>
        <v>#VALUE!</v>
      </c>
      <c r="E827" s="42" t="e">
        <f t="shared" si="38"/>
        <v>#VALUE!</v>
      </c>
      <c r="F827" s="43" t="str">
        <f t="array" ref="F827">+TIPOARMA(H827,I827)</f>
        <v>ERRO - REVISAR</v>
      </c>
      <c r="G827" s="41"/>
      <c r="H827" s="41" t="str">
        <f t="array" ref="H827">+ARMASTD(N827)</f>
        <v>ERRO - REVISAR</v>
      </c>
      <c r="I827" s="41" t="str">
        <f t="array" ref="I827">+CALIBRESTD(O827)</f>
        <v>ERRO - REVISAR</v>
      </c>
    </row>
    <row r="828" spans="1:9" ht="14.25" customHeight="1" x14ac:dyDescent="0.35">
      <c r="A828" t="str">
        <f t="array" ref="A828">EXTRACTEVENT(Q828,S828)</f>
        <v/>
      </c>
      <c r="B828" t="str">
        <f t="shared" si="36"/>
        <v>-</v>
      </c>
      <c r="C828" t="e">
        <f>+VLOOKUP(R828,Maps!$A:$C,2,0)</f>
        <v>#N/A</v>
      </c>
      <c r="D828" t="e">
        <f t="shared" si="37"/>
        <v>#VALUE!</v>
      </c>
      <c r="E828" s="39" t="e">
        <f t="shared" si="38"/>
        <v>#VALUE!</v>
      </c>
      <c r="F828" s="7" t="str">
        <f t="array" ref="F828">+TIPOARMA(H828,I828)</f>
        <v>ERRO - REVISAR</v>
      </c>
      <c r="H828" t="str">
        <f t="array" ref="H828">+ARMASTD(N828)</f>
        <v>ERRO - REVISAR</v>
      </c>
      <c r="I828" t="str">
        <f t="array" ref="I828">+CALIBRESTD(O828)</f>
        <v>ERRO - REVISAR</v>
      </c>
    </row>
    <row r="829" spans="1:9" ht="14.25" customHeight="1" x14ac:dyDescent="0.35">
      <c r="A829" s="41" t="str">
        <f t="array" ref="A829">EXTRACTEVENT(Q829,S829)</f>
        <v/>
      </c>
      <c r="B829" s="41" t="str">
        <f t="shared" si="36"/>
        <v>-</v>
      </c>
      <c r="C829" s="41" t="e">
        <f>+VLOOKUP(R829,Maps!$A:$C,2,0)</f>
        <v>#N/A</v>
      </c>
      <c r="D829" s="41" t="e">
        <f t="shared" si="37"/>
        <v>#VALUE!</v>
      </c>
      <c r="E829" s="42" t="e">
        <f t="shared" si="38"/>
        <v>#VALUE!</v>
      </c>
      <c r="F829" s="43" t="str">
        <f t="array" ref="F829">+TIPOARMA(H829,I829)</f>
        <v>ERRO - REVISAR</v>
      </c>
      <c r="G829" s="41"/>
      <c r="H829" s="41" t="str">
        <f t="array" ref="H829">+ARMASTD(N829)</f>
        <v>ERRO - REVISAR</v>
      </c>
      <c r="I829" s="41" t="str">
        <f t="array" ref="I829">+CALIBRESTD(O829)</f>
        <v>ERRO - REVISAR</v>
      </c>
    </row>
    <row r="830" spans="1:9" ht="14.25" customHeight="1" x14ac:dyDescent="0.35">
      <c r="A830" t="str">
        <f t="array" ref="A830">EXTRACTEVENT(Q830,S830)</f>
        <v/>
      </c>
      <c r="B830" t="str">
        <f t="shared" si="36"/>
        <v>-</v>
      </c>
      <c r="C830" t="e">
        <f>+VLOOKUP(R830,Maps!$A:$C,2,0)</f>
        <v>#N/A</v>
      </c>
      <c r="D830" t="e">
        <f t="shared" si="37"/>
        <v>#VALUE!</v>
      </c>
      <c r="E830" s="39" t="e">
        <f t="shared" si="38"/>
        <v>#VALUE!</v>
      </c>
      <c r="F830" s="7" t="str">
        <f t="array" ref="F830">+TIPOARMA(H830,I830)</f>
        <v>ERRO - REVISAR</v>
      </c>
      <c r="H830" t="str">
        <f t="array" ref="H830">+ARMASTD(N830)</f>
        <v>ERRO - REVISAR</v>
      </c>
      <c r="I830" t="str">
        <f t="array" ref="I830">+CALIBRESTD(O830)</f>
        <v>ERRO - REVISAR</v>
      </c>
    </row>
    <row r="831" spans="1:9" ht="14.25" customHeight="1" x14ac:dyDescent="0.35">
      <c r="A831" s="41" t="str">
        <f t="array" ref="A831">EXTRACTEVENT(Q831,S831)</f>
        <v/>
      </c>
      <c r="B831" s="41" t="str">
        <f t="shared" si="36"/>
        <v>-</v>
      </c>
      <c r="C831" s="41" t="e">
        <f>+VLOOKUP(R831,Maps!$A:$C,2,0)</f>
        <v>#N/A</v>
      </c>
      <c r="D831" s="41" t="e">
        <f t="shared" si="37"/>
        <v>#VALUE!</v>
      </c>
      <c r="E831" s="42" t="e">
        <f t="shared" si="38"/>
        <v>#VALUE!</v>
      </c>
      <c r="F831" s="43" t="str">
        <f t="array" ref="F831">+TIPOARMA(H831,I831)</f>
        <v>ERRO - REVISAR</v>
      </c>
      <c r="G831" s="41"/>
      <c r="H831" s="41" t="str">
        <f t="array" ref="H831">+ARMASTD(N831)</f>
        <v>ERRO - REVISAR</v>
      </c>
      <c r="I831" s="41" t="str">
        <f t="array" ref="I831">+CALIBRESTD(O831)</f>
        <v>ERRO - REVISAR</v>
      </c>
    </row>
    <row r="832" spans="1:9" ht="14.25" customHeight="1" x14ac:dyDescent="0.35">
      <c r="A832" t="str">
        <f t="array" ref="A832">EXTRACTEVENT(Q832,S832)</f>
        <v/>
      </c>
      <c r="B832" t="str">
        <f t="shared" si="36"/>
        <v>-</v>
      </c>
      <c r="C832" t="e">
        <f>+VLOOKUP(R832,Maps!$A:$C,2,0)</f>
        <v>#N/A</v>
      </c>
      <c r="D832" t="e">
        <f t="shared" si="37"/>
        <v>#VALUE!</v>
      </c>
      <c r="E832" s="39" t="e">
        <f t="shared" si="38"/>
        <v>#VALUE!</v>
      </c>
      <c r="F832" s="7" t="str">
        <f t="array" ref="F832">+TIPOARMA(H832,I832)</f>
        <v>ERRO - REVISAR</v>
      </c>
      <c r="H832" t="str">
        <f t="array" ref="H832">+ARMASTD(N832)</f>
        <v>ERRO - REVISAR</v>
      </c>
      <c r="I832" t="str">
        <f t="array" ref="I832">+CALIBRESTD(O832)</f>
        <v>ERRO - REVISAR</v>
      </c>
    </row>
    <row r="833" spans="1:9" ht="14.25" customHeight="1" x14ac:dyDescent="0.35">
      <c r="A833" s="41" t="str">
        <f t="array" ref="A833">EXTRACTEVENT(Q833,S833)</f>
        <v/>
      </c>
      <c r="B833" s="41" t="str">
        <f t="shared" si="36"/>
        <v>-</v>
      </c>
      <c r="C833" s="41" t="e">
        <f>+VLOOKUP(R833,Maps!$A:$C,2,0)</f>
        <v>#N/A</v>
      </c>
      <c r="D833" s="41" t="e">
        <f t="shared" si="37"/>
        <v>#VALUE!</v>
      </c>
      <c r="E833" s="42" t="e">
        <f t="shared" si="38"/>
        <v>#VALUE!</v>
      </c>
      <c r="F833" s="43" t="str">
        <f t="array" ref="F833">+TIPOARMA(H833,I833)</f>
        <v>ERRO - REVISAR</v>
      </c>
      <c r="G833" s="41"/>
      <c r="H833" s="41" t="str">
        <f t="array" ref="H833">+ARMASTD(N833)</f>
        <v>ERRO - REVISAR</v>
      </c>
      <c r="I833" s="41" t="str">
        <f t="array" ref="I833">+CALIBRESTD(O833)</f>
        <v>ERRO - REVISAR</v>
      </c>
    </row>
    <row r="834" spans="1:9" ht="14.25" customHeight="1" x14ac:dyDescent="0.35">
      <c r="A834" t="str">
        <f t="array" ref="A834">EXTRACTEVENT(Q834,S834)</f>
        <v/>
      </c>
      <c r="B834" t="str">
        <f t="shared" ref="B834:B897" si="39">+EXTRACTETAPANUM(Q834)</f>
        <v>-</v>
      </c>
      <c r="C834" t="e">
        <f>+VLOOKUP(R834,Maps!$A:$C,2,0)</f>
        <v>#N/A</v>
      </c>
      <c r="D834" t="e">
        <f t="shared" ref="D834:D897" si="40">+DEFINEAMBITO(Q834,C834)</f>
        <v>#VALUE!</v>
      </c>
      <c r="E834" s="39" t="e">
        <f t="shared" ref="E834:E897" si="41">DATEVALUE(L834)</f>
        <v>#VALUE!</v>
      </c>
      <c r="F834" s="7" t="str">
        <f t="array" ref="F834">+TIPOARMA(H834,I834)</f>
        <v>ERRO - REVISAR</v>
      </c>
      <c r="H834" t="str">
        <f t="array" ref="H834">+ARMASTD(N834)</f>
        <v>ERRO - REVISAR</v>
      </c>
      <c r="I834" t="str">
        <f t="array" ref="I834">+CALIBRESTD(O834)</f>
        <v>ERRO - REVISAR</v>
      </c>
    </row>
    <row r="835" spans="1:9" ht="14.25" customHeight="1" x14ac:dyDescent="0.35">
      <c r="A835" s="41" t="str">
        <f t="array" ref="A835">EXTRACTEVENT(Q835,S835)</f>
        <v/>
      </c>
      <c r="B835" s="41" t="str">
        <f t="shared" si="39"/>
        <v>-</v>
      </c>
      <c r="C835" s="41" t="e">
        <f>+VLOOKUP(R835,Maps!$A:$C,2,0)</f>
        <v>#N/A</v>
      </c>
      <c r="D835" s="41" t="e">
        <f t="shared" si="40"/>
        <v>#VALUE!</v>
      </c>
      <c r="E835" s="42" t="e">
        <f t="shared" si="41"/>
        <v>#VALUE!</v>
      </c>
      <c r="F835" s="43" t="str">
        <f t="array" ref="F835">+TIPOARMA(H835,I835)</f>
        <v>ERRO - REVISAR</v>
      </c>
      <c r="G835" s="41"/>
      <c r="H835" s="41" t="str">
        <f t="array" ref="H835">+ARMASTD(N835)</f>
        <v>ERRO - REVISAR</v>
      </c>
      <c r="I835" s="41" t="str">
        <f t="array" ref="I835">+CALIBRESTD(O835)</f>
        <v>ERRO - REVISAR</v>
      </c>
    </row>
    <row r="836" spans="1:9" ht="14.25" customHeight="1" x14ac:dyDescent="0.35">
      <c r="A836" t="str">
        <f t="array" ref="A836">EXTRACTEVENT(Q836,S836)</f>
        <v/>
      </c>
      <c r="B836" t="str">
        <f t="shared" si="39"/>
        <v>-</v>
      </c>
      <c r="C836" t="e">
        <f>+VLOOKUP(R836,Maps!$A:$C,2,0)</f>
        <v>#N/A</v>
      </c>
      <c r="D836" t="e">
        <f t="shared" si="40"/>
        <v>#VALUE!</v>
      </c>
      <c r="E836" s="39" t="e">
        <f t="shared" si="41"/>
        <v>#VALUE!</v>
      </c>
      <c r="F836" s="7" t="str">
        <f t="array" ref="F836">+TIPOARMA(H836,I836)</f>
        <v>ERRO - REVISAR</v>
      </c>
      <c r="H836" t="str">
        <f t="array" ref="H836">+ARMASTD(N836)</f>
        <v>ERRO - REVISAR</v>
      </c>
      <c r="I836" t="str">
        <f t="array" ref="I836">+CALIBRESTD(O836)</f>
        <v>ERRO - REVISAR</v>
      </c>
    </row>
    <row r="837" spans="1:9" ht="14.25" customHeight="1" x14ac:dyDescent="0.35">
      <c r="A837" s="41" t="str">
        <f t="array" ref="A837">EXTRACTEVENT(Q837,S837)</f>
        <v/>
      </c>
      <c r="B837" s="41" t="str">
        <f t="shared" si="39"/>
        <v>-</v>
      </c>
      <c r="C837" s="41" t="e">
        <f>+VLOOKUP(R837,Maps!$A:$C,2,0)</f>
        <v>#N/A</v>
      </c>
      <c r="D837" s="41" t="e">
        <f t="shared" si="40"/>
        <v>#VALUE!</v>
      </c>
      <c r="E837" s="42" t="e">
        <f t="shared" si="41"/>
        <v>#VALUE!</v>
      </c>
      <c r="F837" s="43" t="str">
        <f t="array" ref="F837">+TIPOARMA(H837,I837)</f>
        <v>ERRO - REVISAR</v>
      </c>
      <c r="G837" s="41"/>
      <c r="H837" s="41" t="str">
        <f t="array" ref="H837">+ARMASTD(N837)</f>
        <v>ERRO - REVISAR</v>
      </c>
      <c r="I837" s="41" t="str">
        <f t="array" ref="I837">+CALIBRESTD(O837)</f>
        <v>ERRO - REVISAR</v>
      </c>
    </row>
    <row r="838" spans="1:9" ht="14.25" customHeight="1" x14ac:dyDescent="0.35">
      <c r="A838" t="str">
        <f t="array" ref="A838">EXTRACTEVENT(Q838,S838)</f>
        <v/>
      </c>
      <c r="B838" t="str">
        <f t="shared" si="39"/>
        <v>-</v>
      </c>
      <c r="C838" t="e">
        <f>+VLOOKUP(R838,Maps!$A:$C,2,0)</f>
        <v>#N/A</v>
      </c>
      <c r="D838" t="e">
        <f t="shared" si="40"/>
        <v>#VALUE!</v>
      </c>
      <c r="E838" s="39" t="e">
        <f t="shared" si="41"/>
        <v>#VALUE!</v>
      </c>
      <c r="F838" s="7" t="str">
        <f t="array" ref="F838">+TIPOARMA(H838,I838)</f>
        <v>ERRO - REVISAR</v>
      </c>
      <c r="H838" t="str">
        <f t="array" ref="H838">+ARMASTD(N838)</f>
        <v>ERRO - REVISAR</v>
      </c>
      <c r="I838" t="str">
        <f t="array" ref="I838">+CALIBRESTD(O838)</f>
        <v>ERRO - REVISAR</v>
      </c>
    </row>
    <row r="839" spans="1:9" ht="14.25" customHeight="1" x14ac:dyDescent="0.35">
      <c r="A839" s="41" t="str">
        <f t="array" ref="A839">EXTRACTEVENT(Q839,S839)</f>
        <v/>
      </c>
      <c r="B839" s="41" t="str">
        <f t="shared" si="39"/>
        <v>-</v>
      </c>
      <c r="C839" s="41" t="e">
        <f>+VLOOKUP(R839,Maps!$A:$C,2,0)</f>
        <v>#N/A</v>
      </c>
      <c r="D839" s="41" t="e">
        <f t="shared" si="40"/>
        <v>#VALUE!</v>
      </c>
      <c r="E839" s="42" t="e">
        <f t="shared" si="41"/>
        <v>#VALUE!</v>
      </c>
      <c r="F839" s="43" t="str">
        <f t="array" ref="F839">+TIPOARMA(H839,I839)</f>
        <v>ERRO - REVISAR</v>
      </c>
      <c r="G839" s="41"/>
      <c r="H839" s="41" t="str">
        <f t="array" ref="H839">+ARMASTD(N839)</f>
        <v>ERRO - REVISAR</v>
      </c>
      <c r="I839" s="41" t="str">
        <f t="array" ref="I839">+CALIBRESTD(O839)</f>
        <v>ERRO - REVISAR</v>
      </c>
    </row>
    <row r="840" spans="1:9" ht="14.25" customHeight="1" x14ac:dyDescent="0.35">
      <c r="A840" t="str">
        <f t="array" ref="A840">EXTRACTEVENT(Q840,S840)</f>
        <v/>
      </c>
      <c r="B840" t="str">
        <f t="shared" si="39"/>
        <v>-</v>
      </c>
      <c r="C840" t="e">
        <f>+VLOOKUP(R840,Maps!$A:$C,2,0)</f>
        <v>#N/A</v>
      </c>
      <c r="D840" t="e">
        <f t="shared" si="40"/>
        <v>#VALUE!</v>
      </c>
      <c r="E840" s="39" t="e">
        <f t="shared" si="41"/>
        <v>#VALUE!</v>
      </c>
      <c r="F840" s="7" t="str">
        <f t="array" ref="F840">+TIPOARMA(H840,I840)</f>
        <v>ERRO - REVISAR</v>
      </c>
      <c r="H840" t="str">
        <f t="array" ref="H840">+ARMASTD(N840)</f>
        <v>ERRO - REVISAR</v>
      </c>
      <c r="I840" t="str">
        <f t="array" ref="I840">+CALIBRESTD(O840)</f>
        <v>ERRO - REVISAR</v>
      </c>
    </row>
    <row r="841" spans="1:9" ht="14.25" customHeight="1" x14ac:dyDescent="0.35">
      <c r="A841" s="41" t="str">
        <f t="array" ref="A841">EXTRACTEVENT(Q841,S841)</f>
        <v/>
      </c>
      <c r="B841" s="41" t="str">
        <f t="shared" si="39"/>
        <v>-</v>
      </c>
      <c r="C841" s="41" t="e">
        <f>+VLOOKUP(R841,Maps!$A:$C,2,0)</f>
        <v>#N/A</v>
      </c>
      <c r="D841" s="41" t="e">
        <f t="shared" si="40"/>
        <v>#VALUE!</v>
      </c>
      <c r="E841" s="42" t="e">
        <f t="shared" si="41"/>
        <v>#VALUE!</v>
      </c>
      <c r="F841" s="43" t="str">
        <f t="array" ref="F841">+TIPOARMA(H841,I841)</f>
        <v>ERRO - REVISAR</v>
      </c>
      <c r="G841" s="41"/>
      <c r="H841" s="41" t="str">
        <f t="array" ref="H841">+ARMASTD(N841)</f>
        <v>ERRO - REVISAR</v>
      </c>
      <c r="I841" s="41" t="str">
        <f t="array" ref="I841">+CALIBRESTD(O841)</f>
        <v>ERRO - REVISAR</v>
      </c>
    </row>
    <row r="842" spans="1:9" ht="14.25" customHeight="1" x14ac:dyDescent="0.35">
      <c r="A842" t="str">
        <f t="array" ref="A842">EXTRACTEVENT(Q842,S842)</f>
        <v/>
      </c>
      <c r="B842" t="str">
        <f t="shared" si="39"/>
        <v>-</v>
      </c>
      <c r="C842" t="e">
        <f>+VLOOKUP(R842,Maps!$A:$C,2,0)</f>
        <v>#N/A</v>
      </c>
      <c r="D842" t="e">
        <f t="shared" si="40"/>
        <v>#VALUE!</v>
      </c>
      <c r="E842" s="39" t="e">
        <f t="shared" si="41"/>
        <v>#VALUE!</v>
      </c>
      <c r="F842" s="7" t="str">
        <f t="array" ref="F842">+TIPOARMA(H842,I842)</f>
        <v>ERRO - REVISAR</v>
      </c>
      <c r="H842" t="str">
        <f t="array" ref="H842">+ARMASTD(N842)</f>
        <v>ERRO - REVISAR</v>
      </c>
      <c r="I842" t="str">
        <f t="array" ref="I842">+CALIBRESTD(O842)</f>
        <v>ERRO - REVISAR</v>
      </c>
    </row>
    <row r="843" spans="1:9" ht="14.25" customHeight="1" x14ac:dyDescent="0.35">
      <c r="A843" s="41" t="str">
        <f t="array" ref="A843">EXTRACTEVENT(Q843,S843)</f>
        <v/>
      </c>
      <c r="B843" s="41" t="str">
        <f t="shared" si="39"/>
        <v>-</v>
      </c>
      <c r="C843" s="41" t="e">
        <f>+VLOOKUP(R843,Maps!$A:$C,2,0)</f>
        <v>#N/A</v>
      </c>
      <c r="D843" s="41" t="e">
        <f t="shared" si="40"/>
        <v>#VALUE!</v>
      </c>
      <c r="E843" s="42" t="e">
        <f t="shared" si="41"/>
        <v>#VALUE!</v>
      </c>
      <c r="F843" s="43" t="str">
        <f t="array" ref="F843">+TIPOARMA(H843,I843)</f>
        <v>ERRO - REVISAR</v>
      </c>
      <c r="G843" s="41"/>
      <c r="H843" s="41" t="str">
        <f t="array" ref="H843">+ARMASTD(N843)</f>
        <v>ERRO - REVISAR</v>
      </c>
      <c r="I843" s="41" t="str">
        <f t="array" ref="I843">+CALIBRESTD(O843)</f>
        <v>ERRO - REVISAR</v>
      </c>
    </row>
    <row r="844" spans="1:9" ht="14.25" customHeight="1" x14ac:dyDescent="0.35">
      <c r="A844" t="str">
        <f t="array" ref="A844">EXTRACTEVENT(Q844,S844)</f>
        <v/>
      </c>
      <c r="B844" t="str">
        <f t="shared" si="39"/>
        <v>-</v>
      </c>
      <c r="C844" t="e">
        <f>+VLOOKUP(R844,Maps!$A:$C,2,0)</f>
        <v>#N/A</v>
      </c>
      <c r="D844" t="e">
        <f t="shared" si="40"/>
        <v>#VALUE!</v>
      </c>
      <c r="E844" s="39" t="e">
        <f t="shared" si="41"/>
        <v>#VALUE!</v>
      </c>
      <c r="F844" s="7" t="str">
        <f t="array" ref="F844">+TIPOARMA(H844,I844)</f>
        <v>ERRO - REVISAR</v>
      </c>
      <c r="H844" t="str">
        <f t="array" ref="H844">+ARMASTD(N844)</f>
        <v>ERRO - REVISAR</v>
      </c>
      <c r="I844" t="str">
        <f t="array" ref="I844">+CALIBRESTD(O844)</f>
        <v>ERRO - REVISAR</v>
      </c>
    </row>
    <row r="845" spans="1:9" ht="14.25" customHeight="1" x14ac:dyDescent="0.35">
      <c r="A845" s="41" t="str">
        <f t="array" ref="A845">EXTRACTEVENT(Q845,S845)</f>
        <v/>
      </c>
      <c r="B845" s="41" t="str">
        <f t="shared" si="39"/>
        <v>-</v>
      </c>
      <c r="C845" s="41" t="e">
        <f>+VLOOKUP(R845,Maps!$A:$C,2,0)</f>
        <v>#N/A</v>
      </c>
      <c r="D845" s="41" t="e">
        <f t="shared" si="40"/>
        <v>#VALUE!</v>
      </c>
      <c r="E845" s="42" t="e">
        <f t="shared" si="41"/>
        <v>#VALUE!</v>
      </c>
      <c r="F845" s="43" t="str">
        <f t="array" ref="F845">+TIPOARMA(H845,I845)</f>
        <v>ERRO - REVISAR</v>
      </c>
      <c r="G845" s="41"/>
      <c r="H845" s="41" t="str">
        <f t="array" ref="H845">+ARMASTD(N845)</f>
        <v>ERRO - REVISAR</v>
      </c>
      <c r="I845" s="41" t="str">
        <f t="array" ref="I845">+CALIBRESTD(O845)</f>
        <v>ERRO - REVISAR</v>
      </c>
    </row>
    <row r="846" spans="1:9" ht="14.25" customHeight="1" x14ac:dyDescent="0.35">
      <c r="A846" t="str">
        <f t="array" ref="A846">EXTRACTEVENT(Q846,S846)</f>
        <v/>
      </c>
      <c r="B846" t="str">
        <f t="shared" si="39"/>
        <v>-</v>
      </c>
      <c r="C846" t="e">
        <f>+VLOOKUP(R846,Maps!$A:$C,2,0)</f>
        <v>#N/A</v>
      </c>
      <c r="D846" t="e">
        <f t="shared" si="40"/>
        <v>#VALUE!</v>
      </c>
      <c r="E846" s="39" t="e">
        <f t="shared" si="41"/>
        <v>#VALUE!</v>
      </c>
      <c r="F846" s="7" t="str">
        <f t="array" ref="F846">+TIPOARMA(H846,I846)</f>
        <v>ERRO - REVISAR</v>
      </c>
      <c r="H846" t="str">
        <f t="array" ref="H846">+ARMASTD(N846)</f>
        <v>ERRO - REVISAR</v>
      </c>
      <c r="I846" t="str">
        <f t="array" ref="I846">+CALIBRESTD(O846)</f>
        <v>ERRO - REVISAR</v>
      </c>
    </row>
    <row r="847" spans="1:9" ht="14.25" customHeight="1" x14ac:dyDescent="0.35">
      <c r="A847" s="41" t="str">
        <f t="array" ref="A847">EXTRACTEVENT(Q847,S847)</f>
        <v/>
      </c>
      <c r="B847" s="41" t="str">
        <f t="shared" si="39"/>
        <v>-</v>
      </c>
      <c r="C847" s="41" t="e">
        <f>+VLOOKUP(R847,Maps!$A:$C,2,0)</f>
        <v>#N/A</v>
      </c>
      <c r="D847" s="41" t="e">
        <f t="shared" si="40"/>
        <v>#VALUE!</v>
      </c>
      <c r="E847" s="42" t="e">
        <f t="shared" si="41"/>
        <v>#VALUE!</v>
      </c>
      <c r="F847" s="43" t="str">
        <f t="array" ref="F847">+TIPOARMA(H847,I847)</f>
        <v>ERRO - REVISAR</v>
      </c>
      <c r="G847" s="41"/>
      <c r="H847" s="41" t="str">
        <f t="array" ref="H847">+ARMASTD(N847)</f>
        <v>ERRO - REVISAR</v>
      </c>
      <c r="I847" s="41" t="str">
        <f t="array" ref="I847">+CALIBRESTD(O847)</f>
        <v>ERRO - REVISAR</v>
      </c>
    </row>
    <row r="848" spans="1:9" ht="14.25" customHeight="1" x14ac:dyDescent="0.35">
      <c r="A848" t="str">
        <f t="array" ref="A848">EXTRACTEVENT(Q848,S848)</f>
        <v/>
      </c>
      <c r="B848" t="str">
        <f t="shared" si="39"/>
        <v>-</v>
      </c>
      <c r="C848" t="e">
        <f>+VLOOKUP(R848,Maps!$A:$C,2,0)</f>
        <v>#N/A</v>
      </c>
      <c r="D848" t="e">
        <f t="shared" si="40"/>
        <v>#VALUE!</v>
      </c>
      <c r="E848" s="39" t="e">
        <f t="shared" si="41"/>
        <v>#VALUE!</v>
      </c>
      <c r="F848" s="7" t="str">
        <f t="array" ref="F848">+TIPOARMA(H848,I848)</f>
        <v>ERRO - REVISAR</v>
      </c>
      <c r="H848" t="str">
        <f t="array" ref="H848">+ARMASTD(N848)</f>
        <v>ERRO - REVISAR</v>
      </c>
      <c r="I848" t="str">
        <f t="array" ref="I848">+CALIBRESTD(O848)</f>
        <v>ERRO - REVISAR</v>
      </c>
    </row>
    <row r="849" spans="1:9" ht="14.25" customHeight="1" x14ac:dyDescent="0.35">
      <c r="A849" s="41" t="str">
        <f t="array" ref="A849">EXTRACTEVENT(Q849,S849)</f>
        <v/>
      </c>
      <c r="B849" s="41" t="str">
        <f t="shared" si="39"/>
        <v>-</v>
      </c>
      <c r="C849" s="41" t="e">
        <f>+VLOOKUP(R849,Maps!$A:$C,2,0)</f>
        <v>#N/A</v>
      </c>
      <c r="D849" s="41" t="e">
        <f t="shared" si="40"/>
        <v>#VALUE!</v>
      </c>
      <c r="E849" s="42" t="e">
        <f t="shared" si="41"/>
        <v>#VALUE!</v>
      </c>
      <c r="F849" s="43" t="str">
        <f t="array" ref="F849">+TIPOARMA(H849,I849)</f>
        <v>ERRO - REVISAR</v>
      </c>
      <c r="G849" s="41"/>
      <c r="H849" s="41" t="str">
        <f t="array" ref="H849">+ARMASTD(N849)</f>
        <v>ERRO - REVISAR</v>
      </c>
      <c r="I849" s="41" t="str">
        <f t="array" ref="I849">+CALIBRESTD(O849)</f>
        <v>ERRO - REVISAR</v>
      </c>
    </row>
    <row r="850" spans="1:9" ht="14.25" customHeight="1" x14ac:dyDescent="0.35">
      <c r="A850" t="str">
        <f t="array" ref="A850">EXTRACTEVENT(Q850,S850)</f>
        <v/>
      </c>
      <c r="B850" t="str">
        <f t="shared" si="39"/>
        <v>-</v>
      </c>
      <c r="C850" t="e">
        <f>+VLOOKUP(R850,Maps!$A:$C,2,0)</f>
        <v>#N/A</v>
      </c>
      <c r="D850" t="e">
        <f t="shared" si="40"/>
        <v>#VALUE!</v>
      </c>
      <c r="E850" s="39" t="e">
        <f t="shared" si="41"/>
        <v>#VALUE!</v>
      </c>
      <c r="F850" s="7" t="str">
        <f t="array" ref="F850">+TIPOARMA(H850,I850)</f>
        <v>ERRO - REVISAR</v>
      </c>
      <c r="H850" t="str">
        <f t="array" ref="H850">+ARMASTD(N850)</f>
        <v>ERRO - REVISAR</v>
      </c>
      <c r="I850" t="str">
        <f t="array" ref="I850">+CALIBRESTD(O850)</f>
        <v>ERRO - REVISAR</v>
      </c>
    </row>
    <row r="851" spans="1:9" ht="14.25" customHeight="1" x14ac:dyDescent="0.35">
      <c r="A851" s="41" t="str">
        <f t="array" ref="A851">EXTRACTEVENT(Q851,S851)</f>
        <v/>
      </c>
      <c r="B851" s="41" t="str">
        <f t="shared" si="39"/>
        <v>-</v>
      </c>
      <c r="C851" s="41" t="e">
        <f>+VLOOKUP(R851,Maps!$A:$C,2,0)</f>
        <v>#N/A</v>
      </c>
      <c r="D851" s="41" t="e">
        <f t="shared" si="40"/>
        <v>#VALUE!</v>
      </c>
      <c r="E851" s="42" t="e">
        <f t="shared" si="41"/>
        <v>#VALUE!</v>
      </c>
      <c r="F851" s="43" t="str">
        <f t="array" ref="F851">+TIPOARMA(H851,I851)</f>
        <v>ERRO - REVISAR</v>
      </c>
      <c r="G851" s="41"/>
      <c r="H851" s="41" t="str">
        <f t="array" ref="H851">+ARMASTD(N851)</f>
        <v>ERRO - REVISAR</v>
      </c>
      <c r="I851" s="41" t="str">
        <f t="array" ref="I851">+CALIBRESTD(O851)</f>
        <v>ERRO - REVISAR</v>
      </c>
    </row>
    <row r="852" spans="1:9" ht="14.25" customHeight="1" x14ac:dyDescent="0.35">
      <c r="A852" t="str">
        <f t="array" ref="A852">EXTRACTEVENT(Q852,S852)</f>
        <v/>
      </c>
      <c r="B852" t="str">
        <f t="shared" si="39"/>
        <v>-</v>
      </c>
      <c r="C852" t="e">
        <f>+VLOOKUP(R852,Maps!$A:$C,2,0)</f>
        <v>#N/A</v>
      </c>
      <c r="D852" t="e">
        <f t="shared" si="40"/>
        <v>#VALUE!</v>
      </c>
      <c r="E852" s="39" t="e">
        <f t="shared" si="41"/>
        <v>#VALUE!</v>
      </c>
      <c r="F852" s="7" t="str">
        <f t="array" ref="F852">+TIPOARMA(H852,I852)</f>
        <v>ERRO - REVISAR</v>
      </c>
      <c r="H852" t="str">
        <f t="array" ref="H852">+ARMASTD(N852)</f>
        <v>ERRO - REVISAR</v>
      </c>
      <c r="I852" t="str">
        <f t="array" ref="I852">+CALIBRESTD(O852)</f>
        <v>ERRO - REVISAR</v>
      </c>
    </row>
    <row r="853" spans="1:9" ht="14.25" customHeight="1" x14ac:dyDescent="0.35">
      <c r="A853" s="41" t="str">
        <f t="array" ref="A853">EXTRACTEVENT(Q853,S853)</f>
        <v/>
      </c>
      <c r="B853" s="41" t="str">
        <f t="shared" si="39"/>
        <v>-</v>
      </c>
      <c r="C853" s="41" t="e">
        <f>+VLOOKUP(R853,Maps!$A:$C,2,0)</f>
        <v>#N/A</v>
      </c>
      <c r="D853" s="41" t="e">
        <f t="shared" si="40"/>
        <v>#VALUE!</v>
      </c>
      <c r="E853" s="42" t="e">
        <f t="shared" si="41"/>
        <v>#VALUE!</v>
      </c>
      <c r="F853" s="43" t="str">
        <f t="array" ref="F853">+TIPOARMA(H853,I853)</f>
        <v>ERRO - REVISAR</v>
      </c>
      <c r="G853" s="41"/>
      <c r="H853" s="41" t="str">
        <f t="array" ref="H853">+ARMASTD(N853)</f>
        <v>ERRO - REVISAR</v>
      </c>
      <c r="I853" s="41" t="str">
        <f t="array" ref="I853">+CALIBRESTD(O853)</f>
        <v>ERRO - REVISAR</v>
      </c>
    </row>
    <row r="854" spans="1:9" ht="14.25" customHeight="1" x14ac:dyDescent="0.35">
      <c r="A854" t="str">
        <f t="array" ref="A854">EXTRACTEVENT(Q854,S854)</f>
        <v/>
      </c>
      <c r="B854" t="str">
        <f t="shared" si="39"/>
        <v>-</v>
      </c>
      <c r="C854" t="e">
        <f>+VLOOKUP(R854,Maps!$A:$C,2,0)</f>
        <v>#N/A</v>
      </c>
      <c r="D854" t="e">
        <f t="shared" si="40"/>
        <v>#VALUE!</v>
      </c>
      <c r="E854" s="39" t="e">
        <f t="shared" si="41"/>
        <v>#VALUE!</v>
      </c>
      <c r="F854" s="7" t="str">
        <f t="array" ref="F854">+TIPOARMA(H854,I854)</f>
        <v>ERRO - REVISAR</v>
      </c>
      <c r="H854" t="str">
        <f t="array" ref="H854">+ARMASTD(N854)</f>
        <v>ERRO - REVISAR</v>
      </c>
      <c r="I854" t="str">
        <f t="array" ref="I854">+CALIBRESTD(O854)</f>
        <v>ERRO - REVISAR</v>
      </c>
    </row>
    <row r="855" spans="1:9" ht="14.25" customHeight="1" x14ac:dyDescent="0.35">
      <c r="A855" s="41" t="str">
        <f t="array" ref="A855">EXTRACTEVENT(Q855,S855)</f>
        <v/>
      </c>
      <c r="B855" s="41" t="str">
        <f t="shared" si="39"/>
        <v>-</v>
      </c>
      <c r="C855" s="41" t="e">
        <f>+VLOOKUP(R855,Maps!$A:$C,2,0)</f>
        <v>#N/A</v>
      </c>
      <c r="D855" s="41" t="e">
        <f t="shared" si="40"/>
        <v>#VALUE!</v>
      </c>
      <c r="E855" s="42" t="e">
        <f t="shared" si="41"/>
        <v>#VALUE!</v>
      </c>
      <c r="F855" s="43" t="str">
        <f t="array" ref="F855">+TIPOARMA(H855,I855)</f>
        <v>ERRO - REVISAR</v>
      </c>
      <c r="G855" s="41"/>
      <c r="H855" s="41" t="str">
        <f t="array" ref="H855">+ARMASTD(N855)</f>
        <v>ERRO - REVISAR</v>
      </c>
      <c r="I855" s="41" t="str">
        <f t="array" ref="I855">+CALIBRESTD(O855)</f>
        <v>ERRO - REVISAR</v>
      </c>
    </row>
    <row r="856" spans="1:9" ht="14.25" customHeight="1" x14ac:dyDescent="0.35">
      <c r="A856" t="str">
        <f t="array" ref="A856">EXTRACTEVENT(Q856,S856)</f>
        <v/>
      </c>
      <c r="B856" t="str">
        <f t="shared" si="39"/>
        <v>-</v>
      </c>
      <c r="C856" t="e">
        <f>+VLOOKUP(R856,Maps!$A:$C,2,0)</f>
        <v>#N/A</v>
      </c>
      <c r="D856" t="e">
        <f t="shared" si="40"/>
        <v>#VALUE!</v>
      </c>
      <c r="E856" s="39" t="e">
        <f t="shared" si="41"/>
        <v>#VALUE!</v>
      </c>
      <c r="F856" s="7" t="str">
        <f t="array" ref="F856">+TIPOARMA(H856,I856)</f>
        <v>ERRO - REVISAR</v>
      </c>
      <c r="H856" t="str">
        <f t="array" ref="H856">+ARMASTD(N856)</f>
        <v>ERRO - REVISAR</v>
      </c>
      <c r="I856" t="str">
        <f t="array" ref="I856">+CALIBRESTD(O856)</f>
        <v>ERRO - REVISAR</v>
      </c>
    </row>
    <row r="857" spans="1:9" ht="14.25" customHeight="1" x14ac:dyDescent="0.35">
      <c r="A857" s="41" t="str">
        <f t="array" ref="A857">EXTRACTEVENT(Q857,S857)</f>
        <v/>
      </c>
      <c r="B857" s="41" t="str">
        <f t="shared" si="39"/>
        <v>-</v>
      </c>
      <c r="C857" s="41" t="e">
        <f>+VLOOKUP(R857,Maps!$A:$C,2,0)</f>
        <v>#N/A</v>
      </c>
      <c r="D857" s="41" t="e">
        <f t="shared" si="40"/>
        <v>#VALUE!</v>
      </c>
      <c r="E857" s="42" t="e">
        <f t="shared" si="41"/>
        <v>#VALUE!</v>
      </c>
      <c r="F857" s="43" t="str">
        <f t="array" ref="F857">+TIPOARMA(H857,I857)</f>
        <v>ERRO - REVISAR</v>
      </c>
      <c r="G857" s="41"/>
      <c r="H857" s="41" t="str">
        <f t="array" ref="H857">+ARMASTD(N857)</f>
        <v>ERRO - REVISAR</v>
      </c>
      <c r="I857" s="41" t="str">
        <f t="array" ref="I857">+CALIBRESTD(O857)</f>
        <v>ERRO - REVISAR</v>
      </c>
    </row>
    <row r="858" spans="1:9" ht="14.25" customHeight="1" x14ac:dyDescent="0.35">
      <c r="A858" t="str">
        <f t="array" ref="A858">EXTRACTEVENT(Q858,S858)</f>
        <v/>
      </c>
      <c r="B858" t="str">
        <f t="shared" si="39"/>
        <v>-</v>
      </c>
      <c r="C858" t="e">
        <f>+VLOOKUP(R858,Maps!$A:$C,2,0)</f>
        <v>#N/A</v>
      </c>
      <c r="D858" t="e">
        <f t="shared" si="40"/>
        <v>#VALUE!</v>
      </c>
      <c r="E858" s="39" t="e">
        <f t="shared" si="41"/>
        <v>#VALUE!</v>
      </c>
      <c r="F858" s="7" t="str">
        <f t="array" ref="F858">+TIPOARMA(H858,I858)</f>
        <v>ERRO - REVISAR</v>
      </c>
      <c r="H858" t="str">
        <f t="array" ref="H858">+ARMASTD(N858)</f>
        <v>ERRO - REVISAR</v>
      </c>
      <c r="I858" t="str">
        <f t="array" ref="I858">+CALIBRESTD(O858)</f>
        <v>ERRO - REVISAR</v>
      </c>
    </row>
    <row r="859" spans="1:9" ht="14.25" customHeight="1" x14ac:dyDescent="0.35">
      <c r="A859" s="41" t="str">
        <f t="array" ref="A859">EXTRACTEVENT(Q859,S859)</f>
        <v/>
      </c>
      <c r="B859" s="41" t="str">
        <f t="shared" si="39"/>
        <v>-</v>
      </c>
      <c r="C859" s="41" t="e">
        <f>+VLOOKUP(R859,Maps!$A:$C,2,0)</f>
        <v>#N/A</v>
      </c>
      <c r="D859" s="41" t="e">
        <f t="shared" si="40"/>
        <v>#VALUE!</v>
      </c>
      <c r="E859" s="42" t="e">
        <f t="shared" si="41"/>
        <v>#VALUE!</v>
      </c>
      <c r="F859" s="43" t="str">
        <f t="array" ref="F859">+TIPOARMA(H859,I859)</f>
        <v>ERRO - REVISAR</v>
      </c>
      <c r="G859" s="41"/>
      <c r="H859" s="41" t="str">
        <f t="array" ref="H859">+ARMASTD(N859)</f>
        <v>ERRO - REVISAR</v>
      </c>
      <c r="I859" s="41" t="str">
        <f t="array" ref="I859">+CALIBRESTD(O859)</f>
        <v>ERRO - REVISAR</v>
      </c>
    </row>
    <row r="860" spans="1:9" ht="14.25" customHeight="1" x14ac:dyDescent="0.35">
      <c r="A860" t="str">
        <f t="array" ref="A860">EXTRACTEVENT(Q860,S860)</f>
        <v/>
      </c>
      <c r="B860" t="str">
        <f t="shared" si="39"/>
        <v>-</v>
      </c>
      <c r="C860" t="e">
        <f>+VLOOKUP(R860,Maps!$A:$C,2,0)</f>
        <v>#N/A</v>
      </c>
      <c r="D860" t="e">
        <f t="shared" si="40"/>
        <v>#VALUE!</v>
      </c>
      <c r="E860" s="39" t="e">
        <f t="shared" si="41"/>
        <v>#VALUE!</v>
      </c>
      <c r="F860" s="7" t="str">
        <f t="array" ref="F860">+TIPOARMA(H860,I860)</f>
        <v>ERRO - REVISAR</v>
      </c>
      <c r="H860" t="str">
        <f t="array" ref="H860">+ARMASTD(N860)</f>
        <v>ERRO - REVISAR</v>
      </c>
      <c r="I860" t="str">
        <f t="array" ref="I860">+CALIBRESTD(O860)</f>
        <v>ERRO - REVISAR</v>
      </c>
    </row>
    <row r="861" spans="1:9" ht="14.25" customHeight="1" x14ac:dyDescent="0.35">
      <c r="A861" s="41" t="str">
        <f t="array" ref="A861">EXTRACTEVENT(Q861,S861)</f>
        <v/>
      </c>
      <c r="B861" s="41" t="str">
        <f t="shared" si="39"/>
        <v>-</v>
      </c>
      <c r="C861" s="41" t="e">
        <f>+VLOOKUP(R861,Maps!$A:$C,2,0)</f>
        <v>#N/A</v>
      </c>
      <c r="D861" s="41" t="e">
        <f t="shared" si="40"/>
        <v>#VALUE!</v>
      </c>
      <c r="E861" s="42" t="e">
        <f t="shared" si="41"/>
        <v>#VALUE!</v>
      </c>
      <c r="F861" s="43" t="str">
        <f t="array" ref="F861">+TIPOARMA(H861,I861)</f>
        <v>ERRO - REVISAR</v>
      </c>
      <c r="G861" s="41"/>
      <c r="H861" s="41" t="str">
        <f t="array" ref="H861">+ARMASTD(N861)</f>
        <v>ERRO - REVISAR</v>
      </c>
      <c r="I861" s="41" t="str">
        <f t="array" ref="I861">+CALIBRESTD(O861)</f>
        <v>ERRO - REVISAR</v>
      </c>
    </row>
    <row r="862" spans="1:9" ht="14.25" customHeight="1" x14ac:dyDescent="0.35">
      <c r="A862" t="str">
        <f t="array" ref="A862">EXTRACTEVENT(Q862,S862)</f>
        <v/>
      </c>
      <c r="B862" t="str">
        <f t="shared" si="39"/>
        <v>-</v>
      </c>
      <c r="C862" t="e">
        <f>+VLOOKUP(R862,Maps!$A:$C,2,0)</f>
        <v>#N/A</v>
      </c>
      <c r="D862" t="e">
        <f t="shared" si="40"/>
        <v>#VALUE!</v>
      </c>
      <c r="E862" s="39" t="e">
        <f t="shared" si="41"/>
        <v>#VALUE!</v>
      </c>
      <c r="F862" s="7" t="str">
        <f t="array" ref="F862">+TIPOARMA(H862,I862)</f>
        <v>ERRO - REVISAR</v>
      </c>
      <c r="H862" t="str">
        <f t="array" ref="H862">+ARMASTD(N862)</f>
        <v>ERRO - REVISAR</v>
      </c>
      <c r="I862" t="str">
        <f t="array" ref="I862">+CALIBRESTD(O862)</f>
        <v>ERRO - REVISAR</v>
      </c>
    </row>
    <row r="863" spans="1:9" ht="14.25" customHeight="1" x14ac:dyDescent="0.35">
      <c r="A863" s="41" t="str">
        <f t="array" ref="A863">EXTRACTEVENT(Q863,S863)</f>
        <v/>
      </c>
      <c r="B863" s="41" t="str">
        <f t="shared" si="39"/>
        <v>-</v>
      </c>
      <c r="C863" s="41" t="e">
        <f>+VLOOKUP(R863,Maps!$A:$C,2,0)</f>
        <v>#N/A</v>
      </c>
      <c r="D863" s="41" t="e">
        <f t="shared" si="40"/>
        <v>#VALUE!</v>
      </c>
      <c r="E863" s="42" t="e">
        <f t="shared" si="41"/>
        <v>#VALUE!</v>
      </c>
      <c r="F863" s="43" t="str">
        <f t="array" ref="F863">+TIPOARMA(H863,I863)</f>
        <v>ERRO - REVISAR</v>
      </c>
      <c r="G863" s="41"/>
      <c r="H863" s="41" t="str">
        <f t="array" ref="H863">+ARMASTD(N863)</f>
        <v>ERRO - REVISAR</v>
      </c>
      <c r="I863" s="41" t="str">
        <f t="array" ref="I863">+CALIBRESTD(O863)</f>
        <v>ERRO - REVISAR</v>
      </c>
    </row>
    <row r="864" spans="1:9" ht="14.25" customHeight="1" x14ac:dyDescent="0.35">
      <c r="A864" t="str">
        <f t="array" ref="A864">EXTRACTEVENT(Q864,S864)</f>
        <v/>
      </c>
      <c r="B864" t="str">
        <f t="shared" si="39"/>
        <v>-</v>
      </c>
      <c r="C864" t="e">
        <f>+VLOOKUP(R864,Maps!$A:$C,2,0)</f>
        <v>#N/A</v>
      </c>
      <c r="D864" t="e">
        <f t="shared" si="40"/>
        <v>#VALUE!</v>
      </c>
      <c r="E864" s="39" t="e">
        <f t="shared" si="41"/>
        <v>#VALUE!</v>
      </c>
      <c r="F864" s="7" t="str">
        <f t="array" ref="F864">+TIPOARMA(H864,I864)</f>
        <v>ERRO - REVISAR</v>
      </c>
      <c r="H864" t="str">
        <f t="array" ref="H864">+ARMASTD(N864)</f>
        <v>ERRO - REVISAR</v>
      </c>
      <c r="I864" t="str">
        <f t="array" ref="I864">+CALIBRESTD(O864)</f>
        <v>ERRO - REVISAR</v>
      </c>
    </row>
    <row r="865" spans="1:9" ht="14.25" customHeight="1" x14ac:dyDescent="0.35">
      <c r="A865" s="41" t="str">
        <f t="array" ref="A865">EXTRACTEVENT(Q865,S865)</f>
        <v/>
      </c>
      <c r="B865" s="41" t="str">
        <f t="shared" si="39"/>
        <v>-</v>
      </c>
      <c r="C865" s="41" t="e">
        <f>+VLOOKUP(R865,Maps!$A:$C,2,0)</f>
        <v>#N/A</v>
      </c>
      <c r="D865" s="41" t="e">
        <f t="shared" si="40"/>
        <v>#VALUE!</v>
      </c>
      <c r="E865" s="42" t="e">
        <f t="shared" si="41"/>
        <v>#VALUE!</v>
      </c>
      <c r="F865" s="43" t="str">
        <f t="array" ref="F865">+TIPOARMA(H865,I865)</f>
        <v>ERRO - REVISAR</v>
      </c>
      <c r="G865" s="41"/>
      <c r="H865" s="41" t="str">
        <f t="array" ref="H865">+ARMASTD(N865)</f>
        <v>ERRO - REVISAR</v>
      </c>
      <c r="I865" s="41" t="str">
        <f t="array" ref="I865">+CALIBRESTD(O865)</f>
        <v>ERRO - REVISAR</v>
      </c>
    </row>
    <row r="866" spans="1:9" ht="14.25" customHeight="1" x14ac:dyDescent="0.35">
      <c r="A866" t="str">
        <f t="array" ref="A866">EXTRACTEVENT(Q866,S866)</f>
        <v/>
      </c>
      <c r="B866" t="str">
        <f t="shared" si="39"/>
        <v>-</v>
      </c>
      <c r="C866" t="e">
        <f>+VLOOKUP(R866,Maps!$A:$C,2,0)</f>
        <v>#N/A</v>
      </c>
      <c r="D866" t="e">
        <f t="shared" si="40"/>
        <v>#VALUE!</v>
      </c>
      <c r="E866" s="39" t="e">
        <f t="shared" si="41"/>
        <v>#VALUE!</v>
      </c>
      <c r="F866" s="7" t="str">
        <f t="array" ref="F866">+TIPOARMA(H866,I866)</f>
        <v>ERRO - REVISAR</v>
      </c>
      <c r="H866" t="str">
        <f t="array" ref="H866">+ARMASTD(N866)</f>
        <v>ERRO - REVISAR</v>
      </c>
      <c r="I866" t="str">
        <f t="array" ref="I866">+CALIBRESTD(O866)</f>
        <v>ERRO - REVISAR</v>
      </c>
    </row>
    <row r="867" spans="1:9" ht="14.25" customHeight="1" x14ac:dyDescent="0.35">
      <c r="A867" s="41" t="str">
        <f t="array" ref="A867">EXTRACTEVENT(Q867,S867)</f>
        <v/>
      </c>
      <c r="B867" s="41" t="str">
        <f t="shared" si="39"/>
        <v>-</v>
      </c>
      <c r="C867" s="41" t="e">
        <f>+VLOOKUP(R867,Maps!$A:$C,2,0)</f>
        <v>#N/A</v>
      </c>
      <c r="D867" s="41" t="e">
        <f t="shared" si="40"/>
        <v>#VALUE!</v>
      </c>
      <c r="E867" s="42" t="e">
        <f t="shared" si="41"/>
        <v>#VALUE!</v>
      </c>
      <c r="F867" s="43" t="str">
        <f t="array" ref="F867">+TIPOARMA(H867,I867)</f>
        <v>ERRO - REVISAR</v>
      </c>
      <c r="G867" s="41"/>
      <c r="H867" s="41" t="str">
        <f t="array" ref="H867">+ARMASTD(N867)</f>
        <v>ERRO - REVISAR</v>
      </c>
      <c r="I867" s="41" t="str">
        <f t="array" ref="I867">+CALIBRESTD(O867)</f>
        <v>ERRO - REVISAR</v>
      </c>
    </row>
    <row r="868" spans="1:9" ht="14.25" customHeight="1" x14ac:dyDescent="0.35">
      <c r="A868" t="str">
        <f t="array" ref="A868">EXTRACTEVENT(Q868,S868)</f>
        <v/>
      </c>
      <c r="B868" t="str">
        <f t="shared" si="39"/>
        <v>-</v>
      </c>
      <c r="C868" t="e">
        <f>+VLOOKUP(R868,Maps!$A:$C,2,0)</f>
        <v>#N/A</v>
      </c>
      <c r="D868" t="e">
        <f t="shared" si="40"/>
        <v>#VALUE!</v>
      </c>
      <c r="E868" s="39" t="e">
        <f t="shared" si="41"/>
        <v>#VALUE!</v>
      </c>
      <c r="F868" s="7" t="str">
        <f t="array" ref="F868">+TIPOARMA(H868,I868)</f>
        <v>ERRO - REVISAR</v>
      </c>
      <c r="H868" t="str">
        <f t="array" ref="H868">+ARMASTD(N868)</f>
        <v>ERRO - REVISAR</v>
      </c>
      <c r="I868" t="str">
        <f t="array" ref="I868">+CALIBRESTD(O868)</f>
        <v>ERRO - REVISAR</v>
      </c>
    </row>
    <row r="869" spans="1:9" ht="14.25" customHeight="1" x14ac:dyDescent="0.35">
      <c r="A869" s="41" t="str">
        <f t="array" ref="A869">EXTRACTEVENT(Q869,S869)</f>
        <v/>
      </c>
      <c r="B869" s="41" t="str">
        <f t="shared" si="39"/>
        <v>-</v>
      </c>
      <c r="C869" s="41" t="e">
        <f>+VLOOKUP(R869,Maps!$A:$C,2,0)</f>
        <v>#N/A</v>
      </c>
      <c r="D869" s="41" t="e">
        <f t="shared" si="40"/>
        <v>#VALUE!</v>
      </c>
      <c r="E869" s="42" t="e">
        <f t="shared" si="41"/>
        <v>#VALUE!</v>
      </c>
      <c r="F869" s="43" t="str">
        <f t="array" ref="F869">+TIPOARMA(H869,I869)</f>
        <v>ERRO - REVISAR</v>
      </c>
      <c r="G869" s="41"/>
      <c r="H869" s="41" t="str">
        <f t="array" ref="H869">+ARMASTD(N869)</f>
        <v>ERRO - REVISAR</v>
      </c>
      <c r="I869" s="41" t="str">
        <f t="array" ref="I869">+CALIBRESTD(O869)</f>
        <v>ERRO - REVISAR</v>
      </c>
    </row>
    <row r="870" spans="1:9" ht="14.25" customHeight="1" x14ac:dyDescent="0.35">
      <c r="A870" t="str">
        <f t="array" ref="A870">EXTRACTEVENT(Q870,S870)</f>
        <v/>
      </c>
      <c r="B870" t="str">
        <f t="shared" si="39"/>
        <v>-</v>
      </c>
      <c r="C870" t="e">
        <f>+VLOOKUP(R870,Maps!$A:$C,2,0)</f>
        <v>#N/A</v>
      </c>
      <c r="D870" t="e">
        <f t="shared" si="40"/>
        <v>#VALUE!</v>
      </c>
      <c r="E870" s="39" t="e">
        <f t="shared" si="41"/>
        <v>#VALUE!</v>
      </c>
      <c r="F870" s="7" t="str">
        <f t="array" ref="F870">+TIPOARMA(H870,I870)</f>
        <v>ERRO - REVISAR</v>
      </c>
      <c r="H870" t="str">
        <f t="array" ref="H870">+ARMASTD(N870)</f>
        <v>ERRO - REVISAR</v>
      </c>
      <c r="I870" t="str">
        <f t="array" ref="I870">+CALIBRESTD(O870)</f>
        <v>ERRO - REVISAR</v>
      </c>
    </row>
    <row r="871" spans="1:9" ht="14.25" customHeight="1" x14ac:dyDescent="0.35">
      <c r="A871" s="41" t="str">
        <f t="array" ref="A871">EXTRACTEVENT(Q871,S871)</f>
        <v/>
      </c>
      <c r="B871" s="41" t="str">
        <f t="shared" si="39"/>
        <v>-</v>
      </c>
      <c r="C871" s="41" t="e">
        <f>+VLOOKUP(R871,Maps!$A:$C,2,0)</f>
        <v>#N/A</v>
      </c>
      <c r="D871" s="41" t="e">
        <f t="shared" si="40"/>
        <v>#VALUE!</v>
      </c>
      <c r="E871" s="42" t="e">
        <f t="shared" si="41"/>
        <v>#VALUE!</v>
      </c>
      <c r="F871" s="43" t="str">
        <f t="array" ref="F871">+TIPOARMA(H871,I871)</f>
        <v>ERRO - REVISAR</v>
      </c>
      <c r="G871" s="41"/>
      <c r="H871" s="41" t="str">
        <f t="array" ref="H871">+ARMASTD(N871)</f>
        <v>ERRO - REVISAR</v>
      </c>
      <c r="I871" s="41" t="str">
        <f t="array" ref="I871">+CALIBRESTD(O871)</f>
        <v>ERRO - REVISAR</v>
      </c>
    </row>
    <row r="872" spans="1:9" ht="14.25" customHeight="1" x14ac:dyDescent="0.35">
      <c r="A872" t="str">
        <f t="array" ref="A872">EXTRACTEVENT(Q872,S872)</f>
        <v/>
      </c>
      <c r="B872" t="str">
        <f t="shared" si="39"/>
        <v>-</v>
      </c>
      <c r="C872" t="e">
        <f>+VLOOKUP(R872,Maps!$A:$C,2,0)</f>
        <v>#N/A</v>
      </c>
      <c r="D872" t="e">
        <f t="shared" si="40"/>
        <v>#VALUE!</v>
      </c>
      <c r="E872" s="39" t="e">
        <f t="shared" si="41"/>
        <v>#VALUE!</v>
      </c>
      <c r="F872" s="7" t="str">
        <f t="array" ref="F872">+TIPOARMA(H872,I872)</f>
        <v>ERRO - REVISAR</v>
      </c>
      <c r="H872" t="str">
        <f t="array" ref="H872">+ARMASTD(N872)</f>
        <v>ERRO - REVISAR</v>
      </c>
      <c r="I872" t="str">
        <f t="array" ref="I872">+CALIBRESTD(O872)</f>
        <v>ERRO - REVISAR</v>
      </c>
    </row>
    <row r="873" spans="1:9" ht="14.25" customHeight="1" x14ac:dyDescent="0.35">
      <c r="A873" s="41" t="str">
        <f t="array" ref="A873">EXTRACTEVENT(Q873,S873)</f>
        <v/>
      </c>
      <c r="B873" s="41" t="str">
        <f t="shared" si="39"/>
        <v>-</v>
      </c>
      <c r="C873" s="41" t="e">
        <f>+VLOOKUP(R873,Maps!$A:$C,2,0)</f>
        <v>#N/A</v>
      </c>
      <c r="D873" s="41" t="e">
        <f t="shared" si="40"/>
        <v>#VALUE!</v>
      </c>
      <c r="E873" s="42" t="e">
        <f t="shared" si="41"/>
        <v>#VALUE!</v>
      </c>
      <c r="F873" s="43" t="str">
        <f t="array" ref="F873">+TIPOARMA(H873,I873)</f>
        <v>ERRO - REVISAR</v>
      </c>
      <c r="G873" s="41"/>
      <c r="H873" s="41" t="str">
        <f t="array" ref="H873">+ARMASTD(N873)</f>
        <v>ERRO - REVISAR</v>
      </c>
      <c r="I873" s="41" t="str">
        <f t="array" ref="I873">+CALIBRESTD(O873)</f>
        <v>ERRO - REVISAR</v>
      </c>
    </row>
    <row r="874" spans="1:9" ht="14.25" customHeight="1" x14ac:dyDescent="0.35">
      <c r="A874" t="str">
        <f t="array" ref="A874">EXTRACTEVENT(Q874,S874)</f>
        <v/>
      </c>
      <c r="B874" t="str">
        <f t="shared" si="39"/>
        <v>-</v>
      </c>
      <c r="C874" t="e">
        <f>+VLOOKUP(R874,Maps!$A:$C,2,0)</f>
        <v>#N/A</v>
      </c>
      <c r="D874" t="e">
        <f t="shared" si="40"/>
        <v>#VALUE!</v>
      </c>
      <c r="E874" s="39" t="e">
        <f t="shared" si="41"/>
        <v>#VALUE!</v>
      </c>
      <c r="F874" s="7" t="str">
        <f t="array" ref="F874">+TIPOARMA(H874,I874)</f>
        <v>ERRO - REVISAR</v>
      </c>
      <c r="H874" t="str">
        <f t="array" ref="H874">+ARMASTD(N874)</f>
        <v>ERRO - REVISAR</v>
      </c>
      <c r="I874" t="str">
        <f t="array" ref="I874">+CALIBRESTD(O874)</f>
        <v>ERRO - REVISAR</v>
      </c>
    </row>
    <row r="875" spans="1:9" ht="14.25" customHeight="1" x14ac:dyDescent="0.35">
      <c r="A875" s="41" t="str">
        <f t="array" ref="A875">EXTRACTEVENT(Q875,S875)</f>
        <v/>
      </c>
      <c r="B875" s="41" t="str">
        <f t="shared" si="39"/>
        <v>-</v>
      </c>
      <c r="C875" s="41" t="e">
        <f>+VLOOKUP(R875,Maps!$A:$C,2,0)</f>
        <v>#N/A</v>
      </c>
      <c r="D875" s="41" t="e">
        <f t="shared" si="40"/>
        <v>#VALUE!</v>
      </c>
      <c r="E875" s="42" t="e">
        <f t="shared" si="41"/>
        <v>#VALUE!</v>
      </c>
      <c r="F875" s="43" t="str">
        <f t="array" ref="F875">+TIPOARMA(H875,I875)</f>
        <v>ERRO - REVISAR</v>
      </c>
      <c r="G875" s="41"/>
      <c r="H875" s="41" t="str">
        <f t="array" ref="H875">+ARMASTD(N875)</f>
        <v>ERRO - REVISAR</v>
      </c>
      <c r="I875" s="41" t="str">
        <f t="array" ref="I875">+CALIBRESTD(O875)</f>
        <v>ERRO - REVISAR</v>
      </c>
    </row>
    <row r="876" spans="1:9" ht="14.25" customHeight="1" x14ac:dyDescent="0.35">
      <c r="A876" t="str">
        <f t="array" ref="A876">EXTRACTEVENT(Q876,S876)</f>
        <v/>
      </c>
      <c r="B876" t="str">
        <f t="shared" si="39"/>
        <v>-</v>
      </c>
      <c r="C876" t="e">
        <f>+VLOOKUP(R876,Maps!$A:$C,2,0)</f>
        <v>#N/A</v>
      </c>
      <c r="D876" t="e">
        <f t="shared" si="40"/>
        <v>#VALUE!</v>
      </c>
      <c r="E876" s="39" t="e">
        <f t="shared" si="41"/>
        <v>#VALUE!</v>
      </c>
      <c r="F876" s="7" t="str">
        <f t="array" ref="F876">+TIPOARMA(H876,I876)</f>
        <v>ERRO - REVISAR</v>
      </c>
      <c r="H876" t="str">
        <f t="array" ref="H876">+ARMASTD(N876)</f>
        <v>ERRO - REVISAR</v>
      </c>
      <c r="I876" t="str">
        <f t="array" ref="I876">+CALIBRESTD(O876)</f>
        <v>ERRO - REVISAR</v>
      </c>
    </row>
    <row r="877" spans="1:9" ht="14.25" customHeight="1" x14ac:dyDescent="0.35">
      <c r="A877" s="41" t="str">
        <f t="array" ref="A877">EXTRACTEVENT(Q877,S877)</f>
        <v/>
      </c>
      <c r="B877" s="41" t="str">
        <f t="shared" si="39"/>
        <v>-</v>
      </c>
      <c r="C877" s="41" t="e">
        <f>+VLOOKUP(R877,Maps!$A:$C,2,0)</f>
        <v>#N/A</v>
      </c>
      <c r="D877" s="41" t="e">
        <f t="shared" si="40"/>
        <v>#VALUE!</v>
      </c>
      <c r="E877" s="42" t="e">
        <f t="shared" si="41"/>
        <v>#VALUE!</v>
      </c>
      <c r="F877" s="43" t="str">
        <f t="array" ref="F877">+TIPOARMA(H877,I877)</f>
        <v>ERRO - REVISAR</v>
      </c>
      <c r="G877" s="41"/>
      <c r="H877" s="41" t="str">
        <f t="array" ref="H877">+ARMASTD(N877)</f>
        <v>ERRO - REVISAR</v>
      </c>
      <c r="I877" s="41" t="str">
        <f t="array" ref="I877">+CALIBRESTD(O877)</f>
        <v>ERRO - REVISAR</v>
      </c>
    </row>
    <row r="878" spans="1:9" ht="14.25" customHeight="1" x14ac:dyDescent="0.35">
      <c r="A878" t="str">
        <f t="array" ref="A878">EXTRACTEVENT(Q878,S878)</f>
        <v/>
      </c>
      <c r="B878" t="str">
        <f t="shared" si="39"/>
        <v>-</v>
      </c>
      <c r="C878" t="e">
        <f>+VLOOKUP(R878,Maps!$A:$C,2,0)</f>
        <v>#N/A</v>
      </c>
      <c r="D878" t="e">
        <f t="shared" si="40"/>
        <v>#VALUE!</v>
      </c>
      <c r="E878" s="39" t="e">
        <f t="shared" si="41"/>
        <v>#VALUE!</v>
      </c>
      <c r="F878" s="7" t="str">
        <f t="array" ref="F878">+TIPOARMA(H878,I878)</f>
        <v>ERRO - REVISAR</v>
      </c>
      <c r="H878" t="str">
        <f t="array" ref="H878">+ARMASTD(N878)</f>
        <v>ERRO - REVISAR</v>
      </c>
      <c r="I878" t="str">
        <f t="array" ref="I878">+CALIBRESTD(O878)</f>
        <v>ERRO - REVISAR</v>
      </c>
    </row>
    <row r="879" spans="1:9" ht="14.25" customHeight="1" x14ac:dyDescent="0.35">
      <c r="A879" s="41" t="str">
        <f t="array" ref="A879">EXTRACTEVENT(Q879,S879)</f>
        <v/>
      </c>
      <c r="B879" s="41" t="str">
        <f t="shared" si="39"/>
        <v>-</v>
      </c>
      <c r="C879" s="41" t="e">
        <f>+VLOOKUP(R879,Maps!$A:$C,2,0)</f>
        <v>#N/A</v>
      </c>
      <c r="D879" s="41" t="e">
        <f t="shared" si="40"/>
        <v>#VALUE!</v>
      </c>
      <c r="E879" s="42" t="e">
        <f t="shared" si="41"/>
        <v>#VALUE!</v>
      </c>
      <c r="F879" s="43" t="str">
        <f t="array" ref="F879">+TIPOARMA(H879,I879)</f>
        <v>ERRO - REVISAR</v>
      </c>
      <c r="G879" s="41"/>
      <c r="H879" s="41" t="str">
        <f t="array" ref="H879">+ARMASTD(N879)</f>
        <v>ERRO - REVISAR</v>
      </c>
      <c r="I879" s="41" t="str">
        <f t="array" ref="I879">+CALIBRESTD(O879)</f>
        <v>ERRO - REVISAR</v>
      </c>
    </row>
    <row r="880" spans="1:9" ht="14.25" customHeight="1" x14ac:dyDescent="0.35">
      <c r="A880" t="str">
        <f t="array" ref="A880">EXTRACTEVENT(Q880,S880)</f>
        <v/>
      </c>
      <c r="B880" t="str">
        <f t="shared" si="39"/>
        <v>-</v>
      </c>
      <c r="C880" t="e">
        <f>+VLOOKUP(R880,Maps!$A:$C,2,0)</f>
        <v>#N/A</v>
      </c>
      <c r="D880" t="e">
        <f t="shared" si="40"/>
        <v>#VALUE!</v>
      </c>
      <c r="E880" s="39" t="e">
        <f t="shared" si="41"/>
        <v>#VALUE!</v>
      </c>
      <c r="F880" s="7" t="str">
        <f t="array" ref="F880">+TIPOARMA(H880,I880)</f>
        <v>ERRO - REVISAR</v>
      </c>
      <c r="H880" t="str">
        <f t="array" ref="H880">+ARMASTD(N880)</f>
        <v>ERRO - REVISAR</v>
      </c>
      <c r="I880" t="str">
        <f t="array" ref="I880">+CALIBRESTD(O880)</f>
        <v>ERRO - REVISAR</v>
      </c>
    </row>
    <row r="881" spans="1:9" ht="14.25" customHeight="1" x14ac:dyDescent="0.35">
      <c r="A881" s="41" t="str">
        <f t="array" ref="A881">EXTRACTEVENT(Q881,S881)</f>
        <v/>
      </c>
      <c r="B881" s="41" t="str">
        <f t="shared" si="39"/>
        <v>-</v>
      </c>
      <c r="C881" s="41" t="e">
        <f>+VLOOKUP(R881,Maps!$A:$C,2,0)</f>
        <v>#N/A</v>
      </c>
      <c r="D881" s="41" t="e">
        <f t="shared" si="40"/>
        <v>#VALUE!</v>
      </c>
      <c r="E881" s="42" t="e">
        <f t="shared" si="41"/>
        <v>#VALUE!</v>
      </c>
      <c r="F881" s="43" t="str">
        <f t="array" ref="F881">+TIPOARMA(H881,I881)</f>
        <v>ERRO - REVISAR</v>
      </c>
      <c r="G881" s="41"/>
      <c r="H881" s="41" t="str">
        <f t="array" ref="H881">+ARMASTD(N881)</f>
        <v>ERRO - REVISAR</v>
      </c>
      <c r="I881" s="41" t="str">
        <f t="array" ref="I881">+CALIBRESTD(O881)</f>
        <v>ERRO - REVISAR</v>
      </c>
    </row>
    <row r="882" spans="1:9" ht="14.25" customHeight="1" x14ac:dyDescent="0.35">
      <c r="A882" t="str">
        <f t="array" ref="A882">EXTRACTEVENT(Q882,S882)</f>
        <v/>
      </c>
      <c r="B882" t="str">
        <f t="shared" si="39"/>
        <v>-</v>
      </c>
      <c r="C882" t="e">
        <f>+VLOOKUP(R882,Maps!$A:$C,2,0)</f>
        <v>#N/A</v>
      </c>
      <c r="D882" t="e">
        <f t="shared" si="40"/>
        <v>#VALUE!</v>
      </c>
      <c r="E882" s="39" t="e">
        <f t="shared" si="41"/>
        <v>#VALUE!</v>
      </c>
      <c r="F882" s="7" t="str">
        <f t="array" ref="F882">+TIPOARMA(H882,I882)</f>
        <v>ERRO - REVISAR</v>
      </c>
      <c r="H882" t="str">
        <f t="array" ref="H882">+ARMASTD(N882)</f>
        <v>ERRO - REVISAR</v>
      </c>
      <c r="I882" t="str">
        <f t="array" ref="I882">+CALIBRESTD(O882)</f>
        <v>ERRO - REVISAR</v>
      </c>
    </row>
    <row r="883" spans="1:9" ht="14.25" customHeight="1" x14ac:dyDescent="0.35">
      <c r="A883" s="41" t="str">
        <f t="array" ref="A883">EXTRACTEVENT(Q883,S883)</f>
        <v/>
      </c>
      <c r="B883" s="41" t="str">
        <f t="shared" si="39"/>
        <v>-</v>
      </c>
      <c r="C883" s="41" t="e">
        <f>+VLOOKUP(R883,Maps!$A:$C,2,0)</f>
        <v>#N/A</v>
      </c>
      <c r="D883" s="41" t="e">
        <f t="shared" si="40"/>
        <v>#VALUE!</v>
      </c>
      <c r="E883" s="42" t="e">
        <f t="shared" si="41"/>
        <v>#VALUE!</v>
      </c>
      <c r="F883" s="43" t="str">
        <f t="array" ref="F883">+TIPOARMA(H883,I883)</f>
        <v>ERRO - REVISAR</v>
      </c>
      <c r="G883" s="41"/>
      <c r="H883" s="41" t="str">
        <f t="array" ref="H883">+ARMASTD(N883)</f>
        <v>ERRO - REVISAR</v>
      </c>
      <c r="I883" s="41" t="str">
        <f t="array" ref="I883">+CALIBRESTD(O883)</f>
        <v>ERRO - REVISAR</v>
      </c>
    </row>
    <row r="884" spans="1:9" ht="14.25" customHeight="1" x14ac:dyDescent="0.35">
      <c r="A884" t="str">
        <f t="array" ref="A884">EXTRACTEVENT(Q884,S884)</f>
        <v/>
      </c>
      <c r="B884" t="str">
        <f t="shared" si="39"/>
        <v>-</v>
      </c>
      <c r="C884" t="e">
        <f>+VLOOKUP(R884,Maps!$A:$C,2,0)</f>
        <v>#N/A</v>
      </c>
      <c r="D884" t="e">
        <f t="shared" si="40"/>
        <v>#VALUE!</v>
      </c>
      <c r="E884" s="39" t="e">
        <f t="shared" si="41"/>
        <v>#VALUE!</v>
      </c>
      <c r="F884" s="7" t="str">
        <f t="array" ref="F884">+TIPOARMA(H884,I884)</f>
        <v>ERRO - REVISAR</v>
      </c>
      <c r="H884" t="str">
        <f t="array" ref="H884">+ARMASTD(N884)</f>
        <v>ERRO - REVISAR</v>
      </c>
      <c r="I884" t="str">
        <f t="array" ref="I884">+CALIBRESTD(O884)</f>
        <v>ERRO - REVISAR</v>
      </c>
    </row>
    <row r="885" spans="1:9" ht="14.25" customHeight="1" x14ac:dyDescent="0.35">
      <c r="A885" s="41" t="str">
        <f t="array" ref="A885">EXTRACTEVENT(Q885,S885)</f>
        <v/>
      </c>
      <c r="B885" s="41" t="str">
        <f t="shared" si="39"/>
        <v>-</v>
      </c>
      <c r="C885" s="41" t="e">
        <f>+VLOOKUP(R885,Maps!$A:$C,2,0)</f>
        <v>#N/A</v>
      </c>
      <c r="D885" s="41" t="e">
        <f t="shared" si="40"/>
        <v>#VALUE!</v>
      </c>
      <c r="E885" s="42" t="e">
        <f t="shared" si="41"/>
        <v>#VALUE!</v>
      </c>
      <c r="F885" s="43" t="str">
        <f t="array" ref="F885">+TIPOARMA(H885,I885)</f>
        <v>ERRO - REVISAR</v>
      </c>
      <c r="G885" s="41"/>
      <c r="H885" s="41" t="str">
        <f t="array" ref="H885">+ARMASTD(N885)</f>
        <v>ERRO - REVISAR</v>
      </c>
      <c r="I885" s="41" t="str">
        <f t="array" ref="I885">+CALIBRESTD(O885)</f>
        <v>ERRO - REVISAR</v>
      </c>
    </row>
    <row r="886" spans="1:9" ht="14.25" customHeight="1" x14ac:dyDescent="0.35">
      <c r="A886" t="str">
        <f t="array" ref="A886">EXTRACTEVENT(Q886,S886)</f>
        <v/>
      </c>
      <c r="B886" t="str">
        <f t="shared" si="39"/>
        <v>-</v>
      </c>
      <c r="C886" t="e">
        <f>+VLOOKUP(R886,Maps!$A:$C,2,0)</f>
        <v>#N/A</v>
      </c>
      <c r="D886" t="e">
        <f t="shared" si="40"/>
        <v>#VALUE!</v>
      </c>
      <c r="E886" s="39" t="e">
        <f t="shared" si="41"/>
        <v>#VALUE!</v>
      </c>
      <c r="F886" s="7" t="str">
        <f t="array" ref="F886">+TIPOARMA(H886,I886)</f>
        <v>ERRO - REVISAR</v>
      </c>
      <c r="H886" t="str">
        <f t="array" ref="H886">+ARMASTD(N886)</f>
        <v>ERRO - REVISAR</v>
      </c>
      <c r="I886" t="str">
        <f t="array" ref="I886">+CALIBRESTD(O886)</f>
        <v>ERRO - REVISAR</v>
      </c>
    </row>
    <row r="887" spans="1:9" ht="14.25" customHeight="1" x14ac:dyDescent="0.35">
      <c r="A887" s="41" t="str">
        <f t="array" ref="A887">EXTRACTEVENT(Q887,S887)</f>
        <v/>
      </c>
      <c r="B887" s="41" t="str">
        <f t="shared" si="39"/>
        <v>-</v>
      </c>
      <c r="C887" s="41" t="e">
        <f>+VLOOKUP(R887,Maps!$A:$C,2,0)</f>
        <v>#N/A</v>
      </c>
      <c r="D887" s="41" t="e">
        <f t="shared" si="40"/>
        <v>#VALUE!</v>
      </c>
      <c r="E887" s="42" t="e">
        <f t="shared" si="41"/>
        <v>#VALUE!</v>
      </c>
      <c r="F887" s="43" t="str">
        <f t="array" ref="F887">+TIPOARMA(H887,I887)</f>
        <v>ERRO - REVISAR</v>
      </c>
      <c r="G887" s="41"/>
      <c r="H887" s="41" t="str">
        <f t="array" ref="H887">+ARMASTD(N887)</f>
        <v>ERRO - REVISAR</v>
      </c>
      <c r="I887" s="41" t="str">
        <f t="array" ref="I887">+CALIBRESTD(O887)</f>
        <v>ERRO - REVISAR</v>
      </c>
    </row>
    <row r="888" spans="1:9" ht="14.25" customHeight="1" x14ac:dyDescent="0.35">
      <c r="A888" t="str">
        <f t="array" ref="A888">EXTRACTEVENT(Q888,S888)</f>
        <v/>
      </c>
      <c r="B888" t="str">
        <f t="shared" si="39"/>
        <v>-</v>
      </c>
      <c r="C888" t="e">
        <f>+VLOOKUP(R888,Maps!$A:$C,2,0)</f>
        <v>#N/A</v>
      </c>
      <c r="D888" t="e">
        <f t="shared" si="40"/>
        <v>#VALUE!</v>
      </c>
      <c r="E888" s="39" t="e">
        <f t="shared" si="41"/>
        <v>#VALUE!</v>
      </c>
      <c r="F888" s="7" t="str">
        <f t="array" ref="F888">+TIPOARMA(H888,I888)</f>
        <v>ERRO - REVISAR</v>
      </c>
      <c r="H888" t="str">
        <f t="array" ref="H888">+ARMASTD(N888)</f>
        <v>ERRO - REVISAR</v>
      </c>
      <c r="I888" t="str">
        <f t="array" ref="I888">+CALIBRESTD(O888)</f>
        <v>ERRO - REVISAR</v>
      </c>
    </row>
    <row r="889" spans="1:9" ht="14.25" customHeight="1" x14ac:dyDescent="0.35">
      <c r="A889" s="41" t="str">
        <f t="array" ref="A889">EXTRACTEVENT(Q889,S889)</f>
        <v/>
      </c>
      <c r="B889" s="41" t="str">
        <f t="shared" si="39"/>
        <v>-</v>
      </c>
      <c r="C889" s="41" t="e">
        <f>+VLOOKUP(R889,Maps!$A:$C,2,0)</f>
        <v>#N/A</v>
      </c>
      <c r="D889" s="41" t="e">
        <f t="shared" si="40"/>
        <v>#VALUE!</v>
      </c>
      <c r="E889" s="42" t="e">
        <f t="shared" si="41"/>
        <v>#VALUE!</v>
      </c>
      <c r="F889" s="43" t="str">
        <f t="array" ref="F889">+TIPOARMA(H889,I889)</f>
        <v>ERRO - REVISAR</v>
      </c>
      <c r="G889" s="41"/>
      <c r="H889" s="41" t="str">
        <f t="array" ref="H889">+ARMASTD(N889)</f>
        <v>ERRO - REVISAR</v>
      </c>
      <c r="I889" s="41" t="str">
        <f t="array" ref="I889">+CALIBRESTD(O889)</f>
        <v>ERRO - REVISAR</v>
      </c>
    </row>
    <row r="890" spans="1:9" ht="14.25" customHeight="1" x14ac:dyDescent="0.35">
      <c r="A890" t="str">
        <f t="array" ref="A890">EXTRACTEVENT(Q890,S890)</f>
        <v/>
      </c>
      <c r="B890" t="str">
        <f t="shared" si="39"/>
        <v>-</v>
      </c>
      <c r="C890" t="e">
        <f>+VLOOKUP(R890,Maps!$A:$C,2,0)</f>
        <v>#N/A</v>
      </c>
      <c r="D890" t="e">
        <f t="shared" si="40"/>
        <v>#VALUE!</v>
      </c>
      <c r="E890" s="39" t="e">
        <f t="shared" si="41"/>
        <v>#VALUE!</v>
      </c>
      <c r="F890" s="7" t="str">
        <f t="array" ref="F890">+TIPOARMA(H890,I890)</f>
        <v>ERRO - REVISAR</v>
      </c>
      <c r="H890" t="str">
        <f t="array" ref="H890">+ARMASTD(N890)</f>
        <v>ERRO - REVISAR</v>
      </c>
      <c r="I890" t="str">
        <f t="array" ref="I890">+CALIBRESTD(O890)</f>
        <v>ERRO - REVISAR</v>
      </c>
    </row>
    <row r="891" spans="1:9" ht="14.25" customHeight="1" x14ac:dyDescent="0.35">
      <c r="A891" s="41" t="str">
        <f t="array" ref="A891">EXTRACTEVENT(Q891,S891)</f>
        <v/>
      </c>
      <c r="B891" s="41" t="str">
        <f t="shared" si="39"/>
        <v>-</v>
      </c>
      <c r="C891" s="41" t="e">
        <f>+VLOOKUP(R891,Maps!$A:$C,2,0)</f>
        <v>#N/A</v>
      </c>
      <c r="D891" s="41" t="e">
        <f t="shared" si="40"/>
        <v>#VALUE!</v>
      </c>
      <c r="E891" s="42" t="e">
        <f t="shared" si="41"/>
        <v>#VALUE!</v>
      </c>
      <c r="F891" s="43" t="str">
        <f t="array" ref="F891">+TIPOARMA(H891,I891)</f>
        <v>ERRO - REVISAR</v>
      </c>
      <c r="G891" s="41"/>
      <c r="H891" s="41" t="str">
        <f t="array" ref="H891">+ARMASTD(N891)</f>
        <v>ERRO - REVISAR</v>
      </c>
      <c r="I891" s="41" t="str">
        <f t="array" ref="I891">+CALIBRESTD(O891)</f>
        <v>ERRO - REVISAR</v>
      </c>
    </row>
    <row r="892" spans="1:9" ht="14.25" customHeight="1" x14ac:dyDescent="0.35">
      <c r="A892" t="str">
        <f t="array" ref="A892">EXTRACTEVENT(Q892,S892)</f>
        <v/>
      </c>
      <c r="B892" t="str">
        <f t="shared" si="39"/>
        <v>-</v>
      </c>
      <c r="C892" t="e">
        <f>+VLOOKUP(R892,Maps!$A:$C,2,0)</f>
        <v>#N/A</v>
      </c>
      <c r="D892" t="e">
        <f t="shared" si="40"/>
        <v>#VALUE!</v>
      </c>
      <c r="E892" s="39" t="e">
        <f t="shared" si="41"/>
        <v>#VALUE!</v>
      </c>
      <c r="F892" s="7" t="str">
        <f t="array" ref="F892">+TIPOARMA(H892,I892)</f>
        <v>ERRO - REVISAR</v>
      </c>
      <c r="H892" t="str">
        <f t="array" ref="H892">+ARMASTD(N892)</f>
        <v>ERRO - REVISAR</v>
      </c>
      <c r="I892" t="str">
        <f t="array" ref="I892">+CALIBRESTD(O892)</f>
        <v>ERRO - REVISAR</v>
      </c>
    </row>
    <row r="893" spans="1:9" ht="14.25" customHeight="1" x14ac:dyDescent="0.35">
      <c r="A893" s="41" t="str">
        <f t="array" ref="A893">EXTRACTEVENT(Q893,S893)</f>
        <v/>
      </c>
      <c r="B893" s="41" t="str">
        <f t="shared" si="39"/>
        <v>-</v>
      </c>
      <c r="C893" s="41" t="e">
        <f>+VLOOKUP(R893,Maps!$A:$C,2,0)</f>
        <v>#N/A</v>
      </c>
      <c r="D893" s="41" t="e">
        <f t="shared" si="40"/>
        <v>#VALUE!</v>
      </c>
      <c r="E893" s="42" t="e">
        <f t="shared" si="41"/>
        <v>#VALUE!</v>
      </c>
      <c r="F893" s="43" t="str">
        <f t="array" ref="F893">+TIPOARMA(H893,I893)</f>
        <v>ERRO - REVISAR</v>
      </c>
      <c r="G893" s="41"/>
      <c r="H893" s="41" t="str">
        <f t="array" ref="H893">+ARMASTD(N893)</f>
        <v>ERRO - REVISAR</v>
      </c>
      <c r="I893" s="41" t="str">
        <f t="array" ref="I893">+CALIBRESTD(O893)</f>
        <v>ERRO - REVISAR</v>
      </c>
    </row>
    <row r="894" spans="1:9" ht="14.25" customHeight="1" x14ac:dyDescent="0.35">
      <c r="A894" t="str">
        <f t="array" ref="A894">EXTRACTEVENT(Q894,S894)</f>
        <v/>
      </c>
      <c r="B894" t="str">
        <f t="shared" si="39"/>
        <v>-</v>
      </c>
      <c r="C894" t="e">
        <f>+VLOOKUP(R894,Maps!$A:$C,2,0)</f>
        <v>#N/A</v>
      </c>
      <c r="D894" t="e">
        <f t="shared" si="40"/>
        <v>#VALUE!</v>
      </c>
      <c r="E894" s="39" t="e">
        <f t="shared" si="41"/>
        <v>#VALUE!</v>
      </c>
      <c r="F894" s="7" t="str">
        <f t="array" ref="F894">+TIPOARMA(H894,I894)</f>
        <v>ERRO - REVISAR</v>
      </c>
      <c r="H894" t="str">
        <f t="array" ref="H894">+ARMASTD(N894)</f>
        <v>ERRO - REVISAR</v>
      </c>
      <c r="I894" t="str">
        <f t="array" ref="I894">+CALIBRESTD(O894)</f>
        <v>ERRO - REVISAR</v>
      </c>
    </row>
    <row r="895" spans="1:9" ht="14.25" customHeight="1" x14ac:dyDescent="0.35">
      <c r="A895" s="41" t="str">
        <f t="array" ref="A895">EXTRACTEVENT(Q895,S895)</f>
        <v/>
      </c>
      <c r="B895" s="41" t="str">
        <f t="shared" si="39"/>
        <v>-</v>
      </c>
      <c r="C895" s="41" t="e">
        <f>+VLOOKUP(R895,Maps!$A:$C,2,0)</f>
        <v>#N/A</v>
      </c>
      <c r="D895" s="41" t="e">
        <f t="shared" si="40"/>
        <v>#VALUE!</v>
      </c>
      <c r="E895" s="42" t="e">
        <f t="shared" si="41"/>
        <v>#VALUE!</v>
      </c>
      <c r="F895" s="43" t="str">
        <f t="array" ref="F895">+TIPOARMA(H895,I895)</f>
        <v>ERRO - REVISAR</v>
      </c>
      <c r="G895" s="41"/>
      <c r="H895" s="41" t="str">
        <f t="array" ref="H895">+ARMASTD(N895)</f>
        <v>ERRO - REVISAR</v>
      </c>
      <c r="I895" s="41" t="str">
        <f t="array" ref="I895">+CALIBRESTD(O895)</f>
        <v>ERRO - REVISAR</v>
      </c>
    </row>
    <row r="896" spans="1:9" ht="14.25" customHeight="1" x14ac:dyDescent="0.35">
      <c r="A896" t="str">
        <f t="array" ref="A896">EXTRACTEVENT(Q896,S896)</f>
        <v/>
      </c>
      <c r="B896" t="str">
        <f t="shared" si="39"/>
        <v>-</v>
      </c>
      <c r="C896" t="e">
        <f>+VLOOKUP(R896,Maps!$A:$C,2,0)</f>
        <v>#N/A</v>
      </c>
      <c r="D896" t="e">
        <f t="shared" si="40"/>
        <v>#VALUE!</v>
      </c>
      <c r="E896" s="39" t="e">
        <f t="shared" si="41"/>
        <v>#VALUE!</v>
      </c>
      <c r="F896" s="7" t="str">
        <f t="array" ref="F896">+TIPOARMA(H896,I896)</f>
        <v>ERRO - REVISAR</v>
      </c>
      <c r="H896" t="str">
        <f t="array" ref="H896">+ARMASTD(N896)</f>
        <v>ERRO - REVISAR</v>
      </c>
      <c r="I896" t="str">
        <f t="array" ref="I896">+CALIBRESTD(O896)</f>
        <v>ERRO - REVISAR</v>
      </c>
    </row>
    <row r="897" spans="1:9" ht="14.25" customHeight="1" x14ac:dyDescent="0.35">
      <c r="A897" s="41" t="str">
        <f t="array" ref="A897">EXTRACTEVENT(Q897,S897)</f>
        <v/>
      </c>
      <c r="B897" s="41" t="str">
        <f t="shared" si="39"/>
        <v>-</v>
      </c>
      <c r="C897" s="41" t="e">
        <f>+VLOOKUP(R897,Maps!$A:$C,2,0)</f>
        <v>#N/A</v>
      </c>
      <c r="D897" s="41" t="e">
        <f t="shared" si="40"/>
        <v>#VALUE!</v>
      </c>
      <c r="E897" s="42" t="e">
        <f t="shared" si="41"/>
        <v>#VALUE!</v>
      </c>
      <c r="F897" s="43" t="str">
        <f t="array" ref="F897">+TIPOARMA(H897,I897)</f>
        <v>ERRO - REVISAR</v>
      </c>
      <c r="G897" s="41"/>
      <c r="H897" s="41" t="str">
        <f t="array" ref="H897">+ARMASTD(N897)</f>
        <v>ERRO - REVISAR</v>
      </c>
      <c r="I897" s="41" t="str">
        <f t="array" ref="I897">+CALIBRESTD(O897)</f>
        <v>ERRO - REVISAR</v>
      </c>
    </row>
    <row r="898" spans="1:9" ht="14.25" customHeight="1" x14ac:dyDescent="0.35">
      <c r="A898" t="str">
        <f t="array" ref="A898">EXTRACTEVENT(Q898,S898)</f>
        <v/>
      </c>
      <c r="B898" t="str">
        <f t="shared" ref="B898:B961" si="42">+EXTRACTETAPANUM(Q898)</f>
        <v>-</v>
      </c>
      <c r="C898" t="e">
        <f>+VLOOKUP(R898,Maps!$A:$C,2,0)</f>
        <v>#N/A</v>
      </c>
      <c r="D898" t="e">
        <f t="shared" ref="D898:D961" si="43">+DEFINEAMBITO(Q898,C898)</f>
        <v>#VALUE!</v>
      </c>
      <c r="E898" s="39" t="e">
        <f t="shared" ref="E898:E961" si="44">DATEVALUE(L898)</f>
        <v>#VALUE!</v>
      </c>
      <c r="F898" s="7" t="str">
        <f t="array" ref="F898">+TIPOARMA(H898,I898)</f>
        <v>ERRO - REVISAR</v>
      </c>
      <c r="H898" t="str">
        <f t="array" ref="H898">+ARMASTD(N898)</f>
        <v>ERRO - REVISAR</v>
      </c>
      <c r="I898" t="str">
        <f t="array" ref="I898">+CALIBRESTD(O898)</f>
        <v>ERRO - REVISAR</v>
      </c>
    </row>
    <row r="899" spans="1:9" ht="14.25" customHeight="1" x14ac:dyDescent="0.35">
      <c r="A899" s="41" t="str">
        <f t="array" ref="A899">EXTRACTEVENT(Q899,S899)</f>
        <v/>
      </c>
      <c r="B899" s="41" t="str">
        <f t="shared" si="42"/>
        <v>-</v>
      </c>
      <c r="C899" s="41" t="e">
        <f>+VLOOKUP(R899,Maps!$A:$C,2,0)</f>
        <v>#N/A</v>
      </c>
      <c r="D899" s="41" t="e">
        <f t="shared" si="43"/>
        <v>#VALUE!</v>
      </c>
      <c r="E899" s="42" t="e">
        <f t="shared" si="44"/>
        <v>#VALUE!</v>
      </c>
      <c r="F899" s="43" t="str">
        <f t="array" ref="F899">+TIPOARMA(H899,I899)</f>
        <v>ERRO - REVISAR</v>
      </c>
      <c r="G899" s="41"/>
      <c r="H899" s="41" t="str">
        <f t="array" ref="H899">+ARMASTD(N899)</f>
        <v>ERRO - REVISAR</v>
      </c>
      <c r="I899" s="41" t="str">
        <f t="array" ref="I899">+CALIBRESTD(O899)</f>
        <v>ERRO - REVISAR</v>
      </c>
    </row>
    <row r="900" spans="1:9" ht="14.25" customHeight="1" x14ac:dyDescent="0.35">
      <c r="A900" t="str">
        <f t="array" ref="A900">EXTRACTEVENT(Q900,S900)</f>
        <v/>
      </c>
      <c r="B900" t="str">
        <f t="shared" si="42"/>
        <v>-</v>
      </c>
      <c r="C900" t="e">
        <f>+VLOOKUP(R900,Maps!$A:$C,2,0)</f>
        <v>#N/A</v>
      </c>
      <c r="D900" t="e">
        <f t="shared" si="43"/>
        <v>#VALUE!</v>
      </c>
      <c r="E900" s="39" t="e">
        <f t="shared" si="44"/>
        <v>#VALUE!</v>
      </c>
      <c r="F900" s="7" t="str">
        <f t="array" ref="F900">+TIPOARMA(H900,I900)</f>
        <v>ERRO - REVISAR</v>
      </c>
      <c r="H900" t="str">
        <f t="array" ref="H900">+ARMASTD(N900)</f>
        <v>ERRO - REVISAR</v>
      </c>
      <c r="I900" t="str">
        <f t="array" ref="I900">+CALIBRESTD(O900)</f>
        <v>ERRO - REVISAR</v>
      </c>
    </row>
    <row r="901" spans="1:9" ht="14.25" customHeight="1" x14ac:dyDescent="0.35">
      <c r="A901" s="41" t="str">
        <f t="array" ref="A901">EXTRACTEVENT(Q901,S901)</f>
        <v/>
      </c>
      <c r="B901" s="41" t="str">
        <f t="shared" si="42"/>
        <v>-</v>
      </c>
      <c r="C901" s="41" t="e">
        <f>+VLOOKUP(R901,Maps!$A:$C,2,0)</f>
        <v>#N/A</v>
      </c>
      <c r="D901" s="41" t="e">
        <f t="shared" si="43"/>
        <v>#VALUE!</v>
      </c>
      <c r="E901" s="42" t="e">
        <f t="shared" si="44"/>
        <v>#VALUE!</v>
      </c>
      <c r="F901" s="43" t="str">
        <f t="array" ref="F901">+TIPOARMA(H901,I901)</f>
        <v>ERRO - REVISAR</v>
      </c>
      <c r="G901" s="41"/>
      <c r="H901" s="41" t="str">
        <f t="array" ref="H901">+ARMASTD(N901)</f>
        <v>ERRO - REVISAR</v>
      </c>
      <c r="I901" s="41" t="str">
        <f t="array" ref="I901">+CALIBRESTD(O901)</f>
        <v>ERRO - REVISAR</v>
      </c>
    </row>
    <row r="902" spans="1:9" ht="14.25" customHeight="1" x14ac:dyDescent="0.35">
      <c r="A902" t="str">
        <f t="array" ref="A902">EXTRACTEVENT(Q902,S902)</f>
        <v/>
      </c>
      <c r="B902" t="str">
        <f t="shared" si="42"/>
        <v>-</v>
      </c>
      <c r="C902" t="e">
        <f>+VLOOKUP(R902,Maps!$A:$C,2,0)</f>
        <v>#N/A</v>
      </c>
      <c r="D902" t="e">
        <f t="shared" si="43"/>
        <v>#VALUE!</v>
      </c>
      <c r="E902" s="39" t="e">
        <f t="shared" si="44"/>
        <v>#VALUE!</v>
      </c>
      <c r="F902" s="7" t="str">
        <f t="array" ref="F902">+TIPOARMA(H902,I902)</f>
        <v>ERRO - REVISAR</v>
      </c>
      <c r="H902" t="str">
        <f t="array" ref="H902">+ARMASTD(N902)</f>
        <v>ERRO - REVISAR</v>
      </c>
      <c r="I902" t="str">
        <f t="array" ref="I902">+CALIBRESTD(O902)</f>
        <v>ERRO - REVISAR</v>
      </c>
    </row>
    <row r="903" spans="1:9" ht="14.25" customHeight="1" x14ac:dyDescent="0.35">
      <c r="A903" s="41" t="str">
        <f t="array" ref="A903">EXTRACTEVENT(Q903,S903)</f>
        <v/>
      </c>
      <c r="B903" s="41" t="str">
        <f t="shared" si="42"/>
        <v>-</v>
      </c>
      <c r="C903" s="41" t="e">
        <f>+VLOOKUP(R903,Maps!$A:$C,2,0)</f>
        <v>#N/A</v>
      </c>
      <c r="D903" s="41" t="e">
        <f t="shared" si="43"/>
        <v>#VALUE!</v>
      </c>
      <c r="E903" s="42" t="e">
        <f t="shared" si="44"/>
        <v>#VALUE!</v>
      </c>
      <c r="F903" s="43" t="str">
        <f t="array" ref="F903">+TIPOARMA(H903,I903)</f>
        <v>ERRO - REVISAR</v>
      </c>
      <c r="G903" s="41"/>
      <c r="H903" s="41" t="str">
        <f t="array" ref="H903">+ARMASTD(N903)</f>
        <v>ERRO - REVISAR</v>
      </c>
      <c r="I903" s="41" t="str">
        <f t="array" ref="I903">+CALIBRESTD(O903)</f>
        <v>ERRO - REVISAR</v>
      </c>
    </row>
    <row r="904" spans="1:9" ht="14.25" customHeight="1" x14ac:dyDescent="0.35">
      <c r="A904" t="str">
        <f t="array" ref="A904">EXTRACTEVENT(Q904,S904)</f>
        <v/>
      </c>
      <c r="B904" t="str">
        <f t="shared" si="42"/>
        <v>-</v>
      </c>
      <c r="C904" t="e">
        <f>+VLOOKUP(R904,Maps!$A:$C,2,0)</f>
        <v>#N/A</v>
      </c>
      <c r="D904" t="e">
        <f t="shared" si="43"/>
        <v>#VALUE!</v>
      </c>
      <c r="E904" s="39" t="e">
        <f t="shared" si="44"/>
        <v>#VALUE!</v>
      </c>
      <c r="F904" s="7" t="str">
        <f t="array" ref="F904">+TIPOARMA(H904,I904)</f>
        <v>ERRO - REVISAR</v>
      </c>
      <c r="H904" t="str">
        <f t="array" ref="H904">+ARMASTD(N904)</f>
        <v>ERRO - REVISAR</v>
      </c>
      <c r="I904" t="str">
        <f t="array" ref="I904">+CALIBRESTD(O904)</f>
        <v>ERRO - REVISAR</v>
      </c>
    </row>
    <row r="905" spans="1:9" ht="14.25" customHeight="1" x14ac:dyDescent="0.35">
      <c r="A905" s="41" t="str">
        <f t="array" ref="A905">EXTRACTEVENT(Q905,S905)</f>
        <v/>
      </c>
      <c r="B905" s="41" t="str">
        <f t="shared" si="42"/>
        <v>-</v>
      </c>
      <c r="C905" s="41" t="e">
        <f>+VLOOKUP(R905,Maps!$A:$C,2,0)</f>
        <v>#N/A</v>
      </c>
      <c r="D905" s="41" t="e">
        <f t="shared" si="43"/>
        <v>#VALUE!</v>
      </c>
      <c r="E905" s="42" t="e">
        <f t="shared" si="44"/>
        <v>#VALUE!</v>
      </c>
      <c r="F905" s="43" t="str">
        <f t="array" ref="F905">+TIPOARMA(H905,I905)</f>
        <v>ERRO - REVISAR</v>
      </c>
      <c r="G905" s="41"/>
      <c r="H905" s="41" t="str">
        <f t="array" ref="H905">+ARMASTD(N905)</f>
        <v>ERRO - REVISAR</v>
      </c>
      <c r="I905" s="41" t="str">
        <f t="array" ref="I905">+CALIBRESTD(O905)</f>
        <v>ERRO - REVISAR</v>
      </c>
    </row>
    <row r="906" spans="1:9" ht="14.25" customHeight="1" x14ac:dyDescent="0.35">
      <c r="A906" t="str">
        <f t="array" ref="A906">EXTRACTEVENT(Q906,S906)</f>
        <v/>
      </c>
      <c r="B906" t="str">
        <f t="shared" si="42"/>
        <v>-</v>
      </c>
      <c r="C906" t="e">
        <f>+VLOOKUP(R906,Maps!$A:$C,2,0)</f>
        <v>#N/A</v>
      </c>
      <c r="D906" t="e">
        <f t="shared" si="43"/>
        <v>#VALUE!</v>
      </c>
      <c r="E906" s="39" t="e">
        <f t="shared" si="44"/>
        <v>#VALUE!</v>
      </c>
      <c r="F906" s="7" t="str">
        <f t="array" ref="F906">+TIPOARMA(H906,I906)</f>
        <v>ERRO - REVISAR</v>
      </c>
      <c r="H906" t="str">
        <f t="array" ref="H906">+ARMASTD(N906)</f>
        <v>ERRO - REVISAR</v>
      </c>
      <c r="I906" t="str">
        <f t="array" ref="I906">+CALIBRESTD(O906)</f>
        <v>ERRO - REVISAR</v>
      </c>
    </row>
    <row r="907" spans="1:9" ht="14.25" customHeight="1" x14ac:dyDescent="0.35">
      <c r="A907" s="41" t="str">
        <f t="array" ref="A907">EXTRACTEVENT(Q907,S907)</f>
        <v/>
      </c>
      <c r="B907" s="41" t="str">
        <f t="shared" si="42"/>
        <v>-</v>
      </c>
      <c r="C907" s="41" t="e">
        <f>+VLOOKUP(R907,Maps!$A:$C,2,0)</f>
        <v>#N/A</v>
      </c>
      <c r="D907" s="41" t="e">
        <f t="shared" si="43"/>
        <v>#VALUE!</v>
      </c>
      <c r="E907" s="42" t="e">
        <f t="shared" si="44"/>
        <v>#VALUE!</v>
      </c>
      <c r="F907" s="43" t="str">
        <f t="array" ref="F907">+TIPOARMA(H907,I907)</f>
        <v>ERRO - REVISAR</v>
      </c>
      <c r="G907" s="41"/>
      <c r="H907" s="41" t="str">
        <f t="array" ref="H907">+ARMASTD(N907)</f>
        <v>ERRO - REVISAR</v>
      </c>
      <c r="I907" s="41" t="str">
        <f t="array" ref="I907">+CALIBRESTD(O907)</f>
        <v>ERRO - REVISAR</v>
      </c>
    </row>
    <row r="908" spans="1:9" ht="14.25" customHeight="1" x14ac:dyDescent="0.35">
      <c r="A908" t="str">
        <f t="array" ref="A908">EXTRACTEVENT(Q908,S908)</f>
        <v/>
      </c>
      <c r="B908" t="str">
        <f t="shared" si="42"/>
        <v>-</v>
      </c>
      <c r="C908" t="e">
        <f>+VLOOKUP(R908,Maps!$A:$C,2,0)</f>
        <v>#N/A</v>
      </c>
      <c r="D908" t="e">
        <f t="shared" si="43"/>
        <v>#VALUE!</v>
      </c>
      <c r="E908" s="39" t="e">
        <f t="shared" si="44"/>
        <v>#VALUE!</v>
      </c>
      <c r="F908" s="7" t="str">
        <f t="array" ref="F908">+TIPOARMA(H908,I908)</f>
        <v>ERRO - REVISAR</v>
      </c>
      <c r="H908" t="str">
        <f t="array" ref="H908">+ARMASTD(N908)</f>
        <v>ERRO - REVISAR</v>
      </c>
      <c r="I908" t="str">
        <f t="array" ref="I908">+CALIBRESTD(O908)</f>
        <v>ERRO - REVISAR</v>
      </c>
    </row>
    <row r="909" spans="1:9" ht="14.25" customHeight="1" x14ac:dyDescent="0.35">
      <c r="A909" s="41" t="str">
        <f t="array" ref="A909">EXTRACTEVENT(Q909,S909)</f>
        <v/>
      </c>
      <c r="B909" s="41" t="str">
        <f t="shared" si="42"/>
        <v>-</v>
      </c>
      <c r="C909" s="41" t="e">
        <f>+VLOOKUP(R909,Maps!$A:$C,2,0)</f>
        <v>#N/A</v>
      </c>
      <c r="D909" s="41" t="e">
        <f t="shared" si="43"/>
        <v>#VALUE!</v>
      </c>
      <c r="E909" s="42" t="e">
        <f t="shared" si="44"/>
        <v>#VALUE!</v>
      </c>
      <c r="F909" s="43" t="str">
        <f t="array" ref="F909">+TIPOARMA(H909,I909)</f>
        <v>ERRO - REVISAR</v>
      </c>
      <c r="G909" s="41"/>
      <c r="H909" s="41" t="str">
        <f t="array" ref="H909">+ARMASTD(N909)</f>
        <v>ERRO - REVISAR</v>
      </c>
      <c r="I909" s="41" t="str">
        <f t="array" ref="I909">+CALIBRESTD(O909)</f>
        <v>ERRO - REVISAR</v>
      </c>
    </row>
    <row r="910" spans="1:9" ht="14.25" customHeight="1" x14ac:dyDescent="0.35">
      <c r="A910" t="str">
        <f t="array" ref="A910">EXTRACTEVENT(Q910,S910)</f>
        <v/>
      </c>
      <c r="B910" t="str">
        <f t="shared" si="42"/>
        <v>-</v>
      </c>
      <c r="C910" t="e">
        <f>+VLOOKUP(R910,Maps!$A:$C,2,0)</f>
        <v>#N/A</v>
      </c>
      <c r="D910" t="e">
        <f t="shared" si="43"/>
        <v>#VALUE!</v>
      </c>
      <c r="E910" s="39" t="e">
        <f t="shared" si="44"/>
        <v>#VALUE!</v>
      </c>
      <c r="F910" s="7" t="str">
        <f t="array" ref="F910">+TIPOARMA(H910,I910)</f>
        <v>ERRO - REVISAR</v>
      </c>
      <c r="H910" t="str">
        <f t="array" ref="H910">+ARMASTD(N910)</f>
        <v>ERRO - REVISAR</v>
      </c>
      <c r="I910" t="str">
        <f t="array" ref="I910">+CALIBRESTD(O910)</f>
        <v>ERRO - REVISAR</v>
      </c>
    </row>
    <row r="911" spans="1:9" ht="14.25" customHeight="1" x14ac:dyDescent="0.35">
      <c r="A911" s="41" t="str">
        <f t="array" ref="A911">EXTRACTEVENT(Q911,S911)</f>
        <v/>
      </c>
      <c r="B911" s="41" t="str">
        <f t="shared" si="42"/>
        <v>-</v>
      </c>
      <c r="C911" s="41" t="e">
        <f>+VLOOKUP(R911,Maps!$A:$C,2,0)</f>
        <v>#N/A</v>
      </c>
      <c r="D911" s="41" t="e">
        <f t="shared" si="43"/>
        <v>#VALUE!</v>
      </c>
      <c r="E911" s="42" t="e">
        <f t="shared" si="44"/>
        <v>#VALUE!</v>
      </c>
      <c r="F911" s="43" t="str">
        <f t="array" ref="F911">+TIPOARMA(H911,I911)</f>
        <v>ERRO - REVISAR</v>
      </c>
      <c r="G911" s="41"/>
      <c r="H911" s="41" t="str">
        <f t="array" ref="H911">+ARMASTD(N911)</f>
        <v>ERRO - REVISAR</v>
      </c>
      <c r="I911" s="41" t="str">
        <f t="array" ref="I911">+CALIBRESTD(O911)</f>
        <v>ERRO - REVISAR</v>
      </c>
    </row>
    <row r="912" spans="1:9" ht="14.25" customHeight="1" x14ac:dyDescent="0.35">
      <c r="A912" t="str">
        <f t="array" ref="A912">EXTRACTEVENT(Q912,S912)</f>
        <v/>
      </c>
      <c r="B912" t="str">
        <f t="shared" si="42"/>
        <v>-</v>
      </c>
      <c r="C912" t="e">
        <f>+VLOOKUP(R912,Maps!$A:$C,2,0)</f>
        <v>#N/A</v>
      </c>
      <c r="D912" t="e">
        <f t="shared" si="43"/>
        <v>#VALUE!</v>
      </c>
      <c r="E912" s="39" t="e">
        <f t="shared" si="44"/>
        <v>#VALUE!</v>
      </c>
      <c r="F912" s="7" t="str">
        <f t="array" ref="F912">+TIPOARMA(H912,I912)</f>
        <v>ERRO - REVISAR</v>
      </c>
      <c r="H912" t="str">
        <f t="array" ref="H912">+ARMASTD(N912)</f>
        <v>ERRO - REVISAR</v>
      </c>
      <c r="I912" t="str">
        <f t="array" ref="I912">+CALIBRESTD(O912)</f>
        <v>ERRO - REVISAR</v>
      </c>
    </row>
    <row r="913" spans="1:9" ht="14.25" customHeight="1" x14ac:dyDescent="0.35">
      <c r="A913" s="41" t="str">
        <f t="array" ref="A913">EXTRACTEVENT(Q913,S913)</f>
        <v/>
      </c>
      <c r="B913" s="41" t="str">
        <f t="shared" si="42"/>
        <v>-</v>
      </c>
      <c r="C913" s="41" t="e">
        <f>+VLOOKUP(R913,Maps!$A:$C,2,0)</f>
        <v>#N/A</v>
      </c>
      <c r="D913" s="41" t="e">
        <f t="shared" si="43"/>
        <v>#VALUE!</v>
      </c>
      <c r="E913" s="42" t="e">
        <f t="shared" si="44"/>
        <v>#VALUE!</v>
      </c>
      <c r="F913" s="43" t="str">
        <f t="array" ref="F913">+TIPOARMA(H913,I913)</f>
        <v>ERRO - REVISAR</v>
      </c>
      <c r="G913" s="41"/>
      <c r="H913" s="41" t="str">
        <f t="array" ref="H913">+ARMASTD(N913)</f>
        <v>ERRO - REVISAR</v>
      </c>
      <c r="I913" s="41" t="str">
        <f t="array" ref="I913">+CALIBRESTD(O913)</f>
        <v>ERRO - REVISAR</v>
      </c>
    </row>
    <row r="914" spans="1:9" ht="14.25" customHeight="1" x14ac:dyDescent="0.35">
      <c r="A914" t="str">
        <f t="array" ref="A914">EXTRACTEVENT(Q914,S914)</f>
        <v/>
      </c>
      <c r="B914" t="str">
        <f t="shared" si="42"/>
        <v>-</v>
      </c>
      <c r="C914" t="e">
        <f>+VLOOKUP(R914,Maps!$A:$C,2,0)</f>
        <v>#N/A</v>
      </c>
      <c r="D914" t="e">
        <f t="shared" si="43"/>
        <v>#VALUE!</v>
      </c>
      <c r="E914" s="39" t="e">
        <f t="shared" si="44"/>
        <v>#VALUE!</v>
      </c>
      <c r="F914" s="7" t="str">
        <f t="array" ref="F914">+TIPOARMA(H914,I914)</f>
        <v>ERRO - REVISAR</v>
      </c>
      <c r="H914" t="str">
        <f t="array" ref="H914">+ARMASTD(N914)</f>
        <v>ERRO - REVISAR</v>
      </c>
      <c r="I914" t="str">
        <f t="array" ref="I914">+CALIBRESTD(O914)</f>
        <v>ERRO - REVISAR</v>
      </c>
    </row>
    <row r="915" spans="1:9" ht="14.25" customHeight="1" x14ac:dyDescent="0.35">
      <c r="A915" s="41" t="str">
        <f t="array" ref="A915">EXTRACTEVENT(Q915,S915)</f>
        <v/>
      </c>
      <c r="B915" s="41" t="str">
        <f t="shared" si="42"/>
        <v>-</v>
      </c>
      <c r="C915" s="41" t="e">
        <f>+VLOOKUP(R915,Maps!$A:$C,2,0)</f>
        <v>#N/A</v>
      </c>
      <c r="D915" s="41" t="e">
        <f t="shared" si="43"/>
        <v>#VALUE!</v>
      </c>
      <c r="E915" s="42" t="e">
        <f t="shared" si="44"/>
        <v>#VALUE!</v>
      </c>
      <c r="F915" s="43" t="str">
        <f t="array" ref="F915">+TIPOARMA(H915,I915)</f>
        <v>ERRO - REVISAR</v>
      </c>
      <c r="G915" s="41"/>
      <c r="H915" s="41" t="str">
        <f t="array" ref="H915">+ARMASTD(N915)</f>
        <v>ERRO - REVISAR</v>
      </c>
      <c r="I915" s="41" t="str">
        <f t="array" ref="I915">+CALIBRESTD(O915)</f>
        <v>ERRO - REVISAR</v>
      </c>
    </row>
    <row r="916" spans="1:9" ht="14.25" customHeight="1" x14ac:dyDescent="0.35">
      <c r="A916" t="str">
        <f t="array" ref="A916">EXTRACTEVENT(Q916,S916)</f>
        <v/>
      </c>
      <c r="B916" t="str">
        <f t="shared" si="42"/>
        <v>-</v>
      </c>
      <c r="C916" t="e">
        <f>+VLOOKUP(R916,Maps!$A:$C,2,0)</f>
        <v>#N/A</v>
      </c>
      <c r="D916" t="e">
        <f t="shared" si="43"/>
        <v>#VALUE!</v>
      </c>
      <c r="E916" s="39" t="e">
        <f t="shared" si="44"/>
        <v>#VALUE!</v>
      </c>
      <c r="F916" s="7" t="str">
        <f t="array" ref="F916">+TIPOARMA(H916,I916)</f>
        <v>ERRO - REVISAR</v>
      </c>
      <c r="H916" t="str">
        <f t="array" ref="H916">+ARMASTD(N916)</f>
        <v>ERRO - REVISAR</v>
      </c>
      <c r="I916" t="str">
        <f t="array" ref="I916">+CALIBRESTD(O916)</f>
        <v>ERRO - REVISAR</v>
      </c>
    </row>
    <row r="917" spans="1:9" ht="14.25" customHeight="1" x14ac:dyDescent="0.35">
      <c r="A917" s="41" t="str">
        <f t="array" ref="A917">EXTRACTEVENT(Q917,S917)</f>
        <v/>
      </c>
      <c r="B917" s="41" t="str">
        <f t="shared" si="42"/>
        <v>-</v>
      </c>
      <c r="C917" s="41" t="e">
        <f>+VLOOKUP(R917,Maps!$A:$C,2,0)</f>
        <v>#N/A</v>
      </c>
      <c r="D917" s="41" t="e">
        <f t="shared" si="43"/>
        <v>#VALUE!</v>
      </c>
      <c r="E917" s="42" t="e">
        <f t="shared" si="44"/>
        <v>#VALUE!</v>
      </c>
      <c r="F917" s="43" t="str">
        <f t="array" ref="F917">+TIPOARMA(H917,I917)</f>
        <v>ERRO - REVISAR</v>
      </c>
      <c r="G917" s="41"/>
      <c r="H917" s="41" t="str">
        <f t="array" ref="H917">+ARMASTD(N917)</f>
        <v>ERRO - REVISAR</v>
      </c>
      <c r="I917" s="41" t="str">
        <f t="array" ref="I917">+CALIBRESTD(O917)</f>
        <v>ERRO - REVISAR</v>
      </c>
    </row>
    <row r="918" spans="1:9" ht="14.25" customHeight="1" x14ac:dyDescent="0.35">
      <c r="A918" t="str">
        <f t="array" ref="A918">EXTRACTEVENT(Q918,S918)</f>
        <v/>
      </c>
      <c r="B918" t="str">
        <f t="shared" si="42"/>
        <v>-</v>
      </c>
      <c r="C918" t="e">
        <f>+VLOOKUP(R918,Maps!$A:$C,2,0)</f>
        <v>#N/A</v>
      </c>
      <c r="D918" t="e">
        <f t="shared" si="43"/>
        <v>#VALUE!</v>
      </c>
      <c r="E918" s="39" t="e">
        <f t="shared" si="44"/>
        <v>#VALUE!</v>
      </c>
      <c r="F918" s="7" t="str">
        <f t="array" ref="F918">+TIPOARMA(H918,I918)</f>
        <v>ERRO - REVISAR</v>
      </c>
      <c r="H918" t="str">
        <f t="array" ref="H918">+ARMASTD(N918)</f>
        <v>ERRO - REVISAR</v>
      </c>
      <c r="I918" t="str">
        <f t="array" ref="I918">+CALIBRESTD(O918)</f>
        <v>ERRO - REVISAR</v>
      </c>
    </row>
    <row r="919" spans="1:9" ht="14.25" customHeight="1" x14ac:dyDescent="0.35">
      <c r="A919" s="41" t="str">
        <f t="array" ref="A919">EXTRACTEVENT(Q919,S919)</f>
        <v/>
      </c>
      <c r="B919" s="41" t="str">
        <f t="shared" si="42"/>
        <v>-</v>
      </c>
      <c r="C919" s="41" t="e">
        <f>+VLOOKUP(R919,Maps!$A:$C,2,0)</f>
        <v>#N/A</v>
      </c>
      <c r="D919" s="41" t="e">
        <f t="shared" si="43"/>
        <v>#VALUE!</v>
      </c>
      <c r="E919" s="42" t="e">
        <f t="shared" si="44"/>
        <v>#VALUE!</v>
      </c>
      <c r="F919" s="43" t="str">
        <f t="array" ref="F919">+TIPOARMA(H919,I919)</f>
        <v>ERRO - REVISAR</v>
      </c>
      <c r="G919" s="41"/>
      <c r="H919" s="41" t="str">
        <f t="array" ref="H919">+ARMASTD(N919)</f>
        <v>ERRO - REVISAR</v>
      </c>
      <c r="I919" s="41" t="str">
        <f t="array" ref="I919">+CALIBRESTD(O919)</f>
        <v>ERRO - REVISAR</v>
      </c>
    </row>
    <row r="920" spans="1:9" ht="14.25" customHeight="1" x14ac:dyDescent="0.35">
      <c r="A920" t="str">
        <f t="array" ref="A920">EXTRACTEVENT(Q920,S920)</f>
        <v/>
      </c>
      <c r="B920" t="str">
        <f t="shared" si="42"/>
        <v>-</v>
      </c>
      <c r="C920" t="e">
        <f>+VLOOKUP(R920,Maps!$A:$C,2,0)</f>
        <v>#N/A</v>
      </c>
      <c r="D920" t="e">
        <f t="shared" si="43"/>
        <v>#VALUE!</v>
      </c>
      <c r="E920" s="39" t="e">
        <f t="shared" si="44"/>
        <v>#VALUE!</v>
      </c>
      <c r="F920" s="7" t="str">
        <f t="array" ref="F920">+TIPOARMA(H920,I920)</f>
        <v>ERRO - REVISAR</v>
      </c>
      <c r="H920" t="str">
        <f t="array" ref="H920">+ARMASTD(N920)</f>
        <v>ERRO - REVISAR</v>
      </c>
      <c r="I920" t="str">
        <f t="array" ref="I920">+CALIBRESTD(O920)</f>
        <v>ERRO - REVISAR</v>
      </c>
    </row>
    <row r="921" spans="1:9" ht="14.25" customHeight="1" x14ac:dyDescent="0.35">
      <c r="A921" s="41" t="str">
        <f t="array" ref="A921">EXTRACTEVENT(Q921,S921)</f>
        <v/>
      </c>
      <c r="B921" s="41" t="str">
        <f t="shared" si="42"/>
        <v>-</v>
      </c>
      <c r="C921" s="41" t="e">
        <f>+VLOOKUP(R921,Maps!$A:$C,2,0)</f>
        <v>#N/A</v>
      </c>
      <c r="D921" s="41" t="e">
        <f t="shared" si="43"/>
        <v>#VALUE!</v>
      </c>
      <c r="E921" s="42" t="e">
        <f t="shared" si="44"/>
        <v>#VALUE!</v>
      </c>
      <c r="F921" s="43" t="str">
        <f t="array" ref="F921">+TIPOARMA(H921,I921)</f>
        <v>ERRO - REVISAR</v>
      </c>
      <c r="G921" s="41"/>
      <c r="H921" s="41" t="str">
        <f t="array" ref="H921">+ARMASTD(N921)</f>
        <v>ERRO - REVISAR</v>
      </c>
      <c r="I921" s="41" t="str">
        <f t="array" ref="I921">+CALIBRESTD(O921)</f>
        <v>ERRO - REVISAR</v>
      </c>
    </row>
    <row r="922" spans="1:9" ht="14.25" customHeight="1" x14ac:dyDescent="0.35">
      <c r="A922" t="str">
        <f t="array" ref="A922">EXTRACTEVENT(Q922,S922)</f>
        <v/>
      </c>
      <c r="B922" t="str">
        <f t="shared" si="42"/>
        <v>-</v>
      </c>
      <c r="C922" t="e">
        <f>+VLOOKUP(R922,Maps!$A:$C,2,0)</f>
        <v>#N/A</v>
      </c>
      <c r="D922" t="e">
        <f t="shared" si="43"/>
        <v>#VALUE!</v>
      </c>
      <c r="E922" s="39" t="e">
        <f t="shared" si="44"/>
        <v>#VALUE!</v>
      </c>
      <c r="F922" s="7" t="str">
        <f t="array" ref="F922">+TIPOARMA(H922,I922)</f>
        <v>ERRO - REVISAR</v>
      </c>
      <c r="H922" t="str">
        <f t="array" ref="H922">+ARMASTD(N922)</f>
        <v>ERRO - REVISAR</v>
      </c>
      <c r="I922" t="str">
        <f t="array" ref="I922">+CALIBRESTD(O922)</f>
        <v>ERRO - REVISAR</v>
      </c>
    </row>
    <row r="923" spans="1:9" ht="14.25" customHeight="1" x14ac:dyDescent="0.35">
      <c r="A923" s="41" t="str">
        <f t="array" ref="A923">EXTRACTEVENT(Q923,S923)</f>
        <v/>
      </c>
      <c r="B923" s="41" t="str">
        <f t="shared" si="42"/>
        <v>-</v>
      </c>
      <c r="C923" s="41" t="e">
        <f>+VLOOKUP(R923,Maps!$A:$C,2,0)</f>
        <v>#N/A</v>
      </c>
      <c r="D923" s="41" t="e">
        <f t="shared" si="43"/>
        <v>#VALUE!</v>
      </c>
      <c r="E923" s="42" t="e">
        <f t="shared" si="44"/>
        <v>#VALUE!</v>
      </c>
      <c r="F923" s="43" t="str">
        <f t="array" ref="F923">+TIPOARMA(H923,I923)</f>
        <v>ERRO - REVISAR</v>
      </c>
      <c r="G923" s="41"/>
      <c r="H923" s="41" t="str">
        <f t="array" ref="H923">+ARMASTD(N923)</f>
        <v>ERRO - REVISAR</v>
      </c>
      <c r="I923" s="41" t="str">
        <f t="array" ref="I923">+CALIBRESTD(O923)</f>
        <v>ERRO - REVISAR</v>
      </c>
    </row>
    <row r="924" spans="1:9" ht="14.25" customHeight="1" x14ac:dyDescent="0.35">
      <c r="A924" t="str">
        <f t="array" ref="A924">EXTRACTEVENT(Q924,S924)</f>
        <v/>
      </c>
      <c r="B924" t="str">
        <f t="shared" si="42"/>
        <v>-</v>
      </c>
      <c r="C924" t="e">
        <f>+VLOOKUP(R924,Maps!$A:$C,2,0)</f>
        <v>#N/A</v>
      </c>
      <c r="D924" t="e">
        <f t="shared" si="43"/>
        <v>#VALUE!</v>
      </c>
      <c r="E924" s="39" t="e">
        <f t="shared" si="44"/>
        <v>#VALUE!</v>
      </c>
      <c r="F924" s="7" t="str">
        <f t="array" ref="F924">+TIPOARMA(H924,I924)</f>
        <v>ERRO - REVISAR</v>
      </c>
      <c r="H924" t="str">
        <f t="array" ref="H924">+ARMASTD(N924)</f>
        <v>ERRO - REVISAR</v>
      </c>
      <c r="I924" t="str">
        <f t="array" ref="I924">+CALIBRESTD(O924)</f>
        <v>ERRO - REVISAR</v>
      </c>
    </row>
    <row r="925" spans="1:9" ht="14.25" customHeight="1" x14ac:dyDescent="0.35">
      <c r="A925" s="41" t="str">
        <f t="array" ref="A925">EXTRACTEVENT(Q925,S925)</f>
        <v/>
      </c>
      <c r="B925" s="41" t="str">
        <f t="shared" si="42"/>
        <v>-</v>
      </c>
      <c r="C925" s="41" t="e">
        <f>+VLOOKUP(R925,Maps!$A:$C,2,0)</f>
        <v>#N/A</v>
      </c>
      <c r="D925" s="41" t="e">
        <f t="shared" si="43"/>
        <v>#VALUE!</v>
      </c>
      <c r="E925" s="42" t="e">
        <f t="shared" si="44"/>
        <v>#VALUE!</v>
      </c>
      <c r="F925" s="43" t="str">
        <f t="array" ref="F925">+TIPOARMA(H925,I925)</f>
        <v>ERRO - REVISAR</v>
      </c>
      <c r="G925" s="41"/>
      <c r="H925" s="41" t="str">
        <f t="array" ref="H925">+ARMASTD(N925)</f>
        <v>ERRO - REVISAR</v>
      </c>
      <c r="I925" s="41" t="str">
        <f t="array" ref="I925">+CALIBRESTD(O925)</f>
        <v>ERRO - REVISAR</v>
      </c>
    </row>
    <row r="926" spans="1:9" ht="14.25" customHeight="1" x14ac:dyDescent="0.35">
      <c r="A926" t="str">
        <f t="array" ref="A926">EXTRACTEVENT(Q926,S926)</f>
        <v/>
      </c>
      <c r="B926" t="str">
        <f t="shared" si="42"/>
        <v>-</v>
      </c>
      <c r="C926" t="e">
        <f>+VLOOKUP(R926,Maps!$A:$C,2,0)</f>
        <v>#N/A</v>
      </c>
      <c r="D926" t="e">
        <f t="shared" si="43"/>
        <v>#VALUE!</v>
      </c>
      <c r="E926" s="39" t="e">
        <f t="shared" si="44"/>
        <v>#VALUE!</v>
      </c>
      <c r="F926" s="7" t="str">
        <f t="array" ref="F926">+TIPOARMA(H926,I926)</f>
        <v>ERRO - REVISAR</v>
      </c>
      <c r="H926" t="str">
        <f t="array" ref="H926">+ARMASTD(N926)</f>
        <v>ERRO - REVISAR</v>
      </c>
      <c r="I926" t="str">
        <f t="array" ref="I926">+CALIBRESTD(O926)</f>
        <v>ERRO - REVISAR</v>
      </c>
    </row>
    <row r="927" spans="1:9" ht="14.25" customHeight="1" x14ac:dyDescent="0.35">
      <c r="A927" s="41" t="str">
        <f t="array" ref="A927">EXTRACTEVENT(Q927,S927)</f>
        <v/>
      </c>
      <c r="B927" s="41" t="str">
        <f t="shared" si="42"/>
        <v>-</v>
      </c>
      <c r="C927" s="41" t="e">
        <f>+VLOOKUP(R927,Maps!$A:$C,2,0)</f>
        <v>#N/A</v>
      </c>
      <c r="D927" s="41" t="e">
        <f t="shared" si="43"/>
        <v>#VALUE!</v>
      </c>
      <c r="E927" s="42" t="e">
        <f t="shared" si="44"/>
        <v>#VALUE!</v>
      </c>
      <c r="F927" s="43" t="str">
        <f t="array" ref="F927">+TIPOARMA(H927,I927)</f>
        <v>ERRO - REVISAR</v>
      </c>
      <c r="G927" s="41"/>
      <c r="H927" s="41" t="str">
        <f t="array" ref="H927">+ARMASTD(N927)</f>
        <v>ERRO - REVISAR</v>
      </c>
      <c r="I927" s="41" t="str">
        <f t="array" ref="I927">+CALIBRESTD(O927)</f>
        <v>ERRO - REVISAR</v>
      </c>
    </row>
    <row r="928" spans="1:9" ht="14.25" customHeight="1" x14ac:dyDescent="0.35">
      <c r="A928" t="str">
        <f t="array" ref="A928">EXTRACTEVENT(Q928,S928)</f>
        <v/>
      </c>
      <c r="B928" t="str">
        <f t="shared" si="42"/>
        <v>-</v>
      </c>
      <c r="C928" t="e">
        <f>+VLOOKUP(R928,Maps!$A:$C,2,0)</f>
        <v>#N/A</v>
      </c>
      <c r="D928" t="e">
        <f t="shared" si="43"/>
        <v>#VALUE!</v>
      </c>
      <c r="E928" s="39" t="e">
        <f t="shared" si="44"/>
        <v>#VALUE!</v>
      </c>
      <c r="F928" s="7" t="str">
        <f t="array" ref="F928">+TIPOARMA(H928,I928)</f>
        <v>ERRO - REVISAR</v>
      </c>
      <c r="H928" t="str">
        <f t="array" ref="H928">+ARMASTD(N928)</f>
        <v>ERRO - REVISAR</v>
      </c>
      <c r="I928" t="str">
        <f t="array" ref="I928">+CALIBRESTD(O928)</f>
        <v>ERRO - REVISAR</v>
      </c>
    </row>
    <row r="929" spans="1:9" ht="14.25" customHeight="1" x14ac:dyDescent="0.35">
      <c r="A929" s="41" t="str">
        <f t="array" ref="A929">EXTRACTEVENT(Q929,S929)</f>
        <v/>
      </c>
      <c r="B929" s="41" t="str">
        <f t="shared" si="42"/>
        <v>-</v>
      </c>
      <c r="C929" s="41" t="e">
        <f>+VLOOKUP(R929,Maps!$A:$C,2,0)</f>
        <v>#N/A</v>
      </c>
      <c r="D929" s="41" t="e">
        <f t="shared" si="43"/>
        <v>#VALUE!</v>
      </c>
      <c r="E929" s="42" t="e">
        <f t="shared" si="44"/>
        <v>#VALUE!</v>
      </c>
      <c r="F929" s="43" t="str">
        <f t="array" ref="F929">+TIPOARMA(H929,I929)</f>
        <v>ERRO - REVISAR</v>
      </c>
      <c r="G929" s="41"/>
      <c r="H929" s="41" t="str">
        <f t="array" ref="H929">+ARMASTD(N929)</f>
        <v>ERRO - REVISAR</v>
      </c>
      <c r="I929" s="41" t="str">
        <f t="array" ref="I929">+CALIBRESTD(O929)</f>
        <v>ERRO - REVISAR</v>
      </c>
    </row>
    <row r="930" spans="1:9" ht="14.25" customHeight="1" x14ac:dyDescent="0.35">
      <c r="A930" t="str">
        <f t="array" ref="A930">EXTRACTEVENT(Q930,S930)</f>
        <v/>
      </c>
      <c r="B930" t="str">
        <f t="shared" si="42"/>
        <v>-</v>
      </c>
      <c r="C930" t="e">
        <f>+VLOOKUP(R930,Maps!$A:$C,2,0)</f>
        <v>#N/A</v>
      </c>
      <c r="D930" t="e">
        <f t="shared" si="43"/>
        <v>#VALUE!</v>
      </c>
      <c r="E930" s="39" t="e">
        <f t="shared" si="44"/>
        <v>#VALUE!</v>
      </c>
      <c r="F930" s="7" t="str">
        <f t="array" ref="F930">+TIPOARMA(H930,I930)</f>
        <v>ERRO - REVISAR</v>
      </c>
      <c r="H930" t="str">
        <f t="array" ref="H930">+ARMASTD(N930)</f>
        <v>ERRO - REVISAR</v>
      </c>
      <c r="I930" t="str">
        <f t="array" ref="I930">+CALIBRESTD(O930)</f>
        <v>ERRO - REVISAR</v>
      </c>
    </row>
    <row r="931" spans="1:9" ht="14.25" customHeight="1" x14ac:dyDescent="0.35">
      <c r="A931" s="41" t="str">
        <f t="array" ref="A931">EXTRACTEVENT(Q931,S931)</f>
        <v/>
      </c>
      <c r="B931" s="41" t="str">
        <f t="shared" si="42"/>
        <v>-</v>
      </c>
      <c r="C931" s="41" t="e">
        <f>+VLOOKUP(R931,Maps!$A:$C,2,0)</f>
        <v>#N/A</v>
      </c>
      <c r="D931" s="41" t="e">
        <f t="shared" si="43"/>
        <v>#VALUE!</v>
      </c>
      <c r="E931" s="42" t="e">
        <f t="shared" si="44"/>
        <v>#VALUE!</v>
      </c>
      <c r="F931" s="43" t="str">
        <f t="array" ref="F931">+TIPOARMA(H931,I931)</f>
        <v>ERRO - REVISAR</v>
      </c>
      <c r="G931" s="41"/>
      <c r="H931" s="41" t="str">
        <f t="array" ref="H931">+ARMASTD(N931)</f>
        <v>ERRO - REVISAR</v>
      </c>
      <c r="I931" s="41" t="str">
        <f t="array" ref="I931">+CALIBRESTD(O931)</f>
        <v>ERRO - REVISAR</v>
      </c>
    </row>
    <row r="932" spans="1:9" ht="14.25" customHeight="1" x14ac:dyDescent="0.35">
      <c r="A932" t="str">
        <f t="array" ref="A932">EXTRACTEVENT(Q932,S932)</f>
        <v/>
      </c>
      <c r="B932" t="str">
        <f t="shared" si="42"/>
        <v>-</v>
      </c>
      <c r="C932" t="e">
        <f>+VLOOKUP(R932,Maps!$A:$C,2,0)</f>
        <v>#N/A</v>
      </c>
      <c r="D932" t="e">
        <f t="shared" si="43"/>
        <v>#VALUE!</v>
      </c>
      <c r="E932" s="39" t="e">
        <f t="shared" si="44"/>
        <v>#VALUE!</v>
      </c>
      <c r="F932" s="7" t="str">
        <f t="array" ref="F932">+TIPOARMA(H932,I932)</f>
        <v>ERRO - REVISAR</v>
      </c>
      <c r="H932" t="str">
        <f t="array" ref="H932">+ARMASTD(N932)</f>
        <v>ERRO - REVISAR</v>
      </c>
      <c r="I932" t="str">
        <f t="array" ref="I932">+CALIBRESTD(O932)</f>
        <v>ERRO - REVISAR</v>
      </c>
    </row>
    <row r="933" spans="1:9" ht="14.25" customHeight="1" x14ac:dyDescent="0.35">
      <c r="A933" s="41" t="str">
        <f t="array" ref="A933">EXTRACTEVENT(Q933,S933)</f>
        <v/>
      </c>
      <c r="B933" s="41" t="str">
        <f t="shared" si="42"/>
        <v>-</v>
      </c>
      <c r="C933" s="41" t="e">
        <f>+VLOOKUP(R933,Maps!$A:$C,2,0)</f>
        <v>#N/A</v>
      </c>
      <c r="D933" s="41" t="e">
        <f t="shared" si="43"/>
        <v>#VALUE!</v>
      </c>
      <c r="E933" s="42" t="e">
        <f t="shared" si="44"/>
        <v>#VALUE!</v>
      </c>
      <c r="F933" s="43" t="str">
        <f t="array" ref="F933">+TIPOARMA(H933,I933)</f>
        <v>ERRO - REVISAR</v>
      </c>
      <c r="G933" s="41"/>
      <c r="H933" s="41" t="str">
        <f t="array" ref="H933">+ARMASTD(N933)</f>
        <v>ERRO - REVISAR</v>
      </c>
      <c r="I933" s="41" t="str">
        <f t="array" ref="I933">+CALIBRESTD(O933)</f>
        <v>ERRO - REVISAR</v>
      </c>
    </row>
    <row r="934" spans="1:9" ht="14.25" customHeight="1" x14ac:dyDescent="0.35">
      <c r="A934" t="str">
        <f t="array" ref="A934">EXTRACTEVENT(Q934,S934)</f>
        <v/>
      </c>
      <c r="B934" t="str">
        <f t="shared" si="42"/>
        <v>-</v>
      </c>
      <c r="C934" t="e">
        <f>+VLOOKUP(R934,Maps!$A:$C,2,0)</f>
        <v>#N/A</v>
      </c>
      <c r="D934" t="e">
        <f t="shared" si="43"/>
        <v>#VALUE!</v>
      </c>
      <c r="E934" s="39" t="e">
        <f t="shared" si="44"/>
        <v>#VALUE!</v>
      </c>
      <c r="F934" s="7" t="str">
        <f t="array" ref="F934">+TIPOARMA(H934,I934)</f>
        <v>ERRO - REVISAR</v>
      </c>
      <c r="H934" t="str">
        <f t="array" ref="H934">+ARMASTD(N934)</f>
        <v>ERRO - REVISAR</v>
      </c>
      <c r="I934" t="str">
        <f t="array" ref="I934">+CALIBRESTD(O934)</f>
        <v>ERRO - REVISAR</v>
      </c>
    </row>
    <row r="935" spans="1:9" ht="14.25" customHeight="1" x14ac:dyDescent="0.35">
      <c r="A935" s="41" t="str">
        <f t="array" ref="A935">EXTRACTEVENT(Q935,S935)</f>
        <v/>
      </c>
      <c r="B935" s="41" t="str">
        <f t="shared" si="42"/>
        <v>-</v>
      </c>
      <c r="C935" s="41" t="e">
        <f>+VLOOKUP(R935,Maps!$A:$C,2,0)</f>
        <v>#N/A</v>
      </c>
      <c r="D935" s="41" t="e">
        <f t="shared" si="43"/>
        <v>#VALUE!</v>
      </c>
      <c r="E935" s="42" t="e">
        <f t="shared" si="44"/>
        <v>#VALUE!</v>
      </c>
      <c r="F935" s="43" t="str">
        <f t="array" ref="F935">+TIPOARMA(H935,I935)</f>
        <v>ERRO - REVISAR</v>
      </c>
      <c r="G935" s="41"/>
      <c r="H935" s="41" t="str">
        <f t="array" ref="H935">+ARMASTD(N935)</f>
        <v>ERRO - REVISAR</v>
      </c>
      <c r="I935" s="41" t="str">
        <f t="array" ref="I935">+CALIBRESTD(O935)</f>
        <v>ERRO - REVISAR</v>
      </c>
    </row>
    <row r="936" spans="1:9" ht="14.25" customHeight="1" x14ac:dyDescent="0.35">
      <c r="A936" t="str">
        <f t="array" ref="A936">EXTRACTEVENT(Q936,S936)</f>
        <v/>
      </c>
      <c r="B936" t="str">
        <f t="shared" si="42"/>
        <v>-</v>
      </c>
      <c r="C936" t="e">
        <f>+VLOOKUP(R936,Maps!$A:$C,2,0)</f>
        <v>#N/A</v>
      </c>
      <c r="D936" t="e">
        <f t="shared" si="43"/>
        <v>#VALUE!</v>
      </c>
      <c r="E936" s="39" t="e">
        <f t="shared" si="44"/>
        <v>#VALUE!</v>
      </c>
      <c r="F936" s="7" t="str">
        <f t="array" ref="F936">+TIPOARMA(H936,I936)</f>
        <v>ERRO - REVISAR</v>
      </c>
      <c r="H936" t="str">
        <f t="array" ref="H936">+ARMASTD(N936)</f>
        <v>ERRO - REVISAR</v>
      </c>
      <c r="I936" t="str">
        <f t="array" ref="I936">+CALIBRESTD(O936)</f>
        <v>ERRO - REVISAR</v>
      </c>
    </row>
    <row r="937" spans="1:9" ht="14.25" customHeight="1" x14ac:dyDescent="0.35">
      <c r="A937" s="41" t="str">
        <f t="array" ref="A937">EXTRACTEVENT(Q937,S937)</f>
        <v/>
      </c>
      <c r="B937" s="41" t="str">
        <f t="shared" si="42"/>
        <v>-</v>
      </c>
      <c r="C937" s="41" t="e">
        <f>+VLOOKUP(R937,Maps!$A:$C,2,0)</f>
        <v>#N/A</v>
      </c>
      <c r="D937" s="41" t="e">
        <f t="shared" si="43"/>
        <v>#VALUE!</v>
      </c>
      <c r="E937" s="42" t="e">
        <f t="shared" si="44"/>
        <v>#VALUE!</v>
      </c>
      <c r="F937" s="43" t="str">
        <f t="array" ref="F937">+TIPOARMA(H937,I937)</f>
        <v>ERRO - REVISAR</v>
      </c>
      <c r="G937" s="41"/>
      <c r="H937" s="41" t="str">
        <f t="array" ref="H937">+ARMASTD(N937)</f>
        <v>ERRO - REVISAR</v>
      </c>
      <c r="I937" s="41" t="str">
        <f t="array" ref="I937">+CALIBRESTD(O937)</f>
        <v>ERRO - REVISAR</v>
      </c>
    </row>
    <row r="938" spans="1:9" ht="14.25" customHeight="1" x14ac:dyDescent="0.35">
      <c r="A938" t="str">
        <f t="array" ref="A938">EXTRACTEVENT(Q938,S938)</f>
        <v/>
      </c>
      <c r="B938" t="str">
        <f t="shared" si="42"/>
        <v>-</v>
      </c>
      <c r="C938" t="e">
        <f>+VLOOKUP(R938,Maps!$A:$C,2,0)</f>
        <v>#N/A</v>
      </c>
      <c r="D938" t="e">
        <f t="shared" si="43"/>
        <v>#VALUE!</v>
      </c>
      <c r="E938" s="39" t="e">
        <f t="shared" si="44"/>
        <v>#VALUE!</v>
      </c>
      <c r="F938" s="7" t="str">
        <f t="array" ref="F938">+TIPOARMA(H938,I938)</f>
        <v>ERRO - REVISAR</v>
      </c>
      <c r="H938" t="str">
        <f t="array" ref="H938">+ARMASTD(N938)</f>
        <v>ERRO - REVISAR</v>
      </c>
      <c r="I938" t="str">
        <f t="array" ref="I938">+CALIBRESTD(O938)</f>
        <v>ERRO - REVISAR</v>
      </c>
    </row>
    <row r="939" spans="1:9" ht="14.25" customHeight="1" x14ac:dyDescent="0.35">
      <c r="A939" s="41" t="str">
        <f t="array" ref="A939">EXTRACTEVENT(Q939,S939)</f>
        <v/>
      </c>
      <c r="B939" s="41" t="str">
        <f t="shared" si="42"/>
        <v>-</v>
      </c>
      <c r="C939" s="41" t="e">
        <f>+VLOOKUP(R939,Maps!$A:$C,2,0)</f>
        <v>#N/A</v>
      </c>
      <c r="D939" s="41" t="e">
        <f t="shared" si="43"/>
        <v>#VALUE!</v>
      </c>
      <c r="E939" s="42" t="e">
        <f t="shared" si="44"/>
        <v>#VALUE!</v>
      </c>
      <c r="F939" s="43" t="str">
        <f t="array" ref="F939">+TIPOARMA(H939,I939)</f>
        <v>ERRO - REVISAR</v>
      </c>
      <c r="G939" s="41"/>
      <c r="H939" s="41" t="str">
        <f t="array" ref="H939">+ARMASTD(N939)</f>
        <v>ERRO - REVISAR</v>
      </c>
      <c r="I939" s="41" t="str">
        <f t="array" ref="I939">+CALIBRESTD(O939)</f>
        <v>ERRO - REVISAR</v>
      </c>
    </row>
    <row r="940" spans="1:9" ht="14.25" customHeight="1" x14ac:dyDescent="0.35">
      <c r="A940" t="str">
        <f t="array" ref="A940">EXTRACTEVENT(Q940,S940)</f>
        <v/>
      </c>
      <c r="B940" t="str">
        <f t="shared" si="42"/>
        <v>-</v>
      </c>
      <c r="C940" t="e">
        <f>+VLOOKUP(R940,Maps!$A:$C,2,0)</f>
        <v>#N/A</v>
      </c>
      <c r="D940" t="e">
        <f t="shared" si="43"/>
        <v>#VALUE!</v>
      </c>
      <c r="E940" s="39" t="e">
        <f t="shared" si="44"/>
        <v>#VALUE!</v>
      </c>
      <c r="F940" s="7" t="str">
        <f t="array" ref="F940">+TIPOARMA(H940,I940)</f>
        <v>ERRO - REVISAR</v>
      </c>
      <c r="H940" t="str">
        <f t="array" ref="H940">+ARMASTD(N940)</f>
        <v>ERRO - REVISAR</v>
      </c>
      <c r="I940" t="str">
        <f t="array" ref="I940">+CALIBRESTD(O940)</f>
        <v>ERRO - REVISAR</v>
      </c>
    </row>
    <row r="941" spans="1:9" ht="14.25" customHeight="1" x14ac:dyDescent="0.35">
      <c r="A941" s="41" t="str">
        <f t="array" ref="A941">EXTRACTEVENT(Q941,S941)</f>
        <v/>
      </c>
      <c r="B941" s="41" t="str">
        <f t="shared" si="42"/>
        <v>-</v>
      </c>
      <c r="C941" s="41" t="e">
        <f>+VLOOKUP(R941,Maps!$A:$C,2,0)</f>
        <v>#N/A</v>
      </c>
      <c r="D941" s="41" t="e">
        <f t="shared" si="43"/>
        <v>#VALUE!</v>
      </c>
      <c r="E941" s="42" t="e">
        <f t="shared" si="44"/>
        <v>#VALUE!</v>
      </c>
      <c r="F941" s="43" t="str">
        <f t="array" ref="F941">+TIPOARMA(H941,I941)</f>
        <v>ERRO - REVISAR</v>
      </c>
      <c r="G941" s="41"/>
      <c r="H941" s="41" t="str">
        <f t="array" ref="H941">+ARMASTD(N941)</f>
        <v>ERRO - REVISAR</v>
      </c>
      <c r="I941" s="41" t="str">
        <f t="array" ref="I941">+CALIBRESTD(O941)</f>
        <v>ERRO - REVISAR</v>
      </c>
    </row>
    <row r="942" spans="1:9" ht="14.25" customHeight="1" x14ac:dyDescent="0.35">
      <c r="A942" t="str">
        <f t="array" ref="A942">EXTRACTEVENT(Q942,S942)</f>
        <v/>
      </c>
      <c r="B942" t="str">
        <f t="shared" si="42"/>
        <v>-</v>
      </c>
      <c r="C942" t="e">
        <f>+VLOOKUP(R942,Maps!$A:$C,2,0)</f>
        <v>#N/A</v>
      </c>
      <c r="D942" t="e">
        <f t="shared" si="43"/>
        <v>#VALUE!</v>
      </c>
      <c r="E942" s="39" t="e">
        <f t="shared" si="44"/>
        <v>#VALUE!</v>
      </c>
      <c r="F942" s="7" t="str">
        <f t="array" ref="F942">+TIPOARMA(H942,I942)</f>
        <v>ERRO - REVISAR</v>
      </c>
      <c r="H942" t="str">
        <f t="array" ref="H942">+ARMASTD(N942)</f>
        <v>ERRO - REVISAR</v>
      </c>
      <c r="I942" t="str">
        <f t="array" ref="I942">+CALIBRESTD(O942)</f>
        <v>ERRO - REVISAR</v>
      </c>
    </row>
    <row r="943" spans="1:9" ht="14.25" customHeight="1" x14ac:dyDescent="0.35">
      <c r="A943" s="41" t="str">
        <f t="array" ref="A943">EXTRACTEVENT(Q943,S943)</f>
        <v/>
      </c>
      <c r="B943" s="41" t="str">
        <f t="shared" si="42"/>
        <v>-</v>
      </c>
      <c r="C943" s="41" t="e">
        <f>+VLOOKUP(R943,Maps!$A:$C,2,0)</f>
        <v>#N/A</v>
      </c>
      <c r="D943" s="41" t="e">
        <f t="shared" si="43"/>
        <v>#VALUE!</v>
      </c>
      <c r="E943" s="42" t="e">
        <f t="shared" si="44"/>
        <v>#VALUE!</v>
      </c>
      <c r="F943" s="43" t="str">
        <f t="array" ref="F943">+TIPOARMA(H943,I943)</f>
        <v>ERRO - REVISAR</v>
      </c>
      <c r="G943" s="41"/>
      <c r="H943" s="41" t="str">
        <f t="array" ref="H943">+ARMASTD(N943)</f>
        <v>ERRO - REVISAR</v>
      </c>
      <c r="I943" s="41" t="str">
        <f t="array" ref="I943">+CALIBRESTD(O943)</f>
        <v>ERRO - REVISAR</v>
      </c>
    </row>
    <row r="944" spans="1:9" ht="14.25" customHeight="1" x14ac:dyDescent="0.35">
      <c r="A944" t="str">
        <f t="array" ref="A944">EXTRACTEVENT(Q944,S944)</f>
        <v/>
      </c>
      <c r="B944" t="str">
        <f t="shared" si="42"/>
        <v>-</v>
      </c>
      <c r="C944" t="e">
        <f>+VLOOKUP(R944,Maps!$A:$C,2,0)</f>
        <v>#N/A</v>
      </c>
      <c r="D944" t="e">
        <f t="shared" si="43"/>
        <v>#VALUE!</v>
      </c>
      <c r="E944" s="39" t="e">
        <f t="shared" si="44"/>
        <v>#VALUE!</v>
      </c>
      <c r="F944" s="7" t="str">
        <f t="array" ref="F944">+TIPOARMA(H944,I944)</f>
        <v>ERRO - REVISAR</v>
      </c>
      <c r="H944" t="str">
        <f t="array" ref="H944">+ARMASTD(N944)</f>
        <v>ERRO - REVISAR</v>
      </c>
      <c r="I944" t="str">
        <f t="array" ref="I944">+CALIBRESTD(O944)</f>
        <v>ERRO - REVISAR</v>
      </c>
    </row>
    <row r="945" spans="1:9" ht="14.25" customHeight="1" x14ac:dyDescent="0.35">
      <c r="A945" s="41" t="str">
        <f t="array" ref="A945">EXTRACTEVENT(Q945,S945)</f>
        <v/>
      </c>
      <c r="B945" s="41" t="str">
        <f t="shared" si="42"/>
        <v>-</v>
      </c>
      <c r="C945" s="41" t="e">
        <f>+VLOOKUP(R945,Maps!$A:$C,2,0)</f>
        <v>#N/A</v>
      </c>
      <c r="D945" s="41" t="e">
        <f t="shared" si="43"/>
        <v>#VALUE!</v>
      </c>
      <c r="E945" s="42" t="e">
        <f t="shared" si="44"/>
        <v>#VALUE!</v>
      </c>
      <c r="F945" s="43" t="str">
        <f t="array" ref="F945">+TIPOARMA(H945,I945)</f>
        <v>ERRO - REVISAR</v>
      </c>
      <c r="G945" s="41"/>
      <c r="H945" s="41" t="str">
        <f t="array" ref="H945">+ARMASTD(N945)</f>
        <v>ERRO - REVISAR</v>
      </c>
      <c r="I945" s="41" t="str">
        <f t="array" ref="I945">+CALIBRESTD(O945)</f>
        <v>ERRO - REVISAR</v>
      </c>
    </row>
    <row r="946" spans="1:9" ht="14.25" customHeight="1" x14ac:dyDescent="0.35">
      <c r="A946" t="str">
        <f t="array" ref="A946">EXTRACTEVENT(Q946,S946)</f>
        <v/>
      </c>
      <c r="B946" t="str">
        <f t="shared" si="42"/>
        <v>-</v>
      </c>
      <c r="C946" t="e">
        <f>+VLOOKUP(R946,Maps!$A:$C,2,0)</f>
        <v>#N/A</v>
      </c>
      <c r="D946" t="e">
        <f t="shared" si="43"/>
        <v>#VALUE!</v>
      </c>
      <c r="E946" s="39" t="e">
        <f t="shared" si="44"/>
        <v>#VALUE!</v>
      </c>
      <c r="F946" s="7" t="str">
        <f t="array" ref="F946">+TIPOARMA(H946,I946)</f>
        <v>ERRO - REVISAR</v>
      </c>
      <c r="H946" t="str">
        <f t="array" ref="H946">+ARMASTD(N946)</f>
        <v>ERRO - REVISAR</v>
      </c>
      <c r="I946" t="str">
        <f t="array" ref="I946">+CALIBRESTD(O946)</f>
        <v>ERRO - REVISAR</v>
      </c>
    </row>
    <row r="947" spans="1:9" ht="14.25" customHeight="1" x14ac:dyDescent="0.35">
      <c r="A947" s="41" t="str">
        <f t="array" ref="A947">EXTRACTEVENT(Q947,S947)</f>
        <v/>
      </c>
      <c r="B947" s="41" t="str">
        <f t="shared" si="42"/>
        <v>-</v>
      </c>
      <c r="C947" s="41" t="e">
        <f>+VLOOKUP(R947,Maps!$A:$C,2,0)</f>
        <v>#N/A</v>
      </c>
      <c r="D947" s="41" t="e">
        <f t="shared" si="43"/>
        <v>#VALUE!</v>
      </c>
      <c r="E947" s="42" t="e">
        <f t="shared" si="44"/>
        <v>#VALUE!</v>
      </c>
      <c r="F947" s="43" t="str">
        <f t="array" ref="F947">+TIPOARMA(H947,I947)</f>
        <v>ERRO - REVISAR</v>
      </c>
      <c r="G947" s="41"/>
      <c r="H947" s="41" t="str">
        <f t="array" ref="H947">+ARMASTD(N947)</f>
        <v>ERRO - REVISAR</v>
      </c>
      <c r="I947" s="41" t="str">
        <f t="array" ref="I947">+CALIBRESTD(O947)</f>
        <v>ERRO - REVISAR</v>
      </c>
    </row>
    <row r="948" spans="1:9" ht="14.25" customHeight="1" x14ac:dyDescent="0.35">
      <c r="A948" t="str">
        <f t="array" ref="A948">EXTRACTEVENT(Q948,S948)</f>
        <v/>
      </c>
      <c r="B948" t="str">
        <f t="shared" si="42"/>
        <v>-</v>
      </c>
      <c r="C948" t="e">
        <f>+VLOOKUP(R948,Maps!$A:$C,2,0)</f>
        <v>#N/A</v>
      </c>
      <c r="D948" t="e">
        <f t="shared" si="43"/>
        <v>#VALUE!</v>
      </c>
      <c r="E948" s="39" t="e">
        <f t="shared" si="44"/>
        <v>#VALUE!</v>
      </c>
      <c r="F948" s="7" t="str">
        <f t="array" ref="F948">+TIPOARMA(H948,I948)</f>
        <v>ERRO - REVISAR</v>
      </c>
      <c r="H948" t="str">
        <f t="array" ref="H948">+ARMASTD(N948)</f>
        <v>ERRO - REVISAR</v>
      </c>
      <c r="I948" t="str">
        <f t="array" ref="I948">+CALIBRESTD(O948)</f>
        <v>ERRO - REVISAR</v>
      </c>
    </row>
    <row r="949" spans="1:9" ht="14.25" customHeight="1" x14ac:dyDescent="0.35">
      <c r="A949" s="41" t="str">
        <f t="array" ref="A949">EXTRACTEVENT(Q949,S949)</f>
        <v/>
      </c>
      <c r="B949" s="41" t="str">
        <f t="shared" si="42"/>
        <v>-</v>
      </c>
      <c r="C949" s="41" t="e">
        <f>+VLOOKUP(R949,Maps!$A:$C,2,0)</f>
        <v>#N/A</v>
      </c>
      <c r="D949" s="41" t="e">
        <f t="shared" si="43"/>
        <v>#VALUE!</v>
      </c>
      <c r="E949" s="42" t="e">
        <f t="shared" si="44"/>
        <v>#VALUE!</v>
      </c>
      <c r="F949" s="43" t="str">
        <f t="array" ref="F949">+TIPOARMA(H949,I949)</f>
        <v>ERRO - REVISAR</v>
      </c>
      <c r="G949" s="41"/>
      <c r="H949" s="41" t="str">
        <f t="array" ref="H949">+ARMASTD(N949)</f>
        <v>ERRO - REVISAR</v>
      </c>
      <c r="I949" s="41" t="str">
        <f t="array" ref="I949">+CALIBRESTD(O949)</f>
        <v>ERRO - REVISAR</v>
      </c>
    </row>
    <row r="950" spans="1:9" ht="14.25" customHeight="1" x14ac:dyDescent="0.35">
      <c r="A950" t="str">
        <f t="array" ref="A950">EXTRACTEVENT(Q950,S950)</f>
        <v/>
      </c>
      <c r="B950" t="str">
        <f t="shared" si="42"/>
        <v>-</v>
      </c>
      <c r="C950" t="e">
        <f>+VLOOKUP(R950,Maps!$A:$C,2,0)</f>
        <v>#N/A</v>
      </c>
      <c r="D950" t="e">
        <f t="shared" si="43"/>
        <v>#VALUE!</v>
      </c>
      <c r="E950" s="39" t="e">
        <f t="shared" si="44"/>
        <v>#VALUE!</v>
      </c>
      <c r="F950" s="7" t="str">
        <f t="array" ref="F950">+TIPOARMA(H950,I950)</f>
        <v>ERRO - REVISAR</v>
      </c>
      <c r="H950" t="str">
        <f t="array" ref="H950">+ARMASTD(N950)</f>
        <v>ERRO - REVISAR</v>
      </c>
      <c r="I950" t="str">
        <f t="array" ref="I950">+CALIBRESTD(O950)</f>
        <v>ERRO - REVISAR</v>
      </c>
    </row>
    <row r="951" spans="1:9" ht="14.25" customHeight="1" x14ac:dyDescent="0.35">
      <c r="A951" s="41" t="str">
        <f t="array" ref="A951">EXTRACTEVENT(Q951,S951)</f>
        <v/>
      </c>
      <c r="B951" s="41" t="str">
        <f t="shared" si="42"/>
        <v>-</v>
      </c>
      <c r="C951" s="41" t="e">
        <f>+VLOOKUP(R951,Maps!$A:$C,2,0)</f>
        <v>#N/A</v>
      </c>
      <c r="D951" s="41" t="e">
        <f t="shared" si="43"/>
        <v>#VALUE!</v>
      </c>
      <c r="E951" s="42" t="e">
        <f t="shared" si="44"/>
        <v>#VALUE!</v>
      </c>
      <c r="F951" s="43" t="str">
        <f t="array" ref="F951">+TIPOARMA(H951,I951)</f>
        <v>ERRO - REVISAR</v>
      </c>
      <c r="G951" s="41"/>
      <c r="H951" s="41" t="str">
        <f t="array" ref="H951">+ARMASTD(N951)</f>
        <v>ERRO - REVISAR</v>
      </c>
      <c r="I951" s="41" t="str">
        <f t="array" ref="I951">+CALIBRESTD(O951)</f>
        <v>ERRO - REVISAR</v>
      </c>
    </row>
    <row r="952" spans="1:9" ht="14.25" customHeight="1" x14ac:dyDescent="0.35">
      <c r="A952" t="str">
        <f t="array" ref="A952">EXTRACTEVENT(Q952,S952)</f>
        <v/>
      </c>
      <c r="B952" t="str">
        <f t="shared" si="42"/>
        <v>-</v>
      </c>
      <c r="C952" t="e">
        <f>+VLOOKUP(R952,Maps!$A:$C,2,0)</f>
        <v>#N/A</v>
      </c>
      <c r="D952" t="e">
        <f t="shared" si="43"/>
        <v>#VALUE!</v>
      </c>
      <c r="E952" s="39" t="e">
        <f t="shared" si="44"/>
        <v>#VALUE!</v>
      </c>
      <c r="F952" s="7" t="str">
        <f t="array" ref="F952">+TIPOARMA(H952,I952)</f>
        <v>ERRO - REVISAR</v>
      </c>
      <c r="H952" t="str">
        <f t="array" ref="H952">+ARMASTD(N952)</f>
        <v>ERRO - REVISAR</v>
      </c>
      <c r="I952" t="str">
        <f t="array" ref="I952">+CALIBRESTD(O952)</f>
        <v>ERRO - REVISAR</v>
      </c>
    </row>
    <row r="953" spans="1:9" ht="14.25" customHeight="1" x14ac:dyDescent="0.35">
      <c r="A953" s="41" t="str">
        <f t="array" ref="A953">EXTRACTEVENT(Q953,S953)</f>
        <v/>
      </c>
      <c r="B953" s="41" t="str">
        <f t="shared" si="42"/>
        <v>-</v>
      </c>
      <c r="C953" s="41" t="e">
        <f>+VLOOKUP(R953,Maps!$A:$C,2,0)</f>
        <v>#N/A</v>
      </c>
      <c r="D953" s="41" t="e">
        <f t="shared" si="43"/>
        <v>#VALUE!</v>
      </c>
      <c r="E953" s="42" t="e">
        <f t="shared" si="44"/>
        <v>#VALUE!</v>
      </c>
      <c r="F953" s="43" t="str">
        <f t="array" ref="F953">+TIPOARMA(H953,I953)</f>
        <v>ERRO - REVISAR</v>
      </c>
      <c r="G953" s="41"/>
      <c r="H953" s="41" t="str">
        <f t="array" ref="H953">+ARMASTD(N953)</f>
        <v>ERRO - REVISAR</v>
      </c>
      <c r="I953" s="41" t="str">
        <f t="array" ref="I953">+CALIBRESTD(O953)</f>
        <v>ERRO - REVISAR</v>
      </c>
    </row>
    <row r="954" spans="1:9" ht="14.25" customHeight="1" x14ac:dyDescent="0.35">
      <c r="A954" t="str">
        <f t="array" ref="A954">EXTRACTEVENT(Q954,S954)</f>
        <v/>
      </c>
      <c r="B954" t="str">
        <f t="shared" si="42"/>
        <v>-</v>
      </c>
      <c r="C954" t="e">
        <f>+VLOOKUP(R954,Maps!$A:$C,2,0)</f>
        <v>#N/A</v>
      </c>
      <c r="D954" t="e">
        <f t="shared" si="43"/>
        <v>#VALUE!</v>
      </c>
      <c r="E954" s="39" t="e">
        <f t="shared" si="44"/>
        <v>#VALUE!</v>
      </c>
      <c r="F954" s="7" t="str">
        <f t="array" ref="F954">+TIPOARMA(H954,I954)</f>
        <v>ERRO - REVISAR</v>
      </c>
      <c r="H954" t="str">
        <f t="array" ref="H954">+ARMASTD(N954)</f>
        <v>ERRO - REVISAR</v>
      </c>
      <c r="I954" t="str">
        <f t="array" ref="I954">+CALIBRESTD(O954)</f>
        <v>ERRO - REVISAR</v>
      </c>
    </row>
    <row r="955" spans="1:9" ht="14.25" customHeight="1" x14ac:dyDescent="0.35">
      <c r="A955" s="41" t="str">
        <f t="array" ref="A955">EXTRACTEVENT(Q955,S955)</f>
        <v/>
      </c>
      <c r="B955" s="41" t="str">
        <f t="shared" si="42"/>
        <v>-</v>
      </c>
      <c r="C955" s="41" t="e">
        <f>+VLOOKUP(R955,Maps!$A:$C,2,0)</f>
        <v>#N/A</v>
      </c>
      <c r="D955" s="41" t="e">
        <f t="shared" si="43"/>
        <v>#VALUE!</v>
      </c>
      <c r="E955" s="42" t="e">
        <f t="shared" si="44"/>
        <v>#VALUE!</v>
      </c>
      <c r="F955" s="43" t="str">
        <f t="array" ref="F955">+TIPOARMA(H955,I955)</f>
        <v>ERRO - REVISAR</v>
      </c>
      <c r="G955" s="41"/>
      <c r="H955" s="41" t="str">
        <f t="array" ref="H955">+ARMASTD(N955)</f>
        <v>ERRO - REVISAR</v>
      </c>
      <c r="I955" s="41" t="str">
        <f t="array" ref="I955">+CALIBRESTD(O955)</f>
        <v>ERRO - REVISAR</v>
      </c>
    </row>
    <row r="956" spans="1:9" ht="14.25" customHeight="1" x14ac:dyDescent="0.35">
      <c r="A956" t="str">
        <f t="array" ref="A956">EXTRACTEVENT(Q956,S956)</f>
        <v/>
      </c>
      <c r="B956" t="str">
        <f t="shared" si="42"/>
        <v>-</v>
      </c>
      <c r="C956" t="e">
        <f>+VLOOKUP(R956,Maps!$A:$C,2,0)</f>
        <v>#N/A</v>
      </c>
      <c r="D956" t="e">
        <f t="shared" si="43"/>
        <v>#VALUE!</v>
      </c>
      <c r="E956" s="39" t="e">
        <f t="shared" si="44"/>
        <v>#VALUE!</v>
      </c>
      <c r="F956" s="7" t="str">
        <f t="array" ref="F956">+TIPOARMA(H956,I956)</f>
        <v>ERRO - REVISAR</v>
      </c>
      <c r="H956" t="str">
        <f t="array" ref="H956">+ARMASTD(N956)</f>
        <v>ERRO - REVISAR</v>
      </c>
      <c r="I956" t="str">
        <f t="array" ref="I956">+CALIBRESTD(O956)</f>
        <v>ERRO - REVISAR</v>
      </c>
    </row>
    <row r="957" spans="1:9" ht="14.25" customHeight="1" x14ac:dyDescent="0.35">
      <c r="A957" s="41" t="str">
        <f t="array" ref="A957">EXTRACTEVENT(Q957,S957)</f>
        <v/>
      </c>
      <c r="B957" s="41" t="str">
        <f t="shared" si="42"/>
        <v>-</v>
      </c>
      <c r="C957" s="41" t="e">
        <f>+VLOOKUP(R957,Maps!$A:$C,2,0)</f>
        <v>#N/A</v>
      </c>
      <c r="D957" s="41" t="e">
        <f t="shared" si="43"/>
        <v>#VALUE!</v>
      </c>
      <c r="E957" s="42" t="e">
        <f t="shared" si="44"/>
        <v>#VALUE!</v>
      </c>
      <c r="F957" s="43" t="str">
        <f t="array" ref="F957">+TIPOARMA(H957,I957)</f>
        <v>ERRO - REVISAR</v>
      </c>
      <c r="G957" s="41"/>
      <c r="H957" s="41" t="str">
        <f t="array" ref="H957">+ARMASTD(N957)</f>
        <v>ERRO - REVISAR</v>
      </c>
      <c r="I957" s="41" t="str">
        <f t="array" ref="I957">+CALIBRESTD(O957)</f>
        <v>ERRO - REVISAR</v>
      </c>
    </row>
    <row r="958" spans="1:9" ht="14.25" customHeight="1" x14ac:dyDescent="0.35">
      <c r="A958" t="str">
        <f t="array" ref="A958">EXTRACTEVENT(Q958,S958)</f>
        <v/>
      </c>
      <c r="B958" t="str">
        <f t="shared" si="42"/>
        <v>-</v>
      </c>
      <c r="C958" t="e">
        <f>+VLOOKUP(R958,Maps!$A:$C,2,0)</f>
        <v>#N/A</v>
      </c>
      <c r="D958" t="e">
        <f t="shared" si="43"/>
        <v>#VALUE!</v>
      </c>
      <c r="E958" s="39" t="e">
        <f t="shared" si="44"/>
        <v>#VALUE!</v>
      </c>
      <c r="F958" s="7" t="str">
        <f t="array" ref="F958">+TIPOARMA(H958,I958)</f>
        <v>ERRO - REVISAR</v>
      </c>
      <c r="H958" t="str">
        <f t="array" ref="H958">+ARMASTD(N958)</f>
        <v>ERRO - REVISAR</v>
      </c>
      <c r="I958" t="str">
        <f t="array" ref="I958">+CALIBRESTD(O958)</f>
        <v>ERRO - REVISAR</v>
      </c>
    </row>
    <row r="959" spans="1:9" ht="14.25" customHeight="1" x14ac:dyDescent="0.35">
      <c r="A959" s="41" t="str">
        <f t="array" ref="A959">EXTRACTEVENT(Q959,S959)</f>
        <v/>
      </c>
      <c r="B959" s="41" t="str">
        <f t="shared" si="42"/>
        <v>-</v>
      </c>
      <c r="C959" s="41" t="e">
        <f>+VLOOKUP(R959,Maps!$A:$C,2,0)</f>
        <v>#N/A</v>
      </c>
      <c r="D959" s="41" t="e">
        <f t="shared" si="43"/>
        <v>#VALUE!</v>
      </c>
      <c r="E959" s="42" t="e">
        <f t="shared" si="44"/>
        <v>#VALUE!</v>
      </c>
      <c r="F959" s="43" t="str">
        <f t="array" ref="F959">+TIPOARMA(H959,I959)</f>
        <v>ERRO - REVISAR</v>
      </c>
      <c r="G959" s="41"/>
      <c r="H959" s="41" t="str">
        <f t="array" ref="H959">+ARMASTD(N959)</f>
        <v>ERRO - REVISAR</v>
      </c>
      <c r="I959" s="41" t="str">
        <f t="array" ref="I959">+CALIBRESTD(O959)</f>
        <v>ERRO - REVISAR</v>
      </c>
    </row>
    <row r="960" spans="1:9" ht="14.25" customHeight="1" x14ac:dyDescent="0.35">
      <c r="A960" t="str">
        <f t="array" ref="A960">EXTRACTEVENT(Q960,S960)</f>
        <v/>
      </c>
      <c r="B960" t="str">
        <f t="shared" si="42"/>
        <v>-</v>
      </c>
      <c r="C960" t="e">
        <f>+VLOOKUP(R960,Maps!$A:$C,2,0)</f>
        <v>#N/A</v>
      </c>
      <c r="D960" t="e">
        <f t="shared" si="43"/>
        <v>#VALUE!</v>
      </c>
      <c r="E960" s="39" t="e">
        <f t="shared" si="44"/>
        <v>#VALUE!</v>
      </c>
      <c r="F960" s="7" t="str">
        <f t="array" ref="F960">+TIPOARMA(H960,I960)</f>
        <v>ERRO - REVISAR</v>
      </c>
      <c r="H960" t="str">
        <f t="array" ref="H960">+ARMASTD(N960)</f>
        <v>ERRO - REVISAR</v>
      </c>
      <c r="I960" t="str">
        <f t="array" ref="I960">+CALIBRESTD(O960)</f>
        <v>ERRO - REVISAR</v>
      </c>
    </row>
    <row r="961" spans="1:9" ht="14.25" customHeight="1" x14ac:dyDescent="0.35">
      <c r="A961" s="41" t="str">
        <f t="array" ref="A961">EXTRACTEVENT(Q961,S961)</f>
        <v/>
      </c>
      <c r="B961" s="41" t="str">
        <f t="shared" si="42"/>
        <v>-</v>
      </c>
      <c r="C961" s="41" t="e">
        <f>+VLOOKUP(R961,Maps!$A:$C,2,0)</f>
        <v>#N/A</v>
      </c>
      <c r="D961" s="41" t="e">
        <f t="shared" si="43"/>
        <v>#VALUE!</v>
      </c>
      <c r="E961" s="42" t="e">
        <f t="shared" si="44"/>
        <v>#VALUE!</v>
      </c>
      <c r="F961" s="43" t="str">
        <f t="array" ref="F961">+TIPOARMA(H961,I961)</f>
        <v>ERRO - REVISAR</v>
      </c>
      <c r="G961" s="41"/>
      <c r="H961" s="41" t="str">
        <f t="array" ref="H961">+ARMASTD(N961)</f>
        <v>ERRO - REVISAR</v>
      </c>
      <c r="I961" s="41" t="str">
        <f t="array" ref="I961">+CALIBRESTD(O961)</f>
        <v>ERRO - REVISAR</v>
      </c>
    </row>
    <row r="962" spans="1:9" ht="14.25" customHeight="1" x14ac:dyDescent="0.35">
      <c r="A962" t="str">
        <f t="array" ref="A962">EXTRACTEVENT(Q962,S962)</f>
        <v/>
      </c>
      <c r="B962" t="str">
        <f t="shared" ref="B962:B1025" si="45">+EXTRACTETAPANUM(Q962)</f>
        <v>-</v>
      </c>
      <c r="C962" t="e">
        <f>+VLOOKUP(R962,Maps!$A:$C,2,0)</f>
        <v>#N/A</v>
      </c>
      <c r="D962" t="e">
        <f t="shared" ref="D962:D1025" si="46">+DEFINEAMBITO(Q962,C962)</f>
        <v>#VALUE!</v>
      </c>
      <c r="E962" s="39" t="e">
        <f t="shared" ref="E962:E1025" si="47">DATEVALUE(L962)</f>
        <v>#VALUE!</v>
      </c>
      <c r="F962" s="7" t="str">
        <f t="array" ref="F962">+TIPOARMA(H962,I962)</f>
        <v>ERRO - REVISAR</v>
      </c>
      <c r="H962" t="str">
        <f t="array" ref="H962">+ARMASTD(N962)</f>
        <v>ERRO - REVISAR</v>
      </c>
      <c r="I962" t="str">
        <f t="array" ref="I962">+CALIBRESTD(O962)</f>
        <v>ERRO - REVISAR</v>
      </c>
    </row>
    <row r="963" spans="1:9" ht="14.25" customHeight="1" x14ac:dyDescent="0.35">
      <c r="A963" s="41" t="str">
        <f t="array" ref="A963">EXTRACTEVENT(Q963,S963)</f>
        <v/>
      </c>
      <c r="B963" s="41" t="str">
        <f t="shared" si="45"/>
        <v>-</v>
      </c>
      <c r="C963" s="41" t="e">
        <f>+VLOOKUP(R963,Maps!$A:$C,2,0)</f>
        <v>#N/A</v>
      </c>
      <c r="D963" s="41" t="e">
        <f t="shared" si="46"/>
        <v>#VALUE!</v>
      </c>
      <c r="E963" s="42" t="e">
        <f t="shared" si="47"/>
        <v>#VALUE!</v>
      </c>
      <c r="F963" s="43" t="str">
        <f t="array" ref="F963">+TIPOARMA(H963,I963)</f>
        <v>ERRO - REVISAR</v>
      </c>
      <c r="G963" s="41"/>
      <c r="H963" s="41" t="str">
        <f t="array" ref="H963">+ARMASTD(N963)</f>
        <v>ERRO - REVISAR</v>
      </c>
      <c r="I963" s="41" t="str">
        <f t="array" ref="I963">+CALIBRESTD(O963)</f>
        <v>ERRO - REVISAR</v>
      </c>
    </row>
    <row r="964" spans="1:9" ht="14.25" customHeight="1" x14ac:dyDescent="0.35">
      <c r="A964" t="str">
        <f t="array" ref="A964">EXTRACTEVENT(Q964,S964)</f>
        <v/>
      </c>
      <c r="B964" t="str">
        <f t="shared" si="45"/>
        <v>-</v>
      </c>
      <c r="C964" t="e">
        <f>+VLOOKUP(R964,Maps!$A:$C,2,0)</f>
        <v>#N/A</v>
      </c>
      <c r="D964" t="e">
        <f t="shared" si="46"/>
        <v>#VALUE!</v>
      </c>
      <c r="E964" s="39" t="e">
        <f t="shared" si="47"/>
        <v>#VALUE!</v>
      </c>
      <c r="F964" s="7" t="str">
        <f t="array" ref="F964">+TIPOARMA(H964,I964)</f>
        <v>ERRO - REVISAR</v>
      </c>
      <c r="H964" t="str">
        <f t="array" ref="H964">+ARMASTD(N964)</f>
        <v>ERRO - REVISAR</v>
      </c>
      <c r="I964" t="str">
        <f t="array" ref="I964">+CALIBRESTD(O964)</f>
        <v>ERRO - REVISAR</v>
      </c>
    </row>
    <row r="965" spans="1:9" ht="14.25" customHeight="1" x14ac:dyDescent="0.35">
      <c r="A965" s="41" t="str">
        <f t="array" ref="A965">EXTRACTEVENT(Q965,S965)</f>
        <v/>
      </c>
      <c r="B965" s="41" t="str">
        <f t="shared" si="45"/>
        <v>-</v>
      </c>
      <c r="C965" s="41" t="e">
        <f>+VLOOKUP(R965,Maps!$A:$C,2,0)</f>
        <v>#N/A</v>
      </c>
      <c r="D965" s="41" t="e">
        <f t="shared" si="46"/>
        <v>#VALUE!</v>
      </c>
      <c r="E965" s="42" t="e">
        <f t="shared" si="47"/>
        <v>#VALUE!</v>
      </c>
      <c r="F965" s="43" t="str">
        <f t="array" ref="F965">+TIPOARMA(H965,I965)</f>
        <v>ERRO - REVISAR</v>
      </c>
      <c r="G965" s="41"/>
      <c r="H965" s="41" t="str">
        <f t="array" ref="H965">+ARMASTD(N965)</f>
        <v>ERRO - REVISAR</v>
      </c>
      <c r="I965" s="41" t="str">
        <f t="array" ref="I965">+CALIBRESTD(O965)</f>
        <v>ERRO - REVISAR</v>
      </c>
    </row>
    <row r="966" spans="1:9" ht="14.25" customHeight="1" x14ac:dyDescent="0.35">
      <c r="A966" t="str">
        <f t="array" ref="A966">EXTRACTEVENT(Q966,S966)</f>
        <v/>
      </c>
      <c r="B966" t="str">
        <f t="shared" si="45"/>
        <v>-</v>
      </c>
      <c r="C966" t="e">
        <f>+VLOOKUP(R966,Maps!$A:$C,2,0)</f>
        <v>#N/A</v>
      </c>
      <c r="D966" t="e">
        <f t="shared" si="46"/>
        <v>#VALUE!</v>
      </c>
      <c r="E966" s="39" t="e">
        <f t="shared" si="47"/>
        <v>#VALUE!</v>
      </c>
      <c r="F966" s="7" t="str">
        <f t="array" ref="F966">+TIPOARMA(H966,I966)</f>
        <v>ERRO - REVISAR</v>
      </c>
      <c r="H966" t="str">
        <f t="array" ref="H966">+ARMASTD(N966)</f>
        <v>ERRO - REVISAR</v>
      </c>
      <c r="I966" t="str">
        <f t="array" ref="I966">+CALIBRESTD(O966)</f>
        <v>ERRO - REVISAR</v>
      </c>
    </row>
    <row r="967" spans="1:9" ht="14.25" customHeight="1" x14ac:dyDescent="0.35">
      <c r="A967" s="41" t="str">
        <f t="array" ref="A967">EXTRACTEVENT(Q967,S967)</f>
        <v/>
      </c>
      <c r="B967" s="41" t="str">
        <f t="shared" si="45"/>
        <v>-</v>
      </c>
      <c r="C967" s="41" t="e">
        <f>+VLOOKUP(R967,Maps!$A:$C,2,0)</f>
        <v>#N/A</v>
      </c>
      <c r="D967" s="41" t="e">
        <f t="shared" si="46"/>
        <v>#VALUE!</v>
      </c>
      <c r="E967" s="42" t="e">
        <f t="shared" si="47"/>
        <v>#VALUE!</v>
      </c>
      <c r="F967" s="43" t="str">
        <f t="array" ref="F967">+TIPOARMA(H967,I967)</f>
        <v>ERRO - REVISAR</v>
      </c>
      <c r="G967" s="41"/>
      <c r="H967" s="41" t="str">
        <f t="array" ref="H967">+ARMASTD(N967)</f>
        <v>ERRO - REVISAR</v>
      </c>
      <c r="I967" s="41" t="str">
        <f t="array" ref="I967">+CALIBRESTD(O967)</f>
        <v>ERRO - REVISAR</v>
      </c>
    </row>
    <row r="968" spans="1:9" ht="14.25" customHeight="1" x14ac:dyDescent="0.35">
      <c r="A968" t="str">
        <f t="array" ref="A968">EXTRACTEVENT(Q968,S968)</f>
        <v/>
      </c>
      <c r="B968" t="str">
        <f t="shared" si="45"/>
        <v>-</v>
      </c>
      <c r="C968" t="e">
        <f>+VLOOKUP(R968,Maps!$A:$C,2,0)</f>
        <v>#N/A</v>
      </c>
      <c r="D968" t="e">
        <f t="shared" si="46"/>
        <v>#VALUE!</v>
      </c>
      <c r="E968" s="39" t="e">
        <f t="shared" si="47"/>
        <v>#VALUE!</v>
      </c>
      <c r="F968" s="7" t="str">
        <f t="array" ref="F968">+TIPOARMA(H968,I968)</f>
        <v>ERRO - REVISAR</v>
      </c>
      <c r="H968" t="str">
        <f t="array" ref="H968">+ARMASTD(N968)</f>
        <v>ERRO - REVISAR</v>
      </c>
      <c r="I968" t="str">
        <f t="array" ref="I968">+CALIBRESTD(O968)</f>
        <v>ERRO - REVISAR</v>
      </c>
    </row>
    <row r="969" spans="1:9" ht="14.25" customHeight="1" x14ac:dyDescent="0.35">
      <c r="A969" s="41" t="str">
        <f t="array" ref="A969">EXTRACTEVENT(Q969,S969)</f>
        <v/>
      </c>
      <c r="B969" s="41" t="str">
        <f t="shared" si="45"/>
        <v>-</v>
      </c>
      <c r="C969" s="41" t="e">
        <f>+VLOOKUP(R969,Maps!$A:$C,2,0)</f>
        <v>#N/A</v>
      </c>
      <c r="D969" s="41" t="e">
        <f t="shared" si="46"/>
        <v>#VALUE!</v>
      </c>
      <c r="E969" s="42" t="e">
        <f t="shared" si="47"/>
        <v>#VALUE!</v>
      </c>
      <c r="F969" s="43" t="str">
        <f t="array" ref="F969">+TIPOARMA(H969,I969)</f>
        <v>ERRO - REVISAR</v>
      </c>
      <c r="G969" s="41"/>
      <c r="H969" s="41" t="str">
        <f t="array" ref="H969">+ARMASTD(N969)</f>
        <v>ERRO - REVISAR</v>
      </c>
      <c r="I969" s="41" t="str">
        <f t="array" ref="I969">+CALIBRESTD(O969)</f>
        <v>ERRO - REVISAR</v>
      </c>
    </row>
    <row r="970" spans="1:9" ht="14.25" customHeight="1" x14ac:dyDescent="0.35">
      <c r="A970" t="str">
        <f t="array" ref="A970">EXTRACTEVENT(Q970,S970)</f>
        <v/>
      </c>
      <c r="B970" t="str">
        <f t="shared" si="45"/>
        <v>-</v>
      </c>
      <c r="C970" t="e">
        <f>+VLOOKUP(R970,Maps!$A:$C,2,0)</f>
        <v>#N/A</v>
      </c>
      <c r="D970" t="e">
        <f t="shared" si="46"/>
        <v>#VALUE!</v>
      </c>
      <c r="E970" s="39" t="e">
        <f t="shared" si="47"/>
        <v>#VALUE!</v>
      </c>
      <c r="F970" s="7" t="str">
        <f t="array" ref="F970">+TIPOARMA(H970,I970)</f>
        <v>ERRO - REVISAR</v>
      </c>
      <c r="H970" t="str">
        <f t="array" ref="H970">+ARMASTD(N970)</f>
        <v>ERRO - REVISAR</v>
      </c>
      <c r="I970" t="str">
        <f t="array" ref="I970">+CALIBRESTD(O970)</f>
        <v>ERRO - REVISAR</v>
      </c>
    </row>
    <row r="971" spans="1:9" ht="14.25" customHeight="1" x14ac:dyDescent="0.35">
      <c r="A971" s="41" t="str">
        <f t="array" ref="A971">EXTRACTEVENT(Q971,S971)</f>
        <v/>
      </c>
      <c r="B971" s="41" t="str">
        <f t="shared" si="45"/>
        <v>-</v>
      </c>
      <c r="C971" s="41" t="e">
        <f>+VLOOKUP(R971,Maps!$A:$C,2,0)</f>
        <v>#N/A</v>
      </c>
      <c r="D971" s="41" t="e">
        <f t="shared" si="46"/>
        <v>#VALUE!</v>
      </c>
      <c r="E971" s="42" t="e">
        <f t="shared" si="47"/>
        <v>#VALUE!</v>
      </c>
      <c r="F971" s="43" t="str">
        <f t="array" ref="F971">+TIPOARMA(H971,I971)</f>
        <v>ERRO - REVISAR</v>
      </c>
      <c r="G971" s="41"/>
      <c r="H971" s="41" t="str">
        <f t="array" ref="H971">+ARMASTD(N971)</f>
        <v>ERRO - REVISAR</v>
      </c>
      <c r="I971" s="41" t="str">
        <f t="array" ref="I971">+CALIBRESTD(O971)</f>
        <v>ERRO - REVISAR</v>
      </c>
    </row>
    <row r="972" spans="1:9" ht="14.25" customHeight="1" x14ac:dyDescent="0.35">
      <c r="A972" t="str">
        <f t="array" ref="A972">EXTRACTEVENT(Q972,S972)</f>
        <v/>
      </c>
      <c r="B972" t="str">
        <f t="shared" si="45"/>
        <v>-</v>
      </c>
      <c r="C972" t="e">
        <f>+VLOOKUP(R972,Maps!$A:$C,2,0)</f>
        <v>#N/A</v>
      </c>
      <c r="D972" t="e">
        <f t="shared" si="46"/>
        <v>#VALUE!</v>
      </c>
      <c r="E972" s="39" t="e">
        <f t="shared" si="47"/>
        <v>#VALUE!</v>
      </c>
      <c r="F972" s="7" t="str">
        <f t="array" ref="F972">+TIPOARMA(H972,I972)</f>
        <v>ERRO - REVISAR</v>
      </c>
      <c r="H972" t="str">
        <f t="array" ref="H972">+ARMASTD(N972)</f>
        <v>ERRO - REVISAR</v>
      </c>
      <c r="I972" t="str">
        <f t="array" ref="I972">+CALIBRESTD(O972)</f>
        <v>ERRO - REVISAR</v>
      </c>
    </row>
    <row r="973" spans="1:9" ht="14.25" customHeight="1" x14ac:dyDescent="0.35">
      <c r="A973" s="41" t="str">
        <f t="array" ref="A973">EXTRACTEVENT(Q973,S973)</f>
        <v/>
      </c>
      <c r="B973" s="41" t="str">
        <f t="shared" si="45"/>
        <v>-</v>
      </c>
      <c r="C973" s="41" t="e">
        <f>+VLOOKUP(R973,Maps!$A:$C,2,0)</f>
        <v>#N/A</v>
      </c>
      <c r="D973" s="41" t="e">
        <f t="shared" si="46"/>
        <v>#VALUE!</v>
      </c>
      <c r="E973" s="42" t="e">
        <f t="shared" si="47"/>
        <v>#VALUE!</v>
      </c>
      <c r="F973" s="43" t="str">
        <f t="array" ref="F973">+TIPOARMA(H973,I973)</f>
        <v>ERRO - REVISAR</v>
      </c>
      <c r="G973" s="41"/>
      <c r="H973" s="41" t="str">
        <f t="array" ref="H973">+ARMASTD(N973)</f>
        <v>ERRO - REVISAR</v>
      </c>
      <c r="I973" s="41" t="str">
        <f t="array" ref="I973">+CALIBRESTD(O973)</f>
        <v>ERRO - REVISAR</v>
      </c>
    </row>
    <row r="974" spans="1:9" ht="14.25" customHeight="1" x14ac:dyDescent="0.35">
      <c r="A974" t="str">
        <f t="array" ref="A974">EXTRACTEVENT(Q974,S974)</f>
        <v/>
      </c>
      <c r="B974" t="str">
        <f t="shared" si="45"/>
        <v>-</v>
      </c>
      <c r="C974" t="e">
        <f>+VLOOKUP(R974,Maps!$A:$C,2,0)</f>
        <v>#N/A</v>
      </c>
      <c r="D974" t="e">
        <f t="shared" si="46"/>
        <v>#VALUE!</v>
      </c>
      <c r="E974" s="39" t="e">
        <f t="shared" si="47"/>
        <v>#VALUE!</v>
      </c>
      <c r="F974" s="7" t="str">
        <f t="array" ref="F974">+TIPOARMA(H974,I974)</f>
        <v>ERRO - REVISAR</v>
      </c>
      <c r="H974" t="str">
        <f t="array" ref="H974">+ARMASTD(N974)</f>
        <v>ERRO - REVISAR</v>
      </c>
      <c r="I974" t="str">
        <f t="array" ref="I974">+CALIBRESTD(O974)</f>
        <v>ERRO - REVISAR</v>
      </c>
    </row>
    <row r="975" spans="1:9" ht="14.25" customHeight="1" x14ac:dyDescent="0.35">
      <c r="A975" s="41" t="str">
        <f t="array" ref="A975">EXTRACTEVENT(Q975,S975)</f>
        <v/>
      </c>
      <c r="B975" s="41" t="str">
        <f t="shared" si="45"/>
        <v>-</v>
      </c>
      <c r="C975" s="41" t="e">
        <f>+VLOOKUP(R975,Maps!$A:$C,2,0)</f>
        <v>#N/A</v>
      </c>
      <c r="D975" s="41" t="e">
        <f t="shared" si="46"/>
        <v>#VALUE!</v>
      </c>
      <c r="E975" s="42" t="e">
        <f t="shared" si="47"/>
        <v>#VALUE!</v>
      </c>
      <c r="F975" s="43" t="str">
        <f t="array" ref="F975">+TIPOARMA(H975,I975)</f>
        <v>ERRO - REVISAR</v>
      </c>
      <c r="G975" s="41"/>
      <c r="H975" s="41" t="str">
        <f t="array" ref="H975">+ARMASTD(N975)</f>
        <v>ERRO - REVISAR</v>
      </c>
      <c r="I975" s="41" t="str">
        <f t="array" ref="I975">+CALIBRESTD(O975)</f>
        <v>ERRO - REVISAR</v>
      </c>
    </row>
    <row r="976" spans="1:9" ht="14.25" customHeight="1" x14ac:dyDescent="0.35">
      <c r="A976" t="str">
        <f t="array" ref="A976">EXTRACTEVENT(Q976,S976)</f>
        <v/>
      </c>
      <c r="B976" t="str">
        <f t="shared" si="45"/>
        <v>-</v>
      </c>
      <c r="C976" t="e">
        <f>+VLOOKUP(R976,Maps!$A:$C,2,0)</f>
        <v>#N/A</v>
      </c>
      <c r="D976" t="e">
        <f t="shared" si="46"/>
        <v>#VALUE!</v>
      </c>
      <c r="E976" s="39" t="e">
        <f t="shared" si="47"/>
        <v>#VALUE!</v>
      </c>
      <c r="F976" s="7" t="str">
        <f t="array" ref="F976">+TIPOARMA(H976,I976)</f>
        <v>ERRO - REVISAR</v>
      </c>
      <c r="H976" t="str">
        <f t="array" ref="H976">+ARMASTD(N976)</f>
        <v>ERRO - REVISAR</v>
      </c>
      <c r="I976" t="str">
        <f t="array" ref="I976">+CALIBRESTD(O976)</f>
        <v>ERRO - REVISAR</v>
      </c>
    </row>
    <row r="977" spans="1:9" ht="14.25" customHeight="1" x14ac:dyDescent="0.35">
      <c r="A977" s="41" t="str">
        <f t="array" ref="A977">EXTRACTEVENT(Q977,S977)</f>
        <v/>
      </c>
      <c r="B977" s="41" t="str">
        <f t="shared" si="45"/>
        <v>-</v>
      </c>
      <c r="C977" s="41" t="e">
        <f>+VLOOKUP(R977,Maps!$A:$C,2,0)</f>
        <v>#N/A</v>
      </c>
      <c r="D977" s="41" t="e">
        <f t="shared" si="46"/>
        <v>#VALUE!</v>
      </c>
      <c r="E977" s="42" t="e">
        <f t="shared" si="47"/>
        <v>#VALUE!</v>
      </c>
      <c r="F977" s="43" t="str">
        <f t="array" ref="F977">+TIPOARMA(H977,I977)</f>
        <v>ERRO - REVISAR</v>
      </c>
      <c r="G977" s="41"/>
      <c r="H977" s="41" t="str">
        <f t="array" ref="H977">+ARMASTD(N977)</f>
        <v>ERRO - REVISAR</v>
      </c>
      <c r="I977" s="41" t="str">
        <f t="array" ref="I977">+CALIBRESTD(O977)</f>
        <v>ERRO - REVISAR</v>
      </c>
    </row>
    <row r="978" spans="1:9" ht="14.25" customHeight="1" x14ac:dyDescent="0.35">
      <c r="A978" t="str">
        <f t="array" ref="A978">EXTRACTEVENT(Q978,S978)</f>
        <v/>
      </c>
      <c r="B978" t="str">
        <f t="shared" si="45"/>
        <v>-</v>
      </c>
      <c r="C978" t="e">
        <f>+VLOOKUP(R978,Maps!$A:$C,2,0)</f>
        <v>#N/A</v>
      </c>
      <c r="D978" t="e">
        <f t="shared" si="46"/>
        <v>#VALUE!</v>
      </c>
      <c r="E978" s="39" t="e">
        <f t="shared" si="47"/>
        <v>#VALUE!</v>
      </c>
      <c r="F978" s="7" t="str">
        <f t="array" ref="F978">+TIPOARMA(H978,I978)</f>
        <v>ERRO - REVISAR</v>
      </c>
      <c r="H978" t="str">
        <f t="array" ref="H978">+ARMASTD(N978)</f>
        <v>ERRO - REVISAR</v>
      </c>
      <c r="I978" t="str">
        <f t="array" ref="I978">+CALIBRESTD(O978)</f>
        <v>ERRO - REVISAR</v>
      </c>
    </row>
    <row r="979" spans="1:9" ht="14.25" customHeight="1" x14ac:dyDescent="0.35">
      <c r="A979" s="41" t="str">
        <f t="array" ref="A979">EXTRACTEVENT(Q979,S979)</f>
        <v/>
      </c>
      <c r="B979" s="41" t="str">
        <f t="shared" si="45"/>
        <v>-</v>
      </c>
      <c r="C979" s="41" t="e">
        <f>+VLOOKUP(R979,Maps!$A:$C,2,0)</f>
        <v>#N/A</v>
      </c>
      <c r="D979" s="41" t="e">
        <f t="shared" si="46"/>
        <v>#VALUE!</v>
      </c>
      <c r="E979" s="42" t="e">
        <f t="shared" si="47"/>
        <v>#VALUE!</v>
      </c>
      <c r="F979" s="43" t="str">
        <f t="array" ref="F979">+TIPOARMA(H979,I979)</f>
        <v>ERRO - REVISAR</v>
      </c>
      <c r="G979" s="41"/>
      <c r="H979" s="41" t="str">
        <f t="array" ref="H979">+ARMASTD(N979)</f>
        <v>ERRO - REVISAR</v>
      </c>
      <c r="I979" s="41" t="str">
        <f t="array" ref="I979">+CALIBRESTD(O979)</f>
        <v>ERRO - REVISAR</v>
      </c>
    </row>
    <row r="980" spans="1:9" ht="14.25" customHeight="1" x14ac:dyDescent="0.35">
      <c r="A980" t="str">
        <f t="array" ref="A980">EXTRACTEVENT(Q980,S980)</f>
        <v/>
      </c>
      <c r="B980" t="str">
        <f t="shared" si="45"/>
        <v>-</v>
      </c>
      <c r="C980" t="e">
        <f>+VLOOKUP(R980,Maps!$A:$C,2,0)</f>
        <v>#N/A</v>
      </c>
      <c r="D980" t="e">
        <f t="shared" si="46"/>
        <v>#VALUE!</v>
      </c>
      <c r="E980" s="39" t="e">
        <f t="shared" si="47"/>
        <v>#VALUE!</v>
      </c>
      <c r="F980" s="7" t="str">
        <f t="array" ref="F980">+TIPOARMA(H980,I980)</f>
        <v>ERRO - REVISAR</v>
      </c>
      <c r="H980" t="str">
        <f t="array" ref="H980">+ARMASTD(N980)</f>
        <v>ERRO - REVISAR</v>
      </c>
      <c r="I980" t="str">
        <f t="array" ref="I980">+CALIBRESTD(O980)</f>
        <v>ERRO - REVISAR</v>
      </c>
    </row>
    <row r="981" spans="1:9" ht="14.25" customHeight="1" x14ac:dyDescent="0.35">
      <c r="A981" s="41" t="str">
        <f t="array" ref="A981">EXTRACTEVENT(Q981,S981)</f>
        <v/>
      </c>
      <c r="B981" s="41" t="str">
        <f t="shared" si="45"/>
        <v>-</v>
      </c>
      <c r="C981" s="41" t="e">
        <f>+VLOOKUP(R981,Maps!$A:$C,2,0)</f>
        <v>#N/A</v>
      </c>
      <c r="D981" s="41" t="e">
        <f t="shared" si="46"/>
        <v>#VALUE!</v>
      </c>
      <c r="E981" s="42" t="e">
        <f t="shared" si="47"/>
        <v>#VALUE!</v>
      </c>
      <c r="F981" s="43" t="str">
        <f t="array" ref="F981">+TIPOARMA(H981,I981)</f>
        <v>ERRO - REVISAR</v>
      </c>
      <c r="G981" s="41"/>
      <c r="H981" s="41" t="str">
        <f t="array" ref="H981">+ARMASTD(N981)</f>
        <v>ERRO - REVISAR</v>
      </c>
      <c r="I981" s="41" t="str">
        <f t="array" ref="I981">+CALIBRESTD(O981)</f>
        <v>ERRO - REVISAR</v>
      </c>
    </row>
    <row r="982" spans="1:9" ht="14.25" customHeight="1" x14ac:dyDescent="0.35">
      <c r="A982" t="str">
        <f t="array" ref="A982">EXTRACTEVENT(Q982,S982)</f>
        <v/>
      </c>
      <c r="B982" t="str">
        <f t="shared" si="45"/>
        <v>-</v>
      </c>
      <c r="C982" t="e">
        <f>+VLOOKUP(R982,Maps!$A:$C,2,0)</f>
        <v>#N/A</v>
      </c>
      <c r="D982" t="e">
        <f t="shared" si="46"/>
        <v>#VALUE!</v>
      </c>
      <c r="E982" s="39" t="e">
        <f t="shared" si="47"/>
        <v>#VALUE!</v>
      </c>
      <c r="F982" s="7" t="str">
        <f t="array" ref="F982">+TIPOARMA(H982,I982)</f>
        <v>ERRO - REVISAR</v>
      </c>
      <c r="H982" t="str">
        <f t="array" ref="H982">+ARMASTD(N982)</f>
        <v>ERRO - REVISAR</v>
      </c>
      <c r="I982" t="str">
        <f t="array" ref="I982">+CALIBRESTD(O982)</f>
        <v>ERRO - REVISAR</v>
      </c>
    </row>
    <row r="983" spans="1:9" ht="14.25" customHeight="1" x14ac:dyDescent="0.35">
      <c r="A983" s="41" t="str">
        <f t="array" ref="A983">EXTRACTEVENT(Q983,S983)</f>
        <v/>
      </c>
      <c r="B983" s="41" t="str">
        <f t="shared" si="45"/>
        <v>-</v>
      </c>
      <c r="C983" s="41" t="e">
        <f>+VLOOKUP(R983,Maps!$A:$C,2,0)</f>
        <v>#N/A</v>
      </c>
      <c r="D983" s="41" t="e">
        <f t="shared" si="46"/>
        <v>#VALUE!</v>
      </c>
      <c r="E983" s="42" t="e">
        <f t="shared" si="47"/>
        <v>#VALUE!</v>
      </c>
      <c r="F983" s="43" t="str">
        <f t="array" ref="F983">+TIPOARMA(H983,I983)</f>
        <v>ERRO - REVISAR</v>
      </c>
      <c r="G983" s="41"/>
      <c r="H983" s="41" t="str">
        <f t="array" ref="H983">+ARMASTD(N983)</f>
        <v>ERRO - REVISAR</v>
      </c>
      <c r="I983" s="41" t="str">
        <f t="array" ref="I983">+CALIBRESTD(O983)</f>
        <v>ERRO - REVISAR</v>
      </c>
    </row>
    <row r="984" spans="1:9" ht="14.25" customHeight="1" x14ac:dyDescent="0.35">
      <c r="A984" t="str">
        <f t="array" ref="A984">EXTRACTEVENT(Q984,S984)</f>
        <v/>
      </c>
      <c r="B984" t="str">
        <f t="shared" si="45"/>
        <v>-</v>
      </c>
      <c r="C984" t="e">
        <f>+VLOOKUP(R984,Maps!$A:$C,2,0)</f>
        <v>#N/A</v>
      </c>
      <c r="D984" t="e">
        <f t="shared" si="46"/>
        <v>#VALUE!</v>
      </c>
      <c r="E984" s="39" t="e">
        <f t="shared" si="47"/>
        <v>#VALUE!</v>
      </c>
      <c r="F984" s="7" t="str">
        <f t="array" ref="F984">+TIPOARMA(H984,I984)</f>
        <v>ERRO - REVISAR</v>
      </c>
      <c r="H984" t="str">
        <f t="array" ref="H984">+ARMASTD(N984)</f>
        <v>ERRO - REVISAR</v>
      </c>
      <c r="I984" t="str">
        <f t="array" ref="I984">+CALIBRESTD(O984)</f>
        <v>ERRO - REVISAR</v>
      </c>
    </row>
    <row r="985" spans="1:9" ht="14.25" customHeight="1" x14ac:dyDescent="0.35">
      <c r="A985" s="41" t="str">
        <f t="array" ref="A985">EXTRACTEVENT(Q985,S985)</f>
        <v/>
      </c>
      <c r="B985" s="41" t="str">
        <f t="shared" si="45"/>
        <v>-</v>
      </c>
      <c r="C985" s="41" t="e">
        <f>+VLOOKUP(R985,Maps!$A:$C,2,0)</f>
        <v>#N/A</v>
      </c>
      <c r="D985" s="41" t="e">
        <f t="shared" si="46"/>
        <v>#VALUE!</v>
      </c>
      <c r="E985" s="42" t="e">
        <f t="shared" si="47"/>
        <v>#VALUE!</v>
      </c>
      <c r="F985" s="43" t="str">
        <f t="array" ref="F985">+TIPOARMA(H985,I985)</f>
        <v>ERRO - REVISAR</v>
      </c>
      <c r="G985" s="41"/>
      <c r="H985" s="41" t="str">
        <f t="array" ref="H985">+ARMASTD(N985)</f>
        <v>ERRO - REVISAR</v>
      </c>
      <c r="I985" s="41" t="str">
        <f t="array" ref="I985">+CALIBRESTD(O985)</f>
        <v>ERRO - REVISAR</v>
      </c>
    </row>
    <row r="986" spans="1:9" ht="14.25" customHeight="1" x14ac:dyDescent="0.35">
      <c r="A986" t="str">
        <f t="array" ref="A986">EXTRACTEVENT(Q986,S986)</f>
        <v/>
      </c>
      <c r="B986" t="str">
        <f t="shared" si="45"/>
        <v>-</v>
      </c>
      <c r="C986" t="e">
        <f>+VLOOKUP(R986,Maps!$A:$C,2,0)</f>
        <v>#N/A</v>
      </c>
      <c r="D986" t="e">
        <f t="shared" si="46"/>
        <v>#VALUE!</v>
      </c>
      <c r="E986" s="39" t="e">
        <f t="shared" si="47"/>
        <v>#VALUE!</v>
      </c>
      <c r="F986" s="7" t="str">
        <f t="array" ref="F986">+TIPOARMA(H986,I986)</f>
        <v>ERRO - REVISAR</v>
      </c>
      <c r="H986" t="str">
        <f t="array" ref="H986">+ARMASTD(N986)</f>
        <v>ERRO - REVISAR</v>
      </c>
      <c r="I986" t="str">
        <f t="array" ref="I986">+CALIBRESTD(O986)</f>
        <v>ERRO - REVISAR</v>
      </c>
    </row>
    <row r="987" spans="1:9" ht="14.25" customHeight="1" x14ac:dyDescent="0.35">
      <c r="A987" s="41" t="str">
        <f t="array" ref="A987">EXTRACTEVENT(Q987,S987)</f>
        <v/>
      </c>
      <c r="B987" s="41" t="str">
        <f t="shared" si="45"/>
        <v>-</v>
      </c>
      <c r="C987" s="41" t="e">
        <f>+VLOOKUP(R987,Maps!$A:$C,2,0)</f>
        <v>#N/A</v>
      </c>
      <c r="D987" s="41" t="e">
        <f t="shared" si="46"/>
        <v>#VALUE!</v>
      </c>
      <c r="E987" s="42" t="e">
        <f t="shared" si="47"/>
        <v>#VALUE!</v>
      </c>
      <c r="F987" s="43" t="str">
        <f t="array" ref="F987">+TIPOARMA(H987,I987)</f>
        <v>ERRO - REVISAR</v>
      </c>
      <c r="G987" s="41"/>
      <c r="H987" s="41" t="str">
        <f t="array" ref="H987">+ARMASTD(N987)</f>
        <v>ERRO - REVISAR</v>
      </c>
      <c r="I987" s="41" t="str">
        <f t="array" ref="I987">+CALIBRESTD(O987)</f>
        <v>ERRO - REVISAR</v>
      </c>
    </row>
    <row r="988" spans="1:9" ht="14.25" customHeight="1" x14ac:dyDescent="0.35">
      <c r="A988" t="str">
        <f t="array" ref="A988">EXTRACTEVENT(Q988,S988)</f>
        <v/>
      </c>
      <c r="B988" t="str">
        <f t="shared" si="45"/>
        <v>-</v>
      </c>
      <c r="C988" t="e">
        <f>+VLOOKUP(R988,Maps!$A:$C,2,0)</f>
        <v>#N/A</v>
      </c>
      <c r="D988" t="e">
        <f t="shared" si="46"/>
        <v>#VALUE!</v>
      </c>
      <c r="E988" s="39" t="e">
        <f t="shared" si="47"/>
        <v>#VALUE!</v>
      </c>
      <c r="F988" s="7" t="str">
        <f t="array" ref="F988">+TIPOARMA(H988,I988)</f>
        <v>ERRO - REVISAR</v>
      </c>
      <c r="H988" t="str">
        <f t="array" ref="H988">+ARMASTD(N988)</f>
        <v>ERRO - REVISAR</v>
      </c>
      <c r="I988" t="str">
        <f t="array" ref="I988">+CALIBRESTD(O988)</f>
        <v>ERRO - REVISAR</v>
      </c>
    </row>
    <row r="989" spans="1:9" ht="14.25" customHeight="1" x14ac:dyDescent="0.35">
      <c r="A989" s="41" t="str">
        <f t="array" ref="A989">EXTRACTEVENT(Q989,S989)</f>
        <v/>
      </c>
      <c r="B989" s="41" t="str">
        <f t="shared" si="45"/>
        <v>-</v>
      </c>
      <c r="C989" s="41" t="e">
        <f>+VLOOKUP(R989,Maps!$A:$C,2,0)</f>
        <v>#N/A</v>
      </c>
      <c r="D989" s="41" t="e">
        <f t="shared" si="46"/>
        <v>#VALUE!</v>
      </c>
      <c r="E989" s="42" t="e">
        <f t="shared" si="47"/>
        <v>#VALUE!</v>
      </c>
      <c r="F989" s="43" t="str">
        <f t="array" ref="F989">+TIPOARMA(H989,I989)</f>
        <v>ERRO - REVISAR</v>
      </c>
      <c r="G989" s="41"/>
      <c r="H989" s="41" t="str">
        <f t="array" ref="H989">+ARMASTD(N989)</f>
        <v>ERRO - REVISAR</v>
      </c>
      <c r="I989" s="41" t="str">
        <f t="array" ref="I989">+CALIBRESTD(O989)</f>
        <v>ERRO - REVISAR</v>
      </c>
    </row>
    <row r="990" spans="1:9" ht="14.25" customHeight="1" x14ac:dyDescent="0.35">
      <c r="A990" t="str">
        <f t="array" ref="A990">EXTRACTEVENT(Q990,S990)</f>
        <v/>
      </c>
      <c r="B990" t="str">
        <f t="shared" si="45"/>
        <v>-</v>
      </c>
      <c r="C990" t="e">
        <f>+VLOOKUP(R990,Maps!$A:$C,2,0)</f>
        <v>#N/A</v>
      </c>
      <c r="D990" t="e">
        <f t="shared" si="46"/>
        <v>#VALUE!</v>
      </c>
      <c r="E990" s="39" t="e">
        <f t="shared" si="47"/>
        <v>#VALUE!</v>
      </c>
      <c r="F990" s="7" t="str">
        <f t="array" ref="F990">+TIPOARMA(H990,I990)</f>
        <v>ERRO - REVISAR</v>
      </c>
      <c r="H990" t="str">
        <f t="array" ref="H990">+ARMASTD(N990)</f>
        <v>ERRO - REVISAR</v>
      </c>
      <c r="I990" t="str">
        <f t="array" ref="I990">+CALIBRESTD(O990)</f>
        <v>ERRO - REVISAR</v>
      </c>
    </row>
    <row r="991" spans="1:9" ht="14.25" customHeight="1" x14ac:dyDescent="0.35">
      <c r="A991" s="41" t="str">
        <f t="array" ref="A991">EXTRACTEVENT(Q991,S991)</f>
        <v/>
      </c>
      <c r="B991" s="41" t="str">
        <f t="shared" si="45"/>
        <v>-</v>
      </c>
      <c r="C991" s="41" t="e">
        <f>+VLOOKUP(R991,Maps!$A:$C,2,0)</f>
        <v>#N/A</v>
      </c>
      <c r="D991" s="41" t="e">
        <f t="shared" si="46"/>
        <v>#VALUE!</v>
      </c>
      <c r="E991" s="42" t="e">
        <f t="shared" si="47"/>
        <v>#VALUE!</v>
      </c>
      <c r="F991" s="43" t="str">
        <f t="array" ref="F991">+TIPOARMA(H991,I991)</f>
        <v>ERRO - REVISAR</v>
      </c>
      <c r="G991" s="41"/>
      <c r="H991" s="41" t="str">
        <f t="array" ref="H991">+ARMASTD(N991)</f>
        <v>ERRO - REVISAR</v>
      </c>
      <c r="I991" s="41" t="str">
        <f t="array" ref="I991">+CALIBRESTD(O991)</f>
        <v>ERRO - REVISAR</v>
      </c>
    </row>
    <row r="992" spans="1:9" ht="14.25" customHeight="1" x14ac:dyDescent="0.35">
      <c r="A992" t="str">
        <f t="array" ref="A992">EXTRACTEVENT(Q992,S992)</f>
        <v/>
      </c>
      <c r="B992" t="str">
        <f t="shared" si="45"/>
        <v>-</v>
      </c>
      <c r="C992" t="e">
        <f>+VLOOKUP(R992,Maps!$A:$C,2,0)</f>
        <v>#N/A</v>
      </c>
      <c r="D992" t="e">
        <f t="shared" si="46"/>
        <v>#VALUE!</v>
      </c>
      <c r="E992" s="39" t="e">
        <f t="shared" si="47"/>
        <v>#VALUE!</v>
      </c>
      <c r="F992" s="7" t="str">
        <f t="array" ref="F992">+TIPOARMA(H992,I992)</f>
        <v>ERRO - REVISAR</v>
      </c>
      <c r="H992" t="str">
        <f t="array" ref="H992">+ARMASTD(N992)</f>
        <v>ERRO - REVISAR</v>
      </c>
      <c r="I992" t="str">
        <f t="array" ref="I992">+CALIBRESTD(O992)</f>
        <v>ERRO - REVISAR</v>
      </c>
    </row>
    <row r="993" spans="1:9" ht="14.25" customHeight="1" x14ac:dyDescent="0.35">
      <c r="A993" s="41" t="str">
        <f t="array" ref="A993">EXTRACTEVENT(Q993,S993)</f>
        <v/>
      </c>
      <c r="B993" s="41" t="str">
        <f t="shared" si="45"/>
        <v>-</v>
      </c>
      <c r="C993" s="41" t="e">
        <f>+VLOOKUP(R993,Maps!$A:$C,2,0)</f>
        <v>#N/A</v>
      </c>
      <c r="D993" s="41" t="e">
        <f t="shared" si="46"/>
        <v>#VALUE!</v>
      </c>
      <c r="E993" s="42" t="e">
        <f t="shared" si="47"/>
        <v>#VALUE!</v>
      </c>
      <c r="F993" s="43" t="str">
        <f t="array" ref="F993">+TIPOARMA(H993,I993)</f>
        <v>ERRO - REVISAR</v>
      </c>
      <c r="G993" s="41"/>
      <c r="H993" s="41" t="str">
        <f t="array" ref="H993">+ARMASTD(N993)</f>
        <v>ERRO - REVISAR</v>
      </c>
      <c r="I993" s="41" t="str">
        <f t="array" ref="I993">+CALIBRESTD(O993)</f>
        <v>ERRO - REVISAR</v>
      </c>
    </row>
    <row r="994" spans="1:9" ht="14.25" customHeight="1" x14ac:dyDescent="0.35">
      <c r="A994" t="str">
        <f t="array" ref="A994">EXTRACTEVENT(Q994,S994)</f>
        <v/>
      </c>
      <c r="B994" t="str">
        <f t="shared" si="45"/>
        <v>-</v>
      </c>
      <c r="C994" t="e">
        <f>+VLOOKUP(R994,Maps!$A:$C,2,0)</f>
        <v>#N/A</v>
      </c>
      <c r="D994" t="e">
        <f t="shared" si="46"/>
        <v>#VALUE!</v>
      </c>
      <c r="E994" s="39" t="e">
        <f t="shared" si="47"/>
        <v>#VALUE!</v>
      </c>
      <c r="F994" s="7" t="str">
        <f t="array" ref="F994">+TIPOARMA(H994,I994)</f>
        <v>ERRO - REVISAR</v>
      </c>
      <c r="H994" t="str">
        <f t="array" ref="H994">+ARMASTD(N994)</f>
        <v>ERRO - REVISAR</v>
      </c>
      <c r="I994" t="str">
        <f t="array" ref="I994">+CALIBRESTD(O994)</f>
        <v>ERRO - REVISAR</v>
      </c>
    </row>
    <row r="995" spans="1:9" ht="14.25" customHeight="1" x14ac:dyDescent="0.35">
      <c r="A995" s="41" t="str">
        <f t="array" ref="A995">EXTRACTEVENT(Q995,S995)</f>
        <v/>
      </c>
      <c r="B995" s="41" t="str">
        <f t="shared" si="45"/>
        <v>-</v>
      </c>
      <c r="C995" s="41" t="e">
        <f>+VLOOKUP(R995,Maps!$A:$C,2,0)</f>
        <v>#N/A</v>
      </c>
      <c r="D995" s="41" t="e">
        <f t="shared" si="46"/>
        <v>#VALUE!</v>
      </c>
      <c r="E995" s="42" t="e">
        <f t="shared" si="47"/>
        <v>#VALUE!</v>
      </c>
      <c r="F995" s="43" t="str">
        <f t="array" ref="F995">+TIPOARMA(H995,I995)</f>
        <v>ERRO - REVISAR</v>
      </c>
      <c r="G995" s="41"/>
      <c r="H995" s="41" t="str">
        <f t="array" ref="H995">+ARMASTD(N995)</f>
        <v>ERRO - REVISAR</v>
      </c>
      <c r="I995" s="41" t="str">
        <f t="array" ref="I995">+CALIBRESTD(O995)</f>
        <v>ERRO - REVISAR</v>
      </c>
    </row>
    <row r="996" spans="1:9" ht="14.25" customHeight="1" x14ac:dyDescent="0.35">
      <c r="A996" t="str">
        <f t="array" ref="A996">EXTRACTEVENT(Q996,S996)</f>
        <v/>
      </c>
      <c r="B996" t="str">
        <f t="shared" si="45"/>
        <v>-</v>
      </c>
      <c r="C996" t="e">
        <f>+VLOOKUP(R996,Maps!$A:$C,2,0)</f>
        <v>#N/A</v>
      </c>
      <c r="D996" t="e">
        <f t="shared" si="46"/>
        <v>#VALUE!</v>
      </c>
      <c r="E996" s="39" t="e">
        <f t="shared" si="47"/>
        <v>#VALUE!</v>
      </c>
      <c r="F996" s="7" t="str">
        <f t="array" ref="F996">+TIPOARMA(H996,I996)</f>
        <v>ERRO - REVISAR</v>
      </c>
      <c r="H996" t="str">
        <f t="array" ref="H996">+ARMASTD(N996)</f>
        <v>ERRO - REVISAR</v>
      </c>
      <c r="I996" t="str">
        <f t="array" ref="I996">+CALIBRESTD(O996)</f>
        <v>ERRO - REVISAR</v>
      </c>
    </row>
    <row r="997" spans="1:9" ht="14.25" customHeight="1" x14ac:dyDescent="0.35">
      <c r="A997" s="41" t="str">
        <f t="array" ref="A997">EXTRACTEVENT(Q997,S997)</f>
        <v/>
      </c>
      <c r="B997" s="41" t="str">
        <f t="shared" si="45"/>
        <v>-</v>
      </c>
      <c r="C997" s="41" t="e">
        <f>+VLOOKUP(R997,Maps!$A:$C,2,0)</f>
        <v>#N/A</v>
      </c>
      <c r="D997" s="41" t="e">
        <f t="shared" si="46"/>
        <v>#VALUE!</v>
      </c>
      <c r="E997" s="42" t="e">
        <f t="shared" si="47"/>
        <v>#VALUE!</v>
      </c>
      <c r="F997" s="43" t="str">
        <f t="array" ref="F997">+TIPOARMA(H997,I997)</f>
        <v>ERRO - REVISAR</v>
      </c>
      <c r="G997" s="41"/>
      <c r="H997" s="41" t="str">
        <f t="array" ref="H997">+ARMASTD(N997)</f>
        <v>ERRO - REVISAR</v>
      </c>
      <c r="I997" s="41" t="str">
        <f t="array" ref="I997">+CALIBRESTD(O997)</f>
        <v>ERRO - REVISAR</v>
      </c>
    </row>
    <row r="998" spans="1:9" ht="14.25" customHeight="1" x14ac:dyDescent="0.35">
      <c r="A998" t="str">
        <f t="array" ref="A998">EXTRACTEVENT(Q998,S998)</f>
        <v/>
      </c>
      <c r="B998" t="str">
        <f t="shared" si="45"/>
        <v>-</v>
      </c>
      <c r="C998" t="e">
        <f>+VLOOKUP(R998,Maps!$A:$C,2,0)</f>
        <v>#N/A</v>
      </c>
      <c r="D998" t="e">
        <f t="shared" si="46"/>
        <v>#VALUE!</v>
      </c>
      <c r="E998" s="39" t="e">
        <f t="shared" si="47"/>
        <v>#VALUE!</v>
      </c>
      <c r="F998" s="7" t="str">
        <f t="array" ref="F998">+TIPOARMA(H998,I998)</f>
        <v>ERRO - REVISAR</v>
      </c>
      <c r="H998" t="str">
        <f t="array" ref="H998">+ARMASTD(N998)</f>
        <v>ERRO - REVISAR</v>
      </c>
      <c r="I998" t="str">
        <f t="array" ref="I998">+CALIBRESTD(O998)</f>
        <v>ERRO - REVISAR</v>
      </c>
    </row>
    <row r="999" spans="1:9" ht="14.25" customHeight="1" x14ac:dyDescent="0.35">
      <c r="A999" s="41" t="str">
        <f t="array" ref="A999">EXTRACTEVENT(Q999,S999)</f>
        <v/>
      </c>
      <c r="B999" s="41" t="str">
        <f t="shared" si="45"/>
        <v>-</v>
      </c>
      <c r="C999" s="41" t="e">
        <f>+VLOOKUP(R999,Maps!$A:$C,2,0)</f>
        <v>#N/A</v>
      </c>
      <c r="D999" s="41" t="e">
        <f t="shared" si="46"/>
        <v>#VALUE!</v>
      </c>
      <c r="E999" s="42" t="e">
        <f t="shared" si="47"/>
        <v>#VALUE!</v>
      </c>
      <c r="F999" s="43" t="str">
        <f t="array" ref="F999">+TIPOARMA(H999,I999)</f>
        <v>ERRO - REVISAR</v>
      </c>
      <c r="G999" s="41"/>
      <c r="H999" s="41" t="str">
        <f t="array" ref="H999">+ARMASTD(N999)</f>
        <v>ERRO - REVISAR</v>
      </c>
      <c r="I999" s="41" t="str">
        <f t="array" ref="I999">+CALIBRESTD(O999)</f>
        <v>ERRO - REVISAR</v>
      </c>
    </row>
    <row r="1000" spans="1:9" ht="14.25" customHeight="1" x14ac:dyDescent="0.35">
      <c r="A1000" t="str">
        <f t="array" ref="A1000">EXTRACTEVENT(Q1000,S1000)</f>
        <v/>
      </c>
      <c r="B1000" t="str">
        <f t="shared" si="45"/>
        <v>-</v>
      </c>
      <c r="C1000" t="e">
        <f>+VLOOKUP(R1000,Maps!$A:$C,2,0)</f>
        <v>#N/A</v>
      </c>
      <c r="D1000" t="e">
        <f t="shared" si="46"/>
        <v>#VALUE!</v>
      </c>
      <c r="E1000" s="39" t="e">
        <f t="shared" si="47"/>
        <v>#VALUE!</v>
      </c>
      <c r="F1000" s="7" t="str">
        <f t="array" ref="F1000">+TIPOARMA(H1000,I1000)</f>
        <v>ERRO - REVISAR</v>
      </c>
      <c r="H1000" t="str">
        <f t="array" ref="H1000">+ARMASTD(N1000)</f>
        <v>ERRO - REVISAR</v>
      </c>
      <c r="I1000" t="str">
        <f t="array" ref="I1000">+CALIBRESTD(O1000)</f>
        <v>ERRO - REVISAR</v>
      </c>
    </row>
    <row r="1001" spans="1:9" ht="14.25" customHeight="1" x14ac:dyDescent="0.35">
      <c r="A1001" s="41" t="str">
        <f t="array" ref="A1001">EXTRACTEVENT(Q1001,S1001)</f>
        <v/>
      </c>
      <c r="B1001" s="41" t="str">
        <f t="shared" si="45"/>
        <v>-</v>
      </c>
      <c r="C1001" s="41" t="e">
        <f>+VLOOKUP(R1001,Maps!$A:$C,2,0)</f>
        <v>#N/A</v>
      </c>
      <c r="D1001" s="41" t="e">
        <f t="shared" si="46"/>
        <v>#VALUE!</v>
      </c>
      <c r="E1001" s="42" t="e">
        <f t="shared" si="47"/>
        <v>#VALUE!</v>
      </c>
      <c r="F1001" s="43" t="str">
        <f t="array" ref="F1001">+TIPOARMA(H1001,I1001)</f>
        <v>ERRO - REVISAR</v>
      </c>
      <c r="G1001" s="41"/>
      <c r="H1001" s="41" t="str">
        <f t="array" ref="H1001">+ARMASTD(N1001)</f>
        <v>ERRO - REVISAR</v>
      </c>
      <c r="I1001" s="41" t="str">
        <f t="array" ref="I1001">+CALIBRESTD(O1001)</f>
        <v>ERRO - REVISAR</v>
      </c>
    </row>
    <row r="1002" spans="1:9" ht="14.25" customHeight="1" x14ac:dyDescent="0.35">
      <c r="A1002" t="str">
        <f t="array" ref="A1002">EXTRACTEVENT(Q1002,S1002)</f>
        <v/>
      </c>
      <c r="B1002" t="str">
        <f t="shared" si="45"/>
        <v>-</v>
      </c>
      <c r="C1002" t="e">
        <f>+VLOOKUP(R1002,Maps!$A:$C,2,0)</f>
        <v>#N/A</v>
      </c>
      <c r="D1002" t="e">
        <f t="shared" si="46"/>
        <v>#VALUE!</v>
      </c>
      <c r="E1002" s="39" t="e">
        <f t="shared" si="47"/>
        <v>#VALUE!</v>
      </c>
      <c r="F1002" s="7" t="str">
        <f t="array" ref="F1002">+TIPOARMA(H1002,I1002)</f>
        <v>ERRO - REVISAR</v>
      </c>
      <c r="H1002" t="str">
        <f t="array" ref="H1002">+ARMASTD(N1002)</f>
        <v>ERRO - REVISAR</v>
      </c>
      <c r="I1002" t="str">
        <f t="array" ref="I1002">+CALIBRESTD(O1002)</f>
        <v>ERRO - REVISAR</v>
      </c>
    </row>
    <row r="1003" spans="1:9" ht="14.25" customHeight="1" x14ac:dyDescent="0.35">
      <c r="A1003" s="41" t="str">
        <f t="array" ref="A1003">EXTRACTEVENT(Q1003,S1003)</f>
        <v/>
      </c>
      <c r="B1003" s="41" t="str">
        <f t="shared" si="45"/>
        <v>-</v>
      </c>
      <c r="C1003" s="41" t="e">
        <f>+VLOOKUP(R1003,Maps!$A:$C,2,0)</f>
        <v>#N/A</v>
      </c>
      <c r="D1003" s="41" t="e">
        <f t="shared" si="46"/>
        <v>#VALUE!</v>
      </c>
      <c r="E1003" s="42" t="e">
        <f t="shared" si="47"/>
        <v>#VALUE!</v>
      </c>
      <c r="F1003" s="43" t="str">
        <f t="array" ref="F1003">+TIPOARMA(H1003,I1003)</f>
        <v>ERRO - REVISAR</v>
      </c>
      <c r="G1003" s="41"/>
      <c r="H1003" s="41" t="str">
        <f t="array" ref="H1003">+ARMASTD(N1003)</f>
        <v>ERRO - REVISAR</v>
      </c>
      <c r="I1003" s="41" t="str">
        <f t="array" ref="I1003">+CALIBRESTD(O1003)</f>
        <v>ERRO - REVISAR</v>
      </c>
    </row>
    <row r="1004" spans="1:9" ht="14.25" customHeight="1" x14ac:dyDescent="0.35">
      <c r="A1004" t="str">
        <f t="array" ref="A1004">EXTRACTEVENT(Q1004,S1004)</f>
        <v/>
      </c>
      <c r="B1004" t="str">
        <f t="shared" si="45"/>
        <v>-</v>
      </c>
      <c r="C1004" t="e">
        <f>+VLOOKUP(R1004,Maps!$A:$C,2,0)</f>
        <v>#N/A</v>
      </c>
      <c r="D1004" t="e">
        <f t="shared" si="46"/>
        <v>#VALUE!</v>
      </c>
      <c r="E1004" s="39" t="e">
        <f t="shared" si="47"/>
        <v>#VALUE!</v>
      </c>
      <c r="F1004" s="7" t="str">
        <f t="array" ref="F1004">+TIPOARMA(H1004,I1004)</f>
        <v>ERRO - REVISAR</v>
      </c>
      <c r="H1004" t="str">
        <f t="array" ref="H1004">+ARMASTD(N1004)</f>
        <v>ERRO - REVISAR</v>
      </c>
      <c r="I1004" t="str">
        <f t="array" ref="I1004">+CALIBRESTD(O1004)</f>
        <v>ERRO - REVISAR</v>
      </c>
    </row>
    <row r="1005" spans="1:9" ht="14.25" customHeight="1" x14ac:dyDescent="0.35">
      <c r="A1005" s="41" t="str">
        <f t="array" ref="A1005">EXTRACTEVENT(Q1005,S1005)</f>
        <v/>
      </c>
      <c r="B1005" s="41" t="str">
        <f t="shared" si="45"/>
        <v>-</v>
      </c>
      <c r="C1005" s="41" t="e">
        <f>+VLOOKUP(R1005,Maps!$A:$C,2,0)</f>
        <v>#N/A</v>
      </c>
      <c r="D1005" s="41" t="e">
        <f t="shared" si="46"/>
        <v>#VALUE!</v>
      </c>
      <c r="E1005" s="42" t="e">
        <f t="shared" si="47"/>
        <v>#VALUE!</v>
      </c>
      <c r="F1005" s="43" t="str">
        <f t="array" ref="F1005">+TIPOARMA(H1005,I1005)</f>
        <v>ERRO - REVISAR</v>
      </c>
      <c r="G1005" s="41"/>
      <c r="H1005" s="41" t="str">
        <f t="array" ref="H1005">+ARMASTD(N1005)</f>
        <v>ERRO - REVISAR</v>
      </c>
      <c r="I1005" s="41" t="str">
        <f t="array" ref="I1005">+CALIBRESTD(O1005)</f>
        <v>ERRO - REVISAR</v>
      </c>
    </row>
    <row r="1006" spans="1:9" ht="14.25" customHeight="1" x14ac:dyDescent="0.35">
      <c r="A1006" t="str">
        <f t="array" ref="A1006">EXTRACTEVENT(Q1006,S1006)</f>
        <v/>
      </c>
      <c r="B1006" t="str">
        <f t="shared" si="45"/>
        <v>-</v>
      </c>
      <c r="C1006" t="e">
        <f>+VLOOKUP(R1006,Maps!$A:$C,2,0)</f>
        <v>#N/A</v>
      </c>
      <c r="D1006" t="e">
        <f t="shared" si="46"/>
        <v>#VALUE!</v>
      </c>
      <c r="E1006" s="39" t="e">
        <f t="shared" si="47"/>
        <v>#VALUE!</v>
      </c>
      <c r="F1006" s="7" t="str">
        <f t="array" ref="F1006">+TIPOARMA(H1006,I1006)</f>
        <v>ERRO - REVISAR</v>
      </c>
      <c r="H1006" t="str">
        <f t="array" ref="H1006">+ARMASTD(N1006)</f>
        <v>ERRO - REVISAR</v>
      </c>
      <c r="I1006" t="str">
        <f t="array" ref="I1006">+CALIBRESTD(O1006)</f>
        <v>ERRO - REVISAR</v>
      </c>
    </row>
    <row r="1007" spans="1:9" ht="14.25" customHeight="1" x14ac:dyDescent="0.35">
      <c r="A1007" s="41" t="str">
        <f t="array" ref="A1007">EXTRACTEVENT(Q1007,S1007)</f>
        <v/>
      </c>
      <c r="B1007" s="41" t="str">
        <f t="shared" si="45"/>
        <v>-</v>
      </c>
      <c r="C1007" s="41" t="e">
        <f>+VLOOKUP(R1007,Maps!$A:$C,2,0)</f>
        <v>#N/A</v>
      </c>
      <c r="D1007" s="41" t="e">
        <f t="shared" si="46"/>
        <v>#VALUE!</v>
      </c>
      <c r="E1007" s="42" t="e">
        <f t="shared" si="47"/>
        <v>#VALUE!</v>
      </c>
      <c r="F1007" s="43" t="str">
        <f t="array" ref="F1007">+TIPOARMA(H1007,I1007)</f>
        <v>ERRO - REVISAR</v>
      </c>
      <c r="G1007" s="41"/>
      <c r="H1007" s="41" t="str">
        <f t="array" ref="H1007">+ARMASTD(N1007)</f>
        <v>ERRO - REVISAR</v>
      </c>
      <c r="I1007" s="41" t="str">
        <f t="array" ref="I1007">+CALIBRESTD(O1007)</f>
        <v>ERRO - REVISAR</v>
      </c>
    </row>
    <row r="1008" spans="1:9" ht="14.25" customHeight="1" x14ac:dyDescent="0.35">
      <c r="A1008" t="str">
        <f t="array" ref="A1008">EXTRACTEVENT(Q1008,S1008)</f>
        <v/>
      </c>
      <c r="B1008" t="str">
        <f t="shared" si="45"/>
        <v>-</v>
      </c>
      <c r="C1008" t="e">
        <f>+VLOOKUP(R1008,Maps!$A:$C,2,0)</f>
        <v>#N/A</v>
      </c>
      <c r="D1008" t="e">
        <f t="shared" si="46"/>
        <v>#VALUE!</v>
      </c>
      <c r="E1008" s="39" t="e">
        <f t="shared" si="47"/>
        <v>#VALUE!</v>
      </c>
      <c r="F1008" s="7" t="str">
        <f t="array" ref="F1008">+TIPOARMA(H1008,I1008)</f>
        <v>ERRO - REVISAR</v>
      </c>
      <c r="H1008" t="str">
        <f t="array" ref="H1008">+ARMASTD(N1008)</f>
        <v>ERRO - REVISAR</v>
      </c>
      <c r="I1008" t="str">
        <f t="array" ref="I1008">+CALIBRESTD(O1008)</f>
        <v>ERRO - REVISAR</v>
      </c>
    </row>
    <row r="1009" spans="1:9" ht="14.25" customHeight="1" x14ac:dyDescent="0.35">
      <c r="A1009" s="41" t="str">
        <f t="array" ref="A1009">EXTRACTEVENT(Q1009,S1009)</f>
        <v/>
      </c>
      <c r="B1009" s="41" t="str">
        <f t="shared" si="45"/>
        <v>-</v>
      </c>
      <c r="C1009" s="41" t="e">
        <f>+VLOOKUP(R1009,Maps!$A:$C,2,0)</f>
        <v>#N/A</v>
      </c>
      <c r="D1009" s="41" t="e">
        <f t="shared" si="46"/>
        <v>#VALUE!</v>
      </c>
      <c r="E1009" s="42" t="e">
        <f t="shared" si="47"/>
        <v>#VALUE!</v>
      </c>
      <c r="F1009" s="43" t="str">
        <f t="array" ref="F1009">+TIPOARMA(H1009,I1009)</f>
        <v>ERRO - REVISAR</v>
      </c>
      <c r="G1009" s="41"/>
      <c r="H1009" s="41" t="str">
        <f t="array" ref="H1009">+ARMASTD(N1009)</f>
        <v>ERRO - REVISAR</v>
      </c>
      <c r="I1009" s="41" t="str">
        <f t="array" ref="I1009">+CALIBRESTD(O1009)</f>
        <v>ERRO - REVISAR</v>
      </c>
    </row>
    <row r="1010" spans="1:9" ht="14.25" customHeight="1" x14ac:dyDescent="0.35">
      <c r="A1010" t="str">
        <f t="array" ref="A1010">EXTRACTEVENT(Q1010,S1010)</f>
        <v/>
      </c>
      <c r="B1010" t="str">
        <f t="shared" si="45"/>
        <v>-</v>
      </c>
      <c r="C1010" t="e">
        <f>+VLOOKUP(R1010,Maps!$A:$C,2,0)</f>
        <v>#N/A</v>
      </c>
      <c r="D1010" t="e">
        <f t="shared" si="46"/>
        <v>#VALUE!</v>
      </c>
      <c r="E1010" s="39" t="e">
        <f t="shared" si="47"/>
        <v>#VALUE!</v>
      </c>
      <c r="F1010" s="7" t="str">
        <f t="array" ref="F1010">+TIPOARMA(H1010,I1010)</f>
        <v>ERRO - REVISAR</v>
      </c>
      <c r="H1010" t="str">
        <f t="array" ref="H1010">+ARMASTD(N1010)</f>
        <v>ERRO - REVISAR</v>
      </c>
      <c r="I1010" t="str">
        <f t="array" ref="I1010">+CALIBRESTD(O1010)</f>
        <v>ERRO - REVISAR</v>
      </c>
    </row>
    <row r="1011" spans="1:9" ht="14.25" customHeight="1" x14ac:dyDescent="0.35">
      <c r="A1011" s="41" t="str">
        <f t="array" ref="A1011">EXTRACTEVENT(Q1011,S1011)</f>
        <v/>
      </c>
      <c r="B1011" s="41" t="str">
        <f t="shared" si="45"/>
        <v>-</v>
      </c>
      <c r="C1011" s="41" t="e">
        <f>+VLOOKUP(R1011,Maps!$A:$C,2,0)</f>
        <v>#N/A</v>
      </c>
      <c r="D1011" s="41" t="e">
        <f t="shared" si="46"/>
        <v>#VALUE!</v>
      </c>
      <c r="E1011" s="42" t="e">
        <f t="shared" si="47"/>
        <v>#VALUE!</v>
      </c>
      <c r="F1011" s="43" t="str">
        <f t="array" ref="F1011">+TIPOARMA(H1011,I1011)</f>
        <v>ERRO - REVISAR</v>
      </c>
      <c r="G1011" s="41"/>
      <c r="H1011" s="41" t="str">
        <f t="array" ref="H1011">+ARMASTD(N1011)</f>
        <v>ERRO - REVISAR</v>
      </c>
      <c r="I1011" s="41" t="str">
        <f t="array" ref="I1011">+CALIBRESTD(O1011)</f>
        <v>ERRO - REVISAR</v>
      </c>
    </row>
    <row r="1012" spans="1:9" ht="14.25" customHeight="1" x14ac:dyDescent="0.35">
      <c r="A1012" t="str">
        <f t="array" ref="A1012">EXTRACTEVENT(Q1012,S1012)</f>
        <v/>
      </c>
      <c r="B1012" t="str">
        <f t="shared" si="45"/>
        <v>-</v>
      </c>
      <c r="C1012" t="e">
        <f>+VLOOKUP(R1012,Maps!$A:$C,2,0)</f>
        <v>#N/A</v>
      </c>
      <c r="D1012" t="e">
        <f t="shared" si="46"/>
        <v>#VALUE!</v>
      </c>
      <c r="E1012" s="39" t="e">
        <f t="shared" si="47"/>
        <v>#VALUE!</v>
      </c>
      <c r="F1012" s="7" t="str">
        <f t="array" ref="F1012">+TIPOARMA(H1012,I1012)</f>
        <v>ERRO - REVISAR</v>
      </c>
      <c r="H1012" t="str">
        <f t="array" ref="H1012">+ARMASTD(N1012)</f>
        <v>ERRO - REVISAR</v>
      </c>
      <c r="I1012" t="str">
        <f t="array" ref="I1012">+CALIBRESTD(O1012)</f>
        <v>ERRO - REVISAR</v>
      </c>
    </row>
    <row r="1013" spans="1:9" ht="14.25" customHeight="1" x14ac:dyDescent="0.35">
      <c r="A1013" s="41" t="str">
        <f t="array" ref="A1013">EXTRACTEVENT(Q1013,S1013)</f>
        <v/>
      </c>
      <c r="B1013" s="41" t="str">
        <f t="shared" si="45"/>
        <v>-</v>
      </c>
      <c r="C1013" s="41" t="e">
        <f>+VLOOKUP(R1013,Maps!$A:$C,2,0)</f>
        <v>#N/A</v>
      </c>
      <c r="D1013" s="41" t="e">
        <f t="shared" si="46"/>
        <v>#VALUE!</v>
      </c>
      <c r="E1013" s="42" t="e">
        <f t="shared" si="47"/>
        <v>#VALUE!</v>
      </c>
      <c r="F1013" s="43" t="str">
        <f t="array" ref="F1013">+TIPOARMA(H1013,I1013)</f>
        <v>ERRO - REVISAR</v>
      </c>
      <c r="G1013" s="41"/>
      <c r="H1013" s="41" t="str">
        <f t="array" ref="H1013">+ARMASTD(N1013)</f>
        <v>ERRO - REVISAR</v>
      </c>
      <c r="I1013" s="41" t="str">
        <f t="array" ref="I1013">+CALIBRESTD(O1013)</f>
        <v>ERRO - REVISAR</v>
      </c>
    </row>
    <row r="1014" spans="1:9" ht="14.25" customHeight="1" x14ac:dyDescent="0.35">
      <c r="A1014" t="str">
        <f t="array" ref="A1014">EXTRACTEVENT(Q1014,S1014)</f>
        <v/>
      </c>
      <c r="B1014" t="str">
        <f t="shared" si="45"/>
        <v>-</v>
      </c>
      <c r="C1014" t="e">
        <f>+VLOOKUP(R1014,Maps!$A:$C,2,0)</f>
        <v>#N/A</v>
      </c>
      <c r="D1014" t="e">
        <f t="shared" si="46"/>
        <v>#VALUE!</v>
      </c>
      <c r="E1014" s="39" t="e">
        <f t="shared" si="47"/>
        <v>#VALUE!</v>
      </c>
      <c r="F1014" s="7" t="str">
        <f t="array" ref="F1014">+TIPOARMA(H1014,I1014)</f>
        <v>ERRO - REVISAR</v>
      </c>
      <c r="H1014" t="str">
        <f t="array" ref="H1014">+ARMASTD(N1014)</f>
        <v>ERRO - REVISAR</v>
      </c>
      <c r="I1014" t="str">
        <f t="array" ref="I1014">+CALIBRESTD(O1014)</f>
        <v>ERRO - REVISAR</v>
      </c>
    </row>
    <row r="1015" spans="1:9" ht="14.25" customHeight="1" x14ac:dyDescent="0.35">
      <c r="A1015" s="41" t="str">
        <f t="array" ref="A1015">EXTRACTEVENT(Q1015,S1015)</f>
        <v/>
      </c>
      <c r="B1015" s="41" t="str">
        <f t="shared" si="45"/>
        <v>-</v>
      </c>
      <c r="C1015" s="41" t="e">
        <f>+VLOOKUP(R1015,Maps!$A:$C,2,0)</f>
        <v>#N/A</v>
      </c>
      <c r="D1015" s="41" t="e">
        <f t="shared" si="46"/>
        <v>#VALUE!</v>
      </c>
      <c r="E1015" s="42" t="e">
        <f t="shared" si="47"/>
        <v>#VALUE!</v>
      </c>
      <c r="F1015" s="43" t="str">
        <f t="array" ref="F1015">+TIPOARMA(H1015,I1015)</f>
        <v>ERRO - REVISAR</v>
      </c>
      <c r="G1015" s="41"/>
      <c r="H1015" s="41" t="str">
        <f t="array" ref="H1015">+ARMASTD(N1015)</f>
        <v>ERRO - REVISAR</v>
      </c>
      <c r="I1015" s="41" t="str">
        <f t="array" ref="I1015">+CALIBRESTD(O1015)</f>
        <v>ERRO - REVISAR</v>
      </c>
    </row>
    <row r="1016" spans="1:9" ht="14.25" customHeight="1" x14ac:dyDescent="0.35">
      <c r="A1016" t="str">
        <f t="array" ref="A1016">EXTRACTEVENT(Q1016,S1016)</f>
        <v/>
      </c>
      <c r="B1016" t="str">
        <f t="shared" si="45"/>
        <v>-</v>
      </c>
      <c r="C1016" t="e">
        <f>+VLOOKUP(R1016,Maps!$A:$C,2,0)</f>
        <v>#N/A</v>
      </c>
      <c r="D1016" t="e">
        <f t="shared" si="46"/>
        <v>#VALUE!</v>
      </c>
      <c r="E1016" s="39" t="e">
        <f t="shared" si="47"/>
        <v>#VALUE!</v>
      </c>
      <c r="F1016" s="7" t="str">
        <f t="array" ref="F1016">+TIPOARMA(H1016,I1016)</f>
        <v>ERRO - REVISAR</v>
      </c>
      <c r="H1016" t="str">
        <f t="array" ref="H1016">+ARMASTD(N1016)</f>
        <v>ERRO - REVISAR</v>
      </c>
      <c r="I1016" t="str">
        <f t="array" ref="I1016">+CALIBRESTD(O1016)</f>
        <v>ERRO - REVISAR</v>
      </c>
    </row>
    <row r="1017" spans="1:9" ht="14.25" customHeight="1" x14ac:dyDescent="0.35">
      <c r="A1017" s="41" t="str">
        <f t="array" ref="A1017">EXTRACTEVENT(Q1017,S1017)</f>
        <v/>
      </c>
      <c r="B1017" s="41" t="str">
        <f t="shared" si="45"/>
        <v>-</v>
      </c>
      <c r="C1017" s="41" t="e">
        <f>+VLOOKUP(R1017,Maps!$A:$C,2,0)</f>
        <v>#N/A</v>
      </c>
      <c r="D1017" s="41" t="e">
        <f t="shared" si="46"/>
        <v>#VALUE!</v>
      </c>
      <c r="E1017" s="42" t="e">
        <f t="shared" si="47"/>
        <v>#VALUE!</v>
      </c>
      <c r="F1017" s="43" t="str">
        <f t="array" ref="F1017">+TIPOARMA(H1017,I1017)</f>
        <v>ERRO - REVISAR</v>
      </c>
      <c r="G1017" s="41"/>
      <c r="H1017" s="41" t="str">
        <f t="array" ref="H1017">+ARMASTD(N1017)</f>
        <v>ERRO - REVISAR</v>
      </c>
      <c r="I1017" s="41" t="str">
        <f t="array" ref="I1017">+CALIBRESTD(O1017)</f>
        <v>ERRO - REVISAR</v>
      </c>
    </row>
    <row r="1018" spans="1:9" ht="14.25" customHeight="1" x14ac:dyDescent="0.35">
      <c r="A1018" t="str">
        <f t="array" ref="A1018">EXTRACTEVENT(Q1018,S1018)</f>
        <v/>
      </c>
      <c r="B1018" t="str">
        <f t="shared" si="45"/>
        <v>-</v>
      </c>
      <c r="C1018" t="e">
        <f>+VLOOKUP(R1018,Maps!$A:$C,2,0)</f>
        <v>#N/A</v>
      </c>
      <c r="D1018" t="e">
        <f t="shared" si="46"/>
        <v>#VALUE!</v>
      </c>
      <c r="E1018" s="39" t="e">
        <f t="shared" si="47"/>
        <v>#VALUE!</v>
      </c>
      <c r="F1018" s="7" t="str">
        <f t="array" ref="F1018">+TIPOARMA(H1018,I1018)</f>
        <v>ERRO - REVISAR</v>
      </c>
      <c r="H1018" t="str">
        <f t="array" ref="H1018">+ARMASTD(N1018)</f>
        <v>ERRO - REVISAR</v>
      </c>
      <c r="I1018" t="str">
        <f t="array" ref="I1018">+CALIBRESTD(O1018)</f>
        <v>ERRO - REVISAR</v>
      </c>
    </row>
    <row r="1019" spans="1:9" ht="14.25" customHeight="1" x14ac:dyDescent="0.35">
      <c r="A1019" s="41" t="str">
        <f t="array" ref="A1019">EXTRACTEVENT(Q1019,S1019)</f>
        <v/>
      </c>
      <c r="B1019" s="41" t="str">
        <f t="shared" si="45"/>
        <v>-</v>
      </c>
      <c r="C1019" s="41" t="e">
        <f>+VLOOKUP(R1019,Maps!$A:$C,2,0)</f>
        <v>#N/A</v>
      </c>
      <c r="D1019" s="41" t="e">
        <f t="shared" si="46"/>
        <v>#VALUE!</v>
      </c>
      <c r="E1019" s="42" t="e">
        <f t="shared" si="47"/>
        <v>#VALUE!</v>
      </c>
      <c r="F1019" s="43" t="str">
        <f t="array" ref="F1019">+TIPOARMA(H1019,I1019)</f>
        <v>ERRO - REVISAR</v>
      </c>
      <c r="G1019" s="41"/>
      <c r="H1019" s="41" t="str">
        <f t="array" ref="H1019">+ARMASTD(N1019)</f>
        <v>ERRO - REVISAR</v>
      </c>
      <c r="I1019" s="41" t="str">
        <f t="array" ref="I1019">+CALIBRESTD(O1019)</f>
        <v>ERRO - REVISAR</v>
      </c>
    </row>
    <row r="1020" spans="1:9" ht="14.25" customHeight="1" x14ac:dyDescent="0.35">
      <c r="A1020" t="str">
        <f t="array" ref="A1020">EXTRACTEVENT(Q1020,S1020)</f>
        <v/>
      </c>
      <c r="B1020" t="str">
        <f t="shared" si="45"/>
        <v>-</v>
      </c>
      <c r="C1020" t="e">
        <f>+VLOOKUP(R1020,Maps!$A:$C,2,0)</f>
        <v>#N/A</v>
      </c>
      <c r="D1020" t="e">
        <f t="shared" si="46"/>
        <v>#VALUE!</v>
      </c>
      <c r="E1020" s="39" t="e">
        <f t="shared" si="47"/>
        <v>#VALUE!</v>
      </c>
      <c r="F1020" s="7" t="str">
        <f t="array" ref="F1020">+TIPOARMA(H1020,I1020)</f>
        <v>ERRO - REVISAR</v>
      </c>
      <c r="H1020" t="str">
        <f t="array" ref="H1020">+ARMASTD(N1020)</f>
        <v>ERRO - REVISAR</v>
      </c>
      <c r="I1020" t="str">
        <f t="array" ref="I1020">+CALIBRESTD(O1020)</f>
        <v>ERRO - REVISAR</v>
      </c>
    </row>
    <row r="1021" spans="1:9" ht="14.25" customHeight="1" x14ac:dyDescent="0.35">
      <c r="A1021" s="41" t="str">
        <f t="array" ref="A1021">EXTRACTEVENT(Q1021,S1021)</f>
        <v/>
      </c>
      <c r="B1021" s="41" t="str">
        <f t="shared" si="45"/>
        <v>-</v>
      </c>
      <c r="C1021" s="41" t="e">
        <f>+VLOOKUP(R1021,Maps!$A:$C,2,0)</f>
        <v>#N/A</v>
      </c>
      <c r="D1021" s="41" t="e">
        <f t="shared" si="46"/>
        <v>#VALUE!</v>
      </c>
      <c r="E1021" s="42" t="e">
        <f t="shared" si="47"/>
        <v>#VALUE!</v>
      </c>
      <c r="F1021" s="43" t="str">
        <f t="array" ref="F1021">+TIPOARMA(H1021,I1021)</f>
        <v>ERRO - REVISAR</v>
      </c>
      <c r="G1021" s="41"/>
      <c r="H1021" s="41" t="str">
        <f t="array" ref="H1021">+ARMASTD(N1021)</f>
        <v>ERRO - REVISAR</v>
      </c>
      <c r="I1021" s="41" t="str">
        <f t="array" ref="I1021">+CALIBRESTD(O1021)</f>
        <v>ERRO - REVISAR</v>
      </c>
    </row>
    <row r="1022" spans="1:9" ht="14.25" customHeight="1" x14ac:dyDescent="0.35">
      <c r="A1022" t="str">
        <f t="array" ref="A1022">EXTRACTEVENT(Q1022,S1022)</f>
        <v/>
      </c>
      <c r="B1022" t="str">
        <f t="shared" si="45"/>
        <v>-</v>
      </c>
      <c r="C1022" t="e">
        <f>+VLOOKUP(R1022,Maps!$A:$C,2,0)</f>
        <v>#N/A</v>
      </c>
      <c r="D1022" t="e">
        <f t="shared" si="46"/>
        <v>#VALUE!</v>
      </c>
      <c r="E1022" s="39" t="e">
        <f t="shared" si="47"/>
        <v>#VALUE!</v>
      </c>
      <c r="F1022" s="7" t="str">
        <f t="array" ref="F1022">+TIPOARMA(H1022,I1022)</f>
        <v>ERRO - REVISAR</v>
      </c>
      <c r="H1022" t="str">
        <f t="array" ref="H1022">+ARMASTD(N1022)</f>
        <v>ERRO - REVISAR</v>
      </c>
      <c r="I1022" t="str">
        <f t="array" ref="I1022">+CALIBRESTD(O1022)</f>
        <v>ERRO - REVISAR</v>
      </c>
    </row>
    <row r="1023" spans="1:9" ht="14.25" customHeight="1" x14ac:dyDescent="0.35">
      <c r="A1023" s="41" t="str">
        <f t="array" ref="A1023">EXTRACTEVENT(Q1023,S1023)</f>
        <v/>
      </c>
      <c r="B1023" s="41" t="str">
        <f t="shared" si="45"/>
        <v>-</v>
      </c>
      <c r="C1023" s="41" t="e">
        <f>+VLOOKUP(R1023,Maps!$A:$C,2,0)</f>
        <v>#N/A</v>
      </c>
      <c r="D1023" s="41" t="e">
        <f t="shared" si="46"/>
        <v>#VALUE!</v>
      </c>
      <c r="E1023" s="42" t="e">
        <f t="shared" si="47"/>
        <v>#VALUE!</v>
      </c>
      <c r="F1023" s="43" t="str">
        <f t="array" ref="F1023">+TIPOARMA(H1023,I1023)</f>
        <v>ERRO - REVISAR</v>
      </c>
      <c r="G1023" s="41"/>
      <c r="H1023" s="41" t="str">
        <f t="array" ref="H1023">+ARMASTD(N1023)</f>
        <v>ERRO - REVISAR</v>
      </c>
      <c r="I1023" s="41" t="str">
        <f t="array" ref="I1023">+CALIBRESTD(O1023)</f>
        <v>ERRO - REVISAR</v>
      </c>
    </row>
    <row r="1024" spans="1:9" ht="14.25" customHeight="1" x14ac:dyDescent="0.35">
      <c r="A1024" t="str">
        <f t="array" ref="A1024">EXTRACTEVENT(Q1024,S1024)</f>
        <v/>
      </c>
      <c r="B1024" t="str">
        <f t="shared" si="45"/>
        <v>-</v>
      </c>
      <c r="C1024" t="e">
        <f>+VLOOKUP(R1024,Maps!$A:$C,2,0)</f>
        <v>#N/A</v>
      </c>
      <c r="D1024" t="e">
        <f t="shared" si="46"/>
        <v>#VALUE!</v>
      </c>
      <c r="E1024" s="39" t="e">
        <f t="shared" si="47"/>
        <v>#VALUE!</v>
      </c>
      <c r="F1024" s="7" t="str">
        <f t="array" ref="F1024">+TIPOARMA(H1024,I1024)</f>
        <v>ERRO - REVISAR</v>
      </c>
      <c r="H1024" t="str">
        <f t="array" ref="H1024">+ARMASTD(N1024)</f>
        <v>ERRO - REVISAR</v>
      </c>
      <c r="I1024" t="str">
        <f t="array" ref="I1024">+CALIBRESTD(O1024)</f>
        <v>ERRO - REVISAR</v>
      </c>
    </row>
    <row r="1025" spans="1:9" ht="14.25" customHeight="1" x14ac:dyDescent="0.35">
      <c r="A1025" s="41" t="str">
        <f t="array" ref="A1025">EXTRACTEVENT(Q1025,S1025)</f>
        <v/>
      </c>
      <c r="B1025" s="41" t="str">
        <f t="shared" si="45"/>
        <v>-</v>
      </c>
      <c r="C1025" s="41" t="e">
        <f>+VLOOKUP(R1025,Maps!$A:$C,2,0)</f>
        <v>#N/A</v>
      </c>
      <c r="D1025" s="41" t="e">
        <f t="shared" si="46"/>
        <v>#VALUE!</v>
      </c>
      <c r="E1025" s="42" t="e">
        <f t="shared" si="47"/>
        <v>#VALUE!</v>
      </c>
      <c r="F1025" s="43" t="str">
        <f t="array" ref="F1025">+TIPOARMA(H1025,I1025)</f>
        <v>ERRO - REVISAR</v>
      </c>
      <c r="G1025" s="41"/>
      <c r="H1025" s="41" t="str">
        <f t="array" ref="H1025">+ARMASTD(N1025)</f>
        <v>ERRO - REVISAR</v>
      </c>
      <c r="I1025" s="41" t="str">
        <f t="array" ref="I1025">+CALIBRESTD(O1025)</f>
        <v>ERRO - REVISAR</v>
      </c>
    </row>
    <row r="1026" spans="1:9" ht="14.25" customHeight="1" x14ac:dyDescent="0.35">
      <c r="A1026" t="str">
        <f t="array" ref="A1026">EXTRACTEVENT(Q1026,S1026)</f>
        <v/>
      </c>
      <c r="B1026" t="str">
        <f t="shared" ref="B1026:B1089" si="48">+EXTRACTETAPANUM(Q1026)</f>
        <v>-</v>
      </c>
      <c r="C1026" t="e">
        <f>+VLOOKUP(R1026,Maps!$A:$C,2,0)</f>
        <v>#N/A</v>
      </c>
      <c r="D1026" t="e">
        <f t="shared" ref="D1026:D1089" si="49">+DEFINEAMBITO(Q1026,C1026)</f>
        <v>#VALUE!</v>
      </c>
      <c r="E1026" s="39" t="e">
        <f t="shared" ref="E1026:E1089" si="50">DATEVALUE(L1026)</f>
        <v>#VALUE!</v>
      </c>
      <c r="F1026" s="7" t="str">
        <f t="array" ref="F1026">+TIPOARMA(H1026,I1026)</f>
        <v>ERRO - REVISAR</v>
      </c>
      <c r="H1026" t="str">
        <f t="array" ref="H1026">+ARMASTD(N1026)</f>
        <v>ERRO - REVISAR</v>
      </c>
      <c r="I1026" t="str">
        <f t="array" ref="I1026">+CALIBRESTD(O1026)</f>
        <v>ERRO - REVISAR</v>
      </c>
    </row>
    <row r="1027" spans="1:9" ht="14.25" customHeight="1" x14ac:dyDescent="0.35">
      <c r="A1027" s="41" t="str">
        <f t="array" ref="A1027">EXTRACTEVENT(Q1027,S1027)</f>
        <v/>
      </c>
      <c r="B1027" s="41" t="str">
        <f t="shared" si="48"/>
        <v>-</v>
      </c>
      <c r="C1027" s="41" t="e">
        <f>+VLOOKUP(R1027,Maps!$A:$C,2,0)</f>
        <v>#N/A</v>
      </c>
      <c r="D1027" s="41" t="e">
        <f t="shared" si="49"/>
        <v>#VALUE!</v>
      </c>
      <c r="E1027" s="42" t="e">
        <f t="shared" si="50"/>
        <v>#VALUE!</v>
      </c>
      <c r="F1027" s="43" t="str">
        <f t="array" ref="F1027">+TIPOARMA(H1027,I1027)</f>
        <v>ERRO - REVISAR</v>
      </c>
      <c r="G1027" s="41"/>
      <c r="H1027" s="41" t="str">
        <f t="array" ref="H1027">+ARMASTD(N1027)</f>
        <v>ERRO - REVISAR</v>
      </c>
      <c r="I1027" s="41" t="str">
        <f t="array" ref="I1027">+CALIBRESTD(O1027)</f>
        <v>ERRO - REVISAR</v>
      </c>
    </row>
    <row r="1028" spans="1:9" ht="14.25" customHeight="1" x14ac:dyDescent="0.35">
      <c r="A1028" t="str">
        <f t="array" ref="A1028">EXTRACTEVENT(Q1028,S1028)</f>
        <v/>
      </c>
      <c r="B1028" t="str">
        <f t="shared" si="48"/>
        <v>-</v>
      </c>
      <c r="C1028" t="e">
        <f>+VLOOKUP(R1028,Maps!$A:$C,2,0)</f>
        <v>#N/A</v>
      </c>
      <c r="D1028" t="e">
        <f t="shared" si="49"/>
        <v>#VALUE!</v>
      </c>
      <c r="E1028" s="39" t="e">
        <f t="shared" si="50"/>
        <v>#VALUE!</v>
      </c>
      <c r="F1028" s="7" t="str">
        <f t="array" ref="F1028">+TIPOARMA(H1028,I1028)</f>
        <v>ERRO - REVISAR</v>
      </c>
      <c r="H1028" t="str">
        <f t="array" ref="H1028">+ARMASTD(N1028)</f>
        <v>ERRO - REVISAR</v>
      </c>
      <c r="I1028" t="str">
        <f t="array" ref="I1028">+CALIBRESTD(O1028)</f>
        <v>ERRO - REVISAR</v>
      </c>
    </row>
    <row r="1029" spans="1:9" ht="14.25" customHeight="1" x14ac:dyDescent="0.35">
      <c r="A1029" s="41" t="str">
        <f t="array" ref="A1029">EXTRACTEVENT(Q1029,S1029)</f>
        <v/>
      </c>
      <c r="B1029" s="41" t="str">
        <f t="shared" si="48"/>
        <v>-</v>
      </c>
      <c r="C1029" s="41" t="e">
        <f>+VLOOKUP(R1029,Maps!$A:$C,2,0)</f>
        <v>#N/A</v>
      </c>
      <c r="D1029" s="41" t="e">
        <f t="shared" si="49"/>
        <v>#VALUE!</v>
      </c>
      <c r="E1029" s="42" t="e">
        <f t="shared" si="50"/>
        <v>#VALUE!</v>
      </c>
      <c r="F1029" s="43" t="str">
        <f t="array" ref="F1029">+TIPOARMA(H1029,I1029)</f>
        <v>ERRO - REVISAR</v>
      </c>
      <c r="G1029" s="41"/>
      <c r="H1029" s="41" t="str">
        <f t="array" ref="H1029">+ARMASTD(N1029)</f>
        <v>ERRO - REVISAR</v>
      </c>
      <c r="I1029" s="41" t="str">
        <f t="array" ref="I1029">+CALIBRESTD(O1029)</f>
        <v>ERRO - REVISAR</v>
      </c>
    </row>
    <row r="1030" spans="1:9" ht="14.25" customHeight="1" x14ac:dyDescent="0.35">
      <c r="A1030" t="str">
        <f t="array" ref="A1030">EXTRACTEVENT(Q1030,S1030)</f>
        <v/>
      </c>
      <c r="B1030" t="str">
        <f t="shared" si="48"/>
        <v>-</v>
      </c>
      <c r="C1030" t="e">
        <f>+VLOOKUP(R1030,Maps!$A:$C,2,0)</f>
        <v>#N/A</v>
      </c>
      <c r="D1030" t="e">
        <f t="shared" si="49"/>
        <v>#VALUE!</v>
      </c>
      <c r="E1030" s="39" t="e">
        <f t="shared" si="50"/>
        <v>#VALUE!</v>
      </c>
      <c r="F1030" s="7" t="str">
        <f t="array" ref="F1030">+TIPOARMA(H1030,I1030)</f>
        <v>ERRO - REVISAR</v>
      </c>
      <c r="H1030" t="str">
        <f t="array" ref="H1030">+ARMASTD(N1030)</f>
        <v>ERRO - REVISAR</v>
      </c>
      <c r="I1030" t="str">
        <f t="array" ref="I1030">+CALIBRESTD(O1030)</f>
        <v>ERRO - REVISAR</v>
      </c>
    </row>
    <row r="1031" spans="1:9" ht="14.25" customHeight="1" x14ac:dyDescent="0.35">
      <c r="A1031" s="41" t="str">
        <f t="array" ref="A1031">EXTRACTEVENT(Q1031,S1031)</f>
        <v/>
      </c>
      <c r="B1031" s="41" t="str">
        <f t="shared" si="48"/>
        <v>-</v>
      </c>
      <c r="C1031" s="41" t="e">
        <f>+VLOOKUP(R1031,Maps!$A:$C,2,0)</f>
        <v>#N/A</v>
      </c>
      <c r="D1031" s="41" t="e">
        <f t="shared" si="49"/>
        <v>#VALUE!</v>
      </c>
      <c r="E1031" s="42" t="e">
        <f t="shared" si="50"/>
        <v>#VALUE!</v>
      </c>
      <c r="F1031" s="43" t="str">
        <f t="array" ref="F1031">+TIPOARMA(H1031,I1031)</f>
        <v>ERRO - REVISAR</v>
      </c>
      <c r="G1031" s="41"/>
      <c r="H1031" s="41" t="str">
        <f t="array" ref="H1031">+ARMASTD(N1031)</f>
        <v>ERRO - REVISAR</v>
      </c>
      <c r="I1031" s="41" t="str">
        <f t="array" ref="I1031">+CALIBRESTD(O1031)</f>
        <v>ERRO - REVISAR</v>
      </c>
    </row>
    <row r="1032" spans="1:9" ht="14.25" customHeight="1" x14ac:dyDescent="0.35">
      <c r="A1032" t="str">
        <f t="array" ref="A1032">EXTRACTEVENT(Q1032,S1032)</f>
        <v/>
      </c>
      <c r="B1032" t="str">
        <f t="shared" si="48"/>
        <v>-</v>
      </c>
      <c r="C1032" t="e">
        <f>+VLOOKUP(R1032,Maps!$A:$C,2,0)</f>
        <v>#N/A</v>
      </c>
      <c r="D1032" t="e">
        <f t="shared" si="49"/>
        <v>#VALUE!</v>
      </c>
      <c r="E1032" s="39" t="e">
        <f t="shared" si="50"/>
        <v>#VALUE!</v>
      </c>
      <c r="F1032" s="7" t="str">
        <f t="array" ref="F1032">+TIPOARMA(H1032,I1032)</f>
        <v>ERRO - REVISAR</v>
      </c>
      <c r="H1032" t="str">
        <f t="array" ref="H1032">+ARMASTD(N1032)</f>
        <v>ERRO - REVISAR</v>
      </c>
      <c r="I1032" t="str">
        <f t="array" ref="I1032">+CALIBRESTD(O1032)</f>
        <v>ERRO - REVISAR</v>
      </c>
    </row>
    <row r="1033" spans="1:9" ht="14.25" customHeight="1" x14ac:dyDescent="0.35">
      <c r="A1033" s="41" t="str">
        <f t="array" ref="A1033">EXTRACTEVENT(Q1033,S1033)</f>
        <v/>
      </c>
      <c r="B1033" s="41" t="str">
        <f t="shared" si="48"/>
        <v>-</v>
      </c>
      <c r="C1033" s="41" t="e">
        <f>+VLOOKUP(R1033,Maps!$A:$C,2,0)</f>
        <v>#N/A</v>
      </c>
      <c r="D1033" s="41" t="e">
        <f t="shared" si="49"/>
        <v>#VALUE!</v>
      </c>
      <c r="E1033" s="42" t="e">
        <f t="shared" si="50"/>
        <v>#VALUE!</v>
      </c>
      <c r="F1033" s="43" t="str">
        <f t="array" ref="F1033">+TIPOARMA(H1033,I1033)</f>
        <v>ERRO - REVISAR</v>
      </c>
      <c r="G1033" s="41"/>
      <c r="H1033" s="41" t="str">
        <f t="array" ref="H1033">+ARMASTD(N1033)</f>
        <v>ERRO - REVISAR</v>
      </c>
      <c r="I1033" s="41" t="str">
        <f t="array" ref="I1033">+CALIBRESTD(O1033)</f>
        <v>ERRO - REVISAR</v>
      </c>
    </row>
    <row r="1034" spans="1:9" ht="14.25" customHeight="1" x14ac:dyDescent="0.35">
      <c r="A1034" t="str">
        <f t="array" ref="A1034">EXTRACTEVENT(Q1034,S1034)</f>
        <v/>
      </c>
      <c r="B1034" t="str">
        <f t="shared" si="48"/>
        <v>-</v>
      </c>
      <c r="C1034" t="e">
        <f>+VLOOKUP(R1034,Maps!$A:$C,2,0)</f>
        <v>#N/A</v>
      </c>
      <c r="D1034" t="e">
        <f t="shared" si="49"/>
        <v>#VALUE!</v>
      </c>
      <c r="E1034" s="39" t="e">
        <f t="shared" si="50"/>
        <v>#VALUE!</v>
      </c>
      <c r="F1034" s="7" t="str">
        <f t="array" ref="F1034">+TIPOARMA(H1034,I1034)</f>
        <v>ERRO - REVISAR</v>
      </c>
      <c r="H1034" t="str">
        <f t="array" ref="H1034">+ARMASTD(N1034)</f>
        <v>ERRO - REVISAR</v>
      </c>
      <c r="I1034" t="str">
        <f t="array" ref="I1034">+CALIBRESTD(O1034)</f>
        <v>ERRO - REVISAR</v>
      </c>
    </row>
    <row r="1035" spans="1:9" ht="14.25" customHeight="1" x14ac:dyDescent="0.35">
      <c r="A1035" s="41" t="str">
        <f t="array" ref="A1035">EXTRACTEVENT(Q1035,S1035)</f>
        <v/>
      </c>
      <c r="B1035" s="41" t="str">
        <f t="shared" si="48"/>
        <v>-</v>
      </c>
      <c r="C1035" s="41" t="e">
        <f>+VLOOKUP(R1035,Maps!$A:$C,2,0)</f>
        <v>#N/A</v>
      </c>
      <c r="D1035" s="41" t="e">
        <f t="shared" si="49"/>
        <v>#VALUE!</v>
      </c>
      <c r="E1035" s="42" t="e">
        <f t="shared" si="50"/>
        <v>#VALUE!</v>
      </c>
      <c r="F1035" s="43" t="str">
        <f t="array" ref="F1035">+TIPOARMA(H1035,I1035)</f>
        <v>ERRO - REVISAR</v>
      </c>
      <c r="G1035" s="41"/>
      <c r="H1035" s="41" t="str">
        <f t="array" ref="H1035">+ARMASTD(N1035)</f>
        <v>ERRO - REVISAR</v>
      </c>
      <c r="I1035" s="41" t="str">
        <f t="array" ref="I1035">+CALIBRESTD(O1035)</f>
        <v>ERRO - REVISAR</v>
      </c>
    </row>
    <row r="1036" spans="1:9" ht="14.25" customHeight="1" x14ac:dyDescent="0.35">
      <c r="A1036" t="str">
        <f t="array" ref="A1036">EXTRACTEVENT(Q1036,S1036)</f>
        <v/>
      </c>
      <c r="B1036" t="str">
        <f t="shared" si="48"/>
        <v>-</v>
      </c>
      <c r="C1036" t="e">
        <f>+VLOOKUP(R1036,Maps!$A:$C,2,0)</f>
        <v>#N/A</v>
      </c>
      <c r="D1036" t="e">
        <f t="shared" si="49"/>
        <v>#VALUE!</v>
      </c>
      <c r="E1036" s="39" t="e">
        <f t="shared" si="50"/>
        <v>#VALUE!</v>
      </c>
      <c r="F1036" s="7" t="str">
        <f t="array" ref="F1036">+TIPOARMA(H1036,I1036)</f>
        <v>ERRO - REVISAR</v>
      </c>
      <c r="H1036" t="str">
        <f t="array" ref="H1036">+ARMASTD(N1036)</f>
        <v>ERRO - REVISAR</v>
      </c>
      <c r="I1036" t="str">
        <f t="array" ref="I1036">+CALIBRESTD(O1036)</f>
        <v>ERRO - REVISAR</v>
      </c>
    </row>
    <row r="1037" spans="1:9" ht="14.25" customHeight="1" x14ac:dyDescent="0.35">
      <c r="A1037" s="41" t="str">
        <f t="array" ref="A1037">EXTRACTEVENT(Q1037,S1037)</f>
        <v/>
      </c>
      <c r="B1037" s="41" t="str">
        <f t="shared" si="48"/>
        <v>-</v>
      </c>
      <c r="C1037" s="41" t="e">
        <f>+VLOOKUP(R1037,Maps!$A:$C,2,0)</f>
        <v>#N/A</v>
      </c>
      <c r="D1037" s="41" t="e">
        <f t="shared" si="49"/>
        <v>#VALUE!</v>
      </c>
      <c r="E1037" s="42" t="e">
        <f t="shared" si="50"/>
        <v>#VALUE!</v>
      </c>
      <c r="F1037" s="43" t="str">
        <f t="array" ref="F1037">+TIPOARMA(H1037,I1037)</f>
        <v>ERRO - REVISAR</v>
      </c>
      <c r="G1037" s="41"/>
      <c r="H1037" s="41" t="str">
        <f t="array" ref="H1037">+ARMASTD(N1037)</f>
        <v>ERRO - REVISAR</v>
      </c>
      <c r="I1037" s="41" t="str">
        <f t="array" ref="I1037">+CALIBRESTD(O1037)</f>
        <v>ERRO - REVISAR</v>
      </c>
    </row>
    <row r="1038" spans="1:9" ht="14.25" customHeight="1" x14ac:dyDescent="0.35">
      <c r="A1038" t="str">
        <f t="array" ref="A1038">EXTRACTEVENT(Q1038,S1038)</f>
        <v/>
      </c>
      <c r="B1038" t="str">
        <f t="shared" si="48"/>
        <v>-</v>
      </c>
      <c r="C1038" t="e">
        <f>+VLOOKUP(R1038,Maps!$A:$C,2,0)</f>
        <v>#N/A</v>
      </c>
      <c r="D1038" t="e">
        <f t="shared" si="49"/>
        <v>#VALUE!</v>
      </c>
      <c r="E1038" s="39" t="e">
        <f t="shared" si="50"/>
        <v>#VALUE!</v>
      </c>
      <c r="F1038" s="7" t="str">
        <f t="array" ref="F1038">+TIPOARMA(H1038,I1038)</f>
        <v>ERRO - REVISAR</v>
      </c>
      <c r="H1038" t="str">
        <f t="array" ref="H1038">+ARMASTD(N1038)</f>
        <v>ERRO - REVISAR</v>
      </c>
      <c r="I1038" t="str">
        <f t="array" ref="I1038">+CALIBRESTD(O1038)</f>
        <v>ERRO - REVISAR</v>
      </c>
    </row>
    <row r="1039" spans="1:9" ht="14.25" customHeight="1" x14ac:dyDescent="0.35">
      <c r="A1039" s="41" t="str">
        <f t="array" ref="A1039">EXTRACTEVENT(Q1039,S1039)</f>
        <v/>
      </c>
      <c r="B1039" s="41" t="str">
        <f t="shared" si="48"/>
        <v>-</v>
      </c>
      <c r="C1039" s="41" t="e">
        <f>+VLOOKUP(R1039,Maps!$A:$C,2,0)</f>
        <v>#N/A</v>
      </c>
      <c r="D1039" s="41" t="e">
        <f t="shared" si="49"/>
        <v>#VALUE!</v>
      </c>
      <c r="E1039" s="42" t="e">
        <f t="shared" si="50"/>
        <v>#VALUE!</v>
      </c>
      <c r="F1039" s="43" t="str">
        <f t="array" ref="F1039">+TIPOARMA(H1039,I1039)</f>
        <v>ERRO - REVISAR</v>
      </c>
      <c r="G1039" s="41"/>
      <c r="H1039" s="41" t="str">
        <f t="array" ref="H1039">+ARMASTD(N1039)</f>
        <v>ERRO - REVISAR</v>
      </c>
      <c r="I1039" s="41" t="str">
        <f t="array" ref="I1039">+CALIBRESTD(O1039)</f>
        <v>ERRO - REVISAR</v>
      </c>
    </row>
    <row r="1040" spans="1:9" ht="14.25" customHeight="1" x14ac:dyDescent="0.35">
      <c r="A1040" t="str">
        <f t="array" ref="A1040">EXTRACTEVENT(Q1040,S1040)</f>
        <v/>
      </c>
      <c r="B1040" t="str">
        <f t="shared" si="48"/>
        <v>-</v>
      </c>
      <c r="C1040" t="e">
        <f>+VLOOKUP(R1040,Maps!$A:$C,2,0)</f>
        <v>#N/A</v>
      </c>
      <c r="D1040" t="e">
        <f t="shared" si="49"/>
        <v>#VALUE!</v>
      </c>
      <c r="E1040" s="39" t="e">
        <f t="shared" si="50"/>
        <v>#VALUE!</v>
      </c>
      <c r="F1040" s="7" t="str">
        <f t="array" ref="F1040">+TIPOARMA(H1040,I1040)</f>
        <v>ERRO - REVISAR</v>
      </c>
      <c r="H1040" t="str">
        <f t="array" ref="H1040">+ARMASTD(N1040)</f>
        <v>ERRO - REVISAR</v>
      </c>
      <c r="I1040" t="str">
        <f t="array" ref="I1040">+CALIBRESTD(O1040)</f>
        <v>ERRO - REVISAR</v>
      </c>
    </row>
    <row r="1041" spans="1:9" ht="14.25" customHeight="1" x14ac:dyDescent="0.35">
      <c r="A1041" s="41" t="str">
        <f t="array" ref="A1041">EXTRACTEVENT(Q1041,S1041)</f>
        <v/>
      </c>
      <c r="B1041" s="41" t="str">
        <f t="shared" si="48"/>
        <v>-</v>
      </c>
      <c r="C1041" s="41" t="e">
        <f>+VLOOKUP(R1041,Maps!$A:$C,2,0)</f>
        <v>#N/A</v>
      </c>
      <c r="D1041" s="41" t="e">
        <f t="shared" si="49"/>
        <v>#VALUE!</v>
      </c>
      <c r="E1041" s="42" t="e">
        <f t="shared" si="50"/>
        <v>#VALUE!</v>
      </c>
      <c r="F1041" s="43" t="str">
        <f t="array" ref="F1041">+TIPOARMA(H1041,I1041)</f>
        <v>ERRO - REVISAR</v>
      </c>
      <c r="G1041" s="41"/>
      <c r="H1041" s="41" t="str">
        <f t="array" ref="H1041">+ARMASTD(N1041)</f>
        <v>ERRO - REVISAR</v>
      </c>
      <c r="I1041" s="41" t="str">
        <f t="array" ref="I1041">+CALIBRESTD(O1041)</f>
        <v>ERRO - REVISAR</v>
      </c>
    </row>
    <row r="1042" spans="1:9" ht="14.25" customHeight="1" x14ac:dyDescent="0.35">
      <c r="A1042" t="str">
        <f t="array" ref="A1042">EXTRACTEVENT(Q1042,S1042)</f>
        <v/>
      </c>
      <c r="B1042" t="str">
        <f t="shared" si="48"/>
        <v>-</v>
      </c>
      <c r="C1042" t="e">
        <f>+VLOOKUP(R1042,Maps!$A:$C,2,0)</f>
        <v>#N/A</v>
      </c>
      <c r="D1042" t="e">
        <f t="shared" si="49"/>
        <v>#VALUE!</v>
      </c>
      <c r="E1042" s="39" t="e">
        <f t="shared" si="50"/>
        <v>#VALUE!</v>
      </c>
      <c r="F1042" s="7" t="str">
        <f t="array" ref="F1042">+TIPOARMA(H1042,I1042)</f>
        <v>ERRO - REVISAR</v>
      </c>
      <c r="H1042" t="str">
        <f t="array" ref="H1042">+ARMASTD(N1042)</f>
        <v>ERRO - REVISAR</v>
      </c>
      <c r="I1042" t="str">
        <f t="array" ref="I1042">+CALIBRESTD(O1042)</f>
        <v>ERRO - REVISAR</v>
      </c>
    </row>
    <row r="1043" spans="1:9" ht="14.25" customHeight="1" x14ac:dyDescent="0.35">
      <c r="A1043" s="41" t="str">
        <f t="array" ref="A1043">EXTRACTEVENT(Q1043,S1043)</f>
        <v/>
      </c>
      <c r="B1043" s="41" t="str">
        <f t="shared" si="48"/>
        <v>-</v>
      </c>
      <c r="C1043" s="41" t="e">
        <f>+VLOOKUP(R1043,Maps!$A:$C,2,0)</f>
        <v>#N/A</v>
      </c>
      <c r="D1043" s="41" t="e">
        <f t="shared" si="49"/>
        <v>#VALUE!</v>
      </c>
      <c r="E1043" s="42" t="e">
        <f t="shared" si="50"/>
        <v>#VALUE!</v>
      </c>
      <c r="F1043" s="43" t="str">
        <f t="array" ref="F1043">+TIPOARMA(H1043,I1043)</f>
        <v>ERRO - REVISAR</v>
      </c>
      <c r="G1043" s="41"/>
      <c r="H1043" s="41" t="str">
        <f t="array" ref="H1043">+ARMASTD(N1043)</f>
        <v>ERRO - REVISAR</v>
      </c>
      <c r="I1043" s="41" t="str">
        <f t="array" ref="I1043">+CALIBRESTD(O1043)</f>
        <v>ERRO - REVISAR</v>
      </c>
    </row>
    <row r="1044" spans="1:9" ht="14.25" customHeight="1" x14ac:dyDescent="0.35">
      <c r="A1044" t="str">
        <f t="array" ref="A1044">EXTRACTEVENT(Q1044,S1044)</f>
        <v/>
      </c>
      <c r="B1044" t="str">
        <f t="shared" si="48"/>
        <v>-</v>
      </c>
      <c r="C1044" t="e">
        <f>+VLOOKUP(R1044,Maps!$A:$C,2,0)</f>
        <v>#N/A</v>
      </c>
      <c r="D1044" t="e">
        <f t="shared" si="49"/>
        <v>#VALUE!</v>
      </c>
      <c r="E1044" s="39" t="e">
        <f t="shared" si="50"/>
        <v>#VALUE!</v>
      </c>
      <c r="F1044" s="7" t="str">
        <f t="array" ref="F1044">+TIPOARMA(H1044,I1044)</f>
        <v>ERRO - REVISAR</v>
      </c>
      <c r="H1044" t="str">
        <f t="array" ref="H1044">+ARMASTD(N1044)</f>
        <v>ERRO - REVISAR</v>
      </c>
      <c r="I1044" t="str">
        <f t="array" ref="I1044">+CALIBRESTD(O1044)</f>
        <v>ERRO - REVISAR</v>
      </c>
    </row>
    <row r="1045" spans="1:9" ht="14.25" customHeight="1" x14ac:dyDescent="0.35">
      <c r="A1045" s="41" t="str">
        <f t="array" ref="A1045">EXTRACTEVENT(Q1045,S1045)</f>
        <v/>
      </c>
      <c r="B1045" s="41" t="str">
        <f t="shared" si="48"/>
        <v>-</v>
      </c>
      <c r="C1045" s="41" t="e">
        <f>+VLOOKUP(R1045,Maps!$A:$C,2,0)</f>
        <v>#N/A</v>
      </c>
      <c r="D1045" s="41" t="e">
        <f t="shared" si="49"/>
        <v>#VALUE!</v>
      </c>
      <c r="E1045" s="42" t="e">
        <f t="shared" si="50"/>
        <v>#VALUE!</v>
      </c>
      <c r="F1045" s="43" t="str">
        <f t="array" ref="F1045">+TIPOARMA(H1045,I1045)</f>
        <v>ERRO - REVISAR</v>
      </c>
      <c r="G1045" s="41"/>
      <c r="H1045" s="41" t="str">
        <f t="array" ref="H1045">+ARMASTD(N1045)</f>
        <v>ERRO - REVISAR</v>
      </c>
      <c r="I1045" s="41" t="str">
        <f t="array" ref="I1045">+CALIBRESTD(O1045)</f>
        <v>ERRO - REVISAR</v>
      </c>
    </row>
    <row r="1046" spans="1:9" ht="14.25" customHeight="1" x14ac:dyDescent="0.35">
      <c r="A1046" t="str">
        <f t="array" ref="A1046">EXTRACTEVENT(Q1046,S1046)</f>
        <v/>
      </c>
      <c r="B1046" t="str">
        <f t="shared" si="48"/>
        <v>-</v>
      </c>
      <c r="C1046" t="e">
        <f>+VLOOKUP(R1046,Maps!$A:$C,2,0)</f>
        <v>#N/A</v>
      </c>
      <c r="D1046" t="e">
        <f t="shared" si="49"/>
        <v>#VALUE!</v>
      </c>
      <c r="E1046" s="39" t="e">
        <f t="shared" si="50"/>
        <v>#VALUE!</v>
      </c>
      <c r="F1046" s="7" t="str">
        <f t="array" ref="F1046">+TIPOARMA(H1046,I1046)</f>
        <v>ERRO - REVISAR</v>
      </c>
      <c r="H1046" t="str">
        <f t="array" ref="H1046">+ARMASTD(N1046)</f>
        <v>ERRO - REVISAR</v>
      </c>
      <c r="I1046" t="str">
        <f t="array" ref="I1046">+CALIBRESTD(O1046)</f>
        <v>ERRO - REVISAR</v>
      </c>
    </row>
    <row r="1047" spans="1:9" ht="14.25" customHeight="1" x14ac:dyDescent="0.35">
      <c r="A1047" s="41" t="str">
        <f t="array" ref="A1047">EXTRACTEVENT(Q1047,S1047)</f>
        <v/>
      </c>
      <c r="B1047" s="41" t="str">
        <f t="shared" si="48"/>
        <v>-</v>
      </c>
      <c r="C1047" s="41" t="e">
        <f>+VLOOKUP(R1047,Maps!$A:$C,2,0)</f>
        <v>#N/A</v>
      </c>
      <c r="D1047" s="41" t="e">
        <f t="shared" si="49"/>
        <v>#VALUE!</v>
      </c>
      <c r="E1047" s="42" t="e">
        <f t="shared" si="50"/>
        <v>#VALUE!</v>
      </c>
      <c r="F1047" s="43" t="str">
        <f t="array" ref="F1047">+TIPOARMA(H1047,I1047)</f>
        <v>ERRO - REVISAR</v>
      </c>
      <c r="G1047" s="41"/>
      <c r="H1047" s="41" t="str">
        <f t="array" ref="H1047">+ARMASTD(N1047)</f>
        <v>ERRO - REVISAR</v>
      </c>
      <c r="I1047" s="41" t="str">
        <f t="array" ref="I1047">+CALIBRESTD(O1047)</f>
        <v>ERRO - REVISAR</v>
      </c>
    </row>
    <row r="1048" spans="1:9" ht="14.25" customHeight="1" x14ac:dyDescent="0.35">
      <c r="A1048" t="str">
        <f t="array" ref="A1048">EXTRACTEVENT(Q1048,S1048)</f>
        <v/>
      </c>
      <c r="B1048" t="str">
        <f t="shared" si="48"/>
        <v>-</v>
      </c>
      <c r="C1048" t="e">
        <f>+VLOOKUP(R1048,Maps!$A:$C,2,0)</f>
        <v>#N/A</v>
      </c>
      <c r="D1048" t="e">
        <f t="shared" si="49"/>
        <v>#VALUE!</v>
      </c>
      <c r="E1048" s="39" t="e">
        <f t="shared" si="50"/>
        <v>#VALUE!</v>
      </c>
      <c r="F1048" s="7" t="str">
        <f t="array" ref="F1048">+TIPOARMA(H1048,I1048)</f>
        <v>ERRO - REVISAR</v>
      </c>
      <c r="H1048" t="str">
        <f t="array" ref="H1048">+ARMASTD(N1048)</f>
        <v>ERRO - REVISAR</v>
      </c>
      <c r="I1048" t="str">
        <f t="array" ref="I1048">+CALIBRESTD(O1048)</f>
        <v>ERRO - REVISAR</v>
      </c>
    </row>
    <row r="1049" spans="1:9" ht="14.25" customHeight="1" x14ac:dyDescent="0.35">
      <c r="A1049" s="41" t="str">
        <f t="array" ref="A1049">EXTRACTEVENT(Q1049,S1049)</f>
        <v/>
      </c>
      <c r="B1049" s="41" t="str">
        <f t="shared" si="48"/>
        <v>-</v>
      </c>
      <c r="C1049" s="41" t="e">
        <f>+VLOOKUP(R1049,Maps!$A:$C,2,0)</f>
        <v>#N/A</v>
      </c>
      <c r="D1049" s="41" t="e">
        <f t="shared" si="49"/>
        <v>#VALUE!</v>
      </c>
      <c r="E1049" s="42" t="e">
        <f t="shared" si="50"/>
        <v>#VALUE!</v>
      </c>
      <c r="F1049" s="43" t="str">
        <f t="array" ref="F1049">+TIPOARMA(H1049,I1049)</f>
        <v>ERRO - REVISAR</v>
      </c>
      <c r="G1049" s="41"/>
      <c r="H1049" s="41" t="str">
        <f t="array" ref="H1049">+ARMASTD(N1049)</f>
        <v>ERRO - REVISAR</v>
      </c>
      <c r="I1049" s="41" t="str">
        <f t="array" ref="I1049">+CALIBRESTD(O1049)</f>
        <v>ERRO - REVISAR</v>
      </c>
    </row>
    <row r="1050" spans="1:9" ht="14.25" customHeight="1" x14ac:dyDescent="0.35">
      <c r="A1050" t="str">
        <f t="array" ref="A1050">EXTRACTEVENT(Q1050,S1050)</f>
        <v/>
      </c>
      <c r="B1050" t="str">
        <f t="shared" si="48"/>
        <v>-</v>
      </c>
      <c r="C1050" t="e">
        <f>+VLOOKUP(R1050,Maps!$A:$C,2,0)</f>
        <v>#N/A</v>
      </c>
      <c r="D1050" t="e">
        <f t="shared" si="49"/>
        <v>#VALUE!</v>
      </c>
      <c r="E1050" s="39" t="e">
        <f t="shared" si="50"/>
        <v>#VALUE!</v>
      </c>
      <c r="F1050" s="7" t="str">
        <f t="array" ref="F1050">+TIPOARMA(H1050,I1050)</f>
        <v>ERRO - REVISAR</v>
      </c>
      <c r="H1050" t="str">
        <f t="array" ref="H1050">+ARMASTD(N1050)</f>
        <v>ERRO - REVISAR</v>
      </c>
      <c r="I1050" t="str">
        <f t="array" ref="I1050">+CALIBRESTD(O1050)</f>
        <v>ERRO - REVISAR</v>
      </c>
    </row>
    <row r="1051" spans="1:9" ht="14.25" customHeight="1" x14ac:dyDescent="0.35">
      <c r="A1051" s="41" t="str">
        <f t="array" ref="A1051">EXTRACTEVENT(Q1051,S1051)</f>
        <v/>
      </c>
      <c r="B1051" s="41" t="str">
        <f t="shared" si="48"/>
        <v>-</v>
      </c>
      <c r="C1051" s="41" t="e">
        <f>+VLOOKUP(R1051,Maps!$A:$C,2,0)</f>
        <v>#N/A</v>
      </c>
      <c r="D1051" s="41" t="e">
        <f t="shared" si="49"/>
        <v>#VALUE!</v>
      </c>
      <c r="E1051" s="42" t="e">
        <f t="shared" si="50"/>
        <v>#VALUE!</v>
      </c>
      <c r="F1051" s="43" t="str">
        <f t="array" ref="F1051">+TIPOARMA(H1051,I1051)</f>
        <v>ERRO - REVISAR</v>
      </c>
      <c r="G1051" s="41"/>
      <c r="H1051" s="41" t="str">
        <f t="array" ref="H1051">+ARMASTD(N1051)</f>
        <v>ERRO - REVISAR</v>
      </c>
      <c r="I1051" s="41" t="str">
        <f t="array" ref="I1051">+CALIBRESTD(O1051)</f>
        <v>ERRO - REVISAR</v>
      </c>
    </row>
    <row r="1052" spans="1:9" ht="14.25" customHeight="1" x14ac:dyDescent="0.35">
      <c r="A1052" t="str">
        <f t="array" ref="A1052">EXTRACTEVENT(Q1052,S1052)</f>
        <v/>
      </c>
      <c r="B1052" t="str">
        <f t="shared" si="48"/>
        <v>-</v>
      </c>
      <c r="C1052" t="e">
        <f>+VLOOKUP(R1052,Maps!$A:$C,2,0)</f>
        <v>#N/A</v>
      </c>
      <c r="D1052" t="e">
        <f t="shared" si="49"/>
        <v>#VALUE!</v>
      </c>
      <c r="E1052" s="39" t="e">
        <f t="shared" si="50"/>
        <v>#VALUE!</v>
      </c>
      <c r="F1052" s="7" t="str">
        <f t="array" ref="F1052">+TIPOARMA(H1052,I1052)</f>
        <v>ERRO - REVISAR</v>
      </c>
      <c r="H1052" t="str">
        <f t="array" ref="H1052">+ARMASTD(N1052)</f>
        <v>ERRO - REVISAR</v>
      </c>
      <c r="I1052" t="str">
        <f t="array" ref="I1052">+CALIBRESTD(O1052)</f>
        <v>ERRO - REVISAR</v>
      </c>
    </row>
    <row r="1053" spans="1:9" ht="14.25" customHeight="1" x14ac:dyDescent="0.35">
      <c r="A1053" s="41" t="str">
        <f t="array" ref="A1053">EXTRACTEVENT(Q1053,S1053)</f>
        <v/>
      </c>
      <c r="B1053" s="41" t="str">
        <f t="shared" si="48"/>
        <v>-</v>
      </c>
      <c r="C1053" s="41" t="e">
        <f>+VLOOKUP(R1053,Maps!$A:$C,2,0)</f>
        <v>#N/A</v>
      </c>
      <c r="D1053" s="41" t="e">
        <f t="shared" si="49"/>
        <v>#VALUE!</v>
      </c>
      <c r="E1053" s="42" t="e">
        <f t="shared" si="50"/>
        <v>#VALUE!</v>
      </c>
      <c r="F1053" s="43" t="str">
        <f t="array" ref="F1053">+TIPOARMA(H1053,I1053)</f>
        <v>ERRO - REVISAR</v>
      </c>
      <c r="G1053" s="41"/>
      <c r="H1053" s="41" t="str">
        <f t="array" ref="H1053">+ARMASTD(N1053)</f>
        <v>ERRO - REVISAR</v>
      </c>
      <c r="I1053" s="41" t="str">
        <f t="array" ref="I1053">+CALIBRESTD(O1053)</f>
        <v>ERRO - REVISAR</v>
      </c>
    </row>
    <row r="1054" spans="1:9" ht="14.25" customHeight="1" x14ac:dyDescent="0.35">
      <c r="A1054" t="str">
        <f t="array" ref="A1054">EXTRACTEVENT(Q1054,S1054)</f>
        <v/>
      </c>
      <c r="B1054" t="str">
        <f t="shared" si="48"/>
        <v>-</v>
      </c>
      <c r="C1054" t="e">
        <f>+VLOOKUP(R1054,Maps!$A:$C,2,0)</f>
        <v>#N/A</v>
      </c>
      <c r="D1054" t="e">
        <f t="shared" si="49"/>
        <v>#VALUE!</v>
      </c>
      <c r="E1054" s="39" t="e">
        <f t="shared" si="50"/>
        <v>#VALUE!</v>
      </c>
      <c r="F1054" s="7" t="str">
        <f t="array" ref="F1054">+TIPOARMA(H1054,I1054)</f>
        <v>ERRO - REVISAR</v>
      </c>
      <c r="H1054" t="str">
        <f t="array" ref="H1054">+ARMASTD(N1054)</f>
        <v>ERRO - REVISAR</v>
      </c>
      <c r="I1054" t="str">
        <f t="array" ref="I1054">+CALIBRESTD(O1054)</f>
        <v>ERRO - REVISAR</v>
      </c>
    </row>
    <row r="1055" spans="1:9" ht="14.25" customHeight="1" x14ac:dyDescent="0.35">
      <c r="A1055" s="41" t="str">
        <f t="array" ref="A1055">EXTRACTEVENT(Q1055,S1055)</f>
        <v/>
      </c>
      <c r="B1055" s="41" t="str">
        <f t="shared" si="48"/>
        <v>-</v>
      </c>
      <c r="C1055" s="41" t="e">
        <f>+VLOOKUP(R1055,Maps!$A:$C,2,0)</f>
        <v>#N/A</v>
      </c>
      <c r="D1055" s="41" t="e">
        <f t="shared" si="49"/>
        <v>#VALUE!</v>
      </c>
      <c r="E1055" s="42" t="e">
        <f t="shared" si="50"/>
        <v>#VALUE!</v>
      </c>
      <c r="F1055" s="43" t="str">
        <f t="array" ref="F1055">+TIPOARMA(H1055,I1055)</f>
        <v>ERRO - REVISAR</v>
      </c>
      <c r="G1055" s="41"/>
      <c r="H1055" s="41" t="str">
        <f t="array" ref="H1055">+ARMASTD(N1055)</f>
        <v>ERRO - REVISAR</v>
      </c>
      <c r="I1055" s="41" t="str">
        <f t="array" ref="I1055">+CALIBRESTD(O1055)</f>
        <v>ERRO - REVISAR</v>
      </c>
    </row>
    <row r="1056" spans="1:9" ht="14.25" customHeight="1" x14ac:dyDescent="0.35">
      <c r="A1056" t="str">
        <f t="array" ref="A1056">EXTRACTEVENT(Q1056,S1056)</f>
        <v/>
      </c>
      <c r="B1056" t="str">
        <f t="shared" si="48"/>
        <v>-</v>
      </c>
      <c r="C1056" t="e">
        <f>+VLOOKUP(R1056,Maps!$A:$C,2,0)</f>
        <v>#N/A</v>
      </c>
      <c r="D1056" t="e">
        <f t="shared" si="49"/>
        <v>#VALUE!</v>
      </c>
      <c r="E1056" s="39" t="e">
        <f t="shared" si="50"/>
        <v>#VALUE!</v>
      </c>
      <c r="F1056" s="7" t="str">
        <f t="array" ref="F1056">+TIPOARMA(H1056,I1056)</f>
        <v>ERRO - REVISAR</v>
      </c>
      <c r="H1056" t="str">
        <f t="array" ref="H1056">+ARMASTD(N1056)</f>
        <v>ERRO - REVISAR</v>
      </c>
      <c r="I1056" t="str">
        <f t="array" ref="I1056">+CALIBRESTD(O1056)</f>
        <v>ERRO - REVISAR</v>
      </c>
    </row>
    <row r="1057" spans="1:9" ht="14.25" customHeight="1" x14ac:dyDescent="0.35">
      <c r="A1057" s="41" t="str">
        <f t="array" ref="A1057">EXTRACTEVENT(Q1057,S1057)</f>
        <v/>
      </c>
      <c r="B1057" s="41" t="str">
        <f t="shared" si="48"/>
        <v>-</v>
      </c>
      <c r="C1057" s="41" t="e">
        <f>+VLOOKUP(R1057,Maps!$A:$C,2,0)</f>
        <v>#N/A</v>
      </c>
      <c r="D1057" s="41" t="e">
        <f t="shared" si="49"/>
        <v>#VALUE!</v>
      </c>
      <c r="E1057" s="42" t="e">
        <f t="shared" si="50"/>
        <v>#VALUE!</v>
      </c>
      <c r="F1057" s="43" t="str">
        <f t="array" ref="F1057">+TIPOARMA(H1057,I1057)</f>
        <v>ERRO - REVISAR</v>
      </c>
      <c r="G1057" s="41"/>
      <c r="H1057" s="41" t="str">
        <f t="array" ref="H1057">+ARMASTD(N1057)</f>
        <v>ERRO - REVISAR</v>
      </c>
      <c r="I1057" s="41" t="str">
        <f t="array" ref="I1057">+CALIBRESTD(O1057)</f>
        <v>ERRO - REVISAR</v>
      </c>
    </row>
    <row r="1058" spans="1:9" ht="14.25" customHeight="1" x14ac:dyDescent="0.35">
      <c r="A1058" t="str">
        <f t="array" ref="A1058">EXTRACTEVENT(Q1058,S1058)</f>
        <v/>
      </c>
      <c r="B1058" t="str">
        <f t="shared" si="48"/>
        <v>-</v>
      </c>
      <c r="C1058" t="e">
        <f>+VLOOKUP(R1058,Maps!$A:$C,2,0)</f>
        <v>#N/A</v>
      </c>
      <c r="D1058" t="e">
        <f t="shared" si="49"/>
        <v>#VALUE!</v>
      </c>
      <c r="E1058" s="39" t="e">
        <f t="shared" si="50"/>
        <v>#VALUE!</v>
      </c>
      <c r="F1058" s="7" t="str">
        <f t="array" ref="F1058">+TIPOARMA(H1058,I1058)</f>
        <v>ERRO - REVISAR</v>
      </c>
      <c r="H1058" t="str">
        <f t="array" ref="H1058">+ARMASTD(N1058)</f>
        <v>ERRO - REVISAR</v>
      </c>
      <c r="I1058" t="str">
        <f t="array" ref="I1058">+CALIBRESTD(O1058)</f>
        <v>ERRO - REVISAR</v>
      </c>
    </row>
    <row r="1059" spans="1:9" ht="14.25" customHeight="1" x14ac:dyDescent="0.35">
      <c r="A1059" s="41" t="str">
        <f t="array" ref="A1059">EXTRACTEVENT(Q1059,S1059)</f>
        <v/>
      </c>
      <c r="B1059" s="41" t="str">
        <f t="shared" si="48"/>
        <v>-</v>
      </c>
      <c r="C1059" s="41" t="e">
        <f>+VLOOKUP(R1059,Maps!$A:$C,2,0)</f>
        <v>#N/A</v>
      </c>
      <c r="D1059" s="41" t="e">
        <f t="shared" si="49"/>
        <v>#VALUE!</v>
      </c>
      <c r="E1059" s="42" t="e">
        <f t="shared" si="50"/>
        <v>#VALUE!</v>
      </c>
      <c r="F1059" s="43" t="str">
        <f t="array" ref="F1059">+TIPOARMA(H1059,I1059)</f>
        <v>ERRO - REVISAR</v>
      </c>
      <c r="G1059" s="41"/>
      <c r="H1059" s="41" t="str">
        <f t="array" ref="H1059">+ARMASTD(N1059)</f>
        <v>ERRO - REVISAR</v>
      </c>
      <c r="I1059" s="41" t="str">
        <f t="array" ref="I1059">+CALIBRESTD(O1059)</f>
        <v>ERRO - REVISAR</v>
      </c>
    </row>
    <row r="1060" spans="1:9" ht="14.25" customHeight="1" x14ac:dyDescent="0.35">
      <c r="A1060" t="str">
        <f t="array" ref="A1060">EXTRACTEVENT(Q1060,S1060)</f>
        <v/>
      </c>
      <c r="B1060" t="str">
        <f t="shared" si="48"/>
        <v>-</v>
      </c>
      <c r="C1060" t="e">
        <f>+VLOOKUP(R1060,Maps!$A:$C,2,0)</f>
        <v>#N/A</v>
      </c>
      <c r="D1060" t="e">
        <f t="shared" si="49"/>
        <v>#VALUE!</v>
      </c>
      <c r="E1060" s="39" t="e">
        <f t="shared" si="50"/>
        <v>#VALUE!</v>
      </c>
      <c r="F1060" s="7" t="str">
        <f t="array" ref="F1060">+TIPOARMA(H1060,I1060)</f>
        <v>ERRO - REVISAR</v>
      </c>
      <c r="H1060" t="str">
        <f t="array" ref="H1060">+ARMASTD(N1060)</f>
        <v>ERRO - REVISAR</v>
      </c>
      <c r="I1060" t="str">
        <f t="array" ref="I1060">+CALIBRESTD(O1060)</f>
        <v>ERRO - REVISAR</v>
      </c>
    </row>
    <row r="1061" spans="1:9" ht="14.25" customHeight="1" x14ac:dyDescent="0.35">
      <c r="A1061" s="41" t="str">
        <f t="array" ref="A1061">EXTRACTEVENT(Q1061,S1061)</f>
        <v/>
      </c>
      <c r="B1061" s="41" t="str">
        <f t="shared" si="48"/>
        <v>-</v>
      </c>
      <c r="C1061" s="41" t="e">
        <f>+VLOOKUP(R1061,Maps!$A:$C,2,0)</f>
        <v>#N/A</v>
      </c>
      <c r="D1061" s="41" t="e">
        <f t="shared" si="49"/>
        <v>#VALUE!</v>
      </c>
      <c r="E1061" s="42" t="e">
        <f t="shared" si="50"/>
        <v>#VALUE!</v>
      </c>
      <c r="F1061" s="43" t="str">
        <f t="array" ref="F1061">+TIPOARMA(H1061,I1061)</f>
        <v>ERRO - REVISAR</v>
      </c>
      <c r="G1061" s="41"/>
      <c r="H1061" s="41" t="str">
        <f t="array" ref="H1061">+ARMASTD(N1061)</f>
        <v>ERRO - REVISAR</v>
      </c>
      <c r="I1061" s="41" t="str">
        <f t="array" ref="I1061">+CALIBRESTD(O1061)</f>
        <v>ERRO - REVISAR</v>
      </c>
    </row>
    <row r="1062" spans="1:9" ht="14.25" customHeight="1" x14ac:dyDescent="0.35">
      <c r="A1062" t="str">
        <f t="array" ref="A1062">EXTRACTEVENT(Q1062,S1062)</f>
        <v/>
      </c>
      <c r="B1062" t="str">
        <f t="shared" si="48"/>
        <v>-</v>
      </c>
      <c r="C1062" t="e">
        <f>+VLOOKUP(R1062,Maps!$A:$C,2,0)</f>
        <v>#N/A</v>
      </c>
      <c r="D1062" t="e">
        <f t="shared" si="49"/>
        <v>#VALUE!</v>
      </c>
      <c r="E1062" s="39" t="e">
        <f t="shared" si="50"/>
        <v>#VALUE!</v>
      </c>
      <c r="F1062" s="7" t="str">
        <f t="array" ref="F1062">+TIPOARMA(H1062,I1062)</f>
        <v>ERRO - REVISAR</v>
      </c>
      <c r="H1062" t="str">
        <f t="array" ref="H1062">+ARMASTD(N1062)</f>
        <v>ERRO - REVISAR</v>
      </c>
      <c r="I1062" t="str">
        <f t="array" ref="I1062">+CALIBRESTD(O1062)</f>
        <v>ERRO - REVISAR</v>
      </c>
    </row>
    <row r="1063" spans="1:9" ht="14.25" customHeight="1" x14ac:dyDescent="0.35">
      <c r="A1063" s="41" t="str">
        <f t="array" ref="A1063">EXTRACTEVENT(Q1063,S1063)</f>
        <v/>
      </c>
      <c r="B1063" s="41" t="str">
        <f t="shared" si="48"/>
        <v>-</v>
      </c>
      <c r="C1063" s="41" t="e">
        <f>+VLOOKUP(R1063,Maps!$A:$C,2,0)</f>
        <v>#N/A</v>
      </c>
      <c r="D1063" s="41" t="e">
        <f t="shared" si="49"/>
        <v>#VALUE!</v>
      </c>
      <c r="E1063" s="42" t="e">
        <f t="shared" si="50"/>
        <v>#VALUE!</v>
      </c>
      <c r="F1063" s="43" t="str">
        <f t="array" ref="F1063">+TIPOARMA(H1063,I1063)</f>
        <v>ERRO - REVISAR</v>
      </c>
      <c r="G1063" s="41"/>
      <c r="H1063" s="41" t="str">
        <f t="array" ref="H1063">+ARMASTD(N1063)</f>
        <v>ERRO - REVISAR</v>
      </c>
      <c r="I1063" s="41" t="str">
        <f t="array" ref="I1063">+CALIBRESTD(O1063)</f>
        <v>ERRO - REVISAR</v>
      </c>
    </row>
    <row r="1064" spans="1:9" ht="14.25" customHeight="1" x14ac:dyDescent="0.35">
      <c r="A1064" t="str">
        <f t="array" ref="A1064">EXTRACTEVENT(Q1064,S1064)</f>
        <v/>
      </c>
      <c r="B1064" t="str">
        <f t="shared" si="48"/>
        <v>-</v>
      </c>
      <c r="C1064" t="e">
        <f>+VLOOKUP(R1064,Maps!$A:$C,2,0)</f>
        <v>#N/A</v>
      </c>
      <c r="D1064" t="e">
        <f t="shared" si="49"/>
        <v>#VALUE!</v>
      </c>
      <c r="E1064" s="39" t="e">
        <f t="shared" si="50"/>
        <v>#VALUE!</v>
      </c>
      <c r="F1064" s="7" t="str">
        <f t="array" ref="F1064">+TIPOARMA(H1064,I1064)</f>
        <v>ERRO - REVISAR</v>
      </c>
      <c r="H1064" t="str">
        <f t="array" ref="H1064">+ARMASTD(N1064)</f>
        <v>ERRO - REVISAR</v>
      </c>
      <c r="I1064" t="str">
        <f t="array" ref="I1064">+CALIBRESTD(O1064)</f>
        <v>ERRO - REVISAR</v>
      </c>
    </row>
    <row r="1065" spans="1:9" ht="14.25" customHeight="1" x14ac:dyDescent="0.35">
      <c r="A1065" s="41" t="str">
        <f t="array" ref="A1065">EXTRACTEVENT(Q1065,S1065)</f>
        <v/>
      </c>
      <c r="B1065" s="41" t="str">
        <f t="shared" si="48"/>
        <v>-</v>
      </c>
      <c r="C1065" s="41" t="e">
        <f>+VLOOKUP(R1065,Maps!$A:$C,2,0)</f>
        <v>#N/A</v>
      </c>
      <c r="D1065" s="41" t="e">
        <f t="shared" si="49"/>
        <v>#VALUE!</v>
      </c>
      <c r="E1065" s="42" t="e">
        <f t="shared" si="50"/>
        <v>#VALUE!</v>
      </c>
      <c r="F1065" s="43" t="str">
        <f t="array" ref="F1065">+TIPOARMA(H1065,I1065)</f>
        <v>ERRO - REVISAR</v>
      </c>
      <c r="G1065" s="41"/>
      <c r="H1065" s="41" t="str">
        <f t="array" ref="H1065">+ARMASTD(N1065)</f>
        <v>ERRO - REVISAR</v>
      </c>
      <c r="I1065" s="41" t="str">
        <f t="array" ref="I1065">+CALIBRESTD(O1065)</f>
        <v>ERRO - REVISAR</v>
      </c>
    </row>
    <row r="1066" spans="1:9" ht="14.25" customHeight="1" x14ac:dyDescent="0.35">
      <c r="A1066" t="str">
        <f t="array" ref="A1066">EXTRACTEVENT(Q1066,S1066)</f>
        <v/>
      </c>
      <c r="B1066" t="str">
        <f t="shared" si="48"/>
        <v>-</v>
      </c>
      <c r="C1066" t="e">
        <f>+VLOOKUP(R1066,Maps!$A:$C,2,0)</f>
        <v>#N/A</v>
      </c>
      <c r="D1066" t="e">
        <f t="shared" si="49"/>
        <v>#VALUE!</v>
      </c>
      <c r="E1066" s="39" t="e">
        <f t="shared" si="50"/>
        <v>#VALUE!</v>
      </c>
      <c r="F1066" s="7" t="str">
        <f t="array" ref="F1066">+TIPOARMA(H1066,I1066)</f>
        <v>ERRO - REVISAR</v>
      </c>
      <c r="H1066" t="str">
        <f t="array" ref="H1066">+ARMASTD(N1066)</f>
        <v>ERRO - REVISAR</v>
      </c>
      <c r="I1066" t="str">
        <f t="array" ref="I1066">+CALIBRESTD(O1066)</f>
        <v>ERRO - REVISAR</v>
      </c>
    </row>
    <row r="1067" spans="1:9" ht="14.25" customHeight="1" x14ac:dyDescent="0.35">
      <c r="A1067" s="41" t="str">
        <f t="array" ref="A1067">EXTRACTEVENT(Q1067,S1067)</f>
        <v/>
      </c>
      <c r="B1067" s="41" t="str">
        <f t="shared" si="48"/>
        <v>-</v>
      </c>
      <c r="C1067" s="41" t="e">
        <f>+VLOOKUP(R1067,Maps!$A:$C,2,0)</f>
        <v>#N/A</v>
      </c>
      <c r="D1067" s="41" t="e">
        <f t="shared" si="49"/>
        <v>#VALUE!</v>
      </c>
      <c r="E1067" s="42" t="e">
        <f t="shared" si="50"/>
        <v>#VALUE!</v>
      </c>
      <c r="F1067" s="43" t="str">
        <f t="array" ref="F1067">+TIPOARMA(H1067,I1067)</f>
        <v>ERRO - REVISAR</v>
      </c>
      <c r="G1067" s="41"/>
      <c r="H1067" s="41" t="str">
        <f t="array" ref="H1067">+ARMASTD(N1067)</f>
        <v>ERRO - REVISAR</v>
      </c>
      <c r="I1067" s="41" t="str">
        <f t="array" ref="I1067">+CALIBRESTD(O1067)</f>
        <v>ERRO - REVISAR</v>
      </c>
    </row>
    <row r="1068" spans="1:9" ht="14.25" customHeight="1" x14ac:dyDescent="0.35">
      <c r="A1068" t="str">
        <f t="array" ref="A1068">EXTRACTEVENT(Q1068,S1068)</f>
        <v/>
      </c>
      <c r="B1068" t="str">
        <f t="shared" si="48"/>
        <v>-</v>
      </c>
      <c r="C1068" t="e">
        <f>+VLOOKUP(R1068,Maps!$A:$C,2,0)</f>
        <v>#N/A</v>
      </c>
      <c r="D1068" t="e">
        <f t="shared" si="49"/>
        <v>#VALUE!</v>
      </c>
      <c r="E1068" s="39" t="e">
        <f t="shared" si="50"/>
        <v>#VALUE!</v>
      </c>
      <c r="F1068" s="7" t="str">
        <f t="array" ref="F1068">+TIPOARMA(H1068,I1068)</f>
        <v>ERRO - REVISAR</v>
      </c>
      <c r="H1068" t="str">
        <f t="array" ref="H1068">+ARMASTD(N1068)</f>
        <v>ERRO - REVISAR</v>
      </c>
      <c r="I1068" t="str">
        <f t="array" ref="I1068">+CALIBRESTD(O1068)</f>
        <v>ERRO - REVISAR</v>
      </c>
    </row>
    <row r="1069" spans="1:9" ht="14.25" customHeight="1" x14ac:dyDescent="0.35">
      <c r="A1069" s="41" t="str">
        <f t="array" ref="A1069">EXTRACTEVENT(Q1069,S1069)</f>
        <v/>
      </c>
      <c r="B1069" s="41" t="str">
        <f t="shared" si="48"/>
        <v>-</v>
      </c>
      <c r="C1069" s="41" t="e">
        <f>+VLOOKUP(R1069,Maps!$A:$C,2,0)</f>
        <v>#N/A</v>
      </c>
      <c r="D1069" s="41" t="e">
        <f t="shared" si="49"/>
        <v>#VALUE!</v>
      </c>
      <c r="E1069" s="42" t="e">
        <f t="shared" si="50"/>
        <v>#VALUE!</v>
      </c>
      <c r="F1069" s="43" t="str">
        <f t="array" ref="F1069">+TIPOARMA(H1069,I1069)</f>
        <v>ERRO - REVISAR</v>
      </c>
      <c r="G1069" s="41"/>
      <c r="H1069" s="41" t="str">
        <f t="array" ref="H1069">+ARMASTD(N1069)</f>
        <v>ERRO - REVISAR</v>
      </c>
      <c r="I1069" s="41" t="str">
        <f t="array" ref="I1069">+CALIBRESTD(O1069)</f>
        <v>ERRO - REVISAR</v>
      </c>
    </row>
    <row r="1070" spans="1:9" ht="14.25" customHeight="1" x14ac:dyDescent="0.35">
      <c r="A1070" t="str">
        <f t="array" ref="A1070">EXTRACTEVENT(Q1070,S1070)</f>
        <v/>
      </c>
      <c r="B1070" t="str">
        <f t="shared" si="48"/>
        <v>-</v>
      </c>
      <c r="C1070" t="e">
        <f>+VLOOKUP(R1070,Maps!$A:$C,2,0)</f>
        <v>#N/A</v>
      </c>
      <c r="D1070" t="e">
        <f t="shared" si="49"/>
        <v>#VALUE!</v>
      </c>
      <c r="E1070" s="39" t="e">
        <f t="shared" si="50"/>
        <v>#VALUE!</v>
      </c>
      <c r="F1070" s="7" t="str">
        <f t="array" ref="F1070">+TIPOARMA(H1070,I1070)</f>
        <v>ERRO - REVISAR</v>
      </c>
      <c r="H1070" t="str">
        <f t="array" ref="H1070">+ARMASTD(N1070)</f>
        <v>ERRO - REVISAR</v>
      </c>
      <c r="I1070" t="str">
        <f t="array" ref="I1070">+CALIBRESTD(O1070)</f>
        <v>ERRO - REVISAR</v>
      </c>
    </row>
    <row r="1071" spans="1:9" ht="14.25" customHeight="1" x14ac:dyDescent="0.35">
      <c r="A1071" s="41" t="str">
        <f t="array" ref="A1071">EXTRACTEVENT(Q1071,S1071)</f>
        <v/>
      </c>
      <c r="B1071" s="41" t="str">
        <f t="shared" si="48"/>
        <v>-</v>
      </c>
      <c r="C1071" s="41" t="e">
        <f>+VLOOKUP(R1071,Maps!$A:$C,2,0)</f>
        <v>#N/A</v>
      </c>
      <c r="D1071" s="41" t="e">
        <f t="shared" si="49"/>
        <v>#VALUE!</v>
      </c>
      <c r="E1071" s="42" t="e">
        <f t="shared" si="50"/>
        <v>#VALUE!</v>
      </c>
      <c r="F1071" s="43" t="str">
        <f t="array" ref="F1071">+TIPOARMA(H1071,I1071)</f>
        <v>ERRO - REVISAR</v>
      </c>
      <c r="G1071" s="41"/>
      <c r="H1071" s="41" t="str">
        <f t="array" ref="H1071">+ARMASTD(N1071)</f>
        <v>ERRO - REVISAR</v>
      </c>
      <c r="I1071" s="41" t="str">
        <f t="array" ref="I1071">+CALIBRESTD(O1071)</f>
        <v>ERRO - REVISAR</v>
      </c>
    </row>
    <row r="1072" spans="1:9" ht="14.25" customHeight="1" x14ac:dyDescent="0.35">
      <c r="A1072" t="str">
        <f t="array" ref="A1072">EXTRACTEVENT(Q1072,S1072)</f>
        <v/>
      </c>
      <c r="B1072" t="str">
        <f t="shared" si="48"/>
        <v>-</v>
      </c>
      <c r="C1072" t="e">
        <f>+VLOOKUP(R1072,Maps!$A:$C,2,0)</f>
        <v>#N/A</v>
      </c>
      <c r="D1072" t="e">
        <f t="shared" si="49"/>
        <v>#VALUE!</v>
      </c>
      <c r="E1072" s="39" t="e">
        <f t="shared" si="50"/>
        <v>#VALUE!</v>
      </c>
      <c r="F1072" s="7" t="str">
        <f t="array" ref="F1072">+TIPOARMA(H1072,I1072)</f>
        <v>ERRO - REVISAR</v>
      </c>
      <c r="H1072" t="str">
        <f t="array" ref="H1072">+ARMASTD(N1072)</f>
        <v>ERRO - REVISAR</v>
      </c>
      <c r="I1072" t="str">
        <f t="array" ref="I1072">+CALIBRESTD(O1072)</f>
        <v>ERRO - REVISAR</v>
      </c>
    </row>
    <row r="1073" spans="1:9" ht="14.25" customHeight="1" x14ac:dyDescent="0.35">
      <c r="A1073" s="41" t="str">
        <f t="array" ref="A1073">EXTRACTEVENT(Q1073,S1073)</f>
        <v/>
      </c>
      <c r="B1073" s="41" t="str">
        <f t="shared" si="48"/>
        <v>-</v>
      </c>
      <c r="C1073" s="41" t="e">
        <f>+VLOOKUP(R1073,Maps!$A:$C,2,0)</f>
        <v>#N/A</v>
      </c>
      <c r="D1073" s="41" t="e">
        <f t="shared" si="49"/>
        <v>#VALUE!</v>
      </c>
      <c r="E1073" s="42" t="e">
        <f t="shared" si="50"/>
        <v>#VALUE!</v>
      </c>
      <c r="F1073" s="43" t="str">
        <f t="array" ref="F1073">+TIPOARMA(H1073,I1073)</f>
        <v>ERRO - REVISAR</v>
      </c>
      <c r="G1073" s="41"/>
      <c r="H1073" s="41" t="str">
        <f t="array" ref="H1073">+ARMASTD(N1073)</f>
        <v>ERRO - REVISAR</v>
      </c>
      <c r="I1073" s="41" t="str">
        <f t="array" ref="I1073">+CALIBRESTD(O1073)</f>
        <v>ERRO - REVISAR</v>
      </c>
    </row>
    <row r="1074" spans="1:9" ht="14.25" customHeight="1" x14ac:dyDescent="0.35">
      <c r="A1074" t="str">
        <f t="array" ref="A1074">EXTRACTEVENT(Q1074,S1074)</f>
        <v/>
      </c>
      <c r="B1074" t="str">
        <f t="shared" si="48"/>
        <v>-</v>
      </c>
      <c r="C1074" t="e">
        <f>+VLOOKUP(R1074,Maps!$A:$C,2,0)</f>
        <v>#N/A</v>
      </c>
      <c r="D1074" t="e">
        <f t="shared" si="49"/>
        <v>#VALUE!</v>
      </c>
      <c r="E1074" s="39" t="e">
        <f t="shared" si="50"/>
        <v>#VALUE!</v>
      </c>
      <c r="F1074" s="7" t="str">
        <f t="array" ref="F1074">+TIPOARMA(H1074,I1074)</f>
        <v>ERRO - REVISAR</v>
      </c>
      <c r="H1074" t="str">
        <f t="array" ref="H1074">+ARMASTD(N1074)</f>
        <v>ERRO - REVISAR</v>
      </c>
      <c r="I1074" t="str">
        <f t="array" ref="I1074">+CALIBRESTD(O1074)</f>
        <v>ERRO - REVISAR</v>
      </c>
    </row>
    <row r="1075" spans="1:9" ht="14.25" customHeight="1" x14ac:dyDescent="0.35">
      <c r="A1075" s="41" t="str">
        <f t="array" ref="A1075">EXTRACTEVENT(Q1075,S1075)</f>
        <v/>
      </c>
      <c r="B1075" s="41" t="str">
        <f t="shared" si="48"/>
        <v>-</v>
      </c>
      <c r="C1075" s="41" t="e">
        <f>+VLOOKUP(R1075,Maps!$A:$C,2,0)</f>
        <v>#N/A</v>
      </c>
      <c r="D1075" s="41" t="e">
        <f t="shared" si="49"/>
        <v>#VALUE!</v>
      </c>
      <c r="E1075" s="42" t="e">
        <f t="shared" si="50"/>
        <v>#VALUE!</v>
      </c>
      <c r="F1075" s="43" t="str">
        <f t="array" ref="F1075">+TIPOARMA(H1075,I1075)</f>
        <v>ERRO - REVISAR</v>
      </c>
      <c r="G1075" s="41"/>
      <c r="H1075" s="41" t="str">
        <f t="array" ref="H1075">+ARMASTD(N1075)</f>
        <v>ERRO - REVISAR</v>
      </c>
      <c r="I1075" s="41" t="str">
        <f t="array" ref="I1075">+CALIBRESTD(O1075)</f>
        <v>ERRO - REVISAR</v>
      </c>
    </row>
    <row r="1076" spans="1:9" ht="14.25" customHeight="1" x14ac:dyDescent="0.35">
      <c r="A1076" t="str">
        <f t="array" ref="A1076">EXTRACTEVENT(Q1076,S1076)</f>
        <v/>
      </c>
      <c r="B1076" t="str">
        <f t="shared" si="48"/>
        <v>-</v>
      </c>
      <c r="C1076" t="e">
        <f>+VLOOKUP(R1076,Maps!$A:$C,2,0)</f>
        <v>#N/A</v>
      </c>
      <c r="D1076" t="e">
        <f t="shared" si="49"/>
        <v>#VALUE!</v>
      </c>
      <c r="E1076" s="39" t="e">
        <f t="shared" si="50"/>
        <v>#VALUE!</v>
      </c>
      <c r="F1076" s="7" t="str">
        <f t="array" ref="F1076">+TIPOARMA(H1076,I1076)</f>
        <v>ERRO - REVISAR</v>
      </c>
      <c r="H1076" t="str">
        <f t="array" ref="H1076">+ARMASTD(N1076)</f>
        <v>ERRO - REVISAR</v>
      </c>
      <c r="I1076" t="str">
        <f t="array" ref="I1076">+CALIBRESTD(O1076)</f>
        <v>ERRO - REVISAR</v>
      </c>
    </row>
    <row r="1077" spans="1:9" ht="14.25" customHeight="1" x14ac:dyDescent="0.35">
      <c r="A1077" s="41" t="str">
        <f t="array" ref="A1077">EXTRACTEVENT(Q1077,S1077)</f>
        <v/>
      </c>
      <c r="B1077" s="41" t="str">
        <f t="shared" si="48"/>
        <v>-</v>
      </c>
      <c r="C1077" s="41" t="e">
        <f>+VLOOKUP(R1077,Maps!$A:$C,2,0)</f>
        <v>#N/A</v>
      </c>
      <c r="D1077" s="41" t="e">
        <f t="shared" si="49"/>
        <v>#VALUE!</v>
      </c>
      <c r="E1077" s="42" t="e">
        <f t="shared" si="50"/>
        <v>#VALUE!</v>
      </c>
      <c r="F1077" s="43" t="str">
        <f t="array" ref="F1077">+TIPOARMA(H1077,I1077)</f>
        <v>ERRO - REVISAR</v>
      </c>
      <c r="G1077" s="41"/>
      <c r="H1077" s="41" t="str">
        <f t="array" ref="H1077">+ARMASTD(N1077)</f>
        <v>ERRO - REVISAR</v>
      </c>
      <c r="I1077" s="41" t="str">
        <f t="array" ref="I1077">+CALIBRESTD(O1077)</f>
        <v>ERRO - REVISAR</v>
      </c>
    </row>
    <row r="1078" spans="1:9" ht="14.25" customHeight="1" x14ac:dyDescent="0.35">
      <c r="A1078" t="str">
        <f t="array" ref="A1078">EXTRACTEVENT(Q1078,S1078)</f>
        <v/>
      </c>
      <c r="B1078" t="str">
        <f t="shared" si="48"/>
        <v>-</v>
      </c>
      <c r="C1078" t="e">
        <f>+VLOOKUP(R1078,Maps!$A:$C,2,0)</f>
        <v>#N/A</v>
      </c>
      <c r="D1078" t="e">
        <f t="shared" si="49"/>
        <v>#VALUE!</v>
      </c>
      <c r="E1078" s="39" t="e">
        <f t="shared" si="50"/>
        <v>#VALUE!</v>
      </c>
      <c r="F1078" s="7" t="str">
        <f t="array" ref="F1078">+TIPOARMA(H1078,I1078)</f>
        <v>ERRO - REVISAR</v>
      </c>
      <c r="H1078" t="str">
        <f t="array" ref="H1078">+ARMASTD(N1078)</f>
        <v>ERRO - REVISAR</v>
      </c>
      <c r="I1078" t="str">
        <f t="array" ref="I1078">+CALIBRESTD(O1078)</f>
        <v>ERRO - REVISAR</v>
      </c>
    </row>
    <row r="1079" spans="1:9" ht="14.25" customHeight="1" x14ac:dyDescent="0.35">
      <c r="A1079" s="41" t="str">
        <f t="array" ref="A1079">EXTRACTEVENT(Q1079,S1079)</f>
        <v/>
      </c>
      <c r="B1079" s="41" t="str">
        <f t="shared" si="48"/>
        <v>-</v>
      </c>
      <c r="C1079" s="41" t="e">
        <f>+VLOOKUP(R1079,Maps!$A:$C,2,0)</f>
        <v>#N/A</v>
      </c>
      <c r="D1079" s="41" t="e">
        <f t="shared" si="49"/>
        <v>#VALUE!</v>
      </c>
      <c r="E1079" s="42" t="e">
        <f t="shared" si="50"/>
        <v>#VALUE!</v>
      </c>
      <c r="F1079" s="43" t="str">
        <f t="array" ref="F1079">+TIPOARMA(H1079,I1079)</f>
        <v>ERRO - REVISAR</v>
      </c>
      <c r="G1079" s="41"/>
      <c r="H1079" s="41" t="str">
        <f t="array" ref="H1079">+ARMASTD(N1079)</f>
        <v>ERRO - REVISAR</v>
      </c>
      <c r="I1079" s="41" t="str">
        <f t="array" ref="I1079">+CALIBRESTD(O1079)</f>
        <v>ERRO - REVISAR</v>
      </c>
    </row>
    <row r="1080" spans="1:9" ht="14.25" customHeight="1" x14ac:dyDescent="0.35">
      <c r="A1080" t="str">
        <f t="array" ref="A1080">EXTRACTEVENT(Q1080,S1080)</f>
        <v/>
      </c>
      <c r="B1080" t="str">
        <f t="shared" si="48"/>
        <v>-</v>
      </c>
      <c r="C1080" t="e">
        <f>+VLOOKUP(R1080,Maps!$A:$C,2,0)</f>
        <v>#N/A</v>
      </c>
      <c r="D1080" t="e">
        <f t="shared" si="49"/>
        <v>#VALUE!</v>
      </c>
      <c r="E1080" s="39" t="e">
        <f t="shared" si="50"/>
        <v>#VALUE!</v>
      </c>
      <c r="F1080" s="7" t="str">
        <f t="array" ref="F1080">+TIPOARMA(H1080,I1080)</f>
        <v>ERRO - REVISAR</v>
      </c>
      <c r="H1080" t="str">
        <f t="array" ref="H1080">+ARMASTD(N1080)</f>
        <v>ERRO - REVISAR</v>
      </c>
      <c r="I1080" t="str">
        <f t="array" ref="I1080">+CALIBRESTD(O1080)</f>
        <v>ERRO - REVISAR</v>
      </c>
    </row>
    <row r="1081" spans="1:9" ht="14.25" customHeight="1" x14ac:dyDescent="0.35">
      <c r="A1081" s="41" t="str">
        <f t="array" ref="A1081">EXTRACTEVENT(Q1081,S1081)</f>
        <v/>
      </c>
      <c r="B1081" s="41" t="str">
        <f t="shared" si="48"/>
        <v>-</v>
      </c>
      <c r="C1081" s="41" t="e">
        <f>+VLOOKUP(R1081,Maps!$A:$C,2,0)</f>
        <v>#N/A</v>
      </c>
      <c r="D1081" s="41" t="e">
        <f t="shared" si="49"/>
        <v>#VALUE!</v>
      </c>
      <c r="E1081" s="42" t="e">
        <f t="shared" si="50"/>
        <v>#VALUE!</v>
      </c>
      <c r="F1081" s="43" t="str">
        <f t="array" ref="F1081">+TIPOARMA(H1081,I1081)</f>
        <v>ERRO - REVISAR</v>
      </c>
      <c r="G1081" s="41"/>
      <c r="H1081" s="41" t="str">
        <f t="array" ref="H1081">+ARMASTD(N1081)</f>
        <v>ERRO - REVISAR</v>
      </c>
      <c r="I1081" s="41" t="str">
        <f t="array" ref="I1081">+CALIBRESTD(O1081)</f>
        <v>ERRO - REVISAR</v>
      </c>
    </row>
    <row r="1082" spans="1:9" ht="14.25" customHeight="1" x14ac:dyDescent="0.35">
      <c r="A1082" t="str">
        <f t="array" ref="A1082">EXTRACTEVENT(Q1082,S1082)</f>
        <v/>
      </c>
      <c r="B1082" t="str">
        <f t="shared" si="48"/>
        <v>-</v>
      </c>
      <c r="C1082" t="e">
        <f>+VLOOKUP(R1082,Maps!$A:$C,2,0)</f>
        <v>#N/A</v>
      </c>
      <c r="D1082" t="e">
        <f t="shared" si="49"/>
        <v>#VALUE!</v>
      </c>
      <c r="E1082" s="39" t="e">
        <f t="shared" si="50"/>
        <v>#VALUE!</v>
      </c>
      <c r="F1082" s="7" t="str">
        <f t="array" ref="F1082">+TIPOARMA(H1082,I1082)</f>
        <v>ERRO - REVISAR</v>
      </c>
      <c r="H1082" t="str">
        <f t="array" ref="H1082">+ARMASTD(N1082)</f>
        <v>ERRO - REVISAR</v>
      </c>
      <c r="I1082" t="str">
        <f t="array" ref="I1082">+CALIBRESTD(O1082)</f>
        <v>ERRO - REVISAR</v>
      </c>
    </row>
    <row r="1083" spans="1:9" ht="14.25" customHeight="1" x14ac:dyDescent="0.35">
      <c r="A1083" s="41" t="str">
        <f t="array" ref="A1083">EXTRACTEVENT(Q1083,S1083)</f>
        <v/>
      </c>
      <c r="B1083" s="41" t="str">
        <f t="shared" si="48"/>
        <v>-</v>
      </c>
      <c r="C1083" s="41" t="e">
        <f>+VLOOKUP(R1083,Maps!$A:$C,2,0)</f>
        <v>#N/A</v>
      </c>
      <c r="D1083" s="41" t="e">
        <f t="shared" si="49"/>
        <v>#VALUE!</v>
      </c>
      <c r="E1083" s="42" t="e">
        <f t="shared" si="50"/>
        <v>#VALUE!</v>
      </c>
      <c r="F1083" s="43" t="str">
        <f t="array" ref="F1083">+TIPOARMA(H1083,I1083)</f>
        <v>ERRO - REVISAR</v>
      </c>
      <c r="G1083" s="41"/>
      <c r="H1083" s="41" t="str">
        <f t="array" ref="H1083">+ARMASTD(N1083)</f>
        <v>ERRO - REVISAR</v>
      </c>
      <c r="I1083" s="41" t="str">
        <f t="array" ref="I1083">+CALIBRESTD(O1083)</f>
        <v>ERRO - REVISAR</v>
      </c>
    </row>
    <row r="1084" spans="1:9" ht="14.25" customHeight="1" x14ac:dyDescent="0.35">
      <c r="A1084" t="str">
        <f t="array" ref="A1084">EXTRACTEVENT(Q1084,S1084)</f>
        <v/>
      </c>
      <c r="B1084" t="str">
        <f t="shared" si="48"/>
        <v>-</v>
      </c>
      <c r="C1084" t="e">
        <f>+VLOOKUP(R1084,Maps!$A:$C,2,0)</f>
        <v>#N/A</v>
      </c>
      <c r="D1084" t="e">
        <f t="shared" si="49"/>
        <v>#VALUE!</v>
      </c>
      <c r="E1084" s="39" t="e">
        <f t="shared" si="50"/>
        <v>#VALUE!</v>
      </c>
      <c r="F1084" s="7" t="str">
        <f t="array" ref="F1084">+TIPOARMA(H1084,I1084)</f>
        <v>ERRO - REVISAR</v>
      </c>
      <c r="H1084" t="str">
        <f t="array" ref="H1084">+ARMASTD(N1084)</f>
        <v>ERRO - REVISAR</v>
      </c>
      <c r="I1084" t="str">
        <f t="array" ref="I1084">+CALIBRESTD(O1084)</f>
        <v>ERRO - REVISAR</v>
      </c>
    </row>
    <row r="1085" spans="1:9" ht="14.25" customHeight="1" x14ac:dyDescent="0.35">
      <c r="A1085" s="41" t="str">
        <f t="array" ref="A1085">EXTRACTEVENT(Q1085,S1085)</f>
        <v/>
      </c>
      <c r="B1085" s="41" t="str">
        <f t="shared" si="48"/>
        <v>-</v>
      </c>
      <c r="C1085" s="41" t="e">
        <f>+VLOOKUP(R1085,Maps!$A:$C,2,0)</f>
        <v>#N/A</v>
      </c>
      <c r="D1085" s="41" t="e">
        <f t="shared" si="49"/>
        <v>#VALUE!</v>
      </c>
      <c r="E1085" s="42" t="e">
        <f t="shared" si="50"/>
        <v>#VALUE!</v>
      </c>
      <c r="F1085" s="43" t="str">
        <f t="array" ref="F1085">+TIPOARMA(H1085,I1085)</f>
        <v>ERRO - REVISAR</v>
      </c>
      <c r="G1085" s="41"/>
      <c r="H1085" s="41" t="str">
        <f t="array" ref="H1085">+ARMASTD(N1085)</f>
        <v>ERRO - REVISAR</v>
      </c>
      <c r="I1085" s="41" t="str">
        <f t="array" ref="I1085">+CALIBRESTD(O1085)</f>
        <v>ERRO - REVISAR</v>
      </c>
    </row>
    <row r="1086" spans="1:9" ht="14.25" customHeight="1" x14ac:dyDescent="0.35">
      <c r="A1086" t="str">
        <f t="array" ref="A1086">EXTRACTEVENT(Q1086,S1086)</f>
        <v/>
      </c>
      <c r="B1086" t="str">
        <f t="shared" si="48"/>
        <v>-</v>
      </c>
      <c r="C1086" t="e">
        <f>+VLOOKUP(R1086,Maps!$A:$C,2,0)</f>
        <v>#N/A</v>
      </c>
      <c r="D1086" t="e">
        <f t="shared" si="49"/>
        <v>#VALUE!</v>
      </c>
      <c r="E1086" s="39" t="e">
        <f t="shared" si="50"/>
        <v>#VALUE!</v>
      </c>
      <c r="F1086" s="7" t="str">
        <f t="array" ref="F1086">+TIPOARMA(H1086,I1086)</f>
        <v>ERRO - REVISAR</v>
      </c>
      <c r="H1086" t="str">
        <f t="array" ref="H1086">+ARMASTD(N1086)</f>
        <v>ERRO - REVISAR</v>
      </c>
      <c r="I1086" t="str">
        <f t="array" ref="I1086">+CALIBRESTD(O1086)</f>
        <v>ERRO - REVISAR</v>
      </c>
    </row>
    <row r="1087" spans="1:9" ht="14.25" customHeight="1" x14ac:dyDescent="0.35">
      <c r="A1087" s="41" t="str">
        <f t="array" ref="A1087">EXTRACTEVENT(Q1087,S1087)</f>
        <v/>
      </c>
      <c r="B1087" s="41" t="str">
        <f t="shared" si="48"/>
        <v>-</v>
      </c>
      <c r="C1087" s="41" t="e">
        <f>+VLOOKUP(R1087,Maps!$A:$C,2,0)</f>
        <v>#N/A</v>
      </c>
      <c r="D1087" s="41" t="e">
        <f t="shared" si="49"/>
        <v>#VALUE!</v>
      </c>
      <c r="E1087" s="42" t="e">
        <f t="shared" si="50"/>
        <v>#VALUE!</v>
      </c>
      <c r="F1087" s="43" t="str">
        <f t="array" ref="F1087">+TIPOARMA(H1087,I1087)</f>
        <v>ERRO - REVISAR</v>
      </c>
      <c r="G1087" s="41"/>
      <c r="H1087" s="41" t="str">
        <f t="array" ref="H1087">+ARMASTD(N1087)</f>
        <v>ERRO - REVISAR</v>
      </c>
      <c r="I1087" s="41" t="str">
        <f t="array" ref="I1087">+CALIBRESTD(O1087)</f>
        <v>ERRO - REVISAR</v>
      </c>
    </row>
    <row r="1088" spans="1:9" ht="14.25" customHeight="1" x14ac:dyDescent="0.35">
      <c r="A1088" t="str">
        <f t="array" ref="A1088">EXTRACTEVENT(Q1088,S1088)</f>
        <v/>
      </c>
      <c r="B1088" t="str">
        <f t="shared" si="48"/>
        <v>-</v>
      </c>
      <c r="C1088" t="e">
        <f>+VLOOKUP(R1088,Maps!$A:$C,2,0)</f>
        <v>#N/A</v>
      </c>
      <c r="D1088" t="e">
        <f t="shared" si="49"/>
        <v>#VALUE!</v>
      </c>
      <c r="E1088" s="39" t="e">
        <f t="shared" si="50"/>
        <v>#VALUE!</v>
      </c>
      <c r="F1088" s="7" t="str">
        <f t="array" ref="F1088">+TIPOARMA(H1088,I1088)</f>
        <v>ERRO - REVISAR</v>
      </c>
      <c r="H1088" t="str">
        <f t="array" ref="H1088">+ARMASTD(N1088)</f>
        <v>ERRO - REVISAR</v>
      </c>
      <c r="I1088" t="str">
        <f t="array" ref="I1088">+CALIBRESTD(O1088)</f>
        <v>ERRO - REVISAR</v>
      </c>
    </row>
    <row r="1089" spans="1:9" ht="14.25" customHeight="1" x14ac:dyDescent="0.35">
      <c r="A1089" s="41" t="str">
        <f t="array" ref="A1089">EXTRACTEVENT(Q1089,S1089)</f>
        <v/>
      </c>
      <c r="B1089" s="41" t="str">
        <f t="shared" si="48"/>
        <v>-</v>
      </c>
      <c r="C1089" s="41" t="e">
        <f>+VLOOKUP(R1089,Maps!$A:$C,2,0)</f>
        <v>#N/A</v>
      </c>
      <c r="D1089" s="41" t="e">
        <f t="shared" si="49"/>
        <v>#VALUE!</v>
      </c>
      <c r="E1089" s="42" t="e">
        <f t="shared" si="50"/>
        <v>#VALUE!</v>
      </c>
      <c r="F1089" s="43" t="str">
        <f t="array" ref="F1089">+TIPOARMA(H1089,I1089)</f>
        <v>ERRO - REVISAR</v>
      </c>
      <c r="G1089" s="41"/>
      <c r="H1089" s="41" t="str">
        <f t="array" ref="H1089">+ARMASTD(N1089)</f>
        <v>ERRO - REVISAR</v>
      </c>
      <c r="I1089" s="41" t="str">
        <f t="array" ref="I1089">+CALIBRESTD(O1089)</f>
        <v>ERRO - REVISAR</v>
      </c>
    </row>
    <row r="1090" spans="1:9" ht="14.25" customHeight="1" x14ac:dyDescent="0.35">
      <c r="A1090" t="str">
        <f t="array" ref="A1090">EXTRACTEVENT(Q1090,S1090)</f>
        <v/>
      </c>
      <c r="B1090" t="str">
        <f t="shared" ref="B1090:B1153" si="51">+EXTRACTETAPANUM(Q1090)</f>
        <v>-</v>
      </c>
      <c r="C1090" t="e">
        <f>+VLOOKUP(R1090,Maps!$A:$C,2,0)</f>
        <v>#N/A</v>
      </c>
      <c r="D1090" t="e">
        <f t="shared" ref="D1090:D1153" si="52">+DEFINEAMBITO(Q1090,C1090)</f>
        <v>#VALUE!</v>
      </c>
      <c r="E1090" s="39" t="e">
        <f t="shared" ref="E1090:E1153" si="53">DATEVALUE(L1090)</f>
        <v>#VALUE!</v>
      </c>
      <c r="F1090" s="7" t="str">
        <f t="array" ref="F1090">+TIPOARMA(H1090,I1090)</f>
        <v>ERRO - REVISAR</v>
      </c>
      <c r="H1090" t="str">
        <f t="array" ref="H1090">+ARMASTD(N1090)</f>
        <v>ERRO - REVISAR</v>
      </c>
      <c r="I1090" t="str">
        <f t="array" ref="I1090">+CALIBRESTD(O1090)</f>
        <v>ERRO - REVISAR</v>
      </c>
    </row>
    <row r="1091" spans="1:9" ht="14.25" customHeight="1" x14ac:dyDescent="0.35">
      <c r="A1091" s="41" t="str">
        <f t="array" ref="A1091">EXTRACTEVENT(Q1091,S1091)</f>
        <v/>
      </c>
      <c r="B1091" s="41" t="str">
        <f t="shared" si="51"/>
        <v>-</v>
      </c>
      <c r="C1091" s="41" t="e">
        <f>+VLOOKUP(R1091,Maps!$A:$C,2,0)</f>
        <v>#N/A</v>
      </c>
      <c r="D1091" s="41" t="e">
        <f t="shared" si="52"/>
        <v>#VALUE!</v>
      </c>
      <c r="E1091" s="42" t="e">
        <f t="shared" si="53"/>
        <v>#VALUE!</v>
      </c>
      <c r="F1091" s="43" t="str">
        <f t="array" ref="F1091">+TIPOARMA(H1091,I1091)</f>
        <v>ERRO - REVISAR</v>
      </c>
      <c r="G1091" s="41"/>
      <c r="H1091" s="41" t="str">
        <f t="array" ref="H1091">+ARMASTD(N1091)</f>
        <v>ERRO - REVISAR</v>
      </c>
      <c r="I1091" s="41" t="str">
        <f t="array" ref="I1091">+CALIBRESTD(O1091)</f>
        <v>ERRO - REVISAR</v>
      </c>
    </row>
    <row r="1092" spans="1:9" ht="14.25" customHeight="1" x14ac:dyDescent="0.35">
      <c r="A1092" t="str">
        <f t="array" ref="A1092">EXTRACTEVENT(Q1092,S1092)</f>
        <v/>
      </c>
      <c r="B1092" t="str">
        <f t="shared" si="51"/>
        <v>-</v>
      </c>
      <c r="C1092" t="e">
        <f>+VLOOKUP(R1092,Maps!$A:$C,2,0)</f>
        <v>#N/A</v>
      </c>
      <c r="D1092" t="e">
        <f t="shared" si="52"/>
        <v>#VALUE!</v>
      </c>
      <c r="E1092" s="39" t="e">
        <f t="shared" si="53"/>
        <v>#VALUE!</v>
      </c>
      <c r="F1092" s="7" t="str">
        <f t="array" ref="F1092">+TIPOARMA(H1092,I1092)</f>
        <v>ERRO - REVISAR</v>
      </c>
      <c r="H1092" t="str">
        <f t="array" ref="H1092">+ARMASTD(N1092)</f>
        <v>ERRO - REVISAR</v>
      </c>
      <c r="I1092" t="str">
        <f t="array" ref="I1092">+CALIBRESTD(O1092)</f>
        <v>ERRO - REVISAR</v>
      </c>
    </row>
    <row r="1093" spans="1:9" ht="14.25" customHeight="1" x14ac:dyDescent="0.35">
      <c r="A1093" s="41" t="str">
        <f t="array" ref="A1093">EXTRACTEVENT(Q1093,S1093)</f>
        <v/>
      </c>
      <c r="B1093" s="41" t="str">
        <f t="shared" si="51"/>
        <v>-</v>
      </c>
      <c r="C1093" s="41" t="e">
        <f>+VLOOKUP(R1093,Maps!$A:$C,2,0)</f>
        <v>#N/A</v>
      </c>
      <c r="D1093" s="41" t="e">
        <f t="shared" si="52"/>
        <v>#VALUE!</v>
      </c>
      <c r="E1093" s="42" t="e">
        <f t="shared" si="53"/>
        <v>#VALUE!</v>
      </c>
      <c r="F1093" s="43" t="str">
        <f t="array" ref="F1093">+TIPOARMA(H1093,I1093)</f>
        <v>ERRO - REVISAR</v>
      </c>
      <c r="G1093" s="41"/>
      <c r="H1093" s="41" t="str">
        <f t="array" ref="H1093">+ARMASTD(N1093)</f>
        <v>ERRO - REVISAR</v>
      </c>
      <c r="I1093" s="41" t="str">
        <f t="array" ref="I1093">+CALIBRESTD(O1093)</f>
        <v>ERRO - REVISAR</v>
      </c>
    </row>
    <row r="1094" spans="1:9" ht="14.25" customHeight="1" x14ac:dyDescent="0.35">
      <c r="A1094" t="str">
        <f t="array" ref="A1094">EXTRACTEVENT(Q1094,S1094)</f>
        <v/>
      </c>
      <c r="B1094" t="str">
        <f t="shared" si="51"/>
        <v>-</v>
      </c>
      <c r="C1094" t="e">
        <f>+VLOOKUP(R1094,Maps!$A:$C,2,0)</f>
        <v>#N/A</v>
      </c>
      <c r="D1094" t="e">
        <f t="shared" si="52"/>
        <v>#VALUE!</v>
      </c>
      <c r="E1094" s="39" t="e">
        <f t="shared" si="53"/>
        <v>#VALUE!</v>
      </c>
      <c r="F1094" s="7" t="str">
        <f t="array" ref="F1094">+TIPOARMA(H1094,I1094)</f>
        <v>ERRO - REVISAR</v>
      </c>
      <c r="H1094" t="str">
        <f t="array" ref="H1094">+ARMASTD(N1094)</f>
        <v>ERRO - REVISAR</v>
      </c>
      <c r="I1094" t="str">
        <f t="array" ref="I1094">+CALIBRESTD(O1094)</f>
        <v>ERRO - REVISAR</v>
      </c>
    </row>
    <row r="1095" spans="1:9" ht="14.25" customHeight="1" x14ac:dyDescent="0.35">
      <c r="A1095" s="41" t="str">
        <f t="array" ref="A1095">EXTRACTEVENT(Q1095,S1095)</f>
        <v/>
      </c>
      <c r="B1095" s="41" t="str">
        <f t="shared" si="51"/>
        <v>-</v>
      </c>
      <c r="C1095" s="41" t="e">
        <f>+VLOOKUP(R1095,Maps!$A:$C,2,0)</f>
        <v>#N/A</v>
      </c>
      <c r="D1095" s="41" t="e">
        <f t="shared" si="52"/>
        <v>#VALUE!</v>
      </c>
      <c r="E1095" s="42" t="e">
        <f t="shared" si="53"/>
        <v>#VALUE!</v>
      </c>
      <c r="F1095" s="43" t="str">
        <f t="array" ref="F1095">+TIPOARMA(H1095,I1095)</f>
        <v>ERRO - REVISAR</v>
      </c>
      <c r="G1095" s="41"/>
      <c r="H1095" s="41" t="str">
        <f t="array" ref="H1095">+ARMASTD(N1095)</f>
        <v>ERRO - REVISAR</v>
      </c>
      <c r="I1095" s="41" t="str">
        <f t="array" ref="I1095">+CALIBRESTD(O1095)</f>
        <v>ERRO - REVISAR</v>
      </c>
    </row>
    <row r="1096" spans="1:9" ht="14.25" customHeight="1" x14ac:dyDescent="0.35">
      <c r="A1096" t="str">
        <f t="array" ref="A1096">EXTRACTEVENT(Q1096,S1096)</f>
        <v/>
      </c>
      <c r="B1096" t="str">
        <f t="shared" si="51"/>
        <v>-</v>
      </c>
      <c r="C1096" t="e">
        <f>+VLOOKUP(R1096,Maps!$A:$C,2,0)</f>
        <v>#N/A</v>
      </c>
      <c r="D1096" t="e">
        <f t="shared" si="52"/>
        <v>#VALUE!</v>
      </c>
      <c r="E1096" s="39" t="e">
        <f t="shared" si="53"/>
        <v>#VALUE!</v>
      </c>
      <c r="F1096" s="7" t="str">
        <f t="array" ref="F1096">+TIPOARMA(H1096,I1096)</f>
        <v>ERRO - REVISAR</v>
      </c>
      <c r="H1096" t="str">
        <f t="array" ref="H1096">+ARMASTD(N1096)</f>
        <v>ERRO - REVISAR</v>
      </c>
      <c r="I1096" t="str">
        <f t="array" ref="I1096">+CALIBRESTD(O1096)</f>
        <v>ERRO - REVISAR</v>
      </c>
    </row>
    <row r="1097" spans="1:9" ht="14.25" customHeight="1" x14ac:dyDescent="0.35">
      <c r="A1097" s="41" t="str">
        <f t="array" ref="A1097">EXTRACTEVENT(Q1097,S1097)</f>
        <v/>
      </c>
      <c r="B1097" s="41" t="str">
        <f t="shared" si="51"/>
        <v>-</v>
      </c>
      <c r="C1097" s="41" t="e">
        <f>+VLOOKUP(R1097,Maps!$A:$C,2,0)</f>
        <v>#N/A</v>
      </c>
      <c r="D1097" s="41" t="e">
        <f t="shared" si="52"/>
        <v>#VALUE!</v>
      </c>
      <c r="E1097" s="42" t="e">
        <f t="shared" si="53"/>
        <v>#VALUE!</v>
      </c>
      <c r="F1097" s="43" t="str">
        <f t="array" ref="F1097">+TIPOARMA(H1097,I1097)</f>
        <v>ERRO - REVISAR</v>
      </c>
      <c r="G1097" s="41"/>
      <c r="H1097" s="41" t="str">
        <f t="array" ref="H1097">+ARMASTD(N1097)</f>
        <v>ERRO - REVISAR</v>
      </c>
      <c r="I1097" s="41" t="str">
        <f t="array" ref="I1097">+CALIBRESTD(O1097)</f>
        <v>ERRO - REVISAR</v>
      </c>
    </row>
    <row r="1098" spans="1:9" ht="14.25" customHeight="1" x14ac:dyDescent="0.35">
      <c r="A1098" t="str">
        <f t="array" ref="A1098">EXTRACTEVENT(Q1098,S1098)</f>
        <v/>
      </c>
      <c r="B1098" t="str">
        <f t="shared" si="51"/>
        <v>-</v>
      </c>
      <c r="C1098" t="e">
        <f>+VLOOKUP(R1098,Maps!$A:$C,2,0)</f>
        <v>#N/A</v>
      </c>
      <c r="D1098" t="e">
        <f t="shared" si="52"/>
        <v>#VALUE!</v>
      </c>
      <c r="E1098" s="39" t="e">
        <f t="shared" si="53"/>
        <v>#VALUE!</v>
      </c>
      <c r="F1098" s="7" t="str">
        <f t="array" ref="F1098">+TIPOARMA(H1098,I1098)</f>
        <v>ERRO - REVISAR</v>
      </c>
      <c r="H1098" t="str">
        <f t="array" ref="H1098">+ARMASTD(N1098)</f>
        <v>ERRO - REVISAR</v>
      </c>
      <c r="I1098" t="str">
        <f t="array" ref="I1098">+CALIBRESTD(O1098)</f>
        <v>ERRO - REVISAR</v>
      </c>
    </row>
    <row r="1099" spans="1:9" ht="14.25" customHeight="1" x14ac:dyDescent="0.35">
      <c r="A1099" s="41" t="str">
        <f t="array" ref="A1099">EXTRACTEVENT(Q1099,S1099)</f>
        <v/>
      </c>
      <c r="B1099" s="41" t="str">
        <f t="shared" si="51"/>
        <v>-</v>
      </c>
      <c r="C1099" s="41" t="e">
        <f>+VLOOKUP(R1099,Maps!$A:$C,2,0)</f>
        <v>#N/A</v>
      </c>
      <c r="D1099" s="41" t="e">
        <f t="shared" si="52"/>
        <v>#VALUE!</v>
      </c>
      <c r="E1099" s="42" t="e">
        <f t="shared" si="53"/>
        <v>#VALUE!</v>
      </c>
      <c r="F1099" s="43" t="str">
        <f t="array" ref="F1099">+TIPOARMA(H1099,I1099)</f>
        <v>ERRO - REVISAR</v>
      </c>
      <c r="G1099" s="41"/>
      <c r="H1099" s="41" t="str">
        <f t="array" ref="H1099">+ARMASTD(N1099)</f>
        <v>ERRO - REVISAR</v>
      </c>
      <c r="I1099" s="41" t="str">
        <f t="array" ref="I1099">+CALIBRESTD(O1099)</f>
        <v>ERRO - REVISAR</v>
      </c>
    </row>
    <row r="1100" spans="1:9" ht="14.25" customHeight="1" x14ac:dyDescent="0.35">
      <c r="A1100" t="str">
        <f t="array" ref="A1100">EXTRACTEVENT(Q1100,S1100)</f>
        <v/>
      </c>
      <c r="B1100" t="str">
        <f t="shared" si="51"/>
        <v>-</v>
      </c>
      <c r="C1100" t="e">
        <f>+VLOOKUP(R1100,Maps!$A:$C,2,0)</f>
        <v>#N/A</v>
      </c>
      <c r="D1100" t="e">
        <f t="shared" si="52"/>
        <v>#VALUE!</v>
      </c>
      <c r="E1100" s="39" t="e">
        <f t="shared" si="53"/>
        <v>#VALUE!</v>
      </c>
      <c r="F1100" s="7" t="str">
        <f t="array" ref="F1100">+TIPOARMA(H1100,I1100)</f>
        <v>ERRO - REVISAR</v>
      </c>
      <c r="H1100" t="str">
        <f t="array" ref="H1100">+ARMASTD(N1100)</f>
        <v>ERRO - REVISAR</v>
      </c>
      <c r="I1100" t="str">
        <f t="array" ref="I1100">+CALIBRESTD(O1100)</f>
        <v>ERRO - REVISAR</v>
      </c>
    </row>
    <row r="1101" spans="1:9" ht="14.25" customHeight="1" x14ac:dyDescent="0.35">
      <c r="A1101" s="41" t="str">
        <f t="array" ref="A1101">EXTRACTEVENT(Q1101,S1101)</f>
        <v/>
      </c>
      <c r="B1101" s="41" t="str">
        <f t="shared" si="51"/>
        <v>-</v>
      </c>
      <c r="C1101" s="41" t="e">
        <f>+VLOOKUP(R1101,Maps!$A:$C,2,0)</f>
        <v>#N/A</v>
      </c>
      <c r="D1101" s="41" t="e">
        <f t="shared" si="52"/>
        <v>#VALUE!</v>
      </c>
      <c r="E1101" s="42" t="e">
        <f t="shared" si="53"/>
        <v>#VALUE!</v>
      </c>
      <c r="F1101" s="43" t="str">
        <f t="array" ref="F1101">+TIPOARMA(H1101,I1101)</f>
        <v>ERRO - REVISAR</v>
      </c>
      <c r="G1101" s="41"/>
      <c r="H1101" s="41" t="str">
        <f t="array" ref="H1101">+ARMASTD(N1101)</f>
        <v>ERRO - REVISAR</v>
      </c>
      <c r="I1101" s="41" t="str">
        <f t="array" ref="I1101">+CALIBRESTD(O1101)</f>
        <v>ERRO - REVISAR</v>
      </c>
    </row>
    <row r="1102" spans="1:9" ht="14.25" customHeight="1" x14ac:dyDescent="0.35">
      <c r="A1102" t="str">
        <f t="array" ref="A1102">EXTRACTEVENT(Q1102,S1102)</f>
        <v/>
      </c>
      <c r="B1102" t="str">
        <f t="shared" si="51"/>
        <v>-</v>
      </c>
      <c r="C1102" t="e">
        <f>+VLOOKUP(R1102,Maps!$A:$C,2,0)</f>
        <v>#N/A</v>
      </c>
      <c r="D1102" t="e">
        <f t="shared" si="52"/>
        <v>#VALUE!</v>
      </c>
      <c r="E1102" s="39" t="e">
        <f t="shared" si="53"/>
        <v>#VALUE!</v>
      </c>
      <c r="F1102" s="7" t="str">
        <f t="array" ref="F1102">+TIPOARMA(H1102,I1102)</f>
        <v>ERRO - REVISAR</v>
      </c>
      <c r="H1102" t="str">
        <f t="array" ref="H1102">+ARMASTD(N1102)</f>
        <v>ERRO - REVISAR</v>
      </c>
      <c r="I1102" t="str">
        <f t="array" ref="I1102">+CALIBRESTD(O1102)</f>
        <v>ERRO - REVISAR</v>
      </c>
    </row>
    <row r="1103" spans="1:9" ht="14.25" customHeight="1" x14ac:dyDescent="0.35">
      <c r="A1103" s="41" t="str">
        <f t="array" ref="A1103">EXTRACTEVENT(Q1103,S1103)</f>
        <v/>
      </c>
      <c r="B1103" s="41" t="str">
        <f t="shared" si="51"/>
        <v>-</v>
      </c>
      <c r="C1103" s="41" t="e">
        <f>+VLOOKUP(R1103,Maps!$A:$C,2,0)</f>
        <v>#N/A</v>
      </c>
      <c r="D1103" s="41" t="e">
        <f t="shared" si="52"/>
        <v>#VALUE!</v>
      </c>
      <c r="E1103" s="42" t="e">
        <f t="shared" si="53"/>
        <v>#VALUE!</v>
      </c>
      <c r="F1103" s="43" t="str">
        <f t="array" ref="F1103">+TIPOARMA(H1103,I1103)</f>
        <v>ERRO - REVISAR</v>
      </c>
      <c r="G1103" s="41"/>
      <c r="H1103" s="41" t="str">
        <f t="array" ref="H1103">+ARMASTD(N1103)</f>
        <v>ERRO - REVISAR</v>
      </c>
      <c r="I1103" s="41" t="str">
        <f t="array" ref="I1103">+CALIBRESTD(O1103)</f>
        <v>ERRO - REVISAR</v>
      </c>
    </row>
    <row r="1104" spans="1:9" ht="14.25" customHeight="1" x14ac:dyDescent="0.35">
      <c r="A1104" t="str">
        <f t="array" ref="A1104">EXTRACTEVENT(Q1104,S1104)</f>
        <v/>
      </c>
      <c r="B1104" t="str">
        <f t="shared" si="51"/>
        <v>-</v>
      </c>
      <c r="C1104" t="e">
        <f>+VLOOKUP(R1104,Maps!$A:$C,2,0)</f>
        <v>#N/A</v>
      </c>
      <c r="D1104" t="e">
        <f t="shared" si="52"/>
        <v>#VALUE!</v>
      </c>
      <c r="E1104" s="39" t="e">
        <f t="shared" si="53"/>
        <v>#VALUE!</v>
      </c>
      <c r="F1104" s="7" t="str">
        <f t="array" ref="F1104">+TIPOARMA(H1104,I1104)</f>
        <v>ERRO - REVISAR</v>
      </c>
      <c r="H1104" t="str">
        <f t="array" ref="H1104">+ARMASTD(N1104)</f>
        <v>ERRO - REVISAR</v>
      </c>
      <c r="I1104" t="str">
        <f t="array" ref="I1104">+CALIBRESTD(O1104)</f>
        <v>ERRO - REVISAR</v>
      </c>
    </row>
    <row r="1105" spans="1:9" ht="14.25" customHeight="1" x14ac:dyDescent="0.35">
      <c r="A1105" s="41" t="str">
        <f t="array" ref="A1105">EXTRACTEVENT(Q1105,S1105)</f>
        <v/>
      </c>
      <c r="B1105" s="41" t="str">
        <f t="shared" si="51"/>
        <v>-</v>
      </c>
      <c r="C1105" s="41" t="e">
        <f>+VLOOKUP(R1105,Maps!$A:$C,2,0)</f>
        <v>#N/A</v>
      </c>
      <c r="D1105" s="41" t="e">
        <f t="shared" si="52"/>
        <v>#VALUE!</v>
      </c>
      <c r="E1105" s="42" t="e">
        <f t="shared" si="53"/>
        <v>#VALUE!</v>
      </c>
      <c r="F1105" s="43" t="str">
        <f t="array" ref="F1105">+TIPOARMA(H1105,I1105)</f>
        <v>ERRO - REVISAR</v>
      </c>
      <c r="G1105" s="41"/>
      <c r="H1105" s="41" t="str">
        <f t="array" ref="H1105">+ARMASTD(N1105)</f>
        <v>ERRO - REVISAR</v>
      </c>
      <c r="I1105" s="41" t="str">
        <f t="array" ref="I1105">+CALIBRESTD(O1105)</f>
        <v>ERRO - REVISAR</v>
      </c>
    </row>
    <row r="1106" spans="1:9" ht="14.25" customHeight="1" x14ac:dyDescent="0.35">
      <c r="A1106" t="str">
        <f t="array" ref="A1106">EXTRACTEVENT(Q1106,S1106)</f>
        <v/>
      </c>
      <c r="B1106" t="str">
        <f t="shared" si="51"/>
        <v>-</v>
      </c>
      <c r="C1106" t="e">
        <f>+VLOOKUP(R1106,Maps!$A:$C,2,0)</f>
        <v>#N/A</v>
      </c>
      <c r="D1106" t="e">
        <f t="shared" si="52"/>
        <v>#VALUE!</v>
      </c>
      <c r="E1106" s="39" t="e">
        <f t="shared" si="53"/>
        <v>#VALUE!</v>
      </c>
      <c r="F1106" s="7" t="str">
        <f t="array" ref="F1106">+TIPOARMA(H1106,I1106)</f>
        <v>ERRO - REVISAR</v>
      </c>
      <c r="H1106" t="str">
        <f t="array" ref="H1106">+ARMASTD(N1106)</f>
        <v>ERRO - REVISAR</v>
      </c>
      <c r="I1106" t="str">
        <f t="array" ref="I1106">+CALIBRESTD(O1106)</f>
        <v>ERRO - REVISAR</v>
      </c>
    </row>
    <row r="1107" spans="1:9" ht="14.25" customHeight="1" x14ac:dyDescent="0.35">
      <c r="A1107" s="41" t="str">
        <f t="array" ref="A1107">EXTRACTEVENT(Q1107,S1107)</f>
        <v/>
      </c>
      <c r="B1107" s="41" t="str">
        <f t="shared" si="51"/>
        <v>-</v>
      </c>
      <c r="C1107" s="41" t="e">
        <f>+VLOOKUP(R1107,Maps!$A:$C,2,0)</f>
        <v>#N/A</v>
      </c>
      <c r="D1107" s="41" t="e">
        <f t="shared" si="52"/>
        <v>#VALUE!</v>
      </c>
      <c r="E1107" s="42" t="e">
        <f t="shared" si="53"/>
        <v>#VALUE!</v>
      </c>
      <c r="F1107" s="43" t="str">
        <f t="array" ref="F1107">+TIPOARMA(H1107,I1107)</f>
        <v>ERRO - REVISAR</v>
      </c>
      <c r="G1107" s="41"/>
      <c r="H1107" s="41" t="str">
        <f t="array" ref="H1107">+ARMASTD(N1107)</f>
        <v>ERRO - REVISAR</v>
      </c>
      <c r="I1107" s="41" t="str">
        <f t="array" ref="I1107">+CALIBRESTD(O1107)</f>
        <v>ERRO - REVISAR</v>
      </c>
    </row>
    <row r="1108" spans="1:9" ht="14.25" customHeight="1" x14ac:dyDescent="0.35">
      <c r="A1108" t="str">
        <f t="array" ref="A1108">EXTRACTEVENT(Q1108,S1108)</f>
        <v/>
      </c>
      <c r="B1108" t="str">
        <f t="shared" si="51"/>
        <v>-</v>
      </c>
      <c r="C1108" t="e">
        <f>+VLOOKUP(R1108,Maps!$A:$C,2,0)</f>
        <v>#N/A</v>
      </c>
      <c r="D1108" t="e">
        <f t="shared" si="52"/>
        <v>#VALUE!</v>
      </c>
      <c r="E1108" s="39" t="e">
        <f t="shared" si="53"/>
        <v>#VALUE!</v>
      </c>
      <c r="F1108" s="7" t="str">
        <f t="array" ref="F1108">+TIPOARMA(H1108,I1108)</f>
        <v>ERRO - REVISAR</v>
      </c>
      <c r="H1108" t="str">
        <f t="array" ref="H1108">+ARMASTD(N1108)</f>
        <v>ERRO - REVISAR</v>
      </c>
      <c r="I1108" t="str">
        <f t="array" ref="I1108">+CALIBRESTD(O1108)</f>
        <v>ERRO - REVISAR</v>
      </c>
    </row>
    <row r="1109" spans="1:9" ht="14.25" customHeight="1" x14ac:dyDescent="0.35">
      <c r="A1109" s="41" t="str">
        <f t="array" ref="A1109">EXTRACTEVENT(Q1109,S1109)</f>
        <v/>
      </c>
      <c r="B1109" s="41" t="str">
        <f t="shared" si="51"/>
        <v>-</v>
      </c>
      <c r="C1109" s="41" t="e">
        <f>+VLOOKUP(R1109,Maps!$A:$C,2,0)</f>
        <v>#N/A</v>
      </c>
      <c r="D1109" s="41" t="e">
        <f t="shared" si="52"/>
        <v>#VALUE!</v>
      </c>
      <c r="E1109" s="42" t="e">
        <f t="shared" si="53"/>
        <v>#VALUE!</v>
      </c>
      <c r="F1109" s="43" t="str">
        <f t="array" ref="F1109">+TIPOARMA(H1109,I1109)</f>
        <v>ERRO - REVISAR</v>
      </c>
      <c r="G1109" s="41"/>
      <c r="H1109" s="41" t="str">
        <f t="array" ref="H1109">+ARMASTD(N1109)</f>
        <v>ERRO - REVISAR</v>
      </c>
      <c r="I1109" s="41" t="str">
        <f t="array" ref="I1109">+CALIBRESTD(O1109)</f>
        <v>ERRO - REVISAR</v>
      </c>
    </row>
    <row r="1110" spans="1:9" ht="14.25" customHeight="1" x14ac:dyDescent="0.35">
      <c r="A1110" t="str">
        <f t="array" ref="A1110">EXTRACTEVENT(Q1110,S1110)</f>
        <v/>
      </c>
      <c r="B1110" t="str">
        <f t="shared" si="51"/>
        <v>-</v>
      </c>
      <c r="C1110" t="e">
        <f>+VLOOKUP(R1110,Maps!$A:$C,2,0)</f>
        <v>#N/A</v>
      </c>
      <c r="D1110" t="e">
        <f t="shared" si="52"/>
        <v>#VALUE!</v>
      </c>
      <c r="E1110" s="39" t="e">
        <f t="shared" si="53"/>
        <v>#VALUE!</v>
      </c>
      <c r="F1110" s="7" t="str">
        <f t="array" ref="F1110">+TIPOARMA(H1110,I1110)</f>
        <v>ERRO - REVISAR</v>
      </c>
      <c r="H1110" t="str">
        <f t="array" ref="H1110">+ARMASTD(N1110)</f>
        <v>ERRO - REVISAR</v>
      </c>
      <c r="I1110" t="str">
        <f t="array" ref="I1110">+CALIBRESTD(O1110)</f>
        <v>ERRO - REVISAR</v>
      </c>
    </row>
    <row r="1111" spans="1:9" ht="14.25" customHeight="1" x14ac:dyDescent="0.35">
      <c r="A1111" s="41" t="str">
        <f t="array" ref="A1111">EXTRACTEVENT(Q1111,S1111)</f>
        <v/>
      </c>
      <c r="B1111" s="41" t="str">
        <f t="shared" si="51"/>
        <v>-</v>
      </c>
      <c r="C1111" s="41" t="e">
        <f>+VLOOKUP(R1111,Maps!$A:$C,2,0)</f>
        <v>#N/A</v>
      </c>
      <c r="D1111" s="41" t="e">
        <f t="shared" si="52"/>
        <v>#VALUE!</v>
      </c>
      <c r="E1111" s="42" t="e">
        <f t="shared" si="53"/>
        <v>#VALUE!</v>
      </c>
      <c r="F1111" s="43" t="str">
        <f t="array" ref="F1111">+TIPOARMA(H1111,I1111)</f>
        <v>ERRO - REVISAR</v>
      </c>
      <c r="G1111" s="41"/>
      <c r="H1111" s="41" t="str">
        <f t="array" ref="H1111">+ARMASTD(N1111)</f>
        <v>ERRO - REVISAR</v>
      </c>
      <c r="I1111" s="41" t="str">
        <f t="array" ref="I1111">+CALIBRESTD(O1111)</f>
        <v>ERRO - REVISAR</v>
      </c>
    </row>
    <row r="1112" spans="1:9" ht="14.25" customHeight="1" x14ac:dyDescent="0.35">
      <c r="A1112" t="str">
        <f t="array" ref="A1112">EXTRACTEVENT(Q1112,S1112)</f>
        <v/>
      </c>
      <c r="B1112" t="str">
        <f t="shared" si="51"/>
        <v>-</v>
      </c>
      <c r="C1112" t="e">
        <f>+VLOOKUP(R1112,Maps!$A:$C,2,0)</f>
        <v>#N/A</v>
      </c>
      <c r="D1112" t="e">
        <f t="shared" si="52"/>
        <v>#VALUE!</v>
      </c>
      <c r="E1112" s="39" t="e">
        <f t="shared" si="53"/>
        <v>#VALUE!</v>
      </c>
      <c r="F1112" s="7" t="str">
        <f t="array" ref="F1112">+TIPOARMA(H1112,I1112)</f>
        <v>ERRO - REVISAR</v>
      </c>
      <c r="H1112" t="str">
        <f t="array" ref="H1112">+ARMASTD(N1112)</f>
        <v>ERRO - REVISAR</v>
      </c>
      <c r="I1112" t="str">
        <f t="array" ref="I1112">+CALIBRESTD(O1112)</f>
        <v>ERRO - REVISAR</v>
      </c>
    </row>
    <row r="1113" spans="1:9" ht="14.25" customHeight="1" x14ac:dyDescent="0.35">
      <c r="A1113" s="41" t="str">
        <f t="array" ref="A1113">EXTRACTEVENT(Q1113,S1113)</f>
        <v/>
      </c>
      <c r="B1113" s="41" t="str">
        <f t="shared" si="51"/>
        <v>-</v>
      </c>
      <c r="C1113" s="41" t="e">
        <f>+VLOOKUP(R1113,Maps!$A:$C,2,0)</f>
        <v>#N/A</v>
      </c>
      <c r="D1113" s="41" t="e">
        <f t="shared" si="52"/>
        <v>#VALUE!</v>
      </c>
      <c r="E1113" s="42" t="e">
        <f t="shared" si="53"/>
        <v>#VALUE!</v>
      </c>
      <c r="F1113" s="43" t="str">
        <f t="array" ref="F1113">+TIPOARMA(H1113,I1113)</f>
        <v>ERRO - REVISAR</v>
      </c>
      <c r="G1113" s="41"/>
      <c r="H1113" s="41" t="str">
        <f t="array" ref="H1113">+ARMASTD(N1113)</f>
        <v>ERRO - REVISAR</v>
      </c>
      <c r="I1113" s="41" t="str">
        <f t="array" ref="I1113">+CALIBRESTD(O1113)</f>
        <v>ERRO - REVISAR</v>
      </c>
    </row>
    <row r="1114" spans="1:9" ht="14.25" customHeight="1" x14ac:dyDescent="0.35">
      <c r="A1114" t="str">
        <f t="array" ref="A1114">EXTRACTEVENT(Q1114,S1114)</f>
        <v/>
      </c>
      <c r="B1114" t="str">
        <f t="shared" si="51"/>
        <v>-</v>
      </c>
      <c r="C1114" t="e">
        <f>+VLOOKUP(R1114,Maps!$A:$C,2,0)</f>
        <v>#N/A</v>
      </c>
      <c r="D1114" t="e">
        <f t="shared" si="52"/>
        <v>#VALUE!</v>
      </c>
      <c r="E1114" s="39" t="e">
        <f t="shared" si="53"/>
        <v>#VALUE!</v>
      </c>
      <c r="F1114" s="7" t="str">
        <f t="array" ref="F1114">+TIPOARMA(H1114,I1114)</f>
        <v>ERRO - REVISAR</v>
      </c>
      <c r="H1114" t="str">
        <f t="array" ref="H1114">+ARMASTD(N1114)</f>
        <v>ERRO - REVISAR</v>
      </c>
      <c r="I1114" t="str">
        <f t="array" ref="I1114">+CALIBRESTD(O1114)</f>
        <v>ERRO - REVISAR</v>
      </c>
    </row>
    <row r="1115" spans="1:9" ht="14.25" customHeight="1" x14ac:dyDescent="0.35">
      <c r="A1115" s="41" t="str">
        <f t="array" ref="A1115">EXTRACTEVENT(Q1115,S1115)</f>
        <v/>
      </c>
      <c r="B1115" s="41" t="str">
        <f t="shared" si="51"/>
        <v>-</v>
      </c>
      <c r="C1115" s="41" t="e">
        <f>+VLOOKUP(R1115,Maps!$A:$C,2,0)</f>
        <v>#N/A</v>
      </c>
      <c r="D1115" s="41" t="e">
        <f t="shared" si="52"/>
        <v>#VALUE!</v>
      </c>
      <c r="E1115" s="42" t="e">
        <f t="shared" si="53"/>
        <v>#VALUE!</v>
      </c>
      <c r="F1115" s="43" t="str">
        <f t="array" ref="F1115">+TIPOARMA(H1115,I1115)</f>
        <v>ERRO - REVISAR</v>
      </c>
      <c r="G1115" s="41"/>
      <c r="H1115" s="41" t="str">
        <f t="array" ref="H1115">+ARMASTD(N1115)</f>
        <v>ERRO - REVISAR</v>
      </c>
      <c r="I1115" s="41" t="str">
        <f t="array" ref="I1115">+CALIBRESTD(O1115)</f>
        <v>ERRO - REVISAR</v>
      </c>
    </row>
    <row r="1116" spans="1:9" ht="14.25" customHeight="1" x14ac:dyDescent="0.35">
      <c r="A1116" t="str">
        <f t="array" ref="A1116">EXTRACTEVENT(Q1116,S1116)</f>
        <v/>
      </c>
      <c r="B1116" t="str">
        <f t="shared" si="51"/>
        <v>-</v>
      </c>
      <c r="C1116" t="e">
        <f>+VLOOKUP(R1116,Maps!$A:$C,2,0)</f>
        <v>#N/A</v>
      </c>
      <c r="D1116" t="e">
        <f t="shared" si="52"/>
        <v>#VALUE!</v>
      </c>
      <c r="E1116" s="39" t="e">
        <f t="shared" si="53"/>
        <v>#VALUE!</v>
      </c>
      <c r="F1116" s="7" t="str">
        <f t="array" ref="F1116">+TIPOARMA(H1116,I1116)</f>
        <v>ERRO - REVISAR</v>
      </c>
      <c r="H1116" t="str">
        <f t="array" ref="H1116">+ARMASTD(N1116)</f>
        <v>ERRO - REVISAR</v>
      </c>
      <c r="I1116" t="str">
        <f t="array" ref="I1116">+CALIBRESTD(O1116)</f>
        <v>ERRO - REVISAR</v>
      </c>
    </row>
    <row r="1117" spans="1:9" ht="14.25" customHeight="1" x14ac:dyDescent="0.35">
      <c r="A1117" s="41" t="str">
        <f t="array" ref="A1117">EXTRACTEVENT(Q1117,S1117)</f>
        <v/>
      </c>
      <c r="B1117" s="41" t="str">
        <f t="shared" si="51"/>
        <v>-</v>
      </c>
      <c r="C1117" s="41" t="e">
        <f>+VLOOKUP(R1117,Maps!$A:$C,2,0)</f>
        <v>#N/A</v>
      </c>
      <c r="D1117" s="41" t="e">
        <f t="shared" si="52"/>
        <v>#VALUE!</v>
      </c>
      <c r="E1117" s="42" t="e">
        <f t="shared" si="53"/>
        <v>#VALUE!</v>
      </c>
      <c r="F1117" s="43" t="str">
        <f t="array" ref="F1117">+TIPOARMA(H1117,I1117)</f>
        <v>ERRO - REVISAR</v>
      </c>
      <c r="G1117" s="41"/>
      <c r="H1117" s="41" t="str">
        <f t="array" ref="H1117">+ARMASTD(N1117)</f>
        <v>ERRO - REVISAR</v>
      </c>
      <c r="I1117" s="41" t="str">
        <f t="array" ref="I1117">+CALIBRESTD(O1117)</f>
        <v>ERRO - REVISAR</v>
      </c>
    </row>
    <row r="1118" spans="1:9" ht="14.25" customHeight="1" x14ac:dyDescent="0.35">
      <c r="A1118" t="str">
        <f t="array" ref="A1118">EXTRACTEVENT(Q1118,S1118)</f>
        <v/>
      </c>
      <c r="B1118" t="str">
        <f t="shared" si="51"/>
        <v>-</v>
      </c>
      <c r="C1118" t="e">
        <f>+VLOOKUP(R1118,Maps!$A:$C,2,0)</f>
        <v>#N/A</v>
      </c>
      <c r="D1118" t="e">
        <f t="shared" si="52"/>
        <v>#VALUE!</v>
      </c>
      <c r="E1118" s="39" t="e">
        <f t="shared" si="53"/>
        <v>#VALUE!</v>
      </c>
      <c r="F1118" s="7" t="str">
        <f t="array" ref="F1118">+TIPOARMA(H1118,I1118)</f>
        <v>ERRO - REVISAR</v>
      </c>
      <c r="H1118" t="str">
        <f t="array" ref="H1118">+ARMASTD(N1118)</f>
        <v>ERRO - REVISAR</v>
      </c>
      <c r="I1118" t="str">
        <f t="array" ref="I1118">+CALIBRESTD(O1118)</f>
        <v>ERRO - REVISAR</v>
      </c>
    </row>
    <row r="1119" spans="1:9" ht="14.25" customHeight="1" x14ac:dyDescent="0.35">
      <c r="A1119" s="41" t="str">
        <f t="array" ref="A1119">EXTRACTEVENT(Q1119,S1119)</f>
        <v/>
      </c>
      <c r="B1119" s="41" t="str">
        <f t="shared" si="51"/>
        <v>-</v>
      </c>
      <c r="C1119" s="41" t="e">
        <f>+VLOOKUP(R1119,Maps!$A:$C,2,0)</f>
        <v>#N/A</v>
      </c>
      <c r="D1119" s="41" t="e">
        <f t="shared" si="52"/>
        <v>#VALUE!</v>
      </c>
      <c r="E1119" s="42" t="e">
        <f t="shared" si="53"/>
        <v>#VALUE!</v>
      </c>
      <c r="F1119" s="43" t="str">
        <f t="array" ref="F1119">+TIPOARMA(H1119,I1119)</f>
        <v>ERRO - REVISAR</v>
      </c>
      <c r="G1119" s="41"/>
      <c r="H1119" s="41" t="str">
        <f t="array" ref="H1119">+ARMASTD(N1119)</f>
        <v>ERRO - REVISAR</v>
      </c>
      <c r="I1119" s="41" t="str">
        <f t="array" ref="I1119">+CALIBRESTD(O1119)</f>
        <v>ERRO - REVISAR</v>
      </c>
    </row>
    <row r="1120" spans="1:9" ht="14.25" customHeight="1" x14ac:dyDescent="0.35">
      <c r="A1120" t="str">
        <f t="array" ref="A1120">EXTRACTEVENT(Q1120,S1120)</f>
        <v/>
      </c>
      <c r="B1120" t="str">
        <f t="shared" si="51"/>
        <v>-</v>
      </c>
      <c r="C1120" t="e">
        <f>+VLOOKUP(R1120,Maps!$A:$C,2,0)</f>
        <v>#N/A</v>
      </c>
      <c r="D1120" t="e">
        <f t="shared" si="52"/>
        <v>#VALUE!</v>
      </c>
      <c r="E1120" s="39" t="e">
        <f t="shared" si="53"/>
        <v>#VALUE!</v>
      </c>
      <c r="F1120" s="7" t="str">
        <f t="array" ref="F1120">+TIPOARMA(H1120,I1120)</f>
        <v>ERRO - REVISAR</v>
      </c>
      <c r="H1120" t="str">
        <f t="array" ref="H1120">+ARMASTD(N1120)</f>
        <v>ERRO - REVISAR</v>
      </c>
      <c r="I1120" t="str">
        <f t="array" ref="I1120">+CALIBRESTD(O1120)</f>
        <v>ERRO - REVISAR</v>
      </c>
    </row>
    <row r="1121" spans="1:9" ht="14.25" customHeight="1" x14ac:dyDescent="0.35">
      <c r="A1121" s="41" t="str">
        <f t="array" ref="A1121">EXTRACTEVENT(Q1121,S1121)</f>
        <v/>
      </c>
      <c r="B1121" s="41" t="str">
        <f t="shared" si="51"/>
        <v>-</v>
      </c>
      <c r="C1121" s="41" t="e">
        <f>+VLOOKUP(R1121,Maps!$A:$C,2,0)</f>
        <v>#N/A</v>
      </c>
      <c r="D1121" s="41" t="e">
        <f t="shared" si="52"/>
        <v>#VALUE!</v>
      </c>
      <c r="E1121" s="42" t="e">
        <f t="shared" si="53"/>
        <v>#VALUE!</v>
      </c>
      <c r="F1121" s="43" t="str">
        <f t="array" ref="F1121">+TIPOARMA(H1121,I1121)</f>
        <v>ERRO - REVISAR</v>
      </c>
      <c r="G1121" s="41"/>
      <c r="H1121" s="41" t="str">
        <f t="array" ref="H1121">+ARMASTD(N1121)</f>
        <v>ERRO - REVISAR</v>
      </c>
      <c r="I1121" s="41" t="str">
        <f t="array" ref="I1121">+CALIBRESTD(O1121)</f>
        <v>ERRO - REVISAR</v>
      </c>
    </row>
    <row r="1122" spans="1:9" ht="14.25" customHeight="1" x14ac:dyDescent="0.35">
      <c r="A1122" t="str">
        <f t="array" ref="A1122">EXTRACTEVENT(Q1122,S1122)</f>
        <v/>
      </c>
      <c r="B1122" t="str">
        <f t="shared" si="51"/>
        <v>-</v>
      </c>
      <c r="C1122" t="e">
        <f>+VLOOKUP(R1122,Maps!$A:$C,2,0)</f>
        <v>#N/A</v>
      </c>
      <c r="D1122" t="e">
        <f t="shared" si="52"/>
        <v>#VALUE!</v>
      </c>
      <c r="E1122" s="39" t="e">
        <f t="shared" si="53"/>
        <v>#VALUE!</v>
      </c>
      <c r="F1122" s="7" t="str">
        <f t="array" ref="F1122">+TIPOARMA(H1122,I1122)</f>
        <v>ERRO - REVISAR</v>
      </c>
      <c r="H1122" t="str">
        <f t="array" ref="H1122">+ARMASTD(N1122)</f>
        <v>ERRO - REVISAR</v>
      </c>
      <c r="I1122" t="str">
        <f t="array" ref="I1122">+CALIBRESTD(O1122)</f>
        <v>ERRO - REVISAR</v>
      </c>
    </row>
    <row r="1123" spans="1:9" ht="14.25" customHeight="1" x14ac:dyDescent="0.35">
      <c r="A1123" s="41" t="str">
        <f t="array" ref="A1123">EXTRACTEVENT(Q1123,S1123)</f>
        <v/>
      </c>
      <c r="B1123" s="41" t="str">
        <f t="shared" si="51"/>
        <v>-</v>
      </c>
      <c r="C1123" s="41" t="e">
        <f>+VLOOKUP(R1123,Maps!$A:$C,2,0)</f>
        <v>#N/A</v>
      </c>
      <c r="D1123" s="41" t="e">
        <f t="shared" si="52"/>
        <v>#VALUE!</v>
      </c>
      <c r="E1123" s="42" t="e">
        <f t="shared" si="53"/>
        <v>#VALUE!</v>
      </c>
      <c r="F1123" s="43" t="str">
        <f t="array" ref="F1123">+TIPOARMA(H1123,I1123)</f>
        <v>ERRO - REVISAR</v>
      </c>
      <c r="G1123" s="41"/>
      <c r="H1123" s="41" t="str">
        <f t="array" ref="H1123">+ARMASTD(N1123)</f>
        <v>ERRO - REVISAR</v>
      </c>
      <c r="I1123" s="41" t="str">
        <f t="array" ref="I1123">+CALIBRESTD(O1123)</f>
        <v>ERRO - REVISAR</v>
      </c>
    </row>
    <row r="1124" spans="1:9" ht="14.25" customHeight="1" x14ac:dyDescent="0.35">
      <c r="A1124" t="str">
        <f t="array" ref="A1124">EXTRACTEVENT(Q1124,S1124)</f>
        <v/>
      </c>
      <c r="B1124" t="str">
        <f t="shared" si="51"/>
        <v>-</v>
      </c>
      <c r="C1124" t="e">
        <f>+VLOOKUP(R1124,Maps!$A:$C,2,0)</f>
        <v>#N/A</v>
      </c>
      <c r="D1124" t="e">
        <f t="shared" si="52"/>
        <v>#VALUE!</v>
      </c>
      <c r="E1124" s="39" t="e">
        <f t="shared" si="53"/>
        <v>#VALUE!</v>
      </c>
      <c r="F1124" s="7" t="str">
        <f t="array" ref="F1124">+TIPOARMA(H1124,I1124)</f>
        <v>ERRO - REVISAR</v>
      </c>
      <c r="H1124" t="str">
        <f t="array" ref="H1124">+ARMASTD(N1124)</f>
        <v>ERRO - REVISAR</v>
      </c>
      <c r="I1124" t="str">
        <f t="array" ref="I1124">+CALIBRESTD(O1124)</f>
        <v>ERRO - REVISAR</v>
      </c>
    </row>
    <row r="1125" spans="1:9" ht="14.25" customHeight="1" x14ac:dyDescent="0.35">
      <c r="A1125" s="41" t="str">
        <f t="array" ref="A1125">EXTRACTEVENT(Q1125,S1125)</f>
        <v/>
      </c>
      <c r="B1125" s="41" t="str">
        <f t="shared" si="51"/>
        <v>-</v>
      </c>
      <c r="C1125" s="41" t="e">
        <f>+VLOOKUP(R1125,Maps!$A:$C,2,0)</f>
        <v>#N/A</v>
      </c>
      <c r="D1125" s="41" t="e">
        <f t="shared" si="52"/>
        <v>#VALUE!</v>
      </c>
      <c r="E1125" s="42" t="e">
        <f t="shared" si="53"/>
        <v>#VALUE!</v>
      </c>
      <c r="F1125" s="43" t="str">
        <f t="array" ref="F1125">+TIPOARMA(H1125,I1125)</f>
        <v>ERRO - REVISAR</v>
      </c>
      <c r="G1125" s="41"/>
      <c r="H1125" s="41" t="str">
        <f t="array" ref="H1125">+ARMASTD(N1125)</f>
        <v>ERRO - REVISAR</v>
      </c>
      <c r="I1125" s="41" t="str">
        <f t="array" ref="I1125">+CALIBRESTD(O1125)</f>
        <v>ERRO - REVISAR</v>
      </c>
    </row>
    <row r="1126" spans="1:9" ht="14.25" customHeight="1" x14ac:dyDescent="0.35">
      <c r="A1126" t="str">
        <f t="array" ref="A1126">EXTRACTEVENT(Q1126,S1126)</f>
        <v/>
      </c>
      <c r="B1126" t="str">
        <f t="shared" si="51"/>
        <v>-</v>
      </c>
      <c r="C1126" t="e">
        <f>+VLOOKUP(R1126,Maps!$A:$C,2,0)</f>
        <v>#N/A</v>
      </c>
      <c r="D1126" t="e">
        <f t="shared" si="52"/>
        <v>#VALUE!</v>
      </c>
      <c r="E1126" s="39" t="e">
        <f t="shared" si="53"/>
        <v>#VALUE!</v>
      </c>
      <c r="F1126" s="7" t="str">
        <f t="array" ref="F1126">+TIPOARMA(H1126,I1126)</f>
        <v>ERRO - REVISAR</v>
      </c>
      <c r="H1126" t="str">
        <f t="array" ref="H1126">+ARMASTD(N1126)</f>
        <v>ERRO - REVISAR</v>
      </c>
      <c r="I1126" t="str">
        <f t="array" ref="I1126">+CALIBRESTD(O1126)</f>
        <v>ERRO - REVISAR</v>
      </c>
    </row>
    <row r="1127" spans="1:9" ht="14.25" customHeight="1" x14ac:dyDescent="0.35">
      <c r="A1127" s="41" t="str">
        <f t="array" ref="A1127">EXTRACTEVENT(Q1127,S1127)</f>
        <v/>
      </c>
      <c r="B1127" s="41" t="str">
        <f t="shared" si="51"/>
        <v>-</v>
      </c>
      <c r="C1127" s="41" t="e">
        <f>+VLOOKUP(R1127,Maps!$A:$C,2,0)</f>
        <v>#N/A</v>
      </c>
      <c r="D1127" s="41" t="e">
        <f t="shared" si="52"/>
        <v>#VALUE!</v>
      </c>
      <c r="E1127" s="42" t="e">
        <f t="shared" si="53"/>
        <v>#VALUE!</v>
      </c>
      <c r="F1127" s="43" t="str">
        <f t="array" ref="F1127">+TIPOARMA(H1127,I1127)</f>
        <v>ERRO - REVISAR</v>
      </c>
      <c r="G1127" s="41"/>
      <c r="H1127" s="41" t="str">
        <f t="array" ref="H1127">+ARMASTD(N1127)</f>
        <v>ERRO - REVISAR</v>
      </c>
      <c r="I1127" s="41" t="str">
        <f t="array" ref="I1127">+CALIBRESTD(O1127)</f>
        <v>ERRO - REVISAR</v>
      </c>
    </row>
    <row r="1128" spans="1:9" ht="14.25" customHeight="1" x14ac:dyDescent="0.35">
      <c r="A1128" t="str">
        <f t="array" ref="A1128">EXTRACTEVENT(Q1128,S1128)</f>
        <v/>
      </c>
      <c r="B1128" t="str">
        <f t="shared" si="51"/>
        <v>-</v>
      </c>
      <c r="C1128" t="e">
        <f>+VLOOKUP(R1128,Maps!$A:$C,2,0)</f>
        <v>#N/A</v>
      </c>
      <c r="D1128" t="e">
        <f t="shared" si="52"/>
        <v>#VALUE!</v>
      </c>
      <c r="E1128" s="39" t="e">
        <f t="shared" si="53"/>
        <v>#VALUE!</v>
      </c>
      <c r="F1128" s="7" t="str">
        <f t="array" ref="F1128">+TIPOARMA(H1128,I1128)</f>
        <v>ERRO - REVISAR</v>
      </c>
      <c r="H1128" t="str">
        <f t="array" ref="H1128">+ARMASTD(N1128)</f>
        <v>ERRO - REVISAR</v>
      </c>
      <c r="I1128" t="str">
        <f t="array" ref="I1128">+CALIBRESTD(O1128)</f>
        <v>ERRO - REVISAR</v>
      </c>
    </row>
    <row r="1129" spans="1:9" ht="14.25" customHeight="1" x14ac:dyDescent="0.35">
      <c r="A1129" s="41" t="str">
        <f t="array" ref="A1129">EXTRACTEVENT(Q1129,S1129)</f>
        <v/>
      </c>
      <c r="B1129" s="41" t="str">
        <f t="shared" si="51"/>
        <v>-</v>
      </c>
      <c r="C1129" s="41" t="e">
        <f>+VLOOKUP(R1129,Maps!$A:$C,2,0)</f>
        <v>#N/A</v>
      </c>
      <c r="D1129" s="41" t="e">
        <f t="shared" si="52"/>
        <v>#VALUE!</v>
      </c>
      <c r="E1129" s="42" t="e">
        <f t="shared" si="53"/>
        <v>#VALUE!</v>
      </c>
      <c r="F1129" s="43" t="str">
        <f t="array" ref="F1129">+TIPOARMA(H1129,I1129)</f>
        <v>ERRO - REVISAR</v>
      </c>
      <c r="G1129" s="41"/>
      <c r="H1129" s="41" t="str">
        <f t="array" ref="H1129">+ARMASTD(N1129)</f>
        <v>ERRO - REVISAR</v>
      </c>
      <c r="I1129" s="41" t="str">
        <f t="array" ref="I1129">+CALIBRESTD(O1129)</f>
        <v>ERRO - REVISAR</v>
      </c>
    </row>
    <row r="1130" spans="1:9" ht="14.25" customHeight="1" x14ac:dyDescent="0.35">
      <c r="A1130" t="str">
        <f t="array" ref="A1130">EXTRACTEVENT(Q1130,S1130)</f>
        <v/>
      </c>
      <c r="B1130" t="str">
        <f t="shared" si="51"/>
        <v>-</v>
      </c>
      <c r="C1130" t="e">
        <f>+VLOOKUP(R1130,Maps!$A:$C,2,0)</f>
        <v>#N/A</v>
      </c>
      <c r="D1130" t="e">
        <f t="shared" si="52"/>
        <v>#VALUE!</v>
      </c>
      <c r="E1130" s="39" t="e">
        <f t="shared" si="53"/>
        <v>#VALUE!</v>
      </c>
      <c r="F1130" s="7" t="str">
        <f t="array" ref="F1130">+TIPOARMA(H1130,I1130)</f>
        <v>ERRO - REVISAR</v>
      </c>
      <c r="H1130" t="str">
        <f t="array" ref="H1130">+ARMASTD(N1130)</f>
        <v>ERRO - REVISAR</v>
      </c>
      <c r="I1130" t="str">
        <f t="array" ref="I1130">+CALIBRESTD(O1130)</f>
        <v>ERRO - REVISAR</v>
      </c>
    </row>
    <row r="1131" spans="1:9" ht="14.25" customHeight="1" x14ac:dyDescent="0.35">
      <c r="A1131" s="41" t="str">
        <f t="array" ref="A1131">EXTRACTEVENT(Q1131,S1131)</f>
        <v/>
      </c>
      <c r="B1131" s="41" t="str">
        <f t="shared" si="51"/>
        <v>-</v>
      </c>
      <c r="C1131" s="41" t="e">
        <f>+VLOOKUP(R1131,Maps!$A:$C,2,0)</f>
        <v>#N/A</v>
      </c>
      <c r="D1131" s="41" t="e">
        <f t="shared" si="52"/>
        <v>#VALUE!</v>
      </c>
      <c r="E1131" s="42" t="e">
        <f t="shared" si="53"/>
        <v>#VALUE!</v>
      </c>
      <c r="F1131" s="43" t="str">
        <f t="array" ref="F1131">+TIPOARMA(H1131,I1131)</f>
        <v>ERRO - REVISAR</v>
      </c>
      <c r="G1131" s="41"/>
      <c r="H1131" s="41" t="str">
        <f t="array" ref="H1131">+ARMASTD(N1131)</f>
        <v>ERRO - REVISAR</v>
      </c>
      <c r="I1131" s="41" t="str">
        <f t="array" ref="I1131">+CALIBRESTD(O1131)</f>
        <v>ERRO - REVISAR</v>
      </c>
    </row>
    <row r="1132" spans="1:9" ht="14.25" customHeight="1" x14ac:dyDescent="0.35">
      <c r="A1132" t="str">
        <f t="array" ref="A1132">EXTRACTEVENT(Q1132,S1132)</f>
        <v/>
      </c>
      <c r="B1132" t="str">
        <f t="shared" si="51"/>
        <v>-</v>
      </c>
      <c r="C1132" t="e">
        <f>+VLOOKUP(R1132,Maps!$A:$C,2,0)</f>
        <v>#N/A</v>
      </c>
      <c r="D1132" t="e">
        <f t="shared" si="52"/>
        <v>#VALUE!</v>
      </c>
      <c r="E1132" s="39" t="e">
        <f t="shared" si="53"/>
        <v>#VALUE!</v>
      </c>
      <c r="F1132" s="7" t="str">
        <f t="array" ref="F1132">+TIPOARMA(H1132,I1132)</f>
        <v>ERRO - REVISAR</v>
      </c>
      <c r="H1132" t="str">
        <f t="array" ref="H1132">+ARMASTD(N1132)</f>
        <v>ERRO - REVISAR</v>
      </c>
      <c r="I1132" t="str">
        <f t="array" ref="I1132">+CALIBRESTD(O1132)</f>
        <v>ERRO - REVISAR</v>
      </c>
    </row>
    <row r="1133" spans="1:9" ht="14.25" customHeight="1" x14ac:dyDescent="0.35">
      <c r="A1133" s="41" t="str">
        <f t="array" ref="A1133">EXTRACTEVENT(Q1133,S1133)</f>
        <v/>
      </c>
      <c r="B1133" s="41" t="str">
        <f t="shared" si="51"/>
        <v>-</v>
      </c>
      <c r="C1133" s="41" t="e">
        <f>+VLOOKUP(R1133,Maps!$A:$C,2,0)</f>
        <v>#N/A</v>
      </c>
      <c r="D1133" s="41" t="e">
        <f t="shared" si="52"/>
        <v>#VALUE!</v>
      </c>
      <c r="E1133" s="42" t="e">
        <f t="shared" si="53"/>
        <v>#VALUE!</v>
      </c>
      <c r="F1133" s="43" t="str">
        <f t="array" ref="F1133">+TIPOARMA(H1133,I1133)</f>
        <v>ERRO - REVISAR</v>
      </c>
      <c r="G1133" s="41"/>
      <c r="H1133" s="41" t="str">
        <f t="array" ref="H1133">+ARMASTD(N1133)</f>
        <v>ERRO - REVISAR</v>
      </c>
      <c r="I1133" s="41" t="str">
        <f t="array" ref="I1133">+CALIBRESTD(O1133)</f>
        <v>ERRO - REVISAR</v>
      </c>
    </row>
    <row r="1134" spans="1:9" ht="14.25" customHeight="1" x14ac:dyDescent="0.35">
      <c r="A1134" t="str">
        <f t="array" ref="A1134">EXTRACTEVENT(Q1134,S1134)</f>
        <v/>
      </c>
      <c r="B1134" t="str">
        <f t="shared" si="51"/>
        <v>-</v>
      </c>
      <c r="C1134" t="e">
        <f>+VLOOKUP(R1134,Maps!$A:$C,2,0)</f>
        <v>#N/A</v>
      </c>
      <c r="D1134" t="e">
        <f t="shared" si="52"/>
        <v>#VALUE!</v>
      </c>
      <c r="E1134" s="39" t="e">
        <f t="shared" si="53"/>
        <v>#VALUE!</v>
      </c>
      <c r="F1134" s="7" t="str">
        <f t="array" ref="F1134">+TIPOARMA(H1134,I1134)</f>
        <v>ERRO - REVISAR</v>
      </c>
      <c r="H1134" t="str">
        <f t="array" ref="H1134">+ARMASTD(N1134)</f>
        <v>ERRO - REVISAR</v>
      </c>
      <c r="I1134" t="str">
        <f t="array" ref="I1134">+CALIBRESTD(O1134)</f>
        <v>ERRO - REVISAR</v>
      </c>
    </row>
    <row r="1135" spans="1:9" ht="14.25" customHeight="1" x14ac:dyDescent="0.35">
      <c r="A1135" s="41" t="str">
        <f t="array" ref="A1135">EXTRACTEVENT(Q1135,S1135)</f>
        <v/>
      </c>
      <c r="B1135" s="41" t="str">
        <f t="shared" si="51"/>
        <v>-</v>
      </c>
      <c r="C1135" s="41" t="e">
        <f>+VLOOKUP(R1135,Maps!$A:$C,2,0)</f>
        <v>#N/A</v>
      </c>
      <c r="D1135" s="41" t="e">
        <f t="shared" si="52"/>
        <v>#VALUE!</v>
      </c>
      <c r="E1135" s="42" t="e">
        <f t="shared" si="53"/>
        <v>#VALUE!</v>
      </c>
      <c r="F1135" s="43" t="str">
        <f t="array" ref="F1135">+TIPOARMA(H1135,I1135)</f>
        <v>ERRO - REVISAR</v>
      </c>
      <c r="G1135" s="41"/>
      <c r="H1135" s="41" t="str">
        <f t="array" ref="H1135">+ARMASTD(N1135)</f>
        <v>ERRO - REVISAR</v>
      </c>
      <c r="I1135" s="41" t="str">
        <f t="array" ref="I1135">+CALIBRESTD(O1135)</f>
        <v>ERRO - REVISAR</v>
      </c>
    </row>
    <row r="1136" spans="1:9" ht="14.25" customHeight="1" x14ac:dyDescent="0.35">
      <c r="A1136" t="str">
        <f t="array" ref="A1136">EXTRACTEVENT(Q1136,S1136)</f>
        <v/>
      </c>
      <c r="B1136" t="str">
        <f t="shared" si="51"/>
        <v>-</v>
      </c>
      <c r="C1136" t="e">
        <f>+VLOOKUP(R1136,Maps!$A:$C,2,0)</f>
        <v>#N/A</v>
      </c>
      <c r="D1136" t="e">
        <f t="shared" si="52"/>
        <v>#VALUE!</v>
      </c>
      <c r="E1136" s="39" t="e">
        <f t="shared" si="53"/>
        <v>#VALUE!</v>
      </c>
      <c r="F1136" s="7" t="str">
        <f t="array" ref="F1136">+TIPOARMA(H1136,I1136)</f>
        <v>ERRO - REVISAR</v>
      </c>
      <c r="H1136" t="str">
        <f t="array" ref="H1136">+ARMASTD(N1136)</f>
        <v>ERRO - REVISAR</v>
      </c>
      <c r="I1136" t="str">
        <f t="array" ref="I1136">+CALIBRESTD(O1136)</f>
        <v>ERRO - REVISAR</v>
      </c>
    </row>
    <row r="1137" spans="1:9" ht="14.25" customHeight="1" x14ac:dyDescent="0.35">
      <c r="A1137" s="41" t="str">
        <f t="array" ref="A1137">EXTRACTEVENT(Q1137,S1137)</f>
        <v/>
      </c>
      <c r="B1137" s="41" t="str">
        <f t="shared" si="51"/>
        <v>-</v>
      </c>
      <c r="C1137" s="41" t="e">
        <f>+VLOOKUP(R1137,Maps!$A:$C,2,0)</f>
        <v>#N/A</v>
      </c>
      <c r="D1137" s="41" t="e">
        <f t="shared" si="52"/>
        <v>#VALUE!</v>
      </c>
      <c r="E1137" s="42" t="e">
        <f t="shared" si="53"/>
        <v>#VALUE!</v>
      </c>
      <c r="F1137" s="43" t="str">
        <f t="array" ref="F1137">+TIPOARMA(H1137,I1137)</f>
        <v>ERRO - REVISAR</v>
      </c>
      <c r="G1137" s="41"/>
      <c r="H1137" s="41" t="str">
        <f t="array" ref="H1137">+ARMASTD(N1137)</f>
        <v>ERRO - REVISAR</v>
      </c>
      <c r="I1137" s="41" t="str">
        <f t="array" ref="I1137">+CALIBRESTD(O1137)</f>
        <v>ERRO - REVISAR</v>
      </c>
    </row>
    <row r="1138" spans="1:9" ht="14.25" customHeight="1" x14ac:dyDescent="0.35">
      <c r="A1138" t="str">
        <f t="array" ref="A1138">EXTRACTEVENT(Q1138,S1138)</f>
        <v/>
      </c>
      <c r="B1138" t="str">
        <f t="shared" si="51"/>
        <v>-</v>
      </c>
      <c r="C1138" t="e">
        <f>+VLOOKUP(R1138,Maps!$A:$C,2,0)</f>
        <v>#N/A</v>
      </c>
      <c r="D1138" t="e">
        <f t="shared" si="52"/>
        <v>#VALUE!</v>
      </c>
      <c r="E1138" s="39" t="e">
        <f t="shared" si="53"/>
        <v>#VALUE!</v>
      </c>
      <c r="F1138" s="7" t="str">
        <f t="array" ref="F1138">+TIPOARMA(H1138,I1138)</f>
        <v>ERRO - REVISAR</v>
      </c>
      <c r="H1138" t="str">
        <f t="array" ref="H1138">+ARMASTD(N1138)</f>
        <v>ERRO - REVISAR</v>
      </c>
      <c r="I1138" t="str">
        <f t="array" ref="I1138">+CALIBRESTD(O1138)</f>
        <v>ERRO - REVISAR</v>
      </c>
    </row>
    <row r="1139" spans="1:9" ht="14.25" customHeight="1" x14ac:dyDescent="0.35">
      <c r="A1139" s="41" t="str">
        <f t="array" ref="A1139">EXTRACTEVENT(Q1139,S1139)</f>
        <v/>
      </c>
      <c r="B1139" s="41" t="str">
        <f t="shared" si="51"/>
        <v>-</v>
      </c>
      <c r="C1139" s="41" t="e">
        <f>+VLOOKUP(R1139,Maps!$A:$C,2,0)</f>
        <v>#N/A</v>
      </c>
      <c r="D1139" s="41" t="e">
        <f t="shared" si="52"/>
        <v>#VALUE!</v>
      </c>
      <c r="E1139" s="42" t="e">
        <f t="shared" si="53"/>
        <v>#VALUE!</v>
      </c>
      <c r="F1139" s="43" t="str">
        <f t="array" ref="F1139">+TIPOARMA(H1139,I1139)</f>
        <v>ERRO - REVISAR</v>
      </c>
      <c r="G1139" s="41"/>
      <c r="H1139" s="41" t="str">
        <f t="array" ref="H1139">+ARMASTD(N1139)</f>
        <v>ERRO - REVISAR</v>
      </c>
      <c r="I1139" s="41" t="str">
        <f t="array" ref="I1139">+CALIBRESTD(O1139)</f>
        <v>ERRO - REVISAR</v>
      </c>
    </row>
    <row r="1140" spans="1:9" ht="14.25" customHeight="1" x14ac:dyDescent="0.35">
      <c r="A1140" t="str">
        <f t="array" ref="A1140">EXTRACTEVENT(Q1140,S1140)</f>
        <v/>
      </c>
      <c r="B1140" t="str">
        <f t="shared" si="51"/>
        <v>-</v>
      </c>
      <c r="C1140" t="e">
        <f>+VLOOKUP(R1140,Maps!$A:$C,2,0)</f>
        <v>#N/A</v>
      </c>
      <c r="D1140" t="e">
        <f t="shared" si="52"/>
        <v>#VALUE!</v>
      </c>
      <c r="E1140" s="39" t="e">
        <f t="shared" si="53"/>
        <v>#VALUE!</v>
      </c>
      <c r="F1140" s="7" t="str">
        <f t="array" ref="F1140">+TIPOARMA(H1140,I1140)</f>
        <v>ERRO - REVISAR</v>
      </c>
      <c r="H1140" t="str">
        <f t="array" ref="H1140">+ARMASTD(N1140)</f>
        <v>ERRO - REVISAR</v>
      </c>
      <c r="I1140" t="str">
        <f t="array" ref="I1140">+CALIBRESTD(O1140)</f>
        <v>ERRO - REVISAR</v>
      </c>
    </row>
    <row r="1141" spans="1:9" ht="14.25" customHeight="1" x14ac:dyDescent="0.35">
      <c r="A1141" s="41" t="str">
        <f t="array" ref="A1141">EXTRACTEVENT(Q1141,S1141)</f>
        <v/>
      </c>
      <c r="B1141" s="41" t="str">
        <f t="shared" si="51"/>
        <v>-</v>
      </c>
      <c r="C1141" s="41" t="e">
        <f>+VLOOKUP(R1141,Maps!$A:$C,2,0)</f>
        <v>#N/A</v>
      </c>
      <c r="D1141" s="41" t="e">
        <f t="shared" si="52"/>
        <v>#VALUE!</v>
      </c>
      <c r="E1141" s="42" t="e">
        <f t="shared" si="53"/>
        <v>#VALUE!</v>
      </c>
      <c r="F1141" s="43" t="str">
        <f t="array" ref="F1141">+TIPOARMA(H1141,I1141)</f>
        <v>ERRO - REVISAR</v>
      </c>
      <c r="G1141" s="41"/>
      <c r="H1141" s="41" t="str">
        <f t="array" ref="H1141">+ARMASTD(N1141)</f>
        <v>ERRO - REVISAR</v>
      </c>
      <c r="I1141" s="41" t="str">
        <f t="array" ref="I1141">+CALIBRESTD(O1141)</f>
        <v>ERRO - REVISAR</v>
      </c>
    </row>
    <row r="1142" spans="1:9" ht="14.25" customHeight="1" x14ac:dyDescent="0.35">
      <c r="A1142" t="str">
        <f t="array" ref="A1142">EXTRACTEVENT(Q1142,S1142)</f>
        <v/>
      </c>
      <c r="B1142" t="str">
        <f t="shared" si="51"/>
        <v>-</v>
      </c>
      <c r="C1142" t="e">
        <f>+VLOOKUP(R1142,Maps!$A:$C,2,0)</f>
        <v>#N/A</v>
      </c>
      <c r="D1142" t="e">
        <f t="shared" si="52"/>
        <v>#VALUE!</v>
      </c>
      <c r="E1142" s="39" t="e">
        <f t="shared" si="53"/>
        <v>#VALUE!</v>
      </c>
      <c r="F1142" s="7" t="str">
        <f t="array" ref="F1142">+TIPOARMA(H1142,I1142)</f>
        <v>ERRO - REVISAR</v>
      </c>
      <c r="H1142" t="str">
        <f t="array" ref="H1142">+ARMASTD(N1142)</f>
        <v>ERRO - REVISAR</v>
      </c>
      <c r="I1142" t="str">
        <f t="array" ref="I1142">+CALIBRESTD(O1142)</f>
        <v>ERRO - REVISAR</v>
      </c>
    </row>
    <row r="1143" spans="1:9" ht="14.25" customHeight="1" x14ac:dyDescent="0.35">
      <c r="A1143" s="41" t="str">
        <f t="array" ref="A1143">EXTRACTEVENT(Q1143,S1143)</f>
        <v/>
      </c>
      <c r="B1143" s="41" t="str">
        <f t="shared" si="51"/>
        <v>-</v>
      </c>
      <c r="C1143" s="41" t="e">
        <f>+VLOOKUP(R1143,Maps!$A:$C,2,0)</f>
        <v>#N/A</v>
      </c>
      <c r="D1143" s="41" t="e">
        <f t="shared" si="52"/>
        <v>#VALUE!</v>
      </c>
      <c r="E1143" s="42" t="e">
        <f t="shared" si="53"/>
        <v>#VALUE!</v>
      </c>
      <c r="F1143" s="43" t="str">
        <f t="array" ref="F1143">+TIPOARMA(H1143,I1143)</f>
        <v>ERRO - REVISAR</v>
      </c>
      <c r="G1143" s="41"/>
      <c r="H1143" s="41" t="str">
        <f t="array" ref="H1143">+ARMASTD(N1143)</f>
        <v>ERRO - REVISAR</v>
      </c>
      <c r="I1143" s="41" t="str">
        <f t="array" ref="I1143">+CALIBRESTD(O1143)</f>
        <v>ERRO - REVISAR</v>
      </c>
    </row>
    <row r="1144" spans="1:9" ht="14.25" customHeight="1" x14ac:dyDescent="0.35">
      <c r="A1144" t="str">
        <f t="array" ref="A1144">EXTRACTEVENT(Q1144,S1144)</f>
        <v/>
      </c>
      <c r="B1144" t="str">
        <f t="shared" si="51"/>
        <v>-</v>
      </c>
      <c r="C1144" t="e">
        <f>+VLOOKUP(R1144,Maps!$A:$C,2,0)</f>
        <v>#N/A</v>
      </c>
      <c r="D1144" t="e">
        <f t="shared" si="52"/>
        <v>#VALUE!</v>
      </c>
      <c r="E1144" s="39" t="e">
        <f t="shared" si="53"/>
        <v>#VALUE!</v>
      </c>
      <c r="F1144" s="7" t="str">
        <f t="array" ref="F1144">+TIPOARMA(H1144,I1144)</f>
        <v>ERRO - REVISAR</v>
      </c>
      <c r="H1144" t="str">
        <f t="array" ref="H1144">+ARMASTD(N1144)</f>
        <v>ERRO - REVISAR</v>
      </c>
      <c r="I1144" t="str">
        <f t="array" ref="I1144">+CALIBRESTD(O1144)</f>
        <v>ERRO - REVISAR</v>
      </c>
    </row>
    <row r="1145" spans="1:9" ht="14.25" customHeight="1" x14ac:dyDescent="0.35">
      <c r="A1145" s="41" t="str">
        <f t="array" ref="A1145">EXTRACTEVENT(Q1145,S1145)</f>
        <v/>
      </c>
      <c r="B1145" s="41" t="str">
        <f t="shared" si="51"/>
        <v>-</v>
      </c>
      <c r="C1145" s="41" t="e">
        <f>+VLOOKUP(R1145,Maps!$A:$C,2,0)</f>
        <v>#N/A</v>
      </c>
      <c r="D1145" s="41" t="e">
        <f t="shared" si="52"/>
        <v>#VALUE!</v>
      </c>
      <c r="E1145" s="42" t="e">
        <f t="shared" si="53"/>
        <v>#VALUE!</v>
      </c>
      <c r="F1145" s="43" t="str">
        <f t="array" ref="F1145">+TIPOARMA(H1145,I1145)</f>
        <v>ERRO - REVISAR</v>
      </c>
      <c r="G1145" s="41"/>
      <c r="H1145" s="41" t="str">
        <f t="array" ref="H1145">+ARMASTD(N1145)</f>
        <v>ERRO - REVISAR</v>
      </c>
      <c r="I1145" s="41" t="str">
        <f t="array" ref="I1145">+CALIBRESTD(O1145)</f>
        <v>ERRO - REVISAR</v>
      </c>
    </row>
    <row r="1146" spans="1:9" ht="14.25" customHeight="1" x14ac:dyDescent="0.35">
      <c r="A1146" t="str">
        <f t="array" ref="A1146">EXTRACTEVENT(Q1146,S1146)</f>
        <v/>
      </c>
      <c r="B1146" t="str">
        <f t="shared" si="51"/>
        <v>-</v>
      </c>
      <c r="C1146" t="e">
        <f>+VLOOKUP(R1146,Maps!$A:$C,2,0)</f>
        <v>#N/A</v>
      </c>
      <c r="D1146" t="e">
        <f t="shared" si="52"/>
        <v>#VALUE!</v>
      </c>
      <c r="E1146" s="39" t="e">
        <f t="shared" si="53"/>
        <v>#VALUE!</v>
      </c>
      <c r="F1146" s="7" t="str">
        <f t="array" ref="F1146">+TIPOARMA(H1146,I1146)</f>
        <v>ERRO - REVISAR</v>
      </c>
      <c r="H1146" t="str">
        <f t="array" ref="H1146">+ARMASTD(N1146)</f>
        <v>ERRO - REVISAR</v>
      </c>
      <c r="I1146" t="str">
        <f t="array" ref="I1146">+CALIBRESTD(O1146)</f>
        <v>ERRO - REVISAR</v>
      </c>
    </row>
    <row r="1147" spans="1:9" ht="14.25" customHeight="1" x14ac:dyDescent="0.35">
      <c r="A1147" s="41" t="str">
        <f t="array" ref="A1147">EXTRACTEVENT(Q1147,S1147)</f>
        <v/>
      </c>
      <c r="B1147" s="41" t="str">
        <f t="shared" si="51"/>
        <v>-</v>
      </c>
      <c r="C1147" s="41" t="e">
        <f>+VLOOKUP(R1147,Maps!$A:$C,2,0)</f>
        <v>#N/A</v>
      </c>
      <c r="D1147" s="41" t="e">
        <f t="shared" si="52"/>
        <v>#VALUE!</v>
      </c>
      <c r="E1147" s="42" t="e">
        <f t="shared" si="53"/>
        <v>#VALUE!</v>
      </c>
      <c r="F1147" s="43" t="str">
        <f t="array" ref="F1147">+TIPOARMA(H1147,I1147)</f>
        <v>ERRO - REVISAR</v>
      </c>
      <c r="G1147" s="41"/>
      <c r="H1147" s="41" t="str">
        <f t="array" ref="H1147">+ARMASTD(N1147)</f>
        <v>ERRO - REVISAR</v>
      </c>
      <c r="I1147" s="41" t="str">
        <f t="array" ref="I1147">+CALIBRESTD(O1147)</f>
        <v>ERRO - REVISAR</v>
      </c>
    </row>
    <row r="1148" spans="1:9" ht="14.25" customHeight="1" x14ac:dyDescent="0.35">
      <c r="A1148" t="str">
        <f t="array" ref="A1148">EXTRACTEVENT(Q1148,S1148)</f>
        <v/>
      </c>
      <c r="B1148" t="str">
        <f t="shared" si="51"/>
        <v>-</v>
      </c>
      <c r="C1148" t="e">
        <f>+VLOOKUP(R1148,Maps!$A:$C,2,0)</f>
        <v>#N/A</v>
      </c>
      <c r="D1148" t="e">
        <f t="shared" si="52"/>
        <v>#VALUE!</v>
      </c>
      <c r="E1148" s="39" t="e">
        <f t="shared" si="53"/>
        <v>#VALUE!</v>
      </c>
      <c r="F1148" s="7" t="str">
        <f t="array" ref="F1148">+TIPOARMA(H1148,I1148)</f>
        <v>ERRO - REVISAR</v>
      </c>
      <c r="H1148" t="str">
        <f t="array" ref="H1148">+ARMASTD(N1148)</f>
        <v>ERRO - REVISAR</v>
      </c>
      <c r="I1148" t="str">
        <f t="array" ref="I1148">+CALIBRESTD(O1148)</f>
        <v>ERRO - REVISAR</v>
      </c>
    </row>
    <row r="1149" spans="1:9" ht="14.25" customHeight="1" x14ac:dyDescent="0.35">
      <c r="A1149" s="41" t="str">
        <f t="array" ref="A1149">EXTRACTEVENT(Q1149,S1149)</f>
        <v/>
      </c>
      <c r="B1149" s="41" t="str">
        <f t="shared" si="51"/>
        <v>-</v>
      </c>
      <c r="C1149" s="41" t="e">
        <f>+VLOOKUP(R1149,Maps!$A:$C,2,0)</f>
        <v>#N/A</v>
      </c>
      <c r="D1149" s="41" t="e">
        <f t="shared" si="52"/>
        <v>#VALUE!</v>
      </c>
      <c r="E1149" s="42" t="e">
        <f t="shared" si="53"/>
        <v>#VALUE!</v>
      </c>
      <c r="F1149" s="43" t="str">
        <f t="array" ref="F1149">+TIPOARMA(H1149,I1149)</f>
        <v>ERRO - REVISAR</v>
      </c>
      <c r="G1149" s="41"/>
      <c r="H1149" s="41" t="str">
        <f t="array" ref="H1149">+ARMASTD(N1149)</f>
        <v>ERRO - REVISAR</v>
      </c>
      <c r="I1149" s="41" t="str">
        <f t="array" ref="I1149">+CALIBRESTD(O1149)</f>
        <v>ERRO - REVISAR</v>
      </c>
    </row>
    <row r="1150" spans="1:9" ht="14.25" customHeight="1" x14ac:dyDescent="0.35">
      <c r="A1150" t="str">
        <f t="array" ref="A1150">EXTRACTEVENT(Q1150,S1150)</f>
        <v/>
      </c>
      <c r="B1150" t="str">
        <f t="shared" si="51"/>
        <v>-</v>
      </c>
      <c r="C1150" t="e">
        <f>+VLOOKUP(R1150,Maps!$A:$C,2,0)</f>
        <v>#N/A</v>
      </c>
      <c r="D1150" t="e">
        <f t="shared" si="52"/>
        <v>#VALUE!</v>
      </c>
      <c r="E1150" s="39" t="e">
        <f t="shared" si="53"/>
        <v>#VALUE!</v>
      </c>
      <c r="F1150" s="7" t="str">
        <f t="array" ref="F1150">+TIPOARMA(H1150,I1150)</f>
        <v>ERRO - REVISAR</v>
      </c>
      <c r="H1150" t="str">
        <f t="array" ref="H1150">+ARMASTD(N1150)</f>
        <v>ERRO - REVISAR</v>
      </c>
      <c r="I1150" t="str">
        <f t="array" ref="I1150">+CALIBRESTD(O1150)</f>
        <v>ERRO - REVISAR</v>
      </c>
    </row>
    <row r="1151" spans="1:9" ht="14.25" customHeight="1" x14ac:dyDescent="0.35">
      <c r="A1151" s="41" t="str">
        <f t="array" ref="A1151">EXTRACTEVENT(Q1151,S1151)</f>
        <v/>
      </c>
      <c r="B1151" s="41" t="str">
        <f t="shared" si="51"/>
        <v>-</v>
      </c>
      <c r="C1151" s="41" t="e">
        <f>+VLOOKUP(R1151,Maps!$A:$C,2,0)</f>
        <v>#N/A</v>
      </c>
      <c r="D1151" s="41" t="e">
        <f t="shared" si="52"/>
        <v>#VALUE!</v>
      </c>
      <c r="E1151" s="42" t="e">
        <f t="shared" si="53"/>
        <v>#VALUE!</v>
      </c>
      <c r="F1151" s="43" t="str">
        <f t="array" ref="F1151">+TIPOARMA(H1151,I1151)</f>
        <v>ERRO - REVISAR</v>
      </c>
      <c r="G1151" s="41"/>
      <c r="H1151" s="41" t="str">
        <f t="array" ref="H1151">+ARMASTD(N1151)</f>
        <v>ERRO - REVISAR</v>
      </c>
      <c r="I1151" s="41" t="str">
        <f t="array" ref="I1151">+CALIBRESTD(O1151)</f>
        <v>ERRO - REVISAR</v>
      </c>
    </row>
    <row r="1152" spans="1:9" ht="14.25" customHeight="1" x14ac:dyDescent="0.35">
      <c r="A1152" t="str">
        <f t="array" ref="A1152">EXTRACTEVENT(Q1152,S1152)</f>
        <v/>
      </c>
      <c r="B1152" t="str">
        <f t="shared" si="51"/>
        <v>-</v>
      </c>
      <c r="C1152" t="e">
        <f>+VLOOKUP(R1152,Maps!$A:$C,2,0)</f>
        <v>#N/A</v>
      </c>
      <c r="D1152" t="e">
        <f t="shared" si="52"/>
        <v>#VALUE!</v>
      </c>
      <c r="E1152" s="39" t="e">
        <f t="shared" si="53"/>
        <v>#VALUE!</v>
      </c>
      <c r="F1152" s="7" t="str">
        <f t="array" ref="F1152">+TIPOARMA(H1152,I1152)</f>
        <v>ERRO - REVISAR</v>
      </c>
      <c r="H1152" t="str">
        <f t="array" ref="H1152">+ARMASTD(N1152)</f>
        <v>ERRO - REVISAR</v>
      </c>
      <c r="I1152" t="str">
        <f t="array" ref="I1152">+CALIBRESTD(O1152)</f>
        <v>ERRO - REVISAR</v>
      </c>
    </row>
    <row r="1153" spans="1:9" ht="14.25" customHeight="1" x14ac:dyDescent="0.35">
      <c r="A1153" s="41" t="str">
        <f t="array" ref="A1153">EXTRACTEVENT(Q1153,S1153)</f>
        <v/>
      </c>
      <c r="B1153" s="41" t="str">
        <f t="shared" si="51"/>
        <v>-</v>
      </c>
      <c r="C1153" s="41" t="e">
        <f>+VLOOKUP(R1153,Maps!$A:$C,2,0)</f>
        <v>#N/A</v>
      </c>
      <c r="D1153" s="41" t="e">
        <f t="shared" si="52"/>
        <v>#VALUE!</v>
      </c>
      <c r="E1153" s="42" t="e">
        <f t="shared" si="53"/>
        <v>#VALUE!</v>
      </c>
      <c r="F1153" s="43" t="str">
        <f t="array" ref="F1153">+TIPOARMA(H1153,I1153)</f>
        <v>ERRO - REVISAR</v>
      </c>
      <c r="G1153" s="41"/>
      <c r="H1153" s="41" t="str">
        <f t="array" ref="H1153">+ARMASTD(N1153)</f>
        <v>ERRO - REVISAR</v>
      </c>
      <c r="I1153" s="41" t="str">
        <f t="array" ref="I1153">+CALIBRESTD(O1153)</f>
        <v>ERRO - REVISAR</v>
      </c>
    </row>
    <row r="1154" spans="1:9" ht="14.25" customHeight="1" x14ac:dyDescent="0.35">
      <c r="A1154" t="str">
        <f t="array" ref="A1154">EXTRACTEVENT(Q1154,S1154)</f>
        <v/>
      </c>
      <c r="B1154" t="str">
        <f t="shared" ref="B1154:B1191" si="54">+EXTRACTETAPANUM(Q1154)</f>
        <v>-</v>
      </c>
      <c r="C1154" t="e">
        <f>+VLOOKUP(R1154,Maps!$A:$C,2,0)</f>
        <v>#N/A</v>
      </c>
      <c r="D1154" t="e">
        <f t="shared" ref="D1154:D1191" si="55">+DEFINEAMBITO(Q1154,C1154)</f>
        <v>#VALUE!</v>
      </c>
      <c r="E1154" s="39" t="e">
        <f t="shared" ref="E1154:E1191" si="56">DATEVALUE(L1154)</f>
        <v>#VALUE!</v>
      </c>
      <c r="F1154" s="7" t="str">
        <f t="array" ref="F1154">+TIPOARMA(H1154,I1154)</f>
        <v>ERRO - REVISAR</v>
      </c>
      <c r="H1154" t="str">
        <f t="array" ref="H1154">+ARMASTD(N1154)</f>
        <v>ERRO - REVISAR</v>
      </c>
      <c r="I1154" t="str">
        <f t="array" ref="I1154">+CALIBRESTD(O1154)</f>
        <v>ERRO - REVISAR</v>
      </c>
    </row>
    <row r="1155" spans="1:9" ht="14.25" customHeight="1" x14ac:dyDescent="0.35">
      <c r="A1155" s="41" t="str">
        <f t="array" ref="A1155">EXTRACTEVENT(Q1155,S1155)</f>
        <v/>
      </c>
      <c r="B1155" s="41" t="str">
        <f t="shared" si="54"/>
        <v>-</v>
      </c>
      <c r="C1155" s="41" t="e">
        <f>+VLOOKUP(R1155,Maps!$A:$C,2,0)</f>
        <v>#N/A</v>
      </c>
      <c r="D1155" s="41" t="e">
        <f t="shared" si="55"/>
        <v>#VALUE!</v>
      </c>
      <c r="E1155" s="42" t="e">
        <f t="shared" si="56"/>
        <v>#VALUE!</v>
      </c>
      <c r="F1155" s="43" t="str">
        <f t="array" ref="F1155">+TIPOARMA(H1155,I1155)</f>
        <v>ERRO - REVISAR</v>
      </c>
      <c r="G1155" s="41"/>
      <c r="H1155" s="41" t="str">
        <f t="array" ref="H1155">+ARMASTD(N1155)</f>
        <v>ERRO - REVISAR</v>
      </c>
      <c r="I1155" s="41" t="str">
        <f t="array" ref="I1155">+CALIBRESTD(O1155)</f>
        <v>ERRO - REVISAR</v>
      </c>
    </row>
    <row r="1156" spans="1:9" ht="14.25" customHeight="1" x14ac:dyDescent="0.35">
      <c r="A1156" t="str">
        <f t="array" ref="A1156">EXTRACTEVENT(Q1156,S1156)</f>
        <v/>
      </c>
      <c r="B1156" t="str">
        <f t="shared" si="54"/>
        <v>-</v>
      </c>
      <c r="C1156" t="e">
        <f>+VLOOKUP(R1156,Maps!$A:$C,2,0)</f>
        <v>#N/A</v>
      </c>
      <c r="D1156" t="e">
        <f t="shared" si="55"/>
        <v>#VALUE!</v>
      </c>
      <c r="E1156" s="39" t="e">
        <f t="shared" si="56"/>
        <v>#VALUE!</v>
      </c>
      <c r="F1156" s="7" t="str">
        <f t="array" ref="F1156">+TIPOARMA(H1156,I1156)</f>
        <v>ERRO - REVISAR</v>
      </c>
      <c r="H1156" t="str">
        <f t="array" ref="H1156">+ARMASTD(N1156)</f>
        <v>ERRO - REVISAR</v>
      </c>
      <c r="I1156" t="str">
        <f t="array" ref="I1156">+CALIBRESTD(O1156)</f>
        <v>ERRO - REVISAR</v>
      </c>
    </row>
    <row r="1157" spans="1:9" ht="14.25" customHeight="1" x14ac:dyDescent="0.35">
      <c r="A1157" s="41" t="str">
        <f t="array" ref="A1157">EXTRACTEVENT(Q1157,S1157)</f>
        <v/>
      </c>
      <c r="B1157" s="41" t="str">
        <f t="shared" si="54"/>
        <v>-</v>
      </c>
      <c r="C1157" s="41" t="e">
        <f>+VLOOKUP(R1157,Maps!$A:$C,2,0)</f>
        <v>#N/A</v>
      </c>
      <c r="D1157" s="41" t="e">
        <f t="shared" si="55"/>
        <v>#VALUE!</v>
      </c>
      <c r="E1157" s="42" t="e">
        <f t="shared" si="56"/>
        <v>#VALUE!</v>
      </c>
      <c r="F1157" s="43" t="str">
        <f t="array" ref="F1157">+TIPOARMA(H1157,I1157)</f>
        <v>ERRO - REVISAR</v>
      </c>
      <c r="G1157" s="41"/>
      <c r="H1157" s="41" t="str">
        <f t="array" ref="H1157">+ARMASTD(N1157)</f>
        <v>ERRO - REVISAR</v>
      </c>
      <c r="I1157" s="41" t="str">
        <f t="array" ref="I1157">+CALIBRESTD(O1157)</f>
        <v>ERRO - REVISAR</v>
      </c>
    </row>
    <row r="1158" spans="1:9" ht="14.25" customHeight="1" x14ac:dyDescent="0.35">
      <c r="A1158" t="str">
        <f t="array" ref="A1158">EXTRACTEVENT(Q1158,S1158)</f>
        <v/>
      </c>
      <c r="B1158" t="str">
        <f t="shared" si="54"/>
        <v>-</v>
      </c>
      <c r="C1158" t="e">
        <f>+VLOOKUP(R1158,Maps!$A:$C,2,0)</f>
        <v>#N/A</v>
      </c>
      <c r="D1158" t="e">
        <f t="shared" si="55"/>
        <v>#VALUE!</v>
      </c>
      <c r="E1158" s="39" t="e">
        <f t="shared" si="56"/>
        <v>#VALUE!</v>
      </c>
      <c r="F1158" s="7" t="str">
        <f t="array" ref="F1158">+TIPOARMA(H1158,I1158)</f>
        <v>ERRO - REVISAR</v>
      </c>
      <c r="H1158" t="str">
        <f t="array" ref="H1158">+ARMASTD(N1158)</f>
        <v>ERRO - REVISAR</v>
      </c>
      <c r="I1158" t="str">
        <f t="array" ref="I1158">+CALIBRESTD(O1158)</f>
        <v>ERRO - REVISAR</v>
      </c>
    </row>
    <row r="1159" spans="1:9" ht="14.25" customHeight="1" x14ac:dyDescent="0.35">
      <c r="A1159" s="41" t="str">
        <f t="array" ref="A1159">EXTRACTEVENT(Q1159,S1159)</f>
        <v/>
      </c>
      <c r="B1159" s="41" t="str">
        <f t="shared" si="54"/>
        <v>-</v>
      </c>
      <c r="C1159" s="41" t="e">
        <f>+VLOOKUP(R1159,Maps!$A:$C,2,0)</f>
        <v>#N/A</v>
      </c>
      <c r="D1159" s="41" t="e">
        <f t="shared" si="55"/>
        <v>#VALUE!</v>
      </c>
      <c r="E1159" s="42" t="e">
        <f t="shared" si="56"/>
        <v>#VALUE!</v>
      </c>
      <c r="F1159" s="43" t="str">
        <f t="array" ref="F1159">+TIPOARMA(H1159,I1159)</f>
        <v>ERRO - REVISAR</v>
      </c>
      <c r="G1159" s="41"/>
      <c r="H1159" s="41" t="str">
        <f t="array" ref="H1159">+ARMASTD(N1159)</f>
        <v>ERRO - REVISAR</v>
      </c>
      <c r="I1159" s="41" t="str">
        <f t="array" ref="I1159">+CALIBRESTD(O1159)</f>
        <v>ERRO - REVISAR</v>
      </c>
    </row>
    <row r="1160" spans="1:9" ht="14.25" customHeight="1" x14ac:dyDescent="0.35">
      <c r="A1160" t="str">
        <f t="array" ref="A1160">EXTRACTEVENT(Q1160,S1160)</f>
        <v/>
      </c>
      <c r="B1160" t="str">
        <f t="shared" si="54"/>
        <v>-</v>
      </c>
      <c r="C1160" t="e">
        <f>+VLOOKUP(R1160,Maps!$A:$C,2,0)</f>
        <v>#N/A</v>
      </c>
      <c r="D1160" t="e">
        <f t="shared" si="55"/>
        <v>#VALUE!</v>
      </c>
      <c r="E1160" s="39" t="e">
        <f t="shared" si="56"/>
        <v>#VALUE!</v>
      </c>
      <c r="F1160" s="7" t="str">
        <f t="array" ref="F1160">+TIPOARMA(H1160,I1160)</f>
        <v>ERRO - REVISAR</v>
      </c>
      <c r="H1160" t="str">
        <f t="array" ref="H1160">+ARMASTD(N1160)</f>
        <v>ERRO - REVISAR</v>
      </c>
      <c r="I1160" t="str">
        <f t="array" ref="I1160">+CALIBRESTD(O1160)</f>
        <v>ERRO - REVISAR</v>
      </c>
    </row>
    <row r="1161" spans="1:9" ht="14.25" customHeight="1" x14ac:dyDescent="0.35">
      <c r="A1161" s="41" t="str">
        <f t="array" ref="A1161">EXTRACTEVENT(Q1161,S1161)</f>
        <v/>
      </c>
      <c r="B1161" s="41" t="str">
        <f t="shared" si="54"/>
        <v>-</v>
      </c>
      <c r="C1161" s="41" t="e">
        <f>+VLOOKUP(R1161,Maps!$A:$C,2,0)</f>
        <v>#N/A</v>
      </c>
      <c r="D1161" s="41" t="e">
        <f t="shared" si="55"/>
        <v>#VALUE!</v>
      </c>
      <c r="E1161" s="42" t="e">
        <f t="shared" si="56"/>
        <v>#VALUE!</v>
      </c>
      <c r="F1161" s="43" t="str">
        <f t="array" ref="F1161">+TIPOARMA(H1161,I1161)</f>
        <v>ERRO - REVISAR</v>
      </c>
      <c r="G1161" s="41"/>
      <c r="H1161" s="41" t="str">
        <f t="array" ref="H1161">+ARMASTD(N1161)</f>
        <v>ERRO - REVISAR</v>
      </c>
      <c r="I1161" s="41" t="str">
        <f t="array" ref="I1161">+CALIBRESTD(O1161)</f>
        <v>ERRO - REVISAR</v>
      </c>
    </row>
    <row r="1162" spans="1:9" ht="14.25" customHeight="1" x14ac:dyDescent="0.35">
      <c r="A1162" t="str">
        <f t="array" ref="A1162">EXTRACTEVENT(Q1162,S1162)</f>
        <v/>
      </c>
      <c r="B1162" t="str">
        <f t="shared" si="54"/>
        <v>-</v>
      </c>
      <c r="C1162" t="e">
        <f>+VLOOKUP(R1162,Maps!$A:$C,2,0)</f>
        <v>#N/A</v>
      </c>
      <c r="D1162" t="e">
        <f t="shared" si="55"/>
        <v>#VALUE!</v>
      </c>
      <c r="E1162" s="39" t="e">
        <f t="shared" si="56"/>
        <v>#VALUE!</v>
      </c>
      <c r="F1162" s="7" t="str">
        <f t="array" ref="F1162">+TIPOARMA(H1162,I1162)</f>
        <v>ERRO - REVISAR</v>
      </c>
      <c r="H1162" t="str">
        <f t="array" ref="H1162">+ARMASTD(N1162)</f>
        <v>ERRO - REVISAR</v>
      </c>
      <c r="I1162" t="str">
        <f t="array" ref="I1162">+CALIBRESTD(O1162)</f>
        <v>ERRO - REVISAR</v>
      </c>
    </row>
    <row r="1163" spans="1:9" ht="14.25" customHeight="1" x14ac:dyDescent="0.35">
      <c r="A1163" s="41" t="str">
        <f t="array" ref="A1163">EXTRACTEVENT(Q1163,S1163)</f>
        <v/>
      </c>
      <c r="B1163" s="41" t="str">
        <f t="shared" si="54"/>
        <v>-</v>
      </c>
      <c r="C1163" s="41" t="e">
        <f>+VLOOKUP(R1163,Maps!$A:$C,2,0)</f>
        <v>#N/A</v>
      </c>
      <c r="D1163" s="41" t="e">
        <f t="shared" si="55"/>
        <v>#VALUE!</v>
      </c>
      <c r="E1163" s="42" t="e">
        <f t="shared" si="56"/>
        <v>#VALUE!</v>
      </c>
      <c r="F1163" s="43" t="str">
        <f t="array" ref="F1163">+TIPOARMA(H1163,I1163)</f>
        <v>ERRO - REVISAR</v>
      </c>
      <c r="G1163" s="41"/>
      <c r="H1163" s="41" t="str">
        <f t="array" ref="H1163">+ARMASTD(N1163)</f>
        <v>ERRO - REVISAR</v>
      </c>
      <c r="I1163" s="41" t="str">
        <f t="array" ref="I1163">+CALIBRESTD(O1163)</f>
        <v>ERRO - REVISAR</v>
      </c>
    </row>
    <row r="1164" spans="1:9" ht="14.25" customHeight="1" x14ac:dyDescent="0.35">
      <c r="A1164" t="str">
        <f t="array" ref="A1164">EXTRACTEVENT(Q1164,S1164)</f>
        <v/>
      </c>
      <c r="B1164" t="str">
        <f t="shared" si="54"/>
        <v>-</v>
      </c>
      <c r="C1164" t="e">
        <f>+VLOOKUP(R1164,Maps!$A:$C,2,0)</f>
        <v>#N/A</v>
      </c>
      <c r="D1164" t="e">
        <f t="shared" si="55"/>
        <v>#VALUE!</v>
      </c>
      <c r="E1164" s="39" t="e">
        <f t="shared" si="56"/>
        <v>#VALUE!</v>
      </c>
      <c r="F1164" s="7" t="str">
        <f t="array" ref="F1164">+TIPOARMA(H1164,I1164)</f>
        <v>ERRO - REVISAR</v>
      </c>
      <c r="H1164" t="str">
        <f t="array" ref="H1164">+ARMASTD(N1164)</f>
        <v>ERRO - REVISAR</v>
      </c>
      <c r="I1164" t="str">
        <f t="array" ref="I1164">+CALIBRESTD(O1164)</f>
        <v>ERRO - REVISAR</v>
      </c>
    </row>
    <row r="1165" spans="1:9" ht="14.25" customHeight="1" x14ac:dyDescent="0.35">
      <c r="A1165" s="41" t="str">
        <f t="array" ref="A1165">EXTRACTEVENT(Q1165,S1165)</f>
        <v/>
      </c>
      <c r="B1165" s="41" t="str">
        <f t="shared" si="54"/>
        <v>-</v>
      </c>
      <c r="C1165" s="41" t="e">
        <f>+VLOOKUP(R1165,Maps!$A:$C,2,0)</f>
        <v>#N/A</v>
      </c>
      <c r="D1165" s="41" t="e">
        <f t="shared" si="55"/>
        <v>#VALUE!</v>
      </c>
      <c r="E1165" s="42" t="e">
        <f t="shared" si="56"/>
        <v>#VALUE!</v>
      </c>
      <c r="F1165" s="43" t="str">
        <f t="array" ref="F1165">+TIPOARMA(H1165,I1165)</f>
        <v>ERRO - REVISAR</v>
      </c>
      <c r="G1165" s="41"/>
      <c r="H1165" s="41" t="str">
        <f t="array" ref="H1165">+ARMASTD(N1165)</f>
        <v>ERRO - REVISAR</v>
      </c>
      <c r="I1165" s="41" t="str">
        <f t="array" ref="I1165">+CALIBRESTD(O1165)</f>
        <v>ERRO - REVISAR</v>
      </c>
    </row>
    <row r="1166" spans="1:9" ht="14.25" customHeight="1" x14ac:dyDescent="0.35">
      <c r="A1166" t="str">
        <f t="array" ref="A1166">EXTRACTEVENT(Q1166,S1166)</f>
        <v/>
      </c>
      <c r="B1166" t="str">
        <f t="shared" si="54"/>
        <v>-</v>
      </c>
      <c r="C1166" t="e">
        <f>+VLOOKUP(R1166,Maps!$A:$C,2,0)</f>
        <v>#N/A</v>
      </c>
      <c r="D1166" t="e">
        <f t="shared" si="55"/>
        <v>#VALUE!</v>
      </c>
      <c r="E1166" s="39" t="e">
        <f t="shared" si="56"/>
        <v>#VALUE!</v>
      </c>
      <c r="F1166" s="7" t="str">
        <f t="array" ref="F1166">+TIPOARMA(H1166,I1166)</f>
        <v>ERRO - REVISAR</v>
      </c>
      <c r="H1166" t="str">
        <f t="array" ref="H1166">+ARMASTD(N1166)</f>
        <v>ERRO - REVISAR</v>
      </c>
      <c r="I1166" t="str">
        <f t="array" ref="I1166">+CALIBRESTD(O1166)</f>
        <v>ERRO - REVISAR</v>
      </c>
    </row>
    <row r="1167" spans="1:9" ht="14.25" customHeight="1" x14ac:dyDescent="0.35">
      <c r="A1167" s="41" t="str">
        <f t="array" ref="A1167">EXTRACTEVENT(Q1167,S1167)</f>
        <v/>
      </c>
      <c r="B1167" s="41" t="str">
        <f t="shared" si="54"/>
        <v>-</v>
      </c>
      <c r="C1167" s="41" t="e">
        <f>+VLOOKUP(R1167,Maps!$A:$C,2,0)</f>
        <v>#N/A</v>
      </c>
      <c r="D1167" s="41" t="e">
        <f t="shared" si="55"/>
        <v>#VALUE!</v>
      </c>
      <c r="E1167" s="42" t="e">
        <f t="shared" si="56"/>
        <v>#VALUE!</v>
      </c>
      <c r="F1167" s="43" t="str">
        <f t="array" ref="F1167">+TIPOARMA(H1167,I1167)</f>
        <v>ERRO - REVISAR</v>
      </c>
      <c r="G1167" s="41"/>
      <c r="H1167" s="41" t="str">
        <f t="array" ref="H1167">+ARMASTD(N1167)</f>
        <v>ERRO - REVISAR</v>
      </c>
      <c r="I1167" s="41" t="str">
        <f t="array" ref="I1167">+CALIBRESTD(O1167)</f>
        <v>ERRO - REVISAR</v>
      </c>
    </row>
    <row r="1168" spans="1:9" ht="14.25" customHeight="1" x14ac:dyDescent="0.35">
      <c r="A1168" t="str">
        <f t="array" ref="A1168">EXTRACTEVENT(Q1168,S1168)</f>
        <v/>
      </c>
      <c r="B1168" t="str">
        <f t="shared" si="54"/>
        <v>-</v>
      </c>
      <c r="C1168" t="e">
        <f>+VLOOKUP(R1168,Maps!$A:$C,2,0)</f>
        <v>#N/A</v>
      </c>
      <c r="D1168" t="e">
        <f t="shared" si="55"/>
        <v>#VALUE!</v>
      </c>
      <c r="E1168" s="39" t="e">
        <f t="shared" si="56"/>
        <v>#VALUE!</v>
      </c>
      <c r="F1168" s="7" t="str">
        <f t="array" ref="F1168">+TIPOARMA(H1168,I1168)</f>
        <v>ERRO - REVISAR</v>
      </c>
      <c r="H1168" t="str">
        <f t="array" ref="H1168">+ARMASTD(N1168)</f>
        <v>ERRO - REVISAR</v>
      </c>
      <c r="I1168" t="str">
        <f t="array" ref="I1168">+CALIBRESTD(O1168)</f>
        <v>ERRO - REVISAR</v>
      </c>
    </row>
    <row r="1169" spans="1:9" ht="14.25" customHeight="1" x14ac:dyDescent="0.35">
      <c r="A1169" s="41" t="str">
        <f t="array" ref="A1169">EXTRACTEVENT(Q1169,S1169)</f>
        <v/>
      </c>
      <c r="B1169" s="41" t="str">
        <f t="shared" si="54"/>
        <v>-</v>
      </c>
      <c r="C1169" s="41" t="e">
        <f>+VLOOKUP(R1169,Maps!$A:$C,2,0)</f>
        <v>#N/A</v>
      </c>
      <c r="D1169" s="41" t="e">
        <f t="shared" si="55"/>
        <v>#VALUE!</v>
      </c>
      <c r="E1169" s="42" t="e">
        <f t="shared" si="56"/>
        <v>#VALUE!</v>
      </c>
      <c r="F1169" s="43" t="str">
        <f t="array" ref="F1169">+TIPOARMA(H1169,I1169)</f>
        <v>ERRO - REVISAR</v>
      </c>
      <c r="G1169" s="41"/>
      <c r="H1169" s="41" t="str">
        <f t="array" ref="H1169">+ARMASTD(N1169)</f>
        <v>ERRO - REVISAR</v>
      </c>
      <c r="I1169" s="41" t="str">
        <f t="array" ref="I1169">+CALIBRESTD(O1169)</f>
        <v>ERRO - REVISAR</v>
      </c>
    </row>
    <row r="1170" spans="1:9" ht="14.25" customHeight="1" x14ac:dyDescent="0.35">
      <c r="A1170" t="str">
        <f t="array" ref="A1170">EXTRACTEVENT(Q1170,S1170)</f>
        <v/>
      </c>
      <c r="B1170" t="str">
        <f t="shared" si="54"/>
        <v>-</v>
      </c>
      <c r="C1170" t="e">
        <f>+VLOOKUP(R1170,Maps!$A:$C,2,0)</f>
        <v>#N/A</v>
      </c>
      <c r="D1170" t="e">
        <f t="shared" si="55"/>
        <v>#VALUE!</v>
      </c>
      <c r="E1170" s="39" t="e">
        <f t="shared" si="56"/>
        <v>#VALUE!</v>
      </c>
      <c r="F1170" s="7" t="str">
        <f t="array" ref="F1170">+TIPOARMA(H1170,I1170)</f>
        <v>ERRO - REVISAR</v>
      </c>
      <c r="H1170" t="str">
        <f t="array" ref="H1170">+ARMASTD(N1170)</f>
        <v>ERRO - REVISAR</v>
      </c>
      <c r="I1170" t="str">
        <f t="array" ref="I1170">+CALIBRESTD(O1170)</f>
        <v>ERRO - REVISAR</v>
      </c>
    </row>
    <row r="1171" spans="1:9" ht="14.25" customHeight="1" x14ac:dyDescent="0.35">
      <c r="A1171" s="41" t="str">
        <f t="array" ref="A1171">EXTRACTEVENT(Q1171,S1171)</f>
        <v/>
      </c>
      <c r="B1171" s="41" t="str">
        <f t="shared" si="54"/>
        <v>-</v>
      </c>
      <c r="C1171" s="41" t="e">
        <f>+VLOOKUP(R1171,Maps!$A:$C,2,0)</f>
        <v>#N/A</v>
      </c>
      <c r="D1171" s="41" t="e">
        <f t="shared" si="55"/>
        <v>#VALUE!</v>
      </c>
      <c r="E1171" s="42" t="e">
        <f t="shared" si="56"/>
        <v>#VALUE!</v>
      </c>
      <c r="F1171" s="43" t="str">
        <f t="array" ref="F1171">+TIPOARMA(H1171,I1171)</f>
        <v>ERRO - REVISAR</v>
      </c>
      <c r="G1171" s="41"/>
      <c r="H1171" s="41" t="str">
        <f t="array" ref="H1171">+ARMASTD(N1171)</f>
        <v>ERRO - REVISAR</v>
      </c>
      <c r="I1171" s="41" t="str">
        <f t="array" ref="I1171">+CALIBRESTD(O1171)</f>
        <v>ERRO - REVISAR</v>
      </c>
    </row>
    <row r="1172" spans="1:9" ht="14.25" customHeight="1" x14ac:dyDescent="0.35">
      <c r="A1172" t="str">
        <f t="array" ref="A1172">EXTRACTEVENT(Q1172,S1172)</f>
        <v/>
      </c>
      <c r="B1172" t="str">
        <f t="shared" si="54"/>
        <v>-</v>
      </c>
      <c r="C1172" t="e">
        <f>+VLOOKUP(R1172,Maps!$A:$C,2,0)</f>
        <v>#N/A</v>
      </c>
      <c r="D1172" t="e">
        <f t="shared" si="55"/>
        <v>#VALUE!</v>
      </c>
      <c r="E1172" s="39" t="e">
        <f t="shared" si="56"/>
        <v>#VALUE!</v>
      </c>
      <c r="F1172" s="7" t="str">
        <f t="array" ref="F1172">+TIPOARMA(H1172,I1172)</f>
        <v>ERRO - REVISAR</v>
      </c>
      <c r="H1172" t="str">
        <f t="array" ref="H1172">+ARMASTD(N1172)</f>
        <v>ERRO - REVISAR</v>
      </c>
      <c r="I1172" t="str">
        <f t="array" ref="I1172">+CALIBRESTD(O1172)</f>
        <v>ERRO - REVISAR</v>
      </c>
    </row>
    <row r="1173" spans="1:9" ht="14.25" customHeight="1" x14ac:dyDescent="0.35">
      <c r="A1173" s="41" t="str">
        <f t="array" ref="A1173">EXTRACTEVENT(Q1173,S1173)</f>
        <v/>
      </c>
      <c r="B1173" s="41" t="str">
        <f t="shared" si="54"/>
        <v>-</v>
      </c>
      <c r="C1173" s="41" t="e">
        <f>+VLOOKUP(R1173,Maps!$A:$C,2,0)</f>
        <v>#N/A</v>
      </c>
      <c r="D1173" s="41" t="e">
        <f t="shared" si="55"/>
        <v>#VALUE!</v>
      </c>
      <c r="E1173" s="42" t="e">
        <f t="shared" si="56"/>
        <v>#VALUE!</v>
      </c>
      <c r="F1173" s="43" t="str">
        <f t="array" ref="F1173">+TIPOARMA(H1173,I1173)</f>
        <v>ERRO - REVISAR</v>
      </c>
      <c r="G1173" s="41"/>
      <c r="H1173" s="41" t="str">
        <f t="array" ref="H1173">+ARMASTD(N1173)</f>
        <v>ERRO - REVISAR</v>
      </c>
      <c r="I1173" s="41" t="str">
        <f t="array" ref="I1173">+CALIBRESTD(O1173)</f>
        <v>ERRO - REVISAR</v>
      </c>
    </row>
    <row r="1174" spans="1:9" ht="14.25" customHeight="1" x14ac:dyDescent="0.35">
      <c r="A1174" t="str">
        <f t="array" ref="A1174">EXTRACTEVENT(Q1174,S1174)</f>
        <v/>
      </c>
      <c r="B1174" t="str">
        <f t="shared" si="54"/>
        <v>-</v>
      </c>
      <c r="C1174" t="e">
        <f>+VLOOKUP(R1174,Maps!$A:$C,2,0)</f>
        <v>#N/A</v>
      </c>
      <c r="D1174" t="e">
        <f t="shared" si="55"/>
        <v>#VALUE!</v>
      </c>
      <c r="E1174" s="39" t="e">
        <f t="shared" si="56"/>
        <v>#VALUE!</v>
      </c>
      <c r="F1174" s="7" t="str">
        <f t="array" ref="F1174">+TIPOARMA(H1174,I1174)</f>
        <v>ERRO - REVISAR</v>
      </c>
      <c r="H1174" t="str">
        <f t="array" ref="H1174">+ARMASTD(N1174)</f>
        <v>ERRO - REVISAR</v>
      </c>
      <c r="I1174" t="str">
        <f t="array" ref="I1174">+CALIBRESTD(O1174)</f>
        <v>ERRO - REVISAR</v>
      </c>
    </row>
    <row r="1175" spans="1:9" ht="14.25" customHeight="1" x14ac:dyDescent="0.35">
      <c r="A1175" s="41" t="str">
        <f t="array" ref="A1175">EXTRACTEVENT(Q1175,S1175)</f>
        <v/>
      </c>
      <c r="B1175" s="41" t="str">
        <f t="shared" si="54"/>
        <v>-</v>
      </c>
      <c r="C1175" s="41" t="e">
        <f>+VLOOKUP(R1175,Maps!$A:$C,2,0)</f>
        <v>#N/A</v>
      </c>
      <c r="D1175" s="41" t="e">
        <f t="shared" si="55"/>
        <v>#VALUE!</v>
      </c>
      <c r="E1175" s="42" t="e">
        <f t="shared" si="56"/>
        <v>#VALUE!</v>
      </c>
      <c r="F1175" s="43" t="str">
        <f t="array" ref="F1175">+TIPOARMA(H1175,I1175)</f>
        <v>ERRO - REVISAR</v>
      </c>
      <c r="G1175" s="41"/>
      <c r="H1175" s="41" t="str">
        <f t="array" ref="H1175">+ARMASTD(N1175)</f>
        <v>ERRO - REVISAR</v>
      </c>
      <c r="I1175" s="41" t="str">
        <f t="array" ref="I1175">+CALIBRESTD(O1175)</f>
        <v>ERRO - REVISAR</v>
      </c>
    </row>
    <row r="1176" spans="1:9" ht="14.25" customHeight="1" x14ac:dyDescent="0.35">
      <c r="A1176" t="str">
        <f t="array" ref="A1176">EXTRACTEVENT(Q1176,S1176)</f>
        <v/>
      </c>
      <c r="B1176" t="str">
        <f t="shared" si="54"/>
        <v>-</v>
      </c>
      <c r="C1176" t="e">
        <f>+VLOOKUP(R1176,Maps!$A:$C,2,0)</f>
        <v>#N/A</v>
      </c>
      <c r="D1176" t="e">
        <f t="shared" si="55"/>
        <v>#VALUE!</v>
      </c>
      <c r="E1176" s="39" t="e">
        <f t="shared" si="56"/>
        <v>#VALUE!</v>
      </c>
      <c r="F1176" s="7" t="str">
        <f t="array" ref="F1176">+TIPOARMA(H1176,I1176)</f>
        <v>ERRO - REVISAR</v>
      </c>
      <c r="H1176" t="str">
        <f t="array" ref="H1176">+ARMASTD(N1176)</f>
        <v>ERRO - REVISAR</v>
      </c>
      <c r="I1176" t="str">
        <f t="array" ref="I1176">+CALIBRESTD(O1176)</f>
        <v>ERRO - REVISAR</v>
      </c>
    </row>
    <row r="1177" spans="1:9" ht="14.25" customHeight="1" x14ac:dyDescent="0.35">
      <c r="A1177" s="41" t="str">
        <f t="array" ref="A1177">EXTRACTEVENT(Q1177,S1177)</f>
        <v/>
      </c>
      <c r="B1177" s="41" t="str">
        <f t="shared" si="54"/>
        <v>-</v>
      </c>
      <c r="C1177" s="41" t="e">
        <f>+VLOOKUP(R1177,Maps!$A:$C,2,0)</f>
        <v>#N/A</v>
      </c>
      <c r="D1177" s="41" t="e">
        <f t="shared" si="55"/>
        <v>#VALUE!</v>
      </c>
      <c r="E1177" s="42" t="e">
        <f t="shared" si="56"/>
        <v>#VALUE!</v>
      </c>
      <c r="F1177" s="43" t="str">
        <f t="array" ref="F1177">+TIPOARMA(H1177,I1177)</f>
        <v>ERRO - REVISAR</v>
      </c>
      <c r="G1177" s="41"/>
      <c r="H1177" s="41" t="str">
        <f t="array" ref="H1177">+ARMASTD(N1177)</f>
        <v>ERRO - REVISAR</v>
      </c>
      <c r="I1177" s="41" t="str">
        <f t="array" ref="I1177">+CALIBRESTD(O1177)</f>
        <v>ERRO - REVISAR</v>
      </c>
    </row>
    <row r="1178" spans="1:9" ht="14.25" customHeight="1" x14ac:dyDescent="0.35">
      <c r="A1178" t="str">
        <f t="array" ref="A1178">EXTRACTEVENT(Q1178,S1178)</f>
        <v/>
      </c>
      <c r="B1178" t="str">
        <f t="shared" si="54"/>
        <v>-</v>
      </c>
      <c r="C1178" t="e">
        <f>+VLOOKUP(R1178,Maps!$A:$C,2,0)</f>
        <v>#N/A</v>
      </c>
      <c r="D1178" t="e">
        <f t="shared" si="55"/>
        <v>#VALUE!</v>
      </c>
      <c r="E1178" s="39" t="e">
        <f t="shared" si="56"/>
        <v>#VALUE!</v>
      </c>
      <c r="F1178" s="7" t="str">
        <f t="array" ref="F1178">+TIPOARMA(H1178,I1178)</f>
        <v>ERRO - REVISAR</v>
      </c>
      <c r="H1178" t="str">
        <f t="array" ref="H1178">+ARMASTD(N1178)</f>
        <v>ERRO - REVISAR</v>
      </c>
      <c r="I1178" t="str">
        <f t="array" ref="I1178">+CALIBRESTD(O1178)</f>
        <v>ERRO - REVISAR</v>
      </c>
    </row>
    <row r="1179" spans="1:9" ht="14.25" customHeight="1" x14ac:dyDescent="0.35">
      <c r="A1179" s="41" t="str">
        <f t="array" ref="A1179">EXTRACTEVENT(Q1179,S1179)</f>
        <v/>
      </c>
      <c r="B1179" s="41" t="str">
        <f t="shared" si="54"/>
        <v>-</v>
      </c>
      <c r="C1179" s="41" t="e">
        <f>+VLOOKUP(R1179,Maps!$A:$C,2,0)</f>
        <v>#N/A</v>
      </c>
      <c r="D1179" s="41" t="e">
        <f t="shared" si="55"/>
        <v>#VALUE!</v>
      </c>
      <c r="E1179" s="42" t="e">
        <f t="shared" si="56"/>
        <v>#VALUE!</v>
      </c>
      <c r="F1179" s="43" t="str">
        <f t="array" ref="F1179">+TIPOARMA(H1179,I1179)</f>
        <v>ERRO - REVISAR</v>
      </c>
      <c r="G1179" s="41"/>
      <c r="H1179" s="41" t="str">
        <f t="array" ref="H1179">+ARMASTD(N1179)</f>
        <v>ERRO - REVISAR</v>
      </c>
      <c r="I1179" s="41" t="str">
        <f t="array" ref="I1179">+CALIBRESTD(O1179)</f>
        <v>ERRO - REVISAR</v>
      </c>
    </row>
    <row r="1180" spans="1:9" ht="14.25" customHeight="1" x14ac:dyDescent="0.35">
      <c r="A1180" t="str">
        <f t="array" ref="A1180">EXTRACTEVENT(Q1180,S1180)</f>
        <v/>
      </c>
      <c r="B1180" t="str">
        <f t="shared" si="54"/>
        <v>-</v>
      </c>
      <c r="C1180" t="e">
        <f>+VLOOKUP(R1180,Maps!$A:$C,2,0)</f>
        <v>#N/A</v>
      </c>
      <c r="D1180" t="e">
        <f t="shared" si="55"/>
        <v>#VALUE!</v>
      </c>
      <c r="E1180" s="39" t="e">
        <f t="shared" si="56"/>
        <v>#VALUE!</v>
      </c>
      <c r="F1180" s="7" t="str">
        <f t="array" ref="F1180">+TIPOARMA(H1180,I1180)</f>
        <v>ERRO - REVISAR</v>
      </c>
      <c r="H1180" t="str">
        <f t="array" ref="H1180">+ARMASTD(N1180)</f>
        <v>ERRO - REVISAR</v>
      </c>
      <c r="I1180" t="str">
        <f t="array" ref="I1180">+CALIBRESTD(O1180)</f>
        <v>ERRO - REVISAR</v>
      </c>
    </row>
    <row r="1181" spans="1:9" ht="14.25" customHeight="1" x14ac:dyDescent="0.35">
      <c r="A1181" s="41" t="str">
        <f t="array" ref="A1181">EXTRACTEVENT(Q1181,S1181)</f>
        <v/>
      </c>
      <c r="B1181" s="41" t="str">
        <f t="shared" si="54"/>
        <v>-</v>
      </c>
      <c r="C1181" s="41" t="e">
        <f>+VLOOKUP(R1181,Maps!$A:$C,2,0)</f>
        <v>#N/A</v>
      </c>
      <c r="D1181" s="41" t="e">
        <f t="shared" si="55"/>
        <v>#VALUE!</v>
      </c>
      <c r="E1181" s="42" t="e">
        <f t="shared" si="56"/>
        <v>#VALUE!</v>
      </c>
      <c r="F1181" s="43" t="str">
        <f t="array" ref="F1181">+TIPOARMA(H1181,I1181)</f>
        <v>ERRO - REVISAR</v>
      </c>
      <c r="G1181" s="41"/>
      <c r="H1181" s="41" t="str">
        <f t="array" ref="H1181">+ARMASTD(N1181)</f>
        <v>ERRO - REVISAR</v>
      </c>
      <c r="I1181" s="41" t="str">
        <f t="array" ref="I1181">+CALIBRESTD(O1181)</f>
        <v>ERRO - REVISAR</v>
      </c>
    </row>
    <row r="1182" spans="1:9" ht="14.25" customHeight="1" x14ac:dyDescent="0.35">
      <c r="A1182" t="str">
        <f t="array" ref="A1182">EXTRACTEVENT(Q1182,S1182)</f>
        <v/>
      </c>
      <c r="B1182" t="str">
        <f t="shared" si="54"/>
        <v>-</v>
      </c>
      <c r="C1182" t="e">
        <f>+VLOOKUP(R1182,Maps!$A:$C,2,0)</f>
        <v>#N/A</v>
      </c>
      <c r="D1182" t="e">
        <f t="shared" si="55"/>
        <v>#VALUE!</v>
      </c>
      <c r="E1182" s="39" t="e">
        <f t="shared" si="56"/>
        <v>#VALUE!</v>
      </c>
      <c r="F1182" s="7" t="str">
        <f t="array" ref="F1182">+TIPOARMA(H1182,I1182)</f>
        <v>ERRO - REVISAR</v>
      </c>
      <c r="H1182" t="str">
        <f t="array" ref="H1182">+ARMASTD(N1182)</f>
        <v>ERRO - REVISAR</v>
      </c>
      <c r="I1182" t="str">
        <f t="array" ref="I1182">+CALIBRESTD(O1182)</f>
        <v>ERRO - REVISAR</v>
      </c>
    </row>
    <row r="1183" spans="1:9" ht="14.25" customHeight="1" x14ac:dyDescent="0.35">
      <c r="A1183" s="41" t="str">
        <f t="array" ref="A1183">EXTRACTEVENT(Q1183,S1183)</f>
        <v/>
      </c>
      <c r="B1183" s="41" t="str">
        <f t="shared" si="54"/>
        <v>-</v>
      </c>
      <c r="C1183" s="41" t="e">
        <f>+VLOOKUP(R1183,Maps!$A:$C,2,0)</f>
        <v>#N/A</v>
      </c>
      <c r="D1183" s="41" t="e">
        <f t="shared" si="55"/>
        <v>#VALUE!</v>
      </c>
      <c r="E1183" s="42" t="e">
        <f t="shared" si="56"/>
        <v>#VALUE!</v>
      </c>
      <c r="F1183" s="43" t="str">
        <f t="array" ref="F1183">+TIPOARMA(H1183,I1183)</f>
        <v>ERRO - REVISAR</v>
      </c>
      <c r="G1183" s="41"/>
      <c r="H1183" s="41" t="str">
        <f t="array" ref="H1183">+ARMASTD(N1183)</f>
        <v>ERRO - REVISAR</v>
      </c>
      <c r="I1183" s="41" t="str">
        <f t="array" ref="I1183">+CALIBRESTD(O1183)</f>
        <v>ERRO - REVISAR</v>
      </c>
    </row>
    <row r="1184" spans="1:9" ht="14.25" customHeight="1" x14ac:dyDescent="0.35">
      <c r="A1184" t="str">
        <f t="array" ref="A1184">EXTRACTEVENT(Q1184,S1184)</f>
        <v/>
      </c>
      <c r="B1184" t="str">
        <f t="shared" si="54"/>
        <v>-</v>
      </c>
      <c r="C1184" t="e">
        <f>+VLOOKUP(R1184,Maps!$A:$C,2,0)</f>
        <v>#N/A</v>
      </c>
      <c r="D1184" t="e">
        <f t="shared" si="55"/>
        <v>#VALUE!</v>
      </c>
      <c r="E1184" s="39" t="e">
        <f t="shared" si="56"/>
        <v>#VALUE!</v>
      </c>
      <c r="F1184" s="7" t="str">
        <f t="array" ref="F1184">+TIPOARMA(H1184,I1184)</f>
        <v>ERRO - REVISAR</v>
      </c>
      <c r="H1184" t="str">
        <f t="array" ref="H1184">+ARMASTD(N1184)</f>
        <v>ERRO - REVISAR</v>
      </c>
      <c r="I1184" t="str">
        <f t="array" ref="I1184">+CALIBRESTD(O1184)</f>
        <v>ERRO - REVISAR</v>
      </c>
    </row>
    <row r="1185" spans="1:9" ht="14.25" customHeight="1" x14ac:dyDescent="0.35">
      <c r="A1185" s="41" t="str">
        <f t="array" ref="A1185">EXTRACTEVENT(Q1185,S1185)</f>
        <v/>
      </c>
      <c r="B1185" s="41" t="str">
        <f t="shared" si="54"/>
        <v>-</v>
      </c>
      <c r="C1185" s="41" t="e">
        <f>+VLOOKUP(R1185,Maps!$A:$C,2,0)</f>
        <v>#N/A</v>
      </c>
      <c r="D1185" s="41" t="e">
        <f t="shared" si="55"/>
        <v>#VALUE!</v>
      </c>
      <c r="E1185" s="42" t="e">
        <f t="shared" si="56"/>
        <v>#VALUE!</v>
      </c>
      <c r="F1185" s="43" t="str">
        <f t="array" ref="F1185">+TIPOARMA(H1185,I1185)</f>
        <v>ERRO - REVISAR</v>
      </c>
      <c r="G1185" s="41"/>
      <c r="H1185" s="41" t="str">
        <f t="array" ref="H1185">+ARMASTD(N1185)</f>
        <v>ERRO - REVISAR</v>
      </c>
      <c r="I1185" s="41" t="str">
        <f t="array" ref="I1185">+CALIBRESTD(O1185)</f>
        <v>ERRO - REVISAR</v>
      </c>
    </row>
    <row r="1186" spans="1:9" ht="14.25" customHeight="1" x14ac:dyDescent="0.35">
      <c r="A1186" t="str">
        <f t="array" ref="A1186">EXTRACTEVENT(Q1186,S1186)</f>
        <v/>
      </c>
      <c r="B1186" t="str">
        <f t="shared" si="54"/>
        <v>-</v>
      </c>
      <c r="C1186" t="e">
        <f>+VLOOKUP(R1186,Maps!$A:$C,2,0)</f>
        <v>#N/A</v>
      </c>
      <c r="D1186" t="e">
        <f t="shared" si="55"/>
        <v>#VALUE!</v>
      </c>
      <c r="E1186" s="39" t="e">
        <f t="shared" si="56"/>
        <v>#VALUE!</v>
      </c>
      <c r="F1186" s="7" t="str">
        <f t="array" ref="F1186">+TIPOARMA(H1186,I1186)</f>
        <v>ERRO - REVISAR</v>
      </c>
      <c r="H1186" t="str">
        <f t="array" ref="H1186">+ARMASTD(N1186)</f>
        <v>ERRO - REVISAR</v>
      </c>
      <c r="I1186" t="str">
        <f t="array" ref="I1186">+CALIBRESTD(O1186)</f>
        <v>ERRO - REVISAR</v>
      </c>
    </row>
    <row r="1187" spans="1:9" ht="14.25" customHeight="1" x14ac:dyDescent="0.35">
      <c r="A1187" s="41" t="str">
        <f t="array" ref="A1187">EXTRACTEVENT(Q1187,S1187)</f>
        <v/>
      </c>
      <c r="B1187" s="41" t="str">
        <f t="shared" si="54"/>
        <v>-</v>
      </c>
      <c r="C1187" s="41" t="e">
        <f>+VLOOKUP(R1187,Maps!$A:$C,2,0)</f>
        <v>#N/A</v>
      </c>
      <c r="D1187" s="41" t="e">
        <f t="shared" si="55"/>
        <v>#VALUE!</v>
      </c>
      <c r="E1187" s="42" t="e">
        <f t="shared" si="56"/>
        <v>#VALUE!</v>
      </c>
      <c r="F1187" s="43" t="str">
        <f t="array" ref="F1187">+TIPOARMA(H1187,I1187)</f>
        <v>ERRO - REVISAR</v>
      </c>
      <c r="G1187" s="41"/>
      <c r="H1187" s="41" t="str">
        <f t="array" ref="H1187">+ARMASTD(N1187)</f>
        <v>ERRO - REVISAR</v>
      </c>
      <c r="I1187" s="41" t="str">
        <f t="array" ref="I1187">+CALIBRESTD(O1187)</f>
        <v>ERRO - REVISAR</v>
      </c>
    </row>
    <row r="1188" spans="1:9" ht="14.25" customHeight="1" x14ac:dyDescent="0.35">
      <c r="A1188" t="str">
        <f t="array" ref="A1188">EXTRACTEVENT(Q1188,S1188)</f>
        <v/>
      </c>
      <c r="B1188" t="str">
        <f t="shared" si="54"/>
        <v>-</v>
      </c>
      <c r="C1188" t="e">
        <f>+VLOOKUP(R1188,Maps!$A:$C,2,0)</f>
        <v>#N/A</v>
      </c>
      <c r="D1188" t="e">
        <f t="shared" si="55"/>
        <v>#VALUE!</v>
      </c>
      <c r="E1188" s="39" t="e">
        <f t="shared" si="56"/>
        <v>#VALUE!</v>
      </c>
      <c r="F1188" s="7" t="str">
        <f t="array" ref="F1188">+TIPOARMA(H1188,I1188)</f>
        <v>ERRO - REVISAR</v>
      </c>
      <c r="H1188" t="str">
        <f t="array" ref="H1188">+ARMASTD(N1188)</f>
        <v>ERRO - REVISAR</v>
      </c>
      <c r="I1188" t="str">
        <f t="array" ref="I1188">+CALIBRESTD(O1188)</f>
        <v>ERRO - REVISAR</v>
      </c>
    </row>
    <row r="1189" spans="1:9" ht="14.25" customHeight="1" x14ac:dyDescent="0.35">
      <c r="A1189" s="41" t="str">
        <f t="array" ref="A1189">EXTRACTEVENT(Q1189,S1189)</f>
        <v/>
      </c>
      <c r="B1189" s="41" t="str">
        <f t="shared" si="54"/>
        <v>-</v>
      </c>
      <c r="C1189" s="41" t="e">
        <f>+VLOOKUP(R1189,Maps!$A:$C,2,0)</f>
        <v>#N/A</v>
      </c>
      <c r="D1189" s="41" t="e">
        <f t="shared" si="55"/>
        <v>#VALUE!</v>
      </c>
      <c r="E1189" s="42" t="e">
        <f t="shared" si="56"/>
        <v>#VALUE!</v>
      </c>
      <c r="F1189" s="43" t="str">
        <f t="array" ref="F1189">+TIPOARMA(H1189,I1189)</f>
        <v>ERRO - REVISAR</v>
      </c>
      <c r="G1189" s="41"/>
      <c r="H1189" s="41" t="str">
        <f t="array" ref="H1189">+ARMASTD(N1189)</f>
        <v>ERRO - REVISAR</v>
      </c>
      <c r="I1189" s="41" t="str">
        <f t="array" ref="I1189">+CALIBRESTD(O1189)</f>
        <v>ERRO - REVISAR</v>
      </c>
    </row>
    <row r="1190" spans="1:9" ht="14.25" customHeight="1" x14ac:dyDescent="0.35">
      <c r="A1190" t="str">
        <f t="array" ref="A1190">EXTRACTEVENT(Q1190,S1190)</f>
        <v/>
      </c>
      <c r="B1190" t="str">
        <f t="shared" si="54"/>
        <v>-</v>
      </c>
      <c r="C1190" t="e">
        <f>+VLOOKUP(R1190,Maps!$A:$C,2,0)</f>
        <v>#N/A</v>
      </c>
      <c r="D1190" t="e">
        <f t="shared" si="55"/>
        <v>#VALUE!</v>
      </c>
      <c r="E1190" s="39" t="e">
        <f t="shared" si="56"/>
        <v>#VALUE!</v>
      </c>
      <c r="F1190" s="7" t="str">
        <f t="array" ref="F1190">+TIPOARMA(H1190,I1190)</f>
        <v>ERRO - REVISAR</v>
      </c>
      <c r="H1190" t="str">
        <f t="array" ref="H1190">+ARMASTD(N1190)</f>
        <v>ERRO - REVISAR</v>
      </c>
      <c r="I1190" t="str">
        <f t="array" ref="I1190">+CALIBRESTD(O1190)</f>
        <v>ERRO - REVISAR</v>
      </c>
    </row>
    <row r="1191" spans="1:9" ht="14.25" customHeight="1" x14ac:dyDescent="0.35">
      <c r="A1191" s="41" t="str">
        <f t="array" ref="A1191">EXTRACTEVENT(Q1191,S1191)</f>
        <v/>
      </c>
      <c r="B1191" s="41" t="str">
        <f t="shared" si="54"/>
        <v>-</v>
      </c>
      <c r="C1191" s="41" t="e">
        <f>+VLOOKUP(R1191,Maps!$A:$C,2,0)</f>
        <v>#N/A</v>
      </c>
      <c r="D1191" s="41" t="e">
        <f t="shared" si="55"/>
        <v>#VALUE!</v>
      </c>
      <c r="E1191" s="42" t="e">
        <f t="shared" si="56"/>
        <v>#VALUE!</v>
      </c>
      <c r="F1191" s="43" t="str">
        <f t="array" ref="F1191">+TIPOARMA(H1191,I1191)</f>
        <v>ERRO - REVISAR</v>
      </c>
      <c r="G1191" s="41"/>
      <c r="H1191" s="41" t="str">
        <f t="array" ref="H1191">+ARMASTD(N1191)</f>
        <v>ERRO - REVISAR</v>
      </c>
      <c r="I1191" s="41" t="str">
        <f t="array" ref="I1191">+CALIBRESTD(O1191)</f>
        <v>ERRO - REVISAR</v>
      </c>
    </row>
    <row r="1192" spans="1:9" ht="14.25" customHeight="1" x14ac:dyDescent="0.35">
      <c r="E1192" s="39"/>
      <c r="F1192" s="7"/>
    </row>
  </sheetData>
  <pageMargins left="0.7" right="0.7" top="0.75" bottom="0.75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500"/>
  <sheetViews>
    <sheetView zoomScaleNormal="100" workbookViewId="0">
      <selection activeCell="D47" sqref="D47"/>
    </sheetView>
  </sheetViews>
  <sheetFormatPr defaultColWidth="14.453125" defaultRowHeight="14.5" x14ac:dyDescent="0.35"/>
  <cols>
    <col min="1" max="1" width="49.453125" customWidth="1"/>
    <col min="2" max="4" width="9.08984375" customWidth="1"/>
    <col min="5" max="5" width="10.7265625" customWidth="1"/>
    <col min="6" max="9" width="9.08984375" customWidth="1"/>
    <col min="10" max="11" width="8.7265625" customWidth="1"/>
    <col min="12" max="12" width="3.08984375" customWidth="1"/>
    <col min="13" max="13" width="22.7265625" customWidth="1"/>
    <col min="14" max="14" width="110.26953125" customWidth="1"/>
    <col min="15" max="15" width="16" customWidth="1"/>
    <col min="16" max="16" width="38.26953125" customWidth="1"/>
    <col min="17" max="17" width="13.453125" customWidth="1"/>
    <col min="18" max="18" width="27.26953125" customWidth="1"/>
    <col min="19" max="19" width="23.7265625" customWidth="1"/>
    <col min="20" max="20" width="14" customWidth="1"/>
    <col min="21" max="21" width="9.81640625" customWidth="1"/>
    <col min="22" max="22" width="10.453125" customWidth="1"/>
  </cols>
  <sheetData>
    <row r="1" spans="1:22" ht="14.25" customHeight="1" x14ac:dyDescent="0.35">
      <c r="A1" s="44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1</v>
      </c>
      <c r="G1" s="37"/>
      <c r="H1" s="28" t="s">
        <v>143</v>
      </c>
      <c r="I1" s="28" t="s">
        <v>2</v>
      </c>
      <c r="L1" t="s">
        <v>333</v>
      </c>
      <c r="M1" t="s">
        <v>334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</row>
    <row r="2" spans="1:22" ht="14.25" customHeight="1" x14ac:dyDescent="0.35">
      <c r="A2" s="45" t="str">
        <f t="array" ref="A2">EXTRACTEVENT(N2,V2)</f>
        <v>DUELO THE RANGE</v>
      </c>
      <c r="B2" s="7" t="str">
        <f t="shared" ref="B2:B65" si="0">+IF(V2="TREINO","-",LEFT(N2,1))</f>
        <v>1</v>
      </c>
      <c r="C2" s="7" t="str">
        <f>+VLOOKUP(P2,Maps!$A:$C,2,0)</f>
        <v>TR</v>
      </c>
      <c r="D2" s="7" t="str">
        <f t="shared" ref="D2:D65" si="1">+IF($V2="TREINO","T",IF(V2="NACIONAL","N","E"))</f>
        <v>E</v>
      </c>
      <c r="E2" s="10">
        <f t="shared" ref="E2:E65" si="2">IFERROR(DATEVALUE(LEFT(M2,10)),M2)</f>
        <v>45344</v>
      </c>
      <c r="F2" s="7" t="str">
        <f t="array" ref="F2">+TIPOARMA(H2,I2)</f>
        <v>ACRP</v>
      </c>
      <c r="G2" s="7"/>
      <c r="H2" s="7" t="str">
        <f>+VLOOKUP(Q2,Maps!I:J,2,0)</f>
        <v>Pistola</v>
      </c>
      <c r="I2" s="7" t="str">
        <f>+VLOOKUP(T2,Maps!E:F,2,0)</f>
        <v>9mm</v>
      </c>
      <c r="L2">
        <v>1</v>
      </c>
      <c r="M2">
        <v>45344</v>
      </c>
      <c r="N2" t="s">
        <v>344</v>
      </c>
      <c r="O2" t="s">
        <v>345</v>
      </c>
      <c r="P2" t="s">
        <v>346</v>
      </c>
      <c r="Q2" t="s">
        <v>28</v>
      </c>
      <c r="R2" t="s">
        <v>347</v>
      </c>
      <c r="S2" t="s">
        <v>348</v>
      </c>
      <c r="T2" t="s">
        <v>29</v>
      </c>
      <c r="U2">
        <v>10</v>
      </c>
      <c r="V2" t="s">
        <v>349</v>
      </c>
    </row>
    <row r="3" spans="1:22" ht="14.25" customHeight="1" x14ac:dyDescent="0.35">
      <c r="A3" s="45" t="str">
        <f t="array" ref="A3">EXTRACTEVENT(N3,V3)</f>
        <v>DUELO THE RANGE</v>
      </c>
      <c r="B3" s="7" t="str">
        <f t="shared" si="0"/>
        <v>1</v>
      </c>
      <c r="C3" s="7" t="str">
        <f>+VLOOKUP(P3,Maps!$A:$C,2,0)</f>
        <v>TR</v>
      </c>
      <c r="D3" s="7" t="str">
        <f t="shared" si="1"/>
        <v>E</v>
      </c>
      <c r="E3" s="10">
        <f t="shared" si="2"/>
        <v>45344</v>
      </c>
      <c r="F3" s="7" t="str">
        <f t="array" ref="F3">+TIPOARMA(H3,I3)</f>
        <v>ACRP</v>
      </c>
      <c r="G3" s="7"/>
      <c r="H3" s="7" t="str">
        <f>+VLOOKUP(Q3,Maps!I:J,2,0)</f>
        <v>Pistola</v>
      </c>
      <c r="I3" s="7" t="str">
        <f>+VLOOKUP(T3,Maps!E:F,2,0)</f>
        <v>9mm</v>
      </c>
      <c r="L3">
        <v>1</v>
      </c>
      <c r="M3">
        <v>45344</v>
      </c>
      <c r="N3" t="s">
        <v>344</v>
      </c>
      <c r="O3" t="s">
        <v>345</v>
      </c>
      <c r="P3" t="s">
        <v>346</v>
      </c>
      <c r="Q3" t="s">
        <v>28</v>
      </c>
      <c r="R3" t="s">
        <v>347</v>
      </c>
      <c r="S3" t="s">
        <v>348</v>
      </c>
      <c r="T3" t="s">
        <v>29</v>
      </c>
      <c r="U3">
        <v>10</v>
      </c>
      <c r="V3" t="s">
        <v>349</v>
      </c>
    </row>
    <row r="4" spans="1:22" ht="14.25" customHeight="1" x14ac:dyDescent="0.35">
      <c r="A4" s="45" t="str">
        <f t="array" ref="A4">EXTRACTEVENT(N4,V4)</f>
        <v>TREINO</v>
      </c>
      <c r="B4" s="7" t="str">
        <f t="shared" si="0"/>
        <v>-</v>
      </c>
      <c r="C4" s="7" t="str">
        <f>+VLOOKUP(P4,Maps!$A:$C,2,0)</f>
        <v>TR</v>
      </c>
      <c r="D4" s="7" t="str">
        <f t="shared" si="1"/>
        <v>T</v>
      </c>
      <c r="E4" s="10">
        <f t="shared" si="2"/>
        <v>45511</v>
      </c>
      <c r="F4" s="7" t="str">
        <f t="array" ref="F4">+TIPOARMA(H4,I4)</f>
        <v>ALRR</v>
      </c>
      <c r="G4" s="7"/>
      <c r="H4" s="7" t="str">
        <f>+VLOOKUP(Q4,Maps!I:J,2,0)</f>
        <v>Carabina/Fuzil</v>
      </c>
      <c r="I4" s="7" t="str">
        <f>+VLOOKUP(T4,Maps!E:F,2,0)</f>
        <v>5.56MM</v>
      </c>
      <c r="L4">
        <v>2</v>
      </c>
      <c r="M4">
        <v>45511</v>
      </c>
      <c r="N4" t="s">
        <v>350</v>
      </c>
      <c r="O4" t="s">
        <v>351</v>
      </c>
      <c r="P4" t="s">
        <v>346</v>
      </c>
      <c r="Q4" t="s">
        <v>352</v>
      </c>
      <c r="R4" t="s">
        <v>353</v>
      </c>
      <c r="S4" t="s">
        <v>348</v>
      </c>
      <c r="T4">
        <v>0.55600000000000005</v>
      </c>
      <c r="U4">
        <v>15</v>
      </c>
      <c r="V4" t="s">
        <v>126</v>
      </c>
    </row>
    <row r="5" spans="1:22" ht="14.25" customHeight="1" x14ac:dyDescent="0.35">
      <c r="A5" s="45" t="str">
        <f t="array" ref="A5">EXTRACTEVENT(N5,V5)</f>
        <v>TREINO</v>
      </c>
      <c r="B5" s="7" t="str">
        <f t="shared" si="0"/>
        <v>-</v>
      </c>
      <c r="C5" s="7" t="str">
        <f>+VLOOKUP(P5,Maps!$A:$C,2,0)</f>
        <v>TR</v>
      </c>
      <c r="D5" s="7" t="str">
        <f t="shared" si="1"/>
        <v>T</v>
      </c>
      <c r="E5" s="10">
        <f t="shared" si="2"/>
        <v>45511</v>
      </c>
      <c r="F5" s="7" t="str">
        <f t="array" ref="F5">+TIPOARMA(H5,I5)</f>
        <v>ACRP</v>
      </c>
      <c r="G5" s="7"/>
      <c r="H5" s="7" t="str">
        <f>+VLOOKUP(Q5,Maps!I:J,2,0)</f>
        <v>Pistola</v>
      </c>
      <c r="I5" s="7" t="str">
        <f>+VLOOKUP(T5,Maps!E:F,2,0)</f>
        <v>.38 Super</v>
      </c>
      <c r="L5">
        <v>3</v>
      </c>
      <c r="M5">
        <v>45511</v>
      </c>
      <c r="N5" t="s">
        <v>354</v>
      </c>
      <c r="O5" t="s">
        <v>351</v>
      </c>
      <c r="P5" t="s">
        <v>346</v>
      </c>
      <c r="Q5" t="s">
        <v>28</v>
      </c>
      <c r="R5" t="s">
        <v>347</v>
      </c>
      <c r="S5" t="s">
        <v>348</v>
      </c>
      <c r="T5" t="s">
        <v>355</v>
      </c>
      <c r="U5">
        <v>20</v>
      </c>
      <c r="V5" t="s">
        <v>126</v>
      </c>
    </row>
    <row r="6" spans="1:22" ht="14.25" customHeight="1" x14ac:dyDescent="0.35">
      <c r="A6" s="45" t="str">
        <f t="array" ref="A6">EXTRACTEVENT(N6,V6)</f>
        <v>TREINO</v>
      </c>
      <c r="B6" s="7" t="str">
        <f t="shared" si="0"/>
        <v>-</v>
      </c>
      <c r="C6" s="7" t="str">
        <f>+VLOOKUP(P6,Maps!$A:$C,2,0)</f>
        <v>TR</v>
      </c>
      <c r="D6" s="7" t="str">
        <f t="shared" si="1"/>
        <v>T</v>
      </c>
      <c r="E6" s="10">
        <f t="shared" si="2"/>
        <v>45511</v>
      </c>
      <c r="F6" s="7" t="str">
        <f t="array" ref="F6">+TIPOARMA(H6,I6)</f>
        <v>ACRR</v>
      </c>
      <c r="G6" s="7"/>
      <c r="H6" s="7" t="str">
        <f>+VLOOKUP(Q6,Maps!I:J,2,0)</f>
        <v>Pistola</v>
      </c>
      <c r="I6" s="7" t="str">
        <f>+VLOOKUP(T6,Maps!E:F,2,0)</f>
        <v>.45 ACP</v>
      </c>
      <c r="L6">
        <v>3</v>
      </c>
      <c r="M6">
        <v>45511</v>
      </c>
      <c r="N6" t="s">
        <v>354</v>
      </c>
      <c r="O6" t="s">
        <v>351</v>
      </c>
      <c r="P6" t="s">
        <v>346</v>
      </c>
      <c r="Q6" t="s">
        <v>28</v>
      </c>
      <c r="R6" t="s">
        <v>347</v>
      </c>
      <c r="S6" t="s">
        <v>348</v>
      </c>
      <c r="T6" t="s">
        <v>356</v>
      </c>
      <c r="U6">
        <v>80</v>
      </c>
      <c r="V6" t="s">
        <v>126</v>
      </c>
    </row>
    <row r="7" spans="1:22" ht="14.25" customHeight="1" x14ac:dyDescent="0.35">
      <c r="A7" s="45" t="str">
        <f t="array" ref="A7">EXTRACTEVENT(N7,V7)</f>
        <v>TREINO</v>
      </c>
      <c r="B7" s="7" t="str">
        <f t="shared" si="0"/>
        <v>-</v>
      </c>
      <c r="C7" s="7" t="str">
        <f>+VLOOKUP(P7,Maps!$A:$C,2,0)</f>
        <v>TR</v>
      </c>
      <c r="D7" s="7" t="str">
        <f t="shared" si="1"/>
        <v>T</v>
      </c>
      <c r="E7" s="10">
        <f t="shared" si="2"/>
        <v>45511</v>
      </c>
      <c r="F7" s="7" t="str">
        <f t="array" ref="F7">+TIPOARMA(H7,I7)</f>
        <v>ACRR</v>
      </c>
      <c r="G7" s="7"/>
      <c r="H7" s="7" t="str">
        <f>+VLOOKUP(Q7,Maps!I:J,2,0)</f>
        <v>Revólver</v>
      </c>
      <c r="I7" s="7" t="str">
        <f>+VLOOKUP(T7,Maps!E:F,2,0)</f>
        <v>.38 SPL</v>
      </c>
      <c r="L7">
        <v>4</v>
      </c>
      <c r="M7">
        <v>45511</v>
      </c>
      <c r="N7" t="s">
        <v>357</v>
      </c>
      <c r="O7" t="s">
        <v>351</v>
      </c>
      <c r="P7" t="s">
        <v>346</v>
      </c>
      <c r="Q7" t="s">
        <v>51</v>
      </c>
      <c r="R7" t="s">
        <v>358</v>
      </c>
      <c r="S7" t="s">
        <v>149</v>
      </c>
      <c r="T7" t="s">
        <v>359</v>
      </c>
      <c r="U7">
        <v>25</v>
      </c>
      <c r="V7" t="s">
        <v>126</v>
      </c>
    </row>
    <row r="8" spans="1:22" ht="14.25" customHeight="1" x14ac:dyDescent="0.35">
      <c r="A8" s="45" t="str">
        <f t="array" ref="A8">EXTRACTEVENT(N8,V8)</f>
        <v>TREINO</v>
      </c>
      <c r="B8" s="7" t="str">
        <f t="shared" si="0"/>
        <v>-</v>
      </c>
      <c r="C8" s="7" t="str">
        <f>+VLOOKUP(P8,Maps!$A:$C,2,0)</f>
        <v>TR</v>
      </c>
      <c r="D8" s="7" t="str">
        <f t="shared" si="1"/>
        <v>T</v>
      </c>
      <c r="E8" s="10">
        <f t="shared" si="2"/>
        <v>45511</v>
      </c>
      <c r="F8" s="7" t="str">
        <f t="array" ref="F8">+TIPOARMA(H8,I8)</f>
        <v>ACRR</v>
      </c>
      <c r="G8" s="7"/>
      <c r="H8" s="7" t="str">
        <f>+VLOOKUP(Q8,Maps!I:J,2,0)</f>
        <v>Pistola</v>
      </c>
      <c r="I8" s="7" t="str">
        <f>+VLOOKUP(T8,Maps!E:F,2,0)</f>
        <v>.380 ACP</v>
      </c>
      <c r="L8">
        <v>4</v>
      </c>
      <c r="M8">
        <v>45511</v>
      </c>
      <c r="N8" t="s">
        <v>357</v>
      </c>
      <c r="O8" t="s">
        <v>351</v>
      </c>
      <c r="P8" t="s">
        <v>346</v>
      </c>
      <c r="Q8" t="s">
        <v>28</v>
      </c>
      <c r="R8" t="s">
        <v>358</v>
      </c>
      <c r="S8" t="s">
        <v>149</v>
      </c>
      <c r="T8" t="s">
        <v>360</v>
      </c>
      <c r="U8">
        <v>50</v>
      </c>
      <c r="V8" t="s">
        <v>126</v>
      </c>
    </row>
    <row r="9" spans="1:22" ht="14.25" customHeight="1" x14ac:dyDescent="0.35">
      <c r="A9" s="45" t="str">
        <f t="array" ref="A9">EXTRACTEVENT(N9,V9)</f>
        <v>TREINO</v>
      </c>
      <c r="B9" s="7" t="str">
        <f t="shared" si="0"/>
        <v>-</v>
      </c>
      <c r="C9" s="7" t="str">
        <f>+VLOOKUP(P9,Maps!$A:$C,2,0)</f>
        <v>TR</v>
      </c>
      <c r="D9" s="7" t="str">
        <f t="shared" si="1"/>
        <v>T</v>
      </c>
      <c r="E9" s="10">
        <f t="shared" si="2"/>
        <v>45511</v>
      </c>
      <c r="F9" s="7" t="str">
        <f t="array" ref="F9">+TIPOARMA(H9,I9)</f>
        <v>ACRP</v>
      </c>
      <c r="G9" s="7"/>
      <c r="H9" s="7" t="str">
        <f>+VLOOKUP(Q9,Maps!I:J,2,0)</f>
        <v>Pistola</v>
      </c>
      <c r="I9" s="7" t="str">
        <f>+VLOOKUP(T9,Maps!E:F,2,0)</f>
        <v>9mm</v>
      </c>
      <c r="L9">
        <v>5</v>
      </c>
      <c r="M9">
        <v>45511</v>
      </c>
      <c r="N9" t="s">
        <v>361</v>
      </c>
      <c r="O9" t="s">
        <v>351</v>
      </c>
      <c r="P9" t="s">
        <v>346</v>
      </c>
      <c r="Q9" t="s">
        <v>28</v>
      </c>
      <c r="R9" t="s">
        <v>347</v>
      </c>
      <c r="S9" t="s">
        <v>149</v>
      </c>
      <c r="T9" t="s">
        <v>362</v>
      </c>
      <c r="U9">
        <v>50</v>
      </c>
      <c r="V9" t="s">
        <v>126</v>
      </c>
    </row>
    <row r="10" spans="1:22" ht="14.25" customHeight="1" x14ac:dyDescent="0.35">
      <c r="A10" s="45" t="str">
        <f t="array" ref="A10">EXTRACTEVENT(N10,V10)</f>
        <v>TREINO</v>
      </c>
      <c r="B10" s="7" t="str">
        <f t="shared" si="0"/>
        <v>-</v>
      </c>
      <c r="C10" s="7" t="str">
        <f>+VLOOKUP(P10,Maps!$A:$C,2,0)</f>
        <v>TR</v>
      </c>
      <c r="D10" s="7" t="str">
        <f t="shared" si="1"/>
        <v>T</v>
      </c>
      <c r="E10" s="10">
        <f t="shared" si="2"/>
        <v>45515</v>
      </c>
      <c r="F10" s="7" t="str">
        <f t="array" ref="F10">+TIPOARMA(H10,I10)</f>
        <v>ACRP</v>
      </c>
      <c r="G10" s="7"/>
      <c r="H10" s="7" t="str">
        <f>+VLOOKUP(Q10,Maps!I:J,2,0)</f>
        <v>Pistola</v>
      </c>
      <c r="I10" s="7" t="str">
        <f>+VLOOKUP(T10,Maps!E:F,2,0)</f>
        <v>9mm</v>
      </c>
      <c r="L10">
        <v>6</v>
      </c>
      <c r="M10">
        <v>45515</v>
      </c>
      <c r="N10" t="s">
        <v>361</v>
      </c>
      <c r="O10" t="s">
        <v>351</v>
      </c>
      <c r="P10" t="s">
        <v>346</v>
      </c>
      <c r="Q10" t="s">
        <v>28</v>
      </c>
      <c r="R10" t="s">
        <v>347</v>
      </c>
      <c r="S10" t="s">
        <v>149</v>
      </c>
      <c r="T10" t="s">
        <v>29</v>
      </c>
      <c r="U10">
        <v>50</v>
      </c>
      <c r="V10" t="s">
        <v>126</v>
      </c>
    </row>
    <row r="11" spans="1:22" ht="14.25" customHeight="1" x14ac:dyDescent="0.35">
      <c r="A11" s="45" t="str">
        <f t="array" ref="A11">EXTRACTEVENT(N11,V11)</f>
        <v>TREINO</v>
      </c>
      <c r="B11" s="7" t="str">
        <f t="shared" si="0"/>
        <v>-</v>
      </c>
      <c r="C11" s="7" t="str">
        <f>+VLOOKUP(P11,Maps!$A:$C,2,0)</f>
        <v>TR</v>
      </c>
      <c r="D11" s="7" t="str">
        <f t="shared" si="1"/>
        <v>T</v>
      </c>
      <c r="E11" s="10">
        <f t="shared" si="2"/>
        <v>45515</v>
      </c>
      <c r="F11" s="7" t="str">
        <f t="array" ref="F11">+TIPOARMA(H11,I11)</f>
        <v>ALLP</v>
      </c>
      <c r="G11" s="7"/>
      <c r="H11" s="7" t="str">
        <f>+VLOOKUP(Q11,Maps!I:J,2,0)</f>
        <v>Revólver</v>
      </c>
      <c r="I11" s="7" t="str">
        <f>+VLOOKUP(T11,Maps!E:F,2,0)</f>
        <v>.357 Mag</v>
      </c>
      <c r="L11">
        <v>7</v>
      </c>
      <c r="M11">
        <v>45515</v>
      </c>
      <c r="N11" t="s">
        <v>363</v>
      </c>
      <c r="O11" t="s">
        <v>351</v>
      </c>
      <c r="P11" t="s">
        <v>346</v>
      </c>
      <c r="Q11" t="s">
        <v>51</v>
      </c>
      <c r="R11" t="s">
        <v>347</v>
      </c>
      <c r="S11" t="s">
        <v>348</v>
      </c>
      <c r="T11" t="s">
        <v>364</v>
      </c>
      <c r="U11">
        <v>25</v>
      </c>
      <c r="V11" t="s">
        <v>126</v>
      </c>
    </row>
    <row r="12" spans="1:22" ht="14.25" customHeight="1" x14ac:dyDescent="0.35">
      <c r="A12" s="45" t="str">
        <f t="array" ref="A12">EXTRACTEVENT(N12,V12)</f>
        <v>TREINO</v>
      </c>
      <c r="B12" s="7" t="str">
        <f t="shared" si="0"/>
        <v>-</v>
      </c>
      <c r="C12" s="7" t="str">
        <f>+VLOOKUP(P12,Maps!$A:$C,2,0)</f>
        <v>TR</v>
      </c>
      <c r="D12" s="7" t="str">
        <f t="shared" si="1"/>
        <v>T</v>
      </c>
      <c r="E12" s="10">
        <f t="shared" si="2"/>
        <v>45515</v>
      </c>
      <c r="F12" s="7" t="str">
        <f t="array" ref="F12">+TIPOARMA(H12,I12)</f>
        <v>ALRR</v>
      </c>
      <c r="G12" s="7"/>
      <c r="H12" s="7" t="str">
        <f>+VLOOKUP(Q12,Maps!I:J,2,0)</f>
        <v>Carabina/Fuzil</v>
      </c>
      <c r="I12" s="7" t="str">
        <f>+VLOOKUP(T12,Maps!E:F,2,0)</f>
        <v>5.56MM</v>
      </c>
      <c r="L12">
        <v>8</v>
      </c>
      <c r="M12">
        <v>45515</v>
      </c>
      <c r="N12" t="s">
        <v>365</v>
      </c>
      <c r="O12" t="s">
        <v>351</v>
      </c>
      <c r="P12" t="s">
        <v>346</v>
      </c>
      <c r="Q12" t="s">
        <v>352</v>
      </c>
      <c r="R12" t="s">
        <v>353</v>
      </c>
      <c r="S12" t="s">
        <v>348</v>
      </c>
      <c r="T12">
        <v>0.55600000000000005</v>
      </c>
      <c r="U12">
        <v>30</v>
      </c>
      <c r="V12" t="s">
        <v>126</v>
      </c>
    </row>
    <row r="13" spans="1:22" ht="14.25" customHeight="1" x14ac:dyDescent="0.35">
      <c r="A13" s="45" t="str">
        <f t="array" ref="A13">EXTRACTEVENT(N13,V13)</f>
        <v>TREINO</v>
      </c>
      <c r="B13" s="7" t="str">
        <f t="shared" si="0"/>
        <v>-</v>
      </c>
      <c r="C13" s="7" t="str">
        <f>+VLOOKUP(P13,Maps!$A:$C,2,0)</f>
        <v>TR</v>
      </c>
      <c r="D13" s="7" t="str">
        <f t="shared" si="1"/>
        <v>T</v>
      </c>
      <c r="E13" s="10">
        <f t="shared" si="2"/>
        <v>45515</v>
      </c>
      <c r="F13" s="7" t="str">
        <f t="array" ref="F13">+TIPOARMA(H13,I13)</f>
        <v>ACRR</v>
      </c>
      <c r="G13" s="7"/>
      <c r="H13" s="7" t="str">
        <f>+VLOOKUP(Q13,Maps!I:J,2,0)</f>
        <v>Revólver</v>
      </c>
      <c r="I13" s="7" t="str">
        <f>+VLOOKUP(T13,Maps!E:F,2,0)</f>
        <v>.38 SPL</v>
      </c>
      <c r="L13">
        <v>9</v>
      </c>
      <c r="M13">
        <v>45515</v>
      </c>
      <c r="N13" t="s">
        <v>366</v>
      </c>
      <c r="O13" t="s">
        <v>351</v>
      </c>
      <c r="P13" t="s">
        <v>346</v>
      </c>
      <c r="Q13" t="s">
        <v>51</v>
      </c>
      <c r="R13" t="s">
        <v>358</v>
      </c>
      <c r="S13" t="s">
        <v>348</v>
      </c>
      <c r="T13" t="s">
        <v>359</v>
      </c>
      <c r="U13">
        <v>20</v>
      </c>
      <c r="V13" t="s">
        <v>126</v>
      </c>
    </row>
    <row r="14" spans="1:22" ht="14.25" customHeight="1" x14ac:dyDescent="0.35">
      <c r="A14" s="45" t="str">
        <f t="array" ref="A14">EXTRACTEVENT(N14,V14)</f>
        <v>TREINO</v>
      </c>
      <c r="B14" s="7" t="str">
        <f t="shared" si="0"/>
        <v>-</v>
      </c>
      <c r="C14" s="7" t="str">
        <f>+VLOOKUP(P14,Maps!$A:$C,2,0)</f>
        <v>TR</v>
      </c>
      <c r="D14" s="7" t="str">
        <f t="shared" si="1"/>
        <v>T</v>
      </c>
      <c r="E14" s="10">
        <f t="shared" si="2"/>
        <v>45519</v>
      </c>
      <c r="F14" s="7" t="str">
        <f t="array" ref="F14">+TIPOARMA(H14,I14)</f>
        <v>ACRP</v>
      </c>
      <c r="G14" s="7"/>
      <c r="H14" s="7" t="str">
        <f>+VLOOKUP(Q14,Maps!I:J,2,0)</f>
        <v>Pistola</v>
      </c>
      <c r="I14" s="7" t="str">
        <f>+VLOOKUP(T14,Maps!E:F,2,0)</f>
        <v>9mm</v>
      </c>
      <c r="L14">
        <v>10</v>
      </c>
      <c r="M14">
        <v>45519</v>
      </c>
      <c r="N14" t="s">
        <v>361</v>
      </c>
      <c r="O14" t="s">
        <v>351</v>
      </c>
      <c r="P14" t="s">
        <v>346</v>
      </c>
      <c r="Q14" t="s">
        <v>28</v>
      </c>
      <c r="R14" t="s">
        <v>347</v>
      </c>
      <c r="S14" t="s">
        <v>348</v>
      </c>
      <c r="T14" t="s">
        <v>362</v>
      </c>
      <c r="U14">
        <v>50</v>
      </c>
      <c r="V14" t="s">
        <v>126</v>
      </c>
    </row>
    <row r="15" spans="1:22" ht="14.25" customHeight="1" x14ac:dyDescent="0.35">
      <c r="A15" s="45" t="str">
        <f t="array" ref="A15">EXTRACTEVENT(N15,V15)</f>
        <v>TREINO</v>
      </c>
      <c r="B15" s="7" t="str">
        <f t="shared" si="0"/>
        <v>-</v>
      </c>
      <c r="C15" s="7" t="str">
        <f>+VLOOKUP(P15,Maps!$A:$C,2,0)</f>
        <v>TR</v>
      </c>
      <c r="D15" s="7" t="str">
        <f t="shared" si="1"/>
        <v>T</v>
      </c>
      <c r="E15" s="10">
        <f t="shared" si="2"/>
        <v>45519</v>
      </c>
      <c r="F15" s="7" t="str">
        <f t="array" ref="F15">+TIPOARMA(H15,I15)</f>
        <v>ACRR</v>
      </c>
      <c r="G15" s="7"/>
      <c r="H15" s="7" t="str">
        <f>+VLOOKUP(Q15,Maps!I:J,2,0)</f>
        <v>Pistola</v>
      </c>
      <c r="I15" s="7" t="str">
        <f>+VLOOKUP(T15,Maps!E:F,2,0)</f>
        <v>.45 ACP</v>
      </c>
      <c r="L15">
        <v>11</v>
      </c>
      <c r="M15">
        <v>45519</v>
      </c>
      <c r="N15" t="s">
        <v>361</v>
      </c>
      <c r="O15" t="s">
        <v>351</v>
      </c>
      <c r="P15" t="s">
        <v>346</v>
      </c>
      <c r="Q15" t="s">
        <v>28</v>
      </c>
      <c r="R15" t="s">
        <v>347</v>
      </c>
      <c r="S15" t="s">
        <v>149</v>
      </c>
      <c r="T15" t="s">
        <v>356</v>
      </c>
      <c r="U15">
        <v>50</v>
      </c>
      <c r="V15" t="s">
        <v>126</v>
      </c>
    </row>
    <row r="16" spans="1:22" ht="14.25" customHeight="1" x14ac:dyDescent="0.35">
      <c r="A16" s="45" t="str">
        <f t="array" ref="A16">EXTRACTEVENT(N16,V16)</f>
        <v>TREINO</v>
      </c>
      <c r="B16" s="7" t="str">
        <f t="shared" si="0"/>
        <v>-</v>
      </c>
      <c r="C16" s="7" t="str">
        <f>+VLOOKUP(P16,Maps!$A:$C,2,0)</f>
        <v>TR</v>
      </c>
      <c r="D16" s="7" t="str">
        <f t="shared" si="1"/>
        <v>T</v>
      </c>
      <c r="E16" s="10">
        <f t="shared" si="2"/>
        <v>45519</v>
      </c>
      <c r="F16" s="7" t="str">
        <f t="array" ref="F16">+TIPOARMA(H16,I16)</f>
        <v>ACRP</v>
      </c>
      <c r="G16" s="7"/>
      <c r="H16" s="7" t="str">
        <f>+VLOOKUP(Q16,Maps!I:J,2,0)</f>
        <v>Pistola</v>
      </c>
      <c r="I16" s="7" t="str">
        <f>+VLOOKUP(T16,Maps!E:F,2,0)</f>
        <v>.38 Super</v>
      </c>
      <c r="L16">
        <v>12</v>
      </c>
      <c r="M16">
        <v>45519</v>
      </c>
      <c r="N16" t="s">
        <v>365</v>
      </c>
      <c r="O16" t="s">
        <v>351</v>
      </c>
      <c r="P16" t="s">
        <v>346</v>
      </c>
      <c r="Q16" t="s">
        <v>28</v>
      </c>
      <c r="R16" t="s">
        <v>347</v>
      </c>
      <c r="S16" t="s">
        <v>149</v>
      </c>
      <c r="T16" t="s">
        <v>355</v>
      </c>
      <c r="U16">
        <v>30</v>
      </c>
      <c r="V16" t="s">
        <v>126</v>
      </c>
    </row>
    <row r="17" spans="1:22" ht="14.25" customHeight="1" x14ac:dyDescent="0.35">
      <c r="A17" s="45" t="str">
        <f t="array" ref="A17">EXTRACTEVENT(N17,V17)</f>
        <v>TREINO</v>
      </c>
      <c r="B17" s="7" t="str">
        <f t="shared" si="0"/>
        <v>-</v>
      </c>
      <c r="C17" s="7" t="str">
        <f>+VLOOKUP(P17,Maps!$A:$C,2,0)</f>
        <v>TR</v>
      </c>
      <c r="D17" s="7" t="str">
        <f t="shared" si="1"/>
        <v>T</v>
      </c>
      <c r="E17" s="10">
        <f t="shared" si="2"/>
        <v>45519</v>
      </c>
      <c r="F17" s="7" t="str">
        <f t="array" ref="F17">+TIPOARMA(H17,I17)</f>
        <v>ACRR</v>
      </c>
      <c r="G17" s="7"/>
      <c r="H17" s="7" t="str">
        <f>+VLOOKUP(Q17,Maps!I:J,2,0)</f>
        <v>Revólver</v>
      </c>
      <c r="I17" s="7" t="str">
        <f>+VLOOKUP(T17,Maps!E:F,2,0)</f>
        <v>.38 SPL</v>
      </c>
      <c r="L17">
        <v>13</v>
      </c>
      <c r="M17">
        <v>45519</v>
      </c>
      <c r="N17" t="s">
        <v>365</v>
      </c>
      <c r="O17" t="s">
        <v>351</v>
      </c>
      <c r="P17" t="s">
        <v>346</v>
      </c>
      <c r="Q17" t="s">
        <v>51</v>
      </c>
      <c r="R17" t="s">
        <v>358</v>
      </c>
      <c r="S17" t="s">
        <v>149</v>
      </c>
      <c r="T17" t="s">
        <v>359</v>
      </c>
      <c r="U17">
        <v>30</v>
      </c>
      <c r="V17" t="s">
        <v>126</v>
      </c>
    </row>
    <row r="18" spans="1:22" ht="14.25" customHeight="1" x14ac:dyDescent="0.35">
      <c r="A18" s="45" t="str">
        <f t="array" ref="A18">EXTRACTEVENT(N18,V18)</f>
        <v>TREINO</v>
      </c>
      <c r="B18" s="7" t="str">
        <f t="shared" si="0"/>
        <v>-</v>
      </c>
      <c r="C18" s="7" t="str">
        <f>+VLOOKUP(P18,Maps!$A:$C,2,0)</f>
        <v>TR</v>
      </c>
      <c r="D18" s="7" t="str">
        <f t="shared" si="1"/>
        <v>T</v>
      </c>
      <c r="E18" s="10">
        <f t="shared" si="2"/>
        <v>45519</v>
      </c>
      <c r="F18" s="7" t="str">
        <f t="array" ref="F18">+TIPOARMA(H18,I18)</f>
        <v>ACRR</v>
      </c>
      <c r="G18" s="7"/>
      <c r="H18" s="7" t="str">
        <f>+VLOOKUP(Q18,Maps!I:J,2,0)</f>
        <v>Pistola</v>
      </c>
      <c r="I18" s="7" t="str">
        <f>+VLOOKUP(T18,Maps!E:F,2,0)</f>
        <v>.380 ACP</v>
      </c>
      <c r="L18">
        <v>14</v>
      </c>
      <c r="M18">
        <v>45519</v>
      </c>
      <c r="N18" t="s">
        <v>363</v>
      </c>
      <c r="O18" t="s">
        <v>351</v>
      </c>
      <c r="P18" t="s">
        <v>346</v>
      </c>
      <c r="Q18" t="s">
        <v>28</v>
      </c>
      <c r="R18" t="s">
        <v>358</v>
      </c>
      <c r="S18" t="s">
        <v>149</v>
      </c>
      <c r="T18" t="s">
        <v>360</v>
      </c>
      <c r="U18">
        <v>25</v>
      </c>
      <c r="V18" t="s">
        <v>126</v>
      </c>
    </row>
    <row r="19" spans="1:22" ht="14.25" customHeight="1" x14ac:dyDescent="0.35">
      <c r="A19" s="45" t="str">
        <f t="array" ref="A19">EXTRACTEVENT(N19,V19)</f>
        <v>TREINO</v>
      </c>
      <c r="B19" s="7" t="str">
        <f t="shared" si="0"/>
        <v>-</v>
      </c>
      <c r="C19" s="7" t="str">
        <f>+VLOOKUP(P19,Maps!$A:$C,2,0)</f>
        <v>TR</v>
      </c>
      <c r="D19" s="7" t="str">
        <f t="shared" si="1"/>
        <v>T</v>
      </c>
      <c r="E19" s="10">
        <f t="shared" si="2"/>
        <v>45533</v>
      </c>
      <c r="F19" s="7" t="str">
        <f t="array" ref="F19">+TIPOARMA(H19,I19)</f>
        <v>ACRP</v>
      </c>
      <c r="G19" s="7"/>
      <c r="H19" s="7" t="str">
        <f>+VLOOKUP(Q19,Maps!I:J,2,0)</f>
        <v>Pistola</v>
      </c>
      <c r="I19" s="7" t="str">
        <f>+VLOOKUP(T19,Maps!E:F,2,0)</f>
        <v>9mm</v>
      </c>
      <c r="L19">
        <v>15</v>
      </c>
      <c r="M19">
        <v>45533</v>
      </c>
      <c r="N19" t="s">
        <v>361</v>
      </c>
      <c r="O19" t="s">
        <v>351</v>
      </c>
      <c r="P19" t="s">
        <v>346</v>
      </c>
      <c r="Q19" t="s">
        <v>28</v>
      </c>
      <c r="R19" t="s">
        <v>347</v>
      </c>
      <c r="S19" t="s">
        <v>149</v>
      </c>
      <c r="T19" t="s">
        <v>362</v>
      </c>
      <c r="U19">
        <v>50</v>
      </c>
      <c r="V19" t="s">
        <v>126</v>
      </c>
    </row>
    <row r="20" spans="1:22" ht="14.25" customHeight="1" x14ac:dyDescent="0.35">
      <c r="A20" s="45" t="str">
        <f t="array" ref="A20">EXTRACTEVENT(N20,V20)</f>
        <v>TREINO</v>
      </c>
      <c r="B20" s="7" t="str">
        <f t="shared" si="0"/>
        <v>-</v>
      </c>
      <c r="C20" s="7" t="str">
        <f>+VLOOKUP(P20,Maps!$A:$C,2,0)</f>
        <v>TR</v>
      </c>
      <c r="D20" s="7" t="str">
        <f t="shared" si="1"/>
        <v>T</v>
      </c>
      <c r="E20" s="10">
        <f t="shared" si="2"/>
        <v>45533</v>
      </c>
      <c r="F20" s="7" t="str">
        <f t="array" ref="F20">+TIPOARMA(H20,I20)</f>
        <v>ALLP</v>
      </c>
      <c r="G20" s="7"/>
      <c r="H20" s="7" t="str">
        <f>+VLOOKUP(Q20,Maps!I:J,2,0)</f>
        <v>Revólver</v>
      </c>
      <c r="I20" s="7" t="str">
        <f>+VLOOKUP(T20,Maps!E:F,2,0)</f>
        <v>.357 Mag</v>
      </c>
      <c r="L20">
        <v>16</v>
      </c>
      <c r="M20">
        <v>45533</v>
      </c>
      <c r="N20" t="s">
        <v>367</v>
      </c>
      <c r="O20" t="s">
        <v>351</v>
      </c>
      <c r="P20" t="s">
        <v>346</v>
      </c>
      <c r="Q20" t="s">
        <v>51</v>
      </c>
      <c r="R20" t="s">
        <v>347</v>
      </c>
      <c r="S20" t="s">
        <v>149</v>
      </c>
      <c r="T20" t="s">
        <v>364</v>
      </c>
      <c r="U20">
        <v>40</v>
      </c>
      <c r="V20" t="s">
        <v>126</v>
      </c>
    </row>
    <row r="21" spans="1:22" ht="14.25" customHeight="1" x14ac:dyDescent="0.35">
      <c r="A21" s="45" t="str">
        <f t="array" ref="A21">EXTRACTEVENT(N21,V21)</f>
        <v>TREINO</v>
      </c>
      <c r="B21" s="7" t="str">
        <f t="shared" si="0"/>
        <v>-</v>
      </c>
      <c r="C21" s="7" t="str">
        <f>+VLOOKUP(P21,Maps!$A:$C,2,0)</f>
        <v>TR</v>
      </c>
      <c r="D21" s="7" t="str">
        <f t="shared" si="1"/>
        <v>T</v>
      </c>
      <c r="E21" s="10">
        <f t="shared" si="2"/>
        <v>45533</v>
      </c>
      <c r="F21" s="7" t="str">
        <f t="array" ref="F21">+TIPOARMA(H21,I21)</f>
        <v>ACRR</v>
      </c>
      <c r="G21" s="7"/>
      <c r="H21" s="7" t="str">
        <f>+VLOOKUP(Q21,Maps!I:J,2,0)</f>
        <v>Pistola</v>
      </c>
      <c r="I21" s="7" t="str">
        <f>+VLOOKUP(T21,Maps!E:F,2,0)</f>
        <v>.45 ACP</v>
      </c>
      <c r="L21">
        <v>17</v>
      </c>
      <c r="M21">
        <v>45533</v>
      </c>
      <c r="N21" t="s">
        <v>361</v>
      </c>
      <c r="O21" t="s">
        <v>351</v>
      </c>
      <c r="P21" t="s">
        <v>346</v>
      </c>
      <c r="Q21" t="s">
        <v>28</v>
      </c>
      <c r="R21" t="s">
        <v>347</v>
      </c>
      <c r="S21" t="s">
        <v>149</v>
      </c>
      <c r="T21" t="s">
        <v>356</v>
      </c>
      <c r="U21">
        <v>50</v>
      </c>
      <c r="V21" t="s">
        <v>126</v>
      </c>
    </row>
    <row r="22" spans="1:22" ht="14.25" customHeight="1" x14ac:dyDescent="0.35">
      <c r="A22" s="45" t="str">
        <f t="array" ref="A22">EXTRACTEVENT(N22,V22)</f>
        <v>TREINO</v>
      </c>
      <c r="B22" s="7" t="str">
        <f t="shared" si="0"/>
        <v>-</v>
      </c>
      <c r="C22" s="7" t="str">
        <f>+VLOOKUP(P22,Maps!$A:$C,2,0)</f>
        <v>TR</v>
      </c>
      <c r="D22" s="7" t="str">
        <f t="shared" si="1"/>
        <v>T</v>
      </c>
      <c r="E22" s="10">
        <f t="shared" si="2"/>
        <v>45533</v>
      </c>
      <c r="F22" s="7" t="str">
        <f t="array" ref="F22">+TIPOARMA(H22,I22)</f>
        <v>ACRR</v>
      </c>
      <c r="G22" s="7"/>
      <c r="H22" s="7" t="str">
        <f>+VLOOKUP(Q22,Maps!I:J,2,0)</f>
        <v>Revólver</v>
      </c>
      <c r="I22" s="7" t="str">
        <f>+VLOOKUP(T22,Maps!E:F,2,0)</f>
        <v>.38 SPL</v>
      </c>
      <c r="L22">
        <v>18</v>
      </c>
      <c r="M22">
        <v>45533</v>
      </c>
      <c r="N22" t="s">
        <v>366</v>
      </c>
      <c r="O22" t="s">
        <v>351</v>
      </c>
      <c r="P22" t="s">
        <v>346</v>
      </c>
      <c r="Q22" t="s">
        <v>51</v>
      </c>
      <c r="R22" t="s">
        <v>358</v>
      </c>
      <c r="S22" t="s">
        <v>149</v>
      </c>
      <c r="T22" t="s">
        <v>359</v>
      </c>
      <c r="U22">
        <v>20</v>
      </c>
      <c r="V22" t="s">
        <v>126</v>
      </c>
    </row>
    <row r="23" spans="1:22" ht="14.25" customHeight="1" x14ac:dyDescent="0.35">
      <c r="A23" s="45" t="str">
        <f t="array" ref="A23">EXTRACTEVENT(N23,V23)</f>
        <v>TREINO</v>
      </c>
      <c r="B23" s="7" t="str">
        <f t="shared" si="0"/>
        <v>-</v>
      </c>
      <c r="C23" s="7" t="str">
        <f>+VLOOKUP(P23,Maps!$A:$C,2,0)</f>
        <v>TR</v>
      </c>
      <c r="D23" s="7" t="str">
        <f t="shared" si="1"/>
        <v>T</v>
      </c>
      <c r="E23" s="10">
        <f t="shared" si="2"/>
        <v>45533</v>
      </c>
      <c r="F23" s="7" t="str">
        <f t="array" ref="F23">+TIPOARMA(H23,I23)</f>
        <v>ALRR</v>
      </c>
      <c r="G23" s="7"/>
      <c r="H23" s="7" t="str">
        <f>+VLOOKUP(Q23,Maps!I:J,2,0)</f>
        <v>Carabina/Fuzil</v>
      </c>
      <c r="I23" s="7" t="str">
        <f>+VLOOKUP(T23,Maps!E:F,2,0)</f>
        <v>5.56MM</v>
      </c>
      <c r="L23">
        <v>19</v>
      </c>
      <c r="M23">
        <v>45533</v>
      </c>
      <c r="N23" t="s">
        <v>350</v>
      </c>
      <c r="O23" t="s">
        <v>351</v>
      </c>
      <c r="P23" t="s">
        <v>346</v>
      </c>
      <c r="Q23" t="s">
        <v>352</v>
      </c>
      <c r="R23" t="s">
        <v>353</v>
      </c>
      <c r="S23" t="s">
        <v>149</v>
      </c>
      <c r="T23">
        <v>0.55600000000000005</v>
      </c>
      <c r="U23">
        <v>15</v>
      </c>
      <c r="V23" t="s">
        <v>126</v>
      </c>
    </row>
    <row r="24" spans="1:22" ht="14.25" customHeight="1" x14ac:dyDescent="0.35">
      <c r="A24" s="45" t="str">
        <f t="array" ref="A24">EXTRACTEVENT(N24,V24)</f>
        <v>TREINO</v>
      </c>
      <c r="B24" s="7" t="str">
        <f t="shared" si="0"/>
        <v>-</v>
      </c>
      <c r="C24" s="7" t="str">
        <f>+VLOOKUP(P24,Maps!$A:$C,2,0)</f>
        <v>TR</v>
      </c>
      <c r="D24" s="7" t="str">
        <f t="shared" si="1"/>
        <v>T</v>
      </c>
      <c r="E24" s="10">
        <f t="shared" si="2"/>
        <v>45546</v>
      </c>
      <c r="F24" s="7" t="str">
        <f t="array" ref="F24">+TIPOARMA(H24,I24)</f>
        <v>ALRR</v>
      </c>
      <c r="G24" s="7"/>
      <c r="H24" s="7" t="str">
        <f>+VLOOKUP(Q24,Maps!I:J,2,0)</f>
        <v>Carabina/Fuzil</v>
      </c>
      <c r="I24" s="7" t="str">
        <f>+VLOOKUP(T24,Maps!E:F,2,0)</f>
        <v>5.56MM</v>
      </c>
      <c r="L24">
        <v>20</v>
      </c>
      <c r="M24">
        <v>45546</v>
      </c>
      <c r="N24" t="s">
        <v>366</v>
      </c>
      <c r="O24" t="s">
        <v>351</v>
      </c>
      <c r="P24" t="s">
        <v>346</v>
      </c>
      <c r="Q24" t="s">
        <v>352</v>
      </c>
      <c r="R24" t="s">
        <v>353</v>
      </c>
      <c r="S24" t="s">
        <v>149</v>
      </c>
      <c r="T24">
        <v>0.55600000000000005</v>
      </c>
      <c r="U24">
        <v>20</v>
      </c>
      <c r="V24" t="s">
        <v>126</v>
      </c>
    </row>
    <row r="25" spans="1:22" ht="14.25" customHeight="1" x14ac:dyDescent="0.35">
      <c r="A25" s="45" t="str">
        <f t="array" ref="A25">EXTRACTEVENT(N25,V25)</f>
        <v>TREINO</v>
      </c>
      <c r="B25" s="7" t="str">
        <f t="shared" si="0"/>
        <v>-</v>
      </c>
      <c r="C25" s="7" t="str">
        <f>+VLOOKUP(P25,Maps!$A:$C,2,0)</f>
        <v>TR</v>
      </c>
      <c r="D25" s="7" t="str">
        <f t="shared" si="1"/>
        <v>T</v>
      </c>
      <c r="E25" s="10">
        <f t="shared" si="2"/>
        <v>45546</v>
      </c>
      <c r="F25" s="7" t="str">
        <f t="array" ref="F25">+TIPOARMA(H25,I25)</f>
        <v>ACRR</v>
      </c>
      <c r="G25" s="7"/>
      <c r="H25" s="7" t="str">
        <f>+VLOOKUP(Q25,Maps!I:J,2,0)</f>
        <v>Pistola</v>
      </c>
      <c r="I25" s="7" t="str">
        <f>+VLOOKUP(T25,Maps!E:F,2,0)</f>
        <v>.45 ACP</v>
      </c>
      <c r="L25">
        <v>21</v>
      </c>
      <c r="M25">
        <v>45546</v>
      </c>
      <c r="N25" t="s">
        <v>361</v>
      </c>
      <c r="O25" t="s">
        <v>351</v>
      </c>
      <c r="P25" t="s">
        <v>346</v>
      </c>
      <c r="Q25" t="s">
        <v>28</v>
      </c>
      <c r="R25" t="s">
        <v>347</v>
      </c>
      <c r="S25" t="s">
        <v>149</v>
      </c>
      <c r="T25" t="s">
        <v>356</v>
      </c>
      <c r="U25">
        <v>50</v>
      </c>
      <c r="V25" t="s">
        <v>126</v>
      </c>
    </row>
    <row r="26" spans="1:22" ht="14.25" customHeight="1" x14ac:dyDescent="0.35">
      <c r="A26" s="45" t="str">
        <f t="array" ref="A26">EXTRACTEVENT(N26,V26)</f>
        <v>TREINO</v>
      </c>
      <c r="B26" s="7" t="str">
        <f t="shared" si="0"/>
        <v>-</v>
      </c>
      <c r="C26" s="7" t="str">
        <f>+VLOOKUP(P26,Maps!$A:$C,2,0)</f>
        <v>TR</v>
      </c>
      <c r="D26" s="7" t="str">
        <f t="shared" si="1"/>
        <v>T</v>
      </c>
      <c r="E26" s="10">
        <f t="shared" si="2"/>
        <v>45546</v>
      </c>
      <c r="F26" s="7" t="str">
        <f t="array" ref="F26">+TIPOARMA(H26,I26)</f>
        <v>ACRR</v>
      </c>
      <c r="G26" s="7"/>
      <c r="H26" s="7" t="str">
        <f>+VLOOKUP(Q26,Maps!I:J,2,0)</f>
        <v>Revólver</v>
      </c>
      <c r="I26" s="7" t="str">
        <f>+VLOOKUP(T26,Maps!E:F,2,0)</f>
        <v>.38 SPL</v>
      </c>
      <c r="L26">
        <v>22</v>
      </c>
      <c r="M26">
        <v>45546</v>
      </c>
      <c r="N26" t="s">
        <v>361</v>
      </c>
      <c r="O26" t="s">
        <v>351</v>
      </c>
      <c r="P26" t="s">
        <v>346</v>
      </c>
      <c r="Q26" t="s">
        <v>51</v>
      </c>
      <c r="R26" t="s">
        <v>358</v>
      </c>
      <c r="S26" t="s">
        <v>149</v>
      </c>
      <c r="T26" t="s">
        <v>359</v>
      </c>
      <c r="U26">
        <v>50</v>
      </c>
      <c r="V26" t="s">
        <v>126</v>
      </c>
    </row>
    <row r="27" spans="1:22" ht="14.25" customHeight="1" x14ac:dyDescent="0.35">
      <c r="A27" s="45" t="str">
        <f t="array" ref="A27">EXTRACTEVENT(N27,V27)</f>
        <v>TREINO</v>
      </c>
      <c r="B27" s="7" t="str">
        <f t="shared" si="0"/>
        <v>-</v>
      </c>
      <c r="C27" s="7" t="str">
        <f>+VLOOKUP(P27,Maps!$A:$C,2,0)</f>
        <v>TR</v>
      </c>
      <c r="D27" s="7" t="str">
        <f t="shared" si="1"/>
        <v>T</v>
      </c>
      <c r="E27" s="10">
        <f t="shared" si="2"/>
        <v>45546</v>
      </c>
      <c r="F27" s="7" t="str">
        <f t="array" ref="F27">+TIPOARMA(H27,I27)</f>
        <v>ACRP</v>
      </c>
      <c r="G27" s="7"/>
      <c r="H27" s="7" t="str">
        <f>+VLOOKUP(Q27,Maps!I:J,2,0)</f>
        <v>Pistola</v>
      </c>
      <c r="I27" s="7" t="str">
        <f>+VLOOKUP(T27,Maps!E:F,2,0)</f>
        <v>.38 Super</v>
      </c>
      <c r="L27">
        <v>23</v>
      </c>
      <c r="M27">
        <v>45546</v>
      </c>
      <c r="N27" t="s">
        <v>361</v>
      </c>
      <c r="O27" t="s">
        <v>351</v>
      </c>
      <c r="P27" t="s">
        <v>346</v>
      </c>
      <c r="Q27" t="s">
        <v>28</v>
      </c>
      <c r="R27" t="s">
        <v>347</v>
      </c>
      <c r="S27" t="s">
        <v>149</v>
      </c>
      <c r="T27" t="s">
        <v>355</v>
      </c>
      <c r="U27">
        <v>50</v>
      </c>
      <c r="V27" t="s">
        <v>126</v>
      </c>
    </row>
    <row r="28" spans="1:22" ht="14.25" customHeight="1" x14ac:dyDescent="0.35">
      <c r="A28" s="45" t="str">
        <f t="array" ref="A28">EXTRACTEVENT(N28,V28)</f>
        <v>TREINO</v>
      </c>
      <c r="B28" s="7" t="str">
        <f t="shared" si="0"/>
        <v>-</v>
      </c>
      <c r="C28" s="7" t="str">
        <f>+VLOOKUP(P28,Maps!$A:$C,2,0)</f>
        <v>TR</v>
      </c>
      <c r="D28" s="7" t="str">
        <f t="shared" si="1"/>
        <v>T</v>
      </c>
      <c r="E28" s="10">
        <f t="shared" si="2"/>
        <v>45546</v>
      </c>
      <c r="F28" s="7" t="str">
        <f t="array" ref="F28">+TIPOARMA(H28,I28)</f>
        <v>ACRP</v>
      </c>
      <c r="G28" s="7"/>
      <c r="H28" s="7" t="str">
        <f>+VLOOKUP(Q28,Maps!I:J,2,0)</f>
        <v>Pistola</v>
      </c>
      <c r="I28" s="7" t="str">
        <f>+VLOOKUP(T28,Maps!E:F,2,0)</f>
        <v>9mm</v>
      </c>
      <c r="L28">
        <v>24</v>
      </c>
      <c r="M28">
        <v>45546</v>
      </c>
      <c r="N28" t="s">
        <v>361</v>
      </c>
      <c r="O28" t="s">
        <v>351</v>
      </c>
      <c r="P28" t="s">
        <v>346</v>
      </c>
      <c r="Q28" t="s">
        <v>28</v>
      </c>
      <c r="R28" t="s">
        <v>347</v>
      </c>
      <c r="S28" t="s">
        <v>149</v>
      </c>
      <c r="T28" t="s">
        <v>362</v>
      </c>
      <c r="U28">
        <v>50</v>
      </c>
      <c r="V28" t="s">
        <v>126</v>
      </c>
    </row>
    <row r="29" spans="1:22" ht="14.25" customHeight="1" x14ac:dyDescent="0.35">
      <c r="A29" s="45" t="str">
        <f t="array" ref="A29">EXTRACTEVENT(N29,V29)</f>
        <v>TREINO</v>
      </c>
      <c r="B29" s="7" t="str">
        <f t="shared" si="0"/>
        <v>-</v>
      </c>
      <c r="C29" s="7" t="str">
        <f>+VLOOKUP(P29,Maps!$A:$C,2,0)</f>
        <v>TR</v>
      </c>
      <c r="D29" s="7" t="str">
        <f t="shared" si="1"/>
        <v>T</v>
      </c>
      <c r="E29" s="10">
        <f t="shared" si="2"/>
        <v>45546</v>
      </c>
      <c r="F29" s="7" t="str">
        <f t="array" ref="F29">+TIPOARMA(H29,I29)</f>
        <v>ALLP</v>
      </c>
      <c r="G29" s="7"/>
      <c r="H29" s="7" t="str">
        <f>+VLOOKUP(Q29,Maps!I:J,2,0)</f>
        <v>Revólver</v>
      </c>
      <c r="I29" s="7" t="str">
        <f>+VLOOKUP(T29,Maps!E:F,2,0)</f>
        <v>.357 Mag</v>
      </c>
      <c r="L29">
        <v>25</v>
      </c>
      <c r="M29">
        <v>45546</v>
      </c>
      <c r="N29" t="s">
        <v>361</v>
      </c>
      <c r="O29" t="s">
        <v>351</v>
      </c>
      <c r="P29" t="s">
        <v>346</v>
      </c>
      <c r="Q29" t="s">
        <v>51</v>
      </c>
      <c r="R29" t="s">
        <v>347</v>
      </c>
      <c r="S29" t="s">
        <v>149</v>
      </c>
      <c r="T29" t="s">
        <v>364</v>
      </c>
      <c r="U29">
        <v>50</v>
      </c>
      <c r="V29" t="s">
        <v>126</v>
      </c>
    </row>
    <row r="30" spans="1:22" ht="14.25" customHeight="1" x14ac:dyDescent="0.35">
      <c r="A30" s="45" t="str">
        <f t="array" ref="A30">EXTRACTEVENT(N30,V30)</f>
        <v>TREINO</v>
      </c>
      <c r="B30" s="7" t="str">
        <f t="shared" si="0"/>
        <v>-</v>
      </c>
      <c r="C30" s="7" t="str">
        <f>+VLOOKUP(P30,Maps!$A:$C,2,0)</f>
        <v>TR</v>
      </c>
      <c r="D30" s="7" t="str">
        <f t="shared" si="1"/>
        <v>T</v>
      </c>
      <c r="E30" s="10">
        <f t="shared" si="2"/>
        <v>45546</v>
      </c>
      <c r="F30" s="7" t="str">
        <f t="array" ref="F30">+TIPOARMA(H30,I30)</f>
        <v>ACRR</v>
      </c>
      <c r="G30" s="7"/>
      <c r="H30" s="7" t="str">
        <f>+VLOOKUP(Q30,Maps!I:J,2,0)</f>
        <v>Pistola</v>
      </c>
      <c r="I30" s="7" t="str">
        <f>+VLOOKUP(T30,Maps!E:F,2,0)</f>
        <v>.380 ACP</v>
      </c>
      <c r="L30">
        <v>26</v>
      </c>
      <c r="M30">
        <v>45546</v>
      </c>
      <c r="N30" t="s">
        <v>361</v>
      </c>
      <c r="O30" t="s">
        <v>351</v>
      </c>
      <c r="P30" t="s">
        <v>346</v>
      </c>
      <c r="Q30" t="s">
        <v>28</v>
      </c>
      <c r="R30" t="s">
        <v>358</v>
      </c>
      <c r="S30" t="s">
        <v>149</v>
      </c>
      <c r="T30" t="s">
        <v>360</v>
      </c>
      <c r="U30">
        <v>50</v>
      </c>
      <c r="V30" t="s">
        <v>126</v>
      </c>
    </row>
    <row r="31" spans="1:22" ht="14.25" customHeight="1" x14ac:dyDescent="0.35">
      <c r="A31" s="45" t="str">
        <f t="array" ref="A31">EXTRACTEVENT(N31,V31)</f>
        <v>1 Shot Challenge</v>
      </c>
      <c r="B31" s="7" t="str">
        <f t="shared" si="0"/>
        <v>8</v>
      </c>
      <c r="C31" s="7" t="str">
        <f>+VLOOKUP(P31,Maps!$A:$C,2,0)</f>
        <v>TR</v>
      </c>
      <c r="D31" s="7" t="str">
        <f t="shared" si="1"/>
        <v>E</v>
      </c>
      <c r="E31" s="10">
        <f t="shared" si="2"/>
        <v>45546</v>
      </c>
      <c r="F31" s="7" t="str">
        <f t="array" ref="F31">+TIPOARMA(H31,I31)</f>
        <v>ALRR</v>
      </c>
      <c r="G31" s="7"/>
      <c r="H31" s="7" t="str">
        <f>+VLOOKUP(Q31,Maps!I:J,2,0)</f>
        <v>Carabina/Fuzil</v>
      </c>
      <c r="I31" s="7" t="str">
        <f>+VLOOKUP(T31,Maps!E:F,2,0)</f>
        <v>5.56MM</v>
      </c>
      <c r="L31">
        <v>27</v>
      </c>
      <c r="M31">
        <v>45546</v>
      </c>
      <c r="N31" t="s">
        <v>368</v>
      </c>
      <c r="O31" t="s">
        <v>369</v>
      </c>
      <c r="P31" t="s">
        <v>346</v>
      </c>
      <c r="Q31" t="s">
        <v>352</v>
      </c>
      <c r="R31" t="s">
        <v>353</v>
      </c>
      <c r="S31" t="s">
        <v>348</v>
      </c>
      <c r="T31">
        <v>0.55600000000000005</v>
      </c>
      <c r="U31">
        <v>0</v>
      </c>
      <c r="V31" t="s">
        <v>349</v>
      </c>
    </row>
    <row r="32" spans="1:22" ht="14.25" customHeight="1" x14ac:dyDescent="0.35">
      <c r="A32" s="45" t="str">
        <f t="array" ref="A32">EXTRACTEVENT(N32,V32)</f>
        <v>TREINO</v>
      </c>
      <c r="B32" s="7" t="str">
        <f t="shared" si="0"/>
        <v>-</v>
      </c>
      <c r="C32" s="7" t="str">
        <f>+VLOOKUP(P32,Maps!$A:$C,2,0)</f>
        <v>TR</v>
      </c>
      <c r="D32" s="7" t="str">
        <f t="shared" si="1"/>
        <v>T</v>
      </c>
      <c r="E32" s="10">
        <f t="shared" si="2"/>
        <v>45574</v>
      </c>
      <c r="F32" s="7" t="str">
        <f t="array" ref="F32">+TIPOARMA(H32,I32)</f>
        <v>ACRP</v>
      </c>
      <c r="G32" s="7"/>
      <c r="H32" s="7" t="str">
        <f>+VLOOKUP(Q32,Maps!I:J,2,0)</f>
        <v>Pistola</v>
      </c>
      <c r="I32" s="7" t="str">
        <f>+VLOOKUP(T32,Maps!E:F,2,0)</f>
        <v>9mm</v>
      </c>
      <c r="L32">
        <v>28</v>
      </c>
      <c r="M32">
        <v>45574</v>
      </c>
      <c r="N32" t="s">
        <v>361</v>
      </c>
      <c r="O32" t="s">
        <v>351</v>
      </c>
      <c r="P32" t="s">
        <v>346</v>
      </c>
      <c r="Q32" t="s">
        <v>28</v>
      </c>
      <c r="R32" t="s">
        <v>347</v>
      </c>
      <c r="S32" t="s">
        <v>149</v>
      </c>
      <c r="T32" t="s">
        <v>29</v>
      </c>
      <c r="U32">
        <v>50</v>
      </c>
      <c r="V32" t="s">
        <v>126</v>
      </c>
    </row>
    <row r="33" spans="1:22" ht="14.25" customHeight="1" x14ac:dyDescent="0.35">
      <c r="A33" s="45" t="str">
        <f t="array" ref="A33">EXTRACTEVENT(N33,V33)</f>
        <v>TREINO</v>
      </c>
      <c r="B33" s="7" t="str">
        <f t="shared" si="0"/>
        <v>-</v>
      </c>
      <c r="C33" s="7" t="str">
        <f>+VLOOKUP(P33,Maps!$A:$C,2,0)</f>
        <v>TR</v>
      </c>
      <c r="D33" s="7" t="str">
        <f t="shared" si="1"/>
        <v>T</v>
      </c>
      <c r="E33" s="10">
        <f t="shared" si="2"/>
        <v>45574</v>
      </c>
      <c r="F33" s="7" t="str">
        <f t="array" ref="F33">+TIPOARMA(H33,I33)</f>
        <v>ALLP</v>
      </c>
      <c r="G33" s="7"/>
      <c r="H33" s="7" t="str">
        <f>+VLOOKUP(Q33,Maps!I:J,2,0)</f>
        <v>Revólver</v>
      </c>
      <c r="I33" s="7" t="str">
        <f>+VLOOKUP(T33,Maps!E:F,2,0)</f>
        <v>.357 Mag</v>
      </c>
      <c r="L33">
        <v>29</v>
      </c>
      <c r="M33">
        <v>45574</v>
      </c>
      <c r="N33" t="s">
        <v>366</v>
      </c>
      <c r="O33" t="s">
        <v>351</v>
      </c>
      <c r="P33" t="s">
        <v>346</v>
      </c>
      <c r="Q33" t="s">
        <v>51</v>
      </c>
      <c r="R33" t="s">
        <v>347</v>
      </c>
      <c r="S33" t="s">
        <v>149</v>
      </c>
      <c r="T33" t="s">
        <v>364</v>
      </c>
      <c r="U33">
        <v>20</v>
      </c>
      <c r="V33" t="s">
        <v>126</v>
      </c>
    </row>
    <row r="34" spans="1:22" ht="14.25" customHeight="1" x14ac:dyDescent="0.35">
      <c r="A34" s="45" t="str">
        <f t="array" ref="A34">EXTRACTEVENT(N34,V34)</f>
        <v>TREINO</v>
      </c>
      <c r="B34" s="7" t="str">
        <f t="shared" si="0"/>
        <v>-</v>
      </c>
      <c r="C34" s="7" t="str">
        <f>+VLOOKUP(P34,Maps!$A:$C,2,0)</f>
        <v>TR</v>
      </c>
      <c r="D34" s="7" t="str">
        <f t="shared" si="1"/>
        <v>T</v>
      </c>
      <c r="E34" s="10">
        <f t="shared" si="2"/>
        <v>45574</v>
      </c>
      <c r="F34" s="7" t="str">
        <f t="array" ref="F34">+TIPOARMA(H34,I34)</f>
        <v>ACRR</v>
      </c>
      <c r="G34" s="7"/>
      <c r="H34" s="7" t="str">
        <f>+VLOOKUP(Q34,Maps!I:J,2,0)</f>
        <v>Revólver</v>
      </c>
      <c r="I34" s="7" t="str">
        <f>+VLOOKUP(T34,Maps!E:F,2,0)</f>
        <v>.38 SPL</v>
      </c>
      <c r="L34">
        <v>30</v>
      </c>
      <c r="M34">
        <v>45574</v>
      </c>
      <c r="N34" t="s">
        <v>366</v>
      </c>
      <c r="O34" t="s">
        <v>351</v>
      </c>
      <c r="P34" t="s">
        <v>346</v>
      </c>
      <c r="Q34" t="s">
        <v>51</v>
      </c>
      <c r="R34" t="s">
        <v>358</v>
      </c>
      <c r="S34" t="s">
        <v>149</v>
      </c>
      <c r="T34" t="s">
        <v>359</v>
      </c>
      <c r="U34">
        <v>20</v>
      </c>
      <c r="V34" t="s">
        <v>126</v>
      </c>
    </row>
    <row r="35" spans="1:22" ht="14.25" customHeight="1" x14ac:dyDescent="0.35">
      <c r="A35" s="45" t="str">
        <f t="array" ref="A35">EXTRACTEVENT(N35,V35)</f>
        <v>TREINO</v>
      </c>
      <c r="B35" s="7" t="str">
        <f t="shared" si="0"/>
        <v>-</v>
      </c>
      <c r="C35" s="7" t="str">
        <f>+VLOOKUP(P35,Maps!$A:$C,2,0)</f>
        <v>TR</v>
      </c>
      <c r="D35" s="7" t="str">
        <f t="shared" si="1"/>
        <v>T</v>
      </c>
      <c r="E35" s="10">
        <f t="shared" si="2"/>
        <v>45574</v>
      </c>
      <c r="F35" s="7" t="str">
        <f t="array" ref="F35">+TIPOARMA(H35,I35)</f>
        <v>ACRR</v>
      </c>
      <c r="G35" s="7"/>
      <c r="H35" s="7" t="str">
        <f>+VLOOKUP(Q35,Maps!I:J,2,0)</f>
        <v>Pistola</v>
      </c>
      <c r="I35" s="7" t="str">
        <f>+VLOOKUP(T35,Maps!E:F,2,0)</f>
        <v>.45 ACP</v>
      </c>
      <c r="L35">
        <v>31</v>
      </c>
      <c r="M35">
        <v>45574</v>
      </c>
      <c r="N35" t="s">
        <v>370</v>
      </c>
      <c r="O35" t="s">
        <v>351</v>
      </c>
      <c r="P35" t="s">
        <v>346</v>
      </c>
      <c r="Q35" t="s">
        <v>28</v>
      </c>
      <c r="R35" t="s">
        <v>347</v>
      </c>
      <c r="S35" t="s">
        <v>149</v>
      </c>
      <c r="T35" t="s">
        <v>356</v>
      </c>
      <c r="U35">
        <v>55</v>
      </c>
      <c r="V35" t="s">
        <v>126</v>
      </c>
    </row>
    <row r="36" spans="1:22" ht="14.25" customHeight="1" x14ac:dyDescent="0.35">
      <c r="A36" s="45" t="str">
        <f t="array" ref="A36">EXTRACTEVENT(N36,V36)</f>
        <v>TREINO</v>
      </c>
      <c r="B36" s="7" t="str">
        <f t="shared" si="0"/>
        <v>-</v>
      </c>
      <c r="C36" s="7" t="str">
        <f>+VLOOKUP(P36,Maps!$A:$C,2,0)</f>
        <v>TR</v>
      </c>
      <c r="D36" s="7" t="str">
        <f t="shared" si="1"/>
        <v>T</v>
      </c>
      <c r="E36" s="10">
        <f t="shared" si="2"/>
        <v>45582</v>
      </c>
      <c r="F36" s="7" t="str">
        <f t="array" ref="F36">+TIPOARMA(H36,I36)</f>
        <v>ACRP</v>
      </c>
      <c r="G36" s="7"/>
      <c r="H36" s="7" t="str">
        <f>+VLOOKUP(Q36,Maps!I:J,2,0)</f>
        <v>Pistola</v>
      </c>
      <c r="I36" s="7" t="str">
        <f>+VLOOKUP(T36,Maps!E:F,2,0)</f>
        <v>9mm</v>
      </c>
      <c r="L36">
        <v>32</v>
      </c>
      <c r="M36">
        <v>45582</v>
      </c>
      <c r="N36" t="s">
        <v>361</v>
      </c>
      <c r="O36" t="s">
        <v>351</v>
      </c>
      <c r="P36" t="s">
        <v>346</v>
      </c>
      <c r="Q36" t="s">
        <v>28</v>
      </c>
      <c r="R36" t="s">
        <v>347</v>
      </c>
      <c r="S36" t="s">
        <v>149</v>
      </c>
      <c r="T36" t="s">
        <v>362</v>
      </c>
      <c r="U36">
        <v>50</v>
      </c>
      <c r="V36" t="s">
        <v>126</v>
      </c>
    </row>
    <row r="37" spans="1:22" ht="14.25" customHeight="1" x14ac:dyDescent="0.35">
      <c r="A37" s="45" t="str">
        <f t="array" ref="A37">EXTRACTEVENT(N37,V37)</f>
        <v>TREINO</v>
      </c>
      <c r="B37" s="7" t="str">
        <f t="shared" si="0"/>
        <v>-</v>
      </c>
      <c r="C37" s="7" t="str">
        <f>+VLOOKUP(P37,Maps!$A:$C,2,0)</f>
        <v>TR</v>
      </c>
      <c r="D37" s="7" t="str">
        <f t="shared" si="1"/>
        <v>T</v>
      </c>
      <c r="E37" s="10">
        <f t="shared" si="2"/>
        <v>45582</v>
      </c>
      <c r="F37" s="7" t="str">
        <f t="array" ref="F37">+TIPOARMA(H37,I37)</f>
        <v>ACRR</v>
      </c>
      <c r="G37" s="7"/>
      <c r="H37" s="7" t="str">
        <f>+VLOOKUP(Q37,Maps!I:J,2,0)</f>
        <v>Pistola</v>
      </c>
      <c r="I37" s="7" t="str">
        <f>+VLOOKUP(T37,Maps!E:F,2,0)</f>
        <v>.45 ACP</v>
      </c>
      <c r="L37">
        <v>33</v>
      </c>
      <c r="M37">
        <v>45582</v>
      </c>
      <c r="N37" t="s">
        <v>361</v>
      </c>
      <c r="O37" t="s">
        <v>351</v>
      </c>
      <c r="P37" t="s">
        <v>346</v>
      </c>
      <c r="Q37" t="s">
        <v>28</v>
      </c>
      <c r="R37" t="s">
        <v>347</v>
      </c>
      <c r="S37" t="s">
        <v>149</v>
      </c>
      <c r="T37" t="s">
        <v>356</v>
      </c>
      <c r="U37">
        <v>50</v>
      </c>
      <c r="V37" t="s">
        <v>126</v>
      </c>
    </row>
    <row r="38" spans="1:22" ht="14.25" customHeight="1" x14ac:dyDescent="0.35">
      <c r="A38" s="45" t="str">
        <f t="array" ref="A38">EXTRACTEVENT(N38,V38)</f>
        <v>TREINO</v>
      </c>
      <c r="B38" s="7" t="str">
        <f t="shared" si="0"/>
        <v>-</v>
      </c>
      <c r="C38" s="7" t="str">
        <f>+VLOOKUP(P38,Maps!$A:$C,2,0)</f>
        <v>TR</v>
      </c>
      <c r="D38" s="7" t="str">
        <f t="shared" si="1"/>
        <v>T</v>
      </c>
      <c r="E38" s="10">
        <f t="shared" si="2"/>
        <v>45582</v>
      </c>
      <c r="F38" s="7" t="str">
        <f t="array" ref="F38">+TIPOARMA(H38,I38)</f>
        <v>ALLP</v>
      </c>
      <c r="G38" s="7"/>
      <c r="H38" s="7" t="str">
        <f>+VLOOKUP(Q38,Maps!I:J,2,0)</f>
        <v>Revólver</v>
      </c>
      <c r="I38" s="7" t="str">
        <f>+VLOOKUP(T38,Maps!E:F,2,0)</f>
        <v>.357 Mag</v>
      </c>
      <c r="L38">
        <v>34</v>
      </c>
      <c r="M38">
        <v>45582</v>
      </c>
      <c r="N38" t="s">
        <v>365</v>
      </c>
      <c r="O38" t="s">
        <v>351</v>
      </c>
      <c r="P38" t="s">
        <v>346</v>
      </c>
      <c r="Q38" t="s">
        <v>51</v>
      </c>
      <c r="R38" t="s">
        <v>347</v>
      </c>
      <c r="S38" t="s">
        <v>149</v>
      </c>
      <c r="T38" t="s">
        <v>364</v>
      </c>
      <c r="U38">
        <v>30</v>
      </c>
      <c r="V38" t="s">
        <v>126</v>
      </c>
    </row>
    <row r="39" spans="1:22" ht="14.25" customHeight="1" x14ac:dyDescent="0.35">
      <c r="A39" s="45" t="str">
        <f t="array" ref="A39">EXTRACTEVENT(N39,V39)</f>
        <v>TREINO</v>
      </c>
      <c r="B39" s="7" t="str">
        <f t="shared" si="0"/>
        <v>-</v>
      </c>
      <c r="C39" s="7" t="str">
        <f>+VLOOKUP(P39,Maps!$A:$C,2,0)</f>
        <v>TR</v>
      </c>
      <c r="D39" s="7" t="str">
        <f t="shared" si="1"/>
        <v>T</v>
      </c>
      <c r="E39" s="10">
        <f t="shared" si="2"/>
        <v>45582</v>
      </c>
      <c r="F39" s="7" t="str">
        <f t="array" ref="F39">+TIPOARMA(H39,I39)</f>
        <v>ACRP</v>
      </c>
      <c r="G39" s="7"/>
      <c r="H39" s="7" t="str">
        <f>+VLOOKUP(Q39,Maps!I:J,2,0)</f>
        <v>Pistola</v>
      </c>
      <c r="I39" s="7" t="str">
        <f>+VLOOKUP(T39,Maps!E:F,2,0)</f>
        <v>.38 Super</v>
      </c>
      <c r="L39">
        <v>35</v>
      </c>
      <c r="M39">
        <v>45582</v>
      </c>
      <c r="N39" t="s">
        <v>350</v>
      </c>
      <c r="O39" t="s">
        <v>351</v>
      </c>
      <c r="P39" t="s">
        <v>346</v>
      </c>
      <c r="Q39" t="s">
        <v>28</v>
      </c>
      <c r="R39" t="s">
        <v>347</v>
      </c>
      <c r="S39" t="s">
        <v>149</v>
      </c>
      <c r="T39" t="s">
        <v>355</v>
      </c>
      <c r="U39">
        <v>15</v>
      </c>
      <c r="V39" t="s">
        <v>126</v>
      </c>
    </row>
    <row r="40" spans="1:22" ht="14.25" customHeight="1" x14ac:dyDescent="0.35">
      <c r="A40" s="45" t="str">
        <f t="array" ref="A40">EXTRACTEVENT(N40,V40)</f>
        <v>TREINO</v>
      </c>
      <c r="B40" s="7" t="str">
        <f t="shared" si="0"/>
        <v>-</v>
      </c>
      <c r="C40" s="7" t="str">
        <f>+VLOOKUP(P40,Maps!$A:$C,2,0)</f>
        <v>TR</v>
      </c>
      <c r="D40" s="7" t="str">
        <f t="shared" si="1"/>
        <v>T</v>
      </c>
      <c r="E40" s="10">
        <f t="shared" si="2"/>
        <v>45589</v>
      </c>
      <c r="F40" s="7" t="str">
        <f t="array" ref="F40">+TIPOARMA(H40,I40)</f>
        <v>ACRR</v>
      </c>
      <c r="G40" s="7"/>
      <c r="H40" s="7" t="str">
        <f>+VLOOKUP(Q40,Maps!I:J,2,0)</f>
        <v>Revólver</v>
      </c>
      <c r="I40" s="7" t="str">
        <f>+VLOOKUP(T40,Maps!E:F,2,0)</f>
        <v>.38 SPL</v>
      </c>
      <c r="L40">
        <v>36</v>
      </c>
      <c r="M40">
        <v>45589</v>
      </c>
      <c r="N40" t="s">
        <v>367</v>
      </c>
      <c r="O40" t="s">
        <v>351</v>
      </c>
      <c r="P40" t="s">
        <v>346</v>
      </c>
      <c r="Q40" t="s">
        <v>51</v>
      </c>
      <c r="R40" t="s">
        <v>358</v>
      </c>
      <c r="S40" t="s">
        <v>149</v>
      </c>
      <c r="T40" t="s">
        <v>359</v>
      </c>
      <c r="U40">
        <v>40</v>
      </c>
      <c r="V40" t="s">
        <v>126</v>
      </c>
    </row>
    <row r="41" spans="1:22" ht="14.25" customHeight="1" x14ac:dyDescent="0.35">
      <c r="A41" s="45" t="str">
        <f t="array" ref="A41">EXTRACTEVENT(N41,V41)</f>
        <v>TREINO</v>
      </c>
      <c r="B41" s="7" t="str">
        <f t="shared" si="0"/>
        <v>-</v>
      </c>
      <c r="C41" s="7" t="str">
        <f>+VLOOKUP(P41,Maps!$A:$C,2,0)</f>
        <v>TR</v>
      </c>
      <c r="D41" s="7" t="str">
        <f t="shared" si="1"/>
        <v>T</v>
      </c>
      <c r="E41" s="10">
        <f t="shared" si="2"/>
        <v>45589</v>
      </c>
      <c r="F41" s="7" t="str">
        <f t="array" ref="F41">+TIPOARMA(H41,I41)</f>
        <v>ACRP</v>
      </c>
      <c r="G41" s="7"/>
      <c r="H41" s="7" t="str">
        <f>+VLOOKUP(Q41,Maps!I:J,2,0)</f>
        <v>Pistola</v>
      </c>
      <c r="I41" s="7" t="str">
        <f>+VLOOKUP(T41,Maps!E:F,2,0)</f>
        <v>.38 Super</v>
      </c>
      <c r="L41">
        <v>37</v>
      </c>
      <c r="M41">
        <v>45589</v>
      </c>
      <c r="N41" t="s">
        <v>367</v>
      </c>
      <c r="O41" t="s">
        <v>351</v>
      </c>
      <c r="P41" t="s">
        <v>346</v>
      </c>
      <c r="Q41" t="s">
        <v>28</v>
      </c>
      <c r="R41" t="s">
        <v>347</v>
      </c>
      <c r="S41" t="s">
        <v>149</v>
      </c>
      <c r="T41" t="s">
        <v>355</v>
      </c>
      <c r="U41">
        <v>40</v>
      </c>
      <c r="V41" t="s">
        <v>126</v>
      </c>
    </row>
    <row r="42" spans="1:22" ht="14.25" customHeight="1" x14ac:dyDescent="0.35">
      <c r="A42" s="45" t="str">
        <f t="array" ref="A42">EXTRACTEVENT(N42,V42)</f>
        <v>TREINO</v>
      </c>
      <c r="B42" s="7" t="str">
        <f t="shared" si="0"/>
        <v>-</v>
      </c>
      <c r="C42" s="7" t="str">
        <f>+VLOOKUP(P42,Maps!$A:$C,2,0)</f>
        <v>TR</v>
      </c>
      <c r="D42" s="7" t="str">
        <f t="shared" si="1"/>
        <v>T</v>
      </c>
      <c r="E42" s="10">
        <f t="shared" si="2"/>
        <v>45589</v>
      </c>
      <c r="F42" s="7" t="str">
        <f t="array" ref="F42">+TIPOARMA(H42,I42)</f>
        <v>ACRP</v>
      </c>
      <c r="G42" s="7"/>
      <c r="H42" s="7" t="str">
        <f>+VLOOKUP(Q42,Maps!I:J,2,0)</f>
        <v>Pistola</v>
      </c>
      <c r="I42" s="7" t="str">
        <f>+VLOOKUP(T42,Maps!E:F,2,0)</f>
        <v>9mm</v>
      </c>
      <c r="L42">
        <v>38</v>
      </c>
      <c r="M42">
        <v>45589</v>
      </c>
      <c r="N42" t="s">
        <v>367</v>
      </c>
      <c r="O42" t="s">
        <v>351</v>
      </c>
      <c r="P42" t="s">
        <v>346</v>
      </c>
      <c r="Q42" t="s">
        <v>28</v>
      </c>
      <c r="R42" t="s">
        <v>347</v>
      </c>
      <c r="S42" t="s">
        <v>149</v>
      </c>
      <c r="T42" t="s">
        <v>362</v>
      </c>
      <c r="U42">
        <v>40</v>
      </c>
      <c r="V42" t="s">
        <v>126</v>
      </c>
    </row>
    <row r="43" spans="1:22" ht="14.25" customHeight="1" x14ac:dyDescent="0.35">
      <c r="A43" s="45" t="str">
        <f t="array" ref="A43">EXTRACTEVENT(N43,V43)</f>
        <v>TREINO</v>
      </c>
      <c r="B43" s="7" t="str">
        <f t="shared" si="0"/>
        <v>-</v>
      </c>
      <c r="C43" s="7" t="str">
        <f>+VLOOKUP(P43,Maps!$A:$C,2,0)</f>
        <v>TR</v>
      </c>
      <c r="D43" s="7" t="str">
        <f t="shared" si="1"/>
        <v>T</v>
      </c>
      <c r="E43" s="10">
        <f t="shared" si="2"/>
        <v>45589</v>
      </c>
      <c r="F43" s="7" t="str">
        <f t="array" ref="F43">+TIPOARMA(H43,I43)</f>
        <v>ACRR</v>
      </c>
      <c r="G43" s="7"/>
      <c r="H43" s="7" t="str">
        <f>+VLOOKUP(Q43,Maps!I:J,2,0)</f>
        <v>Pistola</v>
      </c>
      <c r="I43" s="7" t="str">
        <f>+VLOOKUP(T43,Maps!E:F,2,0)</f>
        <v>.45 ACP</v>
      </c>
      <c r="L43">
        <v>39</v>
      </c>
      <c r="M43">
        <v>45589</v>
      </c>
      <c r="N43" t="s">
        <v>371</v>
      </c>
      <c r="O43" t="s">
        <v>351</v>
      </c>
      <c r="P43" t="s">
        <v>346</v>
      </c>
      <c r="Q43" t="s">
        <v>28</v>
      </c>
      <c r="R43" t="s">
        <v>347</v>
      </c>
      <c r="S43" t="s">
        <v>149</v>
      </c>
      <c r="T43" t="s">
        <v>356</v>
      </c>
      <c r="U43">
        <v>10</v>
      </c>
      <c r="V43" t="s">
        <v>126</v>
      </c>
    </row>
    <row r="44" spans="1:22" ht="14.25" customHeight="1" x14ac:dyDescent="0.35">
      <c r="A44" s="45" t="str">
        <f t="array" ref="A44">EXTRACTEVENT(N44,V44)</f>
        <v>TREINO</v>
      </c>
      <c r="B44" s="7" t="str">
        <f t="shared" si="0"/>
        <v>-</v>
      </c>
      <c r="C44" s="7" t="str">
        <f>+VLOOKUP(P44,Maps!$A:$C,2,0)</f>
        <v>TR</v>
      </c>
      <c r="D44" s="7" t="str">
        <f t="shared" si="1"/>
        <v>T</v>
      </c>
      <c r="E44" s="10">
        <f t="shared" si="2"/>
        <v>45589</v>
      </c>
      <c r="F44" s="7" t="str">
        <f t="array" ref="F44">+TIPOARMA(H44,I44)</f>
        <v>ALRR</v>
      </c>
      <c r="G44" s="7"/>
      <c r="H44" s="7" t="str">
        <f>+VLOOKUP(Q44,Maps!I:J,2,0)</f>
        <v>Carabina/Fuzil</v>
      </c>
      <c r="I44" s="7" t="str">
        <f>+VLOOKUP(T44,Maps!E:F,2,0)</f>
        <v>5.56MM</v>
      </c>
      <c r="L44">
        <v>40</v>
      </c>
      <c r="M44">
        <v>45589</v>
      </c>
      <c r="N44" t="s">
        <v>371</v>
      </c>
      <c r="O44" t="s">
        <v>351</v>
      </c>
      <c r="P44" t="s">
        <v>346</v>
      </c>
      <c r="Q44" t="s">
        <v>352</v>
      </c>
      <c r="R44" t="s">
        <v>353</v>
      </c>
      <c r="S44" t="s">
        <v>149</v>
      </c>
      <c r="T44">
        <v>0.55600000000000005</v>
      </c>
      <c r="U44">
        <v>10</v>
      </c>
      <c r="V44" t="s">
        <v>126</v>
      </c>
    </row>
    <row r="45" spans="1:22" ht="14.25" customHeight="1" x14ac:dyDescent="0.35">
      <c r="A45" s="45" t="str">
        <f t="array" ref="A45">EXTRACTEVENT(N45,V45)</f>
        <v>TREINO</v>
      </c>
      <c r="B45" s="7" t="str">
        <f t="shared" si="0"/>
        <v>-</v>
      </c>
      <c r="C45" s="7" t="str">
        <f>+VLOOKUP(P45,Maps!$A:$C,2,0)</f>
        <v>TR</v>
      </c>
      <c r="D45" s="7" t="str">
        <f t="shared" si="1"/>
        <v>T</v>
      </c>
      <c r="E45" s="10">
        <f t="shared" si="2"/>
        <v>45589</v>
      </c>
      <c r="F45" s="7" t="str">
        <f t="array" ref="F45">+TIPOARMA(H45,I45)</f>
        <v>ACRR</v>
      </c>
      <c r="G45" s="7"/>
      <c r="H45" s="7" t="str">
        <f>+VLOOKUP(Q45,Maps!I:J,2,0)</f>
        <v>Pistola</v>
      </c>
      <c r="I45" s="7" t="str">
        <f>+VLOOKUP(T45,Maps!E:F,2,0)</f>
        <v>.380 ACP</v>
      </c>
      <c r="L45">
        <v>41</v>
      </c>
      <c r="M45">
        <v>45589</v>
      </c>
      <c r="N45" t="s">
        <v>365</v>
      </c>
      <c r="O45" t="s">
        <v>351</v>
      </c>
      <c r="P45" t="s">
        <v>346</v>
      </c>
      <c r="Q45" t="s">
        <v>28</v>
      </c>
      <c r="R45" t="s">
        <v>358</v>
      </c>
      <c r="S45" t="s">
        <v>149</v>
      </c>
      <c r="T45" t="s">
        <v>360</v>
      </c>
      <c r="U45">
        <v>30</v>
      </c>
      <c r="V45" t="s">
        <v>126</v>
      </c>
    </row>
    <row r="46" spans="1:22" ht="14.25" customHeight="1" x14ac:dyDescent="0.35">
      <c r="A46" s="45" t="str">
        <f t="array" ref="A46">EXTRACTEVENT(N46,V46)</f>
        <v>TREINO</v>
      </c>
      <c r="B46" s="7" t="str">
        <f t="shared" si="0"/>
        <v>-</v>
      </c>
      <c r="C46" s="7" t="str">
        <f>+VLOOKUP(P46,Maps!$A:$C,2,0)</f>
        <v>TR</v>
      </c>
      <c r="D46" s="7" t="str">
        <f t="shared" si="1"/>
        <v>T</v>
      </c>
      <c r="E46" s="10">
        <f t="shared" si="2"/>
        <v>45589</v>
      </c>
      <c r="F46" s="7" t="str">
        <f t="array" ref="F46">+TIPOARMA(H46,I46)</f>
        <v>ALLP</v>
      </c>
      <c r="G46" s="7"/>
      <c r="H46" s="7" t="str">
        <f>+VLOOKUP(Q46,Maps!I:J,2,0)</f>
        <v>Revólver</v>
      </c>
      <c r="I46" s="7" t="str">
        <f>+VLOOKUP(T46,Maps!E:F,2,0)</f>
        <v>.357 Mag</v>
      </c>
      <c r="L46">
        <v>42</v>
      </c>
      <c r="M46">
        <v>45589</v>
      </c>
      <c r="N46" t="s">
        <v>350</v>
      </c>
      <c r="O46" t="s">
        <v>351</v>
      </c>
      <c r="P46" t="s">
        <v>346</v>
      </c>
      <c r="Q46" t="s">
        <v>51</v>
      </c>
      <c r="R46" t="s">
        <v>347</v>
      </c>
      <c r="S46" t="s">
        <v>149</v>
      </c>
      <c r="T46" t="s">
        <v>364</v>
      </c>
      <c r="U46">
        <v>15</v>
      </c>
      <c r="V46" t="s">
        <v>126</v>
      </c>
    </row>
    <row r="47" spans="1:22" ht="14.25" customHeight="1" x14ac:dyDescent="0.35">
      <c r="A47" s="45" t="str">
        <f t="array" ref="A47">EXTRACTEVENT(N47,V47)</f>
        <v>Duelo The Range</v>
      </c>
      <c r="B47" s="7" t="str">
        <f t="shared" si="0"/>
        <v>9</v>
      </c>
      <c r="C47" s="7" t="str">
        <f>+VLOOKUP(P47,Maps!$A:$C,2,0)</f>
        <v>TR</v>
      </c>
      <c r="D47" s="7" t="str">
        <f t="shared" si="1"/>
        <v>E</v>
      </c>
      <c r="E47" s="10">
        <f t="shared" si="2"/>
        <v>45589</v>
      </c>
      <c r="F47" s="7" t="str">
        <f t="array" ref="F47">+TIPOARMA(H47,I47)</f>
        <v>ACRP</v>
      </c>
      <c r="G47" s="7"/>
      <c r="H47" s="7" t="str">
        <f>+VLOOKUP(Q47,Maps!I:J,2,0)</f>
        <v>Pistola</v>
      </c>
      <c r="I47" s="7" t="str">
        <f>+VLOOKUP(T47,Maps!E:F,2,0)</f>
        <v>9mm</v>
      </c>
      <c r="L47">
        <v>43</v>
      </c>
      <c r="M47">
        <v>45589</v>
      </c>
      <c r="N47" t="s">
        <v>372</v>
      </c>
      <c r="O47" t="s">
        <v>345</v>
      </c>
      <c r="P47" t="s">
        <v>346</v>
      </c>
      <c r="Q47" t="s">
        <v>28</v>
      </c>
      <c r="R47" t="s">
        <v>347</v>
      </c>
      <c r="S47" t="s">
        <v>348</v>
      </c>
      <c r="T47" t="s">
        <v>29</v>
      </c>
      <c r="U47">
        <v>10</v>
      </c>
      <c r="V47" t="s">
        <v>349</v>
      </c>
    </row>
    <row r="48" spans="1:22" ht="14.25" customHeight="1" x14ac:dyDescent="0.35">
      <c r="A48" s="45" t="str">
        <f t="array" ref="A48">EXTRACTEVENT(N48,V48)</f>
        <v>Duelo The Range</v>
      </c>
      <c r="B48" s="7" t="str">
        <f t="shared" si="0"/>
        <v>9</v>
      </c>
      <c r="C48" s="7" t="str">
        <f>+VLOOKUP(P48,Maps!$A:$C,2,0)</f>
        <v>TR</v>
      </c>
      <c r="D48" s="7" t="str">
        <f t="shared" si="1"/>
        <v>E</v>
      </c>
      <c r="E48" s="10">
        <f t="shared" si="2"/>
        <v>45589</v>
      </c>
      <c r="F48" s="7" t="str">
        <f t="array" ref="F48">+TIPOARMA(H48,I48)</f>
        <v>ACRR</v>
      </c>
      <c r="G48" s="7"/>
      <c r="H48" s="7" t="str">
        <f>+VLOOKUP(Q48,Maps!I:J,2,0)</f>
        <v>Revólver</v>
      </c>
      <c r="I48" s="7" t="str">
        <f>+VLOOKUP(T48,Maps!E:F,2,0)</f>
        <v>.38 SPL</v>
      </c>
      <c r="L48">
        <v>44</v>
      </c>
      <c r="M48">
        <v>45589</v>
      </c>
      <c r="N48" t="s">
        <v>373</v>
      </c>
      <c r="O48" t="s">
        <v>345</v>
      </c>
      <c r="P48" t="s">
        <v>346</v>
      </c>
      <c r="Q48" t="s">
        <v>51</v>
      </c>
      <c r="R48" t="s">
        <v>358</v>
      </c>
      <c r="S48" t="s">
        <v>348</v>
      </c>
      <c r="T48" t="s">
        <v>359</v>
      </c>
      <c r="U48">
        <v>10</v>
      </c>
      <c r="V48" t="s">
        <v>349</v>
      </c>
    </row>
    <row r="49" spans="1:22" ht="14.25" customHeight="1" x14ac:dyDescent="0.35">
      <c r="A49" s="45" t="str">
        <f t="array" ref="A49">EXTRACTEVENT(N49,V49)</f>
        <v>Duelo The Range</v>
      </c>
      <c r="B49" s="7" t="str">
        <f t="shared" si="0"/>
        <v>9</v>
      </c>
      <c r="C49" s="7" t="str">
        <f>+VLOOKUP(P49,Maps!$A:$C,2,0)</f>
        <v>TR</v>
      </c>
      <c r="D49" s="7" t="str">
        <f t="shared" si="1"/>
        <v>E</v>
      </c>
      <c r="E49" s="10">
        <f t="shared" si="2"/>
        <v>45589</v>
      </c>
      <c r="F49" s="7" t="str">
        <f t="array" ref="F49">+TIPOARMA(H49,I49)</f>
        <v>ACRR</v>
      </c>
      <c r="G49" s="7"/>
      <c r="H49" s="7" t="str">
        <f>+VLOOKUP(Q49,Maps!I:J,2,0)</f>
        <v>Pistola</v>
      </c>
      <c r="I49" s="7" t="str">
        <f>+VLOOKUP(T49,Maps!E:F,2,0)</f>
        <v>.380 ACP</v>
      </c>
      <c r="L49">
        <v>45</v>
      </c>
      <c r="M49">
        <v>45589</v>
      </c>
      <c r="N49" t="s">
        <v>374</v>
      </c>
      <c r="O49" t="s">
        <v>345</v>
      </c>
      <c r="P49" t="s">
        <v>346</v>
      </c>
      <c r="Q49" t="s">
        <v>28</v>
      </c>
      <c r="R49" t="s">
        <v>358</v>
      </c>
      <c r="S49" t="s">
        <v>348</v>
      </c>
      <c r="T49" t="s">
        <v>360</v>
      </c>
      <c r="U49">
        <v>10</v>
      </c>
      <c r="V49" t="s">
        <v>349</v>
      </c>
    </row>
    <row r="50" spans="1:22" ht="14.25" customHeight="1" x14ac:dyDescent="0.35">
      <c r="A50" s="45" t="str">
        <f t="array" ref="A50">EXTRACTEVENT(N50,V50)</f>
        <v>Duelo The Range</v>
      </c>
      <c r="B50" s="7" t="str">
        <f t="shared" si="0"/>
        <v>9</v>
      </c>
      <c r="C50" s="7" t="str">
        <f>+VLOOKUP(P50,Maps!$A:$C,2,0)</f>
        <v>TR</v>
      </c>
      <c r="D50" s="7" t="str">
        <f t="shared" si="1"/>
        <v>E</v>
      </c>
      <c r="E50" s="10">
        <f t="shared" si="2"/>
        <v>45589</v>
      </c>
      <c r="F50" s="7" t="str">
        <f t="array" ref="F50">+TIPOARMA(H50,I50)</f>
        <v>ACRP</v>
      </c>
      <c r="G50" s="7"/>
      <c r="H50" s="7" t="str">
        <f>+VLOOKUP(Q50,Maps!I:J,2,0)</f>
        <v>Pistola</v>
      </c>
      <c r="I50" s="7" t="str">
        <f>+VLOOKUP(T50,Maps!E:F,2,0)</f>
        <v>.38 Super</v>
      </c>
      <c r="L50">
        <v>46</v>
      </c>
      <c r="M50">
        <v>45589</v>
      </c>
      <c r="N50" t="s">
        <v>375</v>
      </c>
      <c r="O50" t="s">
        <v>345</v>
      </c>
      <c r="P50" t="s">
        <v>346</v>
      </c>
      <c r="Q50" t="s">
        <v>28</v>
      </c>
      <c r="R50" t="s">
        <v>347</v>
      </c>
      <c r="S50" t="s">
        <v>348</v>
      </c>
      <c r="T50" t="s">
        <v>355</v>
      </c>
      <c r="U50">
        <v>10</v>
      </c>
      <c r="V50" t="s">
        <v>349</v>
      </c>
    </row>
    <row r="51" spans="1:22" ht="14.25" customHeight="1" x14ac:dyDescent="0.35">
      <c r="A51" s="45" t="str">
        <f t="array" ref="A51">EXTRACTEVENT(N51,V51)</f>
        <v>Duelo The Range</v>
      </c>
      <c r="B51" s="7" t="str">
        <f t="shared" si="0"/>
        <v>9</v>
      </c>
      <c r="C51" s="7" t="str">
        <f>+VLOOKUP(P51,Maps!$A:$C,2,0)</f>
        <v>TR</v>
      </c>
      <c r="D51" s="7" t="str">
        <f t="shared" si="1"/>
        <v>E</v>
      </c>
      <c r="E51" s="10">
        <f t="shared" si="2"/>
        <v>45589</v>
      </c>
      <c r="F51" s="7" t="str">
        <f t="array" ref="F51">+TIPOARMA(H51,I51)</f>
        <v>ACRR</v>
      </c>
      <c r="G51" s="7"/>
      <c r="H51" s="7" t="str">
        <f>+VLOOKUP(Q51,Maps!I:J,2,0)</f>
        <v>Pistola</v>
      </c>
      <c r="I51" s="7" t="str">
        <f>+VLOOKUP(T51,Maps!E:F,2,0)</f>
        <v>.45 ACP</v>
      </c>
      <c r="L51">
        <v>47</v>
      </c>
      <c r="M51">
        <v>45589</v>
      </c>
      <c r="N51" t="s">
        <v>376</v>
      </c>
      <c r="O51" t="s">
        <v>345</v>
      </c>
      <c r="P51" t="s">
        <v>346</v>
      </c>
      <c r="Q51" t="s">
        <v>28</v>
      </c>
      <c r="R51" t="s">
        <v>347</v>
      </c>
      <c r="S51" t="s">
        <v>348</v>
      </c>
      <c r="T51" t="s">
        <v>356</v>
      </c>
      <c r="U51">
        <v>10</v>
      </c>
      <c r="V51" t="s">
        <v>349</v>
      </c>
    </row>
    <row r="52" spans="1:22" ht="14.25" customHeight="1" x14ac:dyDescent="0.35">
      <c r="A52" s="45" t="str">
        <f t="array" ref="A52">EXTRACTEVENT(N52,V52)</f>
        <v>5 PLATES</v>
      </c>
      <c r="B52" s="7" t="str">
        <f t="shared" si="0"/>
        <v>9</v>
      </c>
      <c r="C52" s="7" t="str">
        <f>+VLOOKUP(P52,Maps!$A:$C,2,0)</f>
        <v>TR</v>
      </c>
      <c r="D52" s="7" t="str">
        <f t="shared" si="1"/>
        <v>E</v>
      </c>
      <c r="E52" s="10">
        <f t="shared" si="2"/>
        <v>45589</v>
      </c>
      <c r="F52" s="7" t="str">
        <f t="array" ref="F52">+TIPOARMA(H52,I52)</f>
        <v>ACRR</v>
      </c>
      <c r="G52" s="7"/>
      <c r="H52" s="7" t="str">
        <f>+VLOOKUP(Q52,Maps!I:J,2,0)</f>
        <v>Revólver</v>
      </c>
      <c r="I52" s="7" t="str">
        <f>+VLOOKUP(T52,Maps!E:F,2,0)</f>
        <v>.38 SPL</v>
      </c>
      <c r="L52">
        <v>48</v>
      </c>
      <c r="M52">
        <v>45589</v>
      </c>
      <c r="N52" t="s">
        <v>377</v>
      </c>
      <c r="O52" t="s">
        <v>28</v>
      </c>
      <c r="P52" t="s">
        <v>346</v>
      </c>
      <c r="Q52" t="s">
        <v>51</v>
      </c>
      <c r="R52" t="s">
        <v>358</v>
      </c>
      <c r="S52" t="s">
        <v>348</v>
      </c>
      <c r="T52" t="s">
        <v>359</v>
      </c>
      <c r="U52">
        <v>5</v>
      </c>
      <c r="V52" t="s">
        <v>349</v>
      </c>
    </row>
    <row r="53" spans="1:22" ht="14.25" customHeight="1" x14ac:dyDescent="0.35">
      <c r="A53" s="45" t="str">
        <f t="array" ref="A53">EXTRACTEVENT(N53,V53)</f>
        <v>5 PLATES</v>
      </c>
      <c r="B53" s="7" t="str">
        <f t="shared" si="0"/>
        <v>9</v>
      </c>
      <c r="C53" s="7" t="str">
        <f>+VLOOKUP(P53,Maps!$A:$C,2,0)</f>
        <v>TR</v>
      </c>
      <c r="D53" s="7" t="str">
        <f t="shared" si="1"/>
        <v>E</v>
      </c>
      <c r="E53" s="10">
        <f t="shared" si="2"/>
        <v>45589</v>
      </c>
      <c r="F53" s="7" t="str">
        <f t="array" ref="F53">+TIPOARMA(H53,I53)</f>
        <v>ACRR</v>
      </c>
      <c r="G53" s="7"/>
      <c r="H53" s="7" t="str">
        <f>+VLOOKUP(Q53,Maps!I:J,2,0)</f>
        <v>Pistola</v>
      </c>
      <c r="I53" s="7" t="str">
        <f>+VLOOKUP(T53,Maps!E:F,2,0)</f>
        <v>.380 ACP</v>
      </c>
      <c r="L53">
        <v>49</v>
      </c>
      <c r="M53">
        <v>45589</v>
      </c>
      <c r="N53" t="s">
        <v>378</v>
      </c>
      <c r="O53" t="s">
        <v>28</v>
      </c>
      <c r="P53" t="s">
        <v>346</v>
      </c>
      <c r="Q53" t="s">
        <v>28</v>
      </c>
      <c r="R53" t="s">
        <v>358</v>
      </c>
      <c r="S53" t="s">
        <v>348</v>
      </c>
      <c r="T53" t="s">
        <v>360</v>
      </c>
      <c r="U53">
        <v>5</v>
      </c>
      <c r="V53" t="s">
        <v>349</v>
      </c>
    </row>
    <row r="54" spans="1:22" ht="14.25" customHeight="1" x14ac:dyDescent="0.35">
      <c r="A54" s="45" t="str">
        <f t="array" ref="A54">EXTRACTEVENT(N54,V54)</f>
        <v>5 PLATES</v>
      </c>
      <c r="B54" s="7" t="str">
        <f t="shared" si="0"/>
        <v>9</v>
      </c>
      <c r="C54" s="7" t="str">
        <f>+VLOOKUP(P54,Maps!$A:$C,2,0)</f>
        <v>TR</v>
      </c>
      <c r="D54" s="7" t="str">
        <f t="shared" si="1"/>
        <v>E</v>
      </c>
      <c r="E54" s="10">
        <f t="shared" si="2"/>
        <v>45589</v>
      </c>
      <c r="F54" s="7" t="str">
        <f t="array" ref="F54">+TIPOARMA(H54,I54)</f>
        <v>ACRP</v>
      </c>
      <c r="G54" s="7"/>
      <c r="H54" s="7" t="str">
        <f>+VLOOKUP(Q54,Maps!I:J,2,0)</f>
        <v>Pistola</v>
      </c>
      <c r="I54" s="7" t="str">
        <f>+VLOOKUP(T54,Maps!E:F,2,0)</f>
        <v>.38 Super</v>
      </c>
      <c r="L54">
        <v>50</v>
      </c>
      <c r="M54">
        <v>45589</v>
      </c>
      <c r="N54" t="s">
        <v>379</v>
      </c>
      <c r="O54" t="s">
        <v>28</v>
      </c>
      <c r="P54" t="s">
        <v>346</v>
      </c>
      <c r="Q54" t="s">
        <v>28</v>
      </c>
      <c r="R54" t="s">
        <v>347</v>
      </c>
      <c r="S54" t="s">
        <v>348</v>
      </c>
      <c r="T54" t="s">
        <v>355</v>
      </c>
      <c r="U54">
        <v>5</v>
      </c>
      <c r="V54" t="s">
        <v>349</v>
      </c>
    </row>
    <row r="55" spans="1:22" ht="14.25" customHeight="1" x14ac:dyDescent="0.35">
      <c r="A55" s="45" t="str">
        <f t="array" ref="A55">EXTRACTEVENT(N55,V55)</f>
        <v>5 PLATES</v>
      </c>
      <c r="B55" s="7" t="str">
        <f t="shared" si="0"/>
        <v>9</v>
      </c>
      <c r="C55" s="7" t="str">
        <f>+VLOOKUP(P55,Maps!$A:$C,2,0)</f>
        <v>TR</v>
      </c>
      <c r="D55" s="7" t="str">
        <f t="shared" si="1"/>
        <v>E</v>
      </c>
      <c r="E55" s="10">
        <f t="shared" si="2"/>
        <v>45589</v>
      </c>
      <c r="F55" s="7" t="str">
        <f t="array" ref="F55">+TIPOARMA(H55,I55)</f>
        <v>ACRP</v>
      </c>
      <c r="G55" s="7"/>
      <c r="H55" s="7" t="str">
        <f>+VLOOKUP(Q55,Maps!I:J,2,0)</f>
        <v>Pistola</v>
      </c>
      <c r="I55" s="7" t="str">
        <f>+VLOOKUP(T55,Maps!E:F,2,0)</f>
        <v>9mm</v>
      </c>
      <c r="L55">
        <v>51</v>
      </c>
      <c r="M55">
        <v>45589</v>
      </c>
      <c r="N55" t="s">
        <v>380</v>
      </c>
      <c r="O55" t="s">
        <v>28</v>
      </c>
      <c r="P55" t="s">
        <v>346</v>
      </c>
      <c r="Q55" t="s">
        <v>28</v>
      </c>
      <c r="R55" t="s">
        <v>347</v>
      </c>
      <c r="S55" t="s">
        <v>348</v>
      </c>
      <c r="T55" t="s">
        <v>29</v>
      </c>
      <c r="U55">
        <v>5</v>
      </c>
      <c r="V55" t="s">
        <v>349</v>
      </c>
    </row>
    <row r="56" spans="1:22" ht="14.25" customHeight="1" x14ac:dyDescent="0.35">
      <c r="A56" s="45" t="str">
        <f t="array" ref="A56">EXTRACTEVENT(N56,V56)</f>
        <v>TREINO</v>
      </c>
      <c r="B56" s="7" t="str">
        <f t="shared" si="0"/>
        <v>-</v>
      </c>
      <c r="C56" s="7" t="str">
        <f>+VLOOKUP(P56,Maps!$A:$C,2,0)</f>
        <v>TR</v>
      </c>
      <c r="D56" s="7" t="str">
        <f t="shared" si="1"/>
        <v>T</v>
      </c>
      <c r="E56" s="10">
        <f t="shared" si="2"/>
        <v>45596</v>
      </c>
      <c r="F56" s="7" t="str">
        <f t="array" ref="F56">+TIPOARMA(H56,I56)</f>
        <v>ACRP</v>
      </c>
      <c r="G56" s="7"/>
      <c r="H56" s="7" t="str">
        <f>+VLOOKUP(Q56,Maps!I:J,2,0)</f>
        <v>Pistola</v>
      </c>
      <c r="I56" s="7" t="str">
        <f>+VLOOKUP(T56,Maps!E:F,2,0)</f>
        <v>9mm</v>
      </c>
      <c r="L56">
        <v>52</v>
      </c>
      <c r="M56">
        <v>45596</v>
      </c>
      <c r="N56" t="s">
        <v>361</v>
      </c>
      <c r="O56" t="s">
        <v>351</v>
      </c>
      <c r="P56" t="s">
        <v>346</v>
      </c>
      <c r="Q56" t="s">
        <v>28</v>
      </c>
      <c r="R56" t="s">
        <v>347</v>
      </c>
      <c r="S56" t="s">
        <v>149</v>
      </c>
      <c r="T56" t="s">
        <v>362</v>
      </c>
      <c r="U56">
        <v>50</v>
      </c>
      <c r="V56" t="s">
        <v>126</v>
      </c>
    </row>
    <row r="57" spans="1:22" ht="14.25" customHeight="1" x14ac:dyDescent="0.35">
      <c r="A57" s="45" t="str">
        <f t="array" ref="A57">EXTRACTEVENT(N57,V57)</f>
        <v>TREINO</v>
      </c>
      <c r="B57" s="7" t="str">
        <f t="shared" si="0"/>
        <v>-</v>
      </c>
      <c r="C57" s="7" t="str">
        <f>+VLOOKUP(P57,Maps!$A:$C,2,0)</f>
        <v>TR</v>
      </c>
      <c r="D57" s="7" t="str">
        <f t="shared" si="1"/>
        <v>T</v>
      </c>
      <c r="E57" s="10">
        <f t="shared" si="2"/>
        <v>45596</v>
      </c>
      <c r="F57" s="7" t="str">
        <f t="array" ref="F57">+TIPOARMA(H57,I57)</f>
        <v>ALRP</v>
      </c>
      <c r="G57" s="7"/>
      <c r="H57" s="7" t="str">
        <f>+VLOOKUP(Q57,Maps!I:J,2,0)</f>
        <v>Carabina/Fuzil</v>
      </c>
      <c r="I57" s="7" t="str">
        <f>+VLOOKUP(T57,Maps!E:F,2,0)</f>
        <v>.357 Mag</v>
      </c>
      <c r="L57">
        <v>53</v>
      </c>
      <c r="M57">
        <v>45596</v>
      </c>
      <c r="N57" t="s">
        <v>361</v>
      </c>
      <c r="O57" t="s">
        <v>351</v>
      </c>
      <c r="P57" t="s">
        <v>346</v>
      </c>
      <c r="Q57" t="s">
        <v>352</v>
      </c>
      <c r="R57" t="s">
        <v>381</v>
      </c>
      <c r="S57" t="s">
        <v>149</v>
      </c>
      <c r="T57" t="s">
        <v>364</v>
      </c>
      <c r="U57">
        <v>50</v>
      </c>
      <c r="V57" t="s">
        <v>126</v>
      </c>
    </row>
    <row r="58" spans="1:22" ht="14.25" customHeight="1" x14ac:dyDescent="0.35">
      <c r="A58" s="45" t="str">
        <f t="array" ref="A58">EXTRACTEVENT(N58,V58)</f>
        <v>TREINO</v>
      </c>
      <c r="B58" s="7" t="str">
        <f t="shared" si="0"/>
        <v>-</v>
      </c>
      <c r="C58" s="7" t="str">
        <f>+VLOOKUP(P58,Maps!$A:$C,2,0)</f>
        <v>TR</v>
      </c>
      <c r="D58" s="7" t="str">
        <f t="shared" si="1"/>
        <v>T</v>
      </c>
      <c r="E58" s="10">
        <f t="shared" si="2"/>
        <v>45596</v>
      </c>
      <c r="F58" s="7" t="str">
        <f t="array" ref="F58">+TIPOARMA(H58,I58)</f>
        <v>ACRR</v>
      </c>
      <c r="G58" s="7"/>
      <c r="H58" s="7" t="str">
        <f>+VLOOKUP(Q58,Maps!I:J,2,0)</f>
        <v>Revólver</v>
      </c>
      <c r="I58" s="7" t="str">
        <f>+VLOOKUP(T58,Maps!E:F,2,0)</f>
        <v>.38 SPL</v>
      </c>
      <c r="L58">
        <v>54</v>
      </c>
      <c r="M58">
        <v>45596</v>
      </c>
      <c r="N58" t="s">
        <v>366</v>
      </c>
      <c r="O58" t="s">
        <v>351</v>
      </c>
      <c r="P58" t="s">
        <v>346</v>
      </c>
      <c r="Q58" t="s">
        <v>51</v>
      </c>
      <c r="R58" t="s">
        <v>358</v>
      </c>
      <c r="S58" t="s">
        <v>149</v>
      </c>
      <c r="T58" t="s">
        <v>359</v>
      </c>
      <c r="U58">
        <v>20</v>
      </c>
      <c r="V58" t="s">
        <v>126</v>
      </c>
    </row>
    <row r="59" spans="1:22" ht="14.25" customHeight="1" x14ac:dyDescent="0.35">
      <c r="A59" s="45" t="str">
        <f t="array" ref="A59">EXTRACTEVENT(N59,V59)</f>
        <v>TREINO</v>
      </c>
      <c r="B59" s="7" t="str">
        <f t="shared" si="0"/>
        <v>-</v>
      </c>
      <c r="C59" s="7" t="str">
        <f>+VLOOKUP(P59,Maps!$A:$C,2,0)</f>
        <v>TR</v>
      </c>
      <c r="D59" s="7" t="str">
        <f t="shared" si="1"/>
        <v>T</v>
      </c>
      <c r="E59" s="10">
        <f t="shared" si="2"/>
        <v>45596</v>
      </c>
      <c r="F59" s="7" t="str">
        <f t="array" ref="F59">+TIPOARMA(H59,I59)</f>
        <v>ACRR</v>
      </c>
      <c r="G59" s="7"/>
      <c r="H59" s="7" t="str">
        <f>+VLOOKUP(Q59,Maps!I:J,2,0)</f>
        <v>Pistola</v>
      </c>
      <c r="I59" s="7" t="str">
        <f>+VLOOKUP(T59,Maps!E:F,2,0)</f>
        <v>.380 ACP</v>
      </c>
      <c r="L59">
        <v>55</v>
      </c>
      <c r="M59">
        <v>45596</v>
      </c>
      <c r="N59" t="s">
        <v>350</v>
      </c>
      <c r="O59" t="s">
        <v>351</v>
      </c>
      <c r="P59" t="s">
        <v>346</v>
      </c>
      <c r="Q59" t="s">
        <v>28</v>
      </c>
      <c r="R59" t="s">
        <v>358</v>
      </c>
      <c r="S59" t="s">
        <v>149</v>
      </c>
      <c r="T59" t="s">
        <v>360</v>
      </c>
      <c r="U59">
        <v>15</v>
      </c>
      <c r="V59" t="s">
        <v>126</v>
      </c>
    </row>
    <row r="60" spans="1:22" ht="14.25" customHeight="1" x14ac:dyDescent="0.35">
      <c r="A60" s="45" t="str">
        <f t="array" ref="A60">EXTRACTEVENT(N60,V60)</f>
        <v>TREINO</v>
      </c>
      <c r="B60" s="7" t="str">
        <f t="shared" si="0"/>
        <v>-</v>
      </c>
      <c r="C60" s="7" t="str">
        <f>+VLOOKUP(P60,Maps!$A:$C,2,0)</f>
        <v>TR</v>
      </c>
      <c r="D60" s="7" t="str">
        <f t="shared" si="1"/>
        <v>T</v>
      </c>
      <c r="E60" s="10">
        <f t="shared" si="2"/>
        <v>45848</v>
      </c>
      <c r="F60" s="7" t="str">
        <f t="array" ref="F60">+TIPOARMA(H60,I60)</f>
        <v>ACRR</v>
      </c>
      <c r="G60" s="7"/>
      <c r="H60" s="7" t="str">
        <f>+VLOOKUP(Q60,Maps!I:J,2,0)</f>
        <v>Pistola</v>
      </c>
      <c r="I60" s="7" t="str">
        <f>+VLOOKUP(T60,Maps!E:F,2,0)</f>
        <v>.380 ACP</v>
      </c>
      <c r="L60">
        <v>56</v>
      </c>
      <c r="M60">
        <v>45848</v>
      </c>
      <c r="N60" t="s">
        <v>382</v>
      </c>
      <c r="O60" t="s">
        <v>351</v>
      </c>
      <c r="P60" t="s">
        <v>346</v>
      </c>
      <c r="Q60" t="s">
        <v>28</v>
      </c>
      <c r="R60" t="s">
        <v>358</v>
      </c>
      <c r="S60" t="s">
        <v>149</v>
      </c>
      <c r="T60" t="s">
        <v>360</v>
      </c>
      <c r="U60">
        <v>50</v>
      </c>
      <c r="V60" t="s">
        <v>126</v>
      </c>
    </row>
    <row r="61" spans="1:22" ht="14.25" customHeight="1" x14ac:dyDescent="0.35">
      <c r="A61" s="45" t="str">
        <f t="array" ref="A61">EXTRACTEVENT(N61,V61)</f>
        <v>TREINO</v>
      </c>
      <c r="B61" s="7" t="str">
        <f t="shared" si="0"/>
        <v>-</v>
      </c>
      <c r="C61" s="7" t="str">
        <f>+VLOOKUP(P61,Maps!$A:$C,2,0)</f>
        <v>TR</v>
      </c>
      <c r="D61" s="7" t="str">
        <f t="shared" si="1"/>
        <v>T</v>
      </c>
      <c r="E61" s="10">
        <f t="shared" si="2"/>
        <v>45848</v>
      </c>
      <c r="F61" s="7" t="str">
        <f t="array" ref="F61">+TIPOARMA(H61,I61)</f>
        <v>ACRP</v>
      </c>
      <c r="G61" s="7"/>
      <c r="H61" s="7" t="str">
        <f>+VLOOKUP(Q61,Maps!I:J,2,0)</f>
        <v>Pistola</v>
      </c>
      <c r="I61" s="7" t="str">
        <f>+VLOOKUP(T61,Maps!E:F,2,0)</f>
        <v>9mm</v>
      </c>
      <c r="L61">
        <v>57</v>
      </c>
      <c r="M61">
        <v>45848</v>
      </c>
      <c r="N61" t="s">
        <v>383</v>
      </c>
      <c r="O61" t="s">
        <v>351</v>
      </c>
      <c r="P61" t="s">
        <v>346</v>
      </c>
      <c r="Q61" t="s">
        <v>28</v>
      </c>
      <c r="R61" t="s">
        <v>347</v>
      </c>
      <c r="S61" t="s">
        <v>149</v>
      </c>
      <c r="T61" t="s">
        <v>362</v>
      </c>
      <c r="U61">
        <v>100</v>
      </c>
      <c r="V61" t="s">
        <v>126</v>
      </c>
    </row>
    <row r="62" spans="1:22" ht="14.25" customHeight="1" x14ac:dyDescent="0.35">
      <c r="A62" s="45" t="str">
        <f t="array" ref="A62">EXTRACTEVENT(N62,V62)</f>
        <v>TREINO</v>
      </c>
      <c r="B62" s="7" t="str">
        <f t="shared" si="0"/>
        <v>-</v>
      </c>
      <c r="C62" s="7" t="str">
        <f>+VLOOKUP(P62,Maps!$A:$C,2,0)</f>
        <v>TR</v>
      </c>
      <c r="D62" s="7" t="str">
        <f t="shared" si="1"/>
        <v>T</v>
      </c>
      <c r="E62" s="10">
        <f t="shared" si="2"/>
        <v>45848</v>
      </c>
      <c r="F62" s="7" t="str">
        <f t="array" ref="F62">+TIPOARMA(H62,I62)</f>
        <v>ALRP</v>
      </c>
      <c r="G62" s="7"/>
      <c r="H62" s="7" t="str">
        <f>+VLOOKUP(Q62,Maps!I:J,2,0)</f>
        <v>Carabina/Fuzil</v>
      </c>
      <c r="I62" s="7" t="str">
        <f>+VLOOKUP(T62,Maps!E:F,2,0)</f>
        <v>.357 Mag</v>
      </c>
      <c r="L62">
        <v>58</v>
      </c>
      <c r="M62">
        <v>45848</v>
      </c>
      <c r="N62" t="s">
        <v>384</v>
      </c>
      <c r="O62" t="s">
        <v>351</v>
      </c>
      <c r="P62" t="s">
        <v>346</v>
      </c>
      <c r="Q62" t="s">
        <v>352</v>
      </c>
      <c r="R62" t="s">
        <v>381</v>
      </c>
      <c r="S62" t="s">
        <v>348</v>
      </c>
      <c r="T62" t="s">
        <v>364</v>
      </c>
      <c r="U62">
        <v>25</v>
      </c>
      <c r="V62" t="s">
        <v>126</v>
      </c>
    </row>
    <row r="63" spans="1:22" ht="14.25" customHeight="1" x14ac:dyDescent="0.35">
      <c r="A63" s="45" t="str">
        <f t="array" ref="A63">EXTRACTEVENT(N63,V63)</f>
        <v>TREINO</v>
      </c>
      <c r="B63" s="7" t="str">
        <f t="shared" si="0"/>
        <v>-</v>
      </c>
      <c r="C63" s="7" t="str">
        <f>+VLOOKUP(P63,Maps!$A:$C,2,0)</f>
        <v>TR</v>
      </c>
      <c r="D63" s="7" t="str">
        <f t="shared" si="1"/>
        <v>T</v>
      </c>
      <c r="E63" s="10">
        <f t="shared" si="2"/>
        <v>45848</v>
      </c>
      <c r="F63" s="7" t="str">
        <f t="array" ref="F63">+TIPOARMA(H63,I63)</f>
        <v>ALRR</v>
      </c>
      <c r="G63" s="7"/>
      <c r="H63" s="7" t="str">
        <f>+VLOOKUP(Q63,Maps!I:J,2,0)</f>
        <v>Carabina/Fuzil</v>
      </c>
      <c r="I63" s="7" t="str">
        <f>+VLOOKUP(T63,Maps!E:F,2,0)</f>
        <v>5.56MM</v>
      </c>
      <c r="L63">
        <v>59</v>
      </c>
      <c r="M63">
        <v>45848</v>
      </c>
      <c r="N63" t="s">
        <v>385</v>
      </c>
      <c r="O63" t="s">
        <v>351</v>
      </c>
      <c r="P63" t="s">
        <v>346</v>
      </c>
      <c r="Q63" t="s">
        <v>352</v>
      </c>
      <c r="R63" t="s">
        <v>353</v>
      </c>
      <c r="S63" t="s">
        <v>348</v>
      </c>
      <c r="T63">
        <v>0.55600000000000005</v>
      </c>
      <c r="U63">
        <v>10</v>
      </c>
      <c r="V63" t="s">
        <v>126</v>
      </c>
    </row>
    <row r="64" spans="1:22" ht="14.25" customHeight="1" x14ac:dyDescent="0.35">
      <c r="A64" s="45" t="str">
        <f t="array" ref="A64">EXTRACTEVENT(N64,V64)</f>
        <v>TREINO</v>
      </c>
      <c r="B64" s="7" t="str">
        <f t="shared" si="0"/>
        <v>-</v>
      </c>
      <c r="C64" s="7" t="str">
        <f>+VLOOKUP(P64,Maps!$A:$C,2,0)</f>
        <v>TR</v>
      </c>
      <c r="D64" s="7" t="str">
        <f t="shared" si="1"/>
        <v>T</v>
      </c>
      <c r="E64" s="10">
        <f t="shared" si="2"/>
        <v>45848</v>
      </c>
      <c r="F64" s="7" t="str">
        <f t="array" ref="F64">+TIPOARMA(H64,I64)</f>
        <v>ACRP</v>
      </c>
      <c r="G64" s="7"/>
      <c r="H64" s="7" t="str">
        <f>+VLOOKUP(Q64,Maps!I:J,2,0)</f>
        <v>Pistola</v>
      </c>
      <c r="I64" s="7" t="str">
        <f>+VLOOKUP(T64,Maps!E:F,2,0)</f>
        <v>9mm</v>
      </c>
      <c r="L64">
        <v>60</v>
      </c>
      <c r="M64">
        <v>45848</v>
      </c>
      <c r="N64" t="s">
        <v>382</v>
      </c>
      <c r="O64" t="s">
        <v>351</v>
      </c>
      <c r="P64" t="s">
        <v>346</v>
      </c>
      <c r="Q64" t="s">
        <v>28</v>
      </c>
      <c r="R64" t="s">
        <v>347</v>
      </c>
      <c r="S64" t="s">
        <v>149</v>
      </c>
      <c r="T64" t="s">
        <v>29</v>
      </c>
      <c r="U64">
        <v>50</v>
      </c>
      <c r="V64" t="s">
        <v>126</v>
      </c>
    </row>
    <row r="65" spans="1:22" ht="14.25" customHeight="1" x14ac:dyDescent="0.35">
      <c r="A65" s="45" t="str">
        <f t="array" ref="A65">EXTRACTEVENT(N65,V65)</f>
        <v>TREINO</v>
      </c>
      <c r="B65" s="7" t="str">
        <f t="shared" si="0"/>
        <v>-</v>
      </c>
      <c r="C65" s="7" t="str">
        <f>+VLOOKUP(P65,Maps!$A:$C,2,0)</f>
        <v>TR</v>
      </c>
      <c r="D65" s="7" t="str">
        <f t="shared" si="1"/>
        <v>T</v>
      </c>
      <c r="E65" s="10">
        <f t="shared" si="2"/>
        <v>45868</v>
      </c>
      <c r="F65" s="7" t="str">
        <f t="array" ref="F65">+TIPOARMA(H65,I65)</f>
        <v>ACRR</v>
      </c>
      <c r="G65" s="7"/>
      <c r="H65" s="7" t="str">
        <f>+VLOOKUP(Q65,Maps!I:J,2,0)</f>
        <v>Pistola</v>
      </c>
      <c r="I65" s="7" t="str">
        <f>+VLOOKUP(T65,Maps!E:F,2,0)</f>
        <v>.380 ACP</v>
      </c>
      <c r="L65">
        <v>61</v>
      </c>
      <c r="M65">
        <v>45868</v>
      </c>
      <c r="N65" t="s">
        <v>386</v>
      </c>
      <c r="O65" t="s">
        <v>351</v>
      </c>
      <c r="P65" t="s">
        <v>346</v>
      </c>
      <c r="Q65" t="s">
        <v>28</v>
      </c>
      <c r="R65" t="s">
        <v>358</v>
      </c>
      <c r="S65" t="s">
        <v>149</v>
      </c>
      <c r="T65" t="s">
        <v>360</v>
      </c>
      <c r="U65">
        <v>30</v>
      </c>
      <c r="V65" t="s">
        <v>126</v>
      </c>
    </row>
    <row r="66" spans="1:22" ht="14.25" customHeight="1" x14ac:dyDescent="0.35">
      <c r="A66" s="45" t="str">
        <f t="array" ref="A66">EXTRACTEVENT(N66,V66)</f>
        <v>TREINO</v>
      </c>
      <c r="B66" s="7" t="str">
        <f t="shared" ref="B66:B129" si="3">+IF(V66="TREINO","-",LEFT(N66,1))</f>
        <v>-</v>
      </c>
      <c r="C66" s="7" t="str">
        <f>+VLOOKUP(P66,Maps!$A:$C,2,0)</f>
        <v>TR</v>
      </c>
      <c r="D66" s="7" t="str">
        <f t="shared" ref="D66:D129" si="4">+IF($V66="TREINO","T",IF(V66="NACIONAL","N","E"))</f>
        <v>T</v>
      </c>
      <c r="E66" s="10">
        <f t="shared" ref="E66:E129" si="5">IFERROR(DATEVALUE(LEFT(M66,10)),M66)</f>
        <v>45868</v>
      </c>
      <c r="F66" s="7" t="str">
        <f t="array" ref="F66">+TIPOARMA(H66,I66)</f>
        <v>ACRP</v>
      </c>
      <c r="G66" s="7"/>
      <c r="H66" s="7" t="str">
        <f>+VLOOKUP(Q66,Maps!I:J,2,0)</f>
        <v>Pistola</v>
      </c>
      <c r="I66" s="7" t="str">
        <f>+VLOOKUP(T66,Maps!E:F,2,0)</f>
        <v>9mm</v>
      </c>
      <c r="L66">
        <v>62</v>
      </c>
      <c r="M66">
        <v>45868</v>
      </c>
      <c r="N66" t="s">
        <v>383</v>
      </c>
      <c r="O66" t="s">
        <v>351</v>
      </c>
      <c r="P66" t="s">
        <v>346</v>
      </c>
      <c r="Q66" t="s">
        <v>28</v>
      </c>
      <c r="R66" t="s">
        <v>347</v>
      </c>
      <c r="S66" t="s">
        <v>149</v>
      </c>
      <c r="T66" t="s">
        <v>362</v>
      </c>
      <c r="U66">
        <v>100</v>
      </c>
      <c r="V66" t="s">
        <v>126</v>
      </c>
    </row>
    <row r="67" spans="1:22" ht="14.25" customHeight="1" x14ac:dyDescent="0.35">
      <c r="A67" s="45" t="str">
        <f t="array" ref="A67">EXTRACTEVENT(N67,V67)</f>
        <v>TREINO</v>
      </c>
      <c r="B67" s="7" t="str">
        <f t="shared" si="3"/>
        <v>-</v>
      </c>
      <c r="C67" s="7" t="str">
        <f>+VLOOKUP(P67,Maps!$A:$C,2,0)</f>
        <v>TR</v>
      </c>
      <c r="D67" s="7" t="str">
        <f t="shared" si="4"/>
        <v>T</v>
      </c>
      <c r="E67" s="10">
        <f t="shared" si="5"/>
        <v>45868</v>
      </c>
      <c r="F67" s="7" t="str">
        <f t="array" ref="F67">+TIPOARMA(H67,I67)</f>
        <v>ALRP</v>
      </c>
      <c r="G67" s="7"/>
      <c r="H67" s="7" t="str">
        <f>+VLOOKUP(Q67,Maps!I:J,2,0)</f>
        <v>Carabina/Fuzil</v>
      </c>
      <c r="I67" s="7" t="str">
        <f>+VLOOKUP(T67,Maps!E:F,2,0)</f>
        <v>.357 Mag</v>
      </c>
      <c r="L67">
        <v>63</v>
      </c>
      <c r="M67">
        <v>45868</v>
      </c>
      <c r="N67" t="s">
        <v>387</v>
      </c>
      <c r="O67" t="s">
        <v>351</v>
      </c>
      <c r="P67" t="s">
        <v>346</v>
      </c>
      <c r="Q67" t="s">
        <v>352</v>
      </c>
      <c r="R67" t="s">
        <v>381</v>
      </c>
      <c r="S67" t="s">
        <v>149</v>
      </c>
      <c r="T67" t="s">
        <v>364</v>
      </c>
      <c r="U67">
        <v>20</v>
      </c>
      <c r="V67" t="s">
        <v>126</v>
      </c>
    </row>
    <row r="68" spans="1:22" ht="14.25" customHeight="1" x14ac:dyDescent="0.35">
      <c r="A68" s="45" t="str">
        <f t="array" ref="A68">EXTRACTEVENT(N68,V68)</f>
        <v>TREINO</v>
      </c>
      <c r="B68" s="7" t="str">
        <f t="shared" si="3"/>
        <v>-</v>
      </c>
      <c r="C68" s="7" t="str">
        <f>+VLOOKUP(P68,Maps!$A:$C,2,0)</f>
        <v>TR</v>
      </c>
      <c r="D68" s="7" t="str">
        <f t="shared" si="4"/>
        <v>T</v>
      </c>
      <c r="E68" s="10">
        <f t="shared" si="5"/>
        <v>45868</v>
      </c>
      <c r="F68" s="7" t="str">
        <f t="array" ref="F68">+TIPOARMA(H68,I68)</f>
        <v>ALRR</v>
      </c>
      <c r="G68" s="7"/>
      <c r="H68" s="7" t="str">
        <f>+VLOOKUP(Q68,Maps!I:J,2,0)</f>
        <v>Carabina/Fuzil</v>
      </c>
      <c r="I68" s="7" t="str">
        <f>+VLOOKUP(T68,Maps!E:F,2,0)</f>
        <v>5.56MM</v>
      </c>
      <c r="L68">
        <v>64</v>
      </c>
      <c r="M68">
        <v>45868</v>
      </c>
      <c r="N68" t="s">
        <v>388</v>
      </c>
      <c r="O68" t="s">
        <v>351</v>
      </c>
      <c r="P68" t="s">
        <v>346</v>
      </c>
      <c r="Q68" t="s">
        <v>352</v>
      </c>
      <c r="R68" t="s">
        <v>353</v>
      </c>
      <c r="S68" t="s">
        <v>348</v>
      </c>
      <c r="T68">
        <v>0.55600000000000005</v>
      </c>
      <c r="U68">
        <v>15</v>
      </c>
      <c r="V68" t="s">
        <v>126</v>
      </c>
    </row>
    <row r="69" spans="1:22" ht="14.25" customHeight="1" x14ac:dyDescent="0.35">
      <c r="A69" s="45" t="str">
        <f t="array" ref="A69">EXTRACTEVENT(N69,V69)</f>
        <v>TREINO</v>
      </c>
      <c r="B69" s="7" t="str">
        <f t="shared" si="3"/>
        <v>-</v>
      </c>
      <c r="C69" s="7" t="str">
        <f>+VLOOKUP(P69,Maps!$A:$C,2,0)</f>
        <v>TR</v>
      </c>
      <c r="D69" s="7" t="str">
        <f t="shared" si="4"/>
        <v>T</v>
      </c>
      <c r="E69" s="10">
        <f t="shared" si="5"/>
        <v>45882</v>
      </c>
      <c r="F69" s="7" t="str">
        <f t="array" ref="F69">+TIPOARMA(H69,I69)</f>
        <v>ACRR</v>
      </c>
      <c r="G69" s="7"/>
      <c r="H69" s="7" t="str">
        <f>+VLOOKUP(Q69,Maps!I:J,2,0)</f>
        <v>Pistola</v>
      </c>
      <c r="I69" s="7" t="str">
        <f>+VLOOKUP(T69,Maps!E:F,2,0)</f>
        <v>.380 ACP</v>
      </c>
      <c r="L69">
        <v>65</v>
      </c>
      <c r="M69">
        <v>45882</v>
      </c>
      <c r="N69" t="s">
        <v>382</v>
      </c>
      <c r="O69" t="s">
        <v>351</v>
      </c>
      <c r="P69" t="s">
        <v>346</v>
      </c>
      <c r="Q69" t="s">
        <v>28</v>
      </c>
      <c r="R69" t="s">
        <v>358</v>
      </c>
      <c r="S69" t="s">
        <v>149</v>
      </c>
      <c r="T69" t="s">
        <v>360</v>
      </c>
      <c r="U69">
        <v>50</v>
      </c>
      <c r="V69" t="s">
        <v>126</v>
      </c>
    </row>
    <row r="70" spans="1:22" ht="14.25" customHeight="1" x14ac:dyDescent="0.35">
      <c r="A70" s="45" t="str">
        <f t="array" ref="A70">EXTRACTEVENT(N70,V70)</f>
        <v>TREINO</v>
      </c>
      <c r="B70" s="7" t="str">
        <f t="shared" si="3"/>
        <v>-</v>
      </c>
      <c r="C70" s="7" t="str">
        <f>+VLOOKUP(P70,Maps!$A:$C,2,0)</f>
        <v>TR</v>
      </c>
      <c r="D70" s="7" t="str">
        <f t="shared" si="4"/>
        <v>T</v>
      </c>
      <c r="E70" s="10">
        <f t="shared" si="5"/>
        <v>45882</v>
      </c>
      <c r="F70" s="7" t="str">
        <f t="array" ref="F70">+TIPOARMA(H70,I70)</f>
        <v>ACRP</v>
      </c>
      <c r="G70" s="7"/>
      <c r="H70" s="7" t="str">
        <f>+VLOOKUP(Q70,Maps!I:J,2,0)</f>
        <v>Pistola</v>
      </c>
      <c r="I70" s="7" t="str">
        <f>+VLOOKUP(T70,Maps!E:F,2,0)</f>
        <v>9mm</v>
      </c>
      <c r="L70">
        <v>66</v>
      </c>
      <c r="M70">
        <v>45882</v>
      </c>
      <c r="N70" t="s">
        <v>382</v>
      </c>
      <c r="O70" t="s">
        <v>351</v>
      </c>
      <c r="P70" t="s">
        <v>346</v>
      </c>
      <c r="Q70" t="s">
        <v>28</v>
      </c>
      <c r="R70" t="s">
        <v>347</v>
      </c>
      <c r="S70" t="s">
        <v>149</v>
      </c>
      <c r="T70" t="s">
        <v>362</v>
      </c>
      <c r="U70">
        <v>50</v>
      </c>
      <c r="V70" t="s">
        <v>126</v>
      </c>
    </row>
    <row r="71" spans="1:22" ht="14.25" customHeight="1" x14ac:dyDescent="0.35">
      <c r="A71" s="45" t="str">
        <f t="array" ref="A71">EXTRACTEVENT(N71,V71)</f>
        <v>TREINO</v>
      </c>
      <c r="B71" s="7" t="str">
        <f t="shared" si="3"/>
        <v>-</v>
      </c>
      <c r="C71" s="7" t="str">
        <f>+VLOOKUP(P71,Maps!$A:$C,2,0)</f>
        <v>TR</v>
      </c>
      <c r="D71" s="7" t="str">
        <f t="shared" si="4"/>
        <v>T</v>
      </c>
      <c r="E71" s="10">
        <f t="shared" si="5"/>
        <v>45882</v>
      </c>
      <c r="F71" s="7" t="str">
        <f t="array" ref="F71">+TIPOARMA(H71,I71)</f>
        <v>ALRR</v>
      </c>
      <c r="G71" s="7"/>
      <c r="H71" s="7" t="str">
        <f>+VLOOKUP(Q71,Maps!I:J,2,0)</f>
        <v>Carabina/Fuzil</v>
      </c>
      <c r="I71" s="7" t="str">
        <f>+VLOOKUP(T71,Maps!E:F,2,0)</f>
        <v>5.56MM</v>
      </c>
      <c r="L71">
        <v>67</v>
      </c>
      <c r="M71">
        <v>45882</v>
      </c>
      <c r="N71" t="s">
        <v>388</v>
      </c>
      <c r="O71" t="s">
        <v>351</v>
      </c>
      <c r="P71" t="s">
        <v>346</v>
      </c>
      <c r="Q71" t="s">
        <v>352</v>
      </c>
      <c r="R71" t="s">
        <v>353</v>
      </c>
      <c r="S71" t="s">
        <v>348</v>
      </c>
      <c r="T71">
        <v>0.55600000000000005</v>
      </c>
      <c r="U71">
        <v>15</v>
      </c>
      <c r="V71" t="s">
        <v>126</v>
      </c>
    </row>
    <row r="72" spans="1:22" ht="14.25" customHeight="1" x14ac:dyDescent="0.35">
      <c r="A72" s="45" t="str">
        <f t="array" ref="A72">EXTRACTEVENT(N72,V72)</f>
        <v>TREINO</v>
      </c>
      <c r="B72" s="7" t="str">
        <f t="shared" si="3"/>
        <v>-</v>
      </c>
      <c r="C72" s="7" t="str">
        <f>+VLOOKUP(P72,Maps!$A:$C,2,0)</f>
        <v>TR</v>
      </c>
      <c r="D72" s="7" t="str">
        <f t="shared" si="4"/>
        <v>T</v>
      </c>
      <c r="E72" s="10">
        <f t="shared" si="5"/>
        <v>45882</v>
      </c>
      <c r="F72" s="7" t="str">
        <f t="array" ref="F72">+TIPOARMA(H72,I72)</f>
        <v>ALRP</v>
      </c>
      <c r="G72" s="7"/>
      <c r="H72" s="7" t="str">
        <f>+VLOOKUP(Q72,Maps!I:J,2,0)</f>
        <v>Carabina/Fuzil</v>
      </c>
      <c r="I72" s="7" t="str">
        <f>+VLOOKUP(T72,Maps!E:F,2,0)</f>
        <v>.357 Mag</v>
      </c>
      <c r="L72">
        <v>68</v>
      </c>
      <c r="M72">
        <v>45882</v>
      </c>
      <c r="N72" t="s">
        <v>386</v>
      </c>
      <c r="O72" t="s">
        <v>351</v>
      </c>
      <c r="P72" t="s">
        <v>346</v>
      </c>
      <c r="Q72" t="s">
        <v>352</v>
      </c>
      <c r="R72" t="s">
        <v>381</v>
      </c>
      <c r="S72" t="s">
        <v>348</v>
      </c>
      <c r="T72" t="s">
        <v>364</v>
      </c>
      <c r="U72">
        <v>30</v>
      </c>
      <c r="V72" t="s">
        <v>126</v>
      </c>
    </row>
    <row r="73" spans="1:22" ht="14.25" customHeight="1" x14ac:dyDescent="0.35">
      <c r="A73" s="45" t="str">
        <f t="array" ref="A73">EXTRACTEVENT(N73,V73)</f>
        <v>TREINO</v>
      </c>
      <c r="B73" s="7" t="str">
        <f t="shared" si="3"/>
        <v>-</v>
      </c>
      <c r="C73" s="7" t="str">
        <f>+VLOOKUP(P73,Maps!$A:$C,2,0)</f>
        <v>TR</v>
      </c>
      <c r="D73" s="7" t="str">
        <f t="shared" si="4"/>
        <v>T</v>
      </c>
      <c r="E73" s="10">
        <f t="shared" si="5"/>
        <v>45885</v>
      </c>
      <c r="F73" s="7" t="str">
        <f t="array" ref="F73">+TIPOARMA(H73,I73)</f>
        <v>ACRR</v>
      </c>
      <c r="G73" s="7"/>
      <c r="H73" s="7" t="str">
        <f>+VLOOKUP(Q73,Maps!I:J,2,0)</f>
        <v>Pistola</v>
      </c>
      <c r="I73" s="7" t="str">
        <f>+VLOOKUP(T73,Maps!E:F,2,0)</f>
        <v>.380 ACP</v>
      </c>
      <c r="L73">
        <v>69</v>
      </c>
      <c r="M73">
        <v>45885</v>
      </c>
      <c r="N73" t="s">
        <v>383</v>
      </c>
      <c r="O73" t="s">
        <v>351</v>
      </c>
      <c r="P73" t="s">
        <v>346</v>
      </c>
      <c r="Q73" t="s">
        <v>28</v>
      </c>
      <c r="R73" t="s">
        <v>358</v>
      </c>
      <c r="S73" t="s">
        <v>149</v>
      </c>
      <c r="T73" t="s">
        <v>360</v>
      </c>
      <c r="U73">
        <v>100</v>
      </c>
      <c r="V73" t="s">
        <v>126</v>
      </c>
    </row>
    <row r="74" spans="1:22" ht="14.25" customHeight="1" x14ac:dyDescent="0.35">
      <c r="A74" s="45" t="str">
        <f t="array" ref="A74">EXTRACTEVENT(N74,V74)</f>
        <v>TREINO</v>
      </c>
      <c r="B74" s="7" t="str">
        <f t="shared" si="3"/>
        <v>-</v>
      </c>
      <c r="C74" s="7" t="str">
        <f>+VLOOKUP(P74,Maps!$A:$C,2,0)</f>
        <v>TR</v>
      </c>
      <c r="D74" s="7" t="str">
        <f t="shared" si="4"/>
        <v>T</v>
      </c>
      <c r="E74" s="10">
        <f t="shared" si="5"/>
        <v>45885</v>
      </c>
      <c r="F74" s="7" t="str">
        <f t="array" ref="F74">+TIPOARMA(H74,I74)</f>
        <v>ACRP</v>
      </c>
      <c r="G74" s="7"/>
      <c r="H74" s="7" t="str">
        <f>+VLOOKUP(Q74,Maps!I:J,2,0)</f>
        <v>Pistola</v>
      </c>
      <c r="I74" s="7" t="str">
        <f>+VLOOKUP(T74,Maps!E:F,2,0)</f>
        <v>9mm</v>
      </c>
      <c r="L74">
        <v>70</v>
      </c>
      <c r="M74">
        <v>45885</v>
      </c>
      <c r="N74" t="s">
        <v>383</v>
      </c>
      <c r="O74" t="s">
        <v>351</v>
      </c>
      <c r="P74" t="s">
        <v>346</v>
      </c>
      <c r="Q74" t="s">
        <v>28</v>
      </c>
      <c r="R74" t="s">
        <v>347</v>
      </c>
      <c r="S74" t="s">
        <v>149</v>
      </c>
      <c r="T74" t="s">
        <v>362</v>
      </c>
      <c r="U74">
        <v>100</v>
      </c>
      <c r="V74" t="s">
        <v>126</v>
      </c>
    </row>
    <row r="75" spans="1:22" ht="14.25" customHeight="1" x14ac:dyDescent="0.35">
      <c r="A75" s="45" t="str">
        <f t="array" ref="A75">EXTRACTEVENT(N75,V75)</f>
        <v>TREINO</v>
      </c>
      <c r="B75" s="7" t="str">
        <f t="shared" si="3"/>
        <v>-</v>
      </c>
      <c r="C75" s="7" t="str">
        <f>+VLOOKUP(P75,Maps!$A:$C,2,0)</f>
        <v>TR</v>
      </c>
      <c r="D75" s="7" t="str">
        <f t="shared" si="4"/>
        <v>T</v>
      </c>
      <c r="E75" s="10">
        <f t="shared" si="5"/>
        <v>45885</v>
      </c>
      <c r="F75" s="7" t="str">
        <f t="array" ref="F75">+TIPOARMA(H75,I75)</f>
        <v>ALRR</v>
      </c>
      <c r="G75" s="7"/>
      <c r="H75" s="7" t="str">
        <f>+VLOOKUP(Q75,Maps!I:J,2,0)</f>
        <v>Carabina/Fuzil</v>
      </c>
      <c r="I75" s="7" t="str">
        <f>+VLOOKUP(T75,Maps!E:F,2,0)</f>
        <v>5.56MM</v>
      </c>
      <c r="L75">
        <v>71</v>
      </c>
      <c r="M75">
        <v>45885</v>
      </c>
      <c r="N75" t="s">
        <v>389</v>
      </c>
      <c r="O75" t="s">
        <v>351</v>
      </c>
      <c r="P75" t="s">
        <v>346</v>
      </c>
      <c r="Q75" t="s">
        <v>352</v>
      </c>
      <c r="R75" t="s">
        <v>353</v>
      </c>
      <c r="S75" t="s">
        <v>348</v>
      </c>
      <c r="T75">
        <v>0.55600000000000005</v>
      </c>
      <c r="U75">
        <v>70</v>
      </c>
      <c r="V75" t="s">
        <v>126</v>
      </c>
    </row>
    <row r="76" spans="1:22" ht="14.25" customHeight="1" x14ac:dyDescent="0.35">
      <c r="A76" s="45" t="str">
        <f t="array" ref="A76">EXTRACTEVENT(N76,V76)</f>
        <v>TREINO</v>
      </c>
      <c r="B76" s="7" t="str">
        <f t="shared" si="3"/>
        <v>-</v>
      </c>
      <c r="C76" s="7" t="str">
        <f>+VLOOKUP(P76,Maps!$A:$C,2,0)</f>
        <v>TR</v>
      </c>
      <c r="D76" s="7" t="str">
        <f t="shared" si="4"/>
        <v>T</v>
      </c>
      <c r="E76" s="10">
        <f t="shared" si="5"/>
        <v>45885</v>
      </c>
      <c r="F76" s="7" t="str">
        <f t="array" ref="F76">+TIPOARMA(H76,I76)</f>
        <v>ALRP</v>
      </c>
      <c r="G76" s="7"/>
      <c r="H76" s="7" t="str">
        <f>+VLOOKUP(Q76,Maps!I:J,2,0)</f>
        <v>Carabina/Fuzil</v>
      </c>
      <c r="I76" s="7" t="str">
        <f>+VLOOKUP(T76,Maps!E:F,2,0)</f>
        <v>.357 Mag</v>
      </c>
      <c r="L76">
        <v>72</v>
      </c>
      <c r="M76">
        <v>45885</v>
      </c>
      <c r="N76" t="s">
        <v>382</v>
      </c>
      <c r="O76" t="s">
        <v>351</v>
      </c>
      <c r="P76" t="s">
        <v>346</v>
      </c>
      <c r="Q76" t="s">
        <v>352</v>
      </c>
      <c r="R76" t="s">
        <v>381</v>
      </c>
      <c r="S76" t="s">
        <v>348</v>
      </c>
      <c r="T76" t="s">
        <v>364</v>
      </c>
      <c r="U76">
        <v>50</v>
      </c>
      <c r="V76" t="s">
        <v>126</v>
      </c>
    </row>
    <row r="77" spans="1:22" ht="14.25" customHeight="1" x14ac:dyDescent="0.35">
      <c r="A77" s="45" t="str">
        <f t="array" ref="A77">EXTRACTEVENT(N77,V77)</f>
        <v>TREINO</v>
      </c>
      <c r="B77" s="7" t="str">
        <f t="shared" si="3"/>
        <v>-</v>
      </c>
      <c r="C77" s="7" t="str">
        <f>+VLOOKUP(P77,Maps!$A:$C,2,0)</f>
        <v>TR</v>
      </c>
      <c r="D77" s="7" t="str">
        <f t="shared" si="4"/>
        <v>T</v>
      </c>
      <c r="E77" s="10">
        <f t="shared" si="5"/>
        <v>45889</v>
      </c>
      <c r="F77" s="7" t="str">
        <f t="array" ref="F77">+TIPOARMA(H77,I77)</f>
        <v>ACRR</v>
      </c>
      <c r="G77" s="7"/>
      <c r="H77" s="7" t="str">
        <f>+VLOOKUP(Q77,Maps!I:J,2,0)</f>
        <v>Pistola</v>
      </c>
      <c r="I77" s="7" t="str">
        <f>+VLOOKUP(T77,Maps!E:F,2,0)</f>
        <v>.380 ACP</v>
      </c>
      <c r="L77">
        <v>73</v>
      </c>
      <c r="M77">
        <v>45889</v>
      </c>
      <c r="N77" t="s">
        <v>387</v>
      </c>
      <c r="O77" t="s">
        <v>351</v>
      </c>
      <c r="P77" t="s">
        <v>346</v>
      </c>
      <c r="Q77" t="s">
        <v>28</v>
      </c>
      <c r="R77" t="s">
        <v>358</v>
      </c>
      <c r="S77" t="s">
        <v>149</v>
      </c>
      <c r="T77" t="s">
        <v>360</v>
      </c>
      <c r="U77">
        <v>20</v>
      </c>
      <c r="V77" t="s">
        <v>126</v>
      </c>
    </row>
    <row r="78" spans="1:22" ht="14.25" customHeight="1" x14ac:dyDescent="0.35">
      <c r="A78" s="45" t="str">
        <f t="array" ref="A78">EXTRACTEVENT(N78,V78)</f>
        <v>TREINO</v>
      </c>
      <c r="B78" s="7" t="str">
        <f t="shared" si="3"/>
        <v>-</v>
      </c>
      <c r="C78" s="7" t="str">
        <f>+VLOOKUP(P78,Maps!$A:$C,2,0)</f>
        <v>TR</v>
      </c>
      <c r="D78" s="7" t="str">
        <f t="shared" si="4"/>
        <v>T</v>
      </c>
      <c r="E78" s="10">
        <f t="shared" si="5"/>
        <v>45889</v>
      </c>
      <c r="F78" s="7" t="str">
        <f t="array" ref="F78">+TIPOARMA(H78,I78)</f>
        <v>ALRP</v>
      </c>
      <c r="G78" s="7"/>
      <c r="H78" s="7" t="str">
        <f>+VLOOKUP(Q78,Maps!I:J,2,0)</f>
        <v>Carabina/Fuzil</v>
      </c>
      <c r="I78" s="7" t="str">
        <f>+VLOOKUP(T78,Maps!E:F,2,0)</f>
        <v>.357 Mag</v>
      </c>
      <c r="L78">
        <v>74</v>
      </c>
      <c r="M78">
        <v>45889</v>
      </c>
      <c r="N78" t="s">
        <v>385</v>
      </c>
      <c r="O78" t="s">
        <v>351</v>
      </c>
      <c r="P78" t="s">
        <v>346</v>
      </c>
      <c r="Q78" t="s">
        <v>352</v>
      </c>
      <c r="R78" t="s">
        <v>381</v>
      </c>
      <c r="S78" t="s">
        <v>348</v>
      </c>
      <c r="T78" t="s">
        <v>364</v>
      </c>
      <c r="U78">
        <v>10</v>
      </c>
      <c r="V78" t="s">
        <v>126</v>
      </c>
    </row>
    <row r="79" spans="1:22" ht="14.25" customHeight="1" x14ac:dyDescent="0.35">
      <c r="A79" s="45" t="str">
        <f t="array" ref="A79">EXTRACTEVENT(N79,V79)</f>
        <v>TREINO</v>
      </c>
      <c r="B79" s="7" t="str">
        <f t="shared" si="3"/>
        <v>-</v>
      </c>
      <c r="C79" s="7" t="str">
        <f>+VLOOKUP(P79,Maps!$A:$C,2,0)</f>
        <v>TR</v>
      </c>
      <c r="D79" s="7" t="str">
        <f t="shared" si="4"/>
        <v>T</v>
      </c>
      <c r="E79" s="10">
        <f t="shared" si="5"/>
        <v>45889</v>
      </c>
      <c r="F79" s="7" t="str">
        <f t="array" ref="F79">+TIPOARMA(H79,I79)</f>
        <v>ALRR</v>
      </c>
      <c r="G79" s="7"/>
      <c r="H79" s="7" t="str">
        <f>+VLOOKUP(Q79,Maps!I:J,2,0)</f>
        <v>Carabina/Fuzil</v>
      </c>
      <c r="I79" s="7" t="str">
        <f>+VLOOKUP(T79,Maps!E:F,2,0)</f>
        <v>5.56MM</v>
      </c>
      <c r="L79">
        <v>75</v>
      </c>
      <c r="M79">
        <v>45889</v>
      </c>
      <c r="N79" t="s">
        <v>385</v>
      </c>
      <c r="O79" t="s">
        <v>351</v>
      </c>
      <c r="P79" t="s">
        <v>346</v>
      </c>
      <c r="Q79" t="s">
        <v>352</v>
      </c>
      <c r="R79" t="s">
        <v>353</v>
      </c>
      <c r="S79" t="s">
        <v>348</v>
      </c>
      <c r="T79">
        <v>0.55600000000000005</v>
      </c>
      <c r="U79">
        <v>10</v>
      </c>
      <c r="V79" t="s">
        <v>126</v>
      </c>
    </row>
    <row r="80" spans="1:22" ht="14.25" customHeight="1" x14ac:dyDescent="0.35">
      <c r="A80" s="45" t="str">
        <f t="array" ref="A80">EXTRACTEVENT(N80,V80)</f>
        <v>TREINO</v>
      </c>
      <c r="B80" s="7" t="str">
        <f t="shared" si="3"/>
        <v>-</v>
      </c>
      <c r="C80" s="7" t="str">
        <f>+VLOOKUP(P80,Maps!$A:$C,2,0)</f>
        <v>TR</v>
      </c>
      <c r="D80" s="7" t="str">
        <f t="shared" si="4"/>
        <v>T</v>
      </c>
      <c r="E80" s="10">
        <f t="shared" si="5"/>
        <v>45889</v>
      </c>
      <c r="F80" s="7" t="str">
        <f t="array" ref="F80">+TIPOARMA(H80,I80)</f>
        <v>ACRR</v>
      </c>
      <c r="G80" s="7"/>
      <c r="H80" s="7" t="str">
        <f>+VLOOKUP(Q80,Maps!I:J,2,0)</f>
        <v>Pistola</v>
      </c>
      <c r="I80" s="7" t="str">
        <f>+VLOOKUP(T80,Maps!E:F,2,0)</f>
        <v>.45 ACP</v>
      </c>
      <c r="L80">
        <v>76</v>
      </c>
      <c r="M80">
        <v>45889</v>
      </c>
      <c r="N80" t="s">
        <v>390</v>
      </c>
      <c r="O80" t="s">
        <v>351</v>
      </c>
      <c r="P80" t="s">
        <v>346</v>
      </c>
      <c r="Q80" t="s">
        <v>28</v>
      </c>
      <c r="R80" t="s">
        <v>347</v>
      </c>
      <c r="S80" t="s">
        <v>149</v>
      </c>
      <c r="T80" t="s">
        <v>356</v>
      </c>
      <c r="U80">
        <v>5</v>
      </c>
      <c r="V80" t="s">
        <v>126</v>
      </c>
    </row>
    <row r="81" spans="1:22" ht="14.25" customHeight="1" x14ac:dyDescent="0.35">
      <c r="A81" s="45" t="str">
        <f t="array" ref="A81">EXTRACTEVENT(N81,V81)</f>
        <v>TREINO</v>
      </c>
      <c r="B81" s="7" t="str">
        <f t="shared" si="3"/>
        <v>-</v>
      </c>
      <c r="C81" s="7" t="str">
        <f>+VLOOKUP(P81,Maps!$A:$C,2,0)</f>
        <v>TR</v>
      </c>
      <c r="D81" s="7" t="str">
        <f t="shared" si="4"/>
        <v>T</v>
      </c>
      <c r="E81" s="10">
        <f t="shared" si="5"/>
        <v>45891</v>
      </c>
      <c r="F81" s="7" t="str">
        <f t="array" ref="F81">+TIPOARMA(H81,I81)</f>
        <v>ACRR</v>
      </c>
      <c r="G81" s="7"/>
      <c r="H81" s="7" t="str">
        <f>+VLOOKUP(Q81,Maps!I:J,2,0)</f>
        <v>Pistola</v>
      </c>
      <c r="I81" s="7" t="str">
        <f>+VLOOKUP(T81,Maps!E:F,2,0)</f>
        <v>.380 ACP</v>
      </c>
      <c r="L81">
        <v>77</v>
      </c>
      <c r="M81">
        <v>45891</v>
      </c>
      <c r="N81" t="s">
        <v>387</v>
      </c>
      <c r="O81" t="s">
        <v>351</v>
      </c>
      <c r="P81" t="s">
        <v>346</v>
      </c>
      <c r="Q81" t="s">
        <v>28</v>
      </c>
      <c r="R81" t="s">
        <v>358</v>
      </c>
      <c r="S81" t="s">
        <v>149</v>
      </c>
      <c r="T81" t="s">
        <v>360</v>
      </c>
      <c r="U81">
        <v>20</v>
      </c>
      <c r="V81" t="s">
        <v>126</v>
      </c>
    </row>
    <row r="82" spans="1:22" ht="14.25" customHeight="1" x14ac:dyDescent="0.35">
      <c r="A82" s="45" t="str">
        <f t="array" ref="A82">EXTRACTEVENT(N82,V82)</f>
        <v>TREINO</v>
      </c>
      <c r="B82" s="7" t="str">
        <f t="shared" si="3"/>
        <v>-</v>
      </c>
      <c r="C82" s="7" t="str">
        <f>+VLOOKUP(P82,Maps!$A:$C,2,0)</f>
        <v>TR</v>
      </c>
      <c r="D82" s="7" t="str">
        <f t="shared" si="4"/>
        <v>T</v>
      </c>
      <c r="E82" s="10">
        <f t="shared" si="5"/>
        <v>45891</v>
      </c>
      <c r="F82" s="7" t="str">
        <f t="array" ref="F82">+TIPOARMA(H82,I82)</f>
        <v>ACRP</v>
      </c>
      <c r="G82" s="7"/>
      <c r="H82" s="7" t="str">
        <f>+VLOOKUP(Q82,Maps!I:J,2,0)</f>
        <v>Pistola</v>
      </c>
      <c r="I82" s="7" t="str">
        <f>+VLOOKUP(T82,Maps!E:F,2,0)</f>
        <v>9mm</v>
      </c>
      <c r="L82">
        <v>78</v>
      </c>
      <c r="M82">
        <v>45891</v>
      </c>
      <c r="N82" t="s">
        <v>387</v>
      </c>
      <c r="O82" t="s">
        <v>351</v>
      </c>
      <c r="P82" t="s">
        <v>346</v>
      </c>
      <c r="Q82" t="s">
        <v>28</v>
      </c>
      <c r="R82" t="s">
        <v>347</v>
      </c>
      <c r="S82" t="s">
        <v>149</v>
      </c>
      <c r="T82" t="s">
        <v>29</v>
      </c>
      <c r="U82">
        <v>20</v>
      </c>
      <c r="V82" t="s">
        <v>126</v>
      </c>
    </row>
    <row r="83" spans="1:22" ht="14.25" customHeight="1" x14ac:dyDescent="0.35">
      <c r="A83" s="45" t="str">
        <f t="array" ref="A83">EXTRACTEVENT(N83,V83)</f>
        <v>TREINO</v>
      </c>
      <c r="B83" s="7" t="str">
        <f t="shared" si="3"/>
        <v>-</v>
      </c>
      <c r="C83" s="7" t="str">
        <f>+VLOOKUP(P83,Maps!$A:$C,2,0)</f>
        <v>TR</v>
      </c>
      <c r="D83" s="7" t="str">
        <f t="shared" si="4"/>
        <v>T</v>
      </c>
      <c r="E83" s="10">
        <f t="shared" si="5"/>
        <v>45892</v>
      </c>
      <c r="F83" s="7" t="str">
        <f t="array" ref="F83">+TIPOARMA(H83,I83)</f>
        <v>ACRR</v>
      </c>
      <c r="G83" s="7"/>
      <c r="H83" s="7" t="str">
        <f>+VLOOKUP(Q83,Maps!I:J,2,0)</f>
        <v>Pistola</v>
      </c>
      <c r="I83" s="7" t="str">
        <f>+VLOOKUP(T83,Maps!E:F,2,0)</f>
        <v>.380 ACP</v>
      </c>
      <c r="L83">
        <v>79</v>
      </c>
      <c r="M83">
        <v>45892</v>
      </c>
      <c r="N83" t="s">
        <v>382</v>
      </c>
      <c r="O83" t="s">
        <v>351</v>
      </c>
      <c r="P83" t="s">
        <v>346</v>
      </c>
      <c r="Q83" t="s">
        <v>28</v>
      </c>
      <c r="R83" t="s">
        <v>358</v>
      </c>
      <c r="S83" t="s">
        <v>348</v>
      </c>
      <c r="T83" t="s">
        <v>360</v>
      </c>
      <c r="U83">
        <v>50</v>
      </c>
      <c r="V83" t="s">
        <v>126</v>
      </c>
    </row>
    <row r="84" spans="1:22" ht="14.25" customHeight="1" x14ac:dyDescent="0.35">
      <c r="A84" s="45" t="str">
        <f t="array" ref="A84">EXTRACTEVENT(N84,V84)</f>
        <v>TREINO</v>
      </c>
      <c r="B84" s="7" t="str">
        <f t="shared" si="3"/>
        <v>-</v>
      </c>
      <c r="C84" s="7" t="str">
        <f>+VLOOKUP(P84,Maps!$A:$C,2,0)</f>
        <v>TR</v>
      </c>
      <c r="D84" s="7" t="str">
        <f t="shared" si="4"/>
        <v>T</v>
      </c>
      <c r="E84" s="10">
        <f t="shared" si="5"/>
        <v>45892</v>
      </c>
      <c r="F84" s="7" t="str">
        <f t="array" ref="F84">+TIPOARMA(H84,I84)</f>
        <v>ACRR</v>
      </c>
      <c r="G84" s="7"/>
      <c r="H84" s="7" t="str">
        <f>+VLOOKUP(Q84,Maps!I:J,2,0)</f>
        <v>Pistola</v>
      </c>
      <c r="I84" s="7" t="str">
        <f>+VLOOKUP(T84,Maps!E:F,2,0)</f>
        <v>.45 ACP</v>
      </c>
      <c r="L84">
        <v>80</v>
      </c>
      <c r="M84">
        <v>45892</v>
      </c>
      <c r="N84" t="s">
        <v>382</v>
      </c>
      <c r="O84" t="s">
        <v>351</v>
      </c>
      <c r="P84" t="s">
        <v>346</v>
      </c>
      <c r="Q84" t="s">
        <v>28</v>
      </c>
      <c r="R84" t="s">
        <v>347</v>
      </c>
      <c r="S84" t="s">
        <v>149</v>
      </c>
      <c r="T84" t="s">
        <v>356</v>
      </c>
      <c r="U84">
        <v>50</v>
      </c>
      <c r="V84" t="s">
        <v>126</v>
      </c>
    </row>
    <row r="85" spans="1:22" ht="14.25" customHeight="1" x14ac:dyDescent="0.35">
      <c r="A85" s="45" t="str">
        <f t="array" ref="A85">EXTRACTEVENT(N85,V85)</f>
        <v>TREINO</v>
      </c>
      <c r="B85" s="7" t="str">
        <f t="shared" si="3"/>
        <v>-</v>
      </c>
      <c r="C85" s="7" t="str">
        <f>+VLOOKUP(P85,Maps!$A:$C,2,0)</f>
        <v>TR</v>
      </c>
      <c r="D85" s="7" t="str">
        <f t="shared" si="4"/>
        <v>T</v>
      </c>
      <c r="E85" s="10">
        <f t="shared" si="5"/>
        <v>45892</v>
      </c>
      <c r="F85" s="7" t="str">
        <f t="array" ref="F85">+TIPOARMA(H85,I85)</f>
        <v>ALRP</v>
      </c>
      <c r="G85" s="7"/>
      <c r="H85" s="7" t="str">
        <f>+VLOOKUP(Q85,Maps!I:J,2,0)</f>
        <v>Carabina/Fuzil</v>
      </c>
      <c r="I85" s="7" t="str">
        <f>+VLOOKUP(T85,Maps!E:F,2,0)</f>
        <v>.357 Mag</v>
      </c>
      <c r="L85">
        <v>81</v>
      </c>
      <c r="M85">
        <v>45892</v>
      </c>
      <c r="N85" t="s">
        <v>387</v>
      </c>
      <c r="O85" t="s">
        <v>351</v>
      </c>
      <c r="P85" t="s">
        <v>346</v>
      </c>
      <c r="Q85" t="s">
        <v>352</v>
      </c>
      <c r="R85" t="s">
        <v>381</v>
      </c>
      <c r="S85" t="s">
        <v>348</v>
      </c>
      <c r="T85" t="s">
        <v>364</v>
      </c>
      <c r="U85">
        <v>20</v>
      </c>
      <c r="V85" t="s">
        <v>126</v>
      </c>
    </row>
    <row r="86" spans="1:22" ht="14.25" customHeight="1" x14ac:dyDescent="0.35">
      <c r="A86" s="45" t="str">
        <f t="array" ref="A86">EXTRACTEVENT(N86,V86)</f>
        <v>TREINO</v>
      </c>
      <c r="B86" s="7" t="str">
        <f t="shared" si="3"/>
        <v>-</v>
      </c>
      <c r="C86" s="7" t="str">
        <f>+VLOOKUP(P86,Maps!$A:$C,2,0)</f>
        <v>TR</v>
      </c>
      <c r="D86" s="7" t="str">
        <f t="shared" si="4"/>
        <v>T</v>
      </c>
      <c r="E86" s="10">
        <f t="shared" si="5"/>
        <v>45892</v>
      </c>
      <c r="F86" s="7" t="str">
        <f t="array" ref="F86">+TIPOARMA(H86,I86)</f>
        <v>ALRR</v>
      </c>
      <c r="G86" s="7"/>
      <c r="H86" s="7" t="str">
        <f>+VLOOKUP(Q86,Maps!I:J,2,0)</f>
        <v>Carabina/Fuzil</v>
      </c>
      <c r="I86" s="7" t="str">
        <f>+VLOOKUP(T86,Maps!E:F,2,0)</f>
        <v>5.56MM</v>
      </c>
      <c r="L86">
        <v>82</v>
      </c>
      <c r="M86">
        <v>45892</v>
      </c>
      <c r="N86" t="s">
        <v>387</v>
      </c>
      <c r="O86" t="s">
        <v>351</v>
      </c>
      <c r="P86" t="s">
        <v>346</v>
      </c>
      <c r="Q86" t="s">
        <v>352</v>
      </c>
      <c r="R86" t="s">
        <v>353</v>
      </c>
      <c r="S86" t="s">
        <v>348</v>
      </c>
      <c r="T86">
        <v>0.55600000000000005</v>
      </c>
      <c r="U86">
        <v>20</v>
      </c>
      <c r="V86" t="s">
        <v>126</v>
      </c>
    </row>
    <row r="87" spans="1:22" ht="14.25" customHeight="1" x14ac:dyDescent="0.35">
      <c r="A87" s="45" t="str">
        <f t="array" ref="A87">EXTRACTEVENT(N87,V87)</f>
        <v>TREINO</v>
      </c>
      <c r="B87" s="7" t="str">
        <f t="shared" si="3"/>
        <v>-</v>
      </c>
      <c r="C87" s="7" t="str">
        <f>+VLOOKUP(P87,Maps!$A:$C,2,0)</f>
        <v>TR</v>
      </c>
      <c r="D87" s="7" t="str">
        <f t="shared" si="4"/>
        <v>T</v>
      </c>
      <c r="E87" s="10">
        <f t="shared" si="5"/>
        <v>45892</v>
      </c>
      <c r="F87" s="7" t="str">
        <f t="array" ref="F87">+TIPOARMA(H87,I87)</f>
        <v>ACRP</v>
      </c>
      <c r="G87" s="7"/>
      <c r="H87" s="7" t="str">
        <f>+VLOOKUP(Q87,Maps!I:J,2,0)</f>
        <v>Pistola</v>
      </c>
      <c r="I87" s="7" t="str">
        <f>+VLOOKUP(T87,Maps!E:F,2,0)</f>
        <v>9mm</v>
      </c>
      <c r="L87">
        <v>83</v>
      </c>
      <c r="M87">
        <v>45892</v>
      </c>
      <c r="N87" t="s">
        <v>387</v>
      </c>
      <c r="O87" t="s">
        <v>351</v>
      </c>
      <c r="P87" t="s">
        <v>346</v>
      </c>
      <c r="Q87" t="s">
        <v>28</v>
      </c>
      <c r="R87" t="s">
        <v>347</v>
      </c>
      <c r="S87" t="s">
        <v>149</v>
      </c>
      <c r="T87" t="s">
        <v>362</v>
      </c>
      <c r="U87">
        <v>20</v>
      </c>
      <c r="V87" t="s">
        <v>126</v>
      </c>
    </row>
    <row r="88" spans="1:22" ht="14.25" customHeight="1" x14ac:dyDescent="0.35">
      <c r="A88" s="45" t="str">
        <f t="array" ref="A88">EXTRACTEVENT(N88,V88)</f>
        <v>TREINO</v>
      </c>
      <c r="B88" s="7" t="str">
        <f t="shared" si="3"/>
        <v>-</v>
      </c>
      <c r="C88" s="7" t="str">
        <f>+VLOOKUP(P88,Maps!$A:$C,2,0)</f>
        <v>TR</v>
      </c>
      <c r="D88" s="7" t="str">
        <f t="shared" si="4"/>
        <v>T</v>
      </c>
      <c r="E88" s="10">
        <f t="shared" si="5"/>
        <v>45896</v>
      </c>
      <c r="F88" s="7" t="str">
        <f t="array" ref="F88">+TIPOARMA(H88,I88)</f>
        <v>ACRP</v>
      </c>
      <c r="G88" s="7"/>
      <c r="H88" s="7" t="str">
        <f>+VLOOKUP(Q88,Maps!I:J,2,0)</f>
        <v>Pistola</v>
      </c>
      <c r="I88" s="7" t="str">
        <f>+VLOOKUP(T88,Maps!E:F,2,0)</f>
        <v>9mm</v>
      </c>
      <c r="L88">
        <v>84</v>
      </c>
      <c r="M88">
        <v>45896</v>
      </c>
      <c r="N88" t="s">
        <v>383</v>
      </c>
      <c r="O88" t="s">
        <v>351</v>
      </c>
      <c r="P88" t="s">
        <v>346</v>
      </c>
      <c r="Q88" t="s">
        <v>28</v>
      </c>
      <c r="R88" t="s">
        <v>347</v>
      </c>
      <c r="S88" t="s">
        <v>149</v>
      </c>
      <c r="T88" t="s">
        <v>362</v>
      </c>
      <c r="U88">
        <v>100</v>
      </c>
      <c r="V88" t="s">
        <v>126</v>
      </c>
    </row>
    <row r="89" spans="1:22" ht="14.25" customHeight="1" x14ac:dyDescent="0.35">
      <c r="A89" s="45" t="str">
        <f t="array" ref="A89">EXTRACTEVENT(N89,V89)</f>
        <v>TREINO</v>
      </c>
      <c r="B89" s="7" t="str">
        <f t="shared" si="3"/>
        <v>-</v>
      </c>
      <c r="C89" s="7" t="str">
        <f>+VLOOKUP(P89,Maps!$A:$C,2,0)</f>
        <v>TR</v>
      </c>
      <c r="D89" s="7" t="str">
        <f t="shared" si="4"/>
        <v>T</v>
      </c>
      <c r="E89" s="10">
        <f t="shared" si="5"/>
        <v>45896</v>
      </c>
      <c r="F89" s="7" t="str">
        <f t="array" ref="F89">+TIPOARMA(H89,I89)</f>
        <v>ALRR</v>
      </c>
      <c r="G89" s="7"/>
      <c r="H89" s="7" t="str">
        <f>+VLOOKUP(Q89,Maps!I:J,2,0)</f>
        <v>Carabina/Fuzil</v>
      </c>
      <c r="I89" s="7" t="str">
        <f>+VLOOKUP(T89,Maps!E:F,2,0)</f>
        <v>5.56MM</v>
      </c>
      <c r="L89">
        <v>85</v>
      </c>
      <c r="M89">
        <v>45896</v>
      </c>
      <c r="N89" t="s">
        <v>388</v>
      </c>
      <c r="O89" t="s">
        <v>351</v>
      </c>
      <c r="P89" t="s">
        <v>346</v>
      </c>
      <c r="Q89" t="s">
        <v>352</v>
      </c>
      <c r="R89" t="s">
        <v>353</v>
      </c>
      <c r="S89" t="s">
        <v>348</v>
      </c>
      <c r="T89">
        <v>0.55600000000000005</v>
      </c>
      <c r="U89">
        <v>15</v>
      </c>
      <c r="V89" t="s">
        <v>126</v>
      </c>
    </row>
    <row r="90" spans="1:22" ht="14.25" customHeight="1" x14ac:dyDescent="0.35">
      <c r="A90" s="45" t="str">
        <f t="array" ref="A90">EXTRACTEVENT(N90,V90)</f>
        <v>TREINO</v>
      </c>
      <c r="B90" s="7" t="str">
        <f t="shared" si="3"/>
        <v>-</v>
      </c>
      <c r="C90" s="7" t="str">
        <f>+VLOOKUP(P90,Maps!$A:$C,2,0)</f>
        <v>TR</v>
      </c>
      <c r="D90" s="7" t="str">
        <f t="shared" si="4"/>
        <v>T</v>
      </c>
      <c r="E90" s="10">
        <f t="shared" si="5"/>
        <v>45896</v>
      </c>
      <c r="F90" s="7" t="str">
        <f t="array" ref="F90">+TIPOARMA(H90,I90)</f>
        <v>ALRP</v>
      </c>
      <c r="G90" s="7"/>
      <c r="H90" s="7" t="str">
        <f>+VLOOKUP(Q90,Maps!I:J,2,0)</f>
        <v>Carabina/Fuzil</v>
      </c>
      <c r="I90" s="7" t="str">
        <f>+VLOOKUP(T90,Maps!E:F,2,0)</f>
        <v>.357 Mag</v>
      </c>
      <c r="L90">
        <v>86</v>
      </c>
      <c r="M90">
        <v>45896</v>
      </c>
      <c r="N90" t="s">
        <v>387</v>
      </c>
      <c r="O90" t="s">
        <v>351</v>
      </c>
      <c r="P90" t="s">
        <v>346</v>
      </c>
      <c r="Q90" t="s">
        <v>352</v>
      </c>
      <c r="R90" t="s">
        <v>381</v>
      </c>
      <c r="S90" t="s">
        <v>348</v>
      </c>
      <c r="T90" t="s">
        <v>364</v>
      </c>
      <c r="U90">
        <v>20</v>
      </c>
      <c r="V90" t="s">
        <v>126</v>
      </c>
    </row>
    <row r="91" spans="1:22" ht="14.25" customHeight="1" x14ac:dyDescent="0.35">
      <c r="A91" s="45" t="str">
        <f t="array" ref="A91">EXTRACTEVENT(N91,V91)</f>
        <v>TREINO</v>
      </c>
      <c r="B91" s="7" t="str">
        <f t="shared" si="3"/>
        <v>-</v>
      </c>
      <c r="C91" s="7" t="str">
        <f>+VLOOKUP(P91,Maps!$A:$C,2,0)</f>
        <v>TR</v>
      </c>
      <c r="D91" s="7" t="str">
        <f t="shared" si="4"/>
        <v>T</v>
      </c>
      <c r="E91" s="10">
        <f t="shared" si="5"/>
        <v>45910</v>
      </c>
      <c r="F91" s="7" t="str">
        <f t="array" ref="F91">+TIPOARMA(H91,I91)</f>
        <v>ACRR</v>
      </c>
      <c r="G91" s="7"/>
      <c r="H91" s="7" t="str">
        <f>+VLOOKUP(Q91,Maps!I:J,2,0)</f>
        <v>Pistola</v>
      </c>
      <c r="I91" s="7" t="str">
        <f>+VLOOKUP(T91,Maps!E:F,2,0)</f>
        <v>.380 ACP</v>
      </c>
      <c r="L91">
        <v>87</v>
      </c>
      <c r="M91">
        <v>45910</v>
      </c>
      <c r="N91" t="s">
        <v>389</v>
      </c>
      <c r="O91" t="s">
        <v>351</v>
      </c>
      <c r="P91" t="s">
        <v>346</v>
      </c>
      <c r="Q91" t="s">
        <v>28</v>
      </c>
      <c r="R91" t="s">
        <v>358</v>
      </c>
      <c r="S91" t="s">
        <v>149</v>
      </c>
      <c r="T91" t="s">
        <v>360</v>
      </c>
      <c r="U91">
        <v>70</v>
      </c>
      <c r="V91" t="s">
        <v>126</v>
      </c>
    </row>
    <row r="92" spans="1:22" ht="14.25" customHeight="1" x14ac:dyDescent="0.35">
      <c r="A92" s="45" t="str">
        <f t="array" ref="A92">EXTRACTEVENT(N92,V92)</f>
        <v>TREINO</v>
      </c>
      <c r="B92" s="7" t="str">
        <f t="shared" si="3"/>
        <v>-</v>
      </c>
      <c r="C92" s="7" t="str">
        <f>+VLOOKUP(P92,Maps!$A:$C,2,0)</f>
        <v>TR</v>
      </c>
      <c r="D92" s="7" t="str">
        <f t="shared" si="4"/>
        <v>T</v>
      </c>
      <c r="E92" s="10">
        <f t="shared" si="5"/>
        <v>45910</v>
      </c>
      <c r="F92" s="7" t="str">
        <f t="array" ref="F92">+TIPOARMA(H92,I92)</f>
        <v>ACRP</v>
      </c>
      <c r="G92" s="7"/>
      <c r="H92" s="7" t="str">
        <f>+VLOOKUP(Q92,Maps!I:J,2,0)</f>
        <v>Pistola</v>
      </c>
      <c r="I92" s="7" t="str">
        <f>+VLOOKUP(T92,Maps!E:F,2,0)</f>
        <v>9mm</v>
      </c>
      <c r="L92">
        <v>88</v>
      </c>
      <c r="M92">
        <v>45910</v>
      </c>
      <c r="N92" t="s">
        <v>389</v>
      </c>
      <c r="O92" t="s">
        <v>351</v>
      </c>
      <c r="P92" t="s">
        <v>346</v>
      </c>
      <c r="Q92" t="s">
        <v>28</v>
      </c>
      <c r="R92" t="s">
        <v>347</v>
      </c>
      <c r="S92" t="s">
        <v>348</v>
      </c>
      <c r="T92" t="s">
        <v>362</v>
      </c>
      <c r="U92">
        <v>70</v>
      </c>
      <c r="V92" t="s">
        <v>126</v>
      </c>
    </row>
    <row r="93" spans="1:22" ht="14.25" customHeight="1" x14ac:dyDescent="0.35">
      <c r="A93" s="45" t="str">
        <f t="array" ref="A93">EXTRACTEVENT(N93,V93)</f>
        <v>TREINO</v>
      </c>
      <c r="B93" s="7" t="str">
        <f t="shared" si="3"/>
        <v>-</v>
      </c>
      <c r="C93" s="7" t="str">
        <f>+VLOOKUP(P93,Maps!$A:$C,2,0)</f>
        <v>TR</v>
      </c>
      <c r="D93" s="7" t="str">
        <f t="shared" si="4"/>
        <v>T</v>
      </c>
      <c r="E93" s="10">
        <f t="shared" si="5"/>
        <v>45910</v>
      </c>
      <c r="F93" s="7" t="str">
        <f t="array" ref="F93">+TIPOARMA(H93,I93)</f>
        <v>ALRP</v>
      </c>
      <c r="G93" s="7"/>
      <c r="H93" s="7" t="str">
        <f>+VLOOKUP(Q93,Maps!I:J,2,0)</f>
        <v>Carabina/Fuzil</v>
      </c>
      <c r="I93" s="7" t="str">
        <f>+VLOOKUP(T93,Maps!E:F,2,0)</f>
        <v>.357 Mag</v>
      </c>
      <c r="L93">
        <v>89</v>
      </c>
      <c r="M93">
        <v>45910</v>
      </c>
      <c r="N93" t="s">
        <v>389</v>
      </c>
      <c r="O93" t="s">
        <v>351</v>
      </c>
      <c r="P93" t="s">
        <v>346</v>
      </c>
      <c r="Q93" t="s">
        <v>352</v>
      </c>
      <c r="R93" t="s">
        <v>381</v>
      </c>
      <c r="S93" t="s">
        <v>348</v>
      </c>
      <c r="T93" t="s">
        <v>364</v>
      </c>
      <c r="U93">
        <v>70</v>
      </c>
      <c r="V93" t="s">
        <v>126</v>
      </c>
    </row>
    <row r="94" spans="1:22" ht="14.25" customHeight="1" x14ac:dyDescent="0.35">
      <c r="A94" s="45" t="str">
        <f t="array" ref="A94">EXTRACTEVENT(N94,V94)</f>
        <v>TREINO</v>
      </c>
      <c r="B94" s="7" t="str">
        <f t="shared" si="3"/>
        <v>-</v>
      </c>
      <c r="C94" s="7" t="str">
        <f>+VLOOKUP(P94,Maps!$A:$C,2,0)</f>
        <v>TR</v>
      </c>
      <c r="D94" s="7" t="str">
        <f t="shared" si="4"/>
        <v>T</v>
      </c>
      <c r="E94" s="10">
        <f t="shared" si="5"/>
        <v>45910</v>
      </c>
      <c r="F94" s="7" t="str">
        <f t="array" ref="F94">+TIPOARMA(H94,I94)</f>
        <v>ALRR</v>
      </c>
      <c r="G94" s="7"/>
      <c r="H94" s="7" t="str">
        <f>+VLOOKUP(Q94,Maps!I:J,2,0)</f>
        <v>Carabina/Fuzil</v>
      </c>
      <c r="I94" s="7" t="str">
        <f>+VLOOKUP(T94,Maps!E:F,2,0)</f>
        <v>5.56MM</v>
      </c>
      <c r="L94">
        <v>90</v>
      </c>
      <c r="M94">
        <v>45910</v>
      </c>
      <c r="N94" t="s">
        <v>391</v>
      </c>
      <c r="O94" t="s">
        <v>351</v>
      </c>
      <c r="P94" t="s">
        <v>346</v>
      </c>
      <c r="Q94" t="s">
        <v>352</v>
      </c>
      <c r="R94" t="s">
        <v>353</v>
      </c>
      <c r="S94" t="s">
        <v>348</v>
      </c>
      <c r="T94">
        <v>0.55600000000000005</v>
      </c>
      <c r="U94">
        <v>35</v>
      </c>
      <c r="V94" t="s">
        <v>126</v>
      </c>
    </row>
    <row r="95" spans="1:22" ht="14.25" customHeight="1" x14ac:dyDescent="0.35">
      <c r="A95" s="45" t="str">
        <f t="array" ref="A95">EXTRACTEVENT(N95,V95)</f>
        <v>TREINO</v>
      </c>
      <c r="B95" s="7" t="str">
        <f t="shared" si="3"/>
        <v>-</v>
      </c>
      <c r="C95" s="7" t="str">
        <f>+VLOOKUP(P95,Maps!$A:$C,2,0)</f>
        <v>TR</v>
      </c>
      <c r="D95" s="7" t="str">
        <f t="shared" si="4"/>
        <v>T</v>
      </c>
      <c r="E95" s="10">
        <f t="shared" si="5"/>
        <v>45937</v>
      </c>
      <c r="F95" s="7" t="str">
        <f t="array" ref="F95">+TIPOARMA(H95,I95)</f>
        <v>ALRP</v>
      </c>
      <c r="G95" s="7"/>
      <c r="H95" s="7" t="str">
        <f>+VLOOKUP(Q95,Maps!I:J,2,0)</f>
        <v>Carabina/Fuzil</v>
      </c>
      <c r="I95" s="7" t="str">
        <f>+VLOOKUP(T95,Maps!E:F,2,0)</f>
        <v>.357 Mag</v>
      </c>
      <c r="L95">
        <v>91</v>
      </c>
      <c r="M95">
        <v>45937</v>
      </c>
      <c r="N95" t="s">
        <v>387</v>
      </c>
      <c r="O95" t="s">
        <v>351</v>
      </c>
      <c r="P95" t="s">
        <v>346</v>
      </c>
      <c r="Q95" t="s">
        <v>352</v>
      </c>
      <c r="R95" t="s">
        <v>381</v>
      </c>
      <c r="S95" t="s">
        <v>348</v>
      </c>
      <c r="T95" t="s">
        <v>364</v>
      </c>
      <c r="U95">
        <v>20</v>
      </c>
      <c r="V95" t="s">
        <v>126</v>
      </c>
    </row>
    <row r="96" spans="1:22" ht="14.25" customHeight="1" x14ac:dyDescent="0.35">
      <c r="A96" s="45" t="str">
        <f t="array" ref="A96">EXTRACTEVENT(N96,V96)</f>
        <v>TREINO</v>
      </c>
      <c r="B96" s="7" t="str">
        <f t="shared" si="3"/>
        <v>-</v>
      </c>
      <c r="C96" s="7" t="str">
        <f>+VLOOKUP(P96,Maps!$A:$C,2,0)</f>
        <v>TR</v>
      </c>
      <c r="D96" s="7" t="str">
        <f t="shared" si="4"/>
        <v>T</v>
      </c>
      <c r="E96" s="10">
        <f t="shared" si="5"/>
        <v>45937</v>
      </c>
      <c r="F96" s="7" t="str">
        <f t="array" ref="F96">+TIPOARMA(H96,I96)</f>
        <v>ACRP</v>
      </c>
      <c r="G96" s="7"/>
      <c r="H96" s="7" t="str">
        <f>+VLOOKUP(Q96,Maps!I:J,2,0)</f>
        <v>Pistola</v>
      </c>
      <c r="I96" s="7" t="str">
        <f>+VLOOKUP(T96,Maps!E:F,2,0)</f>
        <v>9mm</v>
      </c>
      <c r="L96">
        <v>92</v>
      </c>
      <c r="M96">
        <v>45937</v>
      </c>
      <c r="N96" t="s">
        <v>392</v>
      </c>
      <c r="O96" t="s">
        <v>351</v>
      </c>
      <c r="P96" t="s">
        <v>346</v>
      </c>
      <c r="Q96" t="s">
        <v>28</v>
      </c>
      <c r="R96" t="s">
        <v>347</v>
      </c>
      <c r="S96" t="s">
        <v>149</v>
      </c>
      <c r="T96" t="s">
        <v>362</v>
      </c>
      <c r="U96">
        <v>80</v>
      </c>
      <c r="V96" t="s">
        <v>126</v>
      </c>
    </row>
    <row r="97" spans="1:22" ht="14.25" customHeight="1" x14ac:dyDescent="0.35">
      <c r="A97" s="45" t="str">
        <f t="array" ref="A97">EXTRACTEVENT(N97,V97)</f>
        <v>TREINO</v>
      </c>
      <c r="B97" s="7" t="str">
        <f t="shared" si="3"/>
        <v>-</v>
      </c>
      <c r="C97" s="7" t="str">
        <f>+VLOOKUP(P97,Maps!$A:$C,2,0)</f>
        <v>TR</v>
      </c>
      <c r="D97" s="7" t="str">
        <f t="shared" si="4"/>
        <v>T</v>
      </c>
      <c r="E97" s="10">
        <f t="shared" si="5"/>
        <v>45937</v>
      </c>
      <c r="F97" s="7" t="str">
        <f t="array" ref="F97">+TIPOARMA(H97,I97)</f>
        <v>ALRR</v>
      </c>
      <c r="G97" s="7"/>
      <c r="H97" s="7" t="str">
        <f>+VLOOKUP(Q97,Maps!I:J,2,0)</f>
        <v>Carabina/Fuzil</v>
      </c>
      <c r="I97" s="7" t="str">
        <f>+VLOOKUP(T97,Maps!E:F,2,0)</f>
        <v>5.56MM</v>
      </c>
      <c r="L97">
        <v>93</v>
      </c>
      <c r="M97">
        <v>45937</v>
      </c>
      <c r="N97" t="s">
        <v>385</v>
      </c>
      <c r="O97" t="s">
        <v>351</v>
      </c>
      <c r="P97" t="s">
        <v>346</v>
      </c>
      <c r="Q97" t="s">
        <v>352</v>
      </c>
      <c r="R97" t="s">
        <v>353</v>
      </c>
      <c r="S97" t="s">
        <v>348</v>
      </c>
      <c r="T97">
        <v>0.55600000000000005</v>
      </c>
      <c r="U97">
        <v>10</v>
      </c>
      <c r="V97" t="s">
        <v>126</v>
      </c>
    </row>
    <row r="98" spans="1:22" ht="14.25" customHeight="1" x14ac:dyDescent="0.35">
      <c r="A98" s="45" t="str">
        <f t="array" ref="A98">EXTRACTEVENT(N98,V98)</f>
        <v>TREINO</v>
      </c>
      <c r="B98" s="7" t="str">
        <f t="shared" si="3"/>
        <v>-</v>
      </c>
      <c r="C98" s="7" t="str">
        <f>+VLOOKUP(P98,Maps!$A:$C,2,0)</f>
        <v>TR</v>
      </c>
      <c r="D98" s="7" t="str">
        <f t="shared" si="4"/>
        <v>T</v>
      </c>
      <c r="E98" s="10">
        <f t="shared" si="5"/>
        <v>45937</v>
      </c>
      <c r="F98" s="7" t="str">
        <f t="array" ref="F98">+TIPOARMA(H98,I98)</f>
        <v>ACRR</v>
      </c>
      <c r="G98" s="7"/>
      <c r="H98" s="7" t="str">
        <f>+VLOOKUP(Q98,Maps!I:J,2,0)</f>
        <v>Pistola</v>
      </c>
      <c r="I98" s="7" t="str">
        <f>+VLOOKUP(T98,Maps!E:F,2,0)</f>
        <v>.380 ACP</v>
      </c>
      <c r="L98">
        <v>94</v>
      </c>
      <c r="M98">
        <v>45937</v>
      </c>
      <c r="N98" t="s">
        <v>386</v>
      </c>
      <c r="O98" t="s">
        <v>351</v>
      </c>
      <c r="P98" t="s">
        <v>346</v>
      </c>
      <c r="Q98" t="s">
        <v>28</v>
      </c>
      <c r="R98" t="s">
        <v>358</v>
      </c>
      <c r="S98" t="s">
        <v>149</v>
      </c>
      <c r="T98" t="s">
        <v>360</v>
      </c>
      <c r="U98">
        <v>30</v>
      </c>
      <c r="V98" t="s">
        <v>126</v>
      </c>
    </row>
    <row r="99" spans="1:22" ht="14.25" customHeight="1" x14ac:dyDescent="0.35">
      <c r="A99" s="45" t="str">
        <f t="array" ref="A99">EXTRACTEVENT(N99,V99)</f>
        <v>TREINO</v>
      </c>
      <c r="B99" s="7" t="str">
        <f t="shared" si="3"/>
        <v>-</v>
      </c>
      <c r="C99" s="7" t="str">
        <f>+VLOOKUP(P99,Maps!$A:$C,2,0)</f>
        <v>TR</v>
      </c>
      <c r="D99" s="7" t="str">
        <f t="shared" si="4"/>
        <v>T</v>
      </c>
      <c r="E99" s="10">
        <f t="shared" si="5"/>
        <v>45939</v>
      </c>
      <c r="F99" s="7" t="str">
        <f t="array" ref="F99">+TIPOARMA(H99,I99)</f>
        <v>ACRR</v>
      </c>
      <c r="G99" s="7"/>
      <c r="H99" s="7" t="str">
        <f>+VLOOKUP(Q99,Maps!I:J,2,0)</f>
        <v>Pistola</v>
      </c>
      <c r="I99" s="7" t="str">
        <f>+VLOOKUP(T99,Maps!E:F,2,0)</f>
        <v>.380 ACP</v>
      </c>
      <c r="L99">
        <v>95</v>
      </c>
      <c r="M99">
        <v>45939</v>
      </c>
      <c r="N99" t="s">
        <v>382</v>
      </c>
      <c r="O99" t="s">
        <v>351</v>
      </c>
      <c r="P99" t="s">
        <v>346</v>
      </c>
      <c r="Q99" t="s">
        <v>28</v>
      </c>
      <c r="R99" t="s">
        <v>358</v>
      </c>
      <c r="S99" t="s">
        <v>149</v>
      </c>
      <c r="T99" t="s">
        <v>360</v>
      </c>
      <c r="U99">
        <v>50</v>
      </c>
      <c r="V99" t="s">
        <v>126</v>
      </c>
    </row>
    <row r="100" spans="1:22" ht="14.25" customHeight="1" x14ac:dyDescent="0.35">
      <c r="A100" s="45" t="str">
        <f t="array" ref="A100">EXTRACTEVENT(N100,V100)</f>
        <v>TREINO</v>
      </c>
      <c r="B100" s="7" t="str">
        <f t="shared" si="3"/>
        <v>-</v>
      </c>
      <c r="C100" s="7" t="str">
        <f>+VLOOKUP(P100,Maps!$A:$C,2,0)</f>
        <v>TR</v>
      </c>
      <c r="D100" s="7" t="str">
        <f t="shared" si="4"/>
        <v>T</v>
      </c>
      <c r="E100" s="10">
        <f t="shared" si="5"/>
        <v>45939</v>
      </c>
      <c r="F100" s="7" t="str">
        <f t="array" ref="F100">+TIPOARMA(H100,I100)</f>
        <v>ACRP</v>
      </c>
      <c r="G100" s="7"/>
      <c r="H100" s="7" t="str">
        <f>+VLOOKUP(Q100,Maps!I:J,2,0)</f>
        <v>Pistola</v>
      </c>
      <c r="I100" s="7" t="str">
        <f>+VLOOKUP(T100,Maps!E:F,2,0)</f>
        <v>9mm</v>
      </c>
      <c r="L100">
        <v>96</v>
      </c>
      <c r="M100">
        <v>45939</v>
      </c>
      <c r="N100" t="s">
        <v>383</v>
      </c>
      <c r="O100" t="s">
        <v>351</v>
      </c>
      <c r="P100" t="s">
        <v>346</v>
      </c>
      <c r="Q100" t="s">
        <v>28</v>
      </c>
      <c r="R100" t="s">
        <v>347</v>
      </c>
      <c r="S100" t="s">
        <v>149</v>
      </c>
      <c r="T100" t="s">
        <v>362</v>
      </c>
      <c r="U100">
        <v>100</v>
      </c>
      <c r="V100" t="s">
        <v>126</v>
      </c>
    </row>
    <row r="101" spans="1:22" ht="14.25" customHeight="1" x14ac:dyDescent="0.35">
      <c r="A101" s="45" t="str">
        <f t="array" ref="A101">EXTRACTEVENT(N101,V101)</f>
        <v>TREINO</v>
      </c>
      <c r="B101" s="7" t="str">
        <f t="shared" si="3"/>
        <v>-</v>
      </c>
      <c r="C101" s="7" t="str">
        <f>+VLOOKUP(P101,Maps!$A:$C,2,0)</f>
        <v>TR</v>
      </c>
      <c r="D101" s="7" t="str">
        <f t="shared" si="4"/>
        <v>T</v>
      </c>
      <c r="E101" s="10">
        <f t="shared" si="5"/>
        <v>45939</v>
      </c>
      <c r="F101" s="7" t="str">
        <f t="array" ref="F101">+TIPOARMA(H101,I101)</f>
        <v>ALRP</v>
      </c>
      <c r="G101" s="7"/>
      <c r="H101" s="7" t="str">
        <f>+VLOOKUP(Q101,Maps!I:J,2,0)</f>
        <v>Carabina/Fuzil</v>
      </c>
      <c r="I101" s="7" t="str">
        <f>+VLOOKUP(T101,Maps!E:F,2,0)</f>
        <v>.357 Mag</v>
      </c>
      <c r="L101">
        <v>97</v>
      </c>
      <c r="M101">
        <v>45939</v>
      </c>
      <c r="N101" t="s">
        <v>393</v>
      </c>
      <c r="O101" t="s">
        <v>351</v>
      </c>
      <c r="P101" t="s">
        <v>346</v>
      </c>
      <c r="Q101" t="s">
        <v>352</v>
      </c>
      <c r="R101" t="s">
        <v>381</v>
      </c>
      <c r="S101" t="s">
        <v>348</v>
      </c>
      <c r="T101" t="s">
        <v>364</v>
      </c>
      <c r="U101">
        <v>29</v>
      </c>
      <c r="V101" t="s">
        <v>126</v>
      </c>
    </row>
    <row r="102" spans="1:22" ht="14.25" customHeight="1" x14ac:dyDescent="0.35">
      <c r="A102" s="45" t="str">
        <f t="array" ref="A102">EXTRACTEVENT(N102,V102)</f>
        <v>TREINO</v>
      </c>
      <c r="B102" s="7" t="str">
        <f t="shared" si="3"/>
        <v>-</v>
      </c>
      <c r="C102" s="7" t="str">
        <f>+VLOOKUP(P102,Maps!$A:$C,2,0)</f>
        <v>TR</v>
      </c>
      <c r="D102" s="7" t="str">
        <f t="shared" si="4"/>
        <v>T</v>
      </c>
      <c r="E102" s="10">
        <f t="shared" si="5"/>
        <v>45939</v>
      </c>
      <c r="F102" s="7" t="str">
        <f t="array" ref="F102">+TIPOARMA(H102,I102)</f>
        <v>ALRR</v>
      </c>
      <c r="G102" s="7"/>
      <c r="H102" s="7" t="str">
        <f>+VLOOKUP(Q102,Maps!I:J,2,0)</f>
        <v>Carabina/Fuzil</v>
      </c>
      <c r="I102" s="7" t="str">
        <f>+VLOOKUP(T102,Maps!E:F,2,0)</f>
        <v>5.56MM</v>
      </c>
      <c r="L102">
        <v>98</v>
      </c>
      <c r="M102">
        <v>45939</v>
      </c>
      <c r="N102" t="s">
        <v>385</v>
      </c>
      <c r="O102" t="s">
        <v>351</v>
      </c>
      <c r="P102" t="s">
        <v>346</v>
      </c>
      <c r="Q102" t="s">
        <v>352</v>
      </c>
      <c r="R102" t="s">
        <v>353</v>
      </c>
      <c r="S102" t="s">
        <v>348</v>
      </c>
      <c r="T102">
        <v>0.55600000000000005</v>
      </c>
      <c r="U102">
        <v>10</v>
      </c>
      <c r="V102" t="s">
        <v>126</v>
      </c>
    </row>
    <row r="103" spans="1:22" ht="14.25" customHeight="1" x14ac:dyDescent="0.35">
      <c r="A103" s="45" t="str">
        <f t="array" ref="A103">EXTRACTEVENT(N103,V103)</f>
        <v>TREINO</v>
      </c>
      <c r="B103" s="7" t="str">
        <f t="shared" si="3"/>
        <v>-</v>
      </c>
      <c r="C103" s="7" t="str">
        <f>+VLOOKUP(P103,Maps!$A:$C,2,0)</f>
        <v>TR</v>
      </c>
      <c r="D103" s="7" t="str">
        <f t="shared" si="4"/>
        <v>T</v>
      </c>
      <c r="E103" s="10">
        <f t="shared" si="5"/>
        <v>45952</v>
      </c>
      <c r="F103" s="7" t="str">
        <f t="array" ref="F103">+TIPOARMA(H103,I103)</f>
        <v>ACRR</v>
      </c>
      <c r="G103" s="7"/>
      <c r="H103" s="7" t="str">
        <f>+VLOOKUP(Q103,Maps!I:J,2,0)</f>
        <v>Pistola</v>
      </c>
      <c r="I103" s="7" t="str">
        <f>+VLOOKUP(T103,Maps!E:F,2,0)</f>
        <v>.380 ACP</v>
      </c>
      <c r="L103">
        <v>99</v>
      </c>
      <c r="M103">
        <v>45952</v>
      </c>
      <c r="N103" t="s">
        <v>387</v>
      </c>
      <c r="O103" t="s">
        <v>351</v>
      </c>
      <c r="P103" t="s">
        <v>346</v>
      </c>
      <c r="Q103" t="s">
        <v>28</v>
      </c>
      <c r="R103" t="s">
        <v>358</v>
      </c>
      <c r="S103" t="s">
        <v>348</v>
      </c>
      <c r="T103" t="s">
        <v>360</v>
      </c>
      <c r="U103">
        <v>20</v>
      </c>
      <c r="V103" t="s">
        <v>126</v>
      </c>
    </row>
    <row r="104" spans="1:22" ht="14.25" customHeight="1" x14ac:dyDescent="0.35">
      <c r="A104" s="45" t="str">
        <f t="array" ref="A104">EXTRACTEVENT(N104,V104)</f>
        <v>TREINO</v>
      </c>
      <c r="B104" s="7" t="str">
        <f t="shared" si="3"/>
        <v>-</v>
      </c>
      <c r="C104" s="7" t="str">
        <f>+VLOOKUP(P104,Maps!$A:$C,2,0)</f>
        <v>TR</v>
      </c>
      <c r="D104" s="7" t="str">
        <f t="shared" si="4"/>
        <v>T</v>
      </c>
      <c r="E104" s="10">
        <f t="shared" si="5"/>
        <v>45952</v>
      </c>
      <c r="F104" s="7" t="str">
        <f t="array" ref="F104">+TIPOARMA(H104,I104)</f>
        <v>ALRP</v>
      </c>
      <c r="G104" s="7"/>
      <c r="H104" s="7" t="str">
        <f>+VLOOKUP(Q104,Maps!I:J,2,0)</f>
        <v>Carabina/Fuzil</v>
      </c>
      <c r="I104" s="7" t="str">
        <f>+VLOOKUP(T104,Maps!E:F,2,0)</f>
        <v>.357 Mag</v>
      </c>
      <c r="L104">
        <v>100</v>
      </c>
      <c r="M104">
        <v>45952</v>
      </c>
      <c r="N104" t="s">
        <v>388</v>
      </c>
      <c r="O104" t="s">
        <v>351</v>
      </c>
      <c r="P104" t="s">
        <v>346</v>
      </c>
      <c r="Q104" t="s">
        <v>352</v>
      </c>
      <c r="R104" t="s">
        <v>381</v>
      </c>
      <c r="S104" t="s">
        <v>348</v>
      </c>
      <c r="T104" t="s">
        <v>364</v>
      </c>
      <c r="U104">
        <v>15</v>
      </c>
      <c r="V104" t="s">
        <v>126</v>
      </c>
    </row>
    <row r="105" spans="1:22" ht="14.25" customHeight="1" x14ac:dyDescent="0.35">
      <c r="A105" s="45" t="str">
        <f t="array" ref="A105">EXTRACTEVENT(N105,V105)</f>
        <v>TREINO</v>
      </c>
      <c r="B105" s="7" t="str">
        <f t="shared" si="3"/>
        <v>-</v>
      </c>
      <c r="C105" s="7" t="str">
        <f>+VLOOKUP(P105,Maps!$A:$C,2,0)</f>
        <v>TR</v>
      </c>
      <c r="D105" s="7" t="str">
        <f t="shared" si="4"/>
        <v>T</v>
      </c>
      <c r="E105" s="10">
        <f t="shared" si="5"/>
        <v>45952</v>
      </c>
      <c r="F105" s="7" t="str">
        <f t="array" ref="F105">+TIPOARMA(H105,I105)</f>
        <v>ALRR</v>
      </c>
      <c r="G105" s="7"/>
      <c r="H105" s="7" t="str">
        <f>+VLOOKUP(Q105,Maps!I:J,2,0)</f>
        <v>Carabina/Fuzil</v>
      </c>
      <c r="I105" s="7" t="str">
        <f>+VLOOKUP(T105,Maps!E:F,2,0)</f>
        <v>5.56MM</v>
      </c>
      <c r="L105">
        <v>101</v>
      </c>
      <c r="M105">
        <v>45952</v>
      </c>
      <c r="N105" t="s">
        <v>394</v>
      </c>
      <c r="O105" t="s">
        <v>351</v>
      </c>
      <c r="P105" t="s">
        <v>346</v>
      </c>
      <c r="Q105" t="s">
        <v>352</v>
      </c>
      <c r="R105" t="s">
        <v>353</v>
      </c>
      <c r="S105" t="s">
        <v>348</v>
      </c>
      <c r="T105">
        <v>0.55600000000000005</v>
      </c>
      <c r="U105">
        <v>150</v>
      </c>
      <c r="V105" t="s">
        <v>126</v>
      </c>
    </row>
    <row r="106" spans="1:22" ht="14.25" customHeight="1" x14ac:dyDescent="0.35">
      <c r="A106" s="45" t="str">
        <f t="array" ref="A106">EXTRACTEVENT(N106,V106)</f>
        <v>TREINO</v>
      </c>
      <c r="B106" s="7" t="str">
        <f t="shared" si="3"/>
        <v>-</v>
      </c>
      <c r="C106" s="7" t="str">
        <f>+VLOOKUP(P106,Maps!$A:$C,2,0)</f>
        <v>TR</v>
      </c>
      <c r="D106" s="7" t="str">
        <f t="shared" si="4"/>
        <v>T</v>
      </c>
      <c r="E106" s="10">
        <f t="shared" si="5"/>
        <v>45952</v>
      </c>
      <c r="F106" s="7" t="str">
        <f t="array" ref="F106">+TIPOARMA(H106,I106)</f>
        <v>ACRR</v>
      </c>
      <c r="G106" s="7"/>
      <c r="H106" s="7" t="str">
        <f>+VLOOKUP(Q106,Maps!I:J,2,0)</f>
        <v>Pistola</v>
      </c>
      <c r="I106" s="7" t="str">
        <f>+VLOOKUP(T106,Maps!E:F,2,0)</f>
        <v>.380 ACP</v>
      </c>
      <c r="L106">
        <v>102</v>
      </c>
      <c r="M106">
        <v>45952</v>
      </c>
      <c r="N106" t="s">
        <v>387</v>
      </c>
      <c r="O106" t="s">
        <v>351</v>
      </c>
      <c r="P106" t="s">
        <v>346</v>
      </c>
      <c r="Q106" t="s">
        <v>28</v>
      </c>
      <c r="R106" t="s">
        <v>358</v>
      </c>
      <c r="S106" t="s">
        <v>149</v>
      </c>
      <c r="T106" t="s">
        <v>360</v>
      </c>
      <c r="U106">
        <v>20</v>
      </c>
      <c r="V106" t="s">
        <v>126</v>
      </c>
    </row>
    <row r="107" spans="1:22" ht="14.25" customHeight="1" x14ac:dyDescent="0.35">
      <c r="A107" s="45" t="str">
        <f t="array" ref="A107">EXTRACTEVENT(N107,V107)</f>
        <v>TREINO</v>
      </c>
      <c r="B107" s="7" t="str">
        <f t="shared" si="3"/>
        <v>-</v>
      </c>
      <c r="C107" s="7" t="str">
        <f>+VLOOKUP(P107,Maps!$A:$C,2,0)</f>
        <v>TR</v>
      </c>
      <c r="D107" s="7" t="str">
        <f t="shared" si="4"/>
        <v>T</v>
      </c>
      <c r="E107" s="10">
        <f t="shared" si="5"/>
        <v>45952</v>
      </c>
      <c r="F107" s="7" t="str">
        <f t="array" ref="F107">+TIPOARMA(H107,I107)</f>
        <v>ALRP</v>
      </c>
      <c r="G107" s="7"/>
      <c r="H107" s="7" t="str">
        <f>+VLOOKUP(Q107,Maps!I:J,2,0)</f>
        <v>Carabina/Fuzil</v>
      </c>
      <c r="I107" s="7" t="str">
        <f>+VLOOKUP(T107,Maps!E:F,2,0)</f>
        <v>.357 Mag</v>
      </c>
      <c r="L107">
        <v>103</v>
      </c>
      <c r="M107">
        <v>45952</v>
      </c>
      <c r="N107" t="s">
        <v>388</v>
      </c>
      <c r="O107" t="s">
        <v>351</v>
      </c>
      <c r="P107" t="s">
        <v>346</v>
      </c>
      <c r="Q107" t="s">
        <v>352</v>
      </c>
      <c r="R107" t="s">
        <v>381</v>
      </c>
      <c r="S107" t="s">
        <v>348</v>
      </c>
      <c r="T107" t="s">
        <v>364</v>
      </c>
      <c r="U107">
        <v>15</v>
      </c>
      <c r="V107" t="s">
        <v>126</v>
      </c>
    </row>
    <row r="108" spans="1:22" ht="14.25" customHeight="1" x14ac:dyDescent="0.35">
      <c r="A108" s="45" t="str">
        <f t="array" ref="A108">EXTRACTEVENT(N108,V108)</f>
        <v>TREINO</v>
      </c>
      <c r="B108" s="7" t="str">
        <f t="shared" si="3"/>
        <v>-</v>
      </c>
      <c r="C108" s="7" t="str">
        <f>+VLOOKUP(P108,Maps!$A:$C,2,0)</f>
        <v>TR</v>
      </c>
      <c r="D108" s="7" t="str">
        <f t="shared" si="4"/>
        <v>T</v>
      </c>
      <c r="E108" s="10">
        <f t="shared" si="5"/>
        <v>45952</v>
      </c>
      <c r="F108" s="7" t="str">
        <f t="array" ref="F108">+TIPOARMA(H108,I108)</f>
        <v>ALRR</v>
      </c>
      <c r="G108" s="7"/>
      <c r="H108" s="7" t="str">
        <f>+VLOOKUP(Q108,Maps!I:J,2,0)</f>
        <v>Carabina/Fuzil</v>
      </c>
      <c r="I108" s="7" t="str">
        <f>+VLOOKUP(T108,Maps!E:F,2,0)</f>
        <v>5.56MM</v>
      </c>
      <c r="L108">
        <v>104</v>
      </c>
      <c r="M108">
        <v>45952</v>
      </c>
      <c r="N108" t="s">
        <v>382</v>
      </c>
      <c r="O108" t="s">
        <v>351</v>
      </c>
      <c r="P108" t="s">
        <v>346</v>
      </c>
      <c r="Q108" t="s">
        <v>352</v>
      </c>
      <c r="R108" t="s">
        <v>353</v>
      </c>
      <c r="S108" t="s">
        <v>348</v>
      </c>
      <c r="T108">
        <v>0.55600000000000005</v>
      </c>
      <c r="U108">
        <v>50</v>
      </c>
      <c r="V108" t="s">
        <v>126</v>
      </c>
    </row>
    <row r="109" spans="1:22" ht="14.25" customHeight="1" x14ac:dyDescent="0.35">
      <c r="A109" s="45" t="str">
        <f t="array" ref="A109">EXTRACTEVENT(N109,V109)</f>
        <v>TREINO</v>
      </c>
      <c r="B109" s="7" t="str">
        <f t="shared" si="3"/>
        <v>-</v>
      </c>
      <c r="C109" s="7" t="str">
        <f>+VLOOKUP(P109,Maps!$A:$C,2,0)</f>
        <v>TR</v>
      </c>
      <c r="D109" s="7" t="str">
        <f t="shared" si="4"/>
        <v>T</v>
      </c>
      <c r="E109" s="10">
        <f t="shared" si="5"/>
        <v>45952</v>
      </c>
      <c r="F109" s="7" t="str">
        <f t="array" ref="F109">+TIPOARMA(H109,I109)</f>
        <v>ACRP</v>
      </c>
      <c r="G109" s="7"/>
      <c r="H109" s="7" t="str">
        <f>+VLOOKUP(Q109,Maps!I:J,2,0)</f>
        <v>Pistola</v>
      </c>
      <c r="I109" s="7" t="str">
        <f>+VLOOKUP(T109,Maps!E:F,2,0)</f>
        <v>9mm</v>
      </c>
      <c r="L109">
        <v>105</v>
      </c>
      <c r="M109">
        <v>45952</v>
      </c>
      <c r="N109" t="s">
        <v>394</v>
      </c>
      <c r="O109" t="s">
        <v>351</v>
      </c>
      <c r="P109" t="s">
        <v>346</v>
      </c>
      <c r="Q109" t="s">
        <v>28</v>
      </c>
      <c r="R109" t="s">
        <v>347</v>
      </c>
      <c r="S109" t="s">
        <v>149</v>
      </c>
      <c r="T109" t="s">
        <v>29</v>
      </c>
      <c r="U109">
        <v>150</v>
      </c>
      <c r="V109" t="s">
        <v>126</v>
      </c>
    </row>
    <row r="110" spans="1:22" ht="14.25" customHeight="1" x14ac:dyDescent="0.35">
      <c r="A110" s="45" t="str">
        <f t="array" ref="A110">EXTRACTEVENT(N110,V110)</f>
        <v>TREINO</v>
      </c>
      <c r="B110" s="7" t="str">
        <f t="shared" si="3"/>
        <v>-</v>
      </c>
      <c r="C110" s="7" t="str">
        <f>+VLOOKUP(P110,Maps!$A:$C,2,0)</f>
        <v>TR</v>
      </c>
      <c r="D110" s="7" t="str">
        <f t="shared" si="4"/>
        <v>T</v>
      </c>
      <c r="E110" s="10">
        <f t="shared" si="5"/>
        <v>45956</v>
      </c>
      <c r="F110" s="7" t="str">
        <f t="array" ref="F110">+TIPOARMA(H110,I110)</f>
        <v>ACRR</v>
      </c>
      <c r="G110" s="7"/>
      <c r="H110" s="7" t="str">
        <f>+VLOOKUP(Q110,Maps!I:J,2,0)</f>
        <v>Pistola</v>
      </c>
      <c r="I110" s="7" t="str">
        <f>+VLOOKUP(T110,Maps!E:F,2,0)</f>
        <v>.380 ACP</v>
      </c>
      <c r="L110">
        <v>106</v>
      </c>
      <c r="M110">
        <v>45956</v>
      </c>
      <c r="N110" t="s">
        <v>387</v>
      </c>
      <c r="O110" t="s">
        <v>351</v>
      </c>
      <c r="P110" t="s">
        <v>346</v>
      </c>
      <c r="Q110" t="s">
        <v>28</v>
      </c>
      <c r="R110" t="s">
        <v>358</v>
      </c>
      <c r="S110" t="s">
        <v>348</v>
      </c>
      <c r="T110" t="s">
        <v>360</v>
      </c>
      <c r="U110">
        <v>20</v>
      </c>
      <c r="V110" t="s">
        <v>126</v>
      </c>
    </row>
    <row r="111" spans="1:22" ht="14.25" customHeight="1" x14ac:dyDescent="0.35">
      <c r="A111" s="45" t="str">
        <f t="array" ref="A111">EXTRACTEVENT(N111,V111)</f>
        <v>TREINO</v>
      </c>
      <c r="B111" s="7" t="str">
        <f t="shared" si="3"/>
        <v>-</v>
      </c>
      <c r="C111" s="7" t="str">
        <f>+VLOOKUP(P111,Maps!$A:$C,2,0)</f>
        <v>TR</v>
      </c>
      <c r="D111" s="7" t="str">
        <f t="shared" si="4"/>
        <v>T</v>
      </c>
      <c r="E111" s="10">
        <f t="shared" si="5"/>
        <v>45956</v>
      </c>
      <c r="F111" s="7" t="str">
        <f t="array" ref="F111">+TIPOARMA(H111,I111)</f>
        <v>ALRP</v>
      </c>
      <c r="G111" s="7"/>
      <c r="H111" s="7" t="str">
        <f>+VLOOKUP(Q111,Maps!I:J,2,0)</f>
        <v>Carabina/Fuzil</v>
      </c>
      <c r="I111" s="7" t="str">
        <f>+VLOOKUP(T111,Maps!E:F,2,0)</f>
        <v>.357 Mag</v>
      </c>
      <c r="L111">
        <v>107</v>
      </c>
      <c r="M111">
        <v>45956</v>
      </c>
      <c r="N111" t="s">
        <v>387</v>
      </c>
      <c r="O111" t="s">
        <v>351</v>
      </c>
      <c r="P111" t="s">
        <v>346</v>
      </c>
      <c r="Q111" t="s">
        <v>352</v>
      </c>
      <c r="R111" t="s">
        <v>381</v>
      </c>
      <c r="S111" t="s">
        <v>348</v>
      </c>
      <c r="T111" t="s">
        <v>364</v>
      </c>
      <c r="U111">
        <v>20</v>
      </c>
      <c r="V111" t="s">
        <v>126</v>
      </c>
    </row>
    <row r="112" spans="1:22" ht="14.25" customHeight="1" x14ac:dyDescent="0.35">
      <c r="A112" s="45" t="str">
        <f t="array" ref="A112">EXTRACTEVENT(N112,V112)</f>
        <v>TREINO</v>
      </c>
      <c r="B112" s="7" t="str">
        <f t="shared" si="3"/>
        <v>-</v>
      </c>
      <c r="C112" s="7" t="str">
        <f>+VLOOKUP(P112,Maps!$A:$C,2,0)</f>
        <v>TR</v>
      </c>
      <c r="D112" s="7" t="str">
        <f t="shared" si="4"/>
        <v>T</v>
      </c>
      <c r="E112" s="10">
        <f t="shared" si="5"/>
        <v>45956</v>
      </c>
      <c r="F112" s="7" t="str">
        <f t="array" ref="F112">+TIPOARMA(H112,I112)</f>
        <v>ALRR</v>
      </c>
      <c r="G112" s="7"/>
      <c r="H112" s="7" t="str">
        <f>+VLOOKUP(Q112,Maps!I:J,2,0)</f>
        <v>Carabina/Fuzil</v>
      </c>
      <c r="I112" s="7" t="str">
        <f>+VLOOKUP(T112,Maps!E:F,2,0)</f>
        <v>5.56MM</v>
      </c>
      <c r="L112">
        <v>108</v>
      </c>
      <c r="M112">
        <v>45956</v>
      </c>
      <c r="N112" t="s">
        <v>385</v>
      </c>
      <c r="O112" t="s">
        <v>351</v>
      </c>
      <c r="P112" t="s">
        <v>346</v>
      </c>
      <c r="Q112" t="s">
        <v>352</v>
      </c>
      <c r="R112" t="s">
        <v>353</v>
      </c>
      <c r="S112" t="s">
        <v>348</v>
      </c>
      <c r="T112">
        <v>0.55600000000000005</v>
      </c>
      <c r="U112">
        <v>10</v>
      </c>
      <c r="V112" t="s">
        <v>126</v>
      </c>
    </row>
    <row r="113" spans="1:22" ht="14.25" customHeight="1" x14ac:dyDescent="0.35">
      <c r="A113" s="45" t="str">
        <f t="array" ref="A113">EXTRACTEVENT(N113,V113)</f>
        <v>TREINO</v>
      </c>
      <c r="B113" s="7" t="str">
        <f t="shared" si="3"/>
        <v>-</v>
      </c>
      <c r="C113" s="7" t="str">
        <f>+VLOOKUP(P113,Maps!$A:$C,2,0)</f>
        <v>TR</v>
      </c>
      <c r="D113" s="7" t="str">
        <f t="shared" si="4"/>
        <v>T</v>
      </c>
      <c r="E113" s="10">
        <f t="shared" si="5"/>
        <v>45956</v>
      </c>
      <c r="F113" s="7" t="str">
        <f t="array" ref="F113">+TIPOARMA(H113,I113)</f>
        <v>ACRP</v>
      </c>
      <c r="G113" s="7"/>
      <c r="H113" s="7" t="str">
        <f>+VLOOKUP(Q113,Maps!I:J,2,0)</f>
        <v>Pistola</v>
      </c>
      <c r="I113" s="7" t="str">
        <f>+VLOOKUP(T113,Maps!E:F,2,0)</f>
        <v>9mm</v>
      </c>
      <c r="L113">
        <v>109</v>
      </c>
      <c r="M113">
        <v>45956</v>
      </c>
      <c r="N113" t="s">
        <v>383</v>
      </c>
      <c r="O113" t="s">
        <v>351</v>
      </c>
      <c r="P113" t="s">
        <v>346</v>
      </c>
      <c r="Q113" t="s">
        <v>28</v>
      </c>
      <c r="R113" t="s">
        <v>347</v>
      </c>
      <c r="S113" t="s">
        <v>149</v>
      </c>
      <c r="T113" t="s">
        <v>29</v>
      </c>
      <c r="U113">
        <v>100</v>
      </c>
      <c r="V113" t="s">
        <v>126</v>
      </c>
    </row>
    <row r="114" spans="1:22" ht="14.25" customHeight="1" x14ac:dyDescent="0.35">
      <c r="A114" s="45" t="str">
        <f t="array" ref="A114">EXTRACTEVENT(N114,V114)</f>
        <v>TREINO</v>
      </c>
      <c r="B114" s="7" t="str">
        <f t="shared" si="3"/>
        <v>-</v>
      </c>
      <c r="C114" s="7" t="str">
        <f>+VLOOKUP(P114,Maps!$A:$C,2,0)</f>
        <v>TR</v>
      </c>
      <c r="D114" s="7" t="str">
        <f t="shared" si="4"/>
        <v>T</v>
      </c>
      <c r="E114" s="10">
        <f t="shared" si="5"/>
        <v>45958</v>
      </c>
      <c r="F114" s="7" t="str">
        <f t="array" ref="F114">+TIPOARMA(H114,I114)</f>
        <v>ACRR</v>
      </c>
      <c r="G114" s="7"/>
      <c r="H114" s="7" t="str">
        <f>+VLOOKUP(Q114,Maps!I:J,2,0)</f>
        <v>Pistola</v>
      </c>
      <c r="I114" s="7" t="str">
        <f>+VLOOKUP(T114,Maps!E:F,2,0)</f>
        <v>.380 ACP</v>
      </c>
      <c r="L114">
        <v>110</v>
      </c>
      <c r="M114">
        <v>45958</v>
      </c>
      <c r="N114" t="s">
        <v>382</v>
      </c>
      <c r="O114" t="s">
        <v>351</v>
      </c>
      <c r="P114" t="s">
        <v>346</v>
      </c>
      <c r="Q114" t="s">
        <v>28</v>
      </c>
      <c r="R114" t="s">
        <v>358</v>
      </c>
      <c r="S114" t="s">
        <v>149</v>
      </c>
      <c r="T114" t="s">
        <v>360</v>
      </c>
      <c r="U114">
        <v>50</v>
      </c>
      <c r="V114" t="s">
        <v>126</v>
      </c>
    </row>
    <row r="115" spans="1:22" ht="14.25" customHeight="1" x14ac:dyDescent="0.35">
      <c r="A115" s="45" t="str">
        <f t="array" ref="A115">EXTRACTEVENT(N115,V115)</f>
        <v>TREINO</v>
      </c>
      <c r="B115" s="7" t="str">
        <f t="shared" si="3"/>
        <v>-</v>
      </c>
      <c r="C115" s="7" t="str">
        <f>+VLOOKUP(P115,Maps!$A:$C,2,0)</f>
        <v>TR</v>
      </c>
      <c r="D115" s="7" t="str">
        <f t="shared" si="4"/>
        <v>T</v>
      </c>
      <c r="E115" s="10">
        <f t="shared" si="5"/>
        <v>45958</v>
      </c>
      <c r="F115" s="7" t="str">
        <f t="array" ref="F115">+TIPOARMA(H115,I115)</f>
        <v>ALRP</v>
      </c>
      <c r="G115" s="7"/>
      <c r="H115" s="7" t="str">
        <f>+VLOOKUP(Q115,Maps!I:J,2,0)</f>
        <v>Carabina/Fuzil</v>
      </c>
      <c r="I115" s="7" t="str">
        <f>+VLOOKUP(T115,Maps!E:F,2,0)</f>
        <v>.357 Mag</v>
      </c>
      <c r="L115">
        <v>111</v>
      </c>
      <c r="M115">
        <v>45958</v>
      </c>
      <c r="N115" t="s">
        <v>387</v>
      </c>
      <c r="O115" t="s">
        <v>351</v>
      </c>
      <c r="P115" t="s">
        <v>346</v>
      </c>
      <c r="Q115" t="s">
        <v>352</v>
      </c>
      <c r="R115" t="s">
        <v>381</v>
      </c>
      <c r="S115" t="s">
        <v>348</v>
      </c>
      <c r="T115" t="s">
        <v>364</v>
      </c>
      <c r="U115">
        <v>20</v>
      </c>
      <c r="V115" t="s">
        <v>126</v>
      </c>
    </row>
    <row r="116" spans="1:22" ht="14.25" customHeight="1" x14ac:dyDescent="0.35">
      <c r="A116" s="45" t="str">
        <f t="array" ref="A116">EXTRACTEVENT(N116,V116)</f>
        <v>TREINO</v>
      </c>
      <c r="B116" s="7" t="str">
        <f t="shared" si="3"/>
        <v>-</v>
      </c>
      <c r="C116" s="7" t="str">
        <f>+VLOOKUP(P116,Maps!$A:$C,2,0)</f>
        <v>TR</v>
      </c>
      <c r="D116" s="7" t="str">
        <f t="shared" si="4"/>
        <v>T</v>
      </c>
      <c r="E116" s="10">
        <f t="shared" si="5"/>
        <v>45958</v>
      </c>
      <c r="F116" s="7" t="str">
        <f t="array" ref="F116">+TIPOARMA(H116,I116)</f>
        <v>ALRR</v>
      </c>
      <c r="G116" s="7"/>
      <c r="H116" s="7" t="str">
        <f>+VLOOKUP(Q116,Maps!I:J,2,0)</f>
        <v>Carabina/Fuzil</v>
      </c>
      <c r="I116" s="7" t="str">
        <f>+VLOOKUP(T116,Maps!E:F,2,0)</f>
        <v>5.56MM</v>
      </c>
      <c r="L116">
        <v>112</v>
      </c>
      <c r="M116">
        <v>45958</v>
      </c>
      <c r="N116" t="s">
        <v>385</v>
      </c>
      <c r="O116" t="s">
        <v>351</v>
      </c>
      <c r="P116" t="s">
        <v>346</v>
      </c>
      <c r="Q116" t="s">
        <v>352</v>
      </c>
      <c r="R116" t="s">
        <v>353</v>
      </c>
      <c r="S116" t="s">
        <v>348</v>
      </c>
      <c r="T116">
        <v>0.55600000000000005</v>
      </c>
      <c r="U116">
        <v>10</v>
      </c>
      <c r="V116" t="s">
        <v>126</v>
      </c>
    </row>
    <row r="117" spans="1:22" ht="14.25" customHeight="1" x14ac:dyDescent="0.35">
      <c r="A117" s="45" t="str">
        <f t="array" ref="A117">EXTRACTEVENT(N117,V117)</f>
        <v>TREINO</v>
      </c>
      <c r="B117" s="7" t="str">
        <f t="shared" si="3"/>
        <v>-</v>
      </c>
      <c r="C117" s="7" t="str">
        <f>+VLOOKUP(P117,Maps!$A:$C,2,0)</f>
        <v>TR</v>
      </c>
      <c r="D117" s="7" t="str">
        <f t="shared" si="4"/>
        <v>T</v>
      </c>
      <c r="E117" s="10">
        <f t="shared" si="5"/>
        <v>45958</v>
      </c>
      <c r="F117" s="7" t="str">
        <f t="array" ref="F117">+TIPOARMA(H117,I117)</f>
        <v>ACRP</v>
      </c>
      <c r="G117" s="7"/>
      <c r="H117" s="7" t="str">
        <f>+VLOOKUP(Q117,Maps!I:J,2,0)</f>
        <v>Pistola</v>
      </c>
      <c r="I117" s="7" t="str">
        <f>+VLOOKUP(T117,Maps!E:F,2,0)</f>
        <v>9mm</v>
      </c>
      <c r="L117">
        <v>113</v>
      </c>
      <c r="M117">
        <v>45958</v>
      </c>
      <c r="N117" t="s">
        <v>386</v>
      </c>
      <c r="O117" t="s">
        <v>351</v>
      </c>
      <c r="P117" t="s">
        <v>346</v>
      </c>
      <c r="Q117" t="s">
        <v>28</v>
      </c>
      <c r="R117" t="s">
        <v>347</v>
      </c>
      <c r="S117" t="s">
        <v>149</v>
      </c>
      <c r="T117" t="s">
        <v>29</v>
      </c>
      <c r="U117">
        <v>30</v>
      </c>
      <c r="V117" t="s">
        <v>126</v>
      </c>
    </row>
    <row r="118" spans="1:22" ht="14.25" customHeight="1" x14ac:dyDescent="0.35">
      <c r="A118" s="45" t="str">
        <f t="array" ref="A118">EXTRACTEVENT(N118,V118)</f>
        <v>TREINO</v>
      </c>
      <c r="B118" s="7" t="str">
        <f t="shared" si="3"/>
        <v>-</v>
      </c>
      <c r="C118" s="7" t="str">
        <f>+VLOOKUP(P118,Maps!$A:$C,2,0)</f>
        <v>TR</v>
      </c>
      <c r="D118" s="7" t="str">
        <f t="shared" si="4"/>
        <v>T</v>
      </c>
      <c r="E118" s="10">
        <f t="shared" si="5"/>
        <v>45962</v>
      </c>
      <c r="F118" s="7" t="str">
        <f t="array" ref="F118">+TIPOARMA(H118,I118)</f>
        <v>ACRP</v>
      </c>
      <c r="G118" s="7"/>
      <c r="H118" s="7" t="str">
        <f>+VLOOKUP(Q118,Maps!I:J,2,0)</f>
        <v>Pistola</v>
      </c>
      <c r="I118" s="7" t="str">
        <f>+VLOOKUP(T118,Maps!E:F,2,0)</f>
        <v>9mm</v>
      </c>
      <c r="L118">
        <v>114</v>
      </c>
      <c r="M118">
        <v>45962</v>
      </c>
      <c r="N118" t="s">
        <v>382</v>
      </c>
      <c r="O118" t="s">
        <v>351</v>
      </c>
      <c r="P118" t="s">
        <v>346</v>
      </c>
      <c r="Q118" t="s">
        <v>28</v>
      </c>
      <c r="R118" t="s">
        <v>347</v>
      </c>
      <c r="S118" t="s">
        <v>149</v>
      </c>
      <c r="T118" t="s">
        <v>362</v>
      </c>
      <c r="U118">
        <v>50</v>
      </c>
      <c r="V118" t="s">
        <v>126</v>
      </c>
    </row>
    <row r="119" spans="1:22" ht="14.25" customHeight="1" x14ac:dyDescent="0.35">
      <c r="A119" s="45" t="str">
        <f t="array" ref="A119">EXTRACTEVENT(N119,V119)</f>
        <v>TREINO</v>
      </c>
      <c r="B119" s="7" t="str">
        <f t="shared" si="3"/>
        <v>-</v>
      </c>
      <c r="C119" s="7" t="str">
        <f>+VLOOKUP(P119,Maps!$A:$C,2,0)</f>
        <v>TR</v>
      </c>
      <c r="D119" s="7" t="str">
        <f t="shared" si="4"/>
        <v>T</v>
      </c>
      <c r="E119" s="10">
        <f t="shared" si="5"/>
        <v>45972</v>
      </c>
      <c r="F119" s="7" t="str">
        <f t="array" ref="F119">+TIPOARMA(H119,I119)</f>
        <v>ACRR</v>
      </c>
      <c r="G119" s="7"/>
      <c r="H119" s="7" t="str">
        <f>+VLOOKUP(Q119,Maps!I:J,2,0)</f>
        <v>Pistola</v>
      </c>
      <c r="I119" s="7" t="str">
        <f>+VLOOKUP(T119,Maps!E:F,2,0)</f>
        <v>.380 ACP</v>
      </c>
      <c r="L119">
        <v>115</v>
      </c>
      <c r="M119">
        <v>45972</v>
      </c>
      <c r="N119" t="s">
        <v>382</v>
      </c>
      <c r="O119" t="s">
        <v>351</v>
      </c>
      <c r="P119" t="s">
        <v>346</v>
      </c>
      <c r="Q119" t="s">
        <v>28</v>
      </c>
      <c r="R119" t="s">
        <v>358</v>
      </c>
      <c r="S119" t="s">
        <v>149</v>
      </c>
      <c r="T119" t="s">
        <v>360</v>
      </c>
      <c r="U119">
        <v>50</v>
      </c>
      <c r="V119" t="s">
        <v>126</v>
      </c>
    </row>
    <row r="120" spans="1:22" ht="14.25" customHeight="1" x14ac:dyDescent="0.35">
      <c r="A120" s="45" t="str">
        <f t="array" ref="A120">EXTRACTEVENT(N120,V120)</f>
        <v>TREINO</v>
      </c>
      <c r="B120" s="7" t="str">
        <f t="shared" si="3"/>
        <v>-</v>
      </c>
      <c r="C120" s="7" t="str">
        <f>+VLOOKUP(P120,Maps!$A:$C,2,0)</f>
        <v>TR</v>
      </c>
      <c r="D120" s="7" t="str">
        <f t="shared" si="4"/>
        <v>T</v>
      </c>
      <c r="E120" s="10">
        <f t="shared" si="5"/>
        <v>45972</v>
      </c>
      <c r="F120" s="7" t="str">
        <f t="array" ref="F120">+TIPOARMA(H120,I120)</f>
        <v>ALRP</v>
      </c>
      <c r="G120" s="7"/>
      <c r="H120" s="7" t="str">
        <f>+VLOOKUP(Q120,Maps!I:J,2,0)</f>
        <v>Carabina/Fuzil</v>
      </c>
      <c r="I120" s="7" t="str">
        <f>+VLOOKUP(T120,Maps!E:F,2,0)</f>
        <v>.357 Mag</v>
      </c>
      <c r="L120">
        <v>116</v>
      </c>
      <c r="M120">
        <v>45972</v>
      </c>
      <c r="N120" t="s">
        <v>387</v>
      </c>
      <c r="O120" t="s">
        <v>351</v>
      </c>
      <c r="P120" t="s">
        <v>346</v>
      </c>
      <c r="Q120" t="s">
        <v>352</v>
      </c>
      <c r="R120" t="s">
        <v>381</v>
      </c>
      <c r="S120" t="s">
        <v>348</v>
      </c>
      <c r="T120" t="s">
        <v>364</v>
      </c>
      <c r="U120">
        <v>20</v>
      </c>
      <c r="V120" t="s">
        <v>126</v>
      </c>
    </row>
    <row r="121" spans="1:22" ht="14.25" customHeight="1" x14ac:dyDescent="0.35">
      <c r="A121" s="45" t="str">
        <f t="array" ref="A121">EXTRACTEVENT(N121,V121)</f>
        <v>TREINO</v>
      </c>
      <c r="B121" s="7" t="str">
        <f t="shared" si="3"/>
        <v>-</v>
      </c>
      <c r="C121" s="7" t="str">
        <f>+VLOOKUP(P121,Maps!$A:$C,2,0)</f>
        <v>TR</v>
      </c>
      <c r="D121" s="7" t="str">
        <f t="shared" si="4"/>
        <v>T</v>
      </c>
      <c r="E121" s="10">
        <f t="shared" si="5"/>
        <v>45972</v>
      </c>
      <c r="F121" s="7" t="str">
        <f t="array" ref="F121">+TIPOARMA(H121,I121)</f>
        <v>ALRR</v>
      </c>
      <c r="G121" s="7"/>
      <c r="H121" s="7" t="str">
        <f>+VLOOKUP(Q121,Maps!I:J,2,0)</f>
        <v>Carabina/Fuzil</v>
      </c>
      <c r="I121" s="7" t="str">
        <f>+VLOOKUP(T121,Maps!E:F,2,0)</f>
        <v>5.56MM</v>
      </c>
      <c r="L121">
        <v>117</v>
      </c>
      <c r="M121">
        <v>45972</v>
      </c>
      <c r="N121" t="s">
        <v>388</v>
      </c>
      <c r="O121" t="s">
        <v>351</v>
      </c>
      <c r="P121" t="s">
        <v>346</v>
      </c>
      <c r="Q121" t="s">
        <v>352</v>
      </c>
      <c r="R121" t="s">
        <v>353</v>
      </c>
      <c r="S121" t="s">
        <v>348</v>
      </c>
      <c r="T121">
        <v>0.55600000000000005</v>
      </c>
      <c r="U121">
        <v>15</v>
      </c>
      <c r="V121" t="s">
        <v>126</v>
      </c>
    </row>
    <row r="122" spans="1:22" ht="14.25" customHeight="1" x14ac:dyDescent="0.35">
      <c r="A122" s="45" t="str">
        <f t="array" ref="A122">EXTRACTEVENT(N122,V122)</f>
        <v>TREINO</v>
      </c>
      <c r="B122" s="7" t="str">
        <f t="shared" si="3"/>
        <v>-</v>
      </c>
      <c r="C122" s="7" t="str">
        <f>+VLOOKUP(P122,Maps!$A:$C,2,0)</f>
        <v>TR</v>
      </c>
      <c r="D122" s="7" t="str">
        <f t="shared" si="4"/>
        <v>T</v>
      </c>
      <c r="E122" s="10">
        <f t="shared" si="5"/>
        <v>45972</v>
      </c>
      <c r="F122" s="7" t="str">
        <f t="array" ref="F122">+TIPOARMA(H122,I122)</f>
        <v>ACRP</v>
      </c>
      <c r="G122" s="7"/>
      <c r="H122" s="7" t="str">
        <f>+VLOOKUP(Q122,Maps!I:J,2,0)</f>
        <v>Pistola</v>
      </c>
      <c r="I122" s="7" t="str">
        <f>+VLOOKUP(T122,Maps!E:F,2,0)</f>
        <v>9mm</v>
      </c>
      <c r="L122">
        <v>118</v>
      </c>
      <c r="M122">
        <v>45972</v>
      </c>
      <c r="N122" t="s">
        <v>394</v>
      </c>
      <c r="O122" t="s">
        <v>351</v>
      </c>
      <c r="P122" t="s">
        <v>346</v>
      </c>
      <c r="Q122" t="s">
        <v>28</v>
      </c>
      <c r="R122" t="s">
        <v>347</v>
      </c>
      <c r="S122" t="s">
        <v>149</v>
      </c>
      <c r="T122" t="s">
        <v>362</v>
      </c>
      <c r="U122">
        <v>150</v>
      </c>
      <c r="V122" t="s">
        <v>126</v>
      </c>
    </row>
    <row r="123" spans="1:22" ht="14.25" customHeight="1" x14ac:dyDescent="0.35">
      <c r="A123" s="45" t="str">
        <f t="array" ref="A123">EXTRACTEVENT(N123,V123)</f>
        <v>TREINO</v>
      </c>
      <c r="B123" s="7" t="str">
        <f t="shared" si="3"/>
        <v>-</v>
      </c>
      <c r="C123" s="7" t="str">
        <f>+VLOOKUP(P123,Maps!$A:$C,2,0)</f>
        <v>TR</v>
      </c>
      <c r="D123" s="7" t="str">
        <f t="shared" si="4"/>
        <v>T</v>
      </c>
      <c r="E123" s="10">
        <f t="shared" si="5"/>
        <v>45989</v>
      </c>
      <c r="F123" s="7" t="str">
        <f t="array" ref="F123">+TIPOARMA(H123,I123)</f>
        <v>ACRR</v>
      </c>
      <c r="G123" s="7"/>
      <c r="H123" s="7" t="str">
        <f>+VLOOKUP(Q123,Maps!I:J,2,0)</f>
        <v>Pistola</v>
      </c>
      <c r="I123" s="7" t="str">
        <f>+VLOOKUP(T123,Maps!E:F,2,0)</f>
        <v>.380 ACP</v>
      </c>
      <c r="L123">
        <v>119</v>
      </c>
      <c r="M123">
        <v>45989</v>
      </c>
      <c r="N123" t="s">
        <v>382</v>
      </c>
      <c r="O123" t="s">
        <v>351</v>
      </c>
      <c r="P123" t="s">
        <v>346</v>
      </c>
      <c r="Q123" t="s">
        <v>28</v>
      </c>
      <c r="R123" t="s">
        <v>358</v>
      </c>
      <c r="S123" t="s">
        <v>348</v>
      </c>
      <c r="T123" t="s">
        <v>360</v>
      </c>
      <c r="U123">
        <v>50</v>
      </c>
      <c r="V123" t="s">
        <v>126</v>
      </c>
    </row>
    <row r="124" spans="1:22" ht="14.25" customHeight="1" x14ac:dyDescent="0.35">
      <c r="A124" s="45" t="str">
        <f t="array" ref="A124">EXTRACTEVENT(N124,V124)</f>
        <v>TREINO</v>
      </c>
      <c r="B124" s="7" t="str">
        <f t="shared" si="3"/>
        <v>-</v>
      </c>
      <c r="C124" s="7" t="str">
        <f>+VLOOKUP(P124,Maps!$A:$C,2,0)</f>
        <v>TR</v>
      </c>
      <c r="D124" s="7" t="str">
        <f t="shared" si="4"/>
        <v>T</v>
      </c>
      <c r="E124" s="10">
        <f t="shared" si="5"/>
        <v>45989</v>
      </c>
      <c r="F124" s="7" t="str">
        <f t="array" ref="F124">+TIPOARMA(H124,I124)</f>
        <v>ALRP</v>
      </c>
      <c r="G124" s="7"/>
      <c r="H124" s="7" t="str">
        <f>+VLOOKUP(Q124,Maps!I:J,2,0)</f>
        <v>Carabina/Fuzil</v>
      </c>
      <c r="I124" s="7" t="str">
        <f>+VLOOKUP(T124,Maps!E:F,2,0)</f>
        <v>.357 Mag</v>
      </c>
      <c r="L124">
        <v>120</v>
      </c>
      <c r="M124">
        <v>45989</v>
      </c>
      <c r="N124" t="s">
        <v>384</v>
      </c>
      <c r="O124" t="s">
        <v>351</v>
      </c>
      <c r="P124" t="s">
        <v>346</v>
      </c>
      <c r="Q124" t="s">
        <v>352</v>
      </c>
      <c r="R124" t="s">
        <v>381</v>
      </c>
      <c r="S124" t="s">
        <v>348</v>
      </c>
      <c r="T124" t="s">
        <v>364</v>
      </c>
      <c r="U124">
        <v>25</v>
      </c>
      <c r="V124" t="s">
        <v>126</v>
      </c>
    </row>
    <row r="125" spans="1:22" ht="14.25" customHeight="1" x14ac:dyDescent="0.35">
      <c r="A125" s="45" t="str">
        <f t="array" ref="A125">EXTRACTEVENT(N125,V125)</f>
        <v>TREINO</v>
      </c>
      <c r="B125" s="7" t="str">
        <f t="shared" si="3"/>
        <v>-</v>
      </c>
      <c r="C125" s="7" t="str">
        <f>+VLOOKUP(P125,Maps!$A:$C,2,0)</f>
        <v>TR</v>
      </c>
      <c r="D125" s="7" t="str">
        <f t="shared" si="4"/>
        <v>T</v>
      </c>
      <c r="E125" s="10">
        <f t="shared" si="5"/>
        <v>45989</v>
      </c>
      <c r="F125" s="7" t="str">
        <f t="array" ref="F125">+TIPOARMA(H125,I125)</f>
        <v>ALRR</v>
      </c>
      <c r="G125" s="7"/>
      <c r="H125" s="7" t="str">
        <f>+VLOOKUP(Q125,Maps!I:J,2,0)</f>
        <v>Carabina/Fuzil</v>
      </c>
      <c r="I125" s="7" t="str">
        <f>+VLOOKUP(T125,Maps!E:F,2,0)</f>
        <v>5.56MM</v>
      </c>
      <c r="L125">
        <v>121</v>
      </c>
      <c r="M125">
        <v>45989</v>
      </c>
      <c r="N125" t="s">
        <v>385</v>
      </c>
      <c r="O125" t="s">
        <v>351</v>
      </c>
      <c r="P125" t="s">
        <v>346</v>
      </c>
      <c r="Q125" t="s">
        <v>352</v>
      </c>
      <c r="R125" t="s">
        <v>353</v>
      </c>
      <c r="S125" t="s">
        <v>348</v>
      </c>
      <c r="T125">
        <v>0.55600000000000005</v>
      </c>
      <c r="U125">
        <v>10</v>
      </c>
      <c r="V125" t="s">
        <v>126</v>
      </c>
    </row>
    <row r="126" spans="1:22" ht="14.25" customHeight="1" x14ac:dyDescent="0.35">
      <c r="A126" s="45" t="str">
        <f t="array" ref="A126">EXTRACTEVENT(N126,V126)</f>
        <v>TREINO</v>
      </c>
      <c r="B126" s="7" t="str">
        <f t="shared" si="3"/>
        <v>-</v>
      </c>
      <c r="C126" s="7" t="str">
        <f>+VLOOKUP(P126,Maps!$A:$C,2,0)</f>
        <v>TR</v>
      </c>
      <c r="D126" s="7" t="str">
        <f t="shared" si="4"/>
        <v>T</v>
      </c>
      <c r="E126" s="10">
        <f t="shared" si="5"/>
        <v>45989</v>
      </c>
      <c r="F126" s="7" t="str">
        <f t="array" ref="F126">+TIPOARMA(H126,I126)</f>
        <v>ACRP</v>
      </c>
      <c r="G126" s="7"/>
      <c r="H126" s="7" t="str">
        <f>+VLOOKUP(Q126,Maps!I:J,2,0)</f>
        <v>Pistola</v>
      </c>
      <c r="I126" s="7" t="str">
        <f>+VLOOKUP(T126,Maps!E:F,2,0)</f>
        <v>9mm</v>
      </c>
      <c r="L126">
        <v>122</v>
      </c>
      <c r="M126">
        <v>45989</v>
      </c>
      <c r="N126" t="s">
        <v>383</v>
      </c>
      <c r="O126" t="s">
        <v>351</v>
      </c>
      <c r="P126" t="s">
        <v>346</v>
      </c>
      <c r="Q126" t="s">
        <v>28</v>
      </c>
      <c r="R126" t="s">
        <v>347</v>
      </c>
      <c r="S126" t="s">
        <v>149</v>
      </c>
      <c r="T126" t="s">
        <v>362</v>
      </c>
      <c r="U126">
        <v>100</v>
      </c>
      <c r="V126" t="s">
        <v>126</v>
      </c>
    </row>
    <row r="127" spans="1:22" ht="14.25" customHeight="1" x14ac:dyDescent="0.35">
      <c r="A127" s="45" t="str">
        <f t="array" ref="A127">EXTRACTEVENT(N127,V127)</f>
        <v>TREINO</v>
      </c>
      <c r="B127" s="7" t="str">
        <f t="shared" si="3"/>
        <v>-</v>
      </c>
      <c r="C127" s="7" t="str">
        <f>+VLOOKUP(P127,Maps!$A:$C,2,0)</f>
        <v>TR</v>
      </c>
      <c r="D127" s="7" t="str">
        <f t="shared" si="4"/>
        <v>T</v>
      </c>
      <c r="E127" s="10">
        <f t="shared" si="5"/>
        <v>45996</v>
      </c>
      <c r="F127" s="7" t="str">
        <f t="array" ref="F127">+TIPOARMA(H127,I127)</f>
        <v>ALRP</v>
      </c>
      <c r="G127" s="7"/>
      <c r="H127" s="7" t="str">
        <f>+VLOOKUP(Q127,Maps!I:J,2,0)</f>
        <v>Carabina/Fuzil</v>
      </c>
      <c r="I127" s="7" t="str">
        <f>+VLOOKUP(T127,Maps!E:F,2,0)</f>
        <v>.357 Mag</v>
      </c>
      <c r="L127">
        <v>123</v>
      </c>
      <c r="M127">
        <v>45996</v>
      </c>
      <c r="N127" t="s">
        <v>387</v>
      </c>
      <c r="O127" t="s">
        <v>351</v>
      </c>
      <c r="P127" t="s">
        <v>346</v>
      </c>
      <c r="Q127" t="s">
        <v>352</v>
      </c>
      <c r="R127" t="s">
        <v>381</v>
      </c>
      <c r="S127" t="s">
        <v>348</v>
      </c>
      <c r="T127" t="s">
        <v>364</v>
      </c>
      <c r="U127">
        <v>20</v>
      </c>
      <c r="V127" t="s">
        <v>126</v>
      </c>
    </row>
    <row r="128" spans="1:22" ht="14.25" customHeight="1" x14ac:dyDescent="0.35">
      <c r="A128" s="45" t="str">
        <f t="array" ref="A128">EXTRACTEVENT(N128,V128)</f>
        <v>TREINO</v>
      </c>
      <c r="B128" s="7" t="str">
        <f t="shared" si="3"/>
        <v>-</v>
      </c>
      <c r="C128" s="7" t="str">
        <f>+VLOOKUP(P128,Maps!$A:$C,2,0)</f>
        <v>TR</v>
      </c>
      <c r="D128" s="7" t="str">
        <f t="shared" si="4"/>
        <v>T</v>
      </c>
      <c r="E128" s="10">
        <f t="shared" si="5"/>
        <v>45996</v>
      </c>
      <c r="F128" s="7" t="str">
        <f t="array" ref="F128">+TIPOARMA(H128,I128)</f>
        <v>ALRR</v>
      </c>
      <c r="G128" s="7"/>
      <c r="H128" s="7" t="str">
        <f>+VLOOKUP(Q128,Maps!I:J,2,0)</f>
        <v>Carabina/Fuzil</v>
      </c>
      <c r="I128" s="7" t="str">
        <f>+VLOOKUP(T128,Maps!E:F,2,0)</f>
        <v>5.56MM</v>
      </c>
      <c r="L128">
        <v>124</v>
      </c>
      <c r="M128">
        <v>45996</v>
      </c>
      <c r="N128" t="s">
        <v>385</v>
      </c>
      <c r="O128" t="s">
        <v>351</v>
      </c>
      <c r="P128" t="s">
        <v>346</v>
      </c>
      <c r="Q128" t="s">
        <v>352</v>
      </c>
      <c r="R128" t="s">
        <v>353</v>
      </c>
      <c r="S128" t="s">
        <v>348</v>
      </c>
      <c r="T128">
        <v>0.55600000000000005</v>
      </c>
      <c r="U128">
        <v>10</v>
      </c>
      <c r="V128" t="s">
        <v>126</v>
      </c>
    </row>
    <row r="129" spans="1:22" ht="14.25" customHeight="1" x14ac:dyDescent="0.35">
      <c r="A129" s="45" t="str">
        <f t="array" ref="A129">EXTRACTEVENT(N129,V129)</f>
        <v>TREINO</v>
      </c>
      <c r="B129" s="7" t="str">
        <f t="shared" si="3"/>
        <v>-</v>
      </c>
      <c r="C129" s="7" t="str">
        <f>+VLOOKUP(P129,Maps!$A:$C,2,0)</f>
        <v>TR</v>
      </c>
      <c r="D129" s="7" t="str">
        <f t="shared" si="4"/>
        <v>T</v>
      </c>
      <c r="E129" s="10">
        <f t="shared" si="5"/>
        <v>45996</v>
      </c>
      <c r="F129" s="7" t="str">
        <f t="array" ref="F129">+TIPOARMA(H129,I129)</f>
        <v>ACRP</v>
      </c>
      <c r="G129" s="7"/>
      <c r="H129" s="7" t="str">
        <f>+VLOOKUP(Q129,Maps!I:J,2,0)</f>
        <v>Pistola</v>
      </c>
      <c r="I129" s="7" t="str">
        <f>+VLOOKUP(T129,Maps!E:F,2,0)</f>
        <v>9mm</v>
      </c>
      <c r="L129">
        <v>125</v>
      </c>
      <c r="M129">
        <v>45996</v>
      </c>
      <c r="N129" t="s">
        <v>387</v>
      </c>
      <c r="O129" t="s">
        <v>351</v>
      </c>
      <c r="P129" t="s">
        <v>346</v>
      </c>
      <c r="Q129" t="s">
        <v>28</v>
      </c>
      <c r="R129" t="s">
        <v>347</v>
      </c>
      <c r="S129" t="s">
        <v>149</v>
      </c>
      <c r="T129" t="s">
        <v>362</v>
      </c>
      <c r="U129">
        <v>20</v>
      </c>
      <c r="V129" t="s">
        <v>126</v>
      </c>
    </row>
    <row r="130" spans="1:22" ht="14.25" customHeight="1" x14ac:dyDescent="0.35">
      <c r="A130" s="45" t="str">
        <f t="array" ref="A130">EXTRACTEVENT(N130,V130)</f>
        <v>TREINO</v>
      </c>
      <c r="B130" s="7" t="str">
        <f t="shared" ref="B130:B193" si="6">+IF(V130="TREINO","-",LEFT(N130,1))</f>
        <v>-</v>
      </c>
      <c r="C130" s="7" t="str">
        <f>+VLOOKUP(P130,Maps!$A:$C,2,0)</f>
        <v>TR</v>
      </c>
      <c r="D130" s="7" t="str">
        <f t="shared" ref="D130:D193" si="7">+IF($V130="TREINO","T",IF(V130="NACIONAL","N","E"))</f>
        <v>T</v>
      </c>
      <c r="E130" s="10">
        <f t="shared" ref="E130:E193" si="8">IFERROR(DATEVALUE(LEFT(M130,10)),M130)</f>
        <v>45996</v>
      </c>
      <c r="F130" s="7" t="str">
        <f t="array" ref="F130">+TIPOARMA(H130,I130)</f>
        <v>ACRR</v>
      </c>
      <c r="G130" s="7"/>
      <c r="H130" s="7" t="str">
        <f>+VLOOKUP(Q130,Maps!I:J,2,0)</f>
        <v>Pistola</v>
      </c>
      <c r="I130" s="7" t="str">
        <f>+VLOOKUP(T130,Maps!E:F,2,0)</f>
        <v>.380 ACP</v>
      </c>
      <c r="L130">
        <v>126</v>
      </c>
      <c r="M130">
        <v>45996</v>
      </c>
      <c r="N130" t="s">
        <v>382</v>
      </c>
      <c r="O130" t="s">
        <v>351</v>
      </c>
      <c r="P130" t="s">
        <v>346</v>
      </c>
      <c r="Q130" t="s">
        <v>28</v>
      </c>
      <c r="R130" t="s">
        <v>358</v>
      </c>
      <c r="S130" t="s">
        <v>149</v>
      </c>
      <c r="T130" t="s">
        <v>360</v>
      </c>
      <c r="U130">
        <v>50</v>
      </c>
      <c r="V130" t="s">
        <v>126</v>
      </c>
    </row>
    <row r="131" spans="1:22" ht="14.25" customHeight="1" x14ac:dyDescent="0.35">
      <c r="A131" s="45" t="str">
        <f t="array" ref="A131">EXTRACTEVENT(N131,V131)</f>
        <v>CAMPEONATO NACIONAL MULTICALIBRES</v>
      </c>
      <c r="B131" s="7" t="str">
        <f t="shared" si="6"/>
        <v>1</v>
      </c>
      <c r="C131" s="7" t="str">
        <f>+VLOOKUP(P131,Maps!$A:$C,2,0)</f>
        <v>Linade</v>
      </c>
      <c r="D131" s="7" t="str">
        <f t="shared" si="7"/>
        <v>N</v>
      </c>
      <c r="E131" s="10">
        <f t="shared" si="8"/>
        <v>45359</v>
      </c>
      <c r="F131" s="7" t="str">
        <f t="array" ref="F131">+TIPOARMA(H131,I131)</f>
        <v>ACRP</v>
      </c>
      <c r="G131" s="7"/>
      <c r="H131" s="7" t="str">
        <f>+VLOOKUP(Q131,Maps!I:J,2,0)</f>
        <v>Pistola</v>
      </c>
      <c r="I131" s="7" t="str">
        <f>+VLOOKUP(T131,Maps!E:F,2,0)</f>
        <v>.38 Super</v>
      </c>
      <c r="L131">
        <v>1</v>
      </c>
      <c r="M131">
        <v>45359</v>
      </c>
      <c r="N131" t="s">
        <v>395</v>
      </c>
      <c r="O131" t="s">
        <v>396</v>
      </c>
      <c r="P131" t="s">
        <v>397</v>
      </c>
      <c r="Q131" t="s">
        <v>28</v>
      </c>
      <c r="R131" t="s">
        <v>398</v>
      </c>
      <c r="S131" t="s">
        <v>348</v>
      </c>
      <c r="T131" t="s">
        <v>399</v>
      </c>
      <c r="U131">
        <v>10</v>
      </c>
      <c r="V131" t="s">
        <v>400</v>
      </c>
    </row>
    <row r="132" spans="1:22" ht="14.25" customHeight="1" x14ac:dyDescent="0.35">
      <c r="A132" s="45" t="str">
        <f t="array" ref="A132">EXTRACTEVENT(N132,V132)</f>
        <v>CAMPEONATO NACIONAL MULTICALIBRES</v>
      </c>
      <c r="B132" s="7" t="str">
        <f t="shared" si="6"/>
        <v>1</v>
      </c>
      <c r="C132" s="7" t="str">
        <f>+VLOOKUP(P132,Maps!$A:$C,2,0)</f>
        <v>Linade</v>
      </c>
      <c r="D132" s="7" t="str">
        <f t="shared" si="7"/>
        <v>N</v>
      </c>
      <c r="E132" s="10">
        <f t="shared" si="8"/>
        <v>45359</v>
      </c>
      <c r="F132" s="7" t="str">
        <f t="array" ref="F132">+TIPOARMA(H132,I132)</f>
        <v>ACRR</v>
      </c>
      <c r="G132" s="7"/>
      <c r="H132" s="7" t="str">
        <f>+VLOOKUP(Q132,Maps!I:J,2,0)</f>
        <v>Pistola</v>
      </c>
      <c r="I132" s="7" t="str">
        <f>+VLOOKUP(T132,Maps!E:F,2,0)</f>
        <v>.380 ACP</v>
      </c>
      <c r="L132">
        <v>1</v>
      </c>
      <c r="M132">
        <v>45359</v>
      </c>
      <c r="N132" t="s">
        <v>395</v>
      </c>
      <c r="O132" t="s">
        <v>396</v>
      </c>
      <c r="P132" t="s">
        <v>397</v>
      </c>
      <c r="Q132" t="s">
        <v>28</v>
      </c>
      <c r="R132" t="s">
        <v>398</v>
      </c>
      <c r="S132" t="s">
        <v>348</v>
      </c>
      <c r="T132">
        <v>0.38</v>
      </c>
      <c r="U132">
        <v>20</v>
      </c>
      <c r="V132" t="s">
        <v>400</v>
      </c>
    </row>
    <row r="133" spans="1:22" ht="14.25" customHeight="1" x14ac:dyDescent="0.35">
      <c r="A133" s="45" t="str">
        <f t="array" ref="A133">EXTRACTEVENT(N133,V133)</f>
        <v>CAMPEONATO NACIONAL MULTICALIBRES</v>
      </c>
      <c r="B133" s="7" t="str">
        <f t="shared" si="6"/>
        <v>1</v>
      </c>
      <c r="C133" s="7" t="str">
        <f>+VLOOKUP(P133,Maps!$A:$C,2,0)</f>
        <v>Linade</v>
      </c>
      <c r="D133" s="7" t="str">
        <f t="shared" si="7"/>
        <v>N</v>
      </c>
      <c r="E133" s="10">
        <f t="shared" si="8"/>
        <v>45359</v>
      </c>
      <c r="F133" s="7" t="str">
        <f t="array" ref="F133">+TIPOARMA(H133,I133)</f>
        <v>ALLP</v>
      </c>
      <c r="G133" s="7"/>
      <c r="H133" s="7" t="str">
        <f>+VLOOKUP(Q133,Maps!I:J,2,0)</f>
        <v>Revólver</v>
      </c>
      <c r="I133" s="7" t="str">
        <f>+VLOOKUP(T133,Maps!E:F,2,0)</f>
        <v>.357 Mag</v>
      </c>
      <c r="L133">
        <v>2</v>
      </c>
      <c r="M133">
        <v>45359</v>
      </c>
      <c r="N133" t="s">
        <v>401</v>
      </c>
      <c r="O133" t="s">
        <v>396</v>
      </c>
      <c r="P133" t="s">
        <v>397</v>
      </c>
      <c r="Q133" t="s">
        <v>51</v>
      </c>
      <c r="R133" t="s">
        <v>398</v>
      </c>
      <c r="S133" t="s">
        <v>348</v>
      </c>
      <c r="T133" t="s">
        <v>20</v>
      </c>
      <c r="U133">
        <v>5</v>
      </c>
      <c r="V133" t="s">
        <v>400</v>
      </c>
    </row>
    <row r="134" spans="1:22" ht="14.25" customHeight="1" x14ac:dyDescent="0.35">
      <c r="A134" s="45" t="str">
        <f t="array" ref="A134">EXTRACTEVENT(N134,V134)</f>
        <v>CAMPEONATO NACIONAL MULTICALIBRES</v>
      </c>
      <c r="B134" s="7" t="str">
        <f t="shared" si="6"/>
        <v>1</v>
      </c>
      <c r="C134" s="7" t="str">
        <f>+VLOOKUP(P134,Maps!$A:$C,2,0)</f>
        <v>Linade</v>
      </c>
      <c r="D134" s="7" t="str">
        <f t="shared" si="7"/>
        <v>N</v>
      </c>
      <c r="E134" s="10">
        <f t="shared" si="8"/>
        <v>45359</v>
      </c>
      <c r="F134" s="7" t="str">
        <f t="array" ref="F134">+TIPOARMA(H134,I134)</f>
        <v>ACRR</v>
      </c>
      <c r="G134" s="7"/>
      <c r="H134" s="7" t="str">
        <f>+VLOOKUP(Q134,Maps!I:J,2,0)</f>
        <v>Revólver</v>
      </c>
      <c r="I134" s="7" t="str">
        <f>+VLOOKUP(T134,Maps!E:F,2,0)</f>
        <v>.38 SPL</v>
      </c>
      <c r="L134">
        <v>2</v>
      </c>
      <c r="M134">
        <v>45359</v>
      </c>
      <c r="N134" t="s">
        <v>401</v>
      </c>
      <c r="O134" t="s">
        <v>396</v>
      </c>
      <c r="P134" t="s">
        <v>397</v>
      </c>
      <c r="Q134" t="s">
        <v>51</v>
      </c>
      <c r="R134" t="s">
        <v>398</v>
      </c>
      <c r="S134" t="s">
        <v>348</v>
      </c>
      <c r="T134" t="s">
        <v>402</v>
      </c>
      <c r="U134">
        <v>20</v>
      </c>
      <c r="V134" t="s">
        <v>400</v>
      </c>
    </row>
    <row r="135" spans="1:22" ht="14.25" customHeight="1" x14ac:dyDescent="0.35">
      <c r="A135" s="45" t="str">
        <f t="array" ref="A135">EXTRACTEVENT(N135,V135)</f>
        <v>CAMPEONATO NACIONAL MULTICALIBRES</v>
      </c>
      <c r="B135" s="7" t="str">
        <f t="shared" si="6"/>
        <v>1</v>
      </c>
      <c r="C135" s="7" t="str">
        <f>+VLOOKUP(P135,Maps!$A:$C,2,0)</f>
        <v>Linade</v>
      </c>
      <c r="D135" s="7" t="str">
        <f t="shared" si="7"/>
        <v>N</v>
      </c>
      <c r="E135" s="10">
        <f t="shared" si="8"/>
        <v>45359</v>
      </c>
      <c r="F135" s="7" t="str">
        <f t="array" ref="F135">+TIPOARMA(H135,I135)</f>
        <v>ALRR</v>
      </c>
      <c r="G135" s="7"/>
      <c r="H135" s="7" t="str">
        <f>+VLOOKUP(Q135,Maps!I:J,2,0)</f>
        <v>Carabina/Fuzil</v>
      </c>
      <c r="I135" s="7" t="str">
        <f>+VLOOKUP(T135,Maps!E:F,2,0)</f>
        <v>5.56MM</v>
      </c>
      <c r="L135">
        <v>3</v>
      </c>
      <c r="M135">
        <v>45359</v>
      </c>
      <c r="N135" t="s">
        <v>403</v>
      </c>
      <c r="O135" t="s">
        <v>396</v>
      </c>
      <c r="P135" t="s">
        <v>397</v>
      </c>
      <c r="Q135" t="s">
        <v>352</v>
      </c>
      <c r="R135" t="s">
        <v>398</v>
      </c>
      <c r="S135" t="s">
        <v>348</v>
      </c>
      <c r="T135">
        <v>0.55600000000000005</v>
      </c>
      <c r="U135">
        <v>10</v>
      </c>
      <c r="V135" t="s">
        <v>400</v>
      </c>
    </row>
    <row r="136" spans="1:22" ht="14.25" customHeight="1" x14ac:dyDescent="0.35">
      <c r="A136" s="45" t="str">
        <f t="array" ref="A136">EXTRACTEVENT(N136,V136)</f>
        <v>CAMPEONATO NACIONAL MULTICALIBRES</v>
      </c>
      <c r="B136" s="7" t="str">
        <f t="shared" si="6"/>
        <v>1</v>
      </c>
      <c r="C136" s="7" t="str">
        <f>+VLOOKUP(P136,Maps!$A:$C,2,0)</f>
        <v>Linade</v>
      </c>
      <c r="D136" s="7" t="str">
        <f t="shared" si="7"/>
        <v>N</v>
      </c>
      <c r="E136" s="10">
        <f t="shared" si="8"/>
        <v>45359</v>
      </c>
      <c r="F136" s="7" t="str">
        <f t="array" ref="F136">+TIPOARMA(H136,I136)</f>
        <v>ALRP</v>
      </c>
      <c r="G136" s="7"/>
      <c r="H136" s="7" t="str">
        <f>+VLOOKUP(Q136,Maps!I:J,2,0)</f>
        <v>Carabina/Fuzil</v>
      </c>
      <c r="I136" s="7" t="str">
        <f>+VLOOKUP(T136,Maps!E:F,2,0)</f>
        <v>.357 Mag</v>
      </c>
      <c r="L136">
        <v>3</v>
      </c>
      <c r="M136">
        <v>45359</v>
      </c>
      <c r="N136" t="s">
        <v>403</v>
      </c>
      <c r="O136" t="s">
        <v>396</v>
      </c>
      <c r="P136" t="s">
        <v>397</v>
      </c>
      <c r="Q136" t="s">
        <v>404</v>
      </c>
      <c r="R136" t="s">
        <v>398</v>
      </c>
      <c r="S136" t="s">
        <v>348</v>
      </c>
      <c r="T136" t="s">
        <v>20</v>
      </c>
      <c r="U136">
        <v>20</v>
      </c>
      <c r="V136" t="s">
        <v>400</v>
      </c>
    </row>
    <row r="137" spans="1:22" ht="14.25" customHeight="1" x14ac:dyDescent="0.35">
      <c r="A137" s="45" t="str">
        <f t="array" ref="A137">EXTRACTEVENT(N137,V137)</f>
        <v>COPA BRASIL DE TIRO DESPORTIVO</v>
      </c>
      <c r="B137" s="7" t="str">
        <f t="shared" si="6"/>
        <v>7</v>
      </c>
      <c r="C137" s="7" t="str">
        <f>+VLOOKUP(P137,Maps!$A:$C,2,0)</f>
        <v>Linade</v>
      </c>
      <c r="D137" s="7" t="str">
        <f t="shared" si="7"/>
        <v>N</v>
      </c>
      <c r="E137" s="10">
        <f t="shared" si="8"/>
        <v>45546</v>
      </c>
      <c r="F137" s="7" t="str">
        <f t="array" ref="F137">+TIPOARMA(H137,I137)</f>
        <v>ALRR</v>
      </c>
      <c r="G137" s="7"/>
      <c r="H137" s="7" t="str">
        <f>+VLOOKUP(Q137,Maps!I:J,2,0)</f>
        <v>Carabina/Fuzil</v>
      </c>
      <c r="I137" s="7" t="str">
        <f>+VLOOKUP(T137,Maps!E:F,2,0)</f>
        <v>5.56MM</v>
      </c>
      <c r="L137">
        <v>4</v>
      </c>
      <c r="M137">
        <v>45546</v>
      </c>
      <c r="N137" t="s">
        <v>405</v>
      </c>
      <c r="O137" t="s">
        <v>404</v>
      </c>
      <c r="P137" t="s">
        <v>397</v>
      </c>
      <c r="Q137" t="s">
        <v>352</v>
      </c>
      <c r="R137" t="s">
        <v>398</v>
      </c>
      <c r="S137" t="s">
        <v>348</v>
      </c>
      <c r="T137">
        <v>0.55600000000000005</v>
      </c>
      <c r="U137">
        <v>20</v>
      </c>
      <c r="V137" t="s">
        <v>400</v>
      </c>
    </row>
    <row r="138" spans="1:22" ht="14.25" customHeight="1" x14ac:dyDescent="0.35">
      <c r="A138" s="45" t="str">
        <f t="array" ref="A138">EXTRACTEVENT(N138,V138)</f>
        <v>CAMPEONATO NACIONAL MULTICALIBRES</v>
      </c>
      <c r="B138" s="7" t="str">
        <f t="shared" si="6"/>
        <v>7</v>
      </c>
      <c r="C138" s="7" t="str">
        <f>+VLOOKUP(P138,Maps!$A:$C,2,0)</f>
        <v>Linade</v>
      </c>
      <c r="D138" s="7" t="str">
        <f t="shared" si="7"/>
        <v>N</v>
      </c>
      <c r="E138" s="10">
        <f t="shared" si="8"/>
        <v>45558</v>
      </c>
      <c r="F138" s="7" t="str">
        <f t="array" ref="F138">+TIPOARMA(H138,I138)</f>
        <v>ACRR</v>
      </c>
      <c r="G138" s="7"/>
      <c r="H138" s="7" t="str">
        <f>+VLOOKUP(Q138,Maps!I:J,2,0)</f>
        <v>Pistola</v>
      </c>
      <c r="I138" s="7" t="str">
        <f>+VLOOKUP(T138,Maps!E:F,2,0)</f>
        <v>.380 ACP</v>
      </c>
      <c r="L138">
        <v>5</v>
      </c>
      <c r="M138">
        <v>45558</v>
      </c>
      <c r="N138" t="s">
        <v>406</v>
      </c>
      <c r="O138" t="s">
        <v>396</v>
      </c>
      <c r="P138" t="s">
        <v>397</v>
      </c>
      <c r="Q138" t="s">
        <v>28</v>
      </c>
      <c r="R138" t="s">
        <v>398</v>
      </c>
      <c r="S138" t="s">
        <v>348</v>
      </c>
      <c r="T138">
        <v>0.38</v>
      </c>
      <c r="U138">
        <v>5</v>
      </c>
      <c r="V138" t="s">
        <v>400</v>
      </c>
    </row>
    <row r="139" spans="1:22" ht="14.25" customHeight="1" x14ac:dyDescent="0.35">
      <c r="A139" s="45" t="str">
        <f t="array" ref="A139">EXTRACTEVENT(N139,V139)</f>
        <v>CAMPEONATO NACIONAL MULTICALIBRES</v>
      </c>
      <c r="B139" s="7" t="str">
        <f t="shared" si="6"/>
        <v>7</v>
      </c>
      <c r="C139" s="7" t="str">
        <f>+VLOOKUP(P139,Maps!$A:$C,2,0)</f>
        <v>Linade</v>
      </c>
      <c r="D139" s="7" t="str">
        <f t="shared" si="7"/>
        <v>N</v>
      </c>
      <c r="E139" s="10">
        <f t="shared" si="8"/>
        <v>45558</v>
      </c>
      <c r="F139" s="7" t="str">
        <f t="array" ref="F139">+TIPOARMA(H139,I139)</f>
        <v>ACRP</v>
      </c>
      <c r="G139" s="7"/>
      <c r="H139" s="7" t="str">
        <f>+VLOOKUP(Q139,Maps!I:J,2,0)</f>
        <v>Pistola</v>
      </c>
      <c r="I139" s="7" t="str">
        <f>+VLOOKUP(T139,Maps!E:F,2,0)</f>
        <v>.38 Super</v>
      </c>
      <c r="L139">
        <v>5</v>
      </c>
      <c r="M139">
        <v>45558</v>
      </c>
      <c r="N139" t="s">
        <v>406</v>
      </c>
      <c r="O139" t="s">
        <v>396</v>
      </c>
      <c r="P139" t="s">
        <v>397</v>
      </c>
      <c r="Q139" t="s">
        <v>28</v>
      </c>
      <c r="R139" t="s">
        <v>398</v>
      </c>
      <c r="S139" t="s">
        <v>348</v>
      </c>
      <c r="T139" t="s">
        <v>399</v>
      </c>
      <c r="U139">
        <v>5</v>
      </c>
      <c r="V139" t="s">
        <v>400</v>
      </c>
    </row>
    <row r="140" spans="1:22" ht="14.25" customHeight="1" x14ac:dyDescent="0.35">
      <c r="A140" s="45" t="str">
        <f t="array" ref="A140">EXTRACTEVENT(N140,V140)</f>
        <v>CAMPEONATO NACIONAL MULTICALIBRES</v>
      </c>
      <c r="B140" s="7" t="str">
        <f t="shared" si="6"/>
        <v>7</v>
      </c>
      <c r="C140" s="7" t="str">
        <f>+VLOOKUP(P140,Maps!$A:$C,2,0)</f>
        <v>Linade</v>
      </c>
      <c r="D140" s="7" t="str">
        <f t="shared" si="7"/>
        <v>N</v>
      </c>
      <c r="E140" s="10">
        <f t="shared" si="8"/>
        <v>45558</v>
      </c>
      <c r="F140" s="7" t="str">
        <f t="array" ref="F140">+TIPOARMA(H140,I140)</f>
        <v>ACRR</v>
      </c>
      <c r="G140" s="7"/>
      <c r="H140" s="7" t="str">
        <f>+VLOOKUP(Q140,Maps!I:J,2,0)</f>
        <v>Revólver</v>
      </c>
      <c r="I140" s="7" t="str">
        <f>+VLOOKUP(T140,Maps!E:F,2,0)</f>
        <v>.38 SPL</v>
      </c>
      <c r="L140">
        <v>5</v>
      </c>
      <c r="M140">
        <v>45558</v>
      </c>
      <c r="N140" t="s">
        <v>406</v>
      </c>
      <c r="O140" t="s">
        <v>396</v>
      </c>
      <c r="P140" t="s">
        <v>397</v>
      </c>
      <c r="Q140" t="s">
        <v>51</v>
      </c>
      <c r="R140" t="s">
        <v>398</v>
      </c>
      <c r="S140" t="s">
        <v>348</v>
      </c>
      <c r="T140" t="s">
        <v>402</v>
      </c>
      <c r="U140">
        <v>5</v>
      </c>
      <c r="V140" t="s">
        <v>400</v>
      </c>
    </row>
    <row r="141" spans="1:22" ht="14.25" customHeight="1" x14ac:dyDescent="0.35">
      <c r="A141" s="45" t="str">
        <f t="array" ref="A141">EXTRACTEVENT(N141,V141)</f>
        <v>CAMPEONATO NACIONAL MULTICALIBRES</v>
      </c>
      <c r="B141" s="7" t="str">
        <f t="shared" si="6"/>
        <v>7</v>
      </c>
      <c r="C141" s="7" t="str">
        <f>+VLOOKUP(P141,Maps!$A:$C,2,0)</f>
        <v>Linade</v>
      </c>
      <c r="D141" s="7" t="str">
        <f t="shared" si="7"/>
        <v>N</v>
      </c>
      <c r="E141" s="10">
        <f t="shared" si="8"/>
        <v>45558</v>
      </c>
      <c r="F141" s="7" t="str">
        <f t="array" ref="F141">+TIPOARMA(H141,I141)</f>
        <v>ACRP</v>
      </c>
      <c r="G141" s="7"/>
      <c r="H141" s="7" t="str">
        <f>+VLOOKUP(Q141,Maps!I:J,2,0)</f>
        <v>Pistola</v>
      </c>
      <c r="I141" s="7" t="str">
        <f>+VLOOKUP(T141,Maps!E:F,2,0)</f>
        <v>9mm</v>
      </c>
      <c r="L141">
        <v>5</v>
      </c>
      <c r="M141">
        <v>45558</v>
      </c>
      <c r="N141" t="s">
        <v>406</v>
      </c>
      <c r="O141" t="s">
        <v>396</v>
      </c>
      <c r="P141" t="s">
        <v>397</v>
      </c>
      <c r="Q141" t="s">
        <v>28</v>
      </c>
      <c r="R141" t="s">
        <v>398</v>
      </c>
      <c r="S141" t="s">
        <v>348</v>
      </c>
      <c r="T141" t="s">
        <v>29</v>
      </c>
      <c r="U141">
        <v>5</v>
      </c>
      <c r="V141" t="s">
        <v>400</v>
      </c>
    </row>
    <row r="142" spans="1:22" ht="14.25" customHeight="1" x14ac:dyDescent="0.35">
      <c r="A142" s="45" t="str">
        <f t="array" ref="A142">EXTRACTEVENT(N142,V142)</f>
        <v>CAMPEONATO NACIONAL MULTICALIBRES</v>
      </c>
      <c r="B142" s="7" t="str">
        <f t="shared" si="6"/>
        <v>7</v>
      </c>
      <c r="C142" s="7" t="str">
        <f>+VLOOKUP(P142,Maps!$A:$C,2,0)</f>
        <v>Linade</v>
      </c>
      <c r="D142" s="7" t="str">
        <f t="shared" si="7"/>
        <v>N</v>
      </c>
      <c r="E142" s="10">
        <f t="shared" si="8"/>
        <v>45558</v>
      </c>
      <c r="F142" s="7" t="str">
        <f t="array" ref="F142">+TIPOARMA(H142,I142)</f>
        <v>ACRR</v>
      </c>
      <c r="G142" s="7"/>
      <c r="H142" s="7" t="str">
        <f>+VLOOKUP(Q142,Maps!I:J,2,0)</f>
        <v>Pistola</v>
      </c>
      <c r="I142" s="7" t="str">
        <f>+VLOOKUP(T142,Maps!E:F,2,0)</f>
        <v>.45 ACP</v>
      </c>
      <c r="L142">
        <v>6</v>
      </c>
      <c r="M142">
        <v>45558</v>
      </c>
      <c r="N142" t="s">
        <v>407</v>
      </c>
      <c r="O142" t="s">
        <v>396</v>
      </c>
      <c r="P142" t="s">
        <v>397</v>
      </c>
      <c r="Q142" t="s">
        <v>28</v>
      </c>
      <c r="R142" t="s">
        <v>398</v>
      </c>
      <c r="S142" t="s">
        <v>348</v>
      </c>
      <c r="T142" t="s">
        <v>356</v>
      </c>
      <c r="U142">
        <v>10</v>
      </c>
      <c r="V142" t="s">
        <v>400</v>
      </c>
    </row>
    <row r="143" spans="1:22" ht="14.25" customHeight="1" x14ac:dyDescent="0.35">
      <c r="A143" s="45" t="str">
        <f t="array" ref="A143">EXTRACTEVENT(N143,V143)</f>
        <v>CAMPEONATO NACIONAL MULTICALIBRES</v>
      </c>
      <c r="B143" s="7" t="str">
        <f t="shared" si="6"/>
        <v>7</v>
      </c>
      <c r="C143" s="7" t="str">
        <f>+VLOOKUP(P143,Maps!$A:$C,2,0)</f>
        <v>Linade</v>
      </c>
      <c r="D143" s="7" t="str">
        <f t="shared" si="7"/>
        <v>N</v>
      </c>
      <c r="E143" s="10">
        <f t="shared" si="8"/>
        <v>45558</v>
      </c>
      <c r="F143" s="7" t="str">
        <f t="array" ref="F143">+TIPOARMA(H143,I143)</f>
        <v>ALLP</v>
      </c>
      <c r="G143" s="7"/>
      <c r="H143" s="7" t="str">
        <f>+VLOOKUP(Q143,Maps!I:J,2,0)</f>
        <v>Revólver</v>
      </c>
      <c r="I143" s="7" t="str">
        <f>+VLOOKUP(T143,Maps!E:F,2,0)</f>
        <v>.357 Mag</v>
      </c>
      <c r="L143">
        <v>6</v>
      </c>
      <c r="M143">
        <v>45558</v>
      </c>
      <c r="N143" t="s">
        <v>407</v>
      </c>
      <c r="O143" t="s">
        <v>396</v>
      </c>
      <c r="P143" t="s">
        <v>397</v>
      </c>
      <c r="Q143" t="s">
        <v>51</v>
      </c>
      <c r="R143" t="s">
        <v>398</v>
      </c>
      <c r="S143" t="s">
        <v>348</v>
      </c>
      <c r="T143" t="s">
        <v>20</v>
      </c>
      <c r="U143">
        <v>10</v>
      </c>
      <c r="V143" t="s">
        <v>400</v>
      </c>
    </row>
    <row r="144" spans="1:22" ht="14.25" customHeight="1" x14ac:dyDescent="0.35">
      <c r="A144" s="45" t="str">
        <f t="array" ref="A144">EXTRACTEVENT(N144,V144)</f>
        <v>CAMPEONATO NACIONAL DE TIRO DESPORTIVO</v>
      </c>
      <c r="B144" s="7" t="str">
        <f t="shared" si="6"/>
        <v>1</v>
      </c>
      <c r="C144" s="7" t="str">
        <f>+VLOOKUP(P144,Maps!$A:$C,2,0)</f>
        <v>Linade</v>
      </c>
      <c r="D144" s="7" t="str">
        <f t="shared" si="7"/>
        <v>N</v>
      </c>
      <c r="E144" s="10">
        <f t="shared" si="8"/>
        <v>45700</v>
      </c>
      <c r="F144" s="7" t="str">
        <f t="array" ref="F144">+TIPOARMA(H144,I144)</f>
        <v>ACRP</v>
      </c>
      <c r="G144" s="7"/>
      <c r="H144" s="7" t="str">
        <f>+VLOOKUP(Q144,Maps!I:J,2,0)</f>
        <v>Pistola</v>
      </c>
      <c r="I144" s="7" t="str">
        <f>+VLOOKUP(T144,Maps!E:F,2,0)</f>
        <v>9mm</v>
      </c>
      <c r="L144">
        <v>7</v>
      </c>
      <c r="M144">
        <v>45700</v>
      </c>
      <c r="N144" t="s">
        <v>408</v>
      </c>
      <c r="O144" t="s">
        <v>28</v>
      </c>
      <c r="P144" t="s">
        <v>397</v>
      </c>
      <c r="Q144" t="s">
        <v>28</v>
      </c>
      <c r="R144" t="s">
        <v>398</v>
      </c>
      <c r="S144" t="s">
        <v>348</v>
      </c>
      <c r="T144" t="s">
        <v>29</v>
      </c>
      <c r="U144">
        <v>20</v>
      </c>
      <c r="V144" t="s">
        <v>400</v>
      </c>
    </row>
    <row r="145" spans="1:22" ht="14.25" customHeight="1" x14ac:dyDescent="0.35">
      <c r="A145" s="45" t="str">
        <f t="array" ref="A145">EXTRACTEVENT(N145,V145)</f>
        <v>CAMPEONATO NACIONAL DE TIRO DESPORTIVO</v>
      </c>
      <c r="B145" s="7" t="str">
        <f t="shared" si="6"/>
        <v>1</v>
      </c>
      <c r="C145" s="7" t="str">
        <f>+VLOOKUP(P145,Maps!$A:$C,2,0)</f>
        <v>Linade</v>
      </c>
      <c r="D145" s="7" t="str">
        <f t="shared" si="7"/>
        <v>N</v>
      </c>
      <c r="E145" s="10">
        <f t="shared" si="8"/>
        <v>45700</v>
      </c>
      <c r="F145" s="7" t="str">
        <f t="array" ref="F145">+TIPOARMA(H145,I145)</f>
        <v>ACRR</v>
      </c>
      <c r="G145" s="7"/>
      <c r="H145" s="7" t="str">
        <f>+VLOOKUP(Q145,Maps!I:J,2,0)</f>
        <v>Pistola</v>
      </c>
      <c r="I145" s="7" t="str">
        <f>+VLOOKUP(T145,Maps!E:F,2,0)</f>
        <v>.380 ACP</v>
      </c>
      <c r="L145">
        <v>8</v>
      </c>
      <c r="M145">
        <v>45700</v>
      </c>
      <c r="N145" t="s">
        <v>409</v>
      </c>
      <c r="O145" t="s">
        <v>28</v>
      </c>
      <c r="P145" t="s">
        <v>397</v>
      </c>
      <c r="Q145" t="s">
        <v>28</v>
      </c>
      <c r="R145" t="s">
        <v>398</v>
      </c>
      <c r="S145" t="s">
        <v>348</v>
      </c>
      <c r="T145">
        <v>0.38</v>
      </c>
      <c r="U145">
        <v>20</v>
      </c>
      <c r="V145" t="s">
        <v>400</v>
      </c>
    </row>
    <row r="146" spans="1:22" ht="14.25" customHeight="1" x14ac:dyDescent="0.35">
      <c r="A146" s="45" t="str">
        <f t="array" ref="A146">EXTRACTEVENT(N146,V146)</f>
        <v>CAMPEONATO NACIONAL DE TIRO DESPORTIVO</v>
      </c>
      <c r="B146" s="7" t="str">
        <f t="shared" si="6"/>
        <v>1</v>
      </c>
      <c r="C146" s="7" t="str">
        <f>+VLOOKUP(P146,Maps!$A:$C,2,0)</f>
        <v>Linade</v>
      </c>
      <c r="D146" s="7" t="str">
        <f t="shared" si="7"/>
        <v>N</v>
      </c>
      <c r="E146" s="10">
        <f t="shared" si="8"/>
        <v>45700</v>
      </c>
      <c r="F146" s="7" t="str">
        <f t="array" ref="F146">+TIPOARMA(H146,I146)</f>
        <v>ACRR</v>
      </c>
      <c r="G146" s="7"/>
      <c r="H146" s="7" t="str">
        <f>+VLOOKUP(Q146,Maps!I:J,2,0)</f>
        <v>Pistola</v>
      </c>
      <c r="I146" s="7" t="str">
        <f>+VLOOKUP(T146,Maps!E:F,2,0)</f>
        <v>.380 ACP</v>
      </c>
      <c r="L146">
        <v>9</v>
      </c>
      <c r="M146">
        <v>45700</v>
      </c>
      <c r="N146" t="s">
        <v>410</v>
      </c>
      <c r="O146" t="s">
        <v>28</v>
      </c>
      <c r="P146" t="s">
        <v>397</v>
      </c>
      <c r="Q146" t="s">
        <v>28</v>
      </c>
      <c r="R146" t="s">
        <v>398</v>
      </c>
      <c r="S146" t="s">
        <v>348</v>
      </c>
      <c r="T146">
        <v>0.38</v>
      </c>
      <c r="U146">
        <v>20</v>
      </c>
      <c r="V146" t="s">
        <v>400</v>
      </c>
    </row>
    <row r="147" spans="1:22" ht="14.25" customHeight="1" x14ac:dyDescent="0.35">
      <c r="A147" s="45" t="str">
        <f t="array" ref="A147">EXTRACTEVENT(N147,V147)</f>
        <v>COPA BRASIL DE TIRO DESPORTIVO</v>
      </c>
      <c r="B147" s="7" t="str">
        <f t="shared" si="6"/>
        <v>1</v>
      </c>
      <c r="C147" s="7" t="str">
        <f>+VLOOKUP(P147,Maps!$A:$C,2,0)</f>
        <v>Linade</v>
      </c>
      <c r="D147" s="7" t="str">
        <f t="shared" si="7"/>
        <v>N</v>
      </c>
      <c r="E147" s="10">
        <f t="shared" si="8"/>
        <v>45700</v>
      </c>
      <c r="F147" s="7" t="str">
        <f t="array" ref="F147">+TIPOARMA(H147,I147)</f>
        <v>ACRP</v>
      </c>
      <c r="G147" s="7"/>
      <c r="H147" s="7" t="str">
        <f>+VLOOKUP(Q147,Maps!I:J,2,0)</f>
        <v>Pistola</v>
      </c>
      <c r="I147" s="7" t="str">
        <f>+VLOOKUP(T147,Maps!E:F,2,0)</f>
        <v>9mm</v>
      </c>
      <c r="L147">
        <v>10</v>
      </c>
      <c r="M147">
        <v>45700</v>
      </c>
      <c r="N147" t="s">
        <v>411</v>
      </c>
      <c r="O147" t="s">
        <v>396</v>
      </c>
      <c r="P147" t="s">
        <v>397</v>
      </c>
      <c r="Q147" t="s">
        <v>28</v>
      </c>
      <c r="R147" t="s">
        <v>398</v>
      </c>
      <c r="S147" t="s">
        <v>348</v>
      </c>
      <c r="T147" t="s">
        <v>29</v>
      </c>
      <c r="U147">
        <v>5</v>
      </c>
      <c r="V147" t="s">
        <v>400</v>
      </c>
    </row>
    <row r="148" spans="1:22" ht="14.25" customHeight="1" x14ac:dyDescent="0.35">
      <c r="A148" s="45" t="str">
        <f t="array" ref="A148">EXTRACTEVENT(N148,V148)</f>
        <v>COPA BRASIL DE TIRO DESPORTIVO</v>
      </c>
      <c r="B148" s="7" t="str">
        <f t="shared" si="6"/>
        <v>1</v>
      </c>
      <c r="C148" s="7" t="str">
        <f>+VLOOKUP(P148,Maps!$A:$C,2,0)</f>
        <v>Linade</v>
      </c>
      <c r="D148" s="7" t="str">
        <f t="shared" si="7"/>
        <v>N</v>
      </c>
      <c r="E148" s="10">
        <f t="shared" si="8"/>
        <v>45700</v>
      </c>
      <c r="F148" s="7" t="str">
        <f t="array" ref="F148">+TIPOARMA(H148,I148)</f>
        <v>ACRR</v>
      </c>
      <c r="G148" s="7"/>
      <c r="H148" s="7" t="str">
        <f>+VLOOKUP(Q148,Maps!I:J,2,0)</f>
        <v>Pistola</v>
      </c>
      <c r="I148" s="7" t="str">
        <f>+VLOOKUP(T148,Maps!E:F,2,0)</f>
        <v>.380 ACP</v>
      </c>
      <c r="L148">
        <v>10</v>
      </c>
      <c r="M148">
        <v>45700</v>
      </c>
      <c r="N148" t="s">
        <v>411</v>
      </c>
      <c r="O148" t="s">
        <v>396</v>
      </c>
      <c r="P148" t="s">
        <v>397</v>
      </c>
      <c r="Q148" t="s">
        <v>28</v>
      </c>
      <c r="R148" t="s">
        <v>398</v>
      </c>
      <c r="S148" t="s">
        <v>348</v>
      </c>
      <c r="T148">
        <v>0.38</v>
      </c>
      <c r="U148">
        <v>5</v>
      </c>
      <c r="V148" t="s">
        <v>400</v>
      </c>
    </row>
    <row r="149" spans="1:22" ht="14.25" customHeight="1" x14ac:dyDescent="0.35">
      <c r="A149" s="45" t="str">
        <f t="array" ref="A149">EXTRACTEVENT(N149,V149)</f>
        <v>COPA BRASIL DE TIRO DESPORTIVO</v>
      </c>
      <c r="B149" s="7" t="str">
        <f t="shared" si="6"/>
        <v>1</v>
      </c>
      <c r="C149" s="7" t="str">
        <f>+VLOOKUP(P149,Maps!$A:$C,2,0)</f>
        <v>Linade</v>
      </c>
      <c r="D149" s="7" t="str">
        <f t="shared" si="7"/>
        <v>N</v>
      </c>
      <c r="E149" s="10">
        <f t="shared" si="8"/>
        <v>45700</v>
      </c>
      <c r="F149" s="7" t="str">
        <f t="array" ref="F149">+TIPOARMA(H149,I149)</f>
        <v>ALRP</v>
      </c>
      <c r="G149" s="7"/>
      <c r="H149" s="7" t="str">
        <f>+VLOOKUP(Q149,Maps!I:J,2,0)</f>
        <v>Carabina/Fuzil</v>
      </c>
      <c r="I149" s="7" t="str">
        <f>+VLOOKUP(T149,Maps!E:F,2,0)</f>
        <v>.357 Mag</v>
      </c>
      <c r="L149">
        <v>11</v>
      </c>
      <c r="M149">
        <v>45700</v>
      </c>
      <c r="N149" t="s">
        <v>412</v>
      </c>
      <c r="O149" t="s">
        <v>396</v>
      </c>
      <c r="P149" t="s">
        <v>397</v>
      </c>
      <c r="Q149" t="s">
        <v>404</v>
      </c>
      <c r="R149" t="s">
        <v>398</v>
      </c>
      <c r="S149" t="s">
        <v>348</v>
      </c>
      <c r="T149" t="s">
        <v>20</v>
      </c>
      <c r="U149">
        <v>5</v>
      </c>
      <c r="V149" t="s">
        <v>400</v>
      </c>
    </row>
    <row r="150" spans="1:22" ht="14.25" customHeight="1" x14ac:dyDescent="0.35">
      <c r="A150" s="45" t="str">
        <f t="array" ref="A150">EXTRACTEVENT(N150,V150)</f>
        <v>COPA BRASIL DE TIRO DESPORTIVO</v>
      </c>
      <c r="B150" s="7" t="str">
        <f t="shared" si="6"/>
        <v>1</v>
      </c>
      <c r="C150" s="7" t="str">
        <f>+VLOOKUP(P150,Maps!$A:$C,2,0)</f>
        <v>Linade</v>
      </c>
      <c r="D150" s="7" t="str">
        <f t="shared" si="7"/>
        <v>N</v>
      </c>
      <c r="E150" s="10">
        <f t="shared" si="8"/>
        <v>45700</v>
      </c>
      <c r="F150" s="7" t="str">
        <f t="array" ref="F150">+TIPOARMA(H150,I150)</f>
        <v>ALRR</v>
      </c>
      <c r="G150" s="7"/>
      <c r="H150" s="7" t="str">
        <f>+VLOOKUP(Q150,Maps!I:J,2,0)</f>
        <v>Carabina/Fuzil</v>
      </c>
      <c r="I150" s="7" t="str">
        <f>+VLOOKUP(T150,Maps!E:F,2,0)</f>
        <v>5.56MM</v>
      </c>
      <c r="L150">
        <v>11</v>
      </c>
      <c r="M150">
        <v>45700</v>
      </c>
      <c r="N150" t="s">
        <v>412</v>
      </c>
      <c r="O150" t="s">
        <v>396</v>
      </c>
      <c r="P150" t="s">
        <v>397</v>
      </c>
      <c r="Q150" t="s">
        <v>352</v>
      </c>
      <c r="R150" t="s">
        <v>398</v>
      </c>
      <c r="S150" t="s">
        <v>348</v>
      </c>
      <c r="T150">
        <v>0.55600000000000005</v>
      </c>
      <c r="U150">
        <v>5</v>
      </c>
      <c r="V150" t="s">
        <v>400</v>
      </c>
    </row>
    <row r="151" spans="1:22" ht="14.25" customHeight="1" x14ac:dyDescent="0.35">
      <c r="A151" s="45" t="str">
        <f t="array" ref="A151">EXTRACTEVENT(N151,V151)</f>
        <v>COPA BRASIL DE TIRO DESPORTIVO</v>
      </c>
      <c r="B151" s="7" t="str">
        <f t="shared" si="6"/>
        <v>1</v>
      </c>
      <c r="C151" s="7" t="str">
        <f>+VLOOKUP(P151,Maps!$A:$C,2,0)</f>
        <v>Linade</v>
      </c>
      <c r="D151" s="7" t="str">
        <f t="shared" si="7"/>
        <v>N</v>
      </c>
      <c r="E151" s="10">
        <f t="shared" si="8"/>
        <v>45700</v>
      </c>
      <c r="F151" s="7" t="str">
        <f t="array" ref="F151">+TIPOARMA(H151,I151)</f>
        <v>ACRP</v>
      </c>
      <c r="G151" s="7"/>
      <c r="H151" s="7" t="str">
        <f>+VLOOKUP(Q151,Maps!I:J,2,0)</f>
        <v>Pistola</v>
      </c>
      <c r="I151" s="7" t="str">
        <f>+VLOOKUP(T151,Maps!E:F,2,0)</f>
        <v>9mm</v>
      </c>
      <c r="L151">
        <v>12</v>
      </c>
      <c r="M151">
        <v>45700</v>
      </c>
      <c r="N151" t="s">
        <v>413</v>
      </c>
      <c r="O151" t="s">
        <v>414</v>
      </c>
      <c r="P151" t="s">
        <v>397</v>
      </c>
      <c r="Q151" t="s">
        <v>28</v>
      </c>
      <c r="R151" t="s">
        <v>398</v>
      </c>
      <c r="S151" t="s">
        <v>348</v>
      </c>
      <c r="T151" t="s">
        <v>29</v>
      </c>
      <c r="U151">
        <v>12</v>
      </c>
      <c r="V151" t="s">
        <v>400</v>
      </c>
    </row>
    <row r="152" spans="1:22" ht="14.25" customHeight="1" x14ac:dyDescent="0.35">
      <c r="A152" s="45" t="str">
        <f t="array" ref="A152">EXTRACTEVENT(N152,V152)</f>
        <v>COPA BRASIL DE TIRO DESPORTIVO</v>
      </c>
      <c r="B152" s="7" t="str">
        <f t="shared" si="6"/>
        <v>1</v>
      </c>
      <c r="C152" s="7" t="str">
        <f>+VLOOKUP(P152,Maps!$A:$C,2,0)</f>
        <v>Linade</v>
      </c>
      <c r="D152" s="7" t="str">
        <f t="shared" si="7"/>
        <v>N</v>
      </c>
      <c r="E152" s="10">
        <f t="shared" si="8"/>
        <v>45700</v>
      </c>
      <c r="F152" s="7" t="str">
        <f t="array" ref="F152">+TIPOARMA(H152,I152)</f>
        <v>ACRR</v>
      </c>
      <c r="G152" s="7"/>
      <c r="H152" s="7" t="str">
        <f>+VLOOKUP(Q152,Maps!I:J,2,0)</f>
        <v>Pistola</v>
      </c>
      <c r="I152" s="7" t="str">
        <f>+VLOOKUP(T152,Maps!E:F,2,0)</f>
        <v>.380 ACP</v>
      </c>
      <c r="L152">
        <v>13</v>
      </c>
      <c r="M152">
        <v>45700</v>
      </c>
      <c r="N152" t="s">
        <v>415</v>
      </c>
      <c r="O152" t="s">
        <v>414</v>
      </c>
      <c r="P152" t="s">
        <v>397</v>
      </c>
      <c r="Q152" t="s">
        <v>28</v>
      </c>
      <c r="R152" t="s">
        <v>398</v>
      </c>
      <c r="S152" t="s">
        <v>348</v>
      </c>
      <c r="T152">
        <v>0.38</v>
      </c>
      <c r="U152">
        <v>12</v>
      </c>
      <c r="V152" t="s">
        <v>400</v>
      </c>
    </row>
    <row r="153" spans="1:22" ht="14.25" customHeight="1" x14ac:dyDescent="0.35">
      <c r="A153" s="45" t="str">
        <f t="array" ref="A153">EXTRACTEVENT(N153,V153)</f>
        <v>COPA BRASIL DE TIRO DESPORTIVO</v>
      </c>
      <c r="B153" s="7" t="str">
        <f t="shared" si="6"/>
        <v>3</v>
      </c>
      <c r="C153" s="7" t="str">
        <f>+VLOOKUP(P153,Maps!$A:$C,2,0)</f>
        <v>Linade</v>
      </c>
      <c r="D153" s="7" t="str">
        <f t="shared" si="7"/>
        <v>N</v>
      </c>
      <c r="E153" s="10">
        <f t="shared" si="8"/>
        <v>45770</v>
      </c>
      <c r="F153" s="7" t="str">
        <f t="array" ref="F153">+TIPOARMA(H153,I153)</f>
        <v>ACRP</v>
      </c>
      <c r="G153" s="7"/>
      <c r="H153" s="7" t="str">
        <f>+VLOOKUP(Q153,Maps!I:J,2,0)</f>
        <v>Pistola</v>
      </c>
      <c r="I153" s="7" t="str">
        <f>+VLOOKUP(T153,Maps!E:F,2,0)</f>
        <v>9mm</v>
      </c>
      <c r="L153">
        <v>14</v>
      </c>
      <c r="M153">
        <v>45770</v>
      </c>
      <c r="N153" t="s">
        <v>416</v>
      </c>
      <c r="O153" t="s">
        <v>414</v>
      </c>
      <c r="P153" t="s">
        <v>397</v>
      </c>
      <c r="Q153" t="s">
        <v>28</v>
      </c>
      <c r="R153" t="s">
        <v>398</v>
      </c>
      <c r="S153" t="s">
        <v>348</v>
      </c>
      <c r="T153" t="s">
        <v>29</v>
      </c>
      <c r="U153">
        <v>12</v>
      </c>
      <c r="V153" t="s">
        <v>400</v>
      </c>
    </row>
    <row r="154" spans="1:22" ht="14.25" customHeight="1" x14ac:dyDescent="0.35">
      <c r="A154" s="45" t="str">
        <f t="array" ref="A154">EXTRACTEVENT(N154,V154)</f>
        <v>COPA BRASIL DE TIRO DESPORTIVO</v>
      </c>
      <c r="B154" s="7" t="str">
        <f t="shared" si="6"/>
        <v>3</v>
      </c>
      <c r="C154" s="7" t="str">
        <f>+VLOOKUP(P154,Maps!$A:$C,2,0)</f>
        <v>Linade</v>
      </c>
      <c r="D154" s="7" t="str">
        <f t="shared" si="7"/>
        <v>N</v>
      </c>
      <c r="E154" s="10">
        <f t="shared" si="8"/>
        <v>45770</v>
      </c>
      <c r="F154" s="7" t="str">
        <f t="array" ref="F154">+TIPOARMA(H154,I154)</f>
        <v>ACRR</v>
      </c>
      <c r="G154" s="7"/>
      <c r="H154" s="7" t="str">
        <f>+VLOOKUP(Q154,Maps!I:J,2,0)</f>
        <v>Pistola</v>
      </c>
      <c r="I154" s="7" t="str">
        <f>+VLOOKUP(T154,Maps!E:F,2,0)</f>
        <v>.380 ACP</v>
      </c>
      <c r="L154">
        <v>15</v>
      </c>
      <c r="M154">
        <v>45770</v>
      </c>
      <c r="N154" t="s">
        <v>417</v>
      </c>
      <c r="O154" t="s">
        <v>414</v>
      </c>
      <c r="P154" t="s">
        <v>397</v>
      </c>
      <c r="Q154" t="s">
        <v>28</v>
      </c>
      <c r="R154" t="s">
        <v>398</v>
      </c>
      <c r="S154" t="s">
        <v>348</v>
      </c>
      <c r="T154">
        <v>0.38</v>
      </c>
      <c r="U154">
        <v>12</v>
      </c>
      <c r="V154" t="s">
        <v>400</v>
      </c>
    </row>
    <row r="155" spans="1:22" ht="14.25" customHeight="1" x14ac:dyDescent="0.35">
      <c r="A155" s="45" t="str">
        <f t="array" ref="A155">EXTRACTEVENT(N155,V155)</f>
        <v>COPA BRASIL DE TIRO DESPORTIVO</v>
      </c>
      <c r="B155" s="7" t="str">
        <f t="shared" si="6"/>
        <v>3</v>
      </c>
      <c r="C155" s="7" t="str">
        <f>+VLOOKUP(P155,Maps!$A:$C,2,0)</f>
        <v>Linade</v>
      </c>
      <c r="D155" s="7" t="str">
        <f t="shared" si="7"/>
        <v>N</v>
      </c>
      <c r="E155" s="10">
        <f t="shared" si="8"/>
        <v>45770</v>
      </c>
      <c r="F155" s="7" t="str">
        <f t="array" ref="F155">+TIPOARMA(H155,I155)</f>
        <v>ACRR</v>
      </c>
      <c r="G155" s="7"/>
      <c r="H155" s="7" t="str">
        <f>+VLOOKUP(Q155,Maps!I:J,2,0)</f>
        <v>Pistola</v>
      </c>
      <c r="I155" s="7" t="str">
        <f>+VLOOKUP(T155,Maps!E:F,2,0)</f>
        <v>.45 ACP</v>
      </c>
      <c r="L155">
        <v>16</v>
      </c>
      <c r="M155">
        <v>45770</v>
      </c>
      <c r="N155" t="s">
        <v>418</v>
      </c>
      <c r="O155" t="s">
        <v>414</v>
      </c>
      <c r="P155" t="s">
        <v>397</v>
      </c>
      <c r="Q155" t="s">
        <v>28</v>
      </c>
      <c r="R155" t="s">
        <v>398</v>
      </c>
      <c r="S155" t="s">
        <v>348</v>
      </c>
      <c r="T155" t="s">
        <v>356</v>
      </c>
      <c r="U155">
        <v>12</v>
      </c>
      <c r="V155" t="s">
        <v>400</v>
      </c>
    </row>
    <row r="156" spans="1:22" ht="14.25" customHeight="1" x14ac:dyDescent="0.35">
      <c r="A156" s="45" t="str">
        <f t="array" ref="A156">EXTRACTEVENT(N156,V156)</f>
        <v>COPA BRASIL DE TIRO DESPORTIVO</v>
      </c>
      <c r="B156" s="7" t="str">
        <f t="shared" si="6"/>
        <v>3</v>
      </c>
      <c r="C156" s="7" t="str">
        <f>+VLOOKUP(P156,Maps!$A:$C,2,0)</f>
        <v>Linade</v>
      </c>
      <c r="D156" s="7" t="str">
        <f t="shared" si="7"/>
        <v>N</v>
      </c>
      <c r="E156" s="10">
        <f t="shared" si="8"/>
        <v>45770</v>
      </c>
      <c r="F156" s="7" t="str">
        <f t="array" ref="F156">+TIPOARMA(H156,I156)</f>
        <v>ALRP</v>
      </c>
      <c r="G156" s="7"/>
      <c r="H156" s="7" t="str">
        <f>+VLOOKUP(Q156,Maps!I:J,2,0)</f>
        <v>Carabina/Fuzil</v>
      </c>
      <c r="I156" s="7" t="str">
        <f>+VLOOKUP(T156,Maps!E:F,2,0)</f>
        <v>.357 Mag</v>
      </c>
      <c r="L156">
        <v>17</v>
      </c>
      <c r="M156">
        <v>45770</v>
      </c>
      <c r="N156" t="s">
        <v>419</v>
      </c>
      <c r="O156" t="s">
        <v>404</v>
      </c>
      <c r="P156" t="s">
        <v>397</v>
      </c>
      <c r="Q156" t="s">
        <v>404</v>
      </c>
      <c r="R156" t="s">
        <v>398</v>
      </c>
      <c r="S156" t="s">
        <v>348</v>
      </c>
      <c r="T156" t="s">
        <v>20</v>
      </c>
      <c r="U156">
        <v>12</v>
      </c>
      <c r="V156" t="s">
        <v>400</v>
      </c>
    </row>
    <row r="157" spans="1:22" ht="14.25" customHeight="1" x14ac:dyDescent="0.35">
      <c r="A157" s="45" t="str">
        <f t="array" ref="A157">EXTRACTEVENT(N157,V157)</f>
        <v>COPA BRASIL DE TIRO DESPORTIVO</v>
      </c>
      <c r="B157" s="7" t="str">
        <f t="shared" si="6"/>
        <v>3</v>
      </c>
      <c r="C157" s="7" t="str">
        <f>+VLOOKUP(P157,Maps!$A:$C,2,0)</f>
        <v>Linade</v>
      </c>
      <c r="D157" s="7" t="str">
        <f t="shared" si="7"/>
        <v>N</v>
      </c>
      <c r="E157" s="10">
        <f t="shared" si="8"/>
        <v>45770</v>
      </c>
      <c r="F157" s="7" t="str">
        <f t="array" ref="F157">+TIPOARMA(H157,I157)</f>
        <v>ACRR</v>
      </c>
      <c r="G157" s="7"/>
      <c r="H157" s="7" t="str">
        <f>+VLOOKUP(Q157,Maps!I:J,2,0)</f>
        <v>Pistola</v>
      </c>
      <c r="I157" s="7" t="str">
        <f>+VLOOKUP(T157,Maps!E:F,2,0)</f>
        <v>.45 ACP</v>
      </c>
      <c r="L157">
        <v>18</v>
      </c>
      <c r="M157">
        <v>45770</v>
      </c>
      <c r="N157" t="s">
        <v>420</v>
      </c>
      <c r="O157" t="s">
        <v>396</v>
      </c>
      <c r="P157" t="s">
        <v>397</v>
      </c>
      <c r="Q157" t="s">
        <v>28</v>
      </c>
      <c r="R157" t="s">
        <v>398</v>
      </c>
      <c r="S157" t="s">
        <v>348</v>
      </c>
      <c r="T157" t="s">
        <v>356</v>
      </c>
      <c r="U157">
        <v>5</v>
      </c>
      <c r="V157" t="s">
        <v>400</v>
      </c>
    </row>
    <row r="158" spans="1:22" ht="14.25" customHeight="1" x14ac:dyDescent="0.35">
      <c r="A158" s="45" t="str">
        <f t="array" ref="A158">EXTRACTEVENT(N158,V158)</f>
        <v>COPA BRASIL DE TIRO DESPORTIVO</v>
      </c>
      <c r="B158" s="7" t="str">
        <f t="shared" si="6"/>
        <v>3</v>
      </c>
      <c r="C158" s="7" t="str">
        <f>+VLOOKUP(P158,Maps!$A:$C,2,0)</f>
        <v>Linade</v>
      </c>
      <c r="D158" s="7" t="str">
        <f t="shared" si="7"/>
        <v>N</v>
      </c>
      <c r="E158" s="10">
        <f t="shared" si="8"/>
        <v>45770</v>
      </c>
      <c r="F158" s="7" t="str">
        <f t="array" ref="F158">+TIPOARMA(H158,I158)</f>
        <v>ACRR</v>
      </c>
      <c r="G158" s="7"/>
      <c r="H158" s="7" t="str">
        <f>+VLOOKUP(Q158,Maps!I:J,2,0)</f>
        <v>Pistola</v>
      </c>
      <c r="I158" s="7" t="str">
        <f>+VLOOKUP(T158,Maps!E:F,2,0)</f>
        <v>.380 ACP</v>
      </c>
      <c r="L158">
        <v>18</v>
      </c>
      <c r="M158">
        <v>45770</v>
      </c>
      <c r="N158" t="s">
        <v>420</v>
      </c>
      <c r="O158" t="s">
        <v>396</v>
      </c>
      <c r="P158" t="s">
        <v>397</v>
      </c>
      <c r="Q158" t="s">
        <v>28</v>
      </c>
      <c r="R158" t="s">
        <v>398</v>
      </c>
      <c r="S158" t="s">
        <v>348</v>
      </c>
      <c r="T158">
        <v>0.38</v>
      </c>
      <c r="U158">
        <v>5</v>
      </c>
      <c r="V158" t="s">
        <v>400</v>
      </c>
    </row>
    <row r="159" spans="1:22" ht="14.25" customHeight="1" x14ac:dyDescent="0.35">
      <c r="A159" s="45" t="str">
        <f t="array" ref="A159">EXTRACTEVENT(N159,V159)</f>
        <v>COPA BRASIL DE TIRO DESPORTIVO</v>
      </c>
      <c r="B159" s="7" t="str">
        <f t="shared" si="6"/>
        <v>3</v>
      </c>
      <c r="C159" s="7" t="str">
        <f>+VLOOKUP(P159,Maps!$A:$C,2,0)</f>
        <v>Linade</v>
      </c>
      <c r="D159" s="7" t="str">
        <f t="shared" si="7"/>
        <v>N</v>
      </c>
      <c r="E159" s="10">
        <f t="shared" si="8"/>
        <v>45770</v>
      </c>
      <c r="F159" s="7" t="str">
        <f t="array" ref="F159">+TIPOARMA(H159,I159)</f>
        <v>ALRP</v>
      </c>
      <c r="G159" s="7"/>
      <c r="H159" s="7" t="str">
        <f>+VLOOKUP(Q159,Maps!I:J,2,0)</f>
        <v>Carabina/Fuzil</v>
      </c>
      <c r="I159" s="7" t="str">
        <f>+VLOOKUP(T159,Maps!E:F,2,0)</f>
        <v>.357 Mag</v>
      </c>
      <c r="L159">
        <v>19</v>
      </c>
      <c r="M159">
        <v>45770</v>
      </c>
      <c r="N159" t="s">
        <v>421</v>
      </c>
      <c r="O159" t="s">
        <v>396</v>
      </c>
      <c r="P159" t="s">
        <v>397</v>
      </c>
      <c r="Q159" t="s">
        <v>404</v>
      </c>
      <c r="R159" t="s">
        <v>398</v>
      </c>
      <c r="S159" t="s">
        <v>348</v>
      </c>
      <c r="T159" t="s">
        <v>20</v>
      </c>
      <c r="U159">
        <v>5</v>
      </c>
      <c r="V159" t="s">
        <v>400</v>
      </c>
    </row>
    <row r="160" spans="1:22" ht="14.25" customHeight="1" x14ac:dyDescent="0.35">
      <c r="A160" s="45" t="str">
        <f t="array" ref="A160">EXTRACTEVENT(N160,V160)</f>
        <v>COPA BRASIL DE TIRO DESPORTIVO</v>
      </c>
      <c r="B160" s="7" t="str">
        <f t="shared" si="6"/>
        <v>3</v>
      </c>
      <c r="C160" s="7" t="str">
        <f>+VLOOKUP(P160,Maps!$A:$C,2,0)</f>
        <v>Linade</v>
      </c>
      <c r="D160" s="7" t="str">
        <f t="shared" si="7"/>
        <v>N</v>
      </c>
      <c r="E160" s="10">
        <f t="shared" si="8"/>
        <v>45770</v>
      </c>
      <c r="F160" s="7" t="str">
        <f t="array" ref="F160">+TIPOARMA(H160,I160)</f>
        <v>ALRR</v>
      </c>
      <c r="G160" s="7"/>
      <c r="H160" s="7" t="str">
        <f>+VLOOKUP(Q160,Maps!I:J,2,0)</f>
        <v>Carabina/Fuzil</v>
      </c>
      <c r="I160" s="7" t="str">
        <f>+VLOOKUP(T160,Maps!E:F,2,0)</f>
        <v>5.56MM</v>
      </c>
      <c r="L160">
        <v>19</v>
      </c>
      <c r="M160">
        <v>45770</v>
      </c>
      <c r="N160" t="s">
        <v>421</v>
      </c>
      <c r="O160" t="s">
        <v>396</v>
      </c>
      <c r="P160" t="s">
        <v>397</v>
      </c>
      <c r="Q160" t="s">
        <v>352</v>
      </c>
      <c r="R160" t="s">
        <v>398</v>
      </c>
      <c r="S160" t="s">
        <v>348</v>
      </c>
      <c r="T160">
        <v>0.55600000000000005</v>
      </c>
      <c r="U160">
        <v>5</v>
      </c>
      <c r="V160" t="s">
        <v>400</v>
      </c>
    </row>
    <row r="161" spans="1:22" ht="14.25" customHeight="1" x14ac:dyDescent="0.35">
      <c r="A161" s="45" t="str">
        <f t="array" ref="A161">EXTRACTEVENT(N161,V161)</f>
        <v>CAMPEONATO NACIONAL DE TIRO DESPORTIVO</v>
      </c>
      <c r="B161" s="7" t="str">
        <f t="shared" si="6"/>
        <v>3</v>
      </c>
      <c r="C161" s="7" t="str">
        <f>+VLOOKUP(P161,Maps!$A:$C,2,0)</f>
        <v>Linade</v>
      </c>
      <c r="D161" s="7" t="str">
        <f t="shared" si="7"/>
        <v>N</v>
      </c>
      <c r="E161" s="10">
        <f t="shared" si="8"/>
        <v>45770</v>
      </c>
      <c r="F161" s="7" t="str">
        <f t="array" ref="F161">+TIPOARMA(H161,I161)</f>
        <v>ACRR</v>
      </c>
      <c r="G161" s="7"/>
      <c r="H161" s="7" t="str">
        <f>+VLOOKUP(Q161,Maps!I:J,2,0)</f>
        <v>Pistola</v>
      </c>
      <c r="I161" s="7" t="str">
        <f>+VLOOKUP(T161,Maps!E:F,2,0)</f>
        <v>.45 ACP</v>
      </c>
      <c r="L161">
        <v>20</v>
      </c>
      <c r="M161">
        <v>45770</v>
      </c>
      <c r="N161" t="s">
        <v>422</v>
      </c>
      <c r="O161" t="s">
        <v>28</v>
      </c>
      <c r="P161" t="s">
        <v>397</v>
      </c>
      <c r="Q161" t="s">
        <v>28</v>
      </c>
      <c r="R161" t="s">
        <v>398</v>
      </c>
      <c r="S161" t="s">
        <v>348</v>
      </c>
      <c r="T161" t="s">
        <v>356</v>
      </c>
      <c r="U161">
        <v>20</v>
      </c>
      <c r="V161" t="s">
        <v>400</v>
      </c>
    </row>
    <row r="162" spans="1:22" ht="14.25" customHeight="1" x14ac:dyDescent="0.35">
      <c r="A162" s="45" t="str">
        <f t="array" ref="A162">EXTRACTEVENT(N162,V162)</f>
        <v>CAMPEONATO NACIONAL DE TIRO DESPORTIVO</v>
      </c>
      <c r="B162" s="7" t="str">
        <f t="shared" si="6"/>
        <v>3</v>
      </c>
      <c r="C162" s="7" t="str">
        <f>+VLOOKUP(P162,Maps!$A:$C,2,0)</f>
        <v>Linade</v>
      </c>
      <c r="D162" s="7" t="str">
        <f t="shared" si="7"/>
        <v>N</v>
      </c>
      <c r="E162" s="10">
        <f t="shared" si="8"/>
        <v>45770</v>
      </c>
      <c r="F162" s="7" t="str">
        <f t="array" ref="F162">+TIPOARMA(H162,I162)</f>
        <v>ACRR</v>
      </c>
      <c r="G162" s="7"/>
      <c r="H162" s="7" t="str">
        <f>+VLOOKUP(Q162,Maps!I:J,2,0)</f>
        <v>Pistola</v>
      </c>
      <c r="I162" s="7" t="str">
        <f>+VLOOKUP(T162,Maps!E:F,2,0)</f>
        <v>.380 ACP</v>
      </c>
      <c r="L162">
        <v>21</v>
      </c>
      <c r="M162">
        <v>45770</v>
      </c>
      <c r="N162" t="s">
        <v>423</v>
      </c>
      <c r="O162" t="s">
        <v>28</v>
      </c>
      <c r="P162" t="s">
        <v>397</v>
      </c>
      <c r="Q162" t="s">
        <v>28</v>
      </c>
      <c r="R162" t="s">
        <v>398</v>
      </c>
      <c r="S162" t="s">
        <v>348</v>
      </c>
      <c r="T162">
        <v>0.38</v>
      </c>
      <c r="U162">
        <v>20</v>
      </c>
      <c r="V162" t="s">
        <v>400</v>
      </c>
    </row>
    <row r="163" spans="1:22" ht="14.25" customHeight="1" x14ac:dyDescent="0.35">
      <c r="A163" s="45" t="str">
        <f t="array" ref="A163">EXTRACTEVENT(N163,V163)</f>
        <v>CAMPEONATO NACIONAL DE TIRO DESPORTIVO</v>
      </c>
      <c r="B163" s="7" t="str">
        <f t="shared" si="6"/>
        <v>3</v>
      </c>
      <c r="C163" s="7" t="str">
        <f>+VLOOKUP(P163,Maps!$A:$C,2,0)</f>
        <v>Linade</v>
      </c>
      <c r="D163" s="7" t="str">
        <f t="shared" si="7"/>
        <v>N</v>
      </c>
      <c r="E163" s="10">
        <f t="shared" si="8"/>
        <v>45770</v>
      </c>
      <c r="F163" s="7" t="str">
        <f t="array" ref="F163">+TIPOARMA(H163,I163)</f>
        <v>ACRP</v>
      </c>
      <c r="G163" s="7"/>
      <c r="H163" s="7" t="str">
        <f>+VLOOKUP(Q163,Maps!I:J,2,0)</f>
        <v>Pistola</v>
      </c>
      <c r="I163" s="7" t="str">
        <f>+VLOOKUP(T163,Maps!E:F,2,0)</f>
        <v>9mm</v>
      </c>
      <c r="L163">
        <v>22</v>
      </c>
      <c r="M163">
        <v>45770</v>
      </c>
      <c r="N163" t="s">
        <v>424</v>
      </c>
      <c r="O163" t="s">
        <v>28</v>
      </c>
      <c r="P163" t="s">
        <v>397</v>
      </c>
      <c r="Q163" t="s">
        <v>28</v>
      </c>
      <c r="R163" t="s">
        <v>398</v>
      </c>
      <c r="S163" t="s">
        <v>348</v>
      </c>
      <c r="T163" t="s">
        <v>29</v>
      </c>
      <c r="U163">
        <v>20</v>
      </c>
      <c r="V163" t="s">
        <v>400</v>
      </c>
    </row>
    <row r="164" spans="1:22" ht="14.25" customHeight="1" x14ac:dyDescent="0.35">
      <c r="A164" s="45" t="str">
        <f t="array" ref="A164">EXTRACTEVENT(N164,V164)</f>
        <v>CAMPEONATO NACIONAL DE TIRO DESPORTIVO</v>
      </c>
      <c r="B164" s="7" t="str">
        <f t="shared" si="6"/>
        <v>3</v>
      </c>
      <c r="C164" s="7" t="str">
        <f>+VLOOKUP(P164,Maps!$A:$C,2,0)</f>
        <v>Linade</v>
      </c>
      <c r="D164" s="7" t="str">
        <f t="shared" si="7"/>
        <v>N</v>
      </c>
      <c r="E164" s="10">
        <f t="shared" si="8"/>
        <v>45770</v>
      </c>
      <c r="F164" s="7" t="str">
        <f t="array" ref="F164">+TIPOARMA(H164,I164)</f>
        <v>ALRP</v>
      </c>
      <c r="G164" s="7"/>
      <c r="H164" s="7" t="str">
        <f>+VLOOKUP(Q164,Maps!I:J,2,0)</f>
        <v>Carabina/Fuzil</v>
      </c>
      <c r="I164" s="7" t="str">
        <f>+VLOOKUP(T164,Maps!E:F,2,0)</f>
        <v>.357 Mag</v>
      </c>
      <c r="L164">
        <v>23</v>
      </c>
      <c r="M164">
        <v>45770</v>
      </c>
      <c r="N164" t="s">
        <v>425</v>
      </c>
      <c r="O164" t="s">
        <v>404</v>
      </c>
      <c r="P164" t="s">
        <v>397</v>
      </c>
      <c r="Q164" t="s">
        <v>404</v>
      </c>
      <c r="R164" t="s">
        <v>398</v>
      </c>
      <c r="S164" t="s">
        <v>348</v>
      </c>
      <c r="T164" t="s">
        <v>20</v>
      </c>
      <c r="U164">
        <v>20</v>
      </c>
      <c r="V164" t="s">
        <v>400</v>
      </c>
    </row>
    <row r="165" spans="1:22" ht="14.25" customHeight="1" x14ac:dyDescent="0.35">
      <c r="A165" s="45" t="str">
        <f t="array" ref="A165">EXTRACTEVENT(N165,V165)</f>
        <v>COPA BRASIL DE TIRO DESPORTIVO</v>
      </c>
      <c r="B165" s="7" t="str">
        <f t="shared" si="6"/>
        <v>4</v>
      </c>
      <c r="C165" s="7" t="str">
        <f>+VLOOKUP(P165,Maps!$A:$C,2,0)</f>
        <v>Linade</v>
      </c>
      <c r="D165" s="7" t="str">
        <f t="shared" si="7"/>
        <v>N</v>
      </c>
      <c r="E165" s="10">
        <f t="shared" si="8"/>
        <v>45798</v>
      </c>
      <c r="F165" s="7" t="str">
        <f t="array" ref="F165">+TIPOARMA(H165,I165)</f>
        <v>ACRR</v>
      </c>
      <c r="G165" s="7"/>
      <c r="H165" s="7" t="str">
        <f>+VLOOKUP(Q165,Maps!I:J,2,0)</f>
        <v>Pistola</v>
      </c>
      <c r="I165" s="7" t="str">
        <f>+VLOOKUP(T165,Maps!E:F,2,0)</f>
        <v>.380 ACP</v>
      </c>
      <c r="L165">
        <v>24</v>
      </c>
      <c r="M165">
        <v>45798</v>
      </c>
      <c r="N165" t="s">
        <v>426</v>
      </c>
      <c r="O165" t="s">
        <v>414</v>
      </c>
      <c r="P165" t="s">
        <v>397</v>
      </c>
      <c r="Q165" t="s">
        <v>28</v>
      </c>
      <c r="R165" t="s">
        <v>398</v>
      </c>
      <c r="S165" t="s">
        <v>348</v>
      </c>
      <c r="T165">
        <v>0.38</v>
      </c>
      <c r="U165">
        <v>12</v>
      </c>
      <c r="V165" t="s">
        <v>400</v>
      </c>
    </row>
    <row r="166" spans="1:22" ht="14.25" customHeight="1" x14ac:dyDescent="0.35">
      <c r="A166" s="45" t="str">
        <f t="array" ref="A166">EXTRACTEVENT(N166,V166)</f>
        <v>COPA BRASIL DE TIRO DESPORTIVO</v>
      </c>
      <c r="B166" s="7" t="str">
        <f t="shared" si="6"/>
        <v>4</v>
      </c>
      <c r="C166" s="7" t="str">
        <f>+VLOOKUP(P166,Maps!$A:$C,2,0)</f>
        <v>Linade</v>
      </c>
      <c r="D166" s="7" t="str">
        <f t="shared" si="7"/>
        <v>N</v>
      </c>
      <c r="E166" s="10">
        <f t="shared" si="8"/>
        <v>45798</v>
      </c>
      <c r="F166" s="7" t="str">
        <f t="array" ref="F166">+TIPOARMA(H166,I166)</f>
        <v>ACRP</v>
      </c>
      <c r="G166" s="7"/>
      <c r="H166" s="7" t="str">
        <f>+VLOOKUP(Q166,Maps!I:J,2,0)</f>
        <v>Pistola</v>
      </c>
      <c r="I166" s="7" t="str">
        <f>+VLOOKUP(T166,Maps!E:F,2,0)</f>
        <v>9mm</v>
      </c>
      <c r="L166">
        <v>25</v>
      </c>
      <c r="M166">
        <v>45798</v>
      </c>
      <c r="N166" t="s">
        <v>427</v>
      </c>
      <c r="O166" t="s">
        <v>414</v>
      </c>
      <c r="P166" t="s">
        <v>397</v>
      </c>
      <c r="Q166" t="s">
        <v>28</v>
      </c>
      <c r="R166" t="s">
        <v>398</v>
      </c>
      <c r="S166" t="s">
        <v>348</v>
      </c>
      <c r="T166" t="s">
        <v>29</v>
      </c>
      <c r="U166">
        <v>12</v>
      </c>
      <c r="V166" t="s">
        <v>400</v>
      </c>
    </row>
    <row r="167" spans="1:22" ht="14.25" customHeight="1" x14ac:dyDescent="0.35">
      <c r="A167" s="45" t="str">
        <f t="array" ref="A167">EXTRACTEVENT(N167,V167)</f>
        <v>CAMPEONATO NACIONAL DE TIRO DESPORTIVO</v>
      </c>
      <c r="B167" s="7" t="str">
        <f t="shared" si="6"/>
        <v>4</v>
      </c>
      <c r="C167" s="7" t="str">
        <f>+VLOOKUP(P167,Maps!$A:$C,2,0)</f>
        <v>Linade</v>
      </c>
      <c r="D167" s="7" t="str">
        <f t="shared" si="7"/>
        <v>N</v>
      </c>
      <c r="E167" s="10">
        <f t="shared" si="8"/>
        <v>45798</v>
      </c>
      <c r="F167" s="7" t="str">
        <f t="array" ref="F167">+TIPOARMA(H167,I167)</f>
        <v>ACRP</v>
      </c>
      <c r="G167" s="7"/>
      <c r="H167" s="7" t="str">
        <f>+VLOOKUP(Q167,Maps!I:J,2,0)</f>
        <v>Pistola</v>
      </c>
      <c r="I167" s="7" t="str">
        <f>+VLOOKUP(T167,Maps!E:F,2,0)</f>
        <v>9mm</v>
      </c>
      <c r="L167">
        <v>26</v>
      </c>
      <c r="M167">
        <v>45798</v>
      </c>
      <c r="N167" t="s">
        <v>428</v>
      </c>
      <c r="O167" t="s">
        <v>28</v>
      </c>
      <c r="P167" t="s">
        <v>397</v>
      </c>
      <c r="Q167" t="s">
        <v>28</v>
      </c>
      <c r="R167" t="s">
        <v>398</v>
      </c>
      <c r="S167" t="s">
        <v>348</v>
      </c>
      <c r="T167" t="s">
        <v>29</v>
      </c>
      <c r="U167">
        <v>20</v>
      </c>
      <c r="V167" t="s">
        <v>400</v>
      </c>
    </row>
    <row r="168" spans="1:22" ht="14.25" customHeight="1" x14ac:dyDescent="0.35">
      <c r="A168" s="45" t="str">
        <f t="array" ref="A168">EXTRACTEVENT(N168,V168)</f>
        <v>COPA BRASIL DE TIRO DESPORTIVO</v>
      </c>
      <c r="B168" s="7" t="str">
        <f t="shared" si="6"/>
        <v>4</v>
      </c>
      <c r="C168" s="7" t="str">
        <f>+VLOOKUP(P168,Maps!$A:$C,2,0)</f>
        <v>Linade</v>
      </c>
      <c r="D168" s="7" t="str">
        <f t="shared" si="7"/>
        <v>N</v>
      </c>
      <c r="E168" s="10">
        <f t="shared" si="8"/>
        <v>45798</v>
      </c>
      <c r="F168" s="7" t="str">
        <f t="array" ref="F168">+TIPOARMA(H168,I168)</f>
        <v>ACRR</v>
      </c>
      <c r="G168" s="7"/>
      <c r="H168" s="7" t="str">
        <f>+VLOOKUP(Q168,Maps!I:J,2,0)</f>
        <v>Pistola</v>
      </c>
      <c r="I168" s="7" t="str">
        <f>+VLOOKUP(T168,Maps!E:F,2,0)</f>
        <v>.380 ACP</v>
      </c>
      <c r="L168">
        <v>27</v>
      </c>
      <c r="M168">
        <v>45798</v>
      </c>
      <c r="N168" t="s">
        <v>429</v>
      </c>
      <c r="O168" t="s">
        <v>396</v>
      </c>
      <c r="P168" t="s">
        <v>397</v>
      </c>
      <c r="Q168" t="s">
        <v>28</v>
      </c>
      <c r="R168" t="s">
        <v>398</v>
      </c>
      <c r="S168" t="s">
        <v>348</v>
      </c>
      <c r="T168">
        <v>0.38</v>
      </c>
      <c r="U168">
        <v>5</v>
      </c>
      <c r="V168" t="s">
        <v>400</v>
      </c>
    </row>
    <row r="169" spans="1:22" ht="14.25" customHeight="1" x14ac:dyDescent="0.35">
      <c r="A169" s="45" t="str">
        <f t="array" ref="A169">EXTRACTEVENT(N169,V169)</f>
        <v>COPA BRASIL DE TIRO DESPORTIVO</v>
      </c>
      <c r="B169" s="7" t="str">
        <f t="shared" si="6"/>
        <v>4</v>
      </c>
      <c r="C169" s="7" t="str">
        <f>+VLOOKUP(P169,Maps!$A:$C,2,0)</f>
        <v>Linade</v>
      </c>
      <c r="D169" s="7" t="str">
        <f t="shared" si="7"/>
        <v>N</v>
      </c>
      <c r="E169" s="10">
        <f t="shared" si="8"/>
        <v>45798</v>
      </c>
      <c r="F169" s="7" t="str">
        <f t="array" ref="F169">+TIPOARMA(H169,I169)</f>
        <v>ACRP</v>
      </c>
      <c r="G169" s="7"/>
      <c r="H169" s="7" t="str">
        <f>+VLOOKUP(Q169,Maps!I:J,2,0)</f>
        <v>Pistola</v>
      </c>
      <c r="I169" s="7" t="str">
        <f>+VLOOKUP(T169,Maps!E:F,2,0)</f>
        <v>9mm</v>
      </c>
      <c r="L169">
        <v>27</v>
      </c>
      <c r="M169">
        <v>45798</v>
      </c>
      <c r="N169" t="s">
        <v>429</v>
      </c>
      <c r="O169" t="s">
        <v>396</v>
      </c>
      <c r="P169" t="s">
        <v>397</v>
      </c>
      <c r="Q169" t="s">
        <v>28</v>
      </c>
      <c r="R169" t="s">
        <v>398</v>
      </c>
      <c r="S169" t="s">
        <v>348</v>
      </c>
      <c r="T169" t="s">
        <v>29</v>
      </c>
      <c r="U169">
        <v>5</v>
      </c>
      <c r="V169" t="s">
        <v>400</v>
      </c>
    </row>
    <row r="170" spans="1:22" ht="14.25" customHeight="1" x14ac:dyDescent="0.35">
      <c r="A170" s="45" t="str">
        <f t="array" ref="A170">EXTRACTEVENT(N170,V170)</f>
        <v>COPA BRASIL DE TIRO DESPORTIVO</v>
      </c>
      <c r="B170" s="7" t="str">
        <f t="shared" si="6"/>
        <v>4</v>
      </c>
      <c r="C170" s="7" t="str">
        <f>+VLOOKUP(P170,Maps!$A:$C,2,0)</f>
        <v>Linade</v>
      </c>
      <c r="D170" s="7" t="str">
        <f t="shared" si="7"/>
        <v>N</v>
      </c>
      <c r="E170" s="10">
        <f t="shared" si="8"/>
        <v>45798</v>
      </c>
      <c r="F170" s="7" t="str">
        <f t="array" ref="F170">+TIPOARMA(H170,I170)</f>
        <v>ALRR</v>
      </c>
      <c r="G170" s="7"/>
      <c r="H170" s="7" t="str">
        <f>+VLOOKUP(Q170,Maps!I:J,2,0)</f>
        <v>Carabina/Fuzil</v>
      </c>
      <c r="I170" s="7" t="str">
        <f>+VLOOKUP(T170,Maps!E:F,2,0)</f>
        <v>5.56MM</v>
      </c>
      <c r="L170">
        <v>28</v>
      </c>
      <c r="M170">
        <v>45798</v>
      </c>
      <c r="N170" t="s">
        <v>430</v>
      </c>
      <c r="O170" t="s">
        <v>396</v>
      </c>
      <c r="P170" t="s">
        <v>397</v>
      </c>
      <c r="Q170" t="s">
        <v>352</v>
      </c>
      <c r="R170" t="s">
        <v>398</v>
      </c>
      <c r="S170" t="s">
        <v>348</v>
      </c>
      <c r="T170">
        <v>0.55600000000000005</v>
      </c>
      <c r="U170">
        <v>5</v>
      </c>
      <c r="V170" t="s">
        <v>400</v>
      </c>
    </row>
    <row r="171" spans="1:22" ht="14.25" customHeight="1" x14ac:dyDescent="0.35">
      <c r="A171" s="45" t="str">
        <f t="array" ref="A171">EXTRACTEVENT(N171,V171)</f>
        <v>COPA BRASIL DE TIRO DESPORTIVO</v>
      </c>
      <c r="B171" s="7" t="str">
        <f t="shared" si="6"/>
        <v>4</v>
      </c>
      <c r="C171" s="7" t="str">
        <f>+VLOOKUP(P171,Maps!$A:$C,2,0)</f>
        <v>Linade</v>
      </c>
      <c r="D171" s="7" t="str">
        <f t="shared" si="7"/>
        <v>N</v>
      </c>
      <c r="E171" s="10">
        <f t="shared" si="8"/>
        <v>45798</v>
      </c>
      <c r="F171" s="7" t="str">
        <f t="array" ref="F171">+TIPOARMA(H171,I171)</f>
        <v>ALRP</v>
      </c>
      <c r="G171" s="7"/>
      <c r="H171" s="7" t="str">
        <f>+VLOOKUP(Q171,Maps!I:J,2,0)</f>
        <v>Carabina/Fuzil</v>
      </c>
      <c r="I171" s="7" t="str">
        <f>+VLOOKUP(T171,Maps!E:F,2,0)</f>
        <v>.357 Mag</v>
      </c>
      <c r="L171">
        <v>28</v>
      </c>
      <c r="M171">
        <v>45798</v>
      </c>
      <c r="N171" t="s">
        <v>430</v>
      </c>
      <c r="O171" t="s">
        <v>396</v>
      </c>
      <c r="P171" t="s">
        <v>397</v>
      </c>
      <c r="Q171" t="s">
        <v>404</v>
      </c>
      <c r="R171" t="s">
        <v>398</v>
      </c>
      <c r="S171" t="s">
        <v>348</v>
      </c>
      <c r="T171" t="s">
        <v>20</v>
      </c>
      <c r="U171">
        <v>5</v>
      </c>
      <c r="V171" t="s">
        <v>400</v>
      </c>
    </row>
    <row r="172" spans="1:22" ht="14.25" customHeight="1" x14ac:dyDescent="0.35">
      <c r="A172" s="45" t="str">
        <f t="array" ref="A172">EXTRACTEVENT(N172,V172)</f>
        <v>CAMPEONATO NACIONAL DE TIRO DESPORTIVO</v>
      </c>
      <c r="B172" s="7" t="str">
        <f t="shared" si="6"/>
        <v>4</v>
      </c>
      <c r="C172" s="7" t="str">
        <f>+VLOOKUP(P172,Maps!$A:$C,2,0)</f>
        <v>Linade</v>
      </c>
      <c r="D172" s="7" t="str">
        <f t="shared" si="7"/>
        <v>N</v>
      </c>
      <c r="E172" s="10">
        <f t="shared" si="8"/>
        <v>45798</v>
      </c>
      <c r="F172" s="7" t="str">
        <f t="array" ref="F172">+TIPOARMA(H172,I172)</f>
        <v>ALRP</v>
      </c>
      <c r="G172" s="7"/>
      <c r="H172" s="7" t="str">
        <f>+VLOOKUP(Q172,Maps!I:J,2,0)</f>
        <v>Carabina/Fuzil</v>
      </c>
      <c r="I172" s="7" t="str">
        <f>+VLOOKUP(T172,Maps!E:F,2,0)</f>
        <v>.357 Mag</v>
      </c>
      <c r="L172">
        <v>29</v>
      </c>
      <c r="M172">
        <v>45798</v>
      </c>
      <c r="N172" t="s">
        <v>431</v>
      </c>
      <c r="O172" t="s">
        <v>404</v>
      </c>
      <c r="P172" t="s">
        <v>397</v>
      </c>
      <c r="Q172" t="s">
        <v>404</v>
      </c>
      <c r="R172" t="s">
        <v>398</v>
      </c>
      <c r="S172" t="s">
        <v>348</v>
      </c>
      <c r="T172" t="s">
        <v>20</v>
      </c>
      <c r="U172">
        <v>20</v>
      </c>
      <c r="V172" t="s">
        <v>400</v>
      </c>
    </row>
    <row r="173" spans="1:22" ht="14.25" customHeight="1" x14ac:dyDescent="0.35">
      <c r="A173" s="45" t="str">
        <f t="array" ref="A173">EXTRACTEVENT(N173,V173)</f>
        <v>COPA BRASIL DE TIRO DESPORTIVO</v>
      </c>
      <c r="B173" s="7" t="str">
        <f t="shared" si="6"/>
        <v>4</v>
      </c>
      <c r="C173" s="7" t="str">
        <f>+VLOOKUP(P173,Maps!$A:$C,2,0)</f>
        <v>Linade</v>
      </c>
      <c r="D173" s="7" t="str">
        <f t="shared" si="7"/>
        <v>N</v>
      </c>
      <c r="E173" s="10">
        <f t="shared" si="8"/>
        <v>45801</v>
      </c>
      <c r="F173" s="7" t="str">
        <f t="array" ref="F173">+TIPOARMA(H173,I173)</f>
        <v>ALRP</v>
      </c>
      <c r="G173" s="7"/>
      <c r="H173" s="7" t="str">
        <f>+VLOOKUP(Q173,Maps!I:J,2,0)</f>
        <v>Carabina/Fuzil</v>
      </c>
      <c r="I173" s="7" t="str">
        <f>+VLOOKUP(T173,Maps!E:F,2,0)</f>
        <v>.357 Mag</v>
      </c>
      <c r="L173">
        <v>30</v>
      </c>
      <c r="M173">
        <v>45801</v>
      </c>
      <c r="N173" t="s">
        <v>432</v>
      </c>
      <c r="O173" t="s">
        <v>404</v>
      </c>
      <c r="P173" t="s">
        <v>397</v>
      </c>
      <c r="Q173" t="s">
        <v>404</v>
      </c>
      <c r="R173" t="s">
        <v>398</v>
      </c>
      <c r="S173" t="s">
        <v>348</v>
      </c>
      <c r="T173" t="s">
        <v>20</v>
      </c>
      <c r="U173">
        <v>12</v>
      </c>
      <c r="V173" t="s">
        <v>400</v>
      </c>
    </row>
    <row r="174" spans="1:22" ht="14.25" customHeight="1" x14ac:dyDescent="0.35">
      <c r="A174" s="45" t="str">
        <f t="array" ref="A174">EXTRACTEVENT(N174,V174)</f>
        <v>CAMPEONATO NACIONAL DE TIRO DESPORTIVO</v>
      </c>
      <c r="B174" s="7" t="str">
        <f t="shared" si="6"/>
        <v>4</v>
      </c>
      <c r="C174" s="7" t="str">
        <f>+VLOOKUP(P174,Maps!$A:$C,2,0)</f>
        <v>Linade</v>
      </c>
      <c r="D174" s="7" t="str">
        <f t="shared" si="7"/>
        <v>N</v>
      </c>
      <c r="E174" s="10">
        <f t="shared" si="8"/>
        <v>45802</v>
      </c>
      <c r="F174" s="7" t="str">
        <f t="array" ref="F174">+TIPOARMA(H174,I174)</f>
        <v>ACRR</v>
      </c>
      <c r="G174" s="7"/>
      <c r="H174" s="7" t="str">
        <f>+VLOOKUP(Q174,Maps!I:J,2,0)</f>
        <v>Pistola</v>
      </c>
      <c r="I174" s="7" t="str">
        <f>+VLOOKUP(T174,Maps!E:F,2,0)</f>
        <v>.380 ACP</v>
      </c>
      <c r="L174">
        <v>31</v>
      </c>
      <c r="M174">
        <v>45802</v>
      </c>
      <c r="N174" t="s">
        <v>433</v>
      </c>
      <c r="O174" t="s">
        <v>28</v>
      </c>
      <c r="P174" t="s">
        <v>397</v>
      </c>
      <c r="Q174" t="s">
        <v>28</v>
      </c>
      <c r="R174" t="s">
        <v>398</v>
      </c>
      <c r="S174" t="s">
        <v>348</v>
      </c>
      <c r="T174">
        <v>0.38</v>
      </c>
      <c r="U174">
        <v>20</v>
      </c>
      <c r="V174" t="s">
        <v>400</v>
      </c>
    </row>
    <row r="175" spans="1:22" ht="14.25" customHeight="1" x14ac:dyDescent="0.35">
      <c r="A175" s="45" t="str">
        <f t="array" ref="A175">EXTRACTEVENT(N175,V175)</f>
        <v>COPA BRASIL DE TIRO DESPORTIVO</v>
      </c>
      <c r="B175" s="7" t="str">
        <f t="shared" si="6"/>
        <v>7</v>
      </c>
      <c r="C175" s="7" t="str">
        <f>+VLOOKUP(P175,Maps!$A:$C,2,0)</f>
        <v>Linade</v>
      </c>
      <c r="D175" s="7" t="str">
        <f t="shared" si="7"/>
        <v>N</v>
      </c>
      <c r="E175" s="10">
        <f t="shared" si="8"/>
        <v>45885</v>
      </c>
      <c r="F175" s="7" t="str">
        <f t="array" ref="F175">+TIPOARMA(H175,I175)</f>
        <v>ALRP</v>
      </c>
      <c r="G175" s="7"/>
      <c r="H175" s="7" t="str">
        <f>+VLOOKUP(Q175,Maps!I:J,2,0)</f>
        <v>Carabina/Fuzil</v>
      </c>
      <c r="I175" s="7" t="str">
        <f>+VLOOKUP(T175,Maps!E:F,2,0)</f>
        <v>.357 Mag</v>
      </c>
      <c r="L175">
        <v>32</v>
      </c>
      <c r="M175">
        <v>45885</v>
      </c>
      <c r="N175" t="s">
        <v>434</v>
      </c>
      <c r="O175" t="s">
        <v>404</v>
      </c>
      <c r="P175" t="s">
        <v>397</v>
      </c>
      <c r="Q175" t="s">
        <v>404</v>
      </c>
      <c r="R175" t="s">
        <v>398</v>
      </c>
      <c r="S175" t="s">
        <v>348</v>
      </c>
      <c r="T175" t="s">
        <v>20</v>
      </c>
      <c r="U175">
        <v>12</v>
      </c>
      <c r="V175" t="s">
        <v>400</v>
      </c>
    </row>
    <row r="176" spans="1:22" ht="14.25" customHeight="1" x14ac:dyDescent="0.35">
      <c r="A176" s="45" t="str">
        <f t="array" ref="A176">EXTRACTEVENT(N176,V176)</f>
        <v>CAMPEONATO NACIONAL DE TIRO DESPORTIVO</v>
      </c>
      <c r="B176" s="7" t="str">
        <f t="shared" si="6"/>
        <v>7</v>
      </c>
      <c r="C176" s="7" t="str">
        <f>+VLOOKUP(P176,Maps!$A:$C,2,0)</f>
        <v>Linade</v>
      </c>
      <c r="D176" s="7" t="str">
        <f t="shared" si="7"/>
        <v>N</v>
      </c>
      <c r="E176" s="10">
        <f t="shared" si="8"/>
        <v>45885</v>
      </c>
      <c r="F176" s="7" t="str">
        <f t="array" ref="F176">+TIPOARMA(H176,I176)</f>
        <v>ALRP</v>
      </c>
      <c r="G176" s="7"/>
      <c r="H176" s="7" t="str">
        <f>+VLOOKUP(Q176,Maps!I:J,2,0)</f>
        <v>Carabina/Fuzil</v>
      </c>
      <c r="I176" s="7" t="str">
        <f>+VLOOKUP(T176,Maps!E:F,2,0)</f>
        <v>.357 Mag</v>
      </c>
      <c r="L176">
        <v>33</v>
      </c>
      <c r="M176">
        <v>45885</v>
      </c>
      <c r="N176" t="s">
        <v>435</v>
      </c>
      <c r="O176" t="s">
        <v>404</v>
      </c>
      <c r="P176" t="s">
        <v>397</v>
      </c>
      <c r="Q176" t="s">
        <v>404</v>
      </c>
      <c r="R176" t="s">
        <v>398</v>
      </c>
      <c r="S176" t="s">
        <v>348</v>
      </c>
      <c r="T176" t="s">
        <v>20</v>
      </c>
      <c r="U176">
        <v>20</v>
      </c>
      <c r="V176" t="s">
        <v>400</v>
      </c>
    </row>
    <row r="177" spans="1:22" ht="14.25" customHeight="1" x14ac:dyDescent="0.35">
      <c r="A177" s="45" t="str">
        <f t="array" ref="A177">EXTRACTEVENT(N177,V177)</f>
        <v>COPA BRASIL DE TIRO DESPORTIVO</v>
      </c>
      <c r="B177" s="7" t="str">
        <f t="shared" si="6"/>
        <v>7</v>
      </c>
      <c r="C177" s="7" t="str">
        <f>+VLOOKUP(P177,Maps!$A:$C,2,0)</f>
        <v>Linade</v>
      </c>
      <c r="D177" s="7" t="str">
        <f t="shared" si="7"/>
        <v>N</v>
      </c>
      <c r="E177" s="10">
        <f t="shared" si="8"/>
        <v>45885</v>
      </c>
      <c r="F177" s="7" t="str">
        <f t="array" ref="F177">+TIPOARMA(H177,I177)</f>
        <v>ACRR</v>
      </c>
      <c r="G177" s="7"/>
      <c r="H177" s="7" t="str">
        <f>+VLOOKUP(Q177,Maps!I:J,2,0)</f>
        <v>Pistola</v>
      </c>
      <c r="I177" s="7" t="str">
        <f>+VLOOKUP(T177,Maps!E:F,2,0)</f>
        <v>.380 ACP</v>
      </c>
      <c r="L177">
        <v>34</v>
      </c>
      <c r="M177">
        <v>45885</v>
      </c>
      <c r="N177" t="s">
        <v>436</v>
      </c>
      <c r="O177" t="s">
        <v>414</v>
      </c>
      <c r="P177" t="s">
        <v>397</v>
      </c>
      <c r="Q177" t="s">
        <v>28</v>
      </c>
      <c r="R177" t="s">
        <v>398</v>
      </c>
      <c r="S177" t="s">
        <v>348</v>
      </c>
      <c r="T177">
        <v>0.38</v>
      </c>
      <c r="U177">
        <v>12</v>
      </c>
      <c r="V177" t="s">
        <v>400</v>
      </c>
    </row>
    <row r="178" spans="1:22" ht="14.25" customHeight="1" x14ac:dyDescent="0.35">
      <c r="A178" s="45" t="str">
        <f t="array" ref="A178">EXTRACTEVENT(N178,V178)</f>
        <v>CAMPEONATO NACIONAL DE TIRO DESPORTIVO</v>
      </c>
      <c r="B178" s="7" t="str">
        <f t="shared" si="6"/>
        <v>7</v>
      </c>
      <c r="C178" s="7" t="str">
        <f>+VLOOKUP(P178,Maps!$A:$C,2,0)</f>
        <v>Linade</v>
      </c>
      <c r="D178" s="7" t="str">
        <f t="shared" si="7"/>
        <v>N</v>
      </c>
      <c r="E178" s="10">
        <f t="shared" si="8"/>
        <v>45885</v>
      </c>
      <c r="F178" s="7" t="str">
        <f t="array" ref="F178">+TIPOARMA(H178,I178)</f>
        <v>ACRR</v>
      </c>
      <c r="G178" s="7"/>
      <c r="H178" s="7" t="str">
        <f>+VLOOKUP(Q178,Maps!I:J,2,0)</f>
        <v>Pistola</v>
      </c>
      <c r="I178" s="7" t="str">
        <f>+VLOOKUP(T178,Maps!E:F,2,0)</f>
        <v>.380 ACP</v>
      </c>
      <c r="L178">
        <v>35</v>
      </c>
      <c r="M178">
        <v>45885</v>
      </c>
      <c r="N178" t="s">
        <v>437</v>
      </c>
      <c r="O178" t="s">
        <v>28</v>
      </c>
      <c r="P178" t="s">
        <v>397</v>
      </c>
      <c r="Q178" t="s">
        <v>28</v>
      </c>
      <c r="R178" t="s">
        <v>398</v>
      </c>
      <c r="S178" t="s">
        <v>348</v>
      </c>
      <c r="T178">
        <v>0.38</v>
      </c>
      <c r="U178">
        <v>20</v>
      </c>
      <c r="V178" t="s">
        <v>400</v>
      </c>
    </row>
    <row r="179" spans="1:22" ht="14.25" customHeight="1" x14ac:dyDescent="0.35">
      <c r="A179" s="45" t="str">
        <f t="array" ref="A179">EXTRACTEVENT(N179,V179)</f>
        <v>CAMPEONATO NACIONAL DE TIRO DESPORTIVO</v>
      </c>
      <c r="B179" s="7" t="str">
        <f t="shared" si="6"/>
        <v>7</v>
      </c>
      <c r="C179" s="7" t="str">
        <f>+VLOOKUP(P179,Maps!$A:$C,2,0)</f>
        <v>Linade</v>
      </c>
      <c r="D179" s="7" t="str">
        <f t="shared" si="7"/>
        <v>N</v>
      </c>
      <c r="E179" s="10">
        <f t="shared" si="8"/>
        <v>45885</v>
      </c>
      <c r="F179" s="7" t="str">
        <f t="array" ref="F179">+TIPOARMA(H179,I179)</f>
        <v>ACRP</v>
      </c>
      <c r="G179" s="7"/>
      <c r="H179" s="7" t="str">
        <f>+VLOOKUP(Q179,Maps!I:J,2,0)</f>
        <v>Pistola</v>
      </c>
      <c r="I179" s="7" t="str">
        <f>+VLOOKUP(T179,Maps!E:F,2,0)</f>
        <v>9mm</v>
      </c>
      <c r="L179">
        <v>36</v>
      </c>
      <c r="M179">
        <v>45885</v>
      </c>
      <c r="N179" t="s">
        <v>438</v>
      </c>
      <c r="O179" t="s">
        <v>28</v>
      </c>
      <c r="P179" t="s">
        <v>397</v>
      </c>
      <c r="Q179" t="s">
        <v>28</v>
      </c>
      <c r="R179" t="s">
        <v>398</v>
      </c>
      <c r="S179" t="s">
        <v>348</v>
      </c>
      <c r="T179" t="s">
        <v>29</v>
      </c>
      <c r="U179">
        <v>20</v>
      </c>
      <c r="V179" t="s">
        <v>400</v>
      </c>
    </row>
    <row r="180" spans="1:22" ht="14.25" customHeight="1" x14ac:dyDescent="0.35">
      <c r="A180" s="45" t="str">
        <f t="array" ref="A180">EXTRACTEVENT(N180,V180)</f>
        <v>COPA BRASIL DE TIRO DESPORTIVO</v>
      </c>
      <c r="B180" s="7" t="str">
        <f t="shared" si="6"/>
        <v>7</v>
      </c>
      <c r="C180" s="7" t="str">
        <f>+VLOOKUP(P180,Maps!$A:$C,2,0)</f>
        <v>Linade</v>
      </c>
      <c r="D180" s="7" t="str">
        <f t="shared" si="7"/>
        <v>N</v>
      </c>
      <c r="E180" s="10">
        <f t="shared" si="8"/>
        <v>45885</v>
      </c>
      <c r="F180" s="7" t="str">
        <f t="array" ref="F180">+TIPOARMA(H180,I180)</f>
        <v>ACRP</v>
      </c>
      <c r="G180" s="7"/>
      <c r="H180" s="7" t="str">
        <f>+VLOOKUP(Q180,Maps!I:J,2,0)</f>
        <v>Pistola</v>
      </c>
      <c r="I180" s="7" t="str">
        <f>+VLOOKUP(T180,Maps!E:F,2,0)</f>
        <v>9mm</v>
      </c>
      <c r="L180">
        <v>37</v>
      </c>
      <c r="M180">
        <v>45885</v>
      </c>
      <c r="N180" t="s">
        <v>439</v>
      </c>
      <c r="O180" t="s">
        <v>414</v>
      </c>
      <c r="P180" t="s">
        <v>397</v>
      </c>
      <c r="Q180" t="s">
        <v>28</v>
      </c>
      <c r="R180" t="s">
        <v>398</v>
      </c>
      <c r="S180" t="s">
        <v>348</v>
      </c>
      <c r="T180" t="s">
        <v>29</v>
      </c>
      <c r="U180">
        <v>12</v>
      </c>
      <c r="V180" t="s">
        <v>400</v>
      </c>
    </row>
    <row r="181" spans="1:22" ht="14.25" customHeight="1" x14ac:dyDescent="0.35">
      <c r="A181" s="45" t="str">
        <f t="array" ref="A181">EXTRACTEVENT(N181,V181)</f>
        <v>COPA BRASIL DE TIRO DESPORTIVO</v>
      </c>
      <c r="B181" s="7" t="str">
        <f t="shared" si="6"/>
        <v>7</v>
      </c>
      <c r="C181" s="7" t="str">
        <f>+VLOOKUP(P181,Maps!$A:$C,2,0)</f>
        <v>Linade</v>
      </c>
      <c r="D181" s="7" t="str">
        <f t="shared" si="7"/>
        <v>N</v>
      </c>
      <c r="E181" s="10">
        <f t="shared" si="8"/>
        <v>45885</v>
      </c>
      <c r="F181" s="7" t="str">
        <f t="array" ref="F181">+TIPOARMA(H181,I181)</f>
        <v>ALRP</v>
      </c>
      <c r="G181" s="7"/>
      <c r="H181" s="7" t="str">
        <f>+VLOOKUP(Q181,Maps!I:J,2,0)</f>
        <v>Carabina/Fuzil</v>
      </c>
      <c r="I181" s="7" t="str">
        <f>+VLOOKUP(T181,Maps!E:F,2,0)</f>
        <v>.357 Mag</v>
      </c>
      <c r="L181">
        <v>38</v>
      </c>
      <c r="M181">
        <v>45885</v>
      </c>
      <c r="N181" t="s">
        <v>440</v>
      </c>
      <c r="O181" t="s">
        <v>396</v>
      </c>
      <c r="P181" t="s">
        <v>397</v>
      </c>
      <c r="Q181" t="s">
        <v>404</v>
      </c>
      <c r="R181" t="s">
        <v>398</v>
      </c>
      <c r="S181" t="s">
        <v>348</v>
      </c>
      <c r="T181" t="s">
        <v>20</v>
      </c>
      <c r="U181">
        <v>5</v>
      </c>
      <c r="V181" t="s">
        <v>400</v>
      </c>
    </row>
    <row r="182" spans="1:22" ht="14.25" customHeight="1" x14ac:dyDescent="0.35">
      <c r="A182" s="45" t="str">
        <f t="array" ref="A182">EXTRACTEVENT(N182,V182)</f>
        <v>COPA BRASIL DE TIRO DESPORTIVO</v>
      </c>
      <c r="B182" s="7" t="str">
        <f t="shared" si="6"/>
        <v>7</v>
      </c>
      <c r="C182" s="7" t="str">
        <f>+VLOOKUP(P182,Maps!$A:$C,2,0)</f>
        <v>Linade</v>
      </c>
      <c r="D182" s="7" t="str">
        <f t="shared" si="7"/>
        <v>N</v>
      </c>
      <c r="E182" s="10">
        <f t="shared" si="8"/>
        <v>45885</v>
      </c>
      <c r="F182" s="7" t="str">
        <f t="array" ref="F182">+TIPOARMA(H182,I182)</f>
        <v>ALRR</v>
      </c>
      <c r="G182" s="7"/>
      <c r="H182" s="7" t="str">
        <f>+VLOOKUP(Q182,Maps!I:J,2,0)</f>
        <v>Carabina/Fuzil</v>
      </c>
      <c r="I182" s="7" t="str">
        <f>+VLOOKUP(T182,Maps!E:F,2,0)</f>
        <v>5.56MM</v>
      </c>
      <c r="L182">
        <v>38</v>
      </c>
      <c r="M182">
        <v>45885</v>
      </c>
      <c r="N182" t="s">
        <v>440</v>
      </c>
      <c r="O182" t="s">
        <v>396</v>
      </c>
      <c r="P182" t="s">
        <v>397</v>
      </c>
      <c r="Q182" t="s">
        <v>352</v>
      </c>
      <c r="R182" t="s">
        <v>398</v>
      </c>
      <c r="S182" t="s">
        <v>348</v>
      </c>
      <c r="T182">
        <v>0.55600000000000005</v>
      </c>
      <c r="U182">
        <v>5</v>
      </c>
      <c r="V182" t="s">
        <v>400</v>
      </c>
    </row>
    <row r="183" spans="1:22" ht="14.25" customHeight="1" x14ac:dyDescent="0.35">
      <c r="A183" s="45" t="str">
        <f t="array" ref="A183">EXTRACTEVENT(N183,V183)</f>
        <v>COPA BRASIL DE TIRO DESPORTIVO</v>
      </c>
      <c r="B183" s="7" t="str">
        <f t="shared" si="6"/>
        <v>7</v>
      </c>
      <c r="C183" s="7" t="str">
        <f>+VLOOKUP(P183,Maps!$A:$C,2,0)</f>
        <v>Linade</v>
      </c>
      <c r="D183" s="7" t="str">
        <f t="shared" si="7"/>
        <v>N</v>
      </c>
      <c r="E183" s="10">
        <f t="shared" si="8"/>
        <v>45885</v>
      </c>
      <c r="F183" s="7" t="str">
        <f t="array" ref="F183">+TIPOARMA(H183,I183)</f>
        <v>ACRR</v>
      </c>
      <c r="G183" s="7"/>
      <c r="H183" s="7" t="str">
        <f>+VLOOKUP(Q183,Maps!I:J,2,0)</f>
        <v>Pistola</v>
      </c>
      <c r="I183" s="7" t="str">
        <f>+VLOOKUP(T183,Maps!E:F,2,0)</f>
        <v>.380 ACP</v>
      </c>
      <c r="L183">
        <v>39</v>
      </c>
      <c r="M183">
        <v>45885</v>
      </c>
      <c r="N183" t="s">
        <v>441</v>
      </c>
      <c r="O183" t="s">
        <v>396</v>
      </c>
      <c r="P183" t="s">
        <v>397</v>
      </c>
      <c r="Q183" t="s">
        <v>28</v>
      </c>
      <c r="R183" t="s">
        <v>398</v>
      </c>
      <c r="S183" t="s">
        <v>348</v>
      </c>
      <c r="T183">
        <v>0.38</v>
      </c>
      <c r="U183">
        <v>5</v>
      </c>
      <c r="V183" t="s">
        <v>400</v>
      </c>
    </row>
    <row r="184" spans="1:22" ht="14.25" customHeight="1" x14ac:dyDescent="0.35">
      <c r="A184" s="45" t="str">
        <f t="array" ref="A184">EXTRACTEVENT(N184,V184)</f>
        <v>COPA BRASIL DE TIRO DESPORTIVO</v>
      </c>
      <c r="B184" s="7" t="str">
        <f t="shared" si="6"/>
        <v>7</v>
      </c>
      <c r="C184" s="7" t="str">
        <f>+VLOOKUP(P184,Maps!$A:$C,2,0)</f>
        <v>Linade</v>
      </c>
      <c r="D184" s="7" t="str">
        <f t="shared" si="7"/>
        <v>N</v>
      </c>
      <c r="E184" s="10">
        <f t="shared" si="8"/>
        <v>45885</v>
      </c>
      <c r="F184" s="7" t="str">
        <f t="array" ref="F184">+TIPOARMA(H184,I184)</f>
        <v>ACRP</v>
      </c>
      <c r="G184" s="7"/>
      <c r="H184" s="7" t="str">
        <f>+VLOOKUP(Q184,Maps!I:J,2,0)</f>
        <v>Pistola</v>
      </c>
      <c r="I184" s="7" t="str">
        <f>+VLOOKUP(T184,Maps!E:F,2,0)</f>
        <v>9mm</v>
      </c>
      <c r="L184">
        <v>39</v>
      </c>
      <c r="M184">
        <v>45885</v>
      </c>
      <c r="N184" t="s">
        <v>441</v>
      </c>
      <c r="O184" t="s">
        <v>396</v>
      </c>
      <c r="P184" t="s">
        <v>397</v>
      </c>
      <c r="Q184" t="s">
        <v>28</v>
      </c>
      <c r="R184" t="s">
        <v>398</v>
      </c>
      <c r="S184" t="s">
        <v>348</v>
      </c>
      <c r="T184" t="s">
        <v>29</v>
      </c>
      <c r="U184">
        <v>5</v>
      </c>
      <c r="V184" t="s">
        <v>400</v>
      </c>
    </row>
    <row r="185" spans="1:22" ht="14.25" customHeight="1" x14ac:dyDescent="0.35">
      <c r="A185" s="45" t="str">
        <f t="array" ref="A185">EXTRACTEVENT(N185,V185)</f>
        <v>COPA BRASIL DE TIRO DESPORTIVO</v>
      </c>
      <c r="B185" s="7" t="str">
        <f t="shared" si="6"/>
        <v>8</v>
      </c>
      <c r="C185" s="7" t="str">
        <f>+VLOOKUP(P185,Maps!$A:$C,2,0)</f>
        <v>Linade</v>
      </c>
      <c r="D185" s="7" t="str">
        <f t="shared" si="7"/>
        <v>N</v>
      </c>
      <c r="E185" s="10">
        <f t="shared" si="8"/>
        <v>45910</v>
      </c>
      <c r="F185" s="7" t="str">
        <f t="array" ref="F185">+TIPOARMA(H185,I185)</f>
        <v>ACRR</v>
      </c>
      <c r="G185" s="7"/>
      <c r="H185" s="7" t="str">
        <f>+VLOOKUP(Q185,Maps!I:J,2,0)</f>
        <v>Pistola</v>
      </c>
      <c r="I185" s="7" t="str">
        <f>+VLOOKUP(T185,Maps!E:F,2,0)</f>
        <v>.380 ACP</v>
      </c>
      <c r="L185">
        <v>40</v>
      </c>
      <c r="M185">
        <v>45910</v>
      </c>
      <c r="N185" t="s">
        <v>442</v>
      </c>
      <c r="O185" t="s">
        <v>414</v>
      </c>
      <c r="P185" t="s">
        <v>397</v>
      </c>
      <c r="Q185" t="s">
        <v>28</v>
      </c>
      <c r="R185" t="s">
        <v>398</v>
      </c>
      <c r="S185" t="s">
        <v>348</v>
      </c>
      <c r="T185">
        <v>0.38</v>
      </c>
      <c r="U185">
        <v>12</v>
      </c>
      <c r="V185" t="s">
        <v>400</v>
      </c>
    </row>
    <row r="186" spans="1:22" ht="14.25" customHeight="1" x14ac:dyDescent="0.35">
      <c r="A186" s="45" t="str">
        <f t="array" ref="A186">EXTRACTEVENT(N186,V186)</f>
        <v>COPA BRASIL DE TIRO DESPORTIVO</v>
      </c>
      <c r="B186" s="7" t="str">
        <f t="shared" si="6"/>
        <v>8</v>
      </c>
      <c r="C186" s="7" t="str">
        <f>+VLOOKUP(P186,Maps!$A:$C,2,0)</f>
        <v>Linade</v>
      </c>
      <c r="D186" s="7" t="str">
        <f t="shared" si="7"/>
        <v>N</v>
      </c>
      <c r="E186" s="10">
        <f t="shared" si="8"/>
        <v>45910</v>
      </c>
      <c r="F186" s="7" t="str">
        <f t="array" ref="F186">+TIPOARMA(H186,I186)</f>
        <v>ACRP</v>
      </c>
      <c r="G186" s="7"/>
      <c r="H186" s="7" t="str">
        <f>+VLOOKUP(Q186,Maps!I:J,2,0)</f>
        <v>Pistola</v>
      </c>
      <c r="I186" s="7" t="str">
        <f>+VLOOKUP(T186,Maps!E:F,2,0)</f>
        <v>9mm</v>
      </c>
      <c r="L186">
        <v>41</v>
      </c>
      <c r="M186">
        <v>45910</v>
      </c>
      <c r="N186" t="s">
        <v>443</v>
      </c>
      <c r="O186" t="s">
        <v>414</v>
      </c>
      <c r="P186" t="s">
        <v>397</v>
      </c>
      <c r="Q186" t="s">
        <v>28</v>
      </c>
      <c r="R186" t="s">
        <v>398</v>
      </c>
      <c r="S186" t="s">
        <v>348</v>
      </c>
      <c r="T186" t="s">
        <v>29</v>
      </c>
      <c r="U186">
        <v>12</v>
      </c>
      <c r="V186" t="s">
        <v>400</v>
      </c>
    </row>
    <row r="187" spans="1:22" ht="14.25" customHeight="1" x14ac:dyDescent="0.35">
      <c r="A187" s="45" t="str">
        <f t="array" ref="A187">EXTRACTEVENT(N187,V187)</f>
        <v>COPA BRASIL DE TIRO DESPORTIVO</v>
      </c>
      <c r="B187" s="7" t="str">
        <f t="shared" si="6"/>
        <v>8</v>
      </c>
      <c r="C187" s="7" t="str">
        <f>+VLOOKUP(P187,Maps!$A:$C,2,0)</f>
        <v>Linade</v>
      </c>
      <c r="D187" s="7" t="str">
        <f t="shared" si="7"/>
        <v>N</v>
      </c>
      <c r="E187" s="10">
        <f t="shared" si="8"/>
        <v>45910</v>
      </c>
      <c r="F187" s="7" t="str">
        <f t="array" ref="F187">+TIPOARMA(H187,I187)</f>
        <v>ALRR</v>
      </c>
      <c r="G187" s="7"/>
      <c r="H187" s="7" t="str">
        <f>+VLOOKUP(Q187,Maps!I:J,2,0)</f>
        <v>Carabina/Fuzil</v>
      </c>
      <c r="I187" s="7" t="str">
        <f>+VLOOKUP(T187,Maps!E:F,2,0)</f>
        <v>5.56MM</v>
      </c>
      <c r="L187">
        <v>42</v>
      </c>
      <c r="M187">
        <v>45910</v>
      </c>
      <c r="N187" t="s">
        <v>444</v>
      </c>
      <c r="O187" t="s">
        <v>396</v>
      </c>
      <c r="P187" t="s">
        <v>397</v>
      </c>
      <c r="Q187" t="s">
        <v>352</v>
      </c>
      <c r="R187" t="s">
        <v>398</v>
      </c>
      <c r="S187" t="s">
        <v>348</v>
      </c>
      <c r="T187">
        <v>0.55600000000000005</v>
      </c>
      <c r="U187">
        <v>5</v>
      </c>
      <c r="V187" t="s">
        <v>400</v>
      </c>
    </row>
    <row r="188" spans="1:22" ht="14.25" customHeight="1" x14ac:dyDescent="0.35">
      <c r="A188" s="45" t="str">
        <f t="array" ref="A188">EXTRACTEVENT(N188,V188)</f>
        <v>COPA BRASIL DE TIRO DESPORTIVO</v>
      </c>
      <c r="B188" s="7" t="str">
        <f t="shared" si="6"/>
        <v>8</v>
      </c>
      <c r="C188" s="7" t="str">
        <f>+VLOOKUP(P188,Maps!$A:$C,2,0)</f>
        <v>Linade</v>
      </c>
      <c r="D188" s="7" t="str">
        <f t="shared" si="7"/>
        <v>N</v>
      </c>
      <c r="E188" s="10">
        <f t="shared" si="8"/>
        <v>45910</v>
      </c>
      <c r="F188" s="7" t="str">
        <f t="array" ref="F188">+TIPOARMA(H188,I188)</f>
        <v>ALRP</v>
      </c>
      <c r="G188" s="7"/>
      <c r="H188" s="7" t="str">
        <f>+VLOOKUP(Q188,Maps!I:J,2,0)</f>
        <v>Carabina/Fuzil</v>
      </c>
      <c r="I188" s="7" t="str">
        <f>+VLOOKUP(T188,Maps!E:F,2,0)</f>
        <v>.357 Mag</v>
      </c>
      <c r="L188">
        <v>42</v>
      </c>
      <c r="M188">
        <v>45910</v>
      </c>
      <c r="N188" t="s">
        <v>444</v>
      </c>
      <c r="O188" t="s">
        <v>396</v>
      </c>
      <c r="P188" t="s">
        <v>397</v>
      </c>
      <c r="Q188" t="s">
        <v>404</v>
      </c>
      <c r="R188" t="s">
        <v>398</v>
      </c>
      <c r="S188" t="s">
        <v>348</v>
      </c>
      <c r="T188" t="s">
        <v>20</v>
      </c>
      <c r="U188">
        <v>5</v>
      </c>
      <c r="V188" t="s">
        <v>400</v>
      </c>
    </row>
    <row r="189" spans="1:22" ht="14.25" customHeight="1" x14ac:dyDescent="0.35">
      <c r="A189" s="45" t="str">
        <f t="array" ref="A189">EXTRACTEVENT(N189,V189)</f>
        <v>CAMPEONATO NACIONAL DE TIRO DESPORTIVO</v>
      </c>
      <c r="B189" s="7" t="str">
        <f t="shared" si="6"/>
        <v>8</v>
      </c>
      <c r="C189" s="7" t="str">
        <f>+VLOOKUP(P189,Maps!$A:$C,2,0)</f>
        <v>Linade</v>
      </c>
      <c r="D189" s="7" t="str">
        <f t="shared" si="7"/>
        <v>N</v>
      </c>
      <c r="E189" s="10">
        <f t="shared" si="8"/>
        <v>45910</v>
      </c>
      <c r="F189" s="7" t="str">
        <f t="array" ref="F189">+TIPOARMA(H189,I189)</f>
        <v>ACRR</v>
      </c>
      <c r="G189" s="7"/>
      <c r="H189" s="7" t="str">
        <f>+VLOOKUP(Q189,Maps!I:J,2,0)</f>
        <v>Pistola</v>
      </c>
      <c r="I189" s="7" t="str">
        <f>+VLOOKUP(T189,Maps!E:F,2,0)</f>
        <v>.380 ACP</v>
      </c>
      <c r="L189">
        <v>43</v>
      </c>
      <c r="M189">
        <v>45910</v>
      </c>
      <c r="N189" t="s">
        <v>445</v>
      </c>
      <c r="O189" t="s">
        <v>28</v>
      </c>
      <c r="P189" t="s">
        <v>397</v>
      </c>
      <c r="Q189" t="s">
        <v>28</v>
      </c>
      <c r="R189" t="s">
        <v>398</v>
      </c>
      <c r="S189" t="s">
        <v>348</v>
      </c>
      <c r="T189">
        <v>0.38</v>
      </c>
      <c r="U189">
        <v>20</v>
      </c>
      <c r="V189" t="s">
        <v>400</v>
      </c>
    </row>
    <row r="190" spans="1:22" ht="14.25" customHeight="1" x14ac:dyDescent="0.35">
      <c r="A190" s="45" t="str">
        <f t="array" ref="A190">EXTRACTEVENT(N190,V190)</f>
        <v>COPA BRASIL DE TIRO DESPORTIVO</v>
      </c>
      <c r="B190" s="7" t="str">
        <f t="shared" si="6"/>
        <v>8</v>
      </c>
      <c r="C190" s="7" t="str">
        <f>+VLOOKUP(P190,Maps!$A:$C,2,0)</f>
        <v>Linade</v>
      </c>
      <c r="D190" s="7" t="str">
        <f t="shared" si="7"/>
        <v>N</v>
      </c>
      <c r="E190" s="10">
        <f t="shared" si="8"/>
        <v>45910</v>
      </c>
      <c r="F190" s="7" t="str">
        <f t="array" ref="F190">+TIPOARMA(H190,I190)</f>
        <v>ACRR</v>
      </c>
      <c r="G190" s="7"/>
      <c r="H190" s="7" t="str">
        <f>+VLOOKUP(Q190,Maps!I:J,2,0)</f>
        <v>Pistola</v>
      </c>
      <c r="I190" s="7" t="str">
        <f>+VLOOKUP(T190,Maps!E:F,2,0)</f>
        <v>.380 ACP</v>
      </c>
      <c r="L190">
        <v>44</v>
      </c>
      <c r="M190">
        <v>45910</v>
      </c>
      <c r="N190" t="s">
        <v>446</v>
      </c>
      <c r="O190" t="s">
        <v>396</v>
      </c>
      <c r="P190" t="s">
        <v>397</v>
      </c>
      <c r="Q190" t="s">
        <v>28</v>
      </c>
      <c r="R190" t="s">
        <v>398</v>
      </c>
      <c r="S190" t="s">
        <v>348</v>
      </c>
      <c r="T190">
        <v>0.38</v>
      </c>
      <c r="U190">
        <v>5</v>
      </c>
      <c r="V190" t="s">
        <v>400</v>
      </c>
    </row>
    <row r="191" spans="1:22" ht="14.25" customHeight="1" x14ac:dyDescent="0.35">
      <c r="A191" s="45" t="str">
        <f t="array" ref="A191">EXTRACTEVENT(N191,V191)</f>
        <v>COPA BRASIL DE TIRO DESPORTIVO</v>
      </c>
      <c r="B191" s="7" t="str">
        <f t="shared" si="6"/>
        <v>8</v>
      </c>
      <c r="C191" s="7" t="str">
        <f>+VLOOKUP(P191,Maps!$A:$C,2,0)</f>
        <v>Linade</v>
      </c>
      <c r="D191" s="7" t="str">
        <f t="shared" si="7"/>
        <v>N</v>
      </c>
      <c r="E191" s="10">
        <f t="shared" si="8"/>
        <v>45910</v>
      </c>
      <c r="F191" s="7" t="str">
        <f t="array" ref="F191">+TIPOARMA(H191,I191)</f>
        <v>ACRP</v>
      </c>
      <c r="G191" s="7"/>
      <c r="H191" s="7" t="str">
        <f>+VLOOKUP(Q191,Maps!I:J,2,0)</f>
        <v>Pistola</v>
      </c>
      <c r="I191" s="7" t="str">
        <f>+VLOOKUP(T191,Maps!E:F,2,0)</f>
        <v>9mm</v>
      </c>
      <c r="L191">
        <v>44</v>
      </c>
      <c r="M191">
        <v>45910</v>
      </c>
      <c r="N191" t="s">
        <v>446</v>
      </c>
      <c r="O191" t="s">
        <v>396</v>
      </c>
      <c r="P191" t="s">
        <v>397</v>
      </c>
      <c r="Q191" t="s">
        <v>28</v>
      </c>
      <c r="R191" t="s">
        <v>398</v>
      </c>
      <c r="S191" t="s">
        <v>348</v>
      </c>
      <c r="T191" t="s">
        <v>29</v>
      </c>
      <c r="U191">
        <v>5</v>
      </c>
      <c r="V191" t="s">
        <v>400</v>
      </c>
    </row>
    <row r="192" spans="1:22" ht="14.25" customHeight="1" x14ac:dyDescent="0.35">
      <c r="A192" s="45" t="str">
        <f t="array" ref="A192">EXTRACTEVENT(N192,V192)</f>
        <v>CAMPEONATO NACIONAL DE TIRO DESPORTIVO</v>
      </c>
      <c r="B192" s="7" t="str">
        <f t="shared" si="6"/>
        <v>8</v>
      </c>
      <c r="C192" s="7" t="str">
        <f>+VLOOKUP(P192,Maps!$A:$C,2,0)</f>
        <v>Linade</v>
      </c>
      <c r="D192" s="7" t="str">
        <f t="shared" si="7"/>
        <v>N</v>
      </c>
      <c r="E192" s="10">
        <f t="shared" si="8"/>
        <v>45910</v>
      </c>
      <c r="F192" s="7" t="str">
        <f t="array" ref="F192">+TIPOARMA(H192,I192)</f>
        <v>ACRP</v>
      </c>
      <c r="G192" s="7"/>
      <c r="H192" s="7" t="str">
        <f>+VLOOKUP(Q192,Maps!I:J,2,0)</f>
        <v>Pistola</v>
      </c>
      <c r="I192" s="7" t="str">
        <f>+VLOOKUP(T192,Maps!E:F,2,0)</f>
        <v>9mm</v>
      </c>
      <c r="L192">
        <v>45</v>
      </c>
      <c r="M192">
        <v>45910</v>
      </c>
      <c r="N192" t="s">
        <v>447</v>
      </c>
      <c r="O192" t="s">
        <v>28</v>
      </c>
      <c r="P192" t="s">
        <v>397</v>
      </c>
      <c r="Q192" t="s">
        <v>28</v>
      </c>
      <c r="R192" t="s">
        <v>398</v>
      </c>
      <c r="S192" t="s">
        <v>348</v>
      </c>
      <c r="T192" t="s">
        <v>29</v>
      </c>
      <c r="U192">
        <v>20</v>
      </c>
      <c r="V192" t="s">
        <v>400</v>
      </c>
    </row>
    <row r="193" spans="1:22" ht="14.25" customHeight="1" x14ac:dyDescent="0.35">
      <c r="A193" s="45" t="str">
        <f t="array" ref="A193">EXTRACTEVENT(N193,V193)</f>
        <v>CAMPEONATO NACIONAL DE TIRO DESPORTIVO</v>
      </c>
      <c r="B193" s="7" t="str">
        <f t="shared" si="6"/>
        <v>8</v>
      </c>
      <c r="C193" s="7" t="str">
        <f>+VLOOKUP(P193,Maps!$A:$C,2,0)</f>
        <v>Linade</v>
      </c>
      <c r="D193" s="7" t="str">
        <f t="shared" si="7"/>
        <v>N</v>
      </c>
      <c r="E193" s="10">
        <f t="shared" si="8"/>
        <v>45910</v>
      </c>
      <c r="F193" s="7" t="str">
        <f t="array" ref="F193">+TIPOARMA(H193,I193)</f>
        <v>ALRP</v>
      </c>
      <c r="G193" s="7"/>
      <c r="H193" s="7" t="str">
        <f>+VLOOKUP(Q193,Maps!I:J,2,0)</f>
        <v>Carabina/Fuzil</v>
      </c>
      <c r="I193" s="7" t="str">
        <f>+VLOOKUP(T193,Maps!E:F,2,0)</f>
        <v>.357 Mag</v>
      </c>
      <c r="L193">
        <v>46</v>
      </c>
      <c r="M193">
        <v>45910</v>
      </c>
      <c r="N193" t="s">
        <v>448</v>
      </c>
      <c r="O193" t="s">
        <v>404</v>
      </c>
      <c r="P193" t="s">
        <v>397</v>
      </c>
      <c r="Q193" t="s">
        <v>404</v>
      </c>
      <c r="R193" t="s">
        <v>398</v>
      </c>
      <c r="S193" t="s">
        <v>348</v>
      </c>
      <c r="T193" t="s">
        <v>20</v>
      </c>
      <c r="U193">
        <v>20</v>
      </c>
      <c r="V193" t="s">
        <v>400</v>
      </c>
    </row>
    <row r="194" spans="1:22" ht="14.25" customHeight="1" x14ac:dyDescent="0.35">
      <c r="A194" s="45" t="str">
        <f t="array" ref="A194">EXTRACTEVENT(N194,V194)</f>
        <v>COPA BRASIL DE TIRO DESPORTIVO</v>
      </c>
      <c r="B194" s="7" t="str">
        <f t="shared" ref="B194:B257" si="9">+IF(V194="TREINO","-",LEFT(N194,1))</f>
        <v>8</v>
      </c>
      <c r="C194" s="7" t="str">
        <f>+VLOOKUP(P194,Maps!$A:$C,2,0)</f>
        <v>Linade</v>
      </c>
      <c r="D194" s="7" t="str">
        <f t="shared" ref="D194:D257" si="10">+IF($V194="TREINO","T",IF(V194="NACIONAL","N","E"))</f>
        <v>N</v>
      </c>
      <c r="E194" s="10">
        <f t="shared" ref="E194:E257" si="11">IFERROR(DATEVALUE(LEFT(M194,10)),M194)</f>
        <v>45910</v>
      </c>
      <c r="F194" s="7" t="str">
        <f t="array" ref="F194">+TIPOARMA(H194,I194)</f>
        <v>ALRP</v>
      </c>
      <c r="G194" s="7"/>
      <c r="H194" s="7" t="str">
        <f>+VLOOKUP(Q194,Maps!I:J,2,0)</f>
        <v>Carabina/Fuzil</v>
      </c>
      <c r="I194" s="7" t="str">
        <f>+VLOOKUP(T194,Maps!E:F,2,0)</f>
        <v>.357 Mag</v>
      </c>
      <c r="L194">
        <v>47</v>
      </c>
      <c r="M194">
        <v>45910</v>
      </c>
      <c r="N194" t="s">
        <v>449</v>
      </c>
      <c r="O194" t="s">
        <v>404</v>
      </c>
      <c r="P194" t="s">
        <v>397</v>
      </c>
      <c r="Q194" t="s">
        <v>404</v>
      </c>
      <c r="R194" t="s">
        <v>398</v>
      </c>
      <c r="S194" t="s">
        <v>348</v>
      </c>
      <c r="T194" t="s">
        <v>20</v>
      </c>
      <c r="U194">
        <v>12</v>
      </c>
      <c r="V194" t="s">
        <v>400</v>
      </c>
    </row>
    <row r="195" spans="1:22" ht="14.25" customHeight="1" x14ac:dyDescent="0.35">
      <c r="A195" s="45" t="str">
        <f t="array" ref="A195">EXTRACTEVENT(N195,V195)</f>
        <v>Campeonato Nacional de Tiro Desportivo</v>
      </c>
      <c r="B195" s="7" t="str">
        <f t="shared" si="9"/>
        <v>3</v>
      </c>
      <c r="C195" s="7" t="str">
        <f>+VLOOKUP(P195,Maps!$A:$C,2,0)</f>
        <v>Linade</v>
      </c>
      <c r="D195" s="7" t="str">
        <f t="shared" si="10"/>
        <v>N</v>
      </c>
      <c r="E195" s="10">
        <f t="shared" si="11"/>
        <v>46130</v>
      </c>
      <c r="F195" s="7" t="str">
        <f t="array" ref="F195">+TIPOARMA(H195,I195)</f>
        <v/>
      </c>
      <c r="G195" s="7"/>
      <c r="H195" s="7" t="str">
        <f>+VLOOKUP(Q195,Maps!I:J,2,0)</f>
        <v>Espingarda</v>
      </c>
      <c r="I195" s="7" t="str">
        <f>+VLOOKUP(T195,Maps!E:F,2,0)</f>
        <v>Cal 12</v>
      </c>
      <c r="L195">
        <v>48</v>
      </c>
      <c r="M195">
        <v>46130</v>
      </c>
      <c r="N195" t="s">
        <v>450</v>
      </c>
      <c r="O195" t="s">
        <v>451</v>
      </c>
      <c r="P195" t="s">
        <v>397</v>
      </c>
      <c r="Q195" t="s">
        <v>452</v>
      </c>
      <c r="R195" t="s">
        <v>453</v>
      </c>
      <c r="S195" t="s">
        <v>348</v>
      </c>
      <c r="T195" t="s">
        <v>454</v>
      </c>
      <c r="U195">
        <v>50</v>
      </c>
      <c r="V195" t="s">
        <v>400</v>
      </c>
    </row>
    <row r="196" spans="1:22" ht="14.25" customHeight="1" x14ac:dyDescent="0.35">
      <c r="A196" s="45" t="str">
        <f t="array" ref="A196">EXTRACTEVENT(N196,V196)</f>
        <v>Campeonato Brasileiro de Car/Pst/RF 2023</v>
      </c>
      <c r="B196" s="7" t="str">
        <f t="shared" si="9"/>
        <v>8</v>
      </c>
      <c r="C196" s="7" t="str">
        <f>+VLOOKUP(P196,Maps!$A:$C,2,0)</f>
        <v>CBTE</v>
      </c>
      <c r="D196" s="7" t="str">
        <f t="shared" si="10"/>
        <v>N</v>
      </c>
      <c r="E196" s="10">
        <f t="shared" si="11"/>
        <v>45169</v>
      </c>
      <c r="F196" s="7" t="str">
        <f t="array" ref="F196">+TIPOARMA(H196,I196)</f>
        <v>ACRR</v>
      </c>
      <c r="G196" s="7"/>
      <c r="H196" s="7" t="str">
        <f>+VLOOKUP(Q196,Maps!I:J,2,0)</f>
        <v>Pistola</v>
      </c>
      <c r="I196" s="7" t="str">
        <f>+VLOOKUP(T196,Maps!E:F,2,0)</f>
        <v>.45 ACP</v>
      </c>
      <c r="L196">
        <v>1</v>
      </c>
      <c r="M196">
        <v>45169</v>
      </c>
      <c r="N196" t="s">
        <v>455</v>
      </c>
      <c r="O196" t="s">
        <v>456</v>
      </c>
      <c r="P196" t="s">
        <v>457</v>
      </c>
      <c r="Q196" t="s">
        <v>28</v>
      </c>
      <c r="R196" t="s">
        <v>347</v>
      </c>
      <c r="S196" t="s">
        <v>348</v>
      </c>
      <c r="T196" t="s">
        <v>36</v>
      </c>
      <c r="U196">
        <v>10</v>
      </c>
      <c r="V196" t="s">
        <v>400</v>
      </c>
    </row>
    <row r="197" spans="1:22" ht="14.25" customHeight="1" x14ac:dyDescent="0.35">
      <c r="A197" s="45" t="str">
        <f t="array" ref="A197">EXTRACTEVENT(N197,V197)</f>
        <v>Campeonato Brasileiro de Car/Pst/RF 2023</v>
      </c>
      <c r="B197" s="7" t="str">
        <f t="shared" si="9"/>
        <v>8</v>
      </c>
      <c r="C197" s="7" t="str">
        <f>+VLOOKUP(P197,Maps!$A:$C,2,0)</f>
        <v>CBTE</v>
      </c>
      <c r="D197" s="7" t="str">
        <f t="shared" si="10"/>
        <v>N</v>
      </c>
      <c r="E197" s="10">
        <f t="shared" si="11"/>
        <v>45169</v>
      </c>
      <c r="F197" s="7" t="str">
        <f t="array" ref="F197">+TIPOARMA(H197,I197)</f>
        <v>ACRR</v>
      </c>
      <c r="G197" s="7"/>
      <c r="H197" s="7" t="str">
        <f>+VLOOKUP(Q197,Maps!I:J,2,0)</f>
        <v>Revólver</v>
      </c>
      <c r="I197" s="7" t="str">
        <f>+VLOOKUP(T197,Maps!E:F,2,0)</f>
        <v>.38 SPL</v>
      </c>
      <c r="L197">
        <v>2</v>
      </c>
      <c r="M197">
        <v>45169</v>
      </c>
      <c r="N197" t="s">
        <v>458</v>
      </c>
      <c r="O197" t="s">
        <v>456</v>
      </c>
      <c r="P197" t="s">
        <v>457</v>
      </c>
      <c r="Q197" t="s">
        <v>51</v>
      </c>
      <c r="R197" t="s">
        <v>358</v>
      </c>
      <c r="S197" t="s">
        <v>348</v>
      </c>
      <c r="T197" t="s">
        <v>55</v>
      </c>
      <c r="U197">
        <v>10</v>
      </c>
      <c r="V197" t="s">
        <v>400</v>
      </c>
    </row>
    <row r="198" spans="1:22" ht="14.25" customHeight="1" x14ac:dyDescent="0.35">
      <c r="A198" s="45" t="str">
        <f t="array" ref="A198">EXTRACTEVENT(N198,V198)</f>
        <v>Campeonato Brasileiro de Car/Pst/RF 2023</v>
      </c>
      <c r="B198" s="7" t="str">
        <f t="shared" si="9"/>
        <v>8</v>
      </c>
      <c r="C198" s="7" t="str">
        <f>+VLOOKUP(P198,Maps!$A:$C,2,0)</f>
        <v>CBTE</v>
      </c>
      <c r="D198" s="7" t="str">
        <f t="shared" si="10"/>
        <v>N</v>
      </c>
      <c r="E198" s="10">
        <f t="shared" si="11"/>
        <v>45169</v>
      </c>
      <c r="F198" s="7" t="str">
        <f t="array" ref="F198">+TIPOARMA(H198,I198)</f>
        <v>ALLP</v>
      </c>
      <c r="G198" s="7"/>
      <c r="H198" s="7" t="str">
        <f>+VLOOKUP(Q198,Maps!I:J,2,0)</f>
        <v>Revólver</v>
      </c>
      <c r="I198" s="7" t="str">
        <f>+VLOOKUP(T198,Maps!E:F,2,0)</f>
        <v>.357 Mag</v>
      </c>
      <c r="L198">
        <v>3</v>
      </c>
      <c r="M198">
        <v>45169</v>
      </c>
      <c r="N198" t="s">
        <v>459</v>
      </c>
      <c r="O198" t="s">
        <v>456</v>
      </c>
      <c r="P198" t="s">
        <v>457</v>
      </c>
      <c r="Q198" t="s">
        <v>51</v>
      </c>
      <c r="R198" t="s">
        <v>347</v>
      </c>
      <c r="S198" t="s">
        <v>348</v>
      </c>
      <c r="T198" t="s">
        <v>364</v>
      </c>
      <c r="U198">
        <v>10</v>
      </c>
      <c r="V198" t="s">
        <v>400</v>
      </c>
    </row>
    <row r="199" spans="1:22" ht="14.25" customHeight="1" x14ac:dyDescent="0.35">
      <c r="A199" s="45" t="str">
        <f t="array" ref="A199">EXTRACTEVENT(N199,V199)</f>
        <v>Campeonato Brasileiro de Car/Pst/RF 2023</v>
      </c>
      <c r="B199" s="7" t="str">
        <f t="shared" si="9"/>
        <v>8</v>
      </c>
      <c r="C199" s="7" t="str">
        <f>+VLOOKUP(P199,Maps!$A:$C,2,0)</f>
        <v>CBTE</v>
      </c>
      <c r="D199" s="7" t="str">
        <f t="shared" si="10"/>
        <v>N</v>
      </c>
      <c r="E199" s="10">
        <f t="shared" si="11"/>
        <v>45169</v>
      </c>
      <c r="F199" s="7" t="str">
        <f t="array" ref="F199">+TIPOARMA(H199,I199)</f>
        <v>ACRP</v>
      </c>
      <c r="G199" s="7"/>
      <c r="H199" s="7" t="str">
        <f>+VLOOKUP(Q199,Maps!I:J,2,0)</f>
        <v>Pistola</v>
      </c>
      <c r="I199" s="7" t="str">
        <f>+VLOOKUP(T199,Maps!E:F,2,0)</f>
        <v>9mm</v>
      </c>
      <c r="L199">
        <v>4</v>
      </c>
      <c r="M199">
        <v>45169</v>
      </c>
      <c r="N199" t="s">
        <v>460</v>
      </c>
      <c r="O199" t="s">
        <v>456</v>
      </c>
      <c r="P199" t="s">
        <v>457</v>
      </c>
      <c r="Q199" t="s">
        <v>28</v>
      </c>
      <c r="R199" t="s">
        <v>347</v>
      </c>
      <c r="S199" t="s">
        <v>348</v>
      </c>
      <c r="T199" t="s">
        <v>29</v>
      </c>
      <c r="U199">
        <v>10</v>
      </c>
      <c r="V199" t="s">
        <v>400</v>
      </c>
    </row>
    <row r="200" spans="1:22" ht="14.25" customHeight="1" x14ac:dyDescent="0.35">
      <c r="A200" s="45" t="str">
        <f t="array" ref="A200">EXTRACTEVENT(N200,V200)</f>
        <v>Campeonato Brasileiro de Car/Pst/RF 2023</v>
      </c>
      <c r="B200" s="7" t="str">
        <f t="shared" si="9"/>
        <v>8</v>
      </c>
      <c r="C200" s="7" t="str">
        <f>+VLOOKUP(P200,Maps!$A:$C,2,0)</f>
        <v>CBTE</v>
      </c>
      <c r="D200" s="7" t="str">
        <f t="shared" si="10"/>
        <v>N</v>
      </c>
      <c r="E200" s="10">
        <f t="shared" si="11"/>
        <v>45169</v>
      </c>
      <c r="F200" s="7" t="str">
        <f t="array" ref="F200">+TIPOARMA(H200,I200)</f>
        <v>ALLP</v>
      </c>
      <c r="G200" s="7"/>
      <c r="H200" s="7" t="str">
        <f>+VLOOKUP(Q200,Maps!I:J,2,0)</f>
        <v>Revólver</v>
      </c>
      <c r="I200" s="7" t="str">
        <f>+VLOOKUP(T200,Maps!E:F,2,0)</f>
        <v>.357 Mag</v>
      </c>
      <c r="L200">
        <v>5</v>
      </c>
      <c r="M200">
        <v>45169</v>
      </c>
      <c r="N200" t="s">
        <v>461</v>
      </c>
      <c r="O200" t="s">
        <v>456</v>
      </c>
      <c r="P200" t="s">
        <v>457</v>
      </c>
      <c r="Q200" t="s">
        <v>51</v>
      </c>
      <c r="R200" t="s">
        <v>347</v>
      </c>
      <c r="S200" t="s">
        <v>348</v>
      </c>
      <c r="T200" t="s">
        <v>364</v>
      </c>
      <c r="U200">
        <v>10</v>
      </c>
      <c r="V200" t="s">
        <v>400</v>
      </c>
    </row>
    <row r="201" spans="1:22" ht="14.25" customHeight="1" x14ac:dyDescent="0.35">
      <c r="A201" s="45" t="str">
        <f t="array" ref="A201">EXTRACTEVENT(N201,V201)</f>
        <v>Campeonato Brasileiro de Car/Pst/RF 2023</v>
      </c>
      <c r="B201" s="7" t="str">
        <f t="shared" si="9"/>
        <v>8</v>
      </c>
      <c r="C201" s="7" t="str">
        <f>+VLOOKUP(P201,Maps!$A:$C,2,0)</f>
        <v>CBTE</v>
      </c>
      <c r="D201" s="7" t="str">
        <f t="shared" si="10"/>
        <v>N</v>
      </c>
      <c r="E201" s="10">
        <f t="shared" si="11"/>
        <v>45169</v>
      </c>
      <c r="F201" s="7" t="str">
        <f t="array" ref="F201">+TIPOARMA(H201,I201)</f>
        <v>ACRP</v>
      </c>
      <c r="G201" s="7"/>
      <c r="H201" s="7" t="str">
        <f>+VLOOKUP(Q201,Maps!I:J,2,0)</f>
        <v>Pistola</v>
      </c>
      <c r="I201" s="7" t="str">
        <f>+VLOOKUP(T201,Maps!E:F,2,0)</f>
        <v>.38 Super</v>
      </c>
      <c r="L201">
        <v>6</v>
      </c>
      <c r="M201">
        <v>45169</v>
      </c>
      <c r="N201" t="s">
        <v>462</v>
      </c>
      <c r="O201" t="s">
        <v>456</v>
      </c>
      <c r="P201" t="s">
        <v>457</v>
      </c>
      <c r="Q201" t="s">
        <v>28</v>
      </c>
      <c r="R201" t="s">
        <v>347</v>
      </c>
      <c r="S201" t="s">
        <v>348</v>
      </c>
      <c r="T201" t="s">
        <v>399</v>
      </c>
      <c r="U201">
        <v>10</v>
      </c>
      <c r="V201" t="s">
        <v>400</v>
      </c>
    </row>
    <row r="202" spans="1:22" ht="14.25" customHeight="1" x14ac:dyDescent="0.35">
      <c r="A202" s="45" t="str">
        <f t="array" ref="A202">EXTRACTEVENT(N202,V202)</f>
        <v>Campeonato Brasileiro de Car/Pst/RF 2023</v>
      </c>
      <c r="B202" s="7" t="str">
        <f t="shared" si="9"/>
        <v>1</v>
      </c>
      <c r="C202" s="7" t="str">
        <f>+VLOOKUP(P202,Maps!$A:$C,2,0)</f>
        <v>CBTE</v>
      </c>
      <c r="D202" s="7" t="str">
        <f t="shared" si="10"/>
        <v>N</v>
      </c>
      <c r="E202" s="10">
        <f t="shared" si="11"/>
        <v>45239</v>
      </c>
      <c r="F202" s="7" t="str">
        <f t="array" ref="F202">+TIPOARMA(H202,I202)</f>
        <v>ACRP</v>
      </c>
      <c r="G202" s="7"/>
      <c r="H202" s="7" t="str">
        <f>+VLOOKUP(Q202,Maps!I:J,2,0)</f>
        <v>Pistola</v>
      </c>
      <c r="I202" s="7" t="str">
        <f>+VLOOKUP(T202,Maps!E:F,2,0)</f>
        <v>9mm</v>
      </c>
      <c r="L202">
        <v>7</v>
      </c>
      <c r="M202">
        <v>45239</v>
      </c>
      <c r="N202" t="s">
        <v>463</v>
      </c>
      <c r="O202" t="s">
        <v>456</v>
      </c>
      <c r="P202" t="s">
        <v>457</v>
      </c>
      <c r="Q202" t="s">
        <v>28</v>
      </c>
      <c r="R202" t="s">
        <v>347</v>
      </c>
      <c r="S202" t="s">
        <v>348</v>
      </c>
      <c r="T202" t="s">
        <v>29</v>
      </c>
      <c r="U202">
        <v>10</v>
      </c>
      <c r="V202" t="s">
        <v>400</v>
      </c>
    </row>
    <row r="203" spans="1:22" ht="14.25" customHeight="1" x14ac:dyDescent="0.35">
      <c r="A203" s="45" t="str">
        <f t="array" ref="A203">EXTRACTEVENT(N203,V203)</f>
        <v>Campeonato Brasileiro de Car/Pst/RF 2023</v>
      </c>
      <c r="B203" s="7" t="str">
        <f t="shared" si="9"/>
        <v>1</v>
      </c>
      <c r="C203" s="7" t="str">
        <f>+VLOOKUP(P203,Maps!$A:$C,2,0)</f>
        <v>CBTE</v>
      </c>
      <c r="D203" s="7" t="str">
        <f t="shared" si="10"/>
        <v>N</v>
      </c>
      <c r="E203" s="10">
        <f t="shared" si="11"/>
        <v>45239</v>
      </c>
      <c r="F203" s="7" t="str">
        <f t="array" ref="F203">+TIPOARMA(H203,I203)</f>
        <v>ALLP</v>
      </c>
      <c r="G203" s="7"/>
      <c r="H203" s="7" t="str">
        <f>+VLOOKUP(Q203,Maps!I:J,2,0)</f>
        <v>Revólver</v>
      </c>
      <c r="I203" s="7" t="str">
        <f>+VLOOKUP(T203,Maps!E:F,2,0)</f>
        <v>.357 Mag</v>
      </c>
      <c r="L203">
        <v>8</v>
      </c>
      <c r="M203">
        <v>45239</v>
      </c>
      <c r="N203" t="s">
        <v>464</v>
      </c>
      <c r="O203" t="s">
        <v>456</v>
      </c>
      <c r="P203" t="s">
        <v>457</v>
      </c>
      <c r="Q203" t="s">
        <v>51</v>
      </c>
      <c r="R203" t="s">
        <v>347</v>
      </c>
      <c r="S203" t="s">
        <v>348</v>
      </c>
      <c r="T203" t="s">
        <v>364</v>
      </c>
      <c r="U203">
        <v>10</v>
      </c>
      <c r="V203" t="s">
        <v>400</v>
      </c>
    </row>
    <row r="204" spans="1:22" ht="14.25" customHeight="1" x14ac:dyDescent="0.35">
      <c r="A204" s="45" t="str">
        <f t="array" ref="A204">EXTRACTEVENT(N204,V204)</f>
        <v>Campeonato Brasileiro de Car/Pst/RF 2023</v>
      </c>
      <c r="B204" s="7" t="str">
        <f t="shared" si="9"/>
        <v>1</v>
      </c>
      <c r="C204" s="7" t="str">
        <f>+VLOOKUP(P204,Maps!$A:$C,2,0)</f>
        <v>CBTE</v>
      </c>
      <c r="D204" s="7" t="str">
        <f t="shared" si="10"/>
        <v>N</v>
      </c>
      <c r="E204" s="10">
        <f t="shared" si="11"/>
        <v>45239</v>
      </c>
      <c r="F204" s="7" t="str">
        <f t="array" ref="F204">+TIPOARMA(H204,I204)</f>
        <v>ACRP</v>
      </c>
      <c r="G204" s="7"/>
      <c r="H204" s="7" t="str">
        <f>+VLOOKUP(Q204,Maps!I:J,2,0)</f>
        <v>Pistola</v>
      </c>
      <c r="I204" s="7" t="str">
        <f>+VLOOKUP(T204,Maps!E:F,2,0)</f>
        <v>.38 Super</v>
      </c>
      <c r="L204">
        <v>9</v>
      </c>
      <c r="M204">
        <v>45239</v>
      </c>
      <c r="N204" t="s">
        <v>465</v>
      </c>
      <c r="O204" t="s">
        <v>456</v>
      </c>
      <c r="P204" t="s">
        <v>457</v>
      </c>
      <c r="Q204" t="s">
        <v>28</v>
      </c>
      <c r="R204" t="s">
        <v>347</v>
      </c>
      <c r="S204" t="s">
        <v>348</v>
      </c>
      <c r="T204" t="s">
        <v>399</v>
      </c>
      <c r="U204">
        <v>10</v>
      </c>
      <c r="V204" t="s">
        <v>400</v>
      </c>
    </row>
    <row r="205" spans="1:22" ht="14.25" customHeight="1" x14ac:dyDescent="0.35">
      <c r="A205" s="45" t="str">
        <f t="array" ref="A205">EXTRACTEVENT(N205,V205)</f>
        <v>Campeonato Brasileiro de Car/Pst/RF 2023</v>
      </c>
      <c r="B205" s="7" t="str">
        <f t="shared" si="9"/>
        <v>1</v>
      </c>
      <c r="C205" s="7" t="str">
        <f>+VLOOKUP(P205,Maps!$A:$C,2,0)</f>
        <v>CBTE</v>
      </c>
      <c r="D205" s="7" t="str">
        <f t="shared" si="10"/>
        <v>N</v>
      </c>
      <c r="E205" s="10">
        <f t="shared" si="11"/>
        <v>45239</v>
      </c>
      <c r="F205" s="7" t="str">
        <f t="array" ref="F205">+TIPOARMA(H205,I205)</f>
        <v>ACRR</v>
      </c>
      <c r="G205" s="7"/>
      <c r="H205" s="7" t="str">
        <f>+VLOOKUP(Q205,Maps!I:J,2,0)</f>
        <v>Revólver</v>
      </c>
      <c r="I205" s="7" t="str">
        <f>+VLOOKUP(T205,Maps!E:F,2,0)</f>
        <v>.38 SPL</v>
      </c>
      <c r="L205">
        <v>10</v>
      </c>
      <c r="M205">
        <v>45239</v>
      </c>
      <c r="N205" t="s">
        <v>466</v>
      </c>
      <c r="O205" t="s">
        <v>456</v>
      </c>
      <c r="P205" t="s">
        <v>457</v>
      </c>
      <c r="Q205" t="s">
        <v>51</v>
      </c>
      <c r="R205" t="s">
        <v>358</v>
      </c>
      <c r="S205" t="s">
        <v>348</v>
      </c>
      <c r="T205" t="s">
        <v>55</v>
      </c>
      <c r="U205">
        <v>10</v>
      </c>
      <c r="V205" t="s">
        <v>400</v>
      </c>
    </row>
    <row r="206" spans="1:22" ht="14.25" customHeight="1" x14ac:dyDescent="0.35">
      <c r="A206" s="45" t="str">
        <f t="array" ref="A206">EXTRACTEVENT(N206,V206)</f>
        <v>Campeonato Brasileiro de Car/Pst/RF 2023</v>
      </c>
      <c r="B206" s="7" t="str">
        <f t="shared" si="9"/>
        <v>1</v>
      </c>
      <c r="C206" s="7" t="str">
        <f>+VLOOKUP(P206,Maps!$A:$C,2,0)</f>
        <v>CBTE</v>
      </c>
      <c r="D206" s="7" t="str">
        <f t="shared" si="10"/>
        <v>N</v>
      </c>
      <c r="E206" s="10">
        <f t="shared" si="11"/>
        <v>45239</v>
      </c>
      <c r="F206" s="7" t="str">
        <f t="array" ref="F206">+TIPOARMA(H206,I206)</f>
        <v>ALLP</v>
      </c>
      <c r="G206" s="7"/>
      <c r="H206" s="7" t="str">
        <f>+VLOOKUP(Q206,Maps!I:J,2,0)</f>
        <v>Revólver</v>
      </c>
      <c r="I206" s="7" t="str">
        <f>+VLOOKUP(T206,Maps!E:F,2,0)</f>
        <v>.357 Mag</v>
      </c>
      <c r="L206">
        <v>11</v>
      </c>
      <c r="M206">
        <v>45239</v>
      </c>
      <c r="N206" t="s">
        <v>467</v>
      </c>
      <c r="O206" t="s">
        <v>456</v>
      </c>
      <c r="P206" t="s">
        <v>457</v>
      </c>
      <c r="Q206" t="s">
        <v>51</v>
      </c>
      <c r="R206" t="s">
        <v>347</v>
      </c>
      <c r="S206" t="s">
        <v>348</v>
      </c>
      <c r="T206" t="s">
        <v>364</v>
      </c>
      <c r="U206">
        <v>10</v>
      </c>
      <c r="V206" t="s">
        <v>400</v>
      </c>
    </row>
    <row r="207" spans="1:22" ht="14.25" customHeight="1" x14ac:dyDescent="0.35">
      <c r="A207" s="45" t="str">
        <f t="array" ref="A207">EXTRACTEVENT(N207,V207)</f>
        <v>Campeonato Brasileiro de Car/Pst/RF 2023</v>
      </c>
      <c r="B207" s="7" t="str">
        <f t="shared" si="9"/>
        <v>1</v>
      </c>
      <c r="C207" s="7" t="str">
        <f>+VLOOKUP(P207,Maps!$A:$C,2,0)</f>
        <v>CBTE</v>
      </c>
      <c r="D207" s="7" t="str">
        <f t="shared" si="10"/>
        <v>N</v>
      </c>
      <c r="E207" s="10">
        <f t="shared" si="11"/>
        <v>45239</v>
      </c>
      <c r="F207" s="7" t="str">
        <f t="array" ref="F207">+TIPOARMA(H207,I207)</f>
        <v>ACRR</v>
      </c>
      <c r="G207" s="7"/>
      <c r="H207" s="7" t="str">
        <f>+VLOOKUP(Q207,Maps!I:J,2,0)</f>
        <v>Pistola</v>
      </c>
      <c r="I207" s="7" t="str">
        <f>+VLOOKUP(T207,Maps!E:F,2,0)</f>
        <v>.45 ACP</v>
      </c>
      <c r="L207">
        <v>12</v>
      </c>
      <c r="M207" s="46">
        <v>45239</v>
      </c>
      <c r="N207" t="s">
        <v>468</v>
      </c>
      <c r="O207" t="s">
        <v>456</v>
      </c>
      <c r="P207" t="s">
        <v>457</v>
      </c>
      <c r="Q207" t="s">
        <v>28</v>
      </c>
      <c r="R207" t="s">
        <v>347</v>
      </c>
      <c r="S207" t="s">
        <v>348</v>
      </c>
      <c r="T207" t="s">
        <v>36</v>
      </c>
      <c r="U207">
        <v>10</v>
      </c>
      <c r="V207" t="s">
        <v>400</v>
      </c>
    </row>
    <row r="208" spans="1:22" ht="14.25" customHeight="1" x14ac:dyDescent="0.35">
      <c r="A208" s="45" t="str">
        <f t="array" ref="A208">EXTRACTEVENT(N208,V208)</f>
        <v>CAMPEONATO BRASILEIRO DE CAR/PST/RF 2024</v>
      </c>
      <c r="B208" s="7" t="str">
        <f t="shared" si="9"/>
        <v>2</v>
      </c>
      <c r="C208" s="7" t="str">
        <f>+VLOOKUP(P208,Maps!$A:$C,2,0)</f>
        <v>CBTE</v>
      </c>
      <c r="D208" s="7" t="str">
        <f t="shared" si="10"/>
        <v>N</v>
      </c>
      <c r="E208" s="10">
        <f t="shared" si="11"/>
        <v>45372</v>
      </c>
      <c r="F208" s="7" t="str">
        <f t="array" ref="F208">+TIPOARMA(H208,I208)</f>
        <v>ACRP</v>
      </c>
      <c r="G208" s="7"/>
      <c r="H208" s="7" t="str">
        <f>+VLOOKUP(Q208,Maps!I:J,2,0)</f>
        <v>Pistola</v>
      </c>
      <c r="I208" s="7" t="str">
        <f>+VLOOKUP(T208,Maps!E:F,2,0)</f>
        <v>.38 Super</v>
      </c>
      <c r="L208">
        <v>13</v>
      </c>
      <c r="M208" s="46">
        <v>45372</v>
      </c>
      <c r="N208" t="s">
        <v>469</v>
      </c>
      <c r="O208" t="s">
        <v>456</v>
      </c>
      <c r="P208" t="s">
        <v>457</v>
      </c>
      <c r="Q208" t="s">
        <v>28</v>
      </c>
      <c r="R208" t="s">
        <v>347</v>
      </c>
      <c r="S208" t="s">
        <v>348</v>
      </c>
      <c r="T208" t="s">
        <v>399</v>
      </c>
      <c r="U208">
        <v>10</v>
      </c>
      <c r="V208" t="s">
        <v>400</v>
      </c>
    </row>
    <row r="209" spans="1:22" ht="14.25" customHeight="1" x14ac:dyDescent="0.35">
      <c r="A209" s="45" t="str">
        <f t="array" ref="A209">EXTRACTEVENT(N209,V209)</f>
        <v>CAMPEONATO BRASILEIRO DE CAR/PST/RF 2024</v>
      </c>
      <c r="B209" s="7" t="str">
        <f t="shared" si="9"/>
        <v>2</v>
      </c>
      <c r="C209" s="7" t="str">
        <f>+VLOOKUP(P209,Maps!$A:$C,2,0)</f>
        <v>CBTE</v>
      </c>
      <c r="D209" s="7" t="str">
        <f t="shared" si="10"/>
        <v>N</v>
      </c>
      <c r="E209" s="10">
        <f t="shared" si="11"/>
        <v>45372</v>
      </c>
      <c r="F209" s="7" t="str">
        <f t="array" ref="F209">+TIPOARMA(H209,I209)</f>
        <v>ACRP</v>
      </c>
      <c r="G209" s="7"/>
      <c r="H209" s="7" t="str">
        <f>+VLOOKUP(Q209,Maps!I:J,2,0)</f>
        <v>Pistola</v>
      </c>
      <c r="I209" s="7" t="str">
        <f>+VLOOKUP(T209,Maps!E:F,2,0)</f>
        <v>9mm</v>
      </c>
      <c r="L209">
        <v>14</v>
      </c>
      <c r="M209" s="46">
        <v>45372</v>
      </c>
      <c r="N209" t="s">
        <v>470</v>
      </c>
      <c r="O209" t="s">
        <v>456</v>
      </c>
      <c r="P209" t="s">
        <v>457</v>
      </c>
      <c r="Q209" t="s">
        <v>28</v>
      </c>
      <c r="R209" t="s">
        <v>347</v>
      </c>
      <c r="S209" t="s">
        <v>348</v>
      </c>
      <c r="T209" t="s">
        <v>29</v>
      </c>
      <c r="U209">
        <v>10</v>
      </c>
      <c r="V209" t="s">
        <v>400</v>
      </c>
    </row>
    <row r="210" spans="1:22" ht="14.25" customHeight="1" x14ac:dyDescent="0.35">
      <c r="A210" s="45" t="str">
        <f t="array" ref="A210">EXTRACTEVENT(N210,V210)</f>
        <v>CAMPEONATO BRASILEIRO DE CAR/PST/RF 2024</v>
      </c>
      <c r="B210" s="7" t="str">
        <f t="shared" si="9"/>
        <v>2</v>
      </c>
      <c r="C210" s="7" t="str">
        <f>+VLOOKUP(P210,Maps!$A:$C,2,0)</f>
        <v>CBTE</v>
      </c>
      <c r="D210" s="7" t="str">
        <f t="shared" si="10"/>
        <v>N</v>
      </c>
      <c r="E210" s="10">
        <f t="shared" si="11"/>
        <v>45372</v>
      </c>
      <c r="F210" s="7" t="str">
        <f t="array" ref="F210">+TIPOARMA(H210,I210)</f>
        <v>ACRR</v>
      </c>
      <c r="G210" s="7"/>
      <c r="H210" s="7" t="str">
        <f>+VLOOKUP(Q210,Maps!I:J,2,0)</f>
        <v>Pistola</v>
      </c>
      <c r="I210" s="7" t="str">
        <f>+VLOOKUP(T210,Maps!E:F,2,0)</f>
        <v>.380 ACP</v>
      </c>
      <c r="L210">
        <v>15</v>
      </c>
      <c r="M210" s="46">
        <v>45372</v>
      </c>
      <c r="N210" t="s">
        <v>471</v>
      </c>
      <c r="O210" t="s">
        <v>456</v>
      </c>
      <c r="P210" t="s">
        <v>457</v>
      </c>
      <c r="Q210" t="s">
        <v>28</v>
      </c>
      <c r="R210" t="s">
        <v>358</v>
      </c>
      <c r="S210" t="s">
        <v>348</v>
      </c>
      <c r="T210">
        <v>0.38</v>
      </c>
      <c r="U210">
        <v>10</v>
      </c>
      <c r="V210" t="s">
        <v>400</v>
      </c>
    </row>
    <row r="211" spans="1:22" ht="14.25" customHeight="1" x14ac:dyDescent="0.35">
      <c r="A211" s="45" t="str">
        <f t="array" ref="A211">EXTRACTEVENT(N211,V211)</f>
        <v>CAMPEONATO BRASILEIRO DE CAR/PST/RF 2024</v>
      </c>
      <c r="B211" s="7" t="str">
        <f t="shared" si="9"/>
        <v>2</v>
      </c>
      <c r="C211" s="7" t="str">
        <f>+VLOOKUP(P211,Maps!$A:$C,2,0)</f>
        <v>CBTE</v>
      </c>
      <c r="D211" s="7" t="str">
        <f t="shared" si="10"/>
        <v>N</v>
      </c>
      <c r="E211" s="10">
        <f t="shared" si="11"/>
        <v>45372</v>
      </c>
      <c r="F211" s="7" t="str">
        <f t="array" ref="F211">+TIPOARMA(H211,I211)</f>
        <v>ALLP</v>
      </c>
      <c r="G211" s="7"/>
      <c r="H211" s="7" t="str">
        <f>+VLOOKUP(Q211,Maps!I:J,2,0)</f>
        <v>Revólver</v>
      </c>
      <c r="I211" s="7" t="str">
        <f>+VLOOKUP(T211,Maps!E:F,2,0)</f>
        <v>.357 Mag</v>
      </c>
      <c r="L211">
        <v>16</v>
      </c>
      <c r="M211">
        <v>45372</v>
      </c>
      <c r="N211" t="s">
        <v>472</v>
      </c>
      <c r="O211" t="s">
        <v>456</v>
      </c>
      <c r="P211" t="s">
        <v>457</v>
      </c>
      <c r="Q211" t="s">
        <v>51</v>
      </c>
      <c r="R211" t="s">
        <v>347</v>
      </c>
      <c r="S211" t="s">
        <v>348</v>
      </c>
      <c r="T211" t="s">
        <v>364</v>
      </c>
      <c r="U211">
        <v>10</v>
      </c>
      <c r="V211" t="s">
        <v>400</v>
      </c>
    </row>
    <row r="212" spans="1:22" ht="14.25" customHeight="1" x14ac:dyDescent="0.35">
      <c r="A212" s="45" t="str">
        <f t="array" ref="A212">EXTRACTEVENT(N212,V212)</f>
        <v>CAMPEONATO BRASILEIRO DE CAR/PST/RF 2024</v>
      </c>
      <c r="B212" s="7" t="str">
        <f t="shared" si="9"/>
        <v>2</v>
      </c>
      <c r="C212" s="7" t="str">
        <f>+VLOOKUP(P212,Maps!$A:$C,2,0)</f>
        <v>CBTE</v>
      </c>
      <c r="D212" s="7" t="str">
        <f t="shared" si="10"/>
        <v>N</v>
      </c>
      <c r="E212" s="10">
        <f t="shared" si="11"/>
        <v>45372</v>
      </c>
      <c r="F212" s="7" t="str">
        <f t="array" ref="F212">+TIPOARMA(H212,I212)</f>
        <v>ACRR</v>
      </c>
      <c r="G212" s="7"/>
      <c r="H212" s="7" t="str">
        <f>+VLOOKUP(Q212,Maps!I:J,2,0)</f>
        <v>Revólver</v>
      </c>
      <c r="I212" s="7" t="str">
        <f>+VLOOKUP(T212,Maps!E:F,2,0)</f>
        <v>.38 SPL</v>
      </c>
      <c r="L212">
        <v>17</v>
      </c>
      <c r="M212">
        <v>45372</v>
      </c>
      <c r="N212" t="s">
        <v>473</v>
      </c>
      <c r="O212" t="s">
        <v>456</v>
      </c>
      <c r="P212" t="s">
        <v>457</v>
      </c>
      <c r="Q212" t="s">
        <v>51</v>
      </c>
      <c r="R212" t="s">
        <v>358</v>
      </c>
      <c r="S212" t="s">
        <v>348</v>
      </c>
      <c r="T212" t="s">
        <v>55</v>
      </c>
      <c r="U212">
        <v>10</v>
      </c>
      <c r="V212" t="s">
        <v>400</v>
      </c>
    </row>
    <row r="213" spans="1:22" ht="14.25" customHeight="1" x14ac:dyDescent="0.35">
      <c r="A213" s="45" t="str">
        <f t="array" ref="A213">EXTRACTEVENT(N213,V213)</f>
        <v>CAMPEONATO BRASILEIRO DE CAR/PST/RF 2024</v>
      </c>
      <c r="B213" s="7" t="str">
        <f t="shared" si="9"/>
        <v>2</v>
      </c>
      <c r="C213" s="7" t="str">
        <f>+VLOOKUP(P213,Maps!$A:$C,2,0)</f>
        <v>CBTE</v>
      </c>
      <c r="D213" s="7" t="str">
        <f t="shared" si="10"/>
        <v>N</v>
      </c>
      <c r="E213" s="10">
        <f t="shared" si="11"/>
        <v>45372</v>
      </c>
      <c r="F213" s="7" t="str">
        <f t="array" ref="F213">+TIPOARMA(H213,I213)</f>
        <v>ACRR</v>
      </c>
      <c r="G213" s="7"/>
      <c r="H213" s="7" t="str">
        <f>+VLOOKUP(Q213,Maps!I:J,2,0)</f>
        <v>Pistola</v>
      </c>
      <c r="I213" s="7" t="str">
        <f>+VLOOKUP(T213,Maps!E:F,2,0)</f>
        <v>.45 ACP</v>
      </c>
      <c r="L213">
        <v>18</v>
      </c>
      <c r="M213" s="46">
        <v>45372</v>
      </c>
      <c r="N213" t="s">
        <v>474</v>
      </c>
      <c r="O213" t="s">
        <v>456</v>
      </c>
      <c r="P213" t="s">
        <v>457</v>
      </c>
      <c r="Q213" t="s">
        <v>28</v>
      </c>
      <c r="R213" t="s">
        <v>347</v>
      </c>
      <c r="S213" t="s">
        <v>348</v>
      </c>
      <c r="T213" t="s">
        <v>36</v>
      </c>
      <c r="U213">
        <v>10</v>
      </c>
      <c r="V213" t="s">
        <v>400</v>
      </c>
    </row>
    <row r="214" spans="1:22" ht="14.25" customHeight="1" x14ac:dyDescent="0.35">
      <c r="A214" s="45" t="str">
        <f t="array" ref="A214">EXTRACTEVENT(N214,V214)</f>
        <v>NACIONAL LIGHT</v>
      </c>
      <c r="B214" s="7" t="str">
        <f t="shared" si="9"/>
        <v>3</v>
      </c>
      <c r="C214" s="7" t="str">
        <f>+VLOOKUP(P214,Maps!$A:$C,2,0)</f>
        <v>CBTE</v>
      </c>
      <c r="D214" s="7" t="str">
        <f t="shared" si="10"/>
        <v>N</v>
      </c>
      <c r="E214" s="10">
        <f t="shared" si="11"/>
        <v>45383</v>
      </c>
      <c r="F214" s="7" t="str">
        <f t="array" ref="F214">+TIPOARMA(H214,I214)</f>
        <v>ACRR</v>
      </c>
      <c r="G214" s="7"/>
      <c r="H214" s="7" t="str">
        <f>+VLOOKUP(Q214,Maps!I:J,2,0)</f>
        <v>Revólver</v>
      </c>
      <c r="I214" s="7" t="str">
        <f>+VLOOKUP(T214,Maps!E:F,2,0)</f>
        <v>.38 SPL</v>
      </c>
      <c r="L214">
        <v>19</v>
      </c>
      <c r="M214" s="46">
        <v>45383</v>
      </c>
      <c r="N214" t="s">
        <v>475</v>
      </c>
      <c r="O214" t="s">
        <v>456</v>
      </c>
      <c r="P214" t="s">
        <v>457</v>
      </c>
      <c r="Q214" t="s">
        <v>51</v>
      </c>
      <c r="R214" t="s">
        <v>358</v>
      </c>
      <c r="S214" t="s">
        <v>348</v>
      </c>
      <c r="T214" t="s">
        <v>55</v>
      </c>
      <c r="U214">
        <v>5</v>
      </c>
      <c r="V214" t="s">
        <v>400</v>
      </c>
    </row>
    <row r="215" spans="1:22" ht="14.25" customHeight="1" x14ac:dyDescent="0.35">
      <c r="A215" s="45" t="str">
        <f t="array" ref="A215">EXTRACTEVENT(N215,V215)</f>
        <v>NACIONAL LIGHT</v>
      </c>
      <c r="B215" s="7" t="str">
        <f t="shared" si="9"/>
        <v>3</v>
      </c>
      <c r="C215" s="7" t="str">
        <f>+VLOOKUP(P215,Maps!$A:$C,2,0)</f>
        <v>CBTE</v>
      </c>
      <c r="D215" s="7" t="str">
        <f t="shared" si="10"/>
        <v>N</v>
      </c>
      <c r="E215" s="10">
        <f t="shared" si="11"/>
        <v>45383</v>
      </c>
      <c r="F215" s="7" t="str">
        <f t="array" ref="F215">+TIPOARMA(H215,I215)</f>
        <v>ACRR</v>
      </c>
      <c r="G215" s="7"/>
      <c r="H215" s="7" t="str">
        <f>+VLOOKUP(Q215,Maps!I:J,2,0)</f>
        <v>Pistola</v>
      </c>
      <c r="I215" s="7" t="str">
        <f>+VLOOKUP(T215,Maps!E:F,2,0)</f>
        <v>.380 ACP</v>
      </c>
      <c r="L215">
        <v>20</v>
      </c>
      <c r="M215" s="46">
        <v>45383</v>
      </c>
      <c r="N215" t="s">
        <v>476</v>
      </c>
      <c r="O215" t="s">
        <v>456</v>
      </c>
      <c r="P215" t="s">
        <v>457</v>
      </c>
      <c r="Q215" t="s">
        <v>28</v>
      </c>
      <c r="R215" t="s">
        <v>358</v>
      </c>
      <c r="S215" t="s">
        <v>348</v>
      </c>
      <c r="T215">
        <v>0.38</v>
      </c>
      <c r="U215">
        <v>5</v>
      </c>
      <c r="V215" t="s">
        <v>400</v>
      </c>
    </row>
    <row r="216" spans="1:22" ht="14.25" customHeight="1" x14ac:dyDescent="0.35">
      <c r="A216" s="45" t="str">
        <f t="array" ref="A216">EXTRACTEVENT(N216,V216)</f>
        <v>NACIONAL LIGHT</v>
      </c>
      <c r="B216" s="7" t="str">
        <f t="shared" si="9"/>
        <v>3</v>
      </c>
      <c r="C216" s="7" t="str">
        <f>+VLOOKUP(P216,Maps!$A:$C,2,0)</f>
        <v>CBTE</v>
      </c>
      <c r="D216" s="7" t="str">
        <f t="shared" si="10"/>
        <v>N</v>
      </c>
      <c r="E216" s="10">
        <f t="shared" si="11"/>
        <v>45383</v>
      </c>
      <c r="F216" s="7" t="str">
        <f t="array" ref="F216">+TIPOARMA(H216,I216)</f>
        <v>ACRP</v>
      </c>
      <c r="G216" s="7"/>
      <c r="H216" s="7" t="str">
        <f>+VLOOKUP(Q216,Maps!I:J,2,0)</f>
        <v>Pistola</v>
      </c>
      <c r="I216" s="7" t="str">
        <f>+VLOOKUP(T216,Maps!E:F,2,0)</f>
        <v>.38 Super</v>
      </c>
      <c r="L216">
        <v>21</v>
      </c>
      <c r="M216" s="46">
        <v>45383</v>
      </c>
      <c r="N216" t="s">
        <v>477</v>
      </c>
      <c r="O216" t="s">
        <v>456</v>
      </c>
      <c r="P216" t="s">
        <v>457</v>
      </c>
      <c r="Q216" t="s">
        <v>28</v>
      </c>
      <c r="R216" t="s">
        <v>347</v>
      </c>
      <c r="S216" t="s">
        <v>348</v>
      </c>
      <c r="T216" t="s">
        <v>399</v>
      </c>
      <c r="U216">
        <v>5</v>
      </c>
      <c r="V216" t="s">
        <v>400</v>
      </c>
    </row>
    <row r="217" spans="1:22" ht="14.25" customHeight="1" x14ac:dyDescent="0.35">
      <c r="A217" s="45" t="str">
        <f t="array" ref="A217">EXTRACTEVENT(N217,V217)</f>
        <v>NACIONAL LIGHT</v>
      </c>
      <c r="B217" s="7" t="str">
        <f t="shared" si="9"/>
        <v>3</v>
      </c>
      <c r="C217" s="7" t="str">
        <f>+VLOOKUP(P217,Maps!$A:$C,2,0)</f>
        <v>CBTE</v>
      </c>
      <c r="D217" s="7" t="str">
        <f t="shared" si="10"/>
        <v>N</v>
      </c>
      <c r="E217" s="10">
        <f t="shared" si="11"/>
        <v>45383</v>
      </c>
      <c r="F217" s="7" t="str">
        <f t="array" ref="F217">+TIPOARMA(H217,I217)</f>
        <v>ACRR</v>
      </c>
      <c r="G217" s="7"/>
      <c r="H217" s="7" t="str">
        <f>+VLOOKUP(Q217,Maps!I:J,2,0)</f>
        <v>Pistola</v>
      </c>
      <c r="I217" s="7" t="str">
        <f>+VLOOKUP(T217,Maps!E:F,2,0)</f>
        <v>.45 ACP</v>
      </c>
      <c r="L217">
        <v>22</v>
      </c>
      <c r="M217" s="46">
        <v>45383</v>
      </c>
      <c r="N217" t="s">
        <v>478</v>
      </c>
      <c r="O217" t="s">
        <v>456</v>
      </c>
      <c r="P217" t="s">
        <v>457</v>
      </c>
      <c r="Q217" t="s">
        <v>28</v>
      </c>
      <c r="R217" t="s">
        <v>347</v>
      </c>
      <c r="S217" t="s">
        <v>348</v>
      </c>
      <c r="T217" t="s">
        <v>36</v>
      </c>
      <c r="U217">
        <v>5</v>
      </c>
      <c r="V217" t="s">
        <v>400</v>
      </c>
    </row>
    <row r="218" spans="1:22" ht="14.25" customHeight="1" x14ac:dyDescent="0.35">
      <c r="A218" s="45" t="str">
        <f t="array" ref="A218">EXTRACTEVENT(N218,V218)</f>
        <v>NACIONAL LIGHT</v>
      </c>
      <c r="B218" s="7" t="str">
        <f t="shared" si="9"/>
        <v>3</v>
      </c>
      <c r="C218" s="7" t="str">
        <f>+VLOOKUP(P218,Maps!$A:$C,2,0)</f>
        <v>CBTE</v>
      </c>
      <c r="D218" s="7" t="str">
        <f t="shared" si="10"/>
        <v>N</v>
      </c>
      <c r="E218" s="10">
        <f t="shared" si="11"/>
        <v>45383</v>
      </c>
      <c r="F218" s="7" t="str">
        <f t="array" ref="F218">+TIPOARMA(H218,I218)</f>
        <v>ACRP</v>
      </c>
      <c r="G218" s="7"/>
      <c r="H218" s="7" t="str">
        <f>+VLOOKUP(Q218,Maps!I:J,2,0)</f>
        <v>Pistola</v>
      </c>
      <c r="I218" s="7" t="str">
        <f>+VLOOKUP(T218,Maps!E:F,2,0)</f>
        <v>9mm</v>
      </c>
      <c r="L218">
        <v>23</v>
      </c>
      <c r="M218" s="46">
        <v>45383</v>
      </c>
      <c r="N218" t="s">
        <v>479</v>
      </c>
      <c r="O218" t="s">
        <v>456</v>
      </c>
      <c r="P218" t="s">
        <v>457</v>
      </c>
      <c r="Q218" t="s">
        <v>28</v>
      </c>
      <c r="R218" t="s">
        <v>347</v>
      </c>
      <c r="S218" t="s">
        <v>348</v>
      </c>
      <c r="T218" t="s">
        <v>29</v>
      </c>
      <c r="U218">
        <v>5</v>
      </c>
      <c r="V218" t="s">
        <v>400</v>
      </c>
    </row>
    <row r="219" spans="1:22" ht="14.25" customHeight="1" x14ac:dyDescent="0.35">
      <c r="A219" s="45" t="str">
        <f t="array" ref="A219">EXTRACTEVENT(N219,V219)</f>
        <v>NACIONAL LIGHT</v>
      </c>
      <c r="B219" s="7" t="str">
        <f t="shared" si="9"/>
        <v>4</v>
      </c>
      <c r="C219" s="7" t="str">
        <f>+VLOOKUP(P219,Maps!$A:$C,2,0)</f>
        <v>CBTE</v>
      </c>
      <c r="D219" s="7" t="str">
        <f t="shared" si="10"/>
        <v>N</v>
      </c>
      <c r="E219" s="10">
        <f t="shared" si="11"/>
        <v>45413</v>
      </c>
      <c r="F219" s="7" t="str">
        <f t="array" ref="F219">+TIPOARMA(H219,I219)</f>
        <v>ACRR</v>
      </c>
      <c r="G219" s="7"/>
      <c r="H219" s="7" t="str">
        <f>+VLOOKUP(Q219,Maps!I:J,2,0)</f>
        <v>Pistola</v>
      </c>
      <c r="I219" s="7" t="str">
        <f>+VLOOKUP(T219,Maps!E:F,2,0)</f>
        <v>.380 ACP</v>
      </c>
      <c r="L219">
        <v>24</v>
      </c>
      <c r="M219" s="46">
        <v>45413</v>
      </c>
      <c r="N219" t="s">
        <v>480</v>
      </c>
      <c r="O219" t="s">
        <v>456</v>
      </c>
      <c r="P219" t="s">
        <v>457</v>
      </c>
      <c r="Q219" t="s">
        <v>28</v>
      </c>
      <c r="R219" t="s">
        <v>358</v>
      </c>
      <c r="S219" t="s">
        <v>348</v>
      </c>
      <c r="T219">
        <v>0.38</v>
      </c>
      <c r="U219">
        <v>5</v>
      </c>
      <c r="V219" t="s">
        <v>400</v>
      </c>
    </row>
    <row r="220" spans="1:22" ht="14.25" customHeight="1" x14ac:dyDescent="0.35">
      <c r="A220" s="45" t="str">
        <f t="array" ref="A220">EXTRACTEVENT(N220,V220)</f>
        <v>NACIONAL LIGHT</v>
      </c>
      <c r="B220" s="7" t="str">
        <f t="shared" si="9"/>
        <v>4</v>
      </c>
      <c r="C220" s="7" t="str">
        <f>+VLOOKUP(P220,Maps!$A:$C,2,0)</f>
        <v>CBTE</v>
      </c>
      <c r="D220" s="7" t="str">
        <f t="shared" si="10"/>
        <v>N</v>
      </c>
      <c r="E220" s="10">
        <f t="shared" si="11"/>
        <v>45413</v>
      </c>
      <c r="F220" s="7" t="str">
        <f t="array" ref="F220">+TIPOARMA(H220,I220)</f>
        <v>ACRP</v>
      </c>
      <c r="G220" s="7"/>
      <c r="H220" s="7" t="str">
        <f>+VLOOKUP(Q220,Maps!I:J,2,0)</f>
        <v>Pistola</v>
      </c>
      <c r="I220" s="7" t="str">
        <f>+VLOOKUP(T220,Maps!E:F,2,0)</f>
        <v>9mm</v>
      </c>
      <c r="L220">
        <v>25</v>
      </c>
      <c r="M220" s="46">
        <v>45413</v>
      </c>
      <c r="N220" t="s">
        <v>481</v>
      </c>
      <c r="O220" t="s">
        <v>456</v>
      </c>
      <c r="P220" t="s">
        <v>457</v>
      </c>
      <c r="Q220" t="s">
        <v>28</v>
      </c>
      <c r="R220" t="s">
        <v>347</v>
      </c>
      <c r="S220" t="s">
        <v>348</v>
      </c>
      <c r="T220" t="s">
        <v>29</v>
      </c>
      <c r="U220">
        <v>5</v>
      </c>
      <c r="V220" t="s">
        <v>400</v>
      </c>
    </row>
    <row r="221" spans="1:22" ht="14.25" customHeight="1" x14ac:dyDescent="0.35">
      <c r="A221" s="45" t="str">
        <f t="array" ref="A221">EXTRACTEVENT(N221,V221)</f>
        <v>NACIONAL LIGHT</v>
      </c>
      <c r="B221" s="7" t="str">
        <f t="shared" si="9"/>
        <v>4</v>
      </c>
      <c r="C221" s="7" t="str">
        <f>+VLOOKUP(P221,Maps!$A:$C,2,0)</f>
        <v>CBTE</v>
      </c>
      <c r="D221" s="7" t="str">
        <f t="shared" si="10"/>
        <v>N</v>
      </c>
      <c r="E221" s="10">
        <f t="shared" si="11"/>
        <v>45413</v>
      </c>
      <c r="F221" s="7" t="str">
        <f t="array" ref="F221">+TIPOARMA(H221,I221)</f>
        <v>ACRR</v>
      </c>
      <c r="G221" s="7"/>
      <c r="H221" s="7" t="str">
        <f>+VLOOKUP(Q221,Maps!I:J,2,0)</f>
        <v>Pistola</v>
      </c>
      <c r="I221" s="7" t="str">
        <f>+VLOOKUP(T221,Maps!E:F,2,0)</f>
        <v>.45 ACP</v>
      </c>
      <c r="L221">
        <v>26</v>
      </c>
      <c r="M221" s="46">
        <v>45413</v>
      </c>
      <c r="N221" t="s">
        <v>482</v>
      </c>
      <c r="O221" t="s">
        <v>456</v>
      </c>
      <c r="P221" t="s">
        <v>457</v>
      </c>
      <c r="Q221" t="s">
        <v>28</v>
      </c>
      <c r="R221" t="s">
        <v>347</v>
      </c>
      <c r="S221" t="s">
        <v>348</v>
      </c>
      <c r="T221" t="s">
        <v>36</v>
      </c>
      <c r="U221">
        <v>5</v>
      </c>
      <c r="V221" t="s">
        <v>400</v>
      </c>
    </row>
    <row r="222" spans="1:22" ht="14.25" customHeight="1" x14ac:dyDescent="0.35">
      <c r="A222" s="45" t="str">
        <f t="array" ref="A222">EXTRACTEVENT(N222,V222)</f>
        <v>NACIONAL LIGHT</v>
      </c>
      <c r="B222" s="7" t="str">
        <f t="shared" si="9"/>
        <v>4</v>
      </c>
      <c r="C222" s="7" t="str">
        <f>+VLOOKUP(P222,Maps!$A:$C,2,0)</f>
        <v>CBTE</v>
      </c>
      <c r="D222" s="7" t="str">
        <f t="shared" si="10"/>
        <v>N</v>
      </c>
      <c r="E222" s="10">
        <f t="shared" si="11"/>
        <v>45413</v>
      </c>
      <c r="F222" s="7" t="str">
        <f t="array" ref="F222">+TIPOARMA(H222,I222)</f>
        <v>ACRP</v>
      </c>
      <c r="G222" s="7"/>
      <c r="H222" s="7" t="str">
        <f>+VLOOKUP(Q222,Maps!I:J,2,0)</f>
        <v>Pistola</v>
      </c>
      <c r="I222" s="7" t="str">
        <f>+VLOOKUP(T222,Maps!E:F,2,0)</f>
        <v>.38 Super</v>
      </c>
      <c r="L222">
        <v>27</v>
      </c>
      <c r="M222" s="46">
        <v>45413</v>
      </c>
      <c r="N222" t="s">
        <v>483</v>
      </c>
      <c r="O222" t="s">
        <v>456</v>
      </c>
      <c r="P222" t="s">
        <v>457</v>
      </c>
      <c r="Q222" t="s">
        <v>28</v>
      </c>
      <c r="R222" t="s">
        <v>347</v>
      </c>
      <c r="S222" t="s">
        <v>348</v>
      </c>
      <c r="T222" t="s">
        <v>399</v>
      </c>
      <c r="U222">
        <v>5</v>
      </c>
      <c r="V222" t="s">
        <v>400</v>
      </c>
    </row>
    <row r="223" spans="1:22" ht="14.25" customHeight="1" x14ac:dyDescent="0.35">
      <c r="A223" s="45" t="str">
        <f t="array" ref="A223">EXTRACTEVENT(N223,V223)</f>
        <v>NACIONAL LIGHT</v>
      </c>
      <c r="B223" s="7" t="str">
        <f t="shared" si="9"/>
        <v>4</v>
      </c>
      <c r="C223" s="7" t="str">
        <f>+VLOOKUP(P223,Maps!$A:$C,2,0)</f>
        <v>CBTE</v>
      </c>
      <c r="D223" s="7" t="str">
        <f t="shared" si="10"/>
        <v>N</v>
      </c>
      <c r="E223" s="10">
        <f t="shared" si="11"/>
        <v>45413</v>
      </c>
      <c r="F223" s="7" t="str">
        <f t="array" ref="F223">+TIPOARMA(H223,I223)</f>
        <v>ALLP</v>
      </c>
      <c r="G223" s="7"/>
      <c r="H223" s="7" t="str">
        <f>+VLOOKUP(Q223,Maps!I:J,2,0)</f>
        <v>Revólver</v>
      </c>
      <c r="I223" s="7" t="str">
        <f>+VLOOKUP(T223,Maps!E:F,2,0)</f>
        <v>.357 Mag</v>
      </c>
      <c r="L223">
        <v>28</v>
      </c>
      <c r="M223" s="46">
        <v>45413</v>
      </c>
      <c r="N223" t="s">
        <v>484</v>
      </c>
      <c r="O223" t="s">
        <v>456</v>
      </c>
      <c r="P223" t="s">
        <v>457</v>
      </c>
      <c r="Q223" t="s">
        <v>51</v>
      </c>
      <c r="R223" t="s">
        <v>347</v>
      </c>
      <c r="S223" t="s">
        <v>348</v>
      </c>
      <c r="T223" t="s">
        <v>364</v>
      </c>
      <c r="U223">
        <v>5</v>
      </c>
      <c r="V223" t="s">
        <v>400</v>
      </c>
    </row>
    <row r="224" spans="1:22" ht="14.25" customHeight="1" x14ac:dyDescent="0.35">
      <c r="A224" s="45" t="str">
        <f t="array" ref="A224">EXTRACTEVENT(N224,V224)</f>
        <v>NACIONAL LIGHT</v>
      </c>
      <c r="B224" s="7" t="str">
        <f t="shared" si="9"/>
        <v>4</v>
      </c>
      <c r="C224" s="7" t="str">
        <f>+VLOOKUP(P224,Maps!$A:$C,2,0)</f>
        <v>CBTE</v>
      </c>
      <c r="D224" s="7" t="str">
        <f t="shared" si="10"/>
        <v>N</v>
      </c>
      <c r="E224" s="10">
        <f t="shared" si="11"/>
        <v>45413</v>
      </c>
      <c r="F224" s="7" t="str">
        <f t="array" ref="F224">+TIPOARMA(H224,I224)</f>
        <v>ACRR</v>
      </c>
      <c r="G224" s="7"/>
      <c r="H224" s="7" t="str">
        <f>+VLOOKUP(Q224,Maps!I:J,2,0)</f>
        <v>Revólver</v>
      </c>
      <c r="I224" s="7" t="str">
        <f>+VLOOKUP(T224,Maps!E:F,2,0)</f>
        <v>.38 SPL</v>
      </c>
      <c r="L224">
        <v>29</v>
      </c>
      <c r="M224" s="46">
        <v>45413</v>
      </c>
      <c r="N224" t="s">
        <v>485</v>
      </c>
      <c r="O224" t="s">
        <v>456</v>
      </c>
      <c r="P224" t="s">
        <v>457</v>
      </c>
      <c r="Q224" t="s">
        <v>51</v>
      </c>
      <c r="R224" t="s">
        <v>358</v>
      </c>
      <c r="S224" t="s">
        <v>348</v>
      </c>
      <c r="T224" t="s">
        <v>55</v>
      </c>
      <c r="U224">
        <v>5</v>
      </c>
      <c r="V224" t="s">
        <v>400</v>
      </c>
    </row>
    <row r="225" spans="1:22" ht="14.25" customHeight="1" x14ac:dyDescent="0.35">
      <c r="A225" s="45" t="str">
        <f t="array" ref="A225">EXTRACTEVENT(N225,V225)</f>
        <v>CAMPEONATO BRASILEIRO DE CAR/PST/RF 2024</v>
      </c>
      <c r="B225" s="7" t="str">
        <f t="shared" si="9"/>
        <v>4</v>
      </c>
      <c r="C225" s="7" t="str">
        <f>+VLOOKUP(P225,Maps!$A:$C,2,0)</f>
        <v>CBTE</v>
      </c>
      <c r="D225" s="7" t="str">
        <f t="shared" si="10"/>
        <v>N</v>
      </c>
      <c r="E225" s="10">
        <f t="shared" si="11"/>
        <v>45414</v>
      </c>
      <c r="F225" s="7" t="str">
        <f t="array" ref="F225">+TIPOARMA(H225,I225)</f>
        <v>ACRR</v>
      </c>
      <c r="G225" s="7"/>
      <c r="H225" s="7" t="str">
        <f>+VLOOKUP(Q225,Maps!I:J,2,0)</f>
        <v>Revólver</v>
      </c>
      <c r="I225" s="7" t="str">
        <f>+VLOOKUP(T225,Maps!E:F,2,0)</f>
        <v>.38 SPL</v>
      </c>
      <c r="L225">
        <v>30</v>
      </c>
      <c r="M225" s="46">
        <v>45414</v>
      </c>
      <c r="N225" t="s">
        <v>486</v>
      </c>
      <c r="O225" t="s">
        <v>456</v>
      </c>
      <c r="P225" t="s">
        <v>457</v>
      </c>
      <c r="Q225" t="s">
        <v>51</v>
      </c>
      <c r="R225" t="s">
        <v>358</v>
      </c>
      <c r="S225" t="s">
        <v>348</v>
      </c>
      <c r="T225" t="s">
        <v>55</v>
      </c>
      <c r="U225">
        <v>10</v>
      </c>
      <c r="V225" t="s">
        <v>400</v>
      </c>
    </row>
    <row r="226" spans="1:22" ht="14.25" customHeight="1" x14ac:dyDescent="0.35">
      <c r="A226" s="45" t="str">
        <f t="array" ref="A226">EXTRACTEVENT(N226,V226)</f>
        <v>CAMPEONATO BRASILEIRO DE CAR/PST/RF 2024</v>
      </c>
      <c r="B226" s="7" t="str">
        <f t="shared" si="9"/>
        <v>4</v>
      </c>
      <c r="C226" s="7" t="str">
        <f>+VLOOKUP(P226,Maps!$A:$C,2,0)</f>
        <v>CBTE</v>
      </c>
      <c r="D226" s="7" t="str">
        <f t="shared" si="10"/>
        <v>N</v>
      </c>
      <c r="E226" s="10">
        <f t="shared" si="11"/>
        <v>45414</v>
      </c>
      <c r="F226" s="7" t="str">
        <f t="array" ref="F226">+TIPOARMA(H226,I226)</f>
        <v>ALLP</v>
      </c>
      <c r="G226" s="7"/>
      <c r="H226" s="7" t="str">
        <f>+VLOOKUP(Q226,Maps!I:J,2,0)</f>
        <v>Revólver</v>
      </c>
      <c r="I226" s="7" t="str">
        <f>+VLOOKUP(T226,Maps!E:F,2,0)</f>
        <v>.357 Mag</v>
      </c>
      <c r="L226">
        <v>31</v>
      </c>
      <c r="M226" s="46">
        <v>45414</v>
      </c>
      <c r="N226" t="s">
        <v>487</v>
      </c>
      <c r="O226" t="s">
        <v>456</v>
      </c>
      <c r="P226" t="s">
        <v>457</v>
      </c>
      <c r="Q226" t="s">
        <v>51</v>
      </c>
      <c r="R226" t="s">
        <v>347</v>
      </c>
      <c r="S226" t="s">
        <v>348</v>
      </c>
      <c r="T226" t="s">
        <v>364</v>
      </c>
      <c r="U226">
        <v>10</v>
      </c>
      <c r="V226" t="s">
        <v>400</v>
      </c>
    </row>
    <row r="227" spans="1:22" ht="14.25" customHeight="1" x14ac:dyDescent="0.35">
      <c r="A227" s="45" t="str">
        <f t="array" ref="A227">EXTRACTEVENT(N227,V227)</f>
        <v>CAMPEONATO BRASILEIRO DE CAR/PST/RF 2024</v>
      </c>
      <c r="B227" s="7" t="str">
        <f t="shared" si="9"/>
        <v>4</v>
      </c>
      <c r="C227" s="7" t="str">
        <f>+VLOOKUP(P227,Maps!$A:$C,2,0)</f>
        <v>CBTE</v>
      </c>
      <c r="D227" s="7" t="str">
        <f t="shared" si="10"/>
        <v>N</v>
      </c>
      <c r="E227" s="10">
        <f t="shared" si="11"/>
        <v>45414</v>
      </c>
      <c r="F227" s="7" t="str">
        <f t="array" ref="F227">+TIPOARMA(H227,I227)</f>
        <v>ACRP</v>
      </c>
      <c r="G227" s="7"/>
      <c r="H227" s="7" t="str">
        <f>+VLOOKUP(Q227,Maps!I:J,2,0)</f>
        <v>Pistola</v>
      </c>
      <c r="I227" s="7" t="str">
        <f>+VLOOKUP(T227,Maps!E:F,2,0)</f>
        <v>9mm</v>
      </c>
      <c r="L227">
        <v>32</v>
      </c>
      <c r="M227" s="46">
        <v>45414</v>
      </c>
      <c r="N227" t="s">
        <v>488</v>
      </c>
      <c r="O227" t="s">
        <v>456</v>
      </c>
      <c r="P227" t="s">
        <v>457</v>
      </c>
      <c r="Q227" t="s">
        <v>28</v>
      </c>
      <c r="R227" t="s">
        <v>347</v>
      </c>
      <c r="S227" t="s">
        <v>348</v>
      </c>
      <c r="T227" t="s">
        <v>29</v>
      </c>
      <c r="U227">
        <v>10</v>
      </c>
      <c r="V227" t="s">
        <v>400</v>
      </c>
    </row>
    <row r="228" spans="1:22" ht="14.25" customHeight="1" x14ac:dyDescent="0.35">
      <c r="A228" s="45" t="str">
        <f t="array" ref="A228">EXTRACTEVENT(N228,V228)</f>
        <v>CAMPEONATO BRASILEIRO DE CAR/PST/RF 2024</v>
      </c>
      <c r="B228" s="7" t="str">
        <f t="shared" si="9"/>
        <v>4</v>
      </c>
      <c r="C228" s="7" t="str">
        <f>+VLOOKUP(P228,Maps!$A:$C,2,0)</f>
        <v>CBTE</v>
      </c>
      <c r="D228" s="7" t="str">
        <f t="shared" si="10"/>
        <v>N</v>
      </c>
      <c r="E228" s="10">
        <f t="shared" si="11"/>
        <v>45414</v>
      </c>
      <c r="F228" s="7" t="str">
        <f t="array" ref="F228">+TIPOARMA(H228,I228)</f>
        <v>ACRR</v>
      </c>
      <c r="G228" s="7"/>
      <c r="H228" s="7" t="str">
        <f>+VLOOKUP(Q228,Maps!I:J,2,0)</f>
        <v>Pistola</v>
      </c>
      <c r="I228" s="7" t="str">
        <f>+VLOOKUP(T228,Maps!E:F,2,0)</f>
        <v>.380 ACP</v>
      </c>
      <c r="L228">
        <v>33</v>
      </c>
      <c r="M228" s="46">
        <v>45414</v>
      </c>
      <c r="N228" t="s">
        <v>489</v>
      </c>
      <c r="O228" t="s">
        <v>456</v>
      </c>
      <c r="P228" t="s">
        <v>457</v>
      </c>
      <c r="Q228" t="s">
        <v>28</v>
      </c>
      <c r="R228" t="s">
        <v>358</v>
      </c>
      <c r="S228" t="s">
        <v>348</v>
      </c>
      <c r="T228">
        <v>0.38</v>
      </c>
      <c r="U228">
        <v>10</v>
      </c>
      <c r="V228" t="s">
        <v>400</v>
      </c>
    </row>
    <row r="229" spans="1:22" ht="14.25" customHeight="1" x14ac:dyDescent="0.35">
      <c r="A229" s="45" t="str">
        <f t="array" ref="A229">EXTRACTEVENT(N229,V229)</f>
        <v>CAMPEONATO BRASILEIRO DE CAR/PST/RF 2024</v>
      </c>
      <c r="B229" s="7" t="str">
        <f t="shared" si="9"/>
        <v>4</v>
      </c>
      <c r="C229" s="7" t="str">
        <f>+VLOOKUP(P229,Maps!$A:$C,2,0)</f>
        <v>CBTE</v>
      </c>
      <c r="D229" s="7" t="str">
        <f t="shared" si="10"/>
        <v>N</v>
      </c>
      <c r="E229" s="10">
        <f t="shared" si="11"/>
        <v>45414</v>
      </c>
      <c r="F229" s="7" t="str">
        <f t="array" ref="F229">+TIPOARMA(H229,I229)</f>
        <v>ACRR</v>
      </c>
      <c r="G229" s="7"/>
      <c r="H229" s="7" t="str">
        <f>+VLOOKUP(Q229,Maps!I:J,2,0)</f>
        <v>Pistola</v>
      </c>
      <c r="I229" s="7" t="str">
        <f>+VLOOKUP(T229,Maps!E:F,2,0)</f>
        <v>.45 ACP</v>
      </c>
      <c r="L229">
        <v>34</v>
      </c>
      <c r="M229" s="46">
        <v>45414</v>
      </c>
      <c r="N229" t="s">
        <v>490</v>
      </c>
      <c r="O229" t="s">
        <v>456</v>
      </c>
      <c r="P229" t="s">
        <v>457</v>
      </c>
      <c r="Q229" t="s">
        <v>28</v>
      </c>
      <c r="R229" t="s">
        <v>347</v>
      </c>
      <c r="S229" t="s">
        <v>348</v>
      </c>
      <c r="T229" t="s">
        <v>36</v>
      </c>
      <c r="U229">
        <v>10</v>
      </c>
      <c r="V229" t="s">
        <v>400</v>
      </c>
    </row>
    <row r="230" spans="1:22" ht="14.25" customHeight="1" x14ac:dyDescent="0.35">
      <c r="A230" s="45" t="str">
        <f t="array" ref="A230">EXTRACTEVENT(N230,V230)</f>
        <v>NACIONAL LIGHT</v>
      </c>
      <c r="B230" s="7" t="str">
        <f t="shared" si="9"/>
        <v>8</v>
      </c>
      <c r="C230" s="7" t="str">
        <f>+VLOOKUP(P230,Maps!$A:$C,2,0)</f>
        <v>CBTE</v>
      </c>
      <c r="D230" s="7" t="str">
        <f t="shared" si="10"/>
        <v>N</v>
      </c>
      <c r="E230" s="10">
        <f t="shared" si="11"/>
        <v>45546</v>
      </c>
      <c r="F230" s="7" t="str">
        <f t="array" ref="F230">+TIPOARMA(H230,I230)</f>
        <v>ACRR</v>
      </c>
      <c r="G230" s="7"/>
      <c r="H230" s="7" t="str">
        <f>+VLOOKUP(Q230,Maps!I:J,2,0)</f>
        <v>Pistola</v>
      </c>
      <c r="I230" s="7" t="str">
        <f>+VLOOKUP(T230,Maps!E:F,2,0)</f>
        <v>.380 ACP</v>
      </c>
      <c r="L230">
        <v>35</v>
      </c>
      <c r="M230" s="46">
        <v>45546</v>
      </c>
      <c r="N230" t="s">
        <v>491</v>
      </c>
      <c r="O230" t="s">
        <v>456</v>
      </c>
      <c r="P230" t="s">
        <v>457</v>
      </c>
      <c r="Q230" t="s">
        <v>28</v>
      </c>
      <c r="R230" t="s">
        <v>358</v>
      </c>
      <c r="S230" t="s">
        <v>348</v>
      </c>
      <c r="T230">
        <v>0.38</v>
      </c>
      <c r="U230">
        <v>5</v>
      </c>
      <c r="V230" t="s">
        <v>400</v>
      </c>
    </row>
    <row r="231" spans="1:22" ht="14.25" customHeight="1" x14ac:dyDescent="0.35">
      <c r="A231" s="45" t="str">
        <f t="array" ref="A231">EXTRACTEVENT(N231,V231)</f>
        <v>NACIONAL LIGHT</v>
      </c>
      <c r="B231" s="7" t="str">
        <f t="shared" si="9"/>
        <v>8</v>
      </c>
      <c r="C231" s="7" t="str">
        <f>+VLOOKUP(P231,Maps!$A:$C,2,0)</f>
        <v>CBTE</v>
      </c>
      <c r="D231" s="7" t="str">
        <f t="shared" si="10"/>
        <v>N</v>
      </c>
      <c r="E231" s="10">
        <f t="shared" si="11"/>
        <v>45546</v>
      </c>
      <c r="F231" s="7" t="str">
        <f t="array" ref="F231">+TIPOARMA(H231,I231)</f>
        <v>ACRP</v>
      </c>
      <c r="G231" s="7"/>
      <c r="H231" s="7" t="str">
        <f>+VLOOKUP(Q231,Maps!I:J,2,0)</f>
        <v>Pistola</v>
      </c>
      <c r="I231" s="7" t="str">
        <f>+VLOOKUP(T231,Maps!E:F,2,0)</f>
        <v>9mm</v>
      </c>
      <c r="L231">
        <v>36</v>
      </c>
      <c r="M231" s="46">
        <v>45546</v>
      </c>
      <c r="N231" t="s">
        <v>492</v>
      </c>
      <c r="O231" t="s">
        <v>456</v>
      </c>
      <c r="P231" t="s">
        <v>457</v>
      </c>
      <c r="Q231" t="s">
        <v>28</v>
      </c>
      <c r="R231" t="s">
        <v>347</v>
      </c>
      <c r="S231" t="s">
        <v>348</v>
      </c>
      <c r="T231" t="s">
        <v>29</v>
      </c>
      <c r="U231">
        <v>5</v>
      </c>
      <c r="V231" t="s">
        <v>400</v>
      </c>
    </row>
    <row r="232" spans="1:22" ht="14.25" customHeight="1" x14ac:dyDescent="0.35">
      <c r="A232" s="45" t="str">
        <f t="array" ref="A232">EXTRACTEVENT(N232,V232)</f>
        <v>NACIONAL LIGHT</v>
      </c>
      <c r="B232" s="7" t="str">
        <f t="shared" si="9"/>
        <v>8</v>
      </c>
      <c r="C232" s="7" t="str">
        <f>+VLOOKUP(P232,Maps!$A:$C,2,0)</f>
        <v>CBTE</v>
      </c>
      <c r="D232" s="7" t="str">
        <f t="shared" si="10"/>
        <v>N</v>
      </c>
      <c r="E232" s="10">
        <f t="shared" si="11"/>
        <v>45546</v>
      </c>
      <c r="F232" s="7" t="str">
        <f t="array" ref="F232">+TIPOARMA(H232,I232)</f>
        <v>ACRR</v>
      </c>
      <c r="G232" s="7"/>
      <c r="H232" s="7" t="str">
        <f>+VLOOKUP(Q232,Maps!I:J,2,0)</f>
        <v>Pistola</v>
      </c>
      <c r="I232" s="7" t="str">
        <f>+VLOOKUP(T232,Maps!E:F,2,0)</f>
        <v>.45 ACP</v>
      </c>
      <c r="L232">
        <v>37</v>
      </c>
      <c r="M232" s="46">
        <v>45546</v>
      </c>
      <c r="N232" t="s">
        <v>493</v>
      </c>
      <c r="O232" t="s">
        <v>456</v>
      </c>
      <c r="P232" t="s">
        <v>457</v>
      </c>
      <c r="Q232" t="s">
        <v>28</v>
      </c>
      <c r="R232" t="s">
        <v>347</v>
      </c>
      <c r="S232" t="s">
        <v>348</v>
      </c>
      <c r="T232" t="s">
        <v>36</v>
      </c>
      <c r="U232">
        <v>5</v>
      </c>
      <c r="V232" t="s">
        <v>400</v>
      </c>
    </row>
    <row r="233" spans="1:22" ht="14.25" customHeight="1" x14ac:dyDescent="0.35">
      <c r="A233" s="45" t="str">
        <f t="array" ref="A233">EXTRACTEVENT(N233,V233)</f>
        <v>NACIONAL LIGHT</v>
      </c>
      <c r="B233" s="7" t="str">
        <f t="shared" si="9"/>
        <v>8</v>
      </c>
      <c r="C233" s="7" t="str">
        <f>+VLOOKUP(P233,Maps!$A:$C,2,0)</f>
        <v>CBTE</v>
      </c>
      <c r="D233" s="7" t="str">
        <f t="shared" si="10"/>
        <v>N</v>
      </c>
      <c r="E233" s="10">
        <f t="shared" si="11"/>
        <v>45546</v>
      </c>
      <c r="F233" s="7" t="str">
        <f t="array" ref="F233">+TIPOARMA(H233,I233)</f>
        <v>ACRP</v>
      </c>
      <c r="G233" s="7"/>
      <c r="H233" s="7" t="str">
        <f>+VLOOKUP(Q233,Maps!I:J,2,0)</f>
        <v>Pistola</v>
      </c>
      <c r="I233" s="7" t="str">
        <f>+VLOOKUP(T233,Maps!E:F,2,0)</f>
        <v>.38 Super</v>
      </c>
      <c r="L233">
        <v>38</v>
      </c>
      <c r="M233">
        <v>45546</v>
      </c>
      <c r="N233" t="s">
        <v>494</v>
      </c>
      <c r="O233" t="s">
        <v>456</v>
      </c>
      <c r="P233" t="s">
        <v>457</v>
      </c>
      <c r="Q233" t="s">
        <v>28</v>
      </c>
      <c r="R233" t="s">
        <v>347</v>
      </c>
      <c r="S233" t="s">
        <v>348</v>
      </c>
      <c r="T233" t="s">
        <v>399</v>
      </c>
      <c r="U233">
        <v>5</v>
      </c>
      <c r="V233" t="s">
        <v>400</v>
      </c>
    </row>
    <row r="234" spans="1:22" ht="14.25" customHeight="1" x14ac:dyDescent="0.35">
      <c r="A234" s="45" t="str">
        <f t="array" ref="A234">EXTRACTEVENT(N234,V234)</f>
        <v>NACIONAL LIGHT</v>
      </c>
      <c r="B234" s="7" t="str">
        <f t="shared" si="9"/>
        <v>8</v>
      </c>
      <c r="C234" s="7" t="str">
        <f>+VLOOKUP(P234,Maps!$A:$C,2,0)</f>
        <v>CBTE</v>
      </c>
      <c r="D234" s="7" t="str">
        <f t="shared" si="10"/>
        <v>N</v>
      </c>
      <c r="E234" s="10">
        <f t="shared" si="11"/>
        <v>45546</v>
      </c>
      <c r="F234" s="7" t="str">
        <f t="array" ref="F234">+TIPOARMA(H234,I234)</f>
        <v>ALLP</v>
      </c>
      <c r="G234" s="7"/>
      <c r="H234" s="7" t="str">
        <f>+VLOOKUP(Q234,Maps!I:J,2,0)</f>
        <v>Revólver</v>
      </c>
      <c r="I234" s="7" t="str">
        <f>+VLOOKUP(T234,Maps!E:F,2,0)</f>
        <v>.357 Mag</v>
      </c>
      <c r="L234">
        <v>39</v>
      </c>
      <c r="M234" s="46">
        <v>45546</v>
      </c>
      <c r="N234" t="s">
        <v>495</v>
      </c>
      <c r="O234" t="s">
        <v>456</v>
      </c>
      <c r="P234" t="s">
        <v>457</v>
      </c>
      <c r="Q234" t="s">
        <v>51</v>
      </c>
      <c r="R234" t="s">
        <v>347</v>
      </c>
      <c r="S234" t="s">
        <v>348</v>
      </c>
      <c r="T234" t="s">
        <v>364</v>
      </c>
      <c r="U234">
        <v>5</v>
      </c>
      <c r="V234" t="s">
        <v>400</v>
      </c>
    </row>
    <row r="235" spans="1:22" ht="14.25" customHeight="1" x14ac:dyDescent="0.35">
      <c r="A235" s="45" t="str">
        <f t="array" ref="A235">EXTRACTEVENT(N235,V235)</f>
        <v>NACIONAL LIGHT</v>
      </c>
      <c r="B235" s="7" t="str">
        <f t="shared" si="9"/>
        <v>8</v>
      </c>
      <c r="C235" s="7" t="str">
        <f>+VLOOKUP(P235,Maps!$A:$C,2,0)</f>
        <v>CBTE</v>
      </c>
      <c r="D235" s="7" t="str">
        <f t="shared" si="10"/>
        <v>N</v>
      </c>
      <c r="E235" s="10">
        <f t="shared" si="11"/>
        <v>45546</v>
      </c>
      <c r="F235" s="7" t="str">
        <f t="array" ref="F235">+TIPOARMA(H235,I235)</f>
        <v>ACRR</v>
      </c>
      <c r="G235" s="7"/>
      <c r="H235" s="7" t="str">
        <f>+VLOOKUP(Q235,Maps!I:J,2,0)</f>
        <v>Revólver</v>
      </c>
      <c r="I235" s="7" t="str">
        <f>+VLOOKUP(T235,Maps!E:F,2,0)</f>
        <v>.38 SPL</v>
      </c>
      <c r="L235">
        <v>40</v>
      </c>
      <c r="M235" s="46">
        <v>45546</v>
      </c>
      <c r="N235" t="s">
        <v>496</v>
      </c>
      <c r="O235" t="s">
        <v>456</v>
      </c>
      <c r="P235" t="s">
        <v>457</v>
      </c>
      <c r="Q235" t="s">
        <v>51</v>
      </c>
      <c r="R235" t="s">
        <v>358</v>
      </c>
      <c r="S235" t="s">
        <v>348</v>
      </c>
      <c r="T235" t="s">
        <v>55</v>
      </c>
      <c r="U235">
        <v>5</v>
      </c>
      <c r="V235" t="s">
        <v>400</v>
      </c>
    </row>
    <row r="236" spans="1:22" ht="14.25" customHeight="1" x14ac:dyDescent="0.35">
      <c r="A236" s="45" t="str">
        <f t="array" ref="A236">EXTRACTEVENT(N236,V236)</f>
        <v>NACIONAL LIGHT</v>
      </c>
      <c r="B236" s="7" t="str">
        <f t="shared" si="9"/>
        <v>8</v>
      </c>
      <c r="C236" s="7" t="str">
        <f>+VLOOKUP(P236,Maps!$A:$C,2,0)</f>
        <v>CBTE</v>
      </c>
      <c r="D236" s="7" t="str">
        <f t="shared" si="10"/>
        <v>N</v>
      </c>
      <c r="E236" s="10">
        <f t="shared" si="11"/>
        <v>45546</v>
      </c>
      <c r="F236" s="7" t="str">
        <f t="array" ref="F236">+TIPOARMA(H236,I236)</f>
        <v>ALRR</v>
      </c>
      <c r="G236" s="7"/>
      <c r="H236" s="7" t="str">
        <f>+VLOOKUP(Q236,Maps!I:J,2,0)</f>
        <v>Carabina/Fuzil</v>
      </c>
      <c r="I236" s="7" t="str">
        <f>+VLOOKUP(T236,Maps!E:F,2,0)</f>
        <v>5.56MM</v>
      </c>
      <c r="L236">
        <v>41</v>
      </c>
      <c r="M236" s="46">
        <v>45546</v>
      </c>
      <c r="N236" t="s">
        <v>497</v>
      </c>
      <c r="O236" t="s">
        <v>456</v>
      </c>
      <c r="P236" t="s">
        <v>457</v>
      </c>
      <c r="Q236" t="s">
        <v>352</v>
      </c>
      <c r="R236" t="s">
        <v>353</v>
      </c>
      <c r="S236" t="s">
        <v>348</v>
      </c>
      <c r="T236">
        <v>0.55600000000000005</v>
      </c>
      <c r="U236">
        <v>5</v>
      </c>
      <c r="V236" t="s">
        <v>400</v>
      </c>
    </row>
    <row r="237" spans="1:22" ht="14.25" customHeight="1" x14ac:dyDescent="0.35">
      <c r="A237" s="45" t="str">
        <f t="array" ref="A237">EXTRACTEVENT(N237,V237)</f>
        <v>CAMPEONATO BRASILEIRO DE CAR/PST/RF 2024</v>
      </c>
      <c r="B237" s="7" t="str">
        <f t="shared" si="9"/>
        <v>8</v>
      </c>
      <c r="C237" s="7" t="str">
        <f>+VLOOKUP(P237,Maps!$A:$C,2,0)</f>
        <v>CBTE</v>
      </c>
      <c r="D237" s="7" t="str">
        <f t="shared" si="10"/>
        <v>N</v>
      </c>
      <c r="E237" s="10">
        <f t="shared" si="11"/>
        <v>45549</v>
      </c>
      <c r="F237" s="7" t="str">
        <f t="array" ref="F237">+TIPOARMA(H237,I237)</f>
        <v>ACRR</v>
      </c>
      <c r="G237" s="7"/>
      <c r="H237" s="7" t="str">
        <f>+VLOOKUP(Q237,Maps!I:J,2,0)</f>
        <v>Pistola</v>
      </c>
      <c r="I237" s="7" t="str">
        <f>+VLOOKUP(T237,Maps!E:F,2,0)</f>
        <v>.45 ACP</v>
      </c>
      <c r="L237">
        <v>42</v>
      </c>
      <c r="M237" s="46">
        <v>45549</v>
      </c>
      <c r="N237" t="s">
        <v>498</v>
      </c>
      <c r="O237" t="s">
        <v>456</v>
      </c>
      <c r="P237" t="s">
        <v>457</v>
      </c>
      <c r="Q237" t="s">
        <v>28</v>
      </c>
      <c r="R237" t="s">
        <v>347</v>
      </c>
      <c r="S237" t="s">
        <v>348</v>
      </c>
      <c r="T237" t="s">
        <v>36</v>
      </c>
      <c r="U237">
        <v>20</v>
      </c>
      <c r="V237" t="s">
        <v>400</v>
      </c>
    </row>
    <row r="238" spans="1:22" ht="14.25" customHeight="1" x14ac:dyDescent="0.35">
      <c r="A238" s="45" t="str">
        <f t="array" ref="A238">EXTRACTEVENT(N238,V238)</f>
        <v>CAMPEONATO BRASILEIRO DE CAR/PST/RF 2024</v>
      </c>
      <c r="B238" s="7" t="str">
        <f t="shared" si="9"/>
        <v>8</v>
      </c>
      <c r="C238" s="7" t="str">
        <f>+VLOOKUP(P238,Maps!$A:$C,2,0)</f>
        <v>CBTE</v>
      </c>
      <c r="D238" s="7" t="str">
        <f t="shared" si="10"/>
        <v>N</v>
      </c>
      <c r="E238" s="10">
        <f t="shared" si="11"/>
        <v>45549</v>
      </c>
      <c r="F238" s="7" t="str">
        <f t="array" ref="F238">+TIPOARMA(H238,I238)</f>
        <v>ACRR</v>
      </c>
      <c r="G238" s="7"/>
      <c r="H238" s="7" t="str">
        <f>+VLOOKUP(Q238,Maps!I:J,2,0)</f>
        <v>Pistola</v>
      </c>
      <c r="I238" s="7" t="str">
        <f>+VLOOKUP(T238,Maps!E:F,2,0)</f>
        <v>.45 ACP</v>
      </c>
      <c r="L238">
        <v>43</v>
      </c>
      <c r="M238" s="46">
        <v>45549</v>
      </c>
      <c r="N238" t="s">
        <v>499</v>
      </c>
      <c r="O238" t="s">
        <v>456</v>
      </c>
      <c r="P238" t="s">
        <v>457</v>
      </c>
      <c r="Q238" t="s">
        <v>28</v>
      </c>
      <c r="R238" t="s">
        <v>347</v>
      </c>
      <c r="S238" t="s">
        <v>348</v>
      </c>
      <c r="T238" t="s">
        <v>36</v>
      </c>
      <c r="U238">
        <v>20</v>
      </c>
      <c r="V238" t="s">
        <v>400</v>
      </c>
    </row>
    <row r="239" spans="1:22" ht="14.25" customHeight="1" x14ac:dyDescent="0.35">
      <c r="A239" s="45" t="str">
        <f t="array" ref="A239">EXTRACTEVENT(N239,V239)</f>
        <v>CAMPEONATO BRASILEIRO DE CAR/PST/RF 2024</v>
      </c>
      <c r="B239" s="7" t="str">
        <f t="shared" si="9"/>
        <v>8</v>
      </c>
      <c r="C239" s="7" t="str">
        <f>+VLOOKUP(P239,Maps!$A:$C,2,0)</f>
        <v>CBTE</v>
      </c>
      <c r="D239" s="7" t="str">
        <f t="shared" si="10"/>
        <v>N</v>
      </c>
      <c r="E239" s="10">
        <f t="shared" si="11"/>
        <v>45549</v>
      </c>
      <c r="F239" s="7" t="str">
        <f t="array" ref="F239">+TIPOARMA(H239,I239)</f>
        <v>ACRP</v>
      </c>
      <c r="G239" s="7"/>
      <c r="H239" s="7" t="str">
        <f>+VLOOKUP(Q239,Maps!I:J,2,0)</f>
        <v>Pistola</v>
      </c>
      <c r="I239" s="7" t="str">
        <f>+VLOOKUP(T239,Maps!E:F,2,0)</f>
        <v>9mm</v>
      </c>
      <c r="L239">
        <v>44</v>
      </c>
      <c r="M239" s="46">
        <v>45549</v>
      </c>
      <c r="N239" t="s">
        <v>500</v>
      </c>
      <c r="O239" t="s">
        <v>456</v>
      </c>
      <c r="P239" t="s">
        <v>457</v>
      </c>
      <c r="Q239" t="s">
        <v>28</v>
      </c>
      <c r="R239" t="s">
        <v>347</v>
      </c>
      <c r="S239" t="s">
        <v>348</v>
      </c>
      <c r="T239" t="s">
        <v>29</v>
      </c>
      <c r="U239">
        <v>20</v>
      </c>
      <c r="V239" t="s">
        <v>400</v>
      </c>
    </row>
    <row r="240" spans="1:22" ht="14.25" customHeight="1" x14ac:dyDescent="0.35">
      <c r="A240" s="45" t="str">
        <f t="array" ref="A240">EXTRACTEVENT(N240,V240)</f>
        <v>NACIONAL LIGHT</v>
      </c>
      <c r="B240" s="7" t="str">
        <f t="shared" si="9"/>
        <v>2</v>
      </c>
      <c r="C240" s="7" t="str">
        <f>+VLOOKUP(P240,Maps!$A:$C,2,0)</f>
        <v>CBTE</v>
      </c>
      <c r="D240" s="7" t="str">
        <f t="shared" si="10"/>
        <v>N</v>
      </c>
      <c r="E240" s="10">
        <f t="shared" si="11"/>
        <v>45700</v>
      </c>
      <c r="F240" s="7" t="str">
        <f t="array" ref="F240">+TIPOARMA(H240,I240)</f>
        <v>ALRR</v>
      </c>
      <c r="G240" s="7"/>
      <c r="H240" s="7" t="str">
        <f>+VLOOKUP(Q240,Maps!I:J,2,0)</f>
        <v>Carabina/Fuzil</v>
      </c>
      <c r="I240" s="7" t="str">
        <f>+VLOOKUP(T240,Maps!E:F,2,0)</f>
        <v>5.56MM</v>
      </c>
      <c r="L240">
        <v>45</v>
      </c>
      <c r="M240" s="46">
        <v>45700</v>
      </c>
      <c r="N240" t="s">
        <v>501</v>
      </c>
      <c r="O240" t="s">
        <v>456</v>
      </c>
      <c r="P240" t="s">
        <v>457</v>
      </c>
      <c r="Q240" t="s">
        <v>352</v>
      </c>
      <c r="R240" t="s">
        <v>353</v>
      </c>
      <c r="S240" t="s">
        <v>348</v>
      </c>
      <c r="T240">
        <v>0.55600000000000005</v>
      </c>
      <c r="U240">
        <v>5</v>
      </c>
      <c r="V240" t="s">
        <v>400</v>
      </c>
    </row>
    <row r="241" spans="1:22" ht="14.25" customHeight="1" x14ac:dyDescent="0.35">
      <c r="A241" s="45" t="str">
        <f t="array" ref="A241">EXTRACTEVENT(N241,V241)</f>
        <v>NACIONAL LIGHT</v>
      </c>
      <c r="B241" s="7" t="str">
        <f t="shared" si="9"/>
        <v>2</v>
      </c>
      <c r="C241" s="7" t="str">
        <f>+VLOOKUP(P241,Maps!$A:$C,2,0)</f>
        <v>CBTE</v>
      </c>
      <c r="D241" s="7" t="str">
        <f t="shared" si="10"/>
        <v>N</v>
      </c>
      <c r="E241" s="10">
        <f t="shared" si="11"/>
        <v>45700</v>
      </c>
      <c r="F241" s="7" t="str">
        <f t="array" ref="F241">+TIPOARMA(H241,I241)</f>
        <v>ALRP</v>
      </c>
      <c r="G241" s="7"/>
      <c r="H241" s="7" t="str">
        <f>+VLOOKUP(Q241,Maps!I:J,2,0)</f>
        <v>Carabina/Fuzil</v>
      </c>
      <c r="I241" s="7" t="str">
        <f>+VLOOKUP(T241,Maps!E:F,2,0)</f>
        <v>.357 Mag</v>
      </c>
      <c r="L241">
        <v>46</v>
      </c>
      <c r="M241">
        <v>45700</v>
      </c>
      <c r="N241" t="s">
        <v>502</v>
      </c>
      <c r="O241" t="s">
        <v>456</v>
      </c>
      <c r="P241" t="s">
        <v>457</v>
      </c>
      <c r="Q241" t="s">
        <v>404</v>
      </c>
      <c r="R241" t="s">
        <v>381</v>
      </c>
      <c r="S241" t="s">
        <v>348</v>
      </c>
      <c r="T241" t="s">
        <v>20</v>
      </c>
      <c r="U241">
        <v>5</v>
      </c>
      <c r="V241" t="s">
        <v>400</v>
      </c>
    </row>
    <row r="242" spans="1:22" ht="14.25" customHeight="1" x14ac:dyDescent="0.35">
      <c r="A242" s="45" t="str">
        <f t="array" ref="A242">EXTRACTEVENT(N242,V242)</f>
        <v>NACIONAL LIGHT</v>
      </c>
      <c r="B242" s="7" t="str">
        <f t="shared" si="9"/>
        <v>2</v>
      </c>
      <c r="C242" s="7" t="str">
        <f>+VLOOKUP(P242,Maps!$A:$C,2,0)</f>
        <v>CBTE</v>
      </c>
      <c r="D242" s="7" t="str">
        <f t="shared" si="10"/>
        <v>N</v>
      </c>
      <c r="E242" s="10">
        <f t="shared" si="11"/>
        <v>45700</v>
      </c>
      <c r="F242" s="7" t="str">
        <f t="array" ref="F242">+TIPOARMA(H242,I242)</f>
        <v>ACRR</v>
      </c>
      <c r="G242" s="7"/>
      <c r="H242" s="7" t="str">
        <f>+VLOOKUP(Q242,Maps!I:J,2,0)</f>
        <v>Pistola</v>
      </c>
      <c r="I242" s="7" t="str">
        <f>+VLOOKUP(T242,Maps!E:F,2,0)</f>
        <v>.45 ACP</v>
      </c>
      <c r="L242">
        <v>47</v>
      </c>
      <c r="M242">
        <v>45700</v>
      </c>
      <c r="N242" t="s">
        <v>503</v>
      </c>
      <c r="O242" t="s">
        <v>456</v>
      </c>
      <c r="P242" t="s">
        <v>457</v>
      </c>
      <c r="Q242" t="s">
        <v>28</v>
      </c>
      <c r="R242" t="s">
        <v>347</v>
      </c>
      <c r="S242" t="s">
        <v>348</v>
      </c>
      <c r="T242" t="s">
        <v>36</v>
      </c>
      <c r="U242">
        <v>5</v>
      </c>
      <c r="V242" t="s">
        <v>400</v>
      </c>
    </row>
    <row r="243" spans="1:22" ht="14.25" customHeight="1" x14ac:dyDescent="0.35">
      <c r="A243" s="45" t="str">
        <f t="array" ref="A243">EXTRACTEVENT(N243,V243)</f>
        <v>NACIONAL LIGHT</v>
      </c>
      <c r="B243" s="7" t="str">
        <f t="shared" si="9"/>
        <v>2</v>
      </c>
      <c r="C243" s="7" t="str">
        <f>+VLOOKUP(P243,Maps!$A:$C,2,0)</f>
        <v>CBTE</v>
      </c>
      <c r="D243" s="7" t="str">
        <f t="shared" si="10"/>
        <v>N</v>
      </c>
      <c r="E243" s="10">
        <f t="shared" si="11"/>
        <v>45700</v>
      </c>
      <c r="F243" s="7" t="str">
        <f t="array" ref="F243">+TIPOARMA(H243,I243)</f>
        <v>ACRR</v>
      </c>
      <c r="G243" s="7"/>
      <c r="H243" s="7" t="str">
        <f>+VLOOKUP(Q243,Maps!I:J,2,0)</f>
        <v>Pistola</v>
      </c>
      <c r="I243" s="7" t="str">
        <f>+VLOOKUP(T243,Maps!E:F,2,0)</f>
        <v>.45 ACP</v>
      </c>
      <c r="L243">
        <v>48</v>
      </c>
      <c r="M243">
        <v>45700</v>
      </c>
      <c r="N243" t="s">
        <v>504</v>
      </c>
      <c r="O243" t="s">
        <v>456</v>
      </c>
      <c r="P243" t="s">
        <v>457</v>
      </c>
      <c r="Q243" t="s">
        <v>28</v>
      </c>
      <c r="R243" t="s">
        <v>347</v>
      </c>
      <c r="S243" t="s">
        <v>348</v>
      </c>
      <c r="T243" t="s">
        <v>36</v>
      </c>
      <c r="U243">
        <v>5</v>
      </c>
      <c r="V243" t="s">
        <v>400</v>
      </c>
    </row>
    <row r="244" spans="1:22" ht="14.25" customHeight="1" x14ac:dyDescent="0.35">
      <c r="A244" s="45" t="str">
        <f t="array" ref="A244">EXTRACTEVENT(N244,V244)</f>
        <v>NACIONAL LIGHT</v>
      </c>
      <c r="B244" s="7" t="str">
        <f t="shared" si="9"/>
        <v>2</v>
      </c>
      <c r="C244" s="7" t="str">
        <f>+VLOOKUP(P244,Maps!$A:$C,2,0)</f>
        <v>CBTE</v>
      </c>
      <c r="D244" s="7" t="str">
        <f t="shared" si="10"/>
        <v>N</v>
      </c>
      <c r="E244" s="10">
        <f t="shared" si="11"/>
        <v>45700</v>
      </c>
      <c r="F244" s="7" t="str">
        <f t="array" ref="F244">+TIPOARMA(H244,I244)</f>
        <v>ACRR</v>
      </c>
      <c r="G244" s="7"/>
      <c r="H244" s="7" t="str">
        <f>+VLOOKUP(Q244,Maps!I:J,2,0)</f>
        <v>Pistola</v>
      </c>
      <c r="I244" s="7" t="str">
        <f>+VLOOKUP(T244,Maps!E:F,2,0)</f>
        <v>.380 ACP</v>
      </c>
      <c r="L244">
        <v>49</v>
      </c>
      <c r="M244">
        <v>45700</v>
      </c>
      <c r="N244" t="s">
        <v>505</v>
      </c>
      <c r="O244" t="s">
        <v>456</v>
      </c>
      <c r="P244" t="s">
        <v>457</v>
      </c>
      <c r="Q244" t="s">
        <v>28</v>
      </c>
      <c r="R244" t="s">
        <v>358</v>
      </c>
      <c r="S244" t="s">
        <v>348</v>
      </c>
      <c r="T244">
        <v>0.38</v>
      </c>
      <c r="U244">
        <v>5</v>
      </c>
      <c r="V244" t="s">
        <v>400</v>
      </c>
    </row>
    <row r="245" spans="1:22" ht="14.25" customHeight="1" x14ac:dyDescent="0.35">
      <c r="A245" s="45" t="str">
        <f t="array" ref="A245">EXTRACTEVENT(N245,V245)</f>
        <v>NACIONAL LIGHT</v>
      </c>
      <c r="B245" s="7" t="str">
        <f t="shared" si="9"/>
        <v>2</v>
      </c>
      <c r="C245" s="7" t="str">
        <f>+VLOOKUP(P245,Maps!$A:$C,2,0)</f>
        <v>CBTE</v>
      </c>
      <c r="D245" s="7" t="str">
        <f t="shared" si="10"/>
        <v>N</v>
      </c>
      <c r="E245" s="10">
        <f t="shared" si="11"/>
        <v>45700</v>
      </c>
      <c r="F245" s="7" t="str">
        <f t="array" ref="F245">+TIPOARMA(H245,I245)</f>
        <v>ACRR</v>
      </c>
      <c r="G245" s="7"/>
      <c r="H245" s="7" t="str">
        <f>+VLOOKUP(Q245,Maps!I:J,2,0)</f>
        <v>Pistola</v>
      </c>
      <c r="I245" s="7" t="str">
        <f>+VLOOKUP(T245,Maps!E:F,2,0)</f>
        <v>.380 ACP</v>
      </c>
      <c r="L245">
        <v>50</v>
      </c>
      <c r="M245">
        <v>45700</v>
      </c>
      <c r="N245" t="s">
        <v>506</v>
      </c>
      <c r="O245" t="s">
        <v>456</v>
      </c>
      <c r="P245" t="s">
        <v>457</v>
      </c>
      <c r="Q245" t="s">
        <v>28</v>
      </c>
      <c r="R245" t="s">
        <v>358</v>
      </c>
      <c r="S245" t="s">
        <v>348</v>
      </c>
      <c r="T245">
        <v>0.38</v>
      </c>
      <c r="U245">
        <v>5</v>
      </c>
      <c r="V245" t="s">
        <v>400</v>
      </c>
    </row>
    <row r="246" spans="1:22" ht="14.25" customHeight="1" x14ac:dyDescent="0.35">
      <c r="A246" s="45" t="str">
        <f t="array" ref="A246">EXTRACTEVENT(N246,V246)</f>
        <v>NACIONAL LIGHT</v>
      </c>
      <c r="B246" s="7" t="str">
        <f t="shared" si="9"/>
        <v>4</v>
      </c>
      <c r="C246" s="7" t="str">
        <f>+VLOOKUP(P246,Maps!$A:$C,2,0)</f>
        <v>CBTE</v>
      </c>
      <c r="D246" s="7" t="str">
        <f t="shared" si="10"/>
        <v>N</v>
      </c>
      <c r="E246" s="10">
        <f t="shared" si="11"/>
        <v>45770</v>
      </c>
      <c r="F246" s="7" t="str">
        <f t="array" ref="F246">+TIPOARMA(H246,I246)</f>
        <v>ACRR</v>
      </c>
      <c r="G246" s="7"/>
      <c r="H246" s="7" t="str">
        <f>+VLOOKUP(Q246,Maps!I:J,2,0)</f>
        <v>Pistola</v>
      </c>
      <c r="I246" s="7" t="str">
        <f>+VLOOKUP(T246,Maps!E:F,2,0)</f>
        <v>.45 ACP</v>
      </c>
      <c r="L246">
        <v>51</v>
      </c>
      <c r="M246">
        <v>45770</v>
      </c>
      <c r="N246" t="s">
        <v>507</v>
      </c>
      <c r="O246" t="s">
        <v>456</v>
      </c>
      <c r="P246" t="s">
        <v>457</v>
      </c>
      <c r="Q246" t="s">
        <v>28</v>
      </c>
      <c r="R246" t="s">
        <v>347</v>
      </c>
      <c r="S246" t="s">
        <v>348</v>
      </c>
      <c r="T246" t="s">
        <v>36</v>
      </c>
      <c r="U246">
        <v>5</v>
      </c>
      <c r="V246" t="s">
        <v>400</v>
      </c>
    </row>
    <row r="247" spans="1:22" ht="14.25" customHeight="1" x14ac:dyDescent="0.35">
      <c r="A247" s="45" t="str">
        <f t="array" ref="A247">EXTRACTEVENT(N247,V247)</f>
        <v>NACIONAL LIGHT</v>
      </c>
      <c r="B247" s="7" t="str">
        <f t="shared" si="9"/>
        <v>4</v>
      </c>
      <c r="C247" s="7" t="str">
        <f>+VLOOKUP(P247,Maps!$A:$C,2,0)</f>
        <v>CBTE</v>
      </c>
      <c r="D247" s="7" t="str">
        <f t="shared" si="10"/>
        <v>N</v>
      </c>
      <c r="E247" s="10">
        <f t="shared" si="11"/>
        <v>45770</v>
      </c>
      <c r="F247" s="7" t="str">
        <f t="array" ref="F247">+TIPOARMA(H247,I247)</f>
        <v>ACRR</v>
      </c>
      <c r="G247" s="7"/>
      <c r="H247" s="7" t="str">
        <f>+VLOOKUP(Q247,Maps!I:J,2,0)</f>
        <v>Pistola</v>
      </c>
      <c r="I247" s="7" t="str">
        <f>+VLOOKUP(T247,Maps!E:F,2,0)</f>
        <v>.380 ACP</v>
      </c>
      <c r="L247">
        <v>52</v>
      </c>
      <c r="M247">
        <v>45770</v>
      </c>
      <c r="N247" t="s">
        <v>508</v>
      </c>
      <c r="O247" t="s">
        <v>456</v>
      </c>
      <c r="P247" t="s">
        <v>457</v>
      </c>
      <c r="Q247" t="s">
        <v>28</v>
      </c>
      <c r="R247" t="s">
        <v>358</v>
      </c>
      <c r="S247" t="s">
        <v>348</v>
      </c>
      <c r="T247">
        <v>0.38</v>
      </c>
      <c r="U247">
        <v>5</v>
      </c>
      <c r="V247" t="s">
        <v>400</v>
      </c>
    </row>
    <row r="248" spans="1:22" ht="14.25" customHeight="1" x14ac:dyDescent="0.35">
      <c r="A248" s="45" t="str">
        <f t="array" ref="A248">EXTRACTEVENT(N248,V248)</f>
        <v>CAMPEONATO BRASILEIRO DE CAR/PST/RF 2025</v>
      </c>
      <c r="B248" s="7" t="str">
        <f t="shared" si="9"/>
        <v>3</v>
      </c>
      <c r="C248" s="7" t="str">
        <f>+VLOOKUP(P248,Maps!$A:$C,2,0)</f>
        <v>CBTE</v>
      </c>
      <c r="D248" s="7" t="str">
        <f t="shared" si="10"/>
        <v>N</v>
      </c>
      <c r="E248" s="10">
        <f t="shared" si="11"/>
        <v>45771</v>
      </c>
      <c r="F248" s="7" t="str">
        <f t="array" ref="F248">+TIPOARMA(H248,I248)</f>
        <v>ACRR</v>
      </c>
      <c r="G248" s="7"/>
      <c r="H248" s="7" t="str">
        <f>+VLOOKUP(Q248,Maps!I:J,2,0)</f>
        <v>Pistola</v>
      </c>
      <c r="I248" s="7" t="str">
        <f>+VLOOKUP(T248,Maps!E:F,2,0)</f>
        <v>.380 ACP</v>
      </c>
      <c r="L248">
        <v>53</v>
      </c>
      <c r="M248">
        <v>45771</v>
      </c>
      <c r="N248" t="s">
        <v>509</v>
      </c>
      <c r="O248" t="s">
        <v>456</v>
      </c>
      <c r="P248" t="s">
        <v>457</v>
      </c>
      <c r="Q248" t="s">
        <v>28</v>
      </c>
      <c r="R248" t="s">
        <v>358</v>
      </c>
      <c r="S248" t="s">
        <v>348</v>
      </c>
      <c r="T248">
        <v>0.38</v>
      </c>
      <c r="U248">
        <v>10</v>
      </c>
      <c r="V248" t="s">
        <v>400</v>
      </c>
    </row>
    <row r="249" spans="1:22" ht="14.25" customHeight="1" x14ac:dyDescent="0.35">
      <c r="A249" s="45" t="str">
        <f t="array" ref="A249">EXTRACTEVENT(N249,V249)</f>
        <v>CAMPEONATO BRASILEIRO DE CAR/PST/RF 2025</v>
      </c>
      <c r="B249" s="7" t="str">
        <f t="shared" si="9"/>
        <v>3</v>
      </c>
      <c r="C249" s="7" t="str">
        <f>+VLOOKUP(P249,Maps!$A:$C,2,0)</f>
        <v>CBTE</v>
      </c>
      <c r="D249" s="7" t="str">
        <f t="shared" si="10"/>
        <v>N</v>
      </c>
      <c r="E249" s="10">
        <f t="shared" si="11"/>
        <v>45771</v>
      </c>
      <c r="F249" s="7" t="str">
        <f t="array" ref="F249">+TIPOARMA(H249,I249)</f>
        <v>ACRP</v>
      </c>
      <c r="G249" s="7"/>
      <c r="H249" s="7" t="str">
        <f>+VLOOKUP(Q249,Maps!I:J,2,0)</f>
        <v>Pistola</v>
      </c>
      <c r="I249" s="7" t="str">
        <f>+VLOOKUP(T249,Maps!E:F,2,0)</f>
        <v>9mm</v>
      </c>
      <c r="L249">
        <v>54</v>
      </c>
      <c r="M249">
        <v>45771</v>
      </c>
      <c r="N249" t="s">
        <v>510</v>
      </c>
      <c r="O249" t="s">
        <v>456</v>
      </c>
      <c r="P249" t="s">
        <v>457</v>
      </c>
      <c r="Q249" t="s">
        <v>28</v>
      </c>
      <c r="R249" t="s">
        <v>347</v>
      </c>
      <c r="S249" t="s">
        <v>348</v>
      </c>
      <c r="T249" t="s">
        <v>29</v>
      </c>
      <c r="U249">
        <v>10</v>
      </c>
      <c r="V249" t="s">
        <v>400</v>
      </c>
    </row>
    <row r="250" spans="1:22" ht="14.25" customHeight="1" x14ac:dyDescent="0.35">
      <c r="A250" s="45" t="str">
        <f t="array" ref="A250">EXTRACTEVENT(N250,V250)</f>
        <v>CAMPEONATO BRASILEIRO DE CAR/PST/RF 2025</v>
      </c>
      <c r="B250" s="7" t="str">
        <f t="shared" si="9"/>
        <v>3</v>
      </c>
      <c r="C250" s="7" t="str">
        <f>+VLOOKUP(P250,Maps!$A:$C,2,0)</f>
        <v>CBTE</v>
      </c>
      <c r="D250" s="7" t="str">
        <f t="shared" si="10"/>
        <v>N</v>
      </c>
      <c r="E250" s="10">
        <f t="shared" si="11"/>
        <v>45771</v>
      </c>
      <c r="F250" s="7" t="str">
        <f t="array" ref="F250">+TIPOARMA(H250,I250)</f>
        <v>ACRR</v>
      </c>
      <c r="G250" s="7"/>
      <c r="H250" s="7" t="str">
        <f>+VLOOKUP(Q250,Maps!I:J,2,0)</f>
        <v>Pistola</v>
      </c>
      <c r="I250" s="7" t="str">
        <f>+VLOOKUP(T250,Maps!E:F,2,0)</f>
        <v>.45 ACP</v>
      </c>
      <c r="L250">
        <v>55</v>
      </c>
      <c r="M250" s="46">
        <v>45771</v>
      </c>
      <c r="N250" t="s">
        <v>511</v>
      </c>
      <c r="O250" t="s">
        <v>456</v>
      </c>
      <c r="P250" t="s">
        <v>457</v>
      </c>
      <c r="Q250" t="s">
        <v>28</v>
      </c>
      <c r="R250" t="s">
        <v>347</v>
      </c>
      <c r="S250" t="s">
        <v>348</v>
      </c>
      <c r="T250" t="s">
        <v>36</v>
      </c>
      <c r="U250">
        <v>10</v>
      </c>
      <c r="V250" t="s">
        <v>400</v>
      </c>
    </row>
    <row r="251" spans="1:22" ht="14.25" customHeight="1" x14ac:dyDescent="0.35">
      <c r="A251" s="45" t="str">
        <f t="array" ref="A251">EXTRACTEVENT(N251,V251)</f>
        <v>NACIONAL LIGHT</v>
      </c>
      <c r="B251" s="7" t="str">
        <f t="shared" si="9"/>
        <v>5</v>
      </c>
      <c r="C251" s="7" t="str">
        <f>+VLOOKUP(P251,Maps!$A:$C,2,0)</f>
        <v>CBTE</v>
      </c>
      <c r="D251" s="7" t="str">
        <f t="shared" si="10"/>
        <v>N</v>
      </c>
      <c r="E251" s="10">
        <f t="shared" si="11"/>
        <v>45798</v>
      </c>
      <c r="F251" s="7" t="str">
        <f t="array" ref="F251">+TIPOARMA(H251,I251)</f>
        <v>ACRP</v>
      </c>
      <c r="G251" s="7"/>
      <c r="H251" s="7" t="str">
        <f>+VLOOKUP(Q251,Maps!I:J,2,0)</f>
        <v>Pistola</v>
      </c>
      <c r="I251" s="7" t="str">
        <f>+VLOOKUP(T251,Maps!E:F,2,0)</f>
        <v>9mm</v>
      </c>
      <c r="L251">
        <v>56</v>
      </c>
      <c r="M251" s="46">
        <v>45798</v>
      </c>
      <c r="N251" t="s">
        <v>512</v>
      </c>
      <c r="O251" t="s">
        <v>456</v>
      </c>
      <c r="P251" t="s">
        <v>457</v>
      </c>
      <c r="Q251" t="s">
        <v>28</v>
      </c>
      <c r="R251" t="s">
        <v>347</v>
      </c>
      <c r="S251" t="s">
        <v>348</v>
      </c>
      <c r="T251" t="s">
        <v>29</v>
      </c>
      <c r="U251">
        <v>5</v>
      </c>
      <c r="V251" t="s">
        <v>400</v>
      </c>
    </row>
    <row r="252" spans="1:22" ht="14.25" customHeight="1" x14ac:dyDescent="0.35">
      <c r="A252" s="45" t="str">
        <f t="array" ref="A252">EXTRACTEVENT(N252,V252)</f>
        <v>NACIONAL LIGHT</v>
      </c>
      <c r="B252" s="7" t="str">
        <f t="shared" si="9"/>
        <v>5</v>
      </c>
      <c r="C252" s="7" t="str">
        <f>+VLOOKUP(P252,Maps!$A:$C,2,0)</f>
        <v>CBTE</v>
      </c>
      <c r="D252" s="7" t="str">
        <f t="shared" si="10"/>
        <v>N</v>
      </c>
      <c r="E252" s="10">
        <f t="shared" si="11"/>
        <v>45798</v>
      </c>
      <c r="F252" s="7" t="str">
        <f t="array" ref="F252">+TIPOARMA(H252,I252)</f>
        <v>ACRR</v>
      </c>
      <c r="G252" s="7"/>
      <c r="H252" s="7" t="str">
        <f>+VLOOKUP(Q252,Maps!I:J,2,0)</f>
        <v>Pistola</v>
      </c>
      <c r="I252" s="7" t="str">
        <f>+VLOOKUP(T252,Maps!E:F,2,0)</f>
        <v>.380 ACP</v>
      </c>
      <c r="L252">
        <v>57</v>
      </c>
      <c r="M252" s="46">
        <v>45798</v>
      </c>
      <c r="N252" t="s">
        <v>513</v>
      </c>
      <c r="O252" t="s">
        <v>456</v>
      </c>
      <c r="P252" t="s">
        <v>457</v>
      </c>
      <c r="Q252" t="s">
        <v>28</v>
      </c>
      <c r="R252" t="s">
        <v>358</v>
      </c>
      <c r="S252" t="s">
        <v>348</v>
      </c>
      <c r="T252">
        <v>0.38</v>
      </c>
      <c r="U252">
        <v>5</v>
      </c>
      <c r="V252" t="s">
        <v>400</v>
      </c>
    </row>
    <row r="253" spans="1:22" ht="14.25" customHeight="1" x14ac:dyDescent="0.35">
      <c r="A253" s="45" t="str">
        <f t="array" ref="A253">EXTRACTEVENT(N253,V253)</f>
        <v>NACIONAL LIGHT</v>
      </c>
      <c r="B253" s="7" t="str">
        <f t="shared" si="9"/>
        <v>5</v>
      </c>
      <c r="C253" s="7" t="str">
        <f>+VLOOKUP(P253,Maps!$A:$C,2,0)</f>
        <v>CBTE</v>
      </c>
      <c r="D253" s="7" t="str">
        <f t="shared" si="10"/>
        <v>N</v>
      </c>
      <c r="E253" s="10">
        <f t="shared" si="11"/>
        <v>45798</v>
      </c>
      <c r="F253" s="7" t="str">
        <f t="array" ref="F253">+TIPOARMA(H253,I253)</f>
        <v>ALRR</v>
      </c>
      <c r="G253" s="7"/>
      <c r="H253" s="7" t="str">
        <f>+VLOOKUP(Q253,Maps!I:J,2,0)</f>
        <v>Carabina/Fuzil</v>
      </c>
      <c r="I253" s="7" t="str">
        <f>+VLOOKUP(T253,Maps!E:F,2,0)</f>
        <v>5.56MM</v>
      </c>
      <c r="L253">
        <v>58</v>
      </c>
      <c r="M253" s="46">
        <v>45798</v>
      </c>
      <c r="N253" t="s">
        <v>514</v>
      </c>
      <c r="O253" t="s">
        <v>456</v>
      </c>
      <c r="P253" t="s">
        <v>457</v>
      </c>
      <c r="Q253" t="s">
        <v>352</v>
      </c>
      <c r="R253" t="s">
        <v>353</v>
      </c>
      <c r="S253" t="s">
        <v>348</v>
      </c>
      <c r="T253">
        <v>0.55600000000000005</v>
      </c>
      <c r="U253">
        <v>5</v>
      </c>
      <c r="V253" t="s">
        <v>400</v>
      </c>
    </row>
    <row r="254" spans="1:22" ht="14.25" customHeight="1" x14ac:dyDescent="0.35">
      <c r="A254" s="45" t="str">
        <f t="array" ref="A254">EXTRACTEVENT(N254,V254)</f>
        <v>NACIONAL LIGHT</v>
      </c>
      <c r="B254" s="7" t="str">
        <f t="shared" si="9"/>
        <v>5</v>
      </c>
      <c r="C254" s="7" t="str">
        <f>+VLOOKUP(P254,Maps!$A:$C,2,0)</f>
        <v>CBTE</v>
      </c>
      <c r="D254" s="7" t="str">
        <f t="shared" si="10"/>
        <v>N</v>
      </c>
      <c r="E254" s="10">
        <f t="shared" si="11"/>
        <v>45798</v>
      </c>
      <c r="F254" s="7" t="str">
        <f t="array" ref="F254">+TIPOARMA(H254,I254)</f>
        <v>ALRP</v>
      </c>
      <c r="G254" s="7"/>
      <c r="H254" s="7" t="str">
        <f>+VLOOKUP(Q254,Maps!I:J,2,0)</f>
        <v>Carabina/Fuzil</v>
      </c>
      <c r="I254" s="7" t="str">
        <f>+VLOOKUP(T254,Maps!E:F,2,0)</f>
        <v>.357 Mag</v>
      </c>
      <c r="L254">
        <v>59</v>
      </c>
      <c r="M254" s="46">
        <v>45798</v>
      </c>
      <c r="N254" t="s">
        <v>515</v>
      </c>
      <c r="O254" t="s">
        <v>456</v>
      </c>
      <c r="P254" t="s">
        <v>457</v>
      </c>
      <c r="Q254" t="s">
        <v>404</v>
      </c>
      <c r="R254" t="s">
        <v>381</v>
      </c>
      <c r="S254" t="s">
        <v>348</v>
      </c>
      <c r="T254" t="s">
        <v>20</v>
      </c>
      <c r="U254">
        <v>5</v>
      </c>
      <c r="V254" t="s">
        <v>400</v>
      </c>
    </row>
    <row r="255" spans="1:22" ht="14.25" customHeight="1" x14ac:dyDescent="0.35">
      <c r="A255" s="45" t="str">
        <f t="array" ref="A255">EXTRACTEVENT(N255,V255)</f>
        <v>NACIONAL LIGHT</v>
      </c>
      <c r="B255" s="7" t="str">
        <f t="shared" si="9"/>
        <v>8</v>
      </c>
      <c r="C255" s="7" t="str">
        <f>+VLOOKUP(P255,Maps!$A:$C,2,0)</f>
        <v>CBTE</v>
      </c>
      <c r="D255" s="7" t="str">
        <f t="shared" si="10"/>
        <v>N</v>
      </c>
      <c r="E255" s="10">
        <f t="shared" si="11"/>
        <v>45885</v>
      </c>
      <c r="F255" s="7" t="str">
        <f t="array" ref="F255">+TIPOARMA(H255,I255)</f>
        <v>ACRR</v>
      </c>
      <c r="G255" s="7"/>
      <c r="H255" s="7" t="str">
        <f>+VLOOKUP(Q255,Maps!I:J,2,0)</f>
        <v>Pistola</v>
      </c>
      <c r="I255" s="7" t="str">
        <f>+VLOOKUP(T255,Maps!E:F,2,0)</f>
        <v>.380 ACP</v>
      </c>
      <c r="L255">
        <v>60</v>
      </c>
      <c r="M255" s="46">
        <v>45885</v>
      </c>
      <c r="N255" t="s">
        <v>516</v>
      </c>
      <c r="O255" t="s">
        <v>456</v>
      </c>
      <c r="P255" t="s">
        <v>457</v>
      </c>
      <c r="Q255" t="s">
        <v>28</v>
      </c>
      <c r="R255" t="s">
        <v>358</v>
      </c>
      <c r="S255" t="s">
        <v>348</v>
      </c>
      <c r="T255">
        <v>0.38</v>
      </c>
      <c r="U255">
        <v>5</v>
      </c>
      <c r="V255" t="s">
        <v>400</v>
      </c>
    </row>
    <row r="256" spans="1:22" ht="14.25" customHeight="1" x14ac:dyDescent="0.35">
      <c r="A256" s="45" t="str">
        <f t="array" ref="A256">EXTRACTEVENT(N256,V256)</f>
        <v>NACIONAL LIGHT</v>
      </c>
      <c r="B256" s="7" t="str">
        <f t="shared" si="9"/>
        <v>8</v>
      </c>
      <c r="C256" s="7" t="str">
        <f>+VLOOKUP(P256,Maps!$A:$C,2,0)</f>
        <v>CBTE</v>
      </c>
      <c r="D256" s="7" t="str">
        <f t="shared" si="10"/>
        <v>N</v>
      </c>
      <c r="E256" s="10">
        <f t="shared" si="11"/>
        <v>45885</v>
      </c>
      <c r="F256" s="7" t="str">
        <f t="array" ref="F256">+TIPOARMA(H256,I256)</f>
        <v>ACRP</v>
      </c>
      <c r="G256" s="7"/>
      <c r="H256" s="7" t="str">
        <f>+VLOOKUP(Q256,Maps!I:J,2,0)</f>
        <v>Pistola</v>
      </c>
      <c r="I256" s="7" t="str">
        <f>+VLOOKUP(T256,Maps!E:F,2,0)</f>
        <v>9mm</v>
      </c>
      <c r="L256">
        <v>61</v>
      </c>
      <c r="M256" s="46">
        <v>45885</v>
      </c>
      <c r="N256" t="s">
        <v>517</v>
      </c>
      <c r="O256" t="s">
        <v>456</v>
      </c>
      <c r="P256" t="s">
        <v>457</v>
      </c>
      <c r="Q256" t="s">
        <v>28</v>
      </c>
      <c r="R256" t="s">
        <v>347</v>
      </c>
      <c r="S256" t="s">
        <v>348</v>
      </c>
      <c r="T256" t="s">
        <v>29</v>
      </c>
      <c r="U256">
        <v>5</v>
      </c>
      <c r="V256" t="s">
        <v>400</v>
      </c>
    </row>
    <row r="257" spans="1:22" ht="14.25" customHeight="1" x14ac:dyDescent="0.35">
      <c r="A257" s="45" t="str">
        <f t="array" ref="A257">EXTRACTEVENT(N257,V257)</f>
        <v>NACIONAL LIGHT</v>
      </c>
      <c r="B257" s="7" t="str">
        <f t="shared" si="9"/>
        <v>8</v>
      </c>
      <c r="C257" s="7" t="str">
        <f>+VLOOKUP(P257,Maps!$A:$C,2,0)</f>
        <v>CBTE</v>
      </c>
      <c r="D257" s="7" t="str">
        <f t="shared" si="10"/>
        <v>N</v>
      </c>
      <c r="E257" s="10">
        <f t="shared" si="11"/>
        <v>45885</v>
      </c>
      <c r="F257" s="7" t="str">
        <f t="array" ref="F257">+TIPOARMA(H257,I257)</f>
        <v>ALRP</v>
      </c>
      <c r="G257" s="7"/>
      <c r="H257" s="7" t="str">
        <f>+VLOOKUP(Q257,Maps!I:J,2,0)</f>
        <v>Carabina/Fuzil</v>
      </c>
      <c r="I257" s="7" t="str">
        <f>+VLOOKUP(T257,Maps!E:F,2,0)</f>
        <v>.357 Mag</v>
      </c>
      <c r="L257">
        <v>62</v>
      </c>
      <c r="M257" s="46">
        <v>45885</v>
      </c>
      <c r="N257" t="s">
        <v>518</v>
      </c>
      <c r="O257" t="s">
        <v>456</v>
      </c>
      <c r="P257" t="s">
        <v>457</v>
      </c>
      <c r="Q257" t="s">
        <v>404</v>
      </c>
      <c r="R257" t="s">
        <v>381</v>
      </c>
      <c r="S257" t="s">
        <v>348</v>
      </c>
      <c r="T257" t="s">
        <v>20</v>
      </c>
      <c r="U257">
        <v>5</v>
      </c>
      <c r="V257" t="s">
        <v>400</v>
      </c>
    </row>
    <row r="258" spans="1:22" ht="14.25" customHeight="1" x14ac:dyDescent="0.35">
      <c r="A258" s="45" t="str">
        <f t="array" ref="A258">EXTRACTEVENT(N258,V258)</f>
        <v>NACIONAL LIGHT</v>
      </c>
      <c r="B258" s="7" t="str">
        <f t="shared" ref="B258:B321" si="12">+IF(V258="TREINO","-",LEFT(N258,1))</f>
        <v>8</v>
      </c>
      <c r="C258" s="7" t="str">
        <f>+VLOOKUP(P258,Maps!$A:$C,2,0)</f>
        <v>CBTE</v>
      </c>
      <c r="D258" s="7" t="str">
        <f t="shared" ref="D258:D321" si="13">+IF($V258="TREINO","T",IF(V258="NACIONAL","N","E"))</f>
        <v>N</v>
      </c>
      <c r="E258" s="10">
        <f t="shared" ref="E258:E321" si="14">IFERROR(DATEVALUE(LEFT(M258,10)),M258)</f>
        <v>45885</v>
      </c>
      <c r="F258" s="7" t="str">
        <f t="array" ref="F258">+TIPOARMA(H258,I258)</f>
        <v>ALRR</v>
      </c>
      <c r="G258" s="7"/>
      <c r="H258" s="7" t="str">
        <f>+VLOOKUP(Q258,Maps!I:J,2,0)</f>
        <v>Carabina/Fuzil</v>
      </c>
      <c r="I258" s="7" t="str">
        <f>+VLOOKUP(T258,Maps!E:F,2,0)</f>
        <v>5.56MM</v>
      </c>
      <c r="L258">
        <v>63</v>
      </c>
      <c r="M258" s="46">
        <v>45885</v>
      </c>
      <c r="N258" t="s">
        <v>519</v>
      </c>
      <c r="O258" t="s">
        <v>456</v>
      </c>
      <c r="P258" t="s">
        <v>457</v>
      </c>
      <c r="Q258" t="s">
        <v>352</v>
      </c>
      <c r="R258" t="s">
        <v>353</v>
      </c>
      <c r="S258" t="s">
        <v>348</v>
      </c>
      <c r="T258">
        <v>0.55600000000000005</v>
      </c>
      <c r="U258">
        <v>5</v>
      </c>
      <c r="V258" t="s">
        <v>400</v>
      </c>
    </row>
    <row r="259" spans="1:22" ht="14.25" customHeight="1" x14ac:dyDescent="0.35">
      <c r="A259" s="45" t="str">
        <f t="array" ref="A259">EXTRACTEVENT(N259,V259)</f>
        <v>NACIONAL LIGHT</v>
      </c>
      <c r="B259" s="7" t="str">
        <f t="shared" si="12"/>
        <v>9</v>
      </c>
      <c r="C259" s="7" t="str">
        <f>+VLOOKUP(P259,Maps!$A:$C,2,0)</f>
        <v>CBTE</v>
      </c>
      <c r="D259" s="7" t="str">
        <f t="shared" si="13"/>
        <v>N</v>
      </c>
      <c r="E259" s="10">
        <f t="shared" si="14"/>
        <v>45910</v>
      </c>
      <c r="F259" s="7" t="str">
        <f t="array" ref="F259">+TIPOARMA(H259,I259)</f>
        <v>ACRP</v>
      </c>
      <c r="G259" s="7"/>
      <c r="H259" s="7" t="str">
        <f>+VLOOKUP(Q259,Maps!I:J,2,0)</f>
        <v>Pistola</v>
      </c>
      <c r="I259" s="7" t="str">
        <f>+VLOOKUP(T259,Maps!E:F,2,0)</f>
        <v>9mm</v>
      </c>
      <c r="L259">
        <v>64</v>
      </c>
      <c r="M259" s="46">
        <v>45910</v>
      </c>
      <c r="N259" t="s">
        <v>520</v>
      </c>
      <c r="O259" t="s">
        <v>456</v>
      </c>
      <c r="P259" t="s">
        <v>457</v>
      </c>
      <c r="Q259" t="s">
        <v>28</v>
      </c>
      <c r="R259" t="s">
        <v>347</v>
      </c>
      <c r="S259" t="s">
        <v>348</v>
      </c>
      <c r="T259" t="s">
        <v>29</v>
      </c>
      <c r="U259">
        <v>5</v>
      </c>
      <c r="V259" t="s">
        <v>400</v>
      </c>
    </row>
    <row r="260" spans="1:22" ht="14.25" customHeight="1" x14ac:dyDescent="0.35">
      <c r="A260" s="45" t="str">
        <f t="array" ref="A260">EXTRACTEVENT(N260,V260)</f>
        <v>NACIONAL LIGHT</v>
      </c>
      <c r="B260" s="7" t="str">
        <f t="shared" si="12"/>
        <v>9</v>
      </c>
      <c r="C260" s="7" t="str">
        <f>+VLOOKUP(P260,Maps!$A:$C,2,0)</f>
        <v>CBTE</v>
      </c>
      <c r="D260" s="7" t="str">
        <f t="shared" si="13"/>
        <v>N</v>
      </c>
      <c r="E260" s="10">
        <f t="shared" si="14"/>
        <v>45910</v>
      </c>
      <c r="F260" s="7" t="str">
        <f t="array" ref="F260">+TIPOARMA(H260,I260)</f>
        <v>ACRP</v>
      </c>
      <c r="G260" s="7"/>
      <c r="H260" s="7" t="str">
        <f>+VLOOKUP(Q260,Maps!I:J,2,0)</f>
        <v>Pistola</v>
      </c>
      <c r="I260" s="7" t="str">
        <f>+VLOOKUP(T260,Maps!E:F,2,0)</f>
        <v>9mm</v>
      </c>
      <c r="L260">
        <v>65</v>
      </c>
      <c r="M260" s="46">
        <v>45910</v>
      </c>
      <c r="N260" t="s">
        <v>521</v>
      </c>
      <c r="O260" t="s">
        <v>456</v>
      </c>
      <c r="P260" t="s">
        <v>457</v>
      </c>
      <c r="Q260" t="s">
        <v>28</v>
      </c>
      <c r="R260" t="s">
        <v>347</v>
      </c>
      <c r="S260" t="s">
        <v>348</v>
      </c>
      <c r="T260" t="s">
        <v>29</v>
      </c>
      <c r="U260">
        <v>5</v>
      </c>
      <c r="V260" t="s">
        <v>400</v>
      </c>
    </row>
    <row r="261" spans="1:22" ht="14.25" customHeight="1" x14ac:dyDescent="0.35">
      <c r="A261" s="45" t="str">
        <f t="array" ref="A261">EXTRACTEVENT(N261,V261)</f>
        <v>NACIONAL LIGHT</v>
      </c>
      <c r="B261" s="7" t="str">
        <f t="shared" si="12"/>
        <v>9</v>
      </c>
      <c r="C261" s="7" t="str">
        <f>+VLOOKUP(P261,Maps!$A:$C,2,0)</f>
        <v>CBTE</v>
      </c>
      <c r="D261" s="7" t="str">
        <f t="shared" si="13"/>
        <v>N</v>
      </c>
      <c r="E261" s="10">
        <f t="shared" si="14"/>
        <v>45910</v>
      </c>
      <c r="F261" s="7" t="str">
        <f t="array" ref="F261">+TIPOARMA(H261,I261)</f>
        <v>ACRR</v>
      </c>
      <c r="G261" s="7"/>
      <c r="H261" s="7" t="str">
        <f>+VLOOKUP(Q261,Maps!I:J,2,0)</f>
        <v>Pistola</v>
      </c>
      <c r="I261" s="7" t="str">
        <f>+VLOOKUP(T261,Maps!E:F,2,0)</f>
        <v>.380 ACP</v>
      </c>
      <c r="L261">
        <v>66</v>
      </c>
      <c r="M261" s="46">
        <v>45910</v>
      </c>
      <c r="N261" t="s">
        <v>522</v>
      </c>
      <c r="O261" t="s">
        <v>456</v>
      </c>
      <c r="P261" t="s">
        <v>457</v>
      </c>
      <c r="Q261" t="s">
        <v>28</v>
      </c>
      <c r="R261" t="s">
        <v>358</v>
      </c>
      <c r="S261" t="s">
        <v>348</v>
      </c>
      <c r="T261">
        <v>0.38</v>
      </c>
      <c r="U261">
        <v>5</v>
      </c>
      <c r="V261" t="s">
        <v>400</v>
      </c>
    </row>
    <row r="262" spans="1:22" ht="14.25" customHeight="1" x14ac:dyDescent="0.35">
      <c r="A262" s="45" t="str">
        <f t="array" ref="A262">EXTRACTEVENT(N262,V262)</f>
        <v>NACIONAL LIGHT</v>
      </c>
      <c r="B262" s="7" t="str">
        <f t="shared" si="12"/>
        <v>9</v>
      </c>
      <c r="C262" s="7" t="str">
        <f>+VLOOKUP(P262,Maps!$A:$C,2,0)</f>
        <v>CBTE</v>
      </c>
      <c r="D262" s="7" t="str">
        <f t="shared" si="13"/>
        <v>N</v>
      </c>
      <c r="E262" s="10">
        <f t="shared" si="14"/>
        <v>45910</v>
      </c>
      <c r="F262" s="7" t="str">
        <f t="array" ref="F262">+TIPOARMA(H262,I262)</f>
        <v>ALRR</v>
      </c>
      <c r="G262" s="7"/>
      <c r="H262" s="7" t="str">
        <f>+VLOOKUP(Q262,Maps!I:J,2,0)</f>
        <v>Carabina/Fuzil</v>
      </c>
      <c r="I262" s="7" t="str">
        <f>+VLOOKUP(T262,Maps!E:F,2,0)</f>
        <v>5.56MM</v>
      </c>
      <c r="L262">
        <v>67</v>
      </c>
      <c r="M262" s="46">
        <v>45910</v>
      </c>
      <c r="N262" t="s">
        <v>523</v>
      </c>
      <c r="O262" t="s">
        <v>456</v>
      </c>
      <c r="P262" t="s">
        <v>457</v>
      </c>
      <c r="Q262" t="s">
        <v>352</v>
      </c>
      <c r="R262" t="s">
        <v>353</v>
      </c>
      <c r="S262" t="s">
        <v>348</v>
      </c>
      <c r="T262">
        <v>0.55600000000000005</v>
      </c>
      <c r="U262">
        <v>5</v>
      </c>
      <c r="V262" t="s">
        <v>400</v>
      </c>
    </row>
    <row r="263" spans="1:22" ht="14.25" customHeight="1" x14ac:dyDescent="0.35">
      <c r="A263" s="45" t="str">
        <f t="array" ref="A263">EXTRACTEVENT(N263,V263)</f>
        <v>CAMPEONATO BRASILEIRO DE CAR/PST/RF 2025</v>
      </c>
      <c r="B263" s="7" t="str">
        <f t="shared" si="12"/>
        <v>8</v>
      </c>
      <c r="C263" s="7" t="str">
        <f>+VLOOKUP(P263,Maps!$A:$C,2,0)</f>
        <v>CBTE</v>
      </c>
      <c r="D263" s="7" t="str">
        <f t="shared" si="13"/>
        <v>N</v>
      </c>
      <c r="E263" s="10">
        <f t="shared" si="14"/>
        <v>45910</v>
      </c>
      <c r="F263" s="7" t="str">
        <f t="array" ref="F263">+TIPOARMA(H263,I263)</f>
        <v>ACRP</v>
      </c>
      <c r="G263" s="7"/>
      <c r="H263" s="7" t="str">
        <f>+VLOOKUP(Q263,Maps!I:J,2,0)</f>
        <v>Pistola</v>
      </c>
      <c r="I263" s="7" t="str">
        <f>+VLOOKUP(T263,Maps!E:F,2,0)</f>
        <v>9mm</v>
      </c>
      <c r="L263">
        <v>68</v>
      </c>
      <c r="M263" s="46">
        <v>45910</v>
      </c>
      <c r="N263" t="s">
        <v>524</v>
      </c>
      <c r="O263" t="s">
        <v>456</v>
      </c>
      <c r="P263" t="s">
        <v>457</v>
      </c>
      <c r="Q263" t="s">
        <v>28</v>
      </c>
      <c r="R263" t="s">
        <v>347</v>
      </c>
      <c r="S263" t="s">
        <v>348</v>
      </c>
      <c r="T263" t="s">
        <v>29</v>
      </c>
      <c r="U263">
        <v>10</v>
      </c>
      <c r="V263" t="s">
        <v>400</v>
      </c>
    </row>
    <row r="264" spans="1:22" ht="14.25" customHeight="1" x14ac:dyDescent="0.35">
      <c r="A264" s="45" t="str">
        <f t="array" ref="A264">EXTRACTEVENT(N264,V264)</f>
        <v>CAMPEONATO BRASILEIRO DE CAR/PST/RF 2025</v>
      </c>
      <c r="B264" s="7" t="str">
        <f t="shared" si="12"/>
        <v>8</v>
      </c>
      <c r="C264" s="7" t="str">
        <f>+VLOOKUP(P264,Maps!$A:$C,2,0)</f>
        <v>CBTE</v>
      </c>
      <c r="D264" s="7" t="str">
        <f t="shared" si="13"/>
        <v>N</v>
      </c>
      <c r="E264" s="10">
        <f t="shared" si="14"/>
        <v>45910</v>
      </c>
      <c r="F264" s="7" t="str">
        <f t="array" ref="F264">+TIPOARMA(H264,I264)</f>
        <v>ACRR</v>
      </c>
      <c r="G264" s="7"/>
      <c r="H264" s="7" t="str">
        <f>+VLOOKUP(Q264,Maps!I:J,2,0)</f>
        <v>Pistola</v>
      </c>
      <c r="I264" s="7" t="str">
        <f>+VLOOKUP(T264,Maps!E:F,2,0)</f>
        <v>.380 ACP</v>
      </c>
      <c r="L264">
        <v>69</v>
      </c>
      <c r="M264" s="46">
        <v>45910</v>
      </c>
      <c r="N264" t="s">
        <v>525</v>
      </c>
      <c r="O264" t="s">
        <v>456</v>
      </c>
      <c r="P264" t="s">
        <v>457</v>
      </c>
      <c r="Q264" t="s">
        <v>28</v>
      </c>
      <c r="R264" t="s">
        <v>358</v>
      </c>
      <c r="S264" t="s">
        <v>348</v>
      </c>
      <c r="T264">
        <v>0.38</v>
      </c>
      <c r="U264">
        <v>10</v>
      </c>
      <c r="V264" t="s">
        <v>400</v>
      </c>
    </row>
    <row r="265" spans="1:22" ht="14.25" customHeight="1" x14ac:dyDescent="0.35">
      <c r="A265" s="45" t="str">
        <f t="array" ref="A265">EXTRACTEVENT(N265,V265)</f>
        <v>NACIONAL LIGHT</v>
      </c>
      <c r="B265" s="7" t="str">
        <f t="shared" si="12"/>
        <v>2</v>
      </c>
      <c r="C265" s="7" t="str">
        <f>+VLOOKUP(P265,Maps!$A:$C,2,0)</f>
        <v>CBTE</v>
      </c>
      <c r="D265" s="7" t="str">
        <f t="shared" si="13"/>
        <v>N</v>
      </c>
      <c r="E265" s="10">
        <f t="shared" si="14"/>
        <v>46079</v>
      </c>
      <c r="F265" s="7" t="str">
        <f t="array" ref="F265">+TIPOARMA(H265,I265)</f>
        <v>ALRR</v>
      </c>
      <c r="G265" s="7"/>
      <c r="H265" s="7" t="str">
        <f>+VLOOKUP(Q265,Maps!I:J,2,0)</f>
        <v>Carabina/Fuzil</v>
      </c>
      <c r="I265" s="7" t="str">
        <f>+VLOOKUP(T265,Maps!E:F,2,0)</f>
        <v>5.56MM</v>
      </c>
      <c r="L265">
        <v>70</v>
      </c>
      <c r="M265" s="46">
        <v>46079</v>
      </c>
      <c r="N265" t="s">
        <v>526</v>
      </c>
      <c r="O265" t="s">
        <v>456</v>
      </c>
      <c r="P265" t="s">
        <v>457</v>
      </c>
      <c r="Q265" t="s">
        <v>352</v>
      </c>
      <c r="R265" t="s">
        <v>353</v>
      </c>
      <c r="S265" t="s">
        <v>348</v>
      </c>
      <c r="T265">
        <v>0.55600000000000005</v>
      </c>
      <c r="U265">
        <v>5</v>
      </c>
      <c r="V265" t="s">
        <v>400</v>
      </c>
    </row>
    <row r="266" spans="1:22" ht="14.25" customHeight="1" x14ac:dyDescent="0.35">
      <c r="A266" s="45" t="str">
        <f t="array" ref="A266">EXTRACTEVENT(N266,V266)</f>
        <v>NACIONAL LIGHT</v>
      </c>
      <c r="B266" s="7" t="str">
        <f t="shared" si="12"/>
        <v>2</v>
      </c>
      <c r="C266" s="7" t="str">
        <f>+VLOOKUP(P266,Maps!$A:$C,2,0)</f>
        <v>CBTE</v>
      </c>
      <c r="D266" s="7" t="str">
        <f t="shared" si="13"/>
        <v>N</v>
      </c>
      <c r="E266" s="10">
        <f t="shared" si="14"/>
        <v>46080</v>
      </c>
      <c r="F266" s="7" t="str">
        <f t="array" ref="F266">+TIPOARMA(H266,I266)</f>
        <v>ACRR</v>
      </c>
      <c r="G266" s="7"/>
      <c r="H266" s="7" t="str">
        <f>+VLOOKUP(Q266,Maps!I:J,2,0)</f>
        <v>Pistola</v>
      </c>
      <c r="I266" s="7" t="str">
        <f>+VLOOKUP(T266,Maps!E:F,2,0)</f>
        <v>.380 ACP</v>
      </c>
      <c r="L266">
        <v>71</v>
      </c>
      <c r="M266" s="46">
        <v>46080</v>
      </c>
      <c r="N266" t="s">
        <v>527</v>
      </c>
      <c r="O266" t="s">
        <v>456</v>
      </c>
      <c r="P266" t="s">
        <v>457</v>
      </c>
      <c r="Q266" t="s">
        <v>28</v>
      </c>
      <c r="R266" t="s">
        <v>358</v>
      </c>
      <c r="S266" t="s">
        <v>348</v>
      </c>
      <c r="T266">
        <v>0.38</v>
      </c>
      <c r="U266">
        <v>5</v>
      </c>
      <c r="V266" t="s">
        <v>400</v>
      </c>
    </row>
    <row r="267" spans="1:22" ht="14.25" customHeight="1" x14ac:dyDescent="0.35">
      <c r="A267" s="45" t="str">
        <f t="array" ref="A267">EXTRACTEVENT(N267,V267)</f>
        <v>NACIONAL LIGHT</v>
      </c>
      <c r="B267" s="7" t="str">
        <f t="shared" si="12"/>
        <v>2</v>
      </c>
      <c r="C267" s="7" t="str">
        <f>+VLOOKUP(P267,Maps!$A:$C,2,0)</f>
        <v>CBTE</v>
      </c>
      <c r="D267" s="7" t="str">
        <f t="shared" si="13"/>
        <v>N</v>
      </c>
      <c r="E267" s="10">
        <f t="shared" si="14"/>
        <v>46080</v>
      </c>
      <c r="F267" s="7" t="str">
        <f t="array" ref="F267">+TIPOARMA(H267,I267)</f>
        <v>ACRP</v>
      </c>
      <c r="G267" s="7"/>
      <c r="H267" s="7" t="str">
        <f>+VLOOKUP(Q267,Maps!I:J,2,0)</f>
        <v>Pistola</v>
      </c>
      <c r="I267" s="7" t="str">
        <f>+VLOOKUP(T267,Maps!E:F,2,0)</f>
        <v>9mm</v>
      </c>
      <c r="L267">
        <v>72</v>
      </c>
      <c r="M267" s="46">
        <v>46080</v>
      </c>
      <c r="N267" t="s">
        <v>528</v>
      </c>
      <c r="O267" t="s">
        <v>456</v>
      </c>
      <c r="P267" t="s">
        <v>457</v>
      </c>
      <c r="Q267" t="s">
        <v>28</v>
      </c>
      <c r="R267" t="s">
        <v>347</v>
      </c>
      <c r="S267" t="s">
        <v>348</v>
      </c>
      <c r="T267" t="s">
        <v>29</v>
      </c>
      <c r="U267">
        <v>5</v>
      </c>
      <c r="V267" t="s">
        <v>400</v>
      </c>
    </row>
    <row r="268" spans="1:22" ht="14.25" customHeight="1" x14ac:dyDescent="0.35">
      <c r="A268" s="45" t="str">
        <f t="array" ref="A268">EXTRACTEVENT(N268,V268)</f>
        <v>NACIONAL LIGHT</v>
      </c>
      <c r="B268" s="7" t="str">
        <f t="shared" si="12"/>
        <v>2</v>
      </c>
      <c r="C268" s="7" t="str">
        <f>+VLOOKUP(P268,Maps!$A:$C,2,0)</f>
        <v>CBTE</v>
      </c>
      <c r="D268" s="7" t="str">
        <f t="shared" si="13"/>
        <v>N</v>
      </c>
      <c r="E268" s="10">
        <f t="shared" si="14"/>
        <v>46080</v>
      </c>
      <c r="F268" s="7" t="str">
        <f t="array" ref="F268">+TIPOARMA(H268,I268)</f>
        <v>ALRP</v>
      </c>
      <c r="G268" s="7"/>
      <c r="H268" s="7" t="str">
        <f>+VLOOKUP(Q268,Maps!I:J,2,0)</f>
        <v>Carabina/Fuzil</v>
      </c>
      <c r="I268" s="7" t="str">
        <f>+VLOOKUP(T268,Maps!E:F,2,0)</f>
        <v>.357 Mag</v>
      </c>
      <c r="L268">
        <v>73</v>
      </c>
      <c r="M268" s="46">
        <v>46080</v>
      </c>
      <c r="N268" t="s">
        <v>529</v>
      </c>
      <c r="O268" t="s">
        <v>456</v>
      </c>
      <c r="P268" t="s">
        <v>457</v>
      </c>
      <c r="Q268" t="s">
        <v>404</v>
      </c>
      <c r="R268" t="s">
        <v>381</v>
      </c>
      <c r="S268" t="s">
        <v>348</v>
      </c>
      <c r="T268" t="s">
        <v>20</v>
      </c>
      <c r="U268">
        <v>5</v>
      </c>
      <c r="V268" t="s">
        <v>400</v>
      </c>
    </row>
    <row r="269" spans="1:22" ht="14.25" customHeight="1" x14ac:dyDescent="0.35">
      <c r="A269" s="45" t="str">
        <f t="array" ref="A269">EXTRACTEVENT(N269,V269)</f>
        <v>NACIONAL LIGHT</v>
      </c>
      <c r="B269" s="7" t="str">
        <f t="shared" si="12"/>
        <v>3</v>
      </c>
      <c r="C269" s="7" t="str">
        <f>+VLOOKUP(P269,Maps!$A:$C,2,0)</f>
        <v>CBTE</v>
      </c>
      <c r="D269" s="7" t="str">
        <f t="shared" si="13"/>
        <v>N</v>
      </c>
      <c r="E269" s="10">
        <f t="shared" si="14"/>
        <v>46087</v>
      </c>
      <c r="F269" s="7" t="str">
        <f t="array" ref="F269">+TIPOARMA(H269,I269)</f>
        <v>ACRR</v>
      </c>
      <c r="G269" s="7"/>
      <c r="H269" s="7" t="str">
        <f>+VLOOKUP(Q269,Maps!I:J,2,0)</f>
        <v>Pistola</v>
      </c>
      <c r="I269" s="7" t="str">
        <f>+VLOOKUP(T269,Maps!E:F,2,0)</f>
        <v>.45 ACP</v>
      </c>
      <c r="L269">
        <v>74</v>
      </c>
      <c r="M269" s="46">
        <v>46087</v>
      </c>
      <c r="N269" t="s">
        <v>530</v>
      </c>
      <c r="O269" t="s">
        <v>456</v>
      </c>
      <c r="P269" t="s">
        <v>457</v>
      </c>
      <c r="Q269" t="s">
        <v>28</v>
      </c>
      <c r="R269" t="s">
        <v>347</v>
      </c>
      <c r="S269" t="s">
        <v>348</v>
      </c>
      <c r="T269" t="s">
        <v>36</v>
      </c>
      <c r="U269">
        <v>5</v>
      </c>
      <c r="V269" t="s">
        <v>400</v>
      </c>
    </row>
    <row r="270" spans="1:22" ht="14.25" customHeight="1" x14ac:dyDescent="0.35">
      <c r="A270" s="45" t="str">
        <f t="array" ref="A270">EXTRACTEVENT(N270,V270)</f>
        <v>NACIONAL LIGHT</v>
      </c>
      <c r="B270" s="7" t="str">
        <f t="shared" si="12"/>
        <v>3</v>
      </c>
      <c r="C270" s="7" t="str">
        <f>+VLOOKUP(P270,Maps!$A:$C,2,0)</f>
        <v>CBTE</v>
      </c>
      <c r="D270" s="7" t="str">
        <f t="shared" si="13"/>
        <v>N</v>
      </c>
      <c r="E270" s="10">
        <f t="shared" si="14"/>
        <v>46087</v>
      </c>
      <c r="F270" s="7" t="str">
        <f t="array" ref="F270">+TIPOARMA(H270,I270)</f>
        <v>ACRR</v>
      </c>
      <c r="G270" s="7"/>
      <c r="H270" s="7" t="str">
        <f>+VLOOKUP(Q270,Maps!I:J,2,0)</f>
        <v>Pistola</v>
      </c>
      <c r="I270" s="7" t="str">
        <f>+VLOOKUP(T270,Maps!E:F,2,0)</f>
        <v>.380 ACP</v>
      </c>
      <c r="L270">
        <v>75</v>
      </c>
      <c r="M270" s="46">
        <v>46087</v>
      </c>
      <c r="N270" t="s">
        <v>531</v>
      </c>
      <c r="O270" t="s">
        <v>456</v>
      </c>
      <c r="P270" t="s">
        <v>457</v>
      </c>
      <c r="Q270" t="s">
        <v>28</v>
      </c>
      <c r="R270" t="s">
        <v>358</v>
      </c>
      <c r="S270" t="s">
        <v>348</v>
      </c>
      <c r="T270">
        <v>0.38</v>
      </c>
      <c r="U270">
        <v>5</v>
      </c>
      <c r="V270" t="s">
        <v>400</v>
      </c>
    </row>
    <row r="271" spans="1:22" ht="14.25" customHeight="1" x14ac:dyDescent="0.35">
      <c r="A271" s="45" t="str">
        <f t="array" ref="A271">EXTRACTEVENT(N271,V271)</f>
        <v>NACIONAL LIGHT</v>
      </c>
      <c r="B271" s="7" t="str">
        <f t="shared" si="12"/>
        <v>3</v>
      </c>
      <c r="C271" s="7" t="str">
        <f>+VLOOKUP(P271,Maps!$A:$C,2,0)</f>
        <v>CBTE</v>
      </c>
      <c r="D271" s="7" t="str">
        <f t="shared" si="13"/>
        <v>N</v>
      </c>
      <c r="E271" s="10">
        <f t="shared" si="14"/>
        <v>46087</v>
      </c>
      <c r="F271" s="7" t="str">
        <f t="array" ref="F271">+TIPOARMA(H271,I271)</f>
        <v>ALRP</v>
      </c>
      <c r="G271" s="7"/>
      <c r="H271" s="7" t="str">
        <f>+VLOOKUP(Q271,Maps!I:J,2,0)</f>
        <v>Carabina/Fuzil</v>
      </c>
      <c r="I271" s="7" t="str">
        <f>+VLOOKUP(T271,Maps!E:F,2,0)</f>
        <v>.357 Mag</v>
      </c>
      <c r="L271">
        <v>76</v>
      </c>
      <c r="M271" s="46">
        <v>46087</v>
      </c>
      <c r="N271" t="s">
        <v>532</v>
      </c>
      <c r="O271" t="s">
        <v>456</v>
      </c>
      <c r="P271" t="s">
        <v>457</v>
      </c>
      <c r="Q271" t="s">
        <v>404</v>
      </c>
      <c r="R271" t="s">
        <v>381</v>
      </c>
      <c r="S271" t="s">
        <v>348</v>
      </c>
      <c r="T271" t="s">
        <v>20</v>
      </c>
      <c r="U271">
        <v>5</v>
      </c>
      <c r="V271" t="s">
        <v>400</v>
      </c>
    </row>
    <row r="272" spans="1:22" ht="14.25" customHeight="1" x14ac:dyDescent="0.35">
      <c r="A272" s="45" t="str">
        <f t="array" ref="A272">EXTRACTEVENT(N272,V272)</f>
        <v>NACIONAL LIGHT</v>
      </c>
      <c r="B272" s="7" t="str">
        <f t="shared" si="12"/>
        <v>3</v>
      </c>
      <c r="C272" s="7" t="str">
        <f>+VLOOKUP(P272,Maps!$A:$C,2,0)</f>
        <v>CBTE</v>
      </c>
      <c r="D272" s="7" t="str">
        <f t="shared" si="13"/>
        <v>N</v>
      </c>
      <c r="E272" s="10">
        <f t="shared" si="14"/>
        <v>46087</v>
      </c>
      <c r="F272" s="7" t="str">
        <f t="array" ref="F272">+TIPOARMA(H272,I272)</f>
        <v>ALRR</v>
      </c>
      <c r="G272" s="7"/>
      <c r="H272" s="7" t="str">
        <f>+VLOOKUP(Q272,Maps!I:J,2,0)</f>
        <v>Carabina/Fuzil</v>
      </c>
      <c r="I272" s="7" t="str">
        <f>+VLOOKUP(T272,Maps!E:F,2,0)</f>
        <v>5.56MM</v>
      </c>
      <c r="L272">
        <v>77</v>
      </c>
      <c r="M272" s="46">
        <v>46087</v>
      </c>
      <c r="N272" t="s">
        <v>533</v>
      </c>
      <c r="O272" t="s">
        <v>456</v>
      </c>
      <c r="P272" t="s">
        <v>457</v>
      </c>
      <c r="Q272" t="s">
        <v>352</v>
      </c>
      <c r="R272" t="s">
        <v>353</v>
      </c>
      <c r="S272" t="s">
        <v>348</v>
      </c>
      <c r="T272">
        <v>0.55600000000000005</v>
      </c>
      <c r="U272">
        <v>5</v>
      </c>
      <c r="V272" t="s">
        <v>400</v>
      </c>
    </row>
    <row r="273" spans="1:22" ht="14.25" customHeight="1" x14ac:dyDescent="0.35">
      <c r="A273" s="45" t="str">
        <f t="array" ref="A273">EXTRACTEVENT(N273,V273)</f>
        <v>NACIONAL LIGHT</v>
      </c>
      <c r="B273" s="7" t="str">
        <f t="shared" si="12"/>
        <v>5</v>
      </c>
      <c r="C273" s="7" t="str">
        <f>+VLOOKUP(P273,Maps!$A:$C,2,0)</f>
        <v>CBTE</v>
      </c>
      <c r="D273" s="7" t="str">
        <f t="shared" si="13"/>
        <v>N</v>
      </c>
      <c r="E273" s="10">
        <f t="shared" si="14"/>
        <v>46164</v>
      </c>
      <c r="F273" s="7" t="str">
        <f t="array" ref="F273">+TIPOARMA(H273,I273)</f>
        <v>ACRR</v>
      </c>
      <c r="G273" s="7"/>
      <c r="H273" s="7" t="str">
        <f>+VLOOKUP(Q273,Maps!I:J,2,0)</f>
        <v>Pistola</v>
      </c>
      <c r="I273" s="7" t="str">
        <f>+VLOOKUP(T273,Maps!E:F,2,0)</f>
        <v>.45 ACP</v>
      </c>
      <c r="L273">
        <v>78</v>
      </c>
      <c r="M273" s="46">
        <v>46164</v>
      </c>
      <c r="N273" t="s">
        <v>534</v>
      </c>
      <c r="O273" t="s">
        <v>456</v>
      </c>
      <c r="P273" t="s">
        <v>457</v>
      </c>
      <c r="Q273" t="s">
        <v>28</v>
      </c>
      <c r="R273" t="s">
        <v>347</v>
      </c>
      <c r="S273" t="s">
        <v>348</v>
      </c>
      <c r="T273" t="s">
        <v>36</v>
      </c>
      <c r="U273">
        <v>5</v>
      </c>
      <c r="V273" t="s">
        <v>400</v>
      </c>
    </row>
    <row r="274" spans="1:22" ht="14.25" customHeight="1" x14ac:dyDescent="0.35">
      <c r="A274" s="45" t="str">
        <f t="array" ref="A274">EXTRACTEVENT(N274,V274)</f>
        <v>NACIONAL LIGHT</v>
      </c>
      <c r="B274" s="7" t="str">
        <f t="shared" si="12"/>
        <v>5</v>
      </c>
      <c r="C274" s="7" t="str">
        <f>+VLOOKUP(P274,Maps!$A:$C,2,0)</f>
        <v>CBTE</v>
      </c>
      <c r="D274" s="7" t="str">
        <f t="shared" si="13"/>
        <v>N</v>
      </c>
      <c r="E274" s="10">
        <f t="shared" si="14"/>
        <v>46164</v>
      </c>
      <c r="F274" s="7" t="str">
        <f t="array" ref="F274">+TIPOARMA(H274,I274)</f>
        <v>ACRR</v>
      </c>
      <c r="G274" s="7"/>
      <c r="H274" s="7" t="str">
        <f>+VLOOKUP(Q274,Maps!I:J,2,0)</f>
        <v>Pistola</v>
      </c>
      <c r="I274" s="7" t="str">
        <f>+VLOOKUP(T274,Maps!E:F,2,0)</f>
        <v>.380 ACP</v>
      </c>
      <c r="L274">
        <v>79</v>
      </c>
      <c r="M274" s="46">
        <v>46164</v>
      </c>
      <c r="N274" t="s">
        <v>535</v>
      </c>
      <c r="O274" t="s">
        <v>456</v>
      </c>
      <c r="P274" t="s">
        <v>457</v>
      </c>
      <c r="Q274" t="s">
        <v>28</v>
      </c>
      <c r="R274" t="s">
        <v>358</v>
      </c>
      <c r="S274" t="s">
        <v>348</v>
      </c>
      <c r="T274">
        <v>0.38</v>
      </c>
      <c r="U274">
        <v>5</v>
      </c>
      <c r="V274" t="s">
        <v>400</v>
      </c>
    </row>
    <row r="275" spans="1:22" ht="14.25" customHeight="1" x14ac:dyDescent="0.35">
      <c r="A275" s="45" t="str">
        <f t="array" ref="A275">EXTRACTEVENT(N275,V275)</f>
        <v>NACIONAL LIGHT</v>
      </c>
      <c r="B275" s="7" t="str">
        <f t="shared" si="12"/>
        <v>5</v>
      </c>
      <c r="C275" s="7" t="str">
        <f>+VLOOKUP(P275,Maps!$A:$C,2,0)</f>
        <v>CBTE</v>
      </c>
      <c r="D275" s="7" t="str">
        <f t="shared" si="13"/>
        <v>N</v>
      </c>
      <c r="E275" s="10">
        <f t="shared" si="14"/>
        <v>46164</v>
      </c>
      <c r="F275" s="7" t="str">
        <f t="array" ref="F275">+TIPOARMA(H275,I275)</f>
        <v/>
      </c>
      <c r="G275" s="7"/>
      <c r="H275" s="7" t="str">
        <f>+VLOOKUP(Q275,Maps!I:J,2,0)</f>
        <v>Espingarda</v>
      </c>
      <c r="I275" s="7" t="str">
        <f>+VLOOKUP(T275,Maps!E:F,2,0)</f>
        <v>Cal 12</v>
      </c>
      <c r="L275">
        <v>80</v>
      </c>
      <c r="M275" s="46">
        <v>46164</v>
      </c>
      <c r="N275" t="s">
        <v>536</v>
      </c>
      <c r="O275" t="s">
        <v>456</v>
      </c>
      <c r="P275" t="s">
        <v>457</v>
      </c>
      <c r="Q275" t="s">
        <v>452</v>
      </c>
      <c r="R275" t="s">
        <v>453</v>
      </c>
      <c r="S275" t="s">
        <v>348</v>
      </c>
      <c r="T275" t="s">
        <v>454</v>
      </c>
      <c r="U275">
        <v>5</v>
      </c>
      <c r="V275" t="s">
        <v>400</v>
      </c>
    </row>
    <row r="276" spans="1:22" ht="14.25" customHeight="1" x14ac:dyDescent="0.35">
      <c r="A276" s="45" t="str">
        <f t="array" ref="A276">EXTRACTEVENT(N276,V276)</f>
        <v>NACIONAL LIGHT</v>
      </c>
      <c r="B276" s="7" t="str">
        <f t="shared" si="12"/>
        <v>5</v>
      </c>
      <c r="C276" s="7" t="str">
        <f>+VLOOKUP(P276,Maps!$A:$C,2,0)</f>
        <v>CBTE</v>
      </c>
      <c r="D276" s="7" t="str">
        <f t="shared" si="13"/>
        <v>N</v>
      </c>
      <c r="E276" s="10">
        <f t="shared" si="14"/>
        <v>46164</v>
      </c>
      <c r="F276" s="7" t="str">
        <f t="array" ref="F276">+TIPOARMA(H276,I276)</f>
        <v>ALRP</v>
      </c>
      <c r="G276" s="7"/>
      <c r="H276" s="7" t="str">
        <f>+VLOOKUP(Q276,Maps!I:J,2,0)</f>
        <v>Carabina/Fuzil</v>
      </c>
      <c r="I276" s="7" t="str">
        <f>+VLOOKUP(T276,Maps!E:F,2,0)</f>
        <v>.357 Mag</v>
      </c>
      <c r="L276">
        <v>81</v>
      </c>
      <c r="M276" s="46">
        <v>46164</v>
      </c>
      <c r="N276" t="s">
        <v>537</v>
      </c>
      <c r="O276" t="s">
        <v>456</v>
      </c>
      <c r="P276" t="s">
        <v>457</v>
      </c>
      <c r="Q276" t="s">
        <v>404</v>
      </c>
      <c r="R276" t="s">
        <v>381</v>
      </c>
      <c r="S276" t="s">
        <v>348</v>
      </c>
      <c r="T276" t="s">
        <v>20</v>
      </c>
      <c r="U276">
        <v>5</v>
      </c>
      <c r="V276" t="s">
        <v>400</v>
      </c>
    </row>
    <row r="277" spans="1:22" ht="14.25" customHeight="1" x14ac:dyDescent="0.35">
      <c r="A277" s="45" t="str">
        <f t="array" ref="A277">EXTRACTEVENT(N277,V277)</f>
        <v>NACIONAL LIGHT</v>
      </c>
      <c r="B277" s="7" t="str">
        <f t="shared" si="12"/>
        <v>5</v>
      </c>
      <c r="C277" s="7" t="str">
        <f>+VLOOKUP(P277,Maps!$A:$C,2,0)</f>
        <v>CBTE</v>
      </c>
      <c r="D277" s="7" t="str">
        <f t="shared" si="13"/>
        <v>N</v>
      </c>
      <c r="E277" s="10">
        <f t="shared" si="14"/>
        <v>46164</v>
      </c>
      <c r="F277" s="7" t="str">
        <f t="array" ref="F277">+TIPOARMA(H277,I277)</f>
        <v>ALRR</v>
      </c>
      <c r="G277" s="7"/>
      <c r="H277" s="7" t="str">
        <f>+VLOOKUP(Q277,Maps!I:J,2,0)</f>
        <v>Carabina/Fuzil</v>
      </c>
      <c r="I277" s="7" t="str">
        <f>+VLOOKUP(T277,Maps!E:F,2,0)</f>
        <v>5.56MM</v>
      </c>
      <c r="L277">
        <v>82</v>
      </c>
      <c r="M277" s="46">
        <v>46164</v>
      </c>
      <c r="N277" t="s">
        <v>538</v>
      </c>
      <c r="O277" t="s">
        <v>456</v>
      </c>
      <c r="P277" t="s">
        <v>457</v>
      </c>
      <c r="Q277" t="s">
        <v>352</v>
      </c>
      <c r="R277" t="s">
        <v>353</v>
      </c>
      <c r="S277" t="s">
        <v>348</v>
      </c>
      <c r="T277">
        <v>0.55600000000000005</v>
      </c>
      <c r="U277">
        <v>5</v>
      </c>
      <c r="V277" t="s">
        <v>400</v>
      </c>
    </row>
    <row r="278" spans="1:22" ht="14.25" customHeight="1" x14ac:dyDescent="0.35">
      <c r="A278" s="45" t="str">
        <f t="array" ref="A278">EXTRACTEVENT(N278,V278)</f>
        <v>TREINO</v>
      </c>
      <c r="B278" s="7" t="str">
        <f t="shared" si="12"/>
        <v>-</v>
      </c>
      <c r="C278" s="7" t="str">
        <f>+VLOOKUP(P278,Maps!$A:$C,2,0)</f>
        <v>Base</v>
      </c>
      <c r="D278" s="7" t="str">
        <f t="shared" si="13"/>
        <v>T</v>
      </c>
      <c r="E278" s="10">
        <f t="shared" si="14"/>
        <v>46080</v>
      </c>
      <c r="F278" s="7" t="str">
        <f t="array" ref="F278">+TIPOARMA(H278,I278)</f>
        <v>ACRR</v>
      </c>
      <c r="G278" s="7"/>
      <c r="H278" s="7" t="str">
        <f>+VLOOKUP(Q278,Maps!I:J,2,0)</f>
        <v>Pistola</v>
      </c>
      <c r="I278" s="7" t="str">
        <f>+VLOOKUP(T278,Maps!E:F,2,0)</f>
        <v>.380 ACP</v>
      </c>
      <c r="L278">
        <v>1</v>
      </c>
      <c r="M278" s="46">
        <v>46080</v>
      </c>
      <c r="N278" t="s">
        <v>539</v>
      </c>
      <c r="O278" t="s">
        <v>351</v>
      </c>
      <c r="P278" t="s">
        <v>540</v>
      </c>
      <c r="Q278" t="s">
        <v>28</v>
      </c>
      <c r="R278" t="s">
        <v>358</v>
      </c>
      <c r="S278" t="s">
        <v>149</v>
      </c>
      <c r="T278" t="s">
        <v>541</v>
      </c>
      <c r="U278">
        <v>20</v>
      </c>
      <c r="V278" t="s">
        <v>126</v>
      </c>
    </row>
    <row r="279" spans="1:22" ht="14.25" customHeight="1" x14ac:dyDescent="0.35">
      <c r="A279" s="45" t="str">
        <f t="array" ref="A279">EXTRACTEVENT(N279,V279)</f>
        <v>TREINO</v>
      </c>
      <c r="B279" s="7" t="str">
        <f t="shared" si="12"/>
        <v>-</v>
      </c>
      <c r="C279" s="7" t="str">
        <f>+VLOOKUP(P279,Maps!$A:$C,2,0)</f>
        <v>Base</v>
      </c>
      <c r="D279" s="7" t="str">
        <f t="shared" si="13"/>
        <v>T</v>
      </c>
      <c r="E279" s="10">
        <f t="shared" si="14"/>
        <v>46080</v>
      </c>
      <c r="F279" s="7" t="str">
        <f t="array" ref="F279">+TIPOARMA(H279,I279)</f>
        <v>ALRR</v>
      </c>
      <c r="G279" s="7"/>
      <c r="H279" s="7" t="str">
        <f>+VLOOKUP(Q279,Maps!I:J,2,0)</f>
        <v>Carabina/Fuzil</v>
      </c>
      <c r="I279" s="7" t="str">
        <f>+VLOOKUP(T279,Maps!E:F,2,0)</f>
        <v>5.56MM</v>
      </c>
      <c r="L279">
        <v>1</v>
      </c>
      <c r="M279" s="46">
        <v>46080</v>
      </c>
      <c r="N279" t="s">
        <v>539</v>
      </c>
      <c r="O279" t="s">
        <v>351</v>
      </c>
      <c r="P279" t="s">
        <v>540</v>
      </c>
      <c r="Q279" t="s">
        <v>352</v>
      </c>
      <c r="R279" t="s">
        <v>353</v>
      </c>
      <c r="S279" t="s">
        <v>149</v>
      </c>
      <c r="T279" t="s">
        <v>542</v>
      </c>
      <c r="U279">
        <v>30</v>
      </c>
      <c r="V279" t="s">
        <v>126</v>
      </c>
    </row>
    <row r="280" spans="1:22" ht="14.25" customHeight="1" x14ac:dyDescent="0.35">
      <c r="A280" s="45" t="str">
        <f t="array" ref="A280">EXTRACTEVENT(N280,V280)</f>
        <v>TREINO</v>
      </c>
      <c r="B280" s="7" t="str">
        <f t="shared" si="12"/>
        <v>-</v>
      </c>
      <c r="C280" s="7" t="str">
        <f>+VLOOKUP(P280,Maps!$A:$C,2,0)</f>
        <v>Base</v>
      </c>
      <c r="D280" s="7" t="str">
        <f t="shared" si="13"/>
        <v>T</v>
      </c>
      <c r="E280" s="10">
        <f t="shared" si="14"/>
        <v>46080</v>
      </c>
      <c r="F280" s="7" t="str">
        <f t="array" ref="F280">+TIPOARMA(H280,I280)</f>
        <v>ALRP</v>
      </c>
      <c r="G280" s="7"/>
      <c r="H280" s="7" t="str">
        <f>+VLOOKUP(Q280,Maps!I:J,2,0)</f>
        <v>Carabina/Fuzil</v>
      </c>
      <c r="I280" s="7" t="str">
        <f>+VLOOKUP(T280,Maps!E:F,2,0)</f>
        <v>.357 Mag</v>
      </c>
      <c r="L280">
        <v>1</v>
      </c>
      <c r="M280" s="46">
        <v>46080</v>
      </c>
      <c r="N280" t="s">
        <v>539</v>
      </c>
      <c r="O280" t="s">
        <v>351</v>
      </c>
      <c r="P280" t="s">
        <v>540</v>
      </c>
      <c r="Q280" t="s">
        <v>352</v>
      </c>
      <c r="R280" t="s">
        <v>381</v>
      </c>
      <c r="S280" t="s">
        <v>149</v>
      </c>
      <c r="T280" t="s">
        <v>543</v>
      </c>
      <c r="U280">
        <v>50</v>
      </c>
      <c r="V280" t="s">
        <v>126</v>
      </c>
    </row>
    <row r="281" spans="1:22" ht="14.25" customHeight="1" x14ac:dyDescent="0.35">
      <c r="A281" s="45" t="str">
        <f t="array" ref="A281">EXTRACTEVENT(N281,V281)</f>
        <v>TREINO</v>
      </c>
      <c r="B281" s="7" t="str">
        <f t="shared" si="12"/>
        <v>-</v>
      </c>
      <c r="C281" s="7" t="str">
        <f>+VLOOKUP(P281,Maps!$A:$C,2,0)</f>
        <v>Base</v>
      </c>
      <c r="D281" s="7" t="str">
        <f t="shared" si="13"/>
        <v>T</v>
      </c>
      <c r="E281" s="10">
        <f t="shared" si="14"/>
        <v>46080</v>
      </c>
      <c r="F281" s="7" t="str">
        <f t="array" ref="F281">+TIPOARMA(H281,I281)</f>
        <v>ACRP</v>
      </c>
      <c r="G281" s="7"/>
      <c r="H281" s="7" t="str">
        <f>+VLOOKUP(Q281,Maps!I:J,2,0)</f>
        <v>Pistola</v>
      </c>
      <c r="I281" s="7" t="str">
        <f>+VLOOKUP(T281,Maps!E:F,2,0)</f>
        <v>9mm</v>
      </c>
      <c r="L281">
        <v>1</v>
      </c>
      <c r="M281" s="46">
        <v>46080</v>
      </c>
      <c r="N281" t="s">
        <v>539</v>
      </c>
      <c r="O281" t="s">
        <v>351</v>
      </c>
      <c r="P281" t="s">
        <v>540</v>
      </c>
      <c r="Q281" t="s">
        <v>28</v>
      </c>
      <c r="R281" t="s">
        <v>347</v>
      </c>
      <c r="S281" t="s">
        <v>149</v>
      </c>
      <c r="T281" t="s">
        <v>544</v>
      </c>
      <c r="U281">
        <v>50</v>
      </c>
      <c r="V281" t="s">
        <v>126</v>
      </c>
    </row>
    <row r="282" spans="1:22" ht="14.25" customHeight="1" x14ac:dyDescent="0.35">
      <c r="A282" s="45" t="str">
        <f t="array" ref="A282">EXTRACTEVENT(N282,V282)</f>
        <v>TREINO</v>
      </c>
      <c r="B282" s="7" t="str">
        <f t="shared" si="12"/>
        <v>-</v>
      </c>
      <c r="C282" s="7" t="str">
        <f>+VLOOKUP(P282,Maps!$A:$C,2,0)</f>
        <v>Base</v>
      </c>
      <c r="D282" s="7" t="str">
        <f t="shared" si="13"/>
        <v>T</v>
      </c>
      <c r="E282" s="10">
        <f t="shared" si="14"/>
        <v>46087</v>
      </c>
      <c r="F282" s="7" t="str">
        <f t="array" ref="F282">+TIPOARMA(H282,I282)</f>
        <v>ACRR</v>
      </c>
      <c r="G282" s="7"/>
      <c r="H282" s="7" t="str">
        <f>+VLOOKUP(Q282,Maps!I:J,2,0)</f>
        <v>Pistola</v>
      </c>
      <c r="I282" s="7" t="str">
        <f>+VLOOKUP(T282,Maps!E:F,2,0)</f>
        <v>.380 ACP</v>
      </c>
      <c r="L282">
        <v>2</v>
      </c>
      <c r="M282" s="46">
        <v>46087</v>
      </c>
      <c r="N282" t="s">
        <v>539</v>
      </c>
      <c r="O282" t="s">
        <v>351</v>
      </c>
      <c r="P282" t="s">
        <v>540</v>
      </c>
      <c r="Q282" t="s">
        <v>28</v>
      </c>
      <c r="R282" t="s">
        <v>358</v>
      </c>
      <c r="S282" t="s">
        <v>149</v>
      </c>
      <c r="T282" t="s">
        <v>541</v>
      </c>
      <c r="U282">
        <v>10</v>
      </c>
      <c r="V282" t="s">
        <v>126</v>
      </c>
    </row>
    <row r="283" spans="1:22" ht="14.25" customHeight="1" x14ac:dyDescent="0.35">
      <c r="A283" s="45" t="str">
        <f t="array" ref="A283">EXTRACTEVENT(N283,V283)</f>
        <v>TREINO</v>
      </c>
      <c r="B283" s="7" t="str">
        <f t="shared" si="12"/>
        <v>-</v>
      </c>
      <c r="C283" s="7" t="str">
        <f>+VLOOKUP(P283,Maps!$A:$C,2,0)</f>
        <v>Base</v>
      </c>
      <c r="D283" s="7" t="str">
        <f t="shared" si="13"/>
        <v>T</v>
      </c>
      <c r="E283" s="10">
        <f t="shared" si="14"/>
        <v>46087</v>
      </c>
      <c r="F283" s="7" t="str">
        <f t="array" ref="F283">+TIPOARMA(H283,I283)</f>
        <v/>
      </c>
      <c r="G283" s="7"/>
      <c r="H283" s="7" t="str">
        <f>+VLOOKUP(Q283,Maps!I:J,2,0)</f>
        <v>Espingarda</v>
      </c>
      <c r="I283" s="7" t="str">
        <f>+VLOOKUP(T283,Maps!E:F,2,0)</f>
        <v>Cal 12</v>
      </c>
      <c r="L283">
        <v>2</v>
      </c>
      <c r="M283" s="46">
        <v>46087</v>
      </c>
      <c r="N283" t="s">
        <v>539</v>
      </c>
      <c r="O283" t="s">
        <v>351</v>
      </c>
      <c r="P283" t="s">
        <v>540</v>
      </c>
      <c r="Q283" t="s">
        <v>452</v>
      </c>
      <c r="R283" t="s">
        <v>453</v>
      </c>
      <c r="S283" t="s">
        <v>149</v>
      </c>
      <c r="T283" t="s">
        <v>545</v>
      </c>
      <c r="U283">
        <v>10</v>
      </c>
      <c r="V283" t="s">
        <v>126</v>
      </c>
    </row>
    <row r="284" spans="1:22" ht="14.25" customHeight="1" x14ac:dyDescent="0.35">
      <c r="A284" s="45" t="str">
        <f t="array" ref="A284">EXTRACTEVENT(N284,V284)</f>
        <v>TREINO</v>
      </c>
      <c r="B284" s="7" t="str">
        <f t="shared" si="12"/>
        <v>-</v>
      </c>
      <c r="C284" s="7" t="str">
        <f>+VLOOKUP(P284,Maps!$A:$C,2,0)</f>
        <v>Base</v>
      </c>
      <c r="D284" s="7" t="str">
        <f t="shared" si="13"/>
        <v>T</v>
      </c>
      <c r="E284" s="10">
        <f t="shared" si="14"/>
        <v>46087</v>
      </c>
      <c r="F284" s="7" t="str">
        <f t="array" ref="F284">+TIPOARMA(H284,I284)</f>
        <v>ALRP</v>
      </c>
      <c r="G284" s="7"/>
      <c r="H284" s="7" t="str">
        <f>+VLOOKUP(Q284,Maps!I:J,2,0)</f>
        <v>Carabina/Fuzil</v>
      </c>
      <c r="I284" s="7" t="str">
        <f>+VLOOKUP(T284,Maps!E:F,2,0)</f>
        <v>.357 Mag</v>
      </c>
      <c r="L284">
        <v>2</v>
      </c>
      <c r="M284" s="46">
        <v>46087</v>
      </c>
      <c r="N284" t="s">
        <v>539</v>
      </c>
      <c r="O284" t="s">
        <v>351</v>
      </c>
      <c r="P284" t="s">
        <v>540</v>
      </c>
      <c r="Q284" t="s">
        <v>352</v>
      </c>
      <c r="R284" t="s">
        <v>381</v>
      </c>
      <c r="S284" t="s">
        <v>149</v>
      </c>
      <c r="T284" t="s">
        <v>543</v>
      </c>
      <c r="U284">
        <v>30</v>
      </c>
      <c r="V284" t="s">
        <v>126</v>
      </c>
    </row>
    <row r="285" spans="1:22" ht="14.25" customHeight="1" x14ac:dyDescent="0.35">
      <c r="A285" s="45" t="str">
        <f t="array" ref="A285">EXTRACTEVENT(N285,V285)</f>
        <v>TREINO</v>
      </c>
      <c r="B285" s="7" t="str">
        <f t="shared" si="12"/>
        <v>-</v>
      </c>
      <c r="C285" s="7" t="str">
        <f>+VLOOKUP(P285,Maps!$A:$C,2,0)</f>
        <v>Base</v>
      </c>
      <c r="D285" s="7" t="str">
        <f t="shared" si="13"/>
        <v>T</v>
      </c>
      <c r="E285" s="10">
        <f t="shared" si="14"/>
        <v>46087</v>
      </c>
      <c r="F285" s="7" t="str">
        <f t="array" ref="F285">+TIPOARMA(H285,I285)</f>
        <v>ALRR</v>
      </c>
      <c r="G285" s="7"/>
      <c r="H285" s="7" t="str">
        <f>+VLOOKUP(Q285,Maps!I:J,2,0)</f>
        <v>Carabina/Fuzil</v>
      </c>
      <c r="I285" s="7" t="str">
        <f>+VLOOKUP(T285,Maps!E:F,2,0)</f>
        <v>5.56MM</v>
      </c>
      <c r="L285">
        <v>2</v>
      </c>
      <c r="M285" s="46">
        <v>46087</v>
      </c>
      <c r="N285" t="s">
        <v>539</v>
      </c>
      <c r="O285" t="s">
        <v>351</v>
      </c>
      <c r="P285" t="s">
        <v>540</v>
      </c>
      <c r="Q285" t="s">
        <v>352</v>
      </c>
      <c r="R285" t="s">
        <v>353</v>
      </c>
      <c r="S285" t="s">
        <v>149</v>
      </c>
      <c r="T285" t="s">
        <v>542</v>
      </c>
      <c r="U285">
        <v>50</v>
      </c>
      <c r="V285" t="s">
        <v>126</v>
      </c>
    </row>
    <row r="286" spans="1:22" ht="14.25" customHeight="1" x14ac:dyDescent="0.35">
      <c r="A286" s="45" t="str">
        <f t="array" ref="A286">EXTRACTEVENT(N286,V286)</f>
        <v>TREINO</v>
      </c>
      <c r="B286" s="7" t="str">
        <f t="shared" si="12"/>
        <v>-</v>
      </c>
      <c r="C286" s="7" t="str">
        <f>+VLOOKUP(P286,Maps!$A:$C,2,0)</f>
        <v>Base</v>
      </c>
      <c r="D286" s="7" t="str">
        <f t="shared" si="13"/>
        <v>T</v>
      </c>
      <c r="E286" s="10">
        <f t="shared" si="14"/>
        <v>46087</v>
      </c>
      <c r="F286" s="7" t="str">
        <f t="array" ref="F286">+TIPOARMA(H286,I286)</f>
        <v>ACRR</v>
      </c>
      <c r="G286" s="7"/>
      <c r="H286" s="7" t="str">
        <f>+VLOOKUP(Q286,Maps!I:J,2,0)</f>
        <v>Pistola</v>
      </c>
      <c r="I286" s="7" t="str">
        <f>+VLOOKUP(T286,Maps!E:F,2,0)</f>
        <v>.45 ACP</v>
      </c>
      <c r="L286">
        <v>2</v>
      </c>
      <c r="M286" s="46">
        <v>46087</v>
      </c>
      <c r="N286" t="s">
        <v>539</v>
      </c>
      <c r="O286" t="s">
        <v>351</v>
      </c>
      <c r="P286" t="s">
        <v>540</v>
      </c>
      <c r="Q286" t="s">
        <v>28</v>
      </c>
      <c r="R286" t="s">
        <v>347</v>
      </c>
      <c r="S286" t="s">
        <v>149</v>
      </c>
      <c r="T286" t="s">
        <v>356</v>
      </c>
      <c r="U286">
        <v>50</v>
      </c>
      <c r="V286" t="s">
        <v>126</v>
      </c>
    </row>
    <row r="287" spans="1:22" ht="14.25" customHeight="1" x14ac:dyDescent="0.35">
      <c r="A287" s="45" t="str">
        <f t="array" ref="A287">EXTRACTEVENT(N287,V287)</f>
        <v>TREINO</v>
      </c>
      <c r="B287" s="7" t="str">
        <f t="shared" si="12"/>
        <v>-</v>
      </c>
      <c r="C287" s="7" t="str">
        <f>+VLOOKUP(P287,Maps!$A:$C,2,0)</f>
        <v>Base</v>
      </c>
      <c r="D287" s="7" t="str">
        <f t="shared" si="13"/>
        <v>T</v>
      </c>
      <c r="E287" s="10">
        <f t="shared" si="14"/>
        <v>46113</v>
      </c>
      <c r="F287" s="7" t="str">
        <f t="array" ref="F287">+TIPOARMA(H287,I287)</f>
        <v>ALRR</v>
      </c>
      <c r="G287" s="7"/>
      <c r="H287" s="7" t="str">
        <f>+VLOOKUP(Q287,Maps!I:J,2,0)</f>
        <v>Carabina/Fuzil</v>
      </c>
      <c r="I287" s="7" t="str">
        <f>+VLOOKUP(T287,Maps!E:F,2,0)</f>
        <v>5.56MM</v>
      </c>
      <c r="L287">
        <v>3</v>
      </c>
      <c r="M287" s="46">
        <v>46113</v>
      </c>
      <c r="N287" t="s">
        <v>546</v>
      </c>
      <c r="O287" t="s">
        <v>351</v>
      </c>
      <c r="P287" t="s">
        <v>540</v>
      </c>
      <c r="Q287" t="s">
        <v>352</v>
      </c>
      <c r="R287" t="s">
        <v>353</v>
      </c>
      <c r="S287" t="s">
        <v>149</v>
      </c>
      <c r="T287" t="s">
        <v>542</v>
      </c>
      <c r="U287">
        <v>10</v>
      </c>
      <c r="V287" t="s">
        <v>126</v>
      </c>
    </row>
    <row r="288" spans="1:22" ht="14.25" customHeight="1" x14ac:dyDescent="0.35">
      <c r="A288" s="45" t="str">
        <f t="array" ref="A288">EXTRACTEVENT(N288,V288)</f>
        <v>TREINO</v>
      </c>
      <c r="B288" s="7" t="str">
        <f t="shared" si="12"/>
        <v>-</v>
      </c>
      <c r="C288" s="7" t="str">
        <f>+VLOOKUP(P288,Maps!$A:$C,2,0)</f>
        <v>Base</v>
      </c>
      <c r="D288" s="7" t="str">
        <f t="shared" si="13"/>
        <v>T</v>
      </c>
      <c r="E288" s="10">
        <f t="shared" si="14"/>
        <v>46113</v>
      </c>
      <c r="F288" s="7" t="str">
        <f t="array" ref="F288">+TIPOARMA(H288,I288)</f>
        <v/>
      </c>
      <c r="G288" s="7"/>
      <c r="H288" s="7" t="str">
        <f>+VLOOKUP(Q288,Maps!I:J,2,0)</f>
        <v>Espingarda</v>
      </c>
      <c r="I288" s="7" t="str">
        <f>+VLOOKUP(T288,Maps!E:F,2,0)</f>
        <v>Cal 12</v>
      </c>
      <c r="L288">
        <v>3</v>
      </c>
      <c r="M288" s="46">
        <v>46113</v>
      </c>
      <c r="N288" t="s">
        <v>546</v>
      </c>
      <c r="O288" t="s">
        <v>351</v>
      </c>
      <c r="P288" t="s">
        <v>540</v>
      </c>
      <c r="Q288" t="s">
        <v>452</v>
      </c>
      <c r="R288" t="s">
        <v>453</v>
      </c>
      <c r="S288" t="s">
        <v>149</v>
      </c>
      <c r="T288" t="s">
        <v>545</v>
      </c>
      <c r="U288">
        <v>10</v>
      </c>
      <c r="V288" t="s">
        <v>126</v>
      </c>
    </row>
    <row r="289" spans="1:22" ht="14.25" customHeight="1" x14ac:dyDescent="0.35">
      <c r="A289" s="45" t="str">
        <f t="array" ref="A289">EXTRACTEVENT(N289,V289)</f>
        <v>TREINO</v>
      </c>
      <c r="B289" s="7" t="str">
        <f t="shared" si="12"/>
        <v>-</v>
      </c>
      <c r="C289" s="7" t="str">
        <f>+VLOOKUP(P289,Maps!$A:$C,2,0)</f>
        <v>Base</v>
      </c>
      <c r="D289" s="7" t="str">
        <f t="shared" si="13"/>
        <v>T</v>
      </c>
      <c r="E289" s="10">
        <f t="shared" si="14"/>
        <v>46113</v>
      </c>
      <c r="F289" s="7" t="str">
        <f t="array" ref="F289">+TIPOARMA(H289,I289)</f>
        <v>ALRP</v>
      </c>
      <c r="G289" s="7"/>
      <c r="H289" s="7" t="str">
        <f>+VLOOKUP(Q289,Maps!I:J,2,0)</f>
        <v>Carabina/Fuzil</v>
      </c>
      <c r="I289" s="7" t="str">
        <f>+VLOOKUP(T289,Maps!E:F,2,0)</f>
        <v>.357 Mag</v>
      </c>
      <c r="L289">
        <v>3</v>
      </c>
      <c r="M289" s="46">
        <v>46113</v>
      </c>
      <c r="N289" t="s">
        <v>546</v>
      </c>
      <c r="O289" t="s">
        <v>351</v>
      </c>
      <c r="P289" t="s">
        <v>540</v>
      </c>
      <c r="Q289" t="s">
        <v>352</v>
      </c>
      <c r="R289" t="s">
        <v>381</v>
      </c>
      <c r="S289" t="s">
        <v>149</v>
      </c>
      <c r="T289" t="s">
        <v>543</v>
      </c>
      <c r="U289">
        <v>20</v>
      </c>
      <c r="V289" t="s">
        <v>126</v>
      </c>
    </row>
    <row r="290" spans="1:22" ht="14.25" customHeight="1" x14ac:dyDescent="0.35">
      <c r="A290" s="45" t="str">
        <f t="array" ref="A290">EXTRACTEVENT(N290,V290)</f>
        <v>TREINO</v>
      </c>
      <c r="B290" s="7" t="str">
        <f t="shared" si="12"/>
        <v>-</v>
      </c>
      <c r="C290" s="7" t="str">
        <f>+VLOOKUP(P290,Maps!$A:$C,2,0)</f>
        <v>Base</v>
      </c>
      <c r="D290" s="7" t="str">
        <f t="shared" si="13"/>
        <v>T</v>
      </c>
      <c r="E290" s="10">
        <f t="shared" si="14"/>
        <v>46113</v>
      </c>
      <c r="F290" s="7" t="str">
        <f t="array" ref="F290">+TIPOARMA(H290,I290)</f>
        <v>ACRR</v>
      </c>
      <c r="G290" s="7"/>
      <c r="H290" s="7" t="str">
        <f>+VLOOKUP(Q290,Maps!I:J,2,0)</f>
        <v>Pistola</v>
      </c>
      <c r="I290" s="7" t="str">
        <f>+VLOOKUP(T290,Maps!E:F,2,0)</f>
        <v>.380 ACP</v>
      </c>
      <c r="L290">
        <v>3</v>
      </c>
      <c r="M290" s="46">
        <v>46113</v>
      </c>
      <c r="N290" t="s">
        <v>546</v>
      </c>
      <c r="O290" t="s">
        <v>351</v>
      </c>
      <c r="P290" t="s">
        <v>540</v>
      </c>
      <c r="Q290" t="s">
        <v>28</v>
      </c>
      <c r="R290" t="s">
        <v>358</v>
      </c>
      <c r="S290" t="s">
        <v>149</v>
      </c>
      <c r="T290" t="s">
        <v>541</v>
      </c>
      <c r="U290">
        <v>50</v>
      </c>
      <c r="V290" t="s">
        <v>126</v>
      </c>
    </row>
    <row r="291" spans="1:22" ht="14.25" customHeight="1" x14ac:dyDescent="0.35">
      <c r="A291" s="45" t="str">
        <f t="array" ref="A291">EXTRACTEVENT(N291,V291)</f>
        <v>TREINO</v>
      </c>
      <c r="B291" s="7" t="str">
        <f t="shared" si="12"/>
        <v>-</v>
      </c>
      <c r="C291" s="7" t="str">
        <f>+VLOOKUP(P291,Maps!$A:$C,2,0)</f>
        <v>Base</v>
      </c>
      <c r="D291" s="7" t="str">
        <f t="shared" si="13"/>
        <v>T</v>
      </c>
      <c r="E291" s="10">
        <f t="shared" si="14"/>
        <v>46113</v>
      </c>
      <c r="F291" s="7" t="str">
        <f t="array" ref="F291">+TIPOARMA(H291,I291)</f>
        <v>ACRP</v>
      </c>
      <c r="G291" s="7"/>
      <c r="H291" s="7" t="str">
        <f>+VLOOKUP(Q291,Maps!I:J,2,0)</f>
        <v>Pistola</v>
      </c>
      <c r="I291" s="7" t="str">
        <f>+VLOOKUP(T291,Maps!E:F,2,0)</f>
        <v>9mm</v>
      </c>
      <c r="L291">
        <v>3</v>
      </c>
      <c r="M291" s="46">
        <v>46113</v>
      </c>
      <c r="N291" t="s">
        <v>546</v>
      </c>
      <c r="O291" t="s">
        <v>351</v>
      </c>
      <c r="P291" t="s">
        <v>540</v>
      </c>
      <c r="Q291" t="s">
        <v>28</v>
      </c>
      <c r="R291" t="s">
        <v>347</v>
      </c>
      <c r="S291" t="s">
        <v>149</v>
      </c>
      <c r="T291" t="s">
        <v>544</v>
      </c>
      <c r="U291">
        <v>50</v>
      </c>
      <c r="V291" t="s">
        <v>126</v>
      </c>
    </row>
    <row r="292" spans="1:22" ht="14.25" customHeight="1" x14ac:dyDescent="0.35">
      <c r="A292" s="45" t="str">
        <f t="array" ref="A292">EXTRACTEVENT(N292,V292)</f>
        <v>TREINO</v>
      </c>
      <c r="B292" s="7" t="str">
        <f t="shared" si="12"/>
        <v>-</v>
      </c>
      <c r="C292" s="7" t="str">
        <f>+VLOOKUP(P292,Maps!$A:$C,2,0)</f>
        <v>Base</v>
      </c>
      <c r="D292" s="7" t="str">
        <f t="shared" si="13"/>
        <v>T</v>
      </c>
      <c r="E292" s="10">
        <f t="shared" si="14"/>
        <v>46113</v>
      </c>
      <c r="F292" s="7" t="str">
        <f t="array" ref="F292">+TIPOARMA(H292,I292)</f>
        <v>ALRR</v>
      </c>
      <c r="G292" s="7"/>
      <c r="H292" s="7" t="str">
        <f>+VLOOKUP(Q292,Maps!I:J,2,0)</f>
        <v>Carabina/Fuzil</v>
      </c>
      <c r="I292" s="7" t="str">
        <f>+VLOOKUP(T292,Maps!E:F,2,0)</f>
        <v>5.56MM</v>
      </c>
      <c r="L292">
        <v>4</v>
      </c>
      <c r="M292" s="46">
        <v>46113</v>
      </c>
      <c r="N292" t="s">
        <v>546</v>
      </c>
      <c r="O292" t="s">
        <v>351</v>
      </c>
      <c r="P292" t="s">
        <v>540</v>
      </c>
      <c r="Q292" t="s">
        <v>352</v>
      </c>
      <c r="R292" t="s">
        <v>353</v>
      </c>
      <c r="S292" t="s">
        <v>149</v>
      </c>
      <c r="T292" t="s">
        <v>542</v>
      </c>
      <c r="U292">
        <v>10</v>
      </c>
      <c r="V292" t="s">
        <v>126</v>
      </c>
    </row>
    <row r="293" spans="1:22" ht="14.25" customHeight="1" x14ac:dyDescent="0.35">
      <c r="A293" s="45" t="str">
        <f t="array" ref="A293">EXTRACTEVENT(N293,V293)</f>
        <v>TREINO</v>
      </c>
      <c r="B293" s="7" t="str">
        <f t="shared" si="12"/>
        <v>-</v>
      </c>
      <c r="C293" s="7" t="str">
        <f>+VLOOKUP(P293,Maps!$A:$C,2,0)</f>
        <v>Base</v>
      </c>
      <c r="D293" s="7" t="str">
        <f t="shared" si="13"/>
        <v>T</v>
      </c>
      <c r="E293" s="10">
        <f t="shared" si="14"/>
        <v>46113</v>
      </c>
      <c r="F293" s="7" t="str">
        <f t="array" ref="F293">+TIPOARMA(H293,I293)</f>
        <v/>
      </c>
      <c r="G293" s="7"/>
      <c r="H293" s="7" t="str">
        <f>+VLOOKUP(Q293,Maps!I:J,2,0)</f>
        <v>Espingarda</v>
      </c>
      <c r="I293" s="7" t="str">
        <f>+VLOOKUP(T293,Maps!E:F,2,0)</f>
        <v>Cal 12</v>
      </c>
      <c r="L293">
        <v>4</v>
      </c>
      <c r="M293" s="46">
        <v>46113</v>
      </c>
      <c r="N293" t="s">
        <v>546</v>
      </c>
      <c r="O293" t="s">
        <v>351</v>
      </c>
      <c r="P293" t="s">
        <v>540</v>
      </c>
      <c r="Q293" t="s">
        <v>452</v>
      </c>
      <c r="R293" t="s">
        <v>453</v>
      </c>
      <c r="S293" t="s">
        <v>149</v>
      </c>
      <c r="T293" t="s">
        <v>545</v>
      </c>
      <c r="U293">
        <v>10</v>
      </c>
      <c r="V293" t="s">
        <v>126</v>
      </c>
    </row>
    <row r="294" spans="1:22" ht="14.25" customHeight="1" x14ac:dyDescent="0.35">
      <c r="A294" s="45" t="str">
        <f t="array" ref="A294">EXTRACTEVENT(N294,V294)</f>
        <v>TREINO</v>
      </c>
      <c r="B294" s="7" t="str">
        <f t="shared" si="12"/>
        <v>-</v>
      </c>
      <c r="C294" s="7" t="str">
        <f>+VLOOKUP(P294,Maps!$A:$C,2,0)</f>
        <v>Base</v>
      </c>
      <c r="D294" s="7" t="str">
        <f t="shared" si="13"/>
        <v>T</v>
      </c>
      <c r="E294" s="10">
        <f t="shared" si="14"/>
        <v>46113</v>
      </c>
      <c r="F294" s="7" t="str">
        <f t="array" ref="F294">+TIPOARMA(H294,I294)</f>
        <v>ALRP</v>
      </c>
      <c r="G294" s="7"/>
      <c r="H294" s="7" t="str">
        <f>+VLOOKUP(Q294,Maps!I:J,2,0)</f>
        <v>Carabina/Fuzil</v>
      </c>
      <c r="I294" s="7" t="str">
        <f>+VLOOKUP(T294,Maps!E:F,2,0)</f>
        <v>.357 Mag</v>
      </c>
      <c r="L294">
        <v>4</v>
      </c>
      <c r="M294" s="46">
        <v>46113</v>
      </c>
      <c r="N294" t="s">
        <v>546</v>
      </c>
      <c r="O294" t="s">
        <v>351</v>
      </c>
      <c r="P294" t="s">
        <v>540</v>
      </c>
      <c r="Q294" t="s">
        <v>352</v>
      </c>
      <c r="R294" t="s">
        <v>381</v>
      </c>
      <c r="S294" t="s">
        <v>149</v>
      </c>
      <c r="T294" t="s">
        <v>543</v>
      </c>
      <c r="U294">
        <v>20</v>
      </c>
      <c r="V294" t="s">
        <v>126</v>
      </c>
    </row>
    <row r="295" spans="1:22" ht="14.25" customHeight="1" x14ac:dyDescent="0.35">
      <c r="A295" s="45" t="str">
        <f t="array" ref="A295">EXTRACTEVENT(N295,V295)</f>
        <v>TREINO</v>
      </c>
      <c r="B295" s="7" t="str">
        <f t="shared" si="12"/>
        <v>-</v>
      </c>
      <c r="C295" s="7" t="str">
        <f>+VLOOKUP(P295,Maps!$A:$C,2,0)</f>
        <v>Base</v>
      </c>
      <c r="D295" s="7" t="str">
        <f t="shared" si="13"/>
        <v>T</v>
      </c>
      <c r="E295" s="10">
        <f t="shared" si="14"/>
        <v>46113</v>
      </c>
      <c r="F295" s="7" t="str">
        <f t="array" ref="F295">+TIPOARMA(H295,I295)</f>
        <v>ACRR</v>
      </c>
      <c r="G295" s="7"/>
      <c r="H295" s="7" t="str">
        <f>+VLOOKUP(Q295,Maps!I:J,2,0)</f>
        <v>Pistola</v>
      </c>
      <c r="I295" s="7" t="str">
        <f>+VLOOKUP(T295,Maps!E:F,2,0)</f>
        <v>.380 ACP</v>
      </c>
      <c r="L295">
        <v>4</v>
      </c>
      <c r="M295" s="46">
        <v>46113</v>
      </c>
      <c r="N295" t="s">
        <v>546</v>
      </c>
      <c r="O295" t="s">
        <v>351</v>
      </c>
      <c r="P295" t="s">
        <v>540</v>
      </c>
      <c r="Q295" t="s">
        <v>28</v>
      </c>
      <c r="R295" t="s">
        <v>358</v>
      </c>
      <c r="S295" t="s">
        <v>149</v>
      </c>
      <c r="T295" t="s">
        <v>541</v>
      </c>
      <c r="U295">
        <v>50</v>
      </c>
      <c r="V295" t="s">
        <v>126</v>
      </c>
    </row>
    <row r="296" spans="1:22" ht="14.25" customHeight="1" x14ac:dyDescent="0.35">
      <c r="A296" s="45" t="str">
        <f t="array" ref="A296">EXTRACTEVENT(N296,V296)</f>
        <v>TREINO</v>
      </c>
      <c r="B296" s="7" t="str">
        <f t="shared" si="12"/>
        <v>-</v>
      </c>
      <c r="C296" s="7" t="str">
        <f>+VLOOKUP(P296,Maps!$A:$C,2,0)</f>
        <v>Base</v>
      </c>
      <c r="D296" s="7" t="str">
        <f t="shared" si="13"/>
        <v>T</v>
      </c>
      <c r="E296" s="10">
        <f t="shared" si="14"/>
        <v>46113</v>
      </c>
      <c r="F296" s="7" t="str">
        <f t="array" ref="F296">+TIPOARMA(H296,I296)</f>
        <v>ACRP</v>
      </c>
      <c r="G296" s="7"/>
      <c r="H296" s="7" t="str">
        <f>+VLOOKUP(Q296,Maps!I:J,2,0)</f>
        <v>Pistola</v>
      </c>
      <c r="I296" s="7" t="str">
        <f>+VLOOKUP(T296,Maps!E:F,2,0)</f>
        <v>9mm</v>
      </c>
      <c r="L296">
        <v>4</v>
      </c>
      <c r="M296" s="46">
        <v>46113</v>
      </c>
      <c r="N296" t="s">
        <v>546</v>
      </c>
      <c r="O296" t="s">
        <v>351</v>
      </c>
      <c r="P296" t="s">
        <v>540</v>
      </c>
      <c r="Q296" t="s">
        <v>28</v>
      </c>
      <c r="R296" t="s">
        <v>347</v>
      </c>
      <c r="S296" t="s">
        <v>149</v>
      </c>
      <c r="T296" t="s">
        <v>544</v>
      </c>
      <c r="U296">
        <v>50</v>
      </c>
      <c r="V296" t="s">
        <v>126</v>
      </c>
    </row>
    <row r="297" spans="1:22" ht="14.25" customHeight="1" x14ac:dyDescent="0.35">
      <c r="A297" s="45" t="str">
        <f t="array" ref="A297">EXTRACTEVENT(N297,V297)</f>
        <v>TREINO</v>
      </c>
      <c r="B297" s="7" t="str">
        <f t="shared" si="12"/>
        <v>-</v>
      </c>
      <c r="C297" s="7" t="str">
        <f>+VLOOKUP(P297,Maps!$A:$C,2,0)</f>
        <v>Base</v>
      </c>
      <c r="D297" s="7" t="str">
        <f t="shared" si="13"/>
        <v>T</v>
      </c>
      <c r="E297" s="10">
        <f t="shared" si="14"/>
        <v>46130</v>
      </c>
      <c r="F297" s="7" t="str">
        <f t="array" ref="F297">+TIPOARMA(H297,I297)</f>
        <v/>
      </c>
      <c r="G297" s="7"/>
      <c r="H297" s="7" t="str">
        <f>+VLOOKUP(Q297,Maps!I:J,2,0)</f>
        <v>Espingarda</v>
      </c>
      <c r="I297" s="7" t="str">
        <f>+VLOOKUP(T297,Maps!E:F,2,0)</f>
        <v>Cal 12</v>
      </c>
      <c r="L297">
        <v>5</v>
      </c>
      <c r="M297" s="46">
        <v>46130</v>
      </c>
      <c r="N297" t="s">
        <v>361</v>
      </c>
      <c r="O297" t="s">
        <v>351</v>
      </c>
      <c r="P297" t="s">
        <v>540</v>
      </c>
      <c r="Q297" t="s">
        <v>452</v>
      </c>
      <c r="R297" t="s">
        <v>453</v>
      </c>
      <c r="S297" t="s">
        <v>149</v>
      </c>
      <c r="T297" t="s">
        <v>545</v>
      </c>
      <c r="U297">
        <v>50</v>
      </c>
      <c r="V297" t="s">
        <v>126</v>
      </c>
    </row>
    <row r="298" spans="1:22" ht="14.25" customHeight="1" x14ac:dyDescent="0.35">
      <c r="A298" s="45" t="str">
        <f t="array" ref="A298">EXTRACTEVENT(N298,V298)</f>
        <v>1° COPA TRAP BASE ARMALITE</v>
      </c>
      <c r="B298" s="7" t="str">
        <f t="shared" si="12"/>
        <v>4</v>
      </c>
      <c r="C298" s="7" t="str">
        <f>+VLOOKUP(P298,Maps!$A:$C,2,0)</f>
        <v>Base</v>
      </c>
      <c r="D298" s="7" t="str">
        <f t="shared" si="13"/>
        <v>E</v>
      </c>
      <c r="E298" s="10">
        <f t="shared" si="14"/>
        <v>46130</v>
      </c>
      <c r="F298" s="7" t="str">
        <f t="array" ref="F298">+TIPOARMA(H298,I298)</f>
        <v/>
      </c>
      <c r="G298" s="7"/>
      <c r="H298" s="7" t="str">
        <f>+VLOOKUP(Q298,Maps!I:J,2,0)</f>
        <v>Espingarda</v>
      </c>
      <c r="I298" s="7" t="str">
        <f>+VLOOKUP(T298,Maps!E:F,2,0)</f>
        <v>Cal 12</v>
      </c>
      <c r="L298">
        <v>6</v>
      </c>
      <c r="M298" s="46">
        <v>46130</v>
      </c>
      <c r="N298" t="s">
        <v>547</v>
      </c>
      <c r="O298" t="s">
        <v>451</v>
      </c>
      <c r="P298" t="s">
        <v>540</v>
      </c>
      <c r="Q298" t="s">
        <v>452</v>
      </c>
      <c r="R298" t="s">
        <v>453</v>
      </c>
      <c r="S298" t="s">
        <v>348</v>
      </c>
      <c r="T298" t="s">
        <v>548</v>
      </c>
      <c r="U298">
        <v>25</v>
      </c>
      <c r="V298" t="s">
        <v>549</v>
      </c>
    </row>
    <row r="299" spans="1:22" ht="14.25" customHeight="1" x14ac:dyDescent="0.35">
      <c r="A299" s="45" t="str">
        <f t="array" ref="A299">EXTRACTEVENT(N299,V299)</f>
        <v>MÃO DE AÇO</v>
      </c>
      <c r="B299" s="7" t="str">
        <f t="shared" si="12"/>
        <v>2</v>
      </c>
      <c r="C299" s="7" t="str">
        <f>+VLOOKUP(P299,Maps!$A:$C,2,0)</f>
        <v>Wargame</v>
      </c>
      <c r="D299" s="7" t="str">
        <f t="shared" si="13"/>
        <v>N</v>
      </c>
      <c r="E299" s="10">
        <f t="shared" si="14"/>
        <v>45751</v>
      </c>
      <c r="F299" s="7" t="str">
        <f t="array" ref="F299">+TIPOARMA(H299,I299)</f>
        <v>ACRR</v>
      </c>
      <c r="G299" s="7"/>
      <c r="H299" s="7" t="str">
        <f>+VLOOKUP(Q299,Maps!I:J,2,0)</f>
        <v>Pistola</v>
      </c>
      <c r="I299" s="7" t="str">
        <f>+VLOOKUP(T299,Maps!E:F,2,0)</f>
        <v>.380 ACP</v>
      </c>
      <c r="L299">
        <v>1</v>
      </c>
      <c r="M299" s="46">
        <v>45751</v>
      </c>
      <c r="N299" t="s">
        <v>550</v>
      </c>
      <c r="O299" t="s">
        <v>396</v>
      </c>
      <c r="P299" t="s">
        <v>551</v>
      </c>
      <c r="Q299" t="s">
        <v>28</v>
      </c>
      <c r="R299" t="s">
        <v>358</v>
      </c>
      <c r="S299" t="s">
        <v>348</v>
      </c>
      <c r="T299" t="s">
        <v>552</v>
      </c>
      <c r="U299">
        <v>10</v>
      </c>
      <c r="V299" t="s">
        <v>400</v>
      </c>
    </row>
    <row r="300" spans="1:22" ht="14.25" customHeight="1" x14ac:dyDescent="0.35">
      <c r="A300" s="45" t="str">
        <f t="array" ref="A300">EXTRACTEVENT(N300,V300)</f>
        <v>MÃO DE AÇO</v>
      </c>
      <c r="B300" s="7" t="str">
        <f t="shared" si="12"/>
        <v>2</v>
      </c>
      <c r="C300" s="7" t="str">
        <f>+VLOOKUP(P300,Maps!$A:$C,2,0)</f>
        <v>Wargame</v>
      </c>
      <c r="D300" s="7" t="str">
        <f t="shared" si="13"/>
        <v>N</v>
      </c>
      <c r="E300" s="10">
        <f t="shared" si="14"/>
        <v>45751</v>
      </c>
      <c r="F300" s="7" t="str">
        <f t="array" ref="F300">+TIPOARMA(H300,I300)</f>
        <v>ACRP</v>
      </c>
      <c r="G300" s="7"/>
      <c r="H300" s="7" t="str">
        <f>+VLOOKUP(Q300,Maps!I:J,2,0)</f>
        <v>Pistola</v>
      </c>
      <c r="I300" s="7" t="str">
        <f>+VLOOKUP(T300,Maps!E:F,2,0)</f>
        <v>9mm</v>
      </c>
      <c r="L300">
        <v>2</v>
      </c>
      <c r="M300" s="46">
        <v>45751</v>
      </c>
      <c r="N300" t="s">
        <v>553</v>
      </c>
      <c r="O300" t="s">
        <v>396</v>
      </c>
      <c r="P300" t="s">
        <v>551</v>
      </c>
      <c r="Q300" t="s">
        <v>28</v>
      </c>
      <c r="R300" t="s">
        <v>347</v>
      </c>
      <c r="S300" t="s">
        <v>348</v>
      </c>
      <c r="T300" t="s">
        <v>554</v>
      </c>
      <c r="U300">
        <v>10</v>
      </c>
      <c r="V300" t="s">
        <v>400</v>
      </c>
    </row>
    <row r="301" spans="1:22" ht="14.25" customHeight="1" x14ac:dyDescent="0.35">
      <c r="A301" s="45" t="str">
        <f t="array" ref="A301">EXTRACTEVENT(N301,V301)</f>
        <v>MÃO DE AÇO</v>
      </c>
      <c r="B301" s="7" t="str">
        <f t="shared" si="12"/>
        <v>3</v>
      </c>
      <c r="C301" s="7" t="str">
        <f>+VLOOKUP(P301,Maps!$A:$C,2,0)</f>
        <v>Wargame</v>
      </c>
      <c r="D301" s="7" t="str">
        <f t="shared" si="13"/>
        <v>N</v>
      </c>
      <c r="E301" s="10">
        <f t="shared" si="14"/>
        <v>45798</v>
      </c>
      <c r="F301" s="7" t="str">
        <f t="array" ref="F301">+TIPOARMA(H301,I301)</f>
        <v>ACRP</v>
      </c>
      <c r="G301" s="7"/>
      <c r="H301" s="7" t="str">
        <f>+VLOOKUP(Q301,Maps!I:J,2,0)</f>
        <v>Pistola</v>
      </c>
      <c r="I301" s="7" t="str">
        <f>+VLOOKUP(T301,Maps!E:F,2,0)</f>
        <v>9mm</v>
      </c>
      <c r="L301">
        <v>3</v>
      </c>
      <c r="M301" s="46">
        <v>45798</v>
      </c>
      <c r="N301" t="s">
        <v>555</v>
      </c>
      <c r="O301" t="s">
        <v>396</v>
      </c>
      <c r="P301" t="s">
        <v>551</v>
      </c>
      <c r="Q301" t="s">
        <v>28</v>
      </c>
      <c r="R301" t="s">
        <v>347</v>
      </c>
      <c r="S301" t="s">
        <v>348</v>
      </c>
      <c r="T301" t="s">
        <v>554</v>
      </c>
      <c r="U301">
        <v>10</v>
      </c>
      <c r="V301" t="s">
        <v>400</v>
      </c>
    </row>
    <row r="302" spans="1:22" ht="14.25" customHeight="1" x14ac:dyDescent="0.35">
      <c r="A302" s="45" t="str">
        <f t="array" ref="A302">EXTRACTEVENT(N302,V302)</f>
        <v>MÃO DE AÇO</v>
      </c>
      <c r="B302" s="7" t="str">
        <f t="shared" si="12"/>
        <v>3</v>
      </c>
      <c r="C302" s="7" t="str">
        <f>+VLOOKUP(P302,Maps!$A:$C,2,0)</f>
        <v>Wargame</v>
      </c>
      <c r="D302" s="7" t="str">
        <f t="shared" si="13"/>
        <v>N</v>
      </c>
      <c r="E302" s="10">
        <f t="shared" si="14"/>
        <v>45798</v>
      </c>
      <c r="F302" s="7" t="str">
        <f t="array" ref="F302">+TIPOARMA(H302,I302)</f>
        <v>ACRR</v>
      </c>
      <c r="G302" s="7"/>
      <c r="H302" s="7" t="str">
        <f>+VLOOKUP(Q302,Maps!I:J,2,0)</f>
        <v>Pistola</v>
      </c>
      <c r="I302" s="7" t="str">
        <f>+VLOOKUP(T302,Maps!E:F,2,0)</f>
        <v>.380 ACP</v>
      </c>
      <c r="L302">
        <v>4</v>
      </c>
      <c r="M302" s="46">
        <v>45798</v>
      </c>
      <c r="N302" t="s">
        <v>556</v>
      </c>
      <c r="O302" t="s">
        <v>396</v>
      </c>
      <c r="P302" t="s">
        <v>551</v>
      </c>
      <c r="Q302" t="s">
        <v>28</v>
      </c>
      <c r="R302" t="s">
        <v>358</v>
      </c>
      <c r="S302" t="s">
        <v>348</v>
      </c>
      <c r="T302" t="s">
        <v>552</v>
      </c>
      <c r="U302">
        <v>10</v>
      </c>
      <c r="V302" t="s">
        <v>400</v>
      </c>
    </row>
    <row r="303" spans="1:22" ht="14.25" customHeight="1" x14ac:dyDescent="0.35">
      <c r="A303" s="45" t="str">
        <f t="array" ref="A303">EXTRACTEVENT(N303,V303)</f>
        <v>MÃO DE AÇO</v>
      </c>
      <c r="B303" s="7" t="str">
        <f t="shared" si="12"/>
        <v>7</v>
      </c>
      <c r="C303" s="7" t="str">
        <f>+VLOOKUP(P303,Maps!$A:$C,2,0)</f>
        <v>Wargame</v>
      </c>
      <c r="D303" s="7" t="str">
        <f t="shared" si="13"/>
        <v>N</v>
      </c>
      <c r="E303" s="10">
        <f t="shared" si="14"/>
        <v>45910</v>
      </c>
      <c r="F303" s="7" t="str">
        <f t="array" ref="F303">+TIPOARMA(H303,I303)</f>
        <v>ACRP</v>
      </c>
      <c r="G303" s="7"/>
      <c r="H303" s="7" t="str">
        <f>+VLOOKUP(Q303,Maps!I:J,2,0)</f>
        <v>Pistola</v>
      </c>
      <c r="I303" s="7" t="str">
        <f>+VLOOKUP(T303,Maps!E:F,2,0)</f>
        <v>9mm</v>
      </c>
      <c r="L303">
        <v>5</v>
      </c>
      <c r="M303" s="46">
        <v>45910</v>
      </c>
      <c r="N303" t="s">
        <v>557</v>
      </c>
      <c r="O303" t="s">
        <v>396</v>
      </c>
      <c r="P303" t="s">
        <v>551</v>
      </c>
      <c r="Q303" t="s">
        <v>28</v>
      </c>
      <c r="R303" t="s">
        <v>347</v>
      </c>
      <c r="S303" t="s">
        <v>348</v>
      </c>
      <c r="T303" t="s">
        <v>554</v>
      </c>
      <c r="U303">
        <v>10</v>
      </c>
      <c r="V303" t="s">
        <v>400</v>
      </c>
    </row>
    <row r="304" spans="1:22" ht="14.25" customHeight="1" x14ac:dyDescent="0.35">
      <c r="A304" s="45" t="str">
        <f t="array" ref="A304">EXTRACTEVENT(N304,V304)</f>
        <v>MÃO DE AÇO</v>
      </c>
      <c r="B304" s="7" t="str">
        <f t="shared" si="12"/>
        <v>7</v>
      </c>
      <c r="C304" s="7" t="str">
        <f>+VLOOKUP(P304,Maps!$A:$C,2,0)</f>
        <v>Wargame</v>
      </c>
      <c r="D304" s="7" t="str">
        <f t="shared" si="13"/>
        <v>N</v>
      </c>
      <c r="E304" s="10">
        <f t="shared" si="14"/>
        <v>45910</v>
      </c>
      <c r="F304" s="7" t="str">
        <f t="array" ref="F304">+TIPOARMA(H304,I304)</f>
        <v>ACRR</v>
      </c>
      <c r="G304" s="7"/>
      <c r="H304" s="7" t="str">
        <f>+VLOOKUP(Q304,Maps!I:J,2,0)</f>
        <v>Pistola</v>
      </c>
      <c r="I304" s="7" t="str">
        <f>+VLOOKUP(T304,Maps!E:F,2,0)</f>
        <v>.380 ACP</v>
      </c>
      <c r="L304">
        <v>6</v>
      </c>
      <c r="M304" s="46">
        <v>45910</v>
      </c>
      <c r="N304" t="s">
        <v>558</v>
      </c>
      <c r="O304" t="s">
        <v>396</v>
      </c>
      <c r="P304" t="s">
        <v>551</v>
      </c>
      <c r="Q304" t="s">
        <v>28</v>
      </c>
      <c r="R304" t="s">
        <v>358</v>
      </c>
      <c r="S304" t="s">
        <v>348</v>
      </c>
      <c r="T304" t="s">
        <v>552</v>
      </c>
      <c r="U304">
        <v>10</v>
      </c>
      <c r="V304" t="s">
        <v>400</v>
      </c>
    </row>
    <row r="305" spans="1:22" ht="14.25" customHeight="1" x14ac:dyDescent="0.35">
      <c r="A305" s="45" t="str">
        <f t="array" ref="A305">EXTRACTEVENT(N305,V305)</f>
        <v>MÃO DE AÇO</v>
      </c>
      <c r="B305" s="7" t="str">
        <f t="shared" si="12"/>
        <v>7</v>
      </c>
      <c r="C305" s="7" t="str">
        <f>+VLOOKUP(P305,Maps!$A:$C,2,0)</f>
        <v>Wargame</v>
      </c>
      <c r="D305" s="7" t="str">
        <f t="shared" si="13"/>
        <v>N</v>
      </c>
      <c r="E305" s="10">
        <f t="shared" si="14"/>
        <v>45910</v>
      </c>
      <c r="F305" s="7" t="str">
        <f t="array" ref="F305">+TIPOARMA(H305,I305)</f>
        <v>ALRR</v>
      </c>
      <c r="G305" s="7"/>
      <c r="H305" s="7" t="str">
        <f>+VLOOKUP(Q305,Maps!I:J,2,0)</f>
        <v>Carabina/Fuzil</v>
      </c>
      <c r="I305" s="7" t="str">
        <f>+VLOOKUP(T305,Maps!E:F,2,0)</f>
        <v>5.56MM</v>
      </c>
      <c r="L305">
        <v>7</v>
      </c>
      <c r="M305" s="46">
        <v>45910</v>
      </c>
      <c r="N305" t="s">
        <v>559</v>
      </c>
      <c r="O305" t="s">
        <v>396</v>
      </c>
      <c r="P305" t="s">
        <v>551</v>
      </c>
      <c r="Q305" t="s">
        <v>352</v>
      </c>
      <c r="R305" t="s">
        <v>353</v>
      </c>
      <c r="S305" t="s">
        <v>348</v>
      </c>
      <c r="T305" t="s">
        <v>560</v>
      </c>
      <c r="U305">
        <v>10</v>
      </c>
      <c r="V305" t="s">
        <v>400</v>
      </c>
    </row>
    <row r="306" spans="1:22" ht="14.25" customHeight="1" x14ac:dyDescent="0.35">
      <c r="A306" s="45" t="str">
        <f t="array" ref="A306">EXTRACTEVENT(N306,V306)</f>
        <v>MÃO DE AÇO</v>
      </c>
      <c r="B306" s="7" t="str">
        <f t="shared" si="12"/>
        <v>7</v>
      </c>
      <c r="C306" s="7" t="str">
        <f>+VLOOKUP(P306,Maps!$A:$C,2,0)</f>
        <v>Wargame</v>
      </c>
      <c r="D306" s="7" t="str">
        <f t="shared" si="13"/>
        <v>N</v>
      </c>
      <c r="E306" s="10">
        <f t="shared" si="14"/>
        <v>45910</v>
      </c>
      <c r="F306" s="7" t="str">
        <f t="array" ref="F306">+TIPOARMA(H306,I306)</f>
        <v>ALRP</v>
      </c>
      <c r="G306" s="7"/>
      <c r="H306" s="7" t="str">
        <f>+VLOOKUP(Q306,Maps!I:J,2,0)</f>
        <v>Carabina/Fuzil</v>
      </c>
      <c r="I306" s="7" t="str">
        <f>+VLOOKUP(T306,Maps!E:F,2,0)</f>
        <v>.357 Mag</v>
      </c>
      <c r="L306">
        <v>8</v>
      </c>
      <c r="M306" s="46">
        <v>45910</v>
      </c>
      <c r="N306" t="s">
        <v>561</v>
      </c>
      <c r="O306" t="s">
        <v>396</v>
      </c>
      <c r="P306" t="s">
        <v>551</v>
      </c>
      <c r="Q306" t="s">
        <v>352</v>
      </c>
      <c r="R306" t="s">
        <v>381</v>
      </c>
      <c r="S306" t="s">
        <v>348</v>
      </c>
      <c r="T306" t="s">
        <v>562</v>
      </c>
      <c r="U306">
        <v>10</v>
      </c>
      <c r="V306" t="s">
        <v>400</v>
      </c>
    </row>
    <row r="307" spans="1:22" ht="14.25" customHeight="1" x14ac:dyDescent="0.35">
      <c r="A307" s="45" t="str">
        <f t="array" ref="A307">EXTRACTEVENT(N307,V307)</f>
        <v>MÃO DE AÇO</v>
      </c>
      <c r="B307" s="7" t="str">
        <f t="shared" si="12"/>
        <v>2</v>
      </c>
      <c r="C307" s="7" t="str">
        <f>+VLOOKUP(P307,Maps!$A:$C,2,0)</f>
        <v>Wargame</v>
      </c>
      <c r="D307" s="7" t="str">
        <f t="shared" si="13"/>
        <v>N</v>
      </c>
      <c r="E307" s="10">
        <f t="shared" si="14"/>
        <v>46080</v>
      </c>
      <c r="F307" s="7" t="str">
        <f t="array" ref="F307">+TIPOARMA(H307,I307)</f>
        <v>ALRR</v>
      </c>
      <c r="G307" s="7"/>
      <c r="H307" s="7" t="str">
        <f>+VLOOKUP(Q307,Maps!I:J,2,0)</f>
        <v>Carabina/Fuzil</v>
      </c>
      <c r="I307" s="7" t="str">
        <f>+VLOOKUP(T307,Maps!E:F,2,0)</f>
        <v>5.56MM</v>
      </c>
      <c r="L307">
        <v>9</v>
      </c>
      <c r="M307" s="46">
        <v>46080</v>
      </c>
      <c r="N307" t="s">
        <v>563</v>
      </c>
      <c r="O307" t="s">
        <v>396</v>
      </c>
      <c r="P307" t="s">
        <v>551</v>
      </c>
      <c r="Q307" t="s">
        <v>352</v>
      </c>
      <c r="R307" t="s">
        <v>353</v>
      </c>
      <c r="S307" t="s">
        <v>348</v>
      </c>
      <c r="T307" t="s">
        <v>564</v>
      </c>
      <c r="U307">
        <v>10</v>
      </c>
      <c r="V307" t="s">
        <v>400</v>
      </c>
    </row>
    <row r="308" spans="1:22" ht="14.25" customHeight="1" x14ac:dyDescent="0.35">
      <c r="A308" s="45" t="str">
        <f t="array" ref="A308">EXTRACTEVENT(N308,V308)</f>
        <v>MÃO DE AÇO</v>
      </c>
      <c r="B308" s="7" t="str">
        <f t="shared" si="12"/>
        <v>2</v>
      </c>
      <c r="C308" s="7" t="str">
        <f>+VLOOKUP(P308,Maps!$A:$C,2,0)</f>
        <v>Wargame</v>
      </c>
      <c r="D308" s="7" t="str">
        <f t="shared" si="13"/>
        <v>N</v>
      </c>
      <c r="E308" s="10">
        <f t="shared" si="14"/>
        <v>46080</v>
      </c>
      <c r="F308" s="7" t="str">
        <f t="array" ref="F308">+TIPOARMA(H308,I308)</f>
        <v>ACRR</v>
      </c>
      <c r="G308" s="7"/>
      <c r="H308" s="7" t="str">
        <f>+VLOOKUP(Q308,Maps!I:J,2,0)</f>
        <v>Pistola</v>
      </c>
      <c r="I308" s="7" t="str">
        <f>+VLOOKUP(T308,Maps!E:F,2,0)</f>
        <v>.380 ACP</v>
      </c>
      <c r="L308">
        <v>10</v>
      </c>
      <c r="M308" s="46">
        <v>46080</v>
      </c>
      <c r="N308" t="s">
        <v>565</v>
      </c>
      <c r="O308" t="s">
        <v>396</v>
      </c>
      <c r="P308" t="s">
        <v>551</v>
      </c>
      <c r="Q308" t="s">
        <v>28</v>
      </c>
      <c r="R308" t="s">
        <v>358</v>
      </c>
      <c r="S308" t="s">
        <v>348</v>
      </c>
      <c r="T308" t="s">
        <v>552</v>
      </c>
      <c r="U308">
        <v>10</v>
      </c>
      <c r="V308" t="s">
        <v>400</v>
      </c>
    </row>
    <row r="309" spans="1:22" ht="14.25" customHeight="1" x14ac:dyDescent="0.35">
      <c r="A309" s="45" t="str">
        <f t="array" ref="A309">EXTRACTEVENT(N309,V309)</f>
        <v>MÃO DE AÇO</v>
      </c>
      <c r="B309" s="7" t="str">
        <f t="shared" si="12"/>
        <v>2</v>
      </c>
      <c r="C309" s="7" t="str">
        <f>+VLOOKUP(P309,Maps!$A:$C,2,0)</f>
        <v>Wargame</v>
      </c>
      <c r="D309" s="7" t="str">
        <f t="shared" si="13"/>
        <v>N</v>
      </c>
      <c r="E309" s="10">
        <f t="shared" si="14"/>
        <v>46080</v>
      </c>
      <c r="F309" s="7" t="str">
        <f t="array" ref="F309">+TIPOARMA(H309,I309)</f>
        <v>ALRP</v>
      </c>
      <c r="G309" s="7"/>
      <c r="H309" s="7" t="str">
        <f>+VLOOKUP(Q309,Maps!I:J,2,0)</f>
        <v>Carabina/Fuzil</v>
      </c>
      <c r="I309" s="7" t="str">
        <f>+VLOOKUP(T309,Maps!E:F,2,0)</f>
        <v>.357 Mag</v>
      </c>
      <c r="L309">
        <v>11</v>
      </c>
      <c r="M309" s="46">
        <v>46080</v>
      </c>
      <c r="N309" t="s">
        <v>566</v>
      </c>
      <c r="O309" t="s">
        <v>396</v>
      </c>
      <c r="P309" t="s">
        <v>551</v>
      </c>
      <c r="Q309" t="s">
        <v>352</v>
      </c>
      <c r="R309" t="s">
        <v>381</v>
      </c>
      <c r="S309" t="s">
        <v>348</v>
      </c>
      <c r="T309" t="s">
        <v>562</v>
      </c>
      <c r="U309">
        <v>10</v>
      </c>
      <c r="V309" t="s">
        <v>400</v>
      </c>
    </row>
    <row r="310" spans="1:22" ht="14.25" customHeight="1" x14ac:dyDescent="0.35">
      <c r="A310" s="45" t="str">
        <f t="array" ref="A310">EXTRACTEVENT(N310,V310)</f>
        <v>MÃO DE AÇO</v>
      </c>
      <c r="B310" s="7" t="str">
        <f t="shared" si="12"/>
        <v>2</v>
      </c>
      <c r="C310" s="7" t="str">
        <f>+VLOOKUP(P310,Maps!$A:$C,2,0)</f>
        <v>Wargame</v>
      </c>
      <c r="D310" s="7" t="str">
        <f t="shared" si="13"/>
        <v>N</v>
      </c>
      <c r="E310" s="10">
        <f t="shared" si="14"/>
        <v>46080</v>
      </c>
      <c r="F310" s="7" t="str">
        <f t="array" ref="F310">+TIPOARMA(H310,I310)</f>
        <v>ACRP</v>
      </c>
      <c r="G310" s="7"/>
      <c r="H310" s="7" t="str">
        <f>+VLOOKUP(Q310,Maps!I:J,2,0)</f>
        <v>Pistola</v>
      </c>
      <c r="I310" s="7" t="str">
        <f>+VLOOKUP(T310,Maps!E:F,2,0)</f>
        <v>9mm</v>
      </c>
      <c r="L310">
        <v>12</v>
      </c>
      <c r="M310" s="46">
        <v>46080</v>
      </c>
      <c r="N310" t="s">
        <v>567</v>
      </c>
      <c r="O310" t="s">
        <v>396</v>
      </c>
      <c r="P310" t="s">
        <v>551</v>
      </c>
      <c r="Q310" t="s">
        <v>28</v>
      </c>
      <c r="R310" t="s">
        <v>347</v>
      </c>
      <c r="S310" t="s">
        <v>348</v>
      </c>
      <c r="T310" t="s">
        <v>554</v>
      </c>
      <c r="U310">
        <v>10</v>
      </c>
      <c r="V310" t="s">
        <v>400</v>
      </c>
    </row>
    <row r="311" spans="1:22" ht="14.25" customHeight="1" x14ac:dyDescent="0.35">
      <c r="A311" s="45" t="str">
        <f t="array" ref="A311">EXTRACTEVENT(N311,V311)</f>
        <v>MÃO DE AÇO</v>
      </c>
      <c r="B311" s="7" t="str">
        <f t="shared" si="12"/>
        <v>3</v>
      </c>
      <c r="C311" s="7" t="str">
        <f>+VLOOKUP(P311,Maps!$A:$C,2,0)</f>
        <v>Wargame</v>
      </c>
      <c r="D311" s="7" t="str">
        <f t="shared" si="13"/>
        <v>N</v>
      </c>
      <c r="E311" s="10">
        <f t="shared" si="14"/>
        <v>46087</v>
      </c>
      <c r="F311" s="7" t="str">
        <f t="array" ref="F311">+TIPOARMA(H311,I311)</f>
        <v>ACRR</v>
      </c>
      <c r="G311" s="7"/>
      <c r="H311" s="7" t="str">
        <f>+VLOOKUP(Q311,Maps!I:J,2,0)</f>
        <v>Pistola</v>
      </c>
      <c r="I311" s="7" t="str">
        <f>+VLOOKUP(T311,Maps!E:F,2,0)</f>
        <v>.45 ACP</v>
      </c>
      <c r="L311">
        <v>13</v>
      </c>
      <c r="M311" s="46">
        <v>46087</v>
      </c>
      <c r="N311" t="s">
        <v>568</v>
      </c>
      <c r="O311" t="s">
        <v>396</v>
      </c>
      <c r="P311" t="s">
        <v>551</v>
      </c>
      <c r="Q311" t="s">
        <v>28</v>
      </c>
      <c r="R311" t="s">
        <v>347</v>
      </c>
      <c r="S311" t="s">
        <v>348</v>
      </c>
      <c r="T311" t="s">
        <v>36</v>
      </c>
      <c r="U311">
        <v>10</v>
      </c>
      <c r="V311" t="s">
        <v>400</v>
      </c>
    </row>
    <row r="312" spans="1:22" ht="14.25" customHeight="1" x14ac:dyDescent="0.35">
      <c r="A312" s="45" t="str">
        <f t="array" ref="A312">EXTRACTEVENT(N312,V312)</f>
        <v>MÃO DE AÇO</v>
      </c>
      <c r="B312" s="7" t="str">
        <f t="shared" si="12"/>
        <v>3</v>
      </c>
      <c r="C312" s="7" t="str">
        <f>+VLOOKUP(P312,Maps!$A:$C,2,0)</f>
        <v>Wargame</v>
      </c>
      <c r="D312" s="7" t="str">
        <f t="shared" si="13"/>
        <v>N</v>
      </c>
      <c r="E312" s="10">
        <f t="shared" si="14"/>
        <v>46087</v>
      </c>
      <c r="F312" s="7" t="str">
        <f t="array" ref="F312">+TIPOARMA(H312,I312)</f>
        <v>ALRP</v>
      </c>
      <c r="G312" s="7"/>
      <c r="H312" s="7" t="str">
        <f>+VLOOKUP(Q312,Maps!I:J,2,0)</f>
        <v>Carabina/Fuzil</v>
      </c>
      <c r="I312" s="7" t="str">
        <f>+VLOOKUP(T312,Maps!E:F,2,0)</f>
        <v>.357 Mag</v>
      </c>
      <c r="L312">
        <v>14</v>
      </c>
      <c r="M312" s="46">
        <v>46087</v>
      </c>
      <c r="N312" t="s">
        <v>569</v>
      </c>
      <c r="O312" t="s">
        <v>396</v>
      </c>
      <c r="P312" t="s">
        <v>551</v>
      </c>
      <c r="Q312" t="s">
        <v>352</v>
      </c>
      <c r="R312" t="s">
        <v>381</v>
      </c>
      <c r="S312" t="s">
        <v>348</v>
      </c>
      <c r="T312" t="s">
        <v>562</v>
      </c>
      <c r="U312">
        <v>10</v>
      </c>
      <c r="V312" t="s">
        <v>400</v>
      </c>
    </row>
    <row r="313" spans="1:22" ht="14.25" customHeight="1" x14ac:dyDescent="0.35">
      <c r="A313" s="45" t="str">
        <f t="array" ref="A313">EXTRACTEVENT(N313,V313)</f>
        <v/>
      </c>
      <c r="B313" s="7" t="str">
        <f t="shared" si="12"/>
        <v/>
      </c>
      <c r="C313" s="7" t="e">
        <f>+VLOOKUP(P313,Maps!$A:$C,2,0)</f>
        <v>#N/A</v>
      </c>
      <c r="D313" s="7" t="str">
        <f t="shared" si="13"/>
        <v>E</v>
      </c>
      <c r="E313" s="10">
        <f t="shared" si="14"/>
        <v>0</v>
      </c>
      <c r="F313" s="7" t="e">
        <f t="array" ref="F313">+TIPOARMA(H313,I313)</f>
        <v>#VALUE!</v>
      </c>
      <c r="G313" s="7"/>
      <c r="H313" s="7" t="e">
        <f>+VLOOKUP(Q313,Maps!I:J,2,0)</f>
        <v>#N/A</v>
      </c>
      <c r="I313" s="7" t="e">
        <f>+VLOOKUP(T313,Maps!E:F,2,0)</f>
        <v>#N/A</v>
      </c>
      <c r="M313" s="46"/>
    </row>
    <row r="314" spans="1:22" ht="14.25" customHeight="1" x14ac:dyDescent="0.35">
      <c r="A314" s="45" t="str">
        <f t="array" ref="A314">EXTRACTEVENT(N314,V314)</f>
        <v/>
      </c>
      <c r="B314" s="7" t="str">
        <f t="shared" si="12"/>
        <v/>
      </c>
      <c r="C314" s="7" t="e">
        <f>+VLOOKUP(P314,Maps!$A:$C,2,0)</f>
        <v>#N/A</v>
      </c>
      <c r="D314" s="7" t="str">
        <f t="shared" si="13"/>
        <v>E</v>
      </c>
      <c r="E314" s="10">
        <f t="shared" si="14"/>
        <v>0</v>
      </c>
      <c r="F314" s="7" t="e">
        <f t="array" ref="F314">+TIPOARMA(H314,I314)</f>
        <v>#VALUE!</v>
      </c>
      <c r="G314" s="7"/>
      <c r="H314" s="7" t="e">
        <f>+VLOOKUP(Q314,Maps!I:J,2,0)</f>
        <v>#N/A</v>
      </c>
      <c r="I314" s="7" t="e">
        <f>+VLOOKUP(T314,Maps!E:F,2,0)</f>
        <v>#N/A</v>
      </c>
      <c r="M314" s="46"/>
    </row>
    <row r="315" spans="1:22" ht="14.25" customHeight="1" x14ac:dyDescent="0.35">
      <c r="A315" s="45" t="str">
        <f t="array" ref="A315">EXTRACTEVENT(N315,V315)</f>
        <v/>
      </c>
      <c r="B315" s="7" t="str">
        <f t="shared" si="12"/>
        <v/>
      </c>
      <c r="C315" s="7" t="e">
        <f>+VLOOKUP(P315,Maps!$A:$C,2,0)</f>
        <v>#N/A</v>
      </c>
      <c r="D315" s="7" t="str">
        <f t="shared" si="13"/>
        <v>E</v>
      </c>
      <c r="E315" s="10">
        <f t="shared" si="14"/>
        <v>0</v>
      </c>
      <c r="F315" s="7" t="e">
        <f t="array" ref="F315">+TIPOARMA(H315,I315)</f>
        <v>#VALUE!</v>
      </c>
      <c r="G315" s="7"/>
      <c r="H315" s="7" t="e">
        <f>+VLOOKUP(Q315,Maps!I:J,2,0)</f>
        <v>#N/A</v>
      </c>
      <c r="I315" s="7" t="e">
        <f>+VLOOKUP(T315,Maps!E:F,2,0)</f>
        <v>#N/A</v>
      </c>
      <c r="M315" s="46"/>
    </row>
    <row r="316" spans="1:22" ht="14.25" customHeight="1" x14ac:dyDescent="0.35">
      <c r="A316" s="45" t="str">
        <f t="array" ref="A316">EXTRACTEVENT(N316,V316)</f>
        <v/>
      </c>
      <c r="B316" s="7" t="str">
        <f t="shared" si="12"/>
        <v/>
      </c>
      <c r="C316" s="7" t="e">
        <f>+VLOOKUP(P316,Maps!$A:$C,2,0)</f>
        <v>#N/A</v>
      </c>
      <c r="D316" s="7" t="str">
        <f t="shared" si="13"/>
        <v>E</v>
      </c>
      <c r="E316" s="10">
        <f t="shared" si="14"/>
        <v>0</v>
      </c>
      <c r="F316" s="7" t="e">
        <f t="array" ref="F316">+TIPOARMA(H316,I316)</f>
        <v>#VALUE!</v>
      </c>
      <c r="G316" s="7"/>
      <c r="H316" s="7" t="e">
        <f>+VLOOKUP(Q316,Maps!I:J,2,0)</f>
        <v>#N/A</v>
      </c>
      <c r="I316" s="7" t="e">
        <f>+VLOOKUP(T316,Maps!E:F,2,0)</f>
        <v>#N/A</v>
      </c>
      <c r="M316" s="46"/>
    </row>
    <row r="317" spans="1:22" ht="14.25" customHeight="1" x14ac:dyDescent="0.35">
      <c r="A317" s="45" t="str">
        <f t="array" ref="A317">EXTRACTEVENT(N317,V317)</f>
        <v/>
      </c>
      <c r="B317" s="7" t="str">
        <f t="shared" si="12"/>
        <v/>
      </c>
      <c r="C317" s="7" t="e">
        <f>+VLOOKUP(P317,Maps!$A:$C,2,0)</f>
        <v>#N/A</v>
      </c>
      <c r="D317" s="7" t="str">
        <f t="shared" si="13"/>
        <v>E</v>
      </c>
      <c r="E317" s="10">
        <f t="shared" si="14"/>
        <v>0</v>
      </c>
      <c r="F317" s="7" t="e">
        <f t="array" ref="F317">+TIPOARMA(H317,I317)</f>
        <v>#VALUE!</v>
      </c>
      <c r="G317" s="7"/>
      <c r="H317" s="7" t="e">
        <f>+VLOOKUP(Q317,Maps!I:J,2,0)</f>
        <v>#N/A</v>
      </c>
      <c r="I317" s="7" t="e">
        <f>+VLOOKUP(T317,Maps!E:F,2,0)</f>
        <v>#N/A</v>
      </c>
      <c r="M317" s="46"/>
    </row>
    <row r="318" spans="1:22" ht="14.25" customHeight="1" x14ac:dyDescent="0.35">
      <c r="A318" s="45" t="str">
        <f t="array" ref="A318">EXTRACTEVENT(N318,V318)</f>
        <v/>
      </c>
      <c r="B318" s="7" t="str">
        <f t="shared" si="12"/>
        <v/>
      </c>
      <c r="C318" s="7" t="e">
        <f>+VLOOKUP(P318,Maps!$A:$C,2,0)</f>
        <v>#N/A</v>
      </c>
      <c r="D318" s="7" t="str">
        <f t="shared" si="13"/>
        <v>E</v>
      </c>
      <c r="E318" s="10">
        <f t="shared" si="14"/>
        <v>0</v>
      </c>
      <c r="F318" s="7" t="e">
        <f t="array" ref="F318">+TIPOARMA(H318,I318)</f>
        <v>#VALUE!</v>
      </c>
      <c r="G318" s="7"/>
      <c r="H318" s="7" t="e">
        <f>+VLOOKUP(Q318,Maps!I:J,2,0)</f>
        <v>#N/A</v>
      </c>
      <c r="I318" s="7" t="e">
        <f>+VLOOKUP(T318,Maps!E:F,2,0)</f>
        <v>#N/A</v>
      </c>
      <c r="M318" s="46"/>
    </row>
    <row r="319" spans="1:22" ht="14.25" customHeight="1" x14ac:dyDescent="0.35">
      <c r="A319" s="45" t="str">
        <f t="array" ref="A319">EXTRACTEVENT(N319,V319)</f>
        <v/>
      </c>
      <c r="B319" s="7" t="str">
        <f t="shared" si="12"/>
        <v/>
      </c>
      <c r="C319" s="7" t="e">
        <f>+VLOOKUP(P319,Maps!$A:$C,2,0)</f>
        <v>#N/A</v>
      </c>
      <c r="D319" s="7" t="str">
        <f t="shared" si="13"/>
        <v>E</v>
      </c>
      <c r="E319" s="10">
        <f t="shared" si="14"/>
        <v>0</v>
      </c>
      <c r="F319" s="7" t="e">
        <f t="array" ref="F319">+TIPOARMA(H319,I319)</f>
        <v>#VALUE!</v>
      </c>
      <c r="G319" s="7"/>
      <c r="H319" s="7" t="e">
        <f>+VLOOKUP(Q319,Maps!I:J,2,0)</f>
        <v>#N/A</v>
      </c>
      <c r="I319" s="7" t="e">
        <f>+VLOOKUP(T319,Maps!E:F,2,0)</f>
        <v>#N/A</v>
      </c>
      <c r="M319" s="46"/>
    </row>
    <row r="320" spans="1:22" ht="14.25" customHeight="1" x14ac:dyDescent="0.35">
      <c r="A320" s="45" t="str">
        <f t="array" ref="A320">EXTRACTEVENT(N320,V320)</f>
        <v/>
      </c>
      <c r="B320" s="7" t="str">
        <f t="shared" si="12"/>
        <v/>
      </c>
      <c r="C320" s="7" t="e">
        <f>+VLOOKUP(P320,Maps!$A:$C,2,0)</f>
        <v>#N/A</v>
      </c>
      <c r="D320" s="7" t="str">
        <f t="shared" si="13"/>
        <v>E</v>
      </c>
      <c r="E320" s="10">
        <f t="shared" si="14"/>
        <v>0</v>
      </c>
      <c r="F320" s="7" t="e">
        <f t="array" ref="F320">+TIPOARMA(H320,I320)</f>
        <v>#VALUE!</v>
      </c>
      <c r="G320" s="7"/>
      <c r="H320" s="7" t="e">
        <f>+VLOOKUP(Q320,Maps!I:J,2,0)</f>
        <v>#N/A</v>
      </c>
      <c r="I320" s="7" t="e">
        <f>+VLOOKUP(T320,Maps!E:F,2,0)</f>
        <v>#N/A</v>
      </c>
      <c r="M320" s="46"/>
    </row>
    <row r="321" spans="1:13" ht="14.25" customHeight="1" x14ac:dyDescent="0.35">
      <c r="A321" s="45" t="str">
        <f t="array" ref="A321">EXTRACTEVENT(N321,V321)</f>
        <v/>
      </c>
      <c r="B321" s="7" t="str">
        <f t="shared" si="12"/>
        <v/>
      </c>
      <c r="C321" s="7" t="e">
        <f>+VLOOKUP(P321,Maps!$A:$C,2,0)</f>
        <v>#N/A</v>
      </c>
      <c r="D321" s="7" t="str">
        <f t="shared" si="13"/>
        <v>E</v>
      </c>
      <c r="E321" s="10">
        <f t="shared" si="14"/>
        <v>0</v>
      </c>
      <c r="F321" s="7" t="e">
        <f t="array" ref="F321">+TIPOARMA(H321,I321)</f>
        <v>#VALUE!</v>
      </c>
      <c r="G321" s="7"/>
      <c r="H321" s="7" t="e">
        <f>+VLOOKUP(Q321,Maps!I:J,2,0)</f>
        <v>#N/A</v>
      </c>
      <c r="I321" s="7" t="e">
        <f>+VLOOKUP(T321,Maps!E:F,2,0)</f>
        <v>#N/A</v>
      </c>
      <c r="M321" s="46"/>
    </row>
    <row r="322" spans="1:13" ht="14.25" customHeight="1" x14ac:dyDescent="0.35">
      <c r="A322" s="45" t="str">
        <f t="array" ref="A322">EXTRACTEVENT(N322,V322)</f>
        <v/>
      </c>
      <c r="B322" s="7" t="str">
        <f t="shared" ref="B322:B385" si="15">+IF(V322="TREINO","-",LEFT(N322,1))</f>
        <v/>
      </c>
      <c r="C322" s="7" t="e">
        <f>+VLOOKUP(P322,Maps!$A:$C,2,0)</f>
        <v>#N/A</v>
      </c>
      <c r="D322" s="7" t="str">
        <f t="shared" ref="D322:D385" si="16">+IF($V322="TREINO","T",IF(V322="NACIONAL","N","E"))</f>
        <v>E</v>
      </c>
      <c r="E322" s="10">
        <f t="shared" ref="E322:E385" si="17">IFERROR(DATEVALUE(LEFT(M322,10)),M322)</f>
        <v>0</v>
      </c>
      <c r="F322" s="7" t="e">
        <f t="array" ref="F322">+TIPOARMA(H322,I322)</f>
        <v>#VALUE!</v>
      </c>
      <c r="G322" s="7"/>
      <c r="H322" s="7" t="e">
        <f>+VLOOKUP(Q322,Maps!I:J,2,0)</f>
        <v>#N/A</v>
      </c>
      <c r="I322" s="7" t="e">
        <f>+VLOOKUP(T322,Maps!E:F,2,0)</f>
        <v>#N/A</v>
      </c>
      <c r="M322" s="46"/>
    </row>
    <row r="323" spans="1:13" ht="14.25" customHeight="1" x14ac:dyDescent="0.35">
      <c r="A323" s="45" t="str">
        <f t="array" ref="A323">EXTRACTEVENT(N323,V323)</f>
        <v/>
      </c>
      <c r="B323" s="7" t="str">
        <f t="shared" si="15"/>
        <v/>
      </c>
      <c r="C323" s="7" t="e">
        <f>+VLOOKUP(P323,Maps!$A:$C,2,0)</f>
        <v>#N/A</v>
      </c>
      <c r="D323" s="7" t="str">
        <f t="shared" si="16"/>
        <v>E</v>
      </c>
      <c r="E323" s="10">
        <f t="shared" si="17"/>
        <v>0</v>
      </c>
      <c r="F323" s="7" t="e">
        <f t="array" ref="F323">+TIPOARMA(H323,I323)</f>
        <v>#VALUE!</v>
      </c>
      <c r="G323" s="7"/>
      <c r="H323" s="7" t="e">
        <f>+VLOOKUP(Q323,Maps!I:J,2,0)</f>
        <v>#N/A</v>
      </c>
      <c r="I323" s="7" t="e">
        <f>+VLOOKUP(T323,Maps!E:F,2,0)</f>
        <v>#N/A</v>
      </c>
      <c r="M323" s="46"/>
    </row>
    <row r="324" spans="1:13" ht="14.25" customHeight="1" x14ac:dyDescent="0.35">
      <c r="A324" s="45" t="str">
        <f t="array" ref="A324">EXTRACTEVENT(N324,V324)</f>
        <v/>
      </c>
      <c r="B324" s="7" t="str">
        <f t="shared" si="15"/>
        <v/>
      </c>
      <c r="C324" s="7" t="e">
        <f>+VLOOKUP(P324,Maps!$A:$C,2,0)</f>
        <v>#N/A</v>
      </c>
      <c r="D324" s="7" t="str">
        <f t="shared" si="16"/>
        <v>E</v>
      </c>
      <c r="E324" s="10">
        <f t="shared" si="17"/>
        <v>0</v>
      </c>
      <c r="F324" s="7" t="e">
        <f t="array" ref="F324">+TIPOARMA(H324,I324)</f>
        <v>#VALUE!</v>
      </c>
      <c r="G324" s="7"/>
      <c r="H324" s="7" t="e">
        <f>+VLOOKUP(Q324,Maps!I:J,2,0)</f>
        <v>#N/A</v>
      </c>
      <c r="I324" s="7" t="e">
        <f>+VLOOKUP(T324,Maps!E:F,2,0)</f>
        <v>#N/A</v>
      </c>
      <c r="M324" s="46"/>
    </row>
    <row r="325" spans="1:13" ht="14.25" customHeight="1" x14ac:dyDescent="0.35">
      <c r="A325" s="45" t="str">
        <f t="array" ref="A325">EXTRACTEVENT(N325,V325)</f>
        <v/>
      </c>
      <c r="B325" s="7" t="str">
        <f t="shared" si="15"/>
        <v/>
      </c>
      <c r="C325" s="7" t="e">
        <f>+VLOOKUP(P325,Maps!$A:$C,2,0)</f>
        <v>#N/A</v>
      </c>
      <c r="D325" s="7" t="str">
        <f t="shared" si="16"/>
        <v>E</v>
      </c>
      <c r="E325" s="10">
        <f t="shared" si="17"/>
        <v>0</v>
      </c>
      <c r="F325" s="7" t="e">
        <f t="array" ref="F325">+TIPOARMA(H325,I325)</f>
        <v>#VALUE!</v>
      </c>
      <c r="G325" s="7"/>
      <c r="H325" s="7" t="e">
        <f>+VLOOKUP(Q325,Maps!I:J,2,0)</f>
        <v>#N/A</v>
      </c>
      <c r="I325" s="7" t="e">
        <f>+VLOOKUP(T325,Maps!E:F,2,0)</f>
        <v>#N/A</v>
      </c>
      <c r="M325" s="46"/>
    </row>
    <row r="326" spans="1:13" ht="14.25" customHeight="1" x14ac:dyDescent="0.35">
      <c r="A326" s="45" t="str">
        <f t="array" ref="A326">EXTRACTEVENT(N326,V326)</f>
        <v/>
      </c>
      <c r="B326" s="7" t="str">
        <f t="shared" si="15"/>
        <v/>
      </c>
      <c r="C326" s="7" t="e">
        <f>+VLOOKUP(P326,Maps!$A:$C,2,0)</f>
        <v>#N/A</v>
      </c>
      <c r="D326" s="7" t="str">
        <f t="shared" si="16"/>
        <v>E</v>
      </c>
      <c r="E326" s="10">
        <f t="shared" si="17"/>
        <v>0</v>
      </c>
      <c r="F326" s="7" t="e">
        <f t="array" ref="F326">+TIPOARMA(H326,I326)</f>
        <v>#VALUE!</v>
      </c>
      <c r="G326" s="7"/>
      <c r="H326" s="7" t="e">
        <f>+VLOOKUP(Q326,Maps!I:J,2,0)</f>
        <v>#N/A</v>
      </c>
      <c r="I326" s="7" t="e">
        <f>+VLOOKUP(T326,Maps!E:F,2,0)</f>
        <v>#N/A</v>
      </c>
      <c r="M326" s="46"/>
    </row>
    <row r="327" spans="1:13" ht="14.25" customHeight="1" x14ac:dyDescent="0.35">
      <c r="A327" s="45" t="str">
        <f t="array" ref="A327">EXTRACTEVENT(N327,V327)</f>
        <v/>
      </c>
      <c r="B327" s="7" t="str">
        <f t="shared" si="15"/>
        <v/>
      </c>
      <c r="C327" s="7" t="e">
        <f>+VLOOKUP(P327,Maps!$A:$C,2,0)</f>
        <v>#N/A</v>
      </c>
      <c r="D327" s="7" t="str">
        <f t="shared" si="16"/>
        <v>E</v>
      </c>
      <c r="E327" s="10">
        <f t="shared" si="17"/>
        <v>0</v>
      </c>
      <c r="F327" s="7" t="e">
        <f t="array" ref="F327">+TIPOARMA(H327,I327)</f>
        <v>#VALUE!</v>
      </c>
      <c r="G327" s="7"/>
      <c r="H327" s="7" t="e">
        <f>+VLOOKUP(Q327,Maps!I:J,2,0)</f>
        <v>#N/A</v>
      </c>
      <c r="I327" s="7" t="e">
        <f>+VLOOKUP(T327,Maps!E:F,2,0)</f>
        <v>#N/A</v>
      </c>
      <c r="M327" s="46"/>
    </row>
    <row r="328" spans="1:13" ht="14.25" customHeight="1" x14ac:dyDescent="0.35">
      <c r="A328" s="45" t="str">
        <f t="array" ref="A328">EXTRACTEVENT(N328,V328)</f>
        <v/>
      </c>
      <c r="B328" s="7" t="str">
        <f t="shared" si="15"/>
        <v/>
      </c>
      <c r="C328" s="7" t="e">
        <f>+VLOOKUP(P328,Maps!$A:$C,2,0)</f>
        <v>#N/A</v>
      </c>
      <c r="D328" s="7" t="str">
        <f t="shared" si="16"/>
        <v>E</v>
      </c>
      <c r="E328" s="10">
        <f t="shared" si="17"/>
        <v>0</v>
      </c>
      <c r="F328" s="7" t="e">
        <f t="array" ref="F328">+TIPOARMA(H328,I328)</f>
        <v>#VALUE!</v>
      </c>
      <c r="G328" s="7"/>
      <c r="H328" s="7" t="e">
        <f>+VLOOKUP(Q328,Maps!I:J,2,0)</f>
        <v>#N/A</v>
      </c>
      <c r="I328" s="7" t="e">
        <f>+VLOOKUP(T328,Maps!E:F,2,0)</f>
        <v>#N/A</v>
      </c>
      <c r="M328" s="46"/>
    </row>
    <row r="329" spans="1:13" ht="14.25" customHeight="1" x14ac:dyDescent="0.35">
      <c r="A329" s="45" t="str">
        <f t="array" ref="A329">EXTRACTEVENT(N329,V329)</f>
        <v/>
      </c>
      <c r="B329" s="7" t="str">
        <f t="shared" si="15"/>
        <v/>
      </c>
      <c r="C329" s="7" t="e">
        <f>+VLOOKUP(P329,Maps!$A:$C,2,0)</f>
        <v>#N/A</v>
      </c>
      <c r="D329" s="7" t="str">
        <f t="shared" si="16"/>
        <v>E</v>
      </c>
      <c r="E329" s="10">
        <f t="shared" si="17"/>
        <v>0</v>
      </c>
      <c r="F329" s="7" t="e">
        <f t="array" ref="F329">+TIPOARMA(H329,I329)</f>
        <v>#VALUE!</v>
      </c>
      <c r="G329" s="7"/>
      <c r="H329" s="7" t="e">
        <f>+VLOOKUP(Q329,Maps!I:J,2,0)</f>
        <v>#N/A</v>
      </c>
      <c r="I329" s="7" t="e">
        <f>+VLOOKUP(T329,Maps!E:F,2,0)</f>
        <v>#N/A</v>
      </c>
      <c r="M329" s="46"/>
    </row>
    <row r="330" spans="1:13" ht="14.25" customHeight="1" x14ac:dyDescent="0.35">
      <c r="A330" s="45" t="str">
        <f t="array" ref="A330">EXTRACTEVENT(N330,V330)</f>
        <v/>
      </c>
      <c r="B330" s="7" t="str">
        <f t="shared" si="15"/>
        <v/>
      </c>
      <c r="C330" s="7" t="e">
        <f>+VLOOKUP(P330,Maps!$A:$C,2,0)</f>
        <v>#N/A</v>
      </c>
      <c r="D330" s="7" t="str">
        <f t="shared" si="16"/>
        <v>E</v>
      </c>
      <c r="E330" s="10">
        <f t="shared" si="17"/>
        <v>0</v>
      </c>
      <c r="F330" s="7" t="e">
        <f t="array" ref="F330">+TIPOARMA(H330,I330)</f>
        <v>#VALUE!</v>
      </c>
      <c r="G330" s="7"/>
      <c r="H330" s="7" t="e">
        <f>+VLOOKUP(Q330,Maps!I:J,2,0)</f>
        <v>#N/A</v>
      </c>
      <c r="I330" s="7" t="e">
        <f>+VLOOKUP(T330,Maps!E:F,2,0)</f>
        <v>#N/A</v>
      </c>
      <c r="M330" s="46"/>
    </row>
    <row r="331" spans="1:13" ht="14.25" customHeight="1" x14ac:dyDescent="0.35">
      <c r="A331" s="45" t="str">
        <f t="array" ref="A331">EXTRACTEVENT(N331,V331)</f>
        <v/>
      </c>
      <c r="B331" s="7" t="str">
        <f t="shared" si="15"/>
        <v/>
      </c>
      <c r="C331" s="7" t="e">
        <f>+VLOOKUP(P331,Maps!$A:$C,2,0)</f>
        <v>#N/A</v>
      </c>
      <c r="D331" s="7" t="str">
        <f t="shared" si="16"/>
        <v>E</v>
      </c>
      <c r="E331" s="10">
        <f t="shared" si="17"/>
        <v>0</v>
      </c>
      <c r="F331" s="7" t="e">
        <f t="array" ref="F331">+TIPOARMA(H331,I331)</f>
        <v>#VALUE!</v>
      </c>
      <c r="G331" s="7"/>
      <c r="H331" s="7" t="e">
        <f>+VLOOKUP(Q331,Maps!I:J,2,0)</f>
        <v>#N/A</v>
      </c>
      <c r="I331" s="7" t="e">
        <f>+VLOOKUP(T331,Maps!E:F,2,0)</f>
        <v>#N/A</v>
      </c>
      <c r="M331" s="46"/>
    </row>
    <row r="332" spans="1:13" ht="14.25" customHeight="1" x14ac:dyDescent="0.35">
      <c r="A332" s="45" t="str">
        <f t="array" ref="A332">EXTRACTEVENT(N332,V332)</f>
        <v/>
      </c>
      <c r="B332" s="7" t="str">
        <f t="shared" si="15"/>
        <v/>
      </c>
      <c r="C332" s="7" t="e">
        <f>+VLOOKUP(P332,Maps!$A:$C,2,0)</f>
        <v>#N/A</v>
      </c>
      <c r="D332" s="7" t="str">
        <f t="shared" si="16"/>
        <v>E</v>
      </c>
      <c r="E332" s="10">
        <f t="shared" si="17"/>
        <v>0</v>
      </c>
      <c r="F332" s="7" t="e">
        <f t="array" ref="F332">+TIPOARMA(H332,I332)</f>
        <v>#VALUE!</v>
      </c>
      <c r="G332" s="7"/>
      <c r="H332" s="7" t="e">
        <f>+VLOOKUP(Q332,Maps!I:J,2,0)</f>
        <v>#N/A</v>
      </c>
      <c r="I332" s="7" t="e">
        <f>+VLOOKUP(T332,Maps!E:F,2,0)</f>
        <v>#N/A</v>
      </c>
      <c r="M332" s="46"/>
    </row>
    <row r="333" spans="1:13" ht="14.25" customHeight="1" x14ac:dyDescent="0.35">
      <c r="A333" s="45" t="str">
        <f t="array" ref="A333">EXTRACTEVENT(N333,V333)</f>
        <v/>
      </c>
      <c r="B333" s="7" t="str">
        <f t="shared" si="15"/>
        <v/>
      </c>
      <c r="C333" s="7" t="e">
        <f>+VLOOKUP(P333,Maps!$A:$C,2,0)</f>
        <v>#N/A</v>
      </c>
      <c r="D333" s="7" t="str">
        <f t="shared" si="16"/>
        <v>E</v>
      </c>
      <c r="E333" s="10">
        <f t="shared" si="17"/>
        <v>0</v>
      </c>
      <c r="F333" s="7" t="e">
        <f t="array" ref="F333">+TIPOARMA(H333,I333)</f>
        <v>#VALUE!</v>
      </c>
      <c r="G333" s="7"/>
      <c r="H333" s="7" t="e">
        <f>+VLOOKUP(Q333,Maps!I:J,2,0)</f>
        <v>#N/A</v>
      </c>
      <c r="I333" s="7" t="e">
        <f>+VLOOKUP(T333,Maps!E:F,2,0)</f>
        <v>#N/A</v>
      </c>
      <c r="M333" s="46"/>
    </row>
    <row r="334" spans="1:13" ht="14.25" customHeight="1" x14ac:dyDescent="0.35">
      <c r="A334" s="45" t="str">
        <f t="array" ref="A334">EXTRACTEVENT(N334,V334)</f>
        <v/>
      </c>
      <c r="B334" s="7" t="str">
        <f t="shared" si="15"/>
        <v/>
      </c>
      <c r="C334" s="7" t="e">
        <f>+VLOOKUP(P334,Maps!$A:$C,2,0)</f>
        <v>#N/A</v>
      </c>
      <c r="D334" s="7" t="str">
        <f t="shared" si="16"/>
        <v>E</v>
      </c>
      <c r="E334" s="10">
        <f t="shared" si="17"/>
        <v>0</v>
      </c>
      <c r="F334" s="7" t="e">
        <f t="array" ref="F334">+TIPOARMA(H334,I334)</f>
        <v>#VALUE!</v>
      </c>
      <c r="G334" s="7"/>
      <c r="H334" s="7" t="e">
        <f>+VLOOKUP(Q334,Maps!I:J,2,0)</f>
        <v>#N/A</v>
      </c>
      <c r="I334" s="7" t="e">
        <f>+VLOOKUP(T334,Maps!E:F,2,0)</f>
        <v>#N/A</v>
      </c>
      <c r="M334" s="46"/>
    </row>
    <row r="335" spans="1:13" ht="14.25" customHeight="1" x14ac:dyDescent="0.35">
      <c r="A335" s="45" t="str">
        <f t="array" ref="A335">EXTRACTEVENT(N335,V335)</f>
        <v/>
      </c>
      <c r="B335" s="7" t="str">
        <f t="shared" si="15"/>
        <v/>
      </c>
      <c r="C335" s="7" t="e">
        <f>+VLOOKUP(P335,Maps!$A:$C,2,0)</f>
        <v>#N/A</v>
      </c>
      <c r="D335" s="7" t="str">
        <f t="shared" si="16"/>
        <v>E</v>
      </c>
      <c r="E335" s="10">
        <f t="shared" si="17"/>
        <v>0</v>
      </c>
      <c r="F335" s="7" t="e">
        <f t="array" ref="F335">+TIPOARMA(H335,I335)</f>
        <v>#VALUE!</v>
      </c>
      <c r="G335" s="7"/>
      <c r="H335" s="7" t="e">
        <f>+VLOOKUP(Q335,Maps!I:J,2,0)</f>
        <v>#N/A</v>
      </c>
      <c r="I335" s="7" t="e">
        <f>+VLOOKUP(T335,Maps!E:F,2,0)</f>
        <v>#N/A</v>
      </c>
      <c r="M335" s="46"/>
    </row>
    <row r="336" spans="1:13" ht="14.25" customHeight="1" x14ac:dyDescent="0.35">
      <c r="A336" s="45" t="str">
        <f t="array" ref="A336">EXTRACTEVENT(N336,V336)</f>
        <v/>
      </c>
      <c r="B336" s="7" t="str">
        <f t="shared" si="15"/>
        <v/>
      </c>
      <c r="C336" s="7" t="e">
        <f>+VLOOKUP(P336,Maps!$A:$C,2,0)</f>
        <v>#N/A</v>
      </c>
      <c r="D336" s="7" t="str">
        <f t="shared" si="16"/>
        <v>E</v>
      </c>
      <c r="E336" s="10">
        <f t="shared" si="17"/>
        <v>0</v>
      </c>
      <c r="F336" s="7" t="e">
        <f t="array" ref="F336">+TIPOARMA(H336,I336)</f>
        <v>#VALUE!</v>
      </c>
      <c r="G336" s="7"/>
      <c r="H336" s="7" t="e">
        <f>+VLOOKUP(Q336,Maps!I:J,2,0)</f>
        <v>#N/A</v>
      </c>
      <c r="I336" s="7" t="e">
        <f>+VLOOKUP(T336,Maps!E:F,2,0)</f>
        <v>#N/A</v>
      </c>
      <c r="M336" s="46"/>
    </row>
    <row r="337" spans="1:13" ht="14.25" customHeight="1" x14ac:dyDescent="0.35">
      <c r="A337" s="45" t="str">
        <f t="array" ref="A337">EXTRACTEVENT(N337,V337)</f>
        <v/>
      </c>
      <c r="B337" s="7" t="str">
        <f t="shared" si="15"/>
        <v/>
      </c>
      <c r="C337" s="7" t="e">
        <f>+VLOOKUP(P337,Maps!$A:$C,2,0)</f>
        <v>#N/A</v>
      </c>
      <c r="D337" s="7" t="str">
        <f t="shared" si="16"/>
        <v>E</v>
      </c>
      <c r="E337" s="10">
        <f t="shared" si="17"/>
        <v>0</v>
      </c>
      <c r="F337" s="7" t="e">
        <f t="array" ref="F337">+TIPOARMA(H337,I337)</f>
        <v>#VALUE!</v>
      </c>
      <c r="G337" s="7"/>
      <c r="H337" s="7" t="e">
        <f>+VLOOKUP(Q337,Maps!I:J,2,0)</f>
        <v>#N/A</v>
      </c>
      <c r="I337" s="7" t="e">
        <f>+VLOOKUP(T337,Maps!E:F,2,0)</f>
        <v>#N/A</v>
      </c>
      <c r="M337" s="46"/>
    </row>
    <row r="338" spans="1:13" ht="14.25" customHeight="1" x14ac:dyDescent="0.35">
      <c r="A338" s="45" t="str">
        <f t="array" ref="A338">EXTRACTEVENT(N338,V338)</f>
        <v/>
      </c>
      <c r="B338" s="7" t="str">
        <f t="shared" si="15"/>
        <v/>
      </c>
      <c r="C338" s="7" t="e">
        <f>+VLOOKUP(P338,Maps!$A:$C,2,0)</f>
        <v>#N/A</v>
      </c>
      <c r="D338" s="7" t="str">
        <f t="shared" si="16"/>
        <v>E</v>
      </c>
      <c r="E338" s="10">
        <f t="shared" si="17"/>
        <v>0</v>
      </c>
      <c r="F338" s="7" t="e">
        <f t="array" ref="F338">+TIPOARMA(H338,I338)</f>
        <v>#VALUE!</v>
      </c>
      <c r="G338" s="7"/>
      <c r="H338" s="7" t="e">
        <f>+VLOOKUP(Q338,Maps!I:J,2,0)</f>
        <v>#N/A</v>
      </c>
      <c r="I338" s="7" t="e">
        <f>+VLOOKUP(T338,Maps!E:F,2,0)</f>
        <v>#N/A</v>
      </c>
      <c r="M338" s="46"/>
    </row>
    <row r="339" spans="1:13" ht="14.25" customHeight="1" x14ac:dyDescent="0.35">
      <c r="A339" s="45" t="str">
        <f t="array" ref="A339">EXTRACTEVENT(N339,V339)</f>
        <v/>
      </c>
      <c r="B339" s="7" t="str">
        <f t="shared" si="15"/>
        <v/>
      </c>
      <c r="C339" s="7" t="e">
        <f>+VLOOKUP(P339,Maps!$A:$C,2,0)</f>
        <v>#N/A</v>
      </c>
      <c r="D339" s="7" t="str">
        <f t="shared" si="16"/>
        <v>E</v>
      </c>
      <c r="E339" s="10">
        <f t="shared" si="17"/>
        <v>0</v>
      </c>
      <c r="F339" s="7" t="e">
        <f t="array" ref="F339">+TIPOARMA(H339,I339)</f>
        <v>#VALUE!</v>
      </c>
      <c r="G339" s="7"/>
      <c r="H339" s="7" t="e">
        <f>+VLOOKUP(Q339,Maps!I:J,2,0)</f>
        <v>#N/A</v>
      </c>
      <c r="I339" s="7" t="e">
        <f>+VLOOKUP(T339,Maps!E:F,2,0)</f>
        <v>#N/A</v>
      </c>
      <c r="M339" s="46"/>
    </row>
    <row r="340" spans="1:13" ht="14.25" customHeight="1" x14ac:dyDescent="0.35">
      <c r="A340" s="45" t="str">
        <f t="array" ref="A340">EXTRACTEVENT(N340,V340)</f>
        <v/>
      </c>
      <c r="B340" s="7" t="str">
        <f t="shared" si="15"/>
        <v/>
      </c>
      <c r="C340" s="7" t="e">
        <f>+VLOOKUP(P340,Maps!$A:$C,2,0)</f>
        <v>#N/A</v>
      </c>
      <c r="D340" s="7" t="str">
        <f t="shared" si="16"/>
        <v>E</v>
      </c>
      <c r="E340" s="10">
        <f t="shared" si="17"/>
        <v>0</v>
      </c>
      <c r="F340" s="7" t="e">
        <f t="array" ref="F340">+TIPOARMA(H340,I340)</f>
        <v>#VALUE!</v>
      </c>
      <c r="G340" s="7"/>
      <c r="H340" s="7" t="e">
        <f>+VLOOKUP(Q340,Maps!I:J,2,0)</f>
        <v>#N/A</v>
      </c>
      <c r="I340" s="7" t="e">
        <f>+VLOOKUP(T340,Maps!E:F,2,0)</f>
        <v>#N/A</v>
      </c>
    </row>
    <row r="341" spans="1:13" ht="14.25" customHeight="1" x14ac:dyDescent="0.35">
      <c r="A341" s="45" t="str">
        <f t="array" ref="A341">EXTRACTEVENT(N341,V341)</f>
        <v/>
      </c>
      <c r="B341" s="7" t="str">
        <f t="shared" si="15"/>
        <v/>
      </c>
      <c r="C341" s="7" t="e">
        <f>+VLOOKUP(P341,Maps!$A:$C,2,0)</f>
        <v>#N/A</v>
      </c>
      <c r="D341" s="7" t="str">
        <f t="shared" si="16"/>
        <v>E</v>
      </c>
      <c r="E341" s="10">
        <f t="shared" si="17"/>
        <v>0</v>
      </c>
      <c r="F341" s="7" t="e">
        <f t="array" ref="F341">+TIPOARMA(H341,I341)</f>
        <v>#VALUE!</v>
      </c>
      <c r="G341" s="7"/>
      <c r="H341" s="7" t="e">
        <f>+VLOOKUP(Q341,Maps!I:J,2,0)</f>
        <v>#N/A</v>
      </c>
      <c r="I341" s="7" t="e">
        <f>+VLOOKUP(T341,Maps!E:F,2,0)</f>
        <v>#N/A</v>
      </c>
    </row>
    <row r="342" spans="1:13" ht="14.25" customHeight="1" x14ac:dyDescent="0.35">
      <c r="A342" s="45" t="str">
        <f t="array" ref="A342">EXTRACTEVENT(N342,V342)</f>
        <v/>
      </c>
      <c r="B342" s="7" t="str">
        <f t="shared" si="15"/>
        <v/>
      </c>
      <c r="C342" s="7" t="e">
        <f>+VLOOKUP(P342,Maps!$A:$C,2,0)</f>
        <v>#N/A</v>
      </c>
      <c r="D342" s="7" t="str">
        <f t="shared" si="16"/>
        <v>E</v>
      </c>
      <c r="E342" s="10">
        <f t="shared" si="17"/>
        <v>0</v>
      </c>
      <c r="F342" s="7" t="e">
        <f t="array" ref="F342">+TIPOARMA(H342,I342)</f>
        <v>#VALUE!</v>
      </c>
      <c r="G342" s="7"/>
      <c r="H342" s="7" t="e">
        <f>+VLOOKUP(Q342,Maps!I:J,2,0)</f>
        <v>#N/A</v>
      </c>
      <c r="I342" s="7" t="e">
        <f>+VLOOKUP(T342,Maps!E:F,2,0)</f>
        <v>#N/A</v>
      </c>
    </row>
    <row r="343" spans="1:13" ht="14.25" customHeight="1" x14ac:dyDescent="0.35">
      <c r="A343" s="45" t="str">
        <f t="array" ref="A343">EXTRACTEVENT(N343,V343)</f>
        <v/>
      </c>
      <c r="B343" s="7" t="str">
        <f t="shared" si="15"/>
        <v/>
      </c>
      <c r="C343" s="7" t="e">
        <f>+VLOOKUP(P343,Maps!$A:$C,2,0)</f>
        <v>#N/A</v>
      </c>
      <c r="D343" s="7" t="str">
        <f t="shared" si="16"/>
        <v>E</v>
      </c>
      <c r="E343" s="10">
        <f t="shared" si="17"/>
        <v>0</v>
      </c>
      <c r="F343" s="7" t="e">
        <f t="array" ref="F343">+TIPOARMA(H343,I343)</f>
        <v>#VALUE!</v>
      </c>
      <c r="G343" s="7"/>
      <c r="H343" s="7" t="e">
        <f>+VLOOKUP(Q343,Maps!I:J,2,0)</f>
        <v>#N/A</v>
      </c>
      <c r="I343" s="7" t="e">
        <f>+VLOOKUP(T343,Maps!E:F,2,0)</f>
        <v>#N/A</v>
      </c>
    </row>
    <row r="344" spans="1:13" ht="14.25" customHeight="1" x14ac:dyDescent="0.35">
      <c r="A344" s="45" t="str">
        <f t="array" ref="A344">EXTRACTEVENT(N344,V344)</f>
        <v/>
      </c>
      <c r="B344" s="7" t="str">
        <f t="shared" si="15"/>
        <v/>
      </c>
      <c r="C344" s="7" t="e">
        <f>+VLOOKUP(P344,Maps!$A:$C,2,0)</f>
        <v>#N/A</v>
      </c>
      <c r="D344" s="7" t="str">
        <f t="shared" si="16"/>
        <v>E</v>
      </c>
      <c r="E344" s="10">
        <f t="shared" si="17"/>
        <v>0</v>
      </c>
      <c r="F344" s="7" t="e">
        <f t="array" ref="F344">+TIPOARMA(H344,I344)</f>
        <v>#VALUE!</v>
      </c>
      <c r="G344" s="7"/>
      <c r="H344" s="7" t="e">
        <f>+VLOOKUP(Q344,Maps!I:J,2,0)</f>
        <v>#N/A</v>
      </c>
      <c r="I344" s="7" t="e">
        <f>+VLOOKUP(T344,Maps!E:F,2,0)</f>
        <v>#N/A</v>
      </c>
    </row>
    <row r="345" spans="1:13" ht="14.25" customHeight="1" x14ac:dyDescent="0.35">
      <c r="A345" s="45" t="str">
        <f t="array" ref="A345">EXTRACTEVENT(N345,V345)</f>
        <v/>
      </c>
      <c r="B345" s="7" t="str">
        <f t="shared" si="15"/>
        <v/>
      </c>
      <c r="C345" s="7" t="e">
        <f>+VLOOKUP(P345,Maps!$A:$C,2,0)</f>
        <v>#N/A</v>
      </c>
      <c r="D345" s="7" t="str">
        <f t="shared" si="16"/>
        <v>E</v>
      </c>
      <c r="E345" s="10">
        <f t="shared" si="17"/>
        <v>0</v>
      </c>
      <c r="F345" s="7" t="e">
        <f t="array" ref="F345">+TIPOARMA(H345,I345)</f>
        <v>#VALUE!</v>
      </c>
      <c r="G345" s="7"/>
      <c r="H345" s="7" t="e">
        <f>+VLOOKUP(Q345,Maps!I:J,2,0)</f>
        <v>#N/A</v>
      </c>
      <c r="I345" s="7" t="e">
        <f>+VLOOKUP(T345,Maps!E:F,2,0)</f>
        <v>#N/A</v>
      </c>
    </row>
    <row r="346" spans="1:13" ht="14.25" customHeight="1" x14ac:dyDescent="0.35">
      <c r="A346" s="45" t="str">
        <f t="array" ref="A346">EXTRACTEVENT(N346,V346)</f>
        <v/>
      </c>
      <c r="B346" s="7" t="str">
        <f t="shared" si="15"/>
        <v/>
      </c>
      <c r="C346" s="7" t="e">
        <f>+VLOOKUP(P346,Maps!$A:$C,2,0)</f>
        <v>#N/A</v>
      </c>
      <c r="D346" s="7" t="str">
        <f t="shared" si="16"/>
        <v>E</v>
      </c>
      <c r="E346" s="10">
        <f t="shared" si="17"/>
        <v>0</v>
      </c>
      <c r="F346" s="7" t="e">
        <f t="array" ref="F346">+TIPOARMA(H346,I346)</f>
        <v>#VALUE!</v>
      </c>
      <c r="G346" s="7"/>
      <c r="H346" s="7" t="e">
        <f>+VLOOKUP(Q346,Maps!I:J,2,0)</f>
        <v>#N/A</v>
      </c>
      <c r="I346" s="7" t="e">
        <f>+VLOOKUP(T346,Maps!E:F,2,0)</f>
        <v>#N/A</v>
      </c>
    </row>
    <row r="347" spans="1:13" ht="14.25" customHeight="1" x14ac:dyDescent="0.35">
      <c r="A347" s="45" t="str">
        <f t="array" ref="A347">EXTRACTEVENT(N347,V347)</f>
        <v/>
      </c>
      <c r="B347" s="7" t="str">
        <f t="shared" si="15"/>
        <v/>
      </c>
      <c r="C347" s="7" t="e">
        <f>+VLOOKUP(P347,Maps!$A:$C,2,0)</f>
        <v>#N/A</v>
      </c>
      <c r="D347" s="7" t="str">
        <f t="shared" si="16"/>
        <v>E</v>
      </c>
      <c r="E347" s="10">
        <f t="shared" si="17"/>
        <v>0</v>
      </c>
      <c r="F347" s="7" t="e">
        <f t="array" ref="F347">+TIPOARMA(H347,I347)</f>
        <v>#VALUE!</v>
      </c>
      <c r="G347" s="7"/>
      <c r="H347" s="7" t="e">
        <f>+VLOOKUP(Q347,Maps!I:J,2,0)</f>
        <v>#N/A</v>
      </c>
      <c r="I347" s="7" t="e">
        <f>+VLOOKUP(T347,Maps!E:F,2,0)</f>
        <v>#N/A</v>
      </c>
    </row>
    <row r="348" spans="1:13" ht="14.25" customHeight="1" x14ac:dyDescent="0.35">
      <c r="A348" s="45" t="str">
        <f t="array" ref="A348">EXTRACTEVENT(N348,V348)</f>
        <v/>
      </c>
      <c r="B348" s="7" t="str">
        <f t="shared" si="15"/>
        <v/>
      </c>
      <c r="C348" s="7" t="e">
        <f>+VLOOKUP(P348,Maps!$A:$C,2,0)</f>
        <v>#N/A</v>
      </c>
      <c r="D348" s="7" t="str">
        <f t="shared" si="16"/>
        <v>E</v>
      </c>
      <c r="E348" s="10">
        <f t="shared" si="17"/>
        <v>0</v>
      </c>
      <c r="F348" s="7" t="e">
        <f t="array" ref="F348">+TIPOARMA(H348,I348)</f>
        <v>#VALUE!</v>
      </c>
      <c r="G348" s="7"/>
      <c r="H348" s="7" t="e">
        <f>+VLOOKUP(Q348,Maps!I:J,2,0)</f>
        <v>#N/A</v>
      </c>
      <c r="I348" s="7" t="e">
        <f>+VLOOKUP(T348,Maps!E:F,2,0)</f>
        <v>#N/A</v>
      </c>
    </row>
    <row r="349" spans="1:13" ht="14.25" customHeight="1" x14ac:dyDescent="0.35">
      <c r="A349" s="45" t="str">
        <f t="array" ref="A349">EXTRACTEVENT(N349,V349)</f>
        <v/>
      </c>
      <c r="B349" s="7" t="str">
        <f t="shared" si="15"/>
        <v/>
      </c>
      <c r="C349" s="7" t="e">
        <f>+VLOOKUP(P349,Maps!$A:$C,2,0)</f>
        <v>#N/A</v>
      </c>
      <c r="D349" s="7" t="str">
        <f t="shared" si="16"/>
        <v>E</v>
      </c>
      <c r="E349" s="10">
        <f t="shared" si="17"/>
        <v>0</v>
      </c>
      <c r="F349" s="7" t="e">
        <f t="array" ref="F349">+TIPOARMA(H349,I349)</f>
        <v>#VALUE!</v>
      </c>
      <c r="G349" s="7"/>
      <c r="H349" s="7" t="e">
        <f>+VLOOKUP(Q349,Maps!I:J,2,0)</f>
        <v>#N/A</v>
      </c>
      <c r="I349" s="7" t="e">
        <f>+VLOOKUP(T349,Maps!E:F,2,0)</f>
        <v>#N/A</v>
      </c>
    </row>
    <row r="350" spans="1:13" ht="14.25" customHeight="1" x14ac:dyDescent="0.35">
      <c r="A350" s="45" t="str">
        <f t="array" ref="A350">EXTRACTEVENT(N350,V350)</f>
        <v/>
      </c>
      <c r="B350" s="7" t="str">
        <f t="shared" si="15"/>
        <v/>
      </c>
      <c r="C350" s="7" t="e">
        <f>+VLOOKUP(P350,Maps!$A:$C,2,0)</f>
        <v>#N/A</v>
      </c>
      <c r="D350" s="7" t="str">
        <f t="shared" si="16"/>
        <v>E</v>
      </c>
      <c r="E350" s="10">
        <f t="shared" si="17"/>
        <v>0</v>
      </c>
      <c r="F350" s="7" t="e">
        <f t="array" ref="F350">+TIPOARMA(H350,I350)</f>
        <v>#VALUE!</v>
      </c>
      <c r="G350" s="7"/>
      <c r="H350" s="7" t="e">
        <f>+VLOOKUP(Q350,Maps!I:J,2,0)</f>
        <v>#N/A</v>
      </c>
      <c r="I350" s="7" t="e">
        <f>+VLOOKUP(T350,Maps!E:F,2,0)</f>
        <v>#N/A</v>
      </c>
    </row>
    <row r="351" spans="1:13" ht="14.25" customHeight="1" x14ac:dyDescent="0.35">
      <c r="A351" s="45" t="str">
        <f t="array" ref="A351">EXTRACTEVENT(N351,V351)</f>
        <v/>
      </c>
      <c r="B351" s="7" t="str">
        <f t="shared" si="15"/>
        <v/>
      </c>
      <c r="C351" s="7" t="e">
        <f>+VLOOKUP(P351,Maps!$A:$C,2,0)</f>
        <v>#N/A</v>
      </c>
      <c r="D351" s="7" t="str">
        <f t="shared" si="16"/>
        <v>E</v>
      </c>
      <c r="E351" s="10">
        <f t="shared" si="17"/>
        <v>0</v>
      </c>
      <c r="F351" s="7" t="e">
        <f t="array" ref="F351">+TIPOARMA(H351,I351)</f>
        <v>#VALUE!</v>
      </c>
      <c r="G351" s="7"/>
      <c r="H351" s="7" t="e">
        <f>+VLOOKUP(Q351,Maps!I:J,2,0)</f>
        <v>#N/A</v>
      </c>
      <c r="I351" s="7" t="e">
        <f>+VLOOKUP(T351,Maps!E:F,2,0)</f>
        <v>#N/A</v>
      </c>
    </row>
    <row r="352" spans="1:13" ht="14.25" customHeight="1" x14ac:dyDescent="0.35">
      <c r="A352" s="45" t="str">
        <f t="array" ref="A352">EXTRACTEVENT(N352,V352)</f>
        <v/>
      </c>
      <c r="B352" s="7" t="str">
        <f t="shared" si="15"/>
        <v/>
      </c>
      <c r="C352" s="7" t="e">
        <f>+VLOOKUP(P352,Maps!$A:$C,2,0)</f>
        <v>#N/A</v>
      </c>
      <c r="D352" s="7" t="str">
        <f t="shared" si="16"/>
        <v>E</v>
      </c>
      <c r="E352" s="10">
        <f t="shared" si="17"/>
        <v>0</v>
      </c>
      <c r="F352" s="7" t="e">
        <f t="array" ref="F352">+TIPOARMA(H352,I352)</f>
        <v>#VALUE!</v>
      </c>
      <c r="G352" s="7"/>
      <c r="H352" s="7" t="e">
        <f>+VLOOKUP(Q352,Maps!I:J,2,0)</f>
        <v>#N/A</v>
      </c>
      <c r="I352" s="7" t="e">
        <f>+VLOOKUP(T352,Maps!E:F,2,0)</f>
        <v>#N/A</v>
      </c>
    </row>
    <row r="353" spans="1:9" ht="14.25" customHeight="1" x14ac:dyDescent="0.35">
      <c r="A353" s="45" t="str">
        <f t="array" ref="A353">EXTRACTEVENT(N353,V353)</f>
        <v/>
      </c>
      <c r="B353" s="7" t="str">
        <f t="shared" si="15"/>
        <v/>
      </c>
      <c r="C353" s="7"/>
      <c r="D353" s="7" t="str">
        <f t="shared" si="16"/>
        <v>E</v>
      </c>
      <c r="E353" s="10">
        <f t="shared" si="17"/>
        <v>0</v>
      </c>
      <c r="F353" s="7" t="e">
        <f t="array" ref="F353">+TIPOARMA(H353,I353)</f>
        <v>#VALUE!</v>
      </c>
      <c r="G353" s="7"/>
      <c r="H353" s="7" t="e">
        <f>+VLOOKUP(Q353,Maps!I:J,2,0)</f>
        <v>#N/A</v>
      </c>
      <c r="I353" s="7" t="e">
        <f>+VLOOKUP(T353,Maps!E:F,2,0)</f>
        <v>#N/A</v>
      </c>
    </row>
    <row r="354" spans="1:9" ht="14.25" customHeight="1" x14ac:dyDescent="0.35">
      <c r="A354" s="7" t="str">
        <f t="array" ref="A354">EXTRACTEVENT(N354,V354)</f>
        <v/>
      </c>
      <c r="B354" s="7" t="str">
        <f t="shared" si="15"/>
        <v/>
      </c>
      <c r="C354" s="7"/>
      <c r="D354" s="7" t="str">
        <f t="shared" si="16"/>
        <v>E</v>
      </c>
      <c r="E354" s="10">
        <f t="shared" si="17"/>
        <v>0</v>
      </c>
      <c r="F354" s="7" t="e">
        <f t="array" ref="F354">+TIPOARMA(H354,I354)</f>
        <v>#VALUE!</v>
      </c>
      <c r="G354" s="7"/>
      <c r="H354" s="7" t="e">
        <f>+VLOOKUP(Q354,Maps!I:J,2,0)</f>
        <v>#N/A</v>
      </c>
      <c r="I354" s="7" t="e">
        <f>+VLOOKUP(T354,Maps!E:F,2,0)</f>
        <v>#N/A</v>
      </c>
    </row>
    <row r="355" spans="1:9" ht="14.25" customHeight="1" x14ac:dyDescent="0.35">
      <c r="A355" s="7" t="str">
        <f t="array" ref="A355">EXTRACTEVENT(N355,V355)</f>
        <v/>
      </c>
      <c r="B355" s="7" t="str">
        <f t="shared" si="15"/>
        <v/>
      </c>
      <c r="C355" s="7"/>
      <c r="D355" s="7" t="str">
        <f t="shared" si="16"/>
        <v>E</v>
      </c>
      <c r="E355" s="10">
        <f t="shared" si="17"/>
        <v>0</v>
      </c>
      <c r="F355" s="7" t="e">
        <f t="array" ref="F355">+TIPOARMA(H355,I355)</f>
        <v>#VALUE!</v>
      </c>
      <c r="G355" s="7"/>
      <c r="H355" s="7" t="e">
        <f>+VLOOKUP(Q355,Maps!I:J,2,0)</f>
        <v>#N/A</v>
      </c>
      <c r="I355" s="7" t="e">
        <f>+VLOOKUP(T355,Maps!E:F,2,0)</f>
        <v>#N/A</v>
      </c>
    </row>
    <row r="356" spans="1:9" ht="14.25" customHeight="1" x14ac:dyDescent="0.35">
      <c r="A356" s="7" t="str">
        <f t="array" ref="A356">EXTRACTEVENT(N356,V356)</f>
        <v/>
      </c>
      <c r="B356" s="7" t="str">
        <f t="shared" si="15"/>
        <v/>
      </c>
      <c r="C356" s="7"/>
      <c r="D356" s="7" t="str">
        <f t="shared" si="16"/>
        <v>E</v>
      </c>
      <c r="E356" s="10">
        <f t="shared" si="17"/>
        <v>0</v>
      </c>
      <c r="F356" s="7" t="e">
        <f t="array" ref="F356">+TIPOARMA(H356,I356)</f>
        <v>#VALUE!</v>
      </c>
      <c r="G356" s="7"/>
      <c r="H356" s="7" t="e">
        <f>+VLOOKUP(Q356,Maps!I:J,2,0)</f>
        <v>#N/A</v>
      </c>
      <c r="I356" s="7" t="e">
        <f>+VLOOKUP(T356,Maps!E:F,2,0)</f>
        <v>#N/A</v>
      </c>
    </row>
    <row r="357" spans="1:9" ht="14.25" customHeight="1" x14ac:dyDescent="0.35">
      <c r="A357" s="7" t="str">
        <f t="array" ref="A357">EXTRACTEVENT(N357,V357)</f>
        <v/>
      </c>
      <c r="B357" s="7" t="str">
        <f t="shared" si="15"/>
        <v/>
      </c>
      <c r="C357" s="7"/>
      <c r="D357" s="7" t="str">
        <f t="shared" si="16"/>
        <v>E</v>
      </c>
      <c r="E357" s="10">
        <f t="shared" si="17"/>
        <v>0</v>
      </c>
      <c r="F357" s="7" t="e">
        <f t="array" ref="F357">+TIPOARMA(H357,I357)</f>
        <v>#VALUE!</v>
      </c>
      <c r="G357" s="7"/>
      <c r="H357" s="7" t="e">
        <f>+VLOOKUP(Q357,Maps!I:J,2,0)</f>
        <v>#N/A</v>
      </c>
      <c r="I357" s="7" t="e">
        <f>+VLOOKUP(T357,Maps!E:F,2,0)</f>
        <v>#N/A</v>
      </c>
    </row>
    <row r="358" spans="1:9" ht="14.25" customHeight="1" x14ac:dyDescent="0.35">
      <c r="A358" s="7" t="str">
        <f t="array" ref="A358">EXTRACTEVENT(N358,V358)</f>
        <v/>
      </c>
      <c r="B358" s="7" t="str">
        <f t="shared" si="15"/>
        <v/>
      </c>
      <c r="C358" s="7"/>
      <c r="D358" s="7" t="str">
        <f t="shared" si="16"/>
        <v>E</v>
      </c>
      <c r="E358" s="10">
        <f t="shared" si="17"/>
        <v>0</v>
      </c>
      <c r="F358" s="7" t="e">
        <f t="array" ref="F358">+TIPOARMA(H358,I358)</f>
        <v>#VALUE!</v>
      </c>
      <c r="G358" s="7"/>
      <c r="H358" s="7" t="e">
        <f>+VLOOKUP(Q358,Maps!I:J,2,0)</f>
        <v>#N/A</v>
      </c>
      <c r="I358" s="7" t="e">
        <f>+VLOOKUP(T358,Maps!E:F,2,0)</f>
        <v>#N/A</v>
      </c>
    </row>
    <row r="359" spans="1:9" ht="14.25" customHeight="1" x14ac:dyDescent="0.35">
      <c r="A359" s="7" t="str">
        <f t="array" ref="A359">EXTRACTEVENT(N359,V359)</f>
        <v/>
      </c>
      <c r="B359" s="7" t="str">
        <f t="shared" si="15"/>
        <v/>
      </c>
      <c r="C359" s="7"/>
      <c r="D359" s="7" t="str">
        <f t="shared" si="16"/>
        <v>E</v>
      </c>
      <c r="E359" s="10">
        <f t="shared" si="17"/>
        <v>0</v>
      </c>
      <c r="F359" s="7" t="e">
        <f t="array" ref="F359">+TIPOARMA(H359,I359)</f>
        <v>#VALUE!</v>
      </c>
      <c r="G359" s="7"/>
      <c r="H359" s="7" t="e">
        <f>+VLOOKUP(Q359,Maps!I:J,2,0)</f>
        <v>#N/A</v>
      </c>
      <c r="I359" s="7" t="e">
        <f>+VLOOKUP(T359,Maps!E:F,2,0)</f>
        <v>#N/A</v>
      </c>
    </row>
    <row r="360" spans="1:9" ht="14.25" customHeight="1" x14ac:dyDescent="0.35">
      <c r="A360" s="7" t="str">
        <f t="array" ref="A360">EXTRACTEVENT(N360,V360)</f>
        <v/>
      </c>
      <c r="B360" s="7" t="str">
        <f t="shared" si="15"/>
        <v/>
      </c>
      <c r="C360" s="7"/>
      <c r="D360" s="7" t="str">
        <f t="shared" si="16"/>
        <v>E</v>
      </c>
      <c r="E360" s="10">
        <f t="shared" si="17"/>
        <v>0</v>
      </c>
      <c r="F360" s="7" t="e">
        <f t="array" ref="F360">+TIPOARMA(H360,I360)</f>
        <v>#VALUE!</v>
      </c>
      <c r="G360" s="7"/>
      <c r="H360" s="7" t="e">
        <f>+VLOOKUP(Q360,Maps!I:J,2,0)</f>
        <v>#N/A</v>
      </c>
      <c r="I360" s="7" t="e">
        <f>+VLOOKUP(T360,Maps!E:F,2,0)</f>
        <v>#N/A</v>
      </c>
    </row>
    <row r="361" spans="1:9" ht="14.25" customHeight="1" x14ac:dyDescent="0.35">
      <c r="A361" s="7" t="str">
        <f t="array" ref="A361">EXTRACTEVENT(N361,V361)</f>
        <v/>
      </c>
      <c r="B361" s="7" t="str">
        <f t="shared" si="15"/>
        <v/>
      </c>
      <c r="C361" s="7"/>
      <c r="D361" s="7" t="str">
        <f t="shared" si="16"/>
        <v>E</v>
      </c>
      <c r="E361" s="10">
        <f t="shared" si="17"/>
        <v>0</v>
      </c>
      <c r="F361" s="7" t="e">
        <f t="array" ref="F361">+TIPOARMA(H361,I361)</f>
        <v>#VALUE!</v>
      </c>
      <c r="G361" s="7"/>
      <c r="H361" s="7" t="e">
        <f>+VLOOKUP(Q361,Maps!I:J,2,0)</f>
        <v>#N/A</v>
      </c>
      <c r="I361" s="7" t="e">
        <f>+VLOOKUP(T361,Maps!E:F,2,0)</f>
        <v>#N/A</v>
      </c>
    </row>
    <row r="362" spans="1:9" ht="14.25" customHeight="1" x14ac:dyDescent="0.35">
      <c r="A362" s="7" t="str">
        <f t="array" ref="A362">EXTRACTEVENT(N362,V362)</f>
        <v/>
      </c>
      <c r="B362" s="7" t="str">
        <f t="shared" si="15"/>
        <v/>
      </c>
      <c r="C362" s="7"/>
      <c r="D362" s="7" t="str">
        <f t="shared" si="16"/>
        <v>E</v>
      </c>
      <c r="E362" s="10">
        <f t="shared" si="17"/>
        <v>0</v>
      </c>
      <c r="F362" s="7" t="e">
        <f t="array" ref="F362">+TIPOARMA(H362,I362)</f>
        <v>#VALUE!</v>
      </c>
      <c r="G362" s="7"/>
      <c r="H362" s="7" t="e">
        <f>+VLOOKUP(Q362,Maps!I:J,2,0)</f>
        <v>#N/A</v>
      </c>
      <c r="I362" s="7" t="e">
        <f>+VLOOKUP(T362,Maps!E:F,2,0)</f>
        <v>#N/A</v>
      </c>
    </row>
    <row r="363" spans="1:9" ht="14.25" customHeight="1" x14ac:dyDescent="0.35">
      <c r="A363" s="7" t="str">
        <f t="array" ref="A363">EXTRACTEVENT(N363,V363)</f>
        <v/>
      </c>
      <c r="B363" s="7" t="str">
        <f t="shared" si="15"/>
        <v/>
      </c>
      <c r="C363" s="7"/>
      <c r="D363" s="7" t="str">
        <f t="shared" si="16"/>
        <v>E</v>
      </c>
      <c r="E363" s="10">
        <f t="shared" si="17"/>
        <v>0</v>
      </c>
      <c r="F363" s="7" t="e">
        <f t="array" ref="F363">+TIPOARMA(H363,I363)</f>
        <v>#VALUE!</v>
      </c>
      <c r="G363" s="7"/>
      <c r="H363" s="7" t="e">
        <f>+VLOOKUP(Q363,Maps!I:J,2,0)</f>
        <v>#N/A</v>
      </c>
      <c r="I363" s="7" t="e">
        <f>+VLOOKUP(T363,Maps!E:F,2,0)</f>
        <v>#N/A</v>
      </c>
    </row>
    <row r="364" spans="1:9" ht="14.25" customHeight="1" x14ac:dyDescent="0.35">
      <c r="A364" s="7" t="str">
        <f t="array" ref="A364">EXTRACTEVENT(N364,V364)</f>
        <v/>
      </c>
      <c r="B364" s="7" t="str">
        <f t="shared" si="15"/>
        <v/>
      </c>
      <c r="C364" s="7"/>
      <c r="D364" s="7" t="str">
        <f t="shared" si="16"/>
        <v>E</v>
      </c>
      <c r="E364" s="10">
        <f t="shared" si="17"/>
        <v>0</v>
      </c>
      <c r="F364" s="7" t="e">
        <f t="array" ref="F364">+TIPOARMA(H364,I364)</f>
        <v>#VALUE!</v>
      </c>
      <c r="G364" s="7"/>
      <c r="H364" s="7" t="e">
        <f>+VLOOKUP(Q364,Maps!I:J,2,0)</f>
        <v>#N/A</v>
      </c>
      <c r="I364" s="7" t="e">
        <f>+VLOOKUP(T364,Maps!E:F,2,0)</f>
        <v>#N/A</v>
      </c>
    </row>
    <row r="365" spans="1:9" ht="14.25" customHeight="1" x14ac:dyDescent="0.35">
      <c r="A365" s="7" t="str">
        <f t="array" ref="A365">EXTRACTEVENT(N365,V365)</f>
        <v/>
      </c>
      <c r="B365" s="7" t="str">
        <f t="shared" si="15"/>
        <v/>
      </c>
      <c r="C365" s="7"/>
      <c r="D365" s="7" t="str">
        <f t="shared" si="16"/>
        <v>E</v>
      </c>
      <c r="E365" s="10">
        <f t="shared" si="17"/>
        <v>0</v>
      </c>
      <c r="F365" s="7" t="e">
        <f t="array" ref="F365">+TIPOARMA(H365,I365)</f>
        <v>#VALUE!</v>
      </c>
      <c r="G365" s="7"/>
      <c r="H365" s="7" t="e">
        <f>+VLOOKUP(Q365,Maps!I:J,2,0)</f>
        <v>#N/A</v>
      </c>
      <c r="I365" s="7" t="e">
        <f>+VLOOKUP(T365,Maps!E:F,2,0)</f>
        <v>#N/A</v>
      </c>
    </row>
    <row r="366" spans="1:9" ht="14.25" customHeight="1" x14ac:dyDescent="0.35">
      <c r="A366" s="7" t="str">
        <f t="array" ref="A366">EXTRACTEVENT(N366,V366)</f>
        <v/>
      </c>
      <c r="B366" s="7" t="str">
        <f t="shared" si="15"/>
        <v/>
      </c>
      <c r="C366" s="7"/>
      <c r="D366" s="7" t="str">
        <f t="shared" si="16"/>
        <v>E</v>
      </c>
      <c r="E366" s="10">
        <f t="shared" si="17"/>
        <v>0</v>
      </c>
      <c r="F366" s="7" t="e">
        <f t="array" ref="F366">+TIPOARMA(H366,I366)</f>
        <v>#VALUE!</v>
      </c>
      <c r="G366" s="7"/>
      <c r="H366" s="7" t="e">
        <f>+VLOOKUP(Q366,Maps!I:J,2,0)</f>
        <v>#N/A</v>
      </c>
      <c r="I366" s="7" t="e">
        <f>+VLOOKUP(T366,Maps!E:F,2,0)</f>
        <v>#N/A</v>
      </c>
    </row>
    <row r="367" spans="1:9" ht="14.25" customHeight="1" x14ac:dyDescent="0.35">
      <c r="A367" s="7" t="str">
        <f t="array" ref="A367">EXTRACTEVENT(N367,V367)</f>
        <v/>
      </c>
      <c r="B367" s="7" t="str">
        <f t="shared" si="15"/>
        <v/>
      </c>
      <c r="C367" s="7"/>
      <c r="D367" s="7" t="str">
        <f t="shared" si="16"/>
        <v>E</v>
      </c>
      <c r="E367" s="10">
        <f t="shared" si="17"/>
        <v>0</v>
      </c>
      <c r="F367" s="7" t="e">
        <f t="array" ref="F367">+TIPOARMA(H367,I367)</f>
        <v>#VALUE!</v>
      </c>
      <c r="G367" s="7"/>
      <c r="H367" s="7" t="e">
        <f>+VLOOKUP(Q367,Maps!I:J,2,0)</f>
        <v>#N/A</v>
      </c>
      <c r="I367" s="7" t="e">
        <f>+VLOOKUP(T367,Maps!E:F,2,0)</f>
        <v>#N/A</v>
      </c>
    </row>
    <row r="368" spans="1:9" ht="14.25" customHeight="1" x14ac:dyDescent="0.35">
      <c r="A368" s="7" t="str">
        <f t="array" ref="A368">EXTRACTEVENT(N368,V368)</f>
        <v/>
      </c>
      <c r="B368" s="7" t="str">
        <f t="shared" si="15"/>
        <v/>
      </c>
      <c r="C368" s="7"/>
      <c r="D368" s="7" t="str">
        <f t="shared" si="16"/>
        <v>E</v>
      </c>
      <c r="E368" s="10">
        <f t="shared" si="17"/>
        <v>0</v>
      </c>
      <c r="F368" s="7" t="e">
        <f t="array" ref="F368">+TIPOARMA(H368,I368)</f>
        <v>#VALUE!</v>
      </c>
      <c r="G368" s="7"/>
      <c r="H368" s="7" t="e">
        <f>+VLOOKUP(Q368,Maps!I:J,2,0)</f>
        <v>#N/A</v>
      </c>
      <c r="I368" s="7" t="e">
        <f>+VLOOKUP(T368,Maps!E:F,2,0)</f>
        <v>#N/A</v>
      </c>
    </row>
    <row r="369" spans="1:9" ht="14.25" customHeight="1" x14ac:dyDescent="0.35">
      <c r="A369" s="7" t="str">
        <f t="array" ref="A369">EXTRACTEVENT(N369,V369)</f>
        <v/>
      </c>
      <c r="B369" s="7" t="str">
        <f t="shared" si="15"/>
        <v/>
      </c>
      <c r="C369" s="7"/>
      <c r="D369" s="7" t="str">
        <f t="shared" si="16"/>
        <v>E</v>
      </c>
      <c r="E369" s="10">
        <f t="shared" si="17"/>
        <v>0</v>
      </c>
      <c r="F369" s="7" t="e">
        <f t="array" ref="F369">+TIPOARMA(H369,I369)</f>
        <v>#VALUE!</v>
      </c>
      <c r="G369" s="7"/>
      <c r="H369" s="7" t="e">
        <f>+VLOOKUP(Q369,Maps!I:J,2,0)</f>
        <v>#N/A</v>
      </c>
      <c r="I369" s="7" t="e">
        <f>+VLOOKUP(T369,Maps!E:F,2,0)</f>
        <v>#N/A</v>
      </c>
    </row>
    <row r="370" spans="1:9" ht="14.25" customHeight="1" x14ac:dyDescent="0.35">
      <c r="A370" s="7" t="str">
        <f t="array" ref="A370">EXTRACTEVENT(N370,V370)</f>
        <v/>
      </c>
      <c r="B370" s="7" t="str">
        <f t="shared" si="15"/>
        <v/>
      </c>
      <c r="C370" s="7"/>
      <c r="D370" s="7" t="str">
        <f t="shared" si="16"/>
        <v>E</v>
      </c>
      <c r="E370" s="10">
        <f t="shared" si="17"/>
        <v>0</v>
      </c>
      <c r="F370" s="7" t="e">
        <f t="array" ref="F370">+TIPOARMA(H370,I370)</f>
        <v>#VALUE!</v>
      </c>
      <c r="G370" s="7"/>
      <c r="H370" s="7" t="e">
        <f>+VLOOKUP(Q370,Maps!I:J,2,0)</f>
        <v>#N/A</v>
      </c>
      <c r="I370" s="7" t="e">
        <f>+VLOOKUP(T370,Maps!E:F,2,0)</f>
        <v>#N/A</v>
      </c>
    </row>
    <row r="371" spans="1:9" ht="14.25" customHeight="1" x14ac:dyDescent="0.35">
      <c r="A371" s="7" t="str">
        <f t="array" ref="A371">EXTRACTEVENT(N371,V371)</f>
        <v/>
      </c>
      <c r="B371" s="7" t="str">
        <f t="shared" si="15"/>
        <v/>
      </c>
      <c r="C371" s="7"/>
      <c r="D371" s="7" t="str">
        <f t="shared" si="16"/>
        <v>E</v>
      </c>
      <c r="E371" s="10">
        <f t="shared" si="17"/>
        <v>0</v>
      </c>
      <c r="F371" s="7" t="e">
        <f t="array" ref="F371">+TIPOARMA(H371,I371)</f>
        <v>#VALUE!</v>
      </c>
      <c r="G371" s="7"/>
      <c r="H371" s="7" t="e">
        <f>+VLOOKUP(Q371,Maps!I:J,2,0)</f>
        <v>#N/A</v>
      </c>
      <c r="I371" s="7" t="e">
        <f>+VLOOKUP(T371,Maps!E:F,2,0)</f>
        <v>#N/A</v>
      </c>
    </row>
    <row r="372" spans="1:9" ht="14.25" customHeight="1" x14ac:dyDescent="0.35">
      <c r="A372" s="7" t="str">
        <f t="array" ref="A372">EXTRACTEVENT(N372,V372)</f>
        <v/>
      </c>
      <c r="B372" s="7" t="str">
        <f t="shared" si="15"/>
        <v/>
      </c>
      <c r="C372" s="7"/>
      <c r="D372" s="7" t="str">
        <f t="shared" si="16"/>
        <v>E</v>
      </c>
      <c r="E372" s="10">
        <f t="shared" si="17"/>
        <v>0</v>
      </c>
      <c r="F372" s="7" t="e">
        <f t="array" ref="F372">+TIPOARMA(H372,I372)</f>
        <v>#VALUE!</v>
      </c>
      <c r="G372" s="7"/>
      <c r="H372" s="7" t="e">
        <f>+VLOOKUP(Q372,Maps!I:J,2,0)</f>
        <v>#N/A</v>
      </c>
      <c r="I372" s="7" t="e">
        <f>+VLOOKUP(T372,Maps!E:F,2,0)</f>
        <v>#N/A</v>
      </c>
    </row>
    <row r="373" spans="1:9" ht="14.25" customHeight="1" x14ac:dyDescent="0.35">
      <c r="A373" s="7" t="str">
        <f t="array" ref="A373">EXTRACTEVENT(N373,V373)</f>
        <v/>
      </c>
      <c r="B373" s="7" t="str">
        <f t="shared" si="15"/>
        <v/>
      </c>
      <c r="C373" s="7"/>
      <c r="D373" s="7" t="str">
        <f t="shared" si="16"/>
        <v>E</v>
      </c>
      <c r="E373" s="10">
        <f t="shared" si="17"/>
        <v>0</v>
      </c>
      <c r="F373" s="7" t="e">
        <f t="array" ref="F373">+TIPOARMA(H373,I373)</f>
        <v>#VALUE!</v>
      </c>
      <c r="G373" s="7"/>
      <c r="H373" s="7" t="e">
        <f>+VLOOKUP(Q373,Maps!I:J,2,0)</f>
        <v>#N/A</v>
      </c>
      <c r="I373" s="7" t="e">
        <f>+VLOOKUP(T373,Maps!E:F,2,0)</f>
        <v>#N/A</v>
      </c>
    </row>
    <row r="374" spans="1:9" ht="14.25" customHeight="1" x14ac:dyDescent="0.35">
      <c r="A374" s="7" t="str">
        <f t="array" ref="A374">EXTRACTEVENT(N374,V374)</f>
        <v/>
      </c>
      <c r="B374" s="7" t="str">
        <f t="shared" si="15"/>
        <v/>
      </c>
      <c r="C374" s="7"/>
      <c r="D374" s="7" t="str">
        <f t="shared" si="16"/>
        <v>E</v>
      </c>
      <c r="E374" s="10">
        <f t="shared" si="17"/>
        <v>0</v>
      </c>
      <c r="F374" s="7" t="e">
        <f t="array" ref="F374">+TIPOARMA(H374,I374)</f>
        <v>#VALUE!</v>
      </c>
      <c r="G374" s="7"/>
      <c r="H374" s="7" t="e">
        <f>+VLOOKUP(Q374,Maps!I:J,2,0)</f>
        <v>#N/A</v>
      </c>
      <c r="I374" s="7" t="e">
        <f>+VLOOKUP(T374,Maps!E:F,2,0)</f>
        <v>#N/A</v>
      </c>
    </row>
    <row r="375" spans="1:9" ht="14.25" customHeight="1" x14ac:dyDescent="0.35">
      <c r="A375" s="7" t="str">
        <f t="array" ref="A375">EXTRACTEVENT(N375,V375)</f>
        <v/>
      </c>
      <c r="B375" s="7" t="str">
        <f t="shared" si="15"/>
        <v/>
      </c>
      <c r="C375" s="7"/>
      <c r="D375" s="7" t="str">
        <f t="shared" si="16"/>
        <v>E</v>
      </c>
      <c r="E375" s="10">
        <f t="shared" si="17"/>
        <v>0</v>
      </c>
      <c r="F375" s="7" t="e">
        <f t="array" ref="F375">+TIPOARMA(H375,I375)</f>
        <v>#VALUE!</v>
      </c>
      <c r="G375" s="7"/>
      <c r="H375" s="7" t="e">
        <f>+VLOOKUP(Q375,Maps!I:J,2,0)</f>
        <v>#N/A</v>
      </c>
      <c r="I375" s="7" t="e">
        <f>+VLOOKUP(T375,Maps!E:F,2,0)</f>
        <v>#N/A</v>
      </c>
    </row>
    <row r="376" spans="1:9" ht="14.25" customHeight="1" x14ac:dyDescent="0.35">
      <c r="A376" s="7" t="str">
        <f t="array" ref="A376">EXTRACTEVENT(N376,V376)</f>
        <v/>
      </c>
      <c r="B376" s="7" t="str">
        <f t="shared" si="15"/>
        <v/>
      </c>
      <c r="C376" s="7"/>
      <c r="D376" s="7" t="str">
        <f t="shared" si="16"/>
        <v>E</v>
      </c>
      <c r="E376" s="10">
        <f t="shared" si="17"/>
        <v>0</v>
      </c>
      <c r="F376" s="7" t="e">
        <f t="array" ref="F376">+TIPOARMA(H376,I376)</f>
        <v>#VALUE!</v>
      </c>
      <c r="G376" s="7"/>
      <c r="H376" s="7" t="e">
        <f>+VLOOKUP(Q376,Maps!I:J,2,0)</f>
        <v>#N/A</v>
      </c>
      <c r="I376" s="7" t="e">
        <f>+VLOOKUP(T376,Maps!E:F,2,0)</f>
        <v>#N/A</v>
      </c>
    </row>
    <row r="377" spans="1:9" ht="14.25" customHeight="1" x14ac:dyDescent="0.35">
      <c r="A377" s="7" t="str">
        <f t="array" ref="A377">EXTRACTEVENT(N377,V377)</f>
        <v/>
      </c>
      <c r="B377" s="7" t="str">
        <f t="shared" si="15"/>
        <v/>
      </c>
      <c r="C377" s="7"/>
      <c r="D377" s="7" t="str">
        <f t="shared" si="16"/>
        <v>E</v>
      </c>
      <c r="E377" s="10">
        <f t="shared" si="17"/>
        <v>0</v>
      </c>
      <c r="F377" s="7" t="e">
        <f t="array" ref="F377">+TIPOARMA(H377,I377)</f>
        <v>#VALUE!</v>
      </c>
      <c r="G377" s="7"/>
      <c r="H377" s="7" t="e">
        <f>+VLOOKUP(Q377,Maps!I:J,2,0)</f>
        <v>#N/A</v>
      </c>
      <c r="I377" s="7" t="e">
        <f>+VLOOKUP(T377,Maps!E:F,2,0)</f>
        <v>#N/A</v>
      </c>
    </row>
    <row r="378" spans="1:9" ht="14.25" customHeight="1" x14ac:dyDescent="0.35">
      <c r="A378" s="7" t="str">
        <f t="array" ref="A378">EXTRACTEVENT(N378,V378)</f>
        <v/>
      </c>
      <c r="B378" s="7" t="str">
        <f t="shared" si="15"/>
        <v/>
      </c>
      <c r="C378" s="7"/>
      <c r="D378" s="7" t="str">
        <f t="shared" si="16"/>
        <v>E</v>
      </c>
      <c r="E378" s="10">
        <f t="shared" si="17"/>
        <v>0</v>
      </c>
      <c r="F378" s="7" t="e">
        <f t="array" ref="F378">+TIPOARMA(H378,I378)</f>
        <v>#VALUE!</v>
      </c>
      <c r="G378" s="7"/>
      <c r="H378" s="7" t="e">
        <f>+VLOOKUP(Q378,Maps!I:J,2,0)</f>
        <v>#N/A</v>
      </c>
      <c r="I378" s="7" t="e">
        <f>+VLOOKUP(T378,Maps!E:F,2,0)</f>
        <v>#N/A</v>
      </c>
    </row>
    <row r="379" spans="1:9" ht="14.25" customHeight="1" x14ac:dyDescent="0.35">
      <c r="A379" s="7" t="str">
        <f t="array" ref="A379">EXTRACTEVENT(N379,V379)</f>
        <v/>
      </c>
      <c r="B379" s="7" t="str">
        <f t="shared" si="15"/>
        <v/>
      </c>
      <c r="C379" s="7"/>
      <c r="D379" s="7" t="str">
        <f t="shared" si="16"/>
        <v>E</v>
      </c>
      <c r="E379" s="10">
        <f t="shared" si="17"/>
        <v>0</v>
      </c>
      <c r="F379" s="7" t="e">
        <f t="array" ref="F379">+TIPOARMA(H379,I379)</f>
        <v>#VALUE!</v>
      </c>
      <c r="G379" s="7"/>
      <c r="H379" s="7" t="e">
        <f>+VLOOKUP(Q379,Maps!I:J,2,0)</f>
        <v>#N/A</v>
      </c>
      <c r="I379" s="7" t="e">
        <f>+VLOOKUP(T379,Maps!E:F,2,0)</f>
        <v>#N/A</v>
      </c>
    </row>
    <row r="380" spans="1:9" ht="14.25" customHeight="1" x14ac:dyDescent="0.35">
      <c r="A380" s="7" t="str">
        <f t="array" ref="A380">EXTRACTEVENT(N380,V380)</f>
        <v/>
      </c>
      <c r="B380" s="7" t="str">
        <f t="shared" si="15"/>
        <v/>
      </c>
      <c r="C380" s="7"/>
      <c r="D380" s="7" t="str">
        <f t="shared" si="16"/>
        <v>E</v>
      </c>
      <c r="E380" s="10">
        <f t="shared" si="17"/>
        <v>0</v>
      </c>
      <c r="F380" s="7" t="e">
        <f t="array" ref="F380">+TIPOARMA(H380,I380)</f>
        <v>#VALUE!</v>
      </c>
      <c r="G380" s="7"/>
      <c r="H380" s="7" t="e">
        <f>+VLOOKUP(Q380,Maps!I:J,2,0)</f>
        <v>#N/A</v>
      </c>
      <c r="I380" s="7" t="e">
        <f>+VLOOKUP(T380,Maps!E:F,2,0)</f>
        <v>#N/A</v>
      </c>
    </row>
    <row r="381" spans="1:9" ht="14.25" customHeight="1" x14ac:dyDescent="0.35">
      <c r="A381" s="7" t="str">
        <f t="array" ref="A381">EXTRACTEVENT(N381,V381)</f>
        <v/>
      </c>
      <c r="B381" s="7" t="str">
        <f t="shared" si="15"/>
        <v/>
      </c>
      <c r="C381" s="7"/>
      <c r="D381" s="7" t="str">
        <f t="shared" si="16"/>
        <v>E</v>
      </c>
      <c r="E381" s="10">
        <f t="shared" si="17"/>
        <v>0</v>
      </c>
      <c r="F381" s="7" t="e">
        <f t="array" ref="F381">+TIPOARMA(H381,I381)</f>
        <v>#VALUE!</v>
      </c>
      <c r="G381" s="7"/>
      <c r="H381" s="7" t="e">
        <f>+VLOOKUP(Q381,Maps!I:J,2,0)</f>
        <v>#N/A</v>
      </c>
      <c r="I381" s="7" t="e">
        <f>+VLOOKUP(T381,Maps!E:F,2,0)</f>
        <v>#N/A</v>
      </c>
    </row>
    <row r="382" spans="1:9" ht="14.25" customHeight="1" x14ac:dyDescent="0.35">
      <c r="A382" s="7" t="str">
        <f t="array" ref="A382">EXTRACTEVENT(N382,V382)</f>
        <v/>
      </c>
      <c r="B382" s="7" t="str">
        <f t="shared" si="15"/>
        <v/>
      </c>
      <c r="C382" s="7"/>
      <c r="D382" s="7" t="str">
        <f t="shared" si="16"/>
        <v>E</v>
      </c>
      <c r="E382" s="10">
        <f t="shared" si="17"/>
        <v>0</v>
      </c>
      <c r="F382" s="7" t="e">
        <f t="array" ref="F382">+TIPOARMA(H382,I382)</f>
        <v>#VALUE!</v>
      </c>
      <c r="G382" s="7"/>
      <c r="H382" s="7" t="e">
        <f>+VLOOKUP(Q382,Maps!I:J,2,0)</f>
        <v>#N/A</v>
      </c>
      <c r="I382" s="7" t="e">
        <f>+VLOOKUP(T382,Maps!E:F,2,0)</f>
        <v>#N/A</v>
      </c>
    </row>
    <row r="383" spans="1:9" ht="14.25" customHeight="1" x14ac:dyDescent="0.35">
      <c r="A383" s="7" t="str">
        <f t="array" ref="A383">EXTRACTEVENT(N383,V383)</f>
        <v/>
      </c>
      <c r="B383" s="7" t="str">
        <f t="shared" si="15"/>
        <v/>
      </c>
      <c r="C383" s="7"/>
      <c r="D383" s="7" t="str">
        <f t="shared" si="16"/>
        <v>E</v>
      </c>
      <c r="E383" s="10">
        <f t="shared" si="17"/>
        <v>0</v>
      </c>
      <c r="F383" s="7" t="e">
        <f t="array" ref="F383">+TIPOARMA(H383,I383)</f>
        <v>#VALUE!</v>
      </c>
      <c r="G383" s="7"/>
      <c r="H383" s="7" t="e">
        <f>+VLOOKUP(Q383,Maps!I:J,2,0)</f>
        <v>#N/A</v>
      </c>
      <c r="I383" s="7" t="e">
        <f>+VLOOKUP(T383,Maps!E:F,2,0)</f>
        <v>#N/A</v>
      </c>
    </row>
    <row r="384" spans="1:9" ht="14.25" customHeight="1" x14ac:dyDescent="0.35">
      <c r="A384" s="7" t="str">
        <f t="array" ref="A384">EXTRACTEVENT(N384,V384)</f>
        <v/>
      </c>
      <c r="B384" s="7" t="str">
        <f t="shared" si="15"/>
        <v/>
      </c>
      <c r="C384" s="7"/>
      <c r="D384" s="7" t="str">
        <f t="shared" si="16"/>
        <v>E</v>
      </c>
      <c r="E384" s="10">
        <f t="shared" si="17"/>
        <v>0</v>
      </c>
      <c r="F384" s="7" t="e">
        <f t="array" ref="F384">+TIPOARMA(H384,I384)</f>
        <v>#VALUE!</v>
      </c>
      <c r="G384" s="7"/>
      <c r="H384" s="7" t="e">
        <f>+VLOOKUP(Q384,Maps!I:J,2,0)</f>
        <v>#N/A</v>
      </c>
      <c r="I384" s="7" t="e">
        <f>+VLOOKUP(T384,Maps!E:F,2,0)</f>
        <v>#N/A</v>
      </c>
    </row>
    <row r="385" spans="1:9" ht="14.25" customHeight="1" x14ac:dyDescent="0.35">
      <c r="A385" s="7" t="str">
        <f t="array" ref="A385">EXTRACTEVENT(N385,V385)</f>
        <v/>
      </c>
      <c r="B385" s="7" t="str">
        <f t="shared" si="15"/>
        <v/>
      </c>
      <c r="C385" s="7"/>
      <c r="D385" s="7" t="str">
        <f t="shared" si="16"/>
        <v>E</v>
      </c>
      <c r="E385" s="10">
        <f t="shared" si="17"/>
        <v>0</v>
      </c>
      <c r="F385" s="7" t="e">
        <f t="array" ref="F385">+TIPOARMA(H385,I385)</f>
        <v>#VALUE!</v>
      </c>
      <c r="G385" s="7"/>
      <c r="H385" s="7" t="e">
        <f>+VLOOKUP(Q385,Maps!I:J,2,0)</f>
        <v>#N/A</v>
      </c>
      <c r="I385" s="7" t="e">
        <f>+VLOOKUP(T385,Maps!E:F,2,0)</f>
        <v>#N/A</v>
      </c>
    </row>
    <row r="386" spans="1:9" ht="14.25" customHeight="1" x14ac:dyDescent="0.35">
      <c r="A386" s="7" t="str">
        <f t="array" ref="A386">EXTRACTEVENT(N386,V386)</f>
        <v/>
      </c>
      <c r="B386" s="7" t="str">
        <f t="shared" ref="B386:B449" si="18">+IF(V386="TREINO","-",LEFT(N386,1))</f>
        <v/>
      </c>
      <c r="C386" s="7"/>
      <c r="D386" s="7" t="str">
        <f t="shared" ref="D386:D449" si="19">+IF($V386="TREINO","T",IF(V386="NACIONAL","N","E"))</f>
        <v>E</v>
      </c>
      <c r="E386" s="10">
        <f t="shared" ref="E386:E449" si="20">IFERROR(DATEVALUE(LEFT(M386,10)),M386)</f>
        <v>0</v>
      </c>
      <c r="F386" s="7" t="e">
        <f t="array" ref="F386">+TIPOARMA(H386,I386)</f>
        <v>#VALUE!</v>
      </c>
      <c r="G386" s="7"/>
      <c r="H386" s="7" t="e">
        <f>+VLOOKUP(Q386,Maps!I:J,2,0)</f>
        <v>#N/A</v>
      </c>
      <c r="I386" s="7" t="e">
        <f>+VLOOKUP(T386,Maps!E:F,2,0)</f>
        <v>#N/A</v>
      </c>
    </row>
    <row r="387" spans="1:9" ht="14.25" customHeight="1" x14ac:dyDescent="0.35">
      <c r="A387" s="7" t="str">
        <f t="array" ref="A387">EXTRACTEVENT(N387,V387)</f>
        <v/>
      </c>
      <c r="B387" s="7" t="str">
        <f t="shared" si="18"/>
        <v/>
      </c>
      <c r="C387" s="7"/>
      <c r="D387" s="7" t="str">
        <f t="shared" si="19"/>
        <v>E</v>
      </c>
      <c r="E387" s="10">
        <f t="shared" si="20"/>
        <v>0</v>
      </c>
      <c r="F387" s="7" t="e">
        <f t="array" ref="F387">+TIPOARMA(H387,I387)</f>
        <v>#VALUE!</v>
      </c>
      <c r="G387" s="7"/>
      <c r="H387" s="7" t="e">
        <f>+VLOOKUP(Q387,Maps!I:J,2,0)</f>
        <v>#N/A</v>
      </c>
      <c r="I387" s="7" t="e">
        <f>+VLOOKUP(T387,Maps!E:F,2,0)</f>
        <v>#N/A</v>
      </c>
    </row>
    <row r="388" spans="1:9" ht="14.25" customHeight="1" x14ac:dyDescent="0.35">
      <c r="A388" s="7" t="str">
        <f t="array" ref="A388">EXTRACTEVENT(N388,V388)</f>
        <v/>
      </c>
      <c r="B388" s="7" t="str">
        <f t="shared" si="18"/>
        <v/>
      </c>
      <c r="C388" s="7"/>
      <c r="D388" s="7" t="str">
        <f t="shared" si="19"/>
        <v>E</v>
      </c>
      <c r="E388" s="10">
        <f t="shared" si="20"/>
        <v>0</v>
      </c>
      <c r="F388" s="7" t="e">
        <f t="array" ref="F388">+TIPOARMA(H388,I388)</f>
        <v>#VALUE!</v>
      </c>
      <c r="G388" s="7"/>
      <c r="H388" s="7" t="e">
        <f>+VLOOKUP(Q388,Maps!I:J,2,0)</f>
        <v>#N/A</v>
      </c>
      <c r="I388" s="7" t="e">
        <f>+VLOOKUP(T388,Maps!E:F,2,0)</f>
        <v>#N/A</v>
      </c>
    </row>
    <row r="389" spans="1:9" ht="14.25" customHeight="1" x14ac:dyDescent="0.35">
      <c r="A389" s="7" t="str">
        <f t="array" ref="A389">EXTRACTEVENT(N389,V389)</f>
        <v/>
      </c>
      <c r="B389" s="7" t="str">
        <f t="shared" si="18"/>
        <v/>
      </c>
      <c r="C389" s="7"/>
      <c r="D389" s="7" t="str">
        <f t="shared" si="19"/>
        <v>E</v>
      </c>
      <c r="E389" s="10">
        <f t="shared" si="20"/>
        <v>0</v>
      </c>
      <c r="F389" s="7" t="e">
        <f t="array" ref="F389">+TIPOARMA(H389,I389)</f>
        <v>#VALUE!</v>
      </c>
      <c r="G389" s="7"/>
      <c r="H389" s="7" t="e">
        <f>+VLOOKUP(Q389,Maps!I:J,2,0)</f>
        <v>#N/A</v>
      </c>
      <c r="I389" s="7" t="e">
        <f>+VLOOKUP(T389,Maps!E:F,2,0)</f>
        <v>#N/A</v>
      </c>
    </row>
    <row r="390" spans="1:9" ht="14.25" customHeight="1" x14ac:dyDescent="0.35">
      <c r="A390" s="7" t="str">
        <f t="array" ref="A390">EXTRACTEVENT(N390,V390)</f>
        <v/>
      </c>
      <c r="B390" s="7" t="str">
        <f t="shared" si="18"/>
        <v/>
      </c>
      <c r="C390" s="7"/>
      <c r="D390" s="7" t="str">
        <f t="shared" si="19"/>
        <v>E</v>
      </c>
      <c r="E390" s="10">
        <f t="shared" si="20"/>
        <v>0</v>
      </c>
      <c r="F390" s="7" t="e">
        <f t="array" ref="F390">+TIPOARMA(H390,I390)</f>
        <v>#VALUE!</v>
      </c>
      <c r="G390" s="7"/>
      <c r="H390" s="7" t="e">
        <f>+VLOOKUP(Q390,Maps!I:J,2,0)</f>
        <v>#N/A</v>
      </c>
      <c r="I390" s="7" t="e">
        <f>+VLOOKUP(T390,Maps!E:F,2,0)</f>
        <v>#N/A</v>
      </c>
    </row>
    <row r="391" spans="1:9" ht="14.25" customHeight="1" x14ac:dyDescent="0.35">
      <c r="A391" s="7" t="str">
        <f t="array" ref="A391">EXTRACTEVENT(N391,V391)</f>
        <v/>
      </c>
      <c r="B391" s="7" t="str">
        <f t="shared" si="18"/>
        <v/>
      </c>
      <c r="C391" s="7"/>
      <c r="D391" s="7" t="str">
        <f t="shared" si="19"/>
        <v>E</v>
      </c>
      <c r="E391" s="10">
        <f t="shared" si="20"/>
        <v>0</v>
      </c>
      <c r="F391" s="7" t="e">
        <f t="array" ref="F391">+TIPOARMA(H391,I391)</f>
        <v>#VALUE!</v>
      </c>
      <c r="G391" s="7"/>
      <c r="H391" s="7" t="e">
        <f>+VLOOKUP(Q391,Maps!I:J,2,0)</f>
        <v>#N/A</v>
      </c>
      <c r="I391" s="7" t="e">
        <f>+VLOOKUP(T391,Maps!E:F,2,0)</f>
        <v>#N/A</v>
      </c>
    </row>
    <row r="392" spans="1:9" ht="14.25" customHeight="1" x14ac:dyDescent="0.35">
      <c r="A392" s="7" t="str">
        <f t="array" ref="A392">EXTRACTEVENT(N392,V392)</f>
        <v/>
      </c>
      <c r="B392" s="7" t="str">
        <f t="shared" si="18"/>
        <v/>
      </c>
      <c r="C392" s="7"/>
      <c r="D392" s="7" t="str">
        <f t="shared" si="19"/>
        <v>E</v>
      </c>
      <c r="E392" s="10">
        <f t="shared" si="20"/>
        <v>0</v>
      </c>
      <c r="F392" s="7" t="e">
        <f t="array" ref="F392">+TIPOARMA(H392,I392)</f>
        <v>#VALUE!</v>
      </c>
      <c r="G392" s="7"/>
      <c r="H392" s="7" t="e">
        <f>+VLOOKUP(Q392,Maps!I:J,2,0)</f>
        <v>#N/A</v>
      </c>
      <c r="I392" s="7" t="e">
        <f>+VLOOKUP(T392,Maps!E:F,2,0)</f>
        <v>#N/A</v>
      </c>
    </row>
    <row r="393" spans="1:9" ht="14.25" customHeight="1" x14ac:dyDescent="0.35">
      <c r="A393" s="7" t="str">
        <f t="array" ref="A393">EXTRACTEVENT(N393,V393)</f>
        <v/>
      </c>
      <c r="B393" s="7" t="str">
        <f t="shared" si="18"/>
        <v/>
      </c>
      <c r="C393" s="7"/>
      <c r="D393" s="7" t="str">
        <f t="shared" si="19"/>
        <v>E</v>
      </c>
      <c r="E393" s="10">
        <f t="shared" si="20"/>
        <v>0</v>
      </c>
      <c r="F393" s="7" t="e">
        <f t="array" ref="F393">+TIPOARMA(H393,I393)</f>
        <v>#VALUE!</v>
      </c>
      <c r="G393" s="7"/>
      <c r="H393" s="7" t="e">
        <f>+VLOOKUP(Q393,Maps!I:J,2,0)</f>
        <v>#N/A</v>
      </c>
      <c r="I393" s="7" t="e">
        <f>+VLOOKUP(T393,Maps!E:F,2,0)</f>
        <v>#N/A</v>
      </c>
    </row>
    <row r="394" spans="1:9" ht="14.25" customHeight="1" x14ac:dyDescent="0.35">
      <c r="A394" s="7" t="str">
        <f t="array" ref="A394">EXTRACTEVENT(N394,V394)</f>
        <v/>
      </c>
      <c r="B394" s="7" t="str">
        <f t="shared" si="18"/>
        <v/>
      </c>
      <c r="C394" s="7"/>
      <c r="D394" s="7" t="str">
        <f t="shared" si="19"/>
        <v>E</v>
      </c>
      <c r="E394" s="10">
        <f t="shared" si="20"/>
        <v>0</v>
      </c>
      <c r="F394" s="7" t="e">
        <f t="array" ref="F394">+TIPOARMA(H394,I394)</f>
        <v>#VALUE!</v>
      </c>
      <c r="G394" s="7"/>
      <c r="H394" s="7" t="e">
        <f>+VLOOKUP(Q394,Maps!I:J,2,0)</f>
        <v>#N/A</v>
      </c>
      <c r="I394" s="7" t="e">
        <f>+VLOOKUP(T394,Maps!E:F,2,0)</f>
        <v>#N/A</v>
      </c>
    </row>
    <row r="395" spans="1:9" ht="14.25" customHeight="1" x14ac:dyDescent="0.35">
      <c r="A395" s="7" t="str">
        <f t="array" ref="A395">EXTRACTEVENT(N395,V395)</f>
        <v/>
      </c>
      <c r="B395" s="7" t="str">
        <f t="shared" si="18"/>
        <v/>
      </c>
      <c r="C395" s="7"/>
      <c r="D395" s="7" t="str">
        <f t="shared" si="19"/>
        <v>E</v>
      </c>
      <c r="E395" s="10">
        <f t="shared" si="20"/>
        <v>0</v>
      </c>
      <c r="F395" s="7" t="e">
        <f t="array" ref="F395">+TIPOARMA(H395,I395)</f>
        <v>#VALUE!</v>
      </c>
      <c r="G395" s="7"/>
      <c r="H395" s="7" t="e">
        <f>+VLOOKUP(Q395,Maps!I:J,2,0)</f>
        <v>#N/A</v>
      </c>
      <c r="I395" s="7" t="e">
        <f>+VLOOKUP(T395,Maps!E:F,2,0)</f>
        <v>#N/A</v>
      </c>
    </row>
    <row r="396" spans="1:9" ht="14.25" customHeight="1" x14ac:dyDescent="0.35">
      <c r="A396" s="7" t="str">
        <f t="array" ref="A396">EXTRACTEVENT(N396,V396)</f>
        <v/>
      </c>
      <c r="B396" s="7" t="str">
        <f t="shared" si="18"/>
        <v/>
      </c>
      <c r="C396" s="7"/>
      <c r="D396" s="7" t="str">
        <f t="shared" si="19"/>
        <v>E</v>
      </c>
      <c r="E396" s="10">
        <f t="shared" si="20"/>
        <v>0</v>
      </c>
      <c r="F396" s="7" t="e">
        <f t="array" ref="F396">+TIPOARMA(H396,I396)</f>
        <v>#VALUE!</v>
      </c>
      <c r="G396" s="7"/>
      <c r="H396" s="7" t="e">
        <f>+VLOOKUP(Q396,Maps!I:J,2,0)</f>
        <v>#N/A</v>
      </c>
      <c r="I396" s="7" t="e">
        <f>+VLOOKUP(T396,Maps!E:F,2,0)</f>
        <v>#N/A</v>
      </c>
    </row>
    <row r="397" spans="1:9" ht="14.25" customHeight="1" x14ac:dyDescent="0.35">
      <c r="A397" s="7" t="str">
        <f t="array" ref="A397">EXTRACTEVENT(N397,V397)</f>
        <v/>
      </c>
      <c r="B397" s="7" t="str">
        <f t="shared" si="18"/>
        <v/>
      </c>
      <c r="C397" s="7"/>
      <c r="D397" s="7" t="str">
        <f t="shared" si="19"/>
        <v>E</v>
      </c>
      <c r="E397" s="10">
        <f t="shared" si="20"/>
        <v>0</v>
      </c>
      <c r="F397" s="7" t="e">
        <f t="array" ref="F397">+TIPOARMA(H397,I397)</f>
        <v>#VALUE!</v>
      </c>
      <c r="G397" s="7"/>
      <c r="H397" s="7" t="e">
        <f>+VLOOKUP(Q397,Maps!I:J,2,0)</f>
        <v>#N/A</v>
      </c>
      <c r="I397" s="7" t="e">
        <f>+VLOOKUP(T397,Maps!E:F,2,0)</f>
        <v>#N/A</v>
      </c>
    </row>
    <row r="398" spans="1:9" ht="14.25" customHeight="1" x14ac:dyDescent="0.35">
      <c r="A398" s="7" t="str">
        <f t="array" ref="A398">EXTRACTEVENT(N398,V398)</f>
        <v/>
      </c>
      <c r="B398" s="7" t="str">
        <f t="shared" si="18"/>
        <v/>
      </c>
      <c r="C398" s="7"/>
      <c r="D398" s="7" t="str">
        <f t="shared" si="19"/>
        <v>E</v>
      </c>
      <c r="E398" s="10">
        <f t="shared" si="20"/>
        <v>0</v>
      </c>
      <c r="F398" s="7" t="e">
        <f t="array" ref="F398">+TIPOARMA(H398,I398)</f>
        <v>#VALUE!</v>
      </c>
      <c r="G398" s="7"/>
      <c r="H398" s="7" t="e">
        <f>+VLOOKUP(Q398,Maps!I:J,2,0)</f>
        <v>#N/A</v>
      </c>
      <c r="I398" s="7" t="e">
        <f>+VLOOKUP(T398,Maps!E:F,2,0)</f>
        <v>#N/A</v>
      </c>
    </row>
    <row r="399" spans="1:9" ht="14.25" customHeight="1" x14ac:dyDescent="0.35">
      <c r="A399" s="7" t="str">
        <f t="array" ref="A399">EXTRACTEVENT(N399,V399)</f>
        <v/>
      </c>
      <c r="B399" s="7" t="str">
        <f t="shared" si="18"/>
        <v/>
      </c>
      <c r="C399" s="7"/>
      <c r="D399" s="7" t="str">
        <f t="shared" si="19"/>
        <v>E</v>
      </c>
      <c r="E399" s="10">
        <f t="shared" si="20"/>
        <v>0</v>
      </c>
      <c r="F399" s="7" t="e">
        <f t="array" ref="F399">+TIPOARMA(H399,I399)</f>
        <v>#VALUE!</v>
      </c>
      <c r="G399" s="7"/>
      <c r="H399" s="7" t="e">
        <f>+VLOOKUP(Q399,Maps!I:J,2,0)</f>
        <v>#N/A</v>
      </c>
      <c r="I399" s="7" t="e">
        <f>+VLOOKUP(T399,Maps!E:F,2,0)</f>
        <v>#N/A</v>
      </c>
    </row>
    <row r="400" spans="1:9" ht="14.25" customHeight="1" x14ac:dyDescent="0.35">
      <c r="A400" s="7" t="str">
        <f t="array" ref="A400">EXTRACTEVENT(N400,V400)</f>
        <v/>
      </c>
      <c r="B400" s="7" t="str">
        <f t="shared" si="18"/>
        <v/>
      </c>
      <c r="C400" s="7"/>
      <c r="D400" s="7" t="str">
        <f t="shared" si="19"/>
        <v>E</v>
      </c>
      <c r="E400" s="10">
        <f t="shared" si="20"/>
        <v>0</v>
      </c>
      <c r="F400" s="7" t="e">
        <f t="array" ref="F400">+TIPOARMA(H400,I400)</f>
        <v>#VALUE!</v>
      </c>
      <c r="G400" s="7"/>
      <c r="H400" s="7" t="e">
        <f>+VLOOKUP(Q400,Maps!I:J,2,0)</f>
        <v>#N/A</v>
      </c>
      <c r="I400" s="7" t="e">
        <f>+VLOOKUP(T400,Maps!E:F,2,0)</f>
        <v>#N/A</v>
      </c>
    </row>
    <row r="401" spans="1:9" ht="14.25" customHeight="1" x14ac:dyDescent="0.35">
      <c r="A401" s="7" t="str">
        <f t="array" ref="A401">EXTRACTEVENT(N401,V401)</f>
        <v/>
      </c>
      <c r="B401" s="7" t="str">
        <f t="shared" si="18"/>
        <v/>
      </c>
      <c r="C401" s="7"/>
      <c r="D401" s="7" t="str">
        <f t="shared" si="19"/>
        <v>E</v>
      </c>
      <c r="E401" s="10">
        <f t="shared" si="20"/>
        <v>0</v>
      </c>
      <c r="F401" s="7" t="e">
        <f t="array" ref="F401">+TIPOARMA(H401,I401)</f>
        <v>#VALUE!</v>
      </c>
      <c r="G401" s="7"/>
      <c r="H401" s="7" t="e">
        <f>+VLOOKUP(Q401,Maps!I:J,2,0)</f>
        <v>#N/A</v>
      </c>
      <c r="I401" s="7" t="e">
        <f>+VLOOKUP(T401,Maps!E:F,2,0)</f>
        <v>#N/A</v>
      </c>
    </row>
    <row r="402" spans="1:9" ht="14.25" customHeight="1" x14ac:dyDescent="0.35">
      <c r="A402" s="7" t="str">
        <f t="array" ref="A402">EXTRACTEVENT(N402,V402)</f>
        <v/>
      </c>
      <c r="B402" s="7" t="str">
        <f t="shared" si="18"/>
        <v/>
      </c>
      <c r="C402" s="7"/>
      <c r="D402" s="7" t="str">
        <f t="shared" si="19"/>
        <v>E</v>
      </c>
      <c r="E402" s="10">
        <f t="shared" si="20"/>
        <v>0</v>
      </c>
      <c r="F402" s="7" t="e">
        <f t="array" ref="F402">+TIPOARMA(H402,I402)</f>
        <v>#VALUE!</v>
      </c>
      <c r="G402" s="7"/>
      <c r="H402" s="7" t="e">
        <f>+VLOOKUP(Q402,Maps!I:J,2,0)</f>
        <v>#N/A</v>
      </c>
      <c r="I402" s="7" t="e">
        <f>+VLOOKUP(T402,Maps!E:F,2,0)</f>
        <v>#N/A</v>
      </c>
    </row>
    <row r="403" spans="1:9" ht="14.25" customHeight="1" x14ac:dyDescent="0.35">
      <c r="A403" s="7" t="str">
        <f t="array" ref="A403">EXTRACTEVENT(N403,V403)</f>
        <v/>
      </c>
      <c r="B403" s="7" t="str">
        <f t="shared" si="18"/>
        <v/>
      </c>
      <c r="C403" s="7"/>
      <c r="D403" s="7" t="str">
        <f t="shared" si="19"/>
        <v>E</v>
      </c>
      <c r="E403" s="10">
        <f t="shared" si="20"/>
        <v>0</v>
      </c>
      <c r="F403" s="7" t="e">
        <f t="array" ref="F403">+TIPOARMA(H403,I403)</f>
        <v>#VALUE!</v>
      </c>
      <c r="G403" s="7"/>
      <c r="H403" s="7" t="e">
        <f>+VLOOKUP(Q403,Maps!I:J,2,0)</f>
        <v>#N/A</v>
      </c>
      <c r="I403" s="7" t="e">
        <f>+VLOOKUP(T403,Maps!E:F,2,0)</f>
        <v>#N/A</v>
      </c>
    </row>
    <row r="404" spans="1:9" ht="14.25" customHeight="1" x14ac:dyDescent="0.35">
      <c r="A404" s="7" t="str">
        <f t="array" ref="A404">EXTRACTEVENT(N404,V404)</f>
        <v/>
      </c>
      <c r="B404" s="7" t="str">
        <f t="shared" si="18"/>
        <v/>
      </c>
      <c r="C404" s="7"/>
      <c r="D404" s="7" t="str">
        <f t="shared" si="19"/>
        <v>E</v>
      </c>
      <c r="E404" s="10">
        <f t="shared" si="20"/>
        <v>0</v>
      </c>
      <c r="F404" s="7" t="e">
        <f t="array" ref="F404">+TIPOARMA(H404,I404)</f>
        <v>#VALUE!</v>
      </c>
      <c r="G404" s="7"/>
      <c r="H404" s="7" t="e">
        <f>+VLOOKUP(Q404,Maps!I:J,2,0)</f>
        <v>#N/A</v>
      </c>
      <c r="I404" s="7" t="e">
        <f>+VLOOKUP(T404,Maps!E:F,2,0)</f>
        <v>#N/A</v>
      </c>
    </row>
    <row r="405" spans="1:9" ht="14.25" customHeight="1" x14ac:dyDescent="0.35">
      <c r="A405" s="7" t="str">
        <f t="array" ref="A405">EXTRACTEVENT(N405,V405)</f>
        <v/>
      </c>
      <c r="B405" s="7" t="str">
        <f t="shared" si="18"/>
        <v/>
      </c>
      <c r="C405" s="7"/>
      <c r="D405" s="7" t="str">
        <f t="shared" si="19"/>
        <v>E</v>
      </c>
      <c r="E405" s="10">
        <f t="shared" si="20"/>
        <v>0</v>
      </c>
      <c r="F405" s="7" t="e">
        <f t="array" ref="F405">+TIPOARMA(H405,I405)</f>
        <v>#VALUE!</v>
      </c>
      <c r="G405" s="7"/>
      <c r="H405" s="7" t="e">
        <f>+VLOOKUP(Q405,Maps!I:J,2,0)</f>
        <v>#N/A</v>
      </c>
      <c r="I405" s="7" t="e">
        <f>+VLOOKUP(T405,Maps!E:F,2,0)</f>
        <v>#N/A</v>
      </c>
    </row>
    <row r="406" spans="1:9" ht="14.25" customHeight="1" x14ac:dyDescent="0.35">
      <c r="A406" s="7" t="str">
        <f t="array" ref="A406">EXTRACTEVENT(N406,V406)</f>
        <v/>
      </c>
      <c r="B406" s="7" t="str">
        <f t="shared" si="18"/>
        <v/>
      </c>
      <c r="C406" s="7"/>
      <c r="D406" s="7" t="str">
        <f t="shared" si="19"/>
        <v>E</v>
      </c>
      <c r="E406" s="10">
        <f t="shared" si="20"/>
        <v>0</v>
      </c>
      <c r="F406" s="7" t="e">
        <f t="array" ref="F406">+TIPOARMA(H406,I406)</f>
        <v>#VALUE!</v>
      </c>
      <c r="G406" s="7"/>
      <c r="H406" s="7" t="e">
        <f>+VLOOKUP(Q406,Maps!I:J,2,0)</f>
        <v>#N/A</v>
      </c>
      <c r="I406" s="7" t="e">
        <f>+VLOOKUP(T406,Maps!E:F,2,0)</f>
        <v>#N/A</v>
      </c>
    </row>
    <row r="407" spans="1:9" ht="14.25" customHeight="1" x14ac:dyDescent="0.35">
      <c r="A407" s="7" t="str">
        <f t="array" ref="A407">EXTRACTEVENT(N407,V407)</f>
        <v/>
      </c>
      <c r="B407" s="7" t="str">
        <f t="shared" si="18"/>
        <v/>
      </c>
      <c r="C407" s="7"/>
      <c r="D407" s="7" t="str">
        <f t="shared" si="19"/>
        <v>E</v>
      </c>
      <c r="E407" s="10">
        <f t="shared" si="20"/>
        <v>0</v>
      </c>
      <c r="F407" s="7" t="e">
        <f t="array" ref="F407">+TIPOARMA(H407,I407)</f>
        <v>#VALUE!</v>
      </c>
      <c r="G407" s="7"/>
      <c r="H407" s="7" t="e">
        <f>+VLOOKUP(Q407,Maps!I:J,2,0)</f>
        <v>#N/A</v>
      </c>
      <c r="I407" s="7" t="e">
        <f>+VLOOKUP(T407,Maps!E:F,2,0)</f>
        <v>#N/A</v>
      </c>
    </row>
    <row r="408" spans="1:9" ht="14.25" customHeight="1" x14ac:dyDescent="0.35">
      <c r="A408" s="7" t="str">
        <f t="array" ref="A408">EXTRACTEVENT(N408,V408)</f>
        <v/>
      </c>
      <c r="B408" s="7" t="str">
        <f t="shared" si="18"/>
        <v/>
      </c>
      <c r="C408" s="7"/>
      <c r="D408" s="7" t="str">
        <f t="shared" si="19"/>
        <v>E</v>
      </c>
      <c r="E408" s="10">
        <f t="shared" si="20"/>
        <v>0</v>
      </c>
      <c r="F408" s="7" t="e">
        <f t="array" ref="F408">+TIPOARMA(H408,I408)</f>
        <v>#VALUE!</v>
      </c>
      <c r="G408" s="7"/>
      <c r="H408" s="7" t="e">
        <f>+VLOOKUP(Q408,Maps!I:J,2,0)</f>
        <v>#N/A</v>
      </c>
      <c r="I408" s="7" t="e">
        <f>+VLOOKUP(T408,Maps!E:F,2,0)</f>
        <v>#N/A</v>
      </c>
    </row>
    <row r="409" spans="1:9" ht="14.25" customHeight="1" x14ac:dyDescent="0.35">
      <c r="A409" s="7" t="str">
        <f t="array" ref="A409">EXTRACTEVENT(N409,V409)</f>
        <v/>
      </c>
      <c r="B409" s="7" t="str">
        <f t="shared" si="18"/>
        <v/>
      </c>
      <c r="C409" s="7"/>
      <c r="D409" s="7" t="str">
        <f t="shared" si="19"/>
        <v>E</v>
      </c>
      <c r="E409" s="10">
        <f t="shared" si="20"/>
        <v>0</v>
      </c>
      <c r="F409" s="7" t="e">
        <f t="array" ref="F409">+TIPOARMA(H409,I409)</f>
        <v>#VALUE!</v>
      </c>
      <c r="G409" s="7"/>
      <c r="H409" s="7" t="e">
        <f>+VLOOKUP(Q409,Maps!I:J,2,0)</f>
        <v>#N/A</v>
      </c>
      <c r="I409" s="7" t="e">
        <f>+VLOOKUP(T409,Maps!E:F,2,0)</f>
        <v>#N/A</v>
      </c>
    </row>
    <row r="410" spans="1:9" ht="14.25" customHeight="1" x14ac:dyDescent="0.35">
      <c r="A410" s="7" t="str">
        <f t="array" ref="A410">EXTRACTEVENT(N410,V410)</f>
        <v/>
      </c>
      <c r="B410" s="7" t="str">
        <f t="shared" si="18"/>
        <v/>
      </c>
      <c r="C410" s="7"/>
      <c r="D410" s="7" t="str">
        <f t="shared" si="19"/>
        <v>E</v>
      </c>
      <c r="E410" s="10">
        <f t="shared" si="20"/>
        <v>0</v>
      </c>
      <c r="F410" s="7" t="e">
        <f t="array" ref="F410">+TIPOARMA(H410,I410)</f>
        <v>#VALUE!</v>
      </c>
      <c r="G410" s="7"/>
      <c r="H410" s="7" t="e">
        <f>+VLOOKUP(Q410,Maps!I:J,2,0)</f>
        <v>#N/A</v>
      </c>
      <c r="I410" s="7" t="e">
        <f>+VLOOKUP(T410,Maps!E:F,2,0)</f>
        <v>#N/A</v>
      </c>
    </row>
    <row r="411" spans="1:9" ht="14.25" customHeight="1" x14ac:dyDescent="0.35">
      <c r="A411" s="7" t="str">
        <f t="array" ref="A411">EXTRACTEVENT(N411,V411)</f>
        <v/>
      </c>
      <c r="B411" s="7" t="str">
        <f t="shared" si="18"/>
        <v/>
      </c>
      <c r="C411" s="7"/>
      <c r="D411" s="7" t="str">
        <f t="shared" si="19"/>
        <v>E</v>
      </c>
      <c r="E411" s="10">
        <f t="shared" si="20"/>
        <v>0</v>
      </c>
      <c r="F411" s="7" t="e">
        <f t="array" ref="F411">+TIPOARMA(H411,I411)</f>
        <v>#VALUE!</v>
      </c>
      <c r="G411" s="7"/>
      <c r="H411" s="7" t="e">
        <f>+VLOOKUP(Q411,Maps!I:J,2,0)</f>
        <v>#N/A</v>
      </c>
      <c r="I411" s="7" t="e">
        <f>+VLOOKUP(T411,Maps!E:F,2,0)</f>
        <v>#N/A</v>
      </c>
    </row>
    <row r="412" spans="1:9" ht="14.25" customHeight="1" x14ac:dyDescent="0.35">
      <c r="A412" s="7" t="str">
        <f t="array" ref="A412">EXTRACTEVENT(N412,V412)</f>
        <v/>
      </c>
      <c r="B412" s="7" t="str">
        <f t="shared" si="18"/>
        <v/>
      </c>
      <c r="C412" s="7"/>
      <c r="D412" s="7" t="str">
        <f t="shared" si="19"/>
        <v>E</v>
      </c>
      <c r="E412" s="10">
        <f t="shared" si="20"/>
        <v>0</v>
      </c>
      <c r="F412" s="7" t="e">
        <f t="array" ref="F412">+TIPOARMA(H412,I412)</f>
        <v>#VALUE!</v>
      </c>
      <c r="G412" s="7"/>
      <c r="H412" s="7" t="e">
        <f>+VLOOKUP(Q412,Maps!I:J,2,0)</f>
        <v>#N/A</v>
      </c>
      <c r="I412" s="7" t="e">
        <f>+VLOOKUP(T412,Maps!E:F,2,0)</f>
        <v>#N/A</v>
      </c>
    </row>
    <row r="413" spans="1:9" ht="14.25" customHeight="1" x14ac:dyDescent="0.35">
      <c r="A413" s="7" t="str">
        <f t="array" ref="A413">EXTRACTEVENT(N413,V413)</f>
        <v/>
      </c>
      <c r="B413" s="7" t="str">
        <f t="shared" si="18"/>
        <v/>
      </c>
      <c r="C413" s="7"/>
      <c r="D413" s="7" t="str">
        <f t="shared" si="19"/>
        <v>E</v>
      </c>
      <c r="E413" s="10">
        <f t="shared" si="20"/>
        <v>0</v>
      </c>
      <c r="F413" s="7" t="e">
        <f t="array" ref="F413">+TIPOARMA(H413,I413)</f>
        <v>#VALUE!</v>
      </c>
      <c r="G413" s="7"/>
      <c r="H413" s="7" t="e">
        <f>+VLOOKUP(Q413,Maps!I:J,2,0)</f>
        <v>#N/A</v>
      </c>
      <c r="I413" s="7" t="e">
        <f>+VLOOKUP(T413,Maps!E:F,2,0)</f>
        <v>#N/A</v>
      </c>
    </row>
    <row r="414" spans="1:9" ht="14.25" customHeight="1" x14ac:dyDescent="0.35">
      <c r="A414" s="7" t="str">
        <f t="array" ref="A414">EXTRACTEVENT(N414,V414)</f>
        <v/>
      </c>
      <c r="B414" s="7" t="str">
        <f t="shared" si="18"/>
        <v/>
      </c>
      <c r="C414" s="7"/>
      <c r="D414" s="7" t="str">
        <f t="shared" si="19"/>
        <v>E</v>
      </c>
      <c r="E414" s="10">
        <f t="shared" si="20"/>
        <v>0</v>
      </c>
      <c r="F414" s="7" t="e">
        <f t="array" ref="F414">+TIPOARMA(H414,I414)</f>
        <v>#VALUE!</v>
      </c>
      <c r="G414" s="7"/>
      <c r="H414" s="7" t="e">
        <f>+VLOOKUP(Q414,Maps!I:J,2,0)</f>
        <v>#N/A</v>
      </c>
      <c r="I414" s="7" t="e">
        <f>+VLOOKUP(T414,Maps!E:F,2,0)</f>
        <v>#N/A</v>
      </c>
    </row>
    <row r="415" spans="1:9" ht="14.25" customHeight="1" x14ac:dyDescent="0.35">
      <c r="A415" s="7" t="str">
        <f t="array" ref="A415">EXTRACTEVENT(N415,V415)</f>
        <v/>
      </c>
      <c r="B415" s="7" t="str">
        <f t="shared" si="18"/>
        <v/>
      </c>
      <c r="C415" s="7"/>
      <c r="D415" s="7" t="str">
        <f t="shared" si="19"/>
        <v>E</v>
      </c>
      <c r="E415" s="10">
        <f t="shared" si="20"/>
        <v>0</v>
      </c>
      <c r="F415" s="7" t="e">
        <f t="array" ref="F415">+TIPOARMA(H415,I415)</f>
        <v>#VALUE!</v>
      </c>
      <c r="G415" s="7"/>
      <c r="H415" s="7" t="e">
        <f>+VLOOKUP(Q415,Maps!I:J,2,0)</f>
        <v>#N/A</v>
      </c>
      <c r="I415" s="7" t="e">
        <f>+VLOOKUP(T415,Maps!E:F,2,0)</f>
        <v>#N/A</v>
      </c>
    </row>
    <row r="416" spans="1:9" ht="14.25" customHeight="1" x14ac:dyDescent="0.35">
      <c r="A416" s="7" t="str">
        <f t="array" ref="A416">EXTRACTEVENT(N416,V416)</f>
        <v/>
      </c>
      <c r="B416" s="7" t="str">
        <f t="shared" si="18"/>
        <v/>
      </c>
      <c r="C416" s="7"/>
      <c r="D416" s="7" t="str">
        <f t="shared" si="19"/>
        <v>E</v>
      </c>
      <c r="E416" s="10">
        <f t="shared" si="20"/>
        <v>0</v>
      </c>
      <c r="F416" s="7" t="e">
        <f t="array" ref="F416">+TIPOARMA(H416,I416)</f>
        <v>#VALUE!</v>
      </c>
      <c r="G416" s="7"/>
      <c r="H416" s="7" t="e">
        <f>+VLOOKUP(Q416,Maps!I:J,2,0)</f>
        <v>#N/A</v>
      </c>
      <c r="I416" s="7" t="e">
        <f>+VLOOKUP(T416,Maps!E:F,2,0)</f>
        <v>#N/A</v>
      </c>
    </row>
    <row r="417" spans="1:9" ht="14.25" customHeight="1" x14ac:dyDescent="0.35">
      <c r="A417" s="7" t="str">
        <f t="array" ref="A417">EXTRACTEVENT(N417,V417)</f>
        <v/>
      </c>
      <c r="B417" s="7" t="str">
        <f t="shared" si="18"/>
        <v/>
      </c>
      <c r="C417" s="7"/>
      <c r="D417" s="7" t="str">
        <f t="shared" si="19"/>
        <v>E</v>
      </c>
      <c r="E417" s="10">
        <f t="shared" si="20"/>
        <v>0</v>
      </c>
      <c r="F417" s="7" t="e">
        <f t="array" ref="F417">+TIPOARMA(H417,I417)</f>
        <v>#VALUE!</v>
      </c>
      <c r="G417" s="7"/>
      <c r="H417" s="7" t="e">
        <f>+VLOOKUP(Q417,Maps!I:J,2,0)</f>
        <v>#N/A</v>
      </c>
      <c r="I417" s="7" t="e">
        <f>+VLOOKUP(T417,Maps!E:F,2,0)</f>
        <v>#N/A</v>
      </c>
    </row>
    <row r="418" spans="1:9" ht="14.25" customHeight="1" x14ac:dyDescent="0.35">
      <c r="A418" s="7" t="str">
        <f t="array" ref="A418">EXTRACTEVENT(N418,V418)</f>
        <v/>
      </c>
      <c r="B418" s="7" t="str">
        <f t="shared" si="18"/>
        <v/>
      </c>
      <c r="C418" s="7"/>
      <c r="D418" s="7" t="str">
        <f t="shared" si="19"/>
        <v>E</v>
      </c>
      <c r="E418" s="10">
        <f t="shared" si="20"/>
        <v>0</v>
      </c>
      <c r="F418" s="7" t="e">
        <f t="array" ref="F418">+TIPOARMA(H418,I418)</f>
        <v>#VALUE!</v>
      </c>
      <c r="G418" s="7"/>
      <c r="H418" s="7" t="e">
        <f>+VLOOKUP(Q418,Maps!I:J,2,0)</f>
        <v>#N/A</v>
      </c>
      <c r="I418" s="7" t="e">
        <f>+VLOOKUP(T418,Maps!E:F,2,0)</f>
        <v>#N/A</v>
      </c>
    </row>
    <row r="419" spans="1:9" ht="14.25" customHeight="1" x14ac:dyDescent="0.35">
      <c r="A419" s="7" t="str">
        <f t="array" ref="A419">EXTRACTEVENT(N419,V419)</f>
        <v/>
      </c>
      <c r="B419" s="7" t="str">
        <f t="shared" si="18"/>
        <v/>
      </c>
      <c r="C419" s="7"/>
      <c r="D419" s="7" t="str">
        <f t="shared" si="19"/>
        <v>E</v>
      </c>
      <c r="E419" s="10">
        <f t="shared" si="20"/>
        <v>0</v>
      </c>
      <c r="F419" s="7" t="e">
        <f t="array" ref="F419">+TIPOARMA(H419,I419)</f>
        <v>#VALUE!</v>
      </c>
      <c r="G419" s="7"/>
      <c r="H419" s="7" t="e">
        <f>+VLOOKUP(Q419,Maps!I:J,2,0)</f>
        <v>#N/A</v>
      </c>
      <c r="I419" s="7" t="e">
        <f>+VLOOKUP(T419,Maps!E:F,2,0)</f>
        <v>#N/A</v>
      </c>
    </row>
    <row r="420" spans="1:9" ht="14.25" customHeight="1" x14ac:dyDescent="0.35">
      <c r="A420" s="7" t="str">
        <f t="array" ref="A420">EXTRACTEVENT(N420,V420)</f>
        <v/>
      </c>
      <c r="B420" s="7" t="str">
        <f t="shared" si="18"/>
        <v/>
      </c>
      <c r="C420" s="7"/>
      <c r="D420" s="7" t="str">
        <f t="shared" si="19"/>
        <v>E</v>
      </c>
      <c r="E420" s="10">
        <f t="shared" si="20"/>
        <v>0</v>
      </c>
      <c r="F420" s="7" t="e">
        <f t="array" ref="F420">+TIPOARMA(H420,I420)</f>
        <v>#VALUE!</v>
      </c>
      <c r="G420" s="7"/>
      <c r="H420" s="7" t="e">
        <f>+VLOOKUP(Q420,Maps!I:J,2,0)</f>
        <v>#N/A</v>
      </c>
      <c r="I420" s="7" t="e">
        <f>+VLOOKUP(T420,Maps!E:F,2,0)</f>
        <v>#N/A</v>
      </c>
    </row>
    <row r="421" spans="1:9" ht="14.25" customHeight="1" x14ac:dyDescent="0.35">
      <c r="A421" s="7" t="str">
        <f t="array" ref="A421">EXTRACTEVENT(N421,V421)</f>
        <v/>
      </c>
      <c r="B421" s="7" t="str">
        <f t="shared" si="18"/>
        <v/>
      </c>
      <c r="C421" s="7"/>
      <c r="D421" s="7" t="str">
        <f t="shared" si="19"/>
        <v>E</v>
      </c>
      <c r="E421" s="10">
        <f t="shared" si="20"/>
        <v>0</v>
      </c>
      <c r="F421" s="7" t="e">
        <f t="array" ref="F421">+TIPOARMA(H421,I421)</f>
        <v>#VALUE!</v>
      </c>
      <c r="G421" s="7"/>
      <c r="H421" s="7" t="e">
        <f>+VLOOKUP(Q421,Maps!I:J,2,0)</f>
        <v>#N/A</v>
      </c>
      <c r="I421" s="7" t="e">
        <f>+VLOOKUP(T421,Maps!E:F,2,0)</f>
        <v>#N/A</v>
      </c>
    </row>
    <row r="422" spans="1:9" ht="14.25" customHeight="1" x14ac:dyDescent="0.35">
      <c r="A422" s="7" t="str">
        <f t="array" ref="A422">EXTRACTEVENT(N422,V422)</f>
        <v/>
      </c>
      <c r="B422" s="7" t="str">
        <f t="shared" si="18"/>
        <v/>
      </c>
      <c r="C422" s="7"/>
      <c r="D422" s="7" t="str">
        <f t="shared" si="19"/>
        <v>E</v>
      </c>
      <c r="E422" s="10">
        <f t="shared" si="20"/>
        <v>0</v>
      </c>
      <c r="F422" s="7" t="e">
        <f t="array" ref="F422">+TIPOARMA(H422,I422)</f>
        <v>#VALUE!</v>
      </c>
      <c r="G422" s="7"/>
      <c r="H422" s="7" t="e">
        <f>+VLOOKUP(Q422,Maps!I:J,2,0)</f>
        <v>#N/A</v>
      </c>
      <c r="I422" s="7" t="e">
        <f>+VLOOKUP(T422,Maps!E:F,2,0)</f>
        <v>#N/A</v>
      </c>
    </row>
    <row r="423" spans="1:9" ht="14.25" customHeight="1" x14ac:dyDescent="0.35">
      <c r="A423" s="7" t="str">
        <f t="array" ref="A423">EXTRACTEVENT(N423,V423)</f>
        <v/>
      </c>
      <c r="B423" s="7" t="str">
        <f t="shared" si="18"/>
        <v/>
      </c>
      <c r="C423" s="7"/>
      <c r="D423" s="7" t="str">
        <f t="shared" si="19"/>
        <v>E</v>
      </c>
      <c r="E423" s="10">
        <f t="shared" si="20"/>
        <v>0</v>
      </c>
      <c r="F423" s="7" t="e">
        <f t="array" ref="F423">+TIPOARMA(H423,I423)</f>
        <v>#VALUE!</v>
      </c>
      <c r="G423" s="7"/>
      <c r="H423" s="7" t="e">
        <f>+VLOOKUP(Q423,Maps!I:J,2,0)</f>
        <v>#N/A</v>
      </c>
      <c r="I423" s="7" t="e">
        <f>+VLOOKUP(T423,Maps!E:F,2,0)</f>
        <v>#N/A</v>
      </c>
    </row>
    <row r="424" spans="1:9" ht="14.25" customHeight="1" x14ac:dyDescent="0.35">
      <c r="A424" s="7" t="str">
        <f t="array" ref="A424">EXTRACTEVENT(N424,V424)</f>
        <v/>
      </c>
      <c r="B424" s="7" t="str">
        <f t="shared" si="18"/>
        <v/>
      </c>
      <c r="C424" s="7"/>
      <c r="D424" s="7" t="str">
        <f t="shared" si="19"/>
        <v>E</v>
      </c>
      <c r="E424" s="10">
        <f t="shared" si="20"/>
        <v>0</v>
      </c>
      <c r="F424" s="7" t="e">
        <f t="array" ref="F424">+TIPOARMA(H424,I424)</f>
        <v>#VALUE!</v>
      </c>
      <c r="G424" s="7"/>
      <c r="H424" s="7" t="e">
        <f>+VLOOKUP(Q424,Maps!I:J,2,0)</f>
        <v>#N/A</v>
      </c>
      <c r="I424" s="7" t="e">
        <f>+VLOOKUP(T424,Maps!E:F,2,0)</f>
        <v>#N/A</v>
      </c>
    </row>
    <row r="425" spans="1:9" ht="14.25" customHeight="1" x14ac:dyDescent="0.35">
      <c r="A425" s="7" t="str">
        <f t="array" ref="A425">EXTRACTEVENT(N425,V425)</f>
        <v/>
      </c>
      <c r="B425" s="7" t="str">
        <f t="shared" si="18"/>
        <v/>
      </c>
      <c r="C425" s="7"/>
      <c r="D425" s="7" t="str">
        <f t="shared" si="19"/>
        <v>E</v>
      </c>
      <c r="E425" s="10">
        <f t="shared" si="20"/>
        <v>0</v>
      </c>
      <c r="F425" s="7" t="e">
        <f t="array" ref="F425">+TIPOARMA(H425,I425)</f>
        <v>#VALUE!</v>
      </c>
      <c r="G425" s="7"/>
      <c r="H425" s="7" t="e">
        <f>+VLOOKUP(Q425,Maps!I:J,2,0)</f>
        <v>#N/A</v>
      </c>
      <c r="I425" s="7" t="e">
        <f>+VLOOKUP(T425,Maps!E:F,2,0)</f>
        <v>#N/A</v>
      </c>
    </row>
    <row r="426" spans="1:9" ht="14.25" customHeight="1" x14ac:dyDescent="0.35">
      <c r="A426" s="7" t="str">
        <f t="array" ref="A426">EXTRACTEVENT(N426,V426)</f>
        <v/>
      </c>
      <c r="B426" s="7" t="str">
        <f t="shared" si="18"/>
        <v/>
      </c>
      <c r="C426" s="7"/>
      <c r="D426" s="7" t="str">
        <f t="shared" si="19"/>
        <v>E</v>
      </c>
      <c r="E426" s="10">
        <f t="shared" si="20"/>
        <v>0</v>
      </c>
      <c r="F426" s="7" t="e">
        <f t="array" ref="F426">+TIPOARMA(H426,I426)</f>
        <v>#VALUE!</v>
      </c>
      <c r="G426" s="7"/>
      <c r="H426" s="7" t="e">
        <f>+VLOOKUP(Q426,Maps!I:J,2,0)</f>
        <v>#N/A</v>
      </c>
      <c r="I426" s="7" t="e">
        <f>+VLOOKUP(T426,Maps!E:F,2,0)</f>
        <v>#N/A</v>
      </c>
    </row>
    <row r="427" spans="1:9" ht="14.25" customHeight="1" x14ac:dyDescent="0.35">
      <c r="A427" s="7" t="str">
        <f t="array" ref="A427">EXTRACTEVENT(N427,V427)</f>
        <v/>
      </c>
      <c r="B427" s="7" t="str">
        <f t="shared" si="18"/>
        <v/>
      </c>
      <c r="C427" s="7"/>
      <c r="D427" s="7" t="str">
        <f t="shared" si="19"/>
        <v>E</v>
      </c>
      <c r="E427" s="10">
        <f t="shared" si="20"/>
        <v>0</v>
      </c>
      <c r="F427" s="7" t="e">
        <f t="array" ref="F427">+TIPOARMA(H427,I427)</f>
        <v>#VALUE!</v>
      </c>
      <c r="G427" s="7"/>
      <c r="H427" s="7" t="e">
        <f>+VLOOKUP(Q427,Maps!I:J,2,0)</f>
        <v>#N/A</v>
      </c>
      <c r="I427" s="7" t="e">
        <f>+VLOOKUP(T427,Maps!E:F,2,0)</f>
        <v>#N/A</v>
      </c>
    </row>
    <row r="428" spans="1:9" ht="14.25" customHeight="1" x14ac:dyDescent="0.35">
      <c r="A428" s="7" t="str">
        <f t="array" ref="A428">EXTRACTEVENT(N428,V428)</f>
        <v/>
      </c>
      <c r="B428" s="7" t="str">
        <f t="shared" si="18"/>
        <v/>
      </c>
      <c r="C428" s="7"/>
      <c r="D428" s="7" t="str">
        <f t="shared" si="19"/>
        <v>E</v>
      </c>
      <c r="E428" s="10">
        <f t="shared" si="20"/>
        <v>0</v>
      </c>
      <c r="F428" s="7" t="e">
        <f t="array" ref="F428">+TIPOARMA(H428,I428)</f>
        <v>#VALUE!</v>
      </c>
      <c r="G428" s="7"/>
      <c r="H428" s="7" t="e">
        <f>+VLOOKUP(Q428,Maps!I:J,2,0)</f>
        <v>#N/A</v>
      </c>
      <c r="I428" s="7" t="e">
        <f>+VLOOKUP(T428,Maps!E:F,2,0)</f>
        <v>#N/A</v>
      </c>
    </row>
    <row r="429" spans="1:9" ht="14.25" customHeight="1" x14ac:dyDescent="0.35">
      <c r="A429" s="7" t="str">
        <f t="array" ref="A429">EXTRACTEVENT(N429,V429)</f>
        <v/>
      </c>
      <c r="B429" s="7" t="str">
        <f t="shared" si="18"/>
        <v/>
      </c>
      <c r="C429" s="7"/>
      <c r="D429" s="7" t="str">
        <f t="shared" si="19"/>
        <v>E</v>
      </c>
      <c r="E429" s="10">
        <f t="shared" si="20"/>
        <v>0</v>
      </c>
      <c r="F429" s="7" t="e">
        <f t="array" ref="F429">+TIPOARMA(H429,I429)</f>
        <v>#VALUE!</v>
      </c>
      <c r="G429" s="7"/>
      <c r="H429" s="7" t="e">
        <f>+VLOOKUP(Q429,Maps!I:J,2,0)</f>
        <v>#N/A</v>
      </c>
      <c r="I429" s="7" t="e">
        <f>+VLOOKUP(T429,Maps!E:F,2,0)</f>
        <v>#N/A</v>
      </c>
    </row>
    <row r="430" spans="1:9" ht="14.25" customHeight="1" x14ac:dyDescent="0.35">
      <c r="A430" s="7" t="str">
        <f t="array" ref="A430">EXTRACTEVENT(N430,V430)</f>
        <v/>
      </c>
      <c r="B430" s="7" t="str">
        <f t="shared" si="18"/>
        <v/>
      </c>
      <c r="C430" s="7"/>
      <c r="D430" s="7" t="str">
        <f t="shared" si="19"/>
        <v>E</v>
      </c>
      <c r="E430" s="10">
        <f t="shared" si="20"/>
        <v>0</v>
      </c>
      <c r="F430" s="7" t="e">
        <f t="array" ref="F430">+TIPOARMA(H430,I430)</f>
        <v>#VALUE!</v>
      </c>
      <c r="G430" s="7"/>
      <c r="H430" s="7" t="e">
        <f>+VLOOKUP(Q430,Maps!I:J,2,0)</f>
        <v>#N/A</v>
      </c>
      <c r="I430" s="7" t="e">
        <f>+VLOOKUP(T430,Maps!E:F,2,0)</f>
        <v>#N/A</v>
      </c>
    </row>
    <row r="431" spans="1:9" ht="14.25" customHeight="1" x14ac:dyDescent="0.35">
      <c r="A431" s="7" t="str">
        <f t="array" ref="A431">EXTRACTEVENT(N431,V431)</f>
        <v/>
      </c>
      <c r="B431" s="7" t="str">
        <f t="shared" si="18"/>
        <v/>
      </c>
      <c r="C431" s="7"/>
      <c r="D431" s="7" t="str">
        <f t="shared" si="19"/>
        <v>E</v>
      </c>
      <c r="E431" s="10">
        <f t="shared" si="20"/>
        <v>0</v>
      </c>
      <c r="F431" s="7" t="e">
        <f t="array" ref="F431">+TIPOARMA(H431,I431)</f>
        <v>#VALUE!</v>
      </c>
      <c r="G431" s="7"/>
      <c r="H431" s="7" t="e">
        <f>+VLOOKUP(Q431,Maps!I:J,2,0)</f>
        <v>#N/A</v>
      </c>
      <c r="I431" s="7" t="e">
        <f>+VLOOKUP(T431,Maps!E:F,2,0)</f>
        <v>#N/A</v>
      </c>
    </row>
    <row r="432" spans="1:9" ht="14.25" customHeight="1" x14ac:dyDescent="0.35">
      <c r="A432" s="7" t="str">
        <f t="array" ref="A432">EXTRACTEVENT(N432,V432)</f>
        <v/>
      </c>
      <c r="B432" s="7" t="str">
        <f t="shared" si="18"/>
        <v/>
      </c>
      <c r="C432" s="7"/>
      <c r="D432" s="7" t="str">
        <f t="shared" si="19"/>
        <v>E</v>
      </c>
      <c r="E432" s="10">
        <f t="shared" si="20"/>
        <v>0</v>
      </c>
      <c r="F432" s="7" t="e">
        <f t="array" ref="F432">+TIPOARMA(H432,I432)</f>
        <v>#VALUE!</v>
      </c>
      <c r="G432" s="7"/>
      <c r="H432" s="7" t="e">
        <f>+VLOOKUP(Q432,Maps!I:J,2,0)</f>
        <v>#N/A</v>
      </c>
      <c r="I432" s="7" t="e">
        <f>+VLOOKUP(T432,Maps!E:F,2,0)</f>
        <v>#N/A</v>
      </c>
    </row>
    <row r="433" spans="1:9" ht="14.25" customHeight="1" x14ac:dyDescent="0.35">
      <c r="A433" s="7" t="str">
        <f t="array" ref="A433">EXTRACTEVENT(N433,V433)</f>
        <v/>
      </c>
      <c r="B433" s="7" t="str">
        <f t="shared" si="18"/>
        <v/>
      </c>
      <c r="C433" s="7"/>
      <c r="D433" s="7" t="str">
        <f t="shared" si="19"/>
        <v>E</v>
      </c>
      <c r="E433" s="10">
        <f t="shared" si="20"/>
        <v>0</v>
      </c>
      <c r="F433" s="7" t="e">
        <f t="array" ref="F433">+TIPOARMA(H433,I433)</f>
        <v>#VALUE!</v>
      </c>
      <c r="G433" s="7"/>
      <c r="H433" s="7" t="e">
        <f>+VLOOKUP(Q433,Maps!I:J,2,0)</f>
        <v>#N/A</v>
      </c>
      <c r="I433" s="7" t="e">
        <f>+VLOOKUP(T433,Maps!E:F,2,0)</f>
        <v>#N/A</v>
      </c>
    </row>
    <row r="434" spans="1:9" ht="14.25" customHeight="1" x14ac:dyDescent="0.35">
      <c r="A434" s="7" t="str">
        <f t="array" ref="A434">EXTRACTEVENT(N434,V434)</f>
        <v/>
      </c>
      <c r="B434" s="7" t="str">
        <f t="shared" si="18"/>
        <v/>
      </c>
      <c r="C434" s="7"/>
      <c r="D434" s="7" t="str">
        <f t="shared" si="19"/>
        <v>E</v>
      </c>
      <c r="E434" s="10">
        <f t="shared" si="20"/>
        <v>0</v>
      </c>
      <c r="F434" s="7" t="e">
        <f t="array" ref="F434">+TIPOARMA(H434,I434)</f>
        <v>#VALUE!</v>
      </c>
      <c r="G434" s="7"/>
      <c r="H434" s="7" t="e">
        <f>+VLOOKUP(Q434,Maps!I:J,2,0)</f>
        <v>#N/A</v>
      </c>
      <c r="I434" s="7" t="e">
        <f>+VLOOKUP(T434,Maps!E:F,2,0)</f>
        <v>#N/A</v>
      </c>
    </row>
    <row r="435" spans="1:9" ht="14.25" customHeight="1" x14ac:dyDescent="0.35">
      <c r="A435" s="7" t="str">
        <f t="array" ref="A435">EXTRACTEVENT(N435,V435)</f>
        <v/>
      </c>
      <c r="B435" s="7" t="str">
        <f t="shared" si="18"/>
        <v/>
      </c>
      <c r="C435" s="7"/>
      <c r="D435" s="7" t="str">
        <f t="shared" si="19"/>
        <v>E</v>
      </c>
      <c r="E435" s="10">
        <f t="shared" si="20"/>
        <v>0</v>
      </c>
      <c r="F435" s="7" t="e">
        <f t="array" ref="F435">+TIPOARMA(H435,I435)</f>
        <v>#VALUE!</v>
      </c>
      <c r="G435" s="7"/>
      <c r="H435" s="7" t="e">
        <f>+VLOOKUP(Q435,Maps!I:J,2,0)</f>
        <v>#N/A</v>
      </c>
      <c r="I435" s="7" t="e">
        <f>+VLOOKUP(T435,Maps!E:F,2,0)</f>
        <v>#N/A</v>
      </c>
    </row>
    <row r="436" spans="1:9" ht="14.25" customHeight="1" x14ac:dyDescent="0.35">
      <c r="A436" s="7" t="str">
        <f t="array" ref="A436">EXTRACTEVENT(N436,V436)</f>
        <v/>
      </c>
      <c r="B436" s="7" t="str">
        <f t="shared" si="18"/>
        <v/>
      </c>
      <c r="C436" s="7"/>
      <c r="D436" s="7" t="str">
        <f t="shared" si="19"/>
        <v>E</v>
      </c>
      <c r="E436" s="10">
        <f t="shared" si="20"/>
        <v>0</v>
      </c>
      <c r="F436" s="7" t="e">
        <f t="array" ref="F436">+TIPOARMA(H436,I436)</f>
        <v>#VALUE!</v>
      </c>
      <c r="G436" s="7"/>
      <c r="H436" s="7" t="e">
        <f>+VLOOKUP(Q436,Maps!I:J,2,0)</f>
        <v>#N/A</v>
      </c>
      <c r="I436" s="7" t="e">
        <f>+VLOOKUP(T436,Maps!E:F,2,0)</f>
        <v>#N/A</v>
      </c>
    </row>
    <row r="437" spans="1:9" ht="14.25" customHeight="1" x14ac:dyDescent="0.35">
      <c r="A437" s="7" t="str">
        <f t="array" ref="A437">EXTRACTEVENT(N437,V437)</f>
        <v/>
      </c>
      <c r="B437" s="7" t="str">
        <f t="shared" si="18"/>
        <v/>
      </c>
      <c r="C437" s="7"/>
      <c r="D437" s="7" t="str">
        <f t="shared" si="19"/>
        <v>E</v>
      </c>
      <c r="E437" s="10">
        <f t="shared" si="20"/>
        <v>0</v>
      </c>
      <c r="F437" s="7" t="e">
        <f t="array" ref="F437">+TIPOARMA(H437,I437)</f>
        <v>#VALUE!</v>
      </c>
      <c r="G437" s="7"/>
      <c r="H437" s="7" t="e">
        <f>+VLOOKUP(Q437,Maps!I:J,2,0)</f>
        <v>#N/A</v>
      </c>
      <c r="I437" s="7" t="e">
        <f>+VLOOKUP(T437,Maps!E:F,2,0)</f>
        <v>#N/A</v>
      </c>
    </row>
    <row r="438" spans="1:9" ht="14.25" customHeight="1" x14ac:dyDescent="0.35">
      <c r="A438" s="7" t="str">
        <f t="array" ref="A438">EXTRACTEVENT(N438,V438)</f>
        <v/>
      </c>
      <c r="B438" s="7" t="str">
        <f t="shared" si="18"/>
        <v/>
      </c>
      <c r="C438" s="7"/>
      <c r="D438" s="7" t="str">
        <f t="shared" si="19"/>
        <v>E</v>
      </c>
      <c r="E438" s="10">
        <f t="shared" si="20"/>
        <v>0</v>
      </c>
      <c r="F438" s="7" t="e">
        <f t="array" ref="F438">+TIPOARMA(H438,I438)</f>
        <v>#VALUE!</v>
      </c>
      <c r="G438" s="7"/>
      <c r="H438" s="7" t="e">
        <f>+VLOOKUP(Q438,Maps!I:J,2,0)</f>
        <v>#N/A</v>
      </c>
      <c r="I438" s="7" t="e">
        <f>+VLOOKUP(T438,Maps!E:F,2,0)</f>
        <v>#N/A</v>
      </c>
    </row>
    <row r="439" spans="1:9" ht="14.25" customHeight="1" x14ac:dyDescent="0.35">
      <c r="A439" s="7" t="str">
        <f t="array" ref="A439">EXTRACTEVENT(N439,V439)</f>
        <v/>
      </c>
      <c r="B439" s="7" t="str">
        <f t="shared" si="18"/>
        <v/>
      </c>
      <c r="C439" s="7"/>
      <c r="D439" s="7" t="str">
        <f t="shared" si="19"/>
        <v>E</v>
      </c>
      <c r="E439" s="10">
        <f t="shared" si="20"/>
        <v>0</v>
      </c>
      <c r="F439" s="7" t="e">
        <f t="array" ref="F439">+TIPOARMA(H439,I439)</f>
        <v>#VALUE!</v>
      </c>
      <c r="G439" s="7"/>
      <c r="H439" s="7" t="e">
        <f>+VLOOKUP(Q439,Maps!I:J,2,0)</f>
        <v>#N/A</v>
      </c>
      <c r="I439" s="7" t="e">
        <f>+VLOOKUP(T439,Maps!E:F,2,0)</f>
        <v>#N/A</v>
      </c>
    </row>
    <row r="440" spans="1:9" ht="14.25" customHeight="1" x14ac:dyDescent="0.35">
      <c r="A440" s="7" t="str">
        <f t="array" ref="A440">EXTRACTEVENT(N440,V440)</f>
        <v/>
      </c>
      <c r="B440" s="7" t="str">
        <f t="shared" si="18"/>
        <v/>
      </c>
      <c r="C440" s="7"/>
      <c r="D440" s="7" t="str">
        <f t="shared" si="19"/>
        <v>E</v>
      </c>
      <c r="E440" s="10">
        <f t="shared" si="20"/>
        <v>0</v>
      </c>
      <c r="F440" s="7" t="e">
        <f t="array" ref="F440">+TIPOARMA(H440,I440)</f>
        <v>#VALUE!</v>
      </c>
      <c r="G440" s="7"/>
      <c r="H440" s="7" t="e">
        <f>+VLOOKUP(Q440,Maps!I:J,2,0)</f>
        <v>#N/A</v>
      </c>
      <c r="I440" s="7" t="e">
        <f>+VLOOKUP(T440,Maps!E:F,2,0)</f>
        <v>#N/A</v>
      </c>
    </row>
    <row r="441" spans="1:9" ht="14.25" customHeight="1" x14ac:dyDescent="0.35">
      <c r="A441" s="7" t="str">
        <f t="array" ref="A441">EXTRACTEVENT(N441,V441)</f>
        <v/>
      </c>
      <c r="B441" s="7" t="str">
        <f t="shared" si="18"/>
        <v/>
      </c>
      <c r="C441" s="7"/>
      <c r="D441" s="7" t="str">
        <f t="shared" si="19"/>
        <v>E</v>
      </c>
      <c r="E441" s="10">
        <f t="shared" si="20"/>
        <v>0</v>
      </c>
      <c r="F441" s="7" t="e">
        <f t="array" ref="F441">+TIPOARMA(H441,I441)</f>
        <v>#VALUE!</v>
      </c>
      <c r="G441" s="7"/>
      <c r="H441" s="7" t="e">
        <f>+VLOOKUP(Q441,Maps!I:J,2,0)</f>
        <v>#N/A</v>
      </c>
      <c r="I441" s="7" t="e">
        <f>+VLOOKUP(T441,Maps!E:F,2,0)</f>
        <v>#N/A</v>
      </c>
    </row>
    <row r="442" spans="1:9" ht="14.25" customHeight="1" x14ac:dyDescent="0.35">
      <c r="A442" s="7" t="str">
        <f t="array" ref="A442">EXTRACTEVENT(N442,V442)</f>
        <v/>
      </c>
      <c r="B442" s="7" t="str">
        <f t="shared" si="18"/>
        <v/>
      </c>
      <c r="C442" s="7"/>
      <c r="D442" s="7" t="str">
        <f t="shared" si="19"/>
        <v>E</v>
      </c>
      <c r="E442" s="10">
        <f t="shared" si="20"/>
        <v>0</v>
      </c>
      <c r="F442" s="7" t="e">
        <f t="array" ref="F442">+TIPOARMA(H442,I442)</f>
        <v>#VALUE!</v>
      </c>
      <c r="G442" s="7"/>
      <c r="H442" s="7" t="e">
        <f>+VLOOKUP(Q442,Maps!I:J,2,0)</f>
        <v>#N/A</v>
      </c>
      <c r="I442" s="7" t="e">
        <f>+VLOOKUP(T442,Maps!E:F,2,0)</f>
        <v>#N/A</v>
      </c>
    </row>
    <row r="443" spans="1:9" ht="14.25" customHeight="1" x14ac:dyDescent="0.35">
      <c r="A443" s="7" t="str">
        <f t="array" ref="A443">EXTRACTEVENT(N443,V443)</f>
        <v/>
      </c>
      <c r="B443" s="7" t="str">
        <f t="shared" si="18"/>
        <v/>
      </c>
      <c r="C443" s="7"/>
      <c r="D443" s="7" t="str">
        <f t="shared" si="19"/>
        <v>E</v>
      </c>
      <c r="E443" s="10">
        <f t="shared" si="20"/>
        <v>0</v>
      </c>
      <c r="F443" s="7" t="e">
        <f t="array" ref="F443">+TIPOARMA(H443,I443)</f>
        <v>#VALUE!</v>
      </c>
      <c r="G443" s="7"/>
      <c r="H443" s="7" t="e">
        <f>+VLOOKUP(Q443,Maps!I:J,2,0)</f>
        <v>#N/A</v>
      </c>
      <c r="I443" s="7" t="e">
        <f>+VLOOKUP(T443,Maps!E:F,2,0)</f>
        <v>#N/A</v>
      </c>
    </row>
    <row r="444" spans="1:9" ht="14.25" customHeight="1" x14ac:dyDescent="0.35">
      <c r="A444" s="7" t="str">
        <f t="array" ref="A444">EXTRACTEVENT(N444,V444)</f>
        <v/>
      </c>
      <c r="B444" s="7" t="str">
        <f t="shared" si="18"/>
        <v/>
      </c>
      <c r="C444" s="7"/>
      <c r="D444" s="7" t="str">
        <f t="shared" si="19"/>
        <v>E</v>
      </c>
      <c r="E444" s="10">
        <f t="shared" si="20"/>
        <v>0</v>
      </c>
      <c r="F444" s="7" t="e">
        <f t="array" ref="F444">+TIPOARMA(H444,I444)</f>
        <v>#VALUE!</v>
      </c>
      <c r="G444" s="7"/>
      <c r="H444" s="7" t="e">
        <f>+VLOOKUP(Q444,Maps!I:J,2,0)</f>
        <v>#N/A</v>
      </c>
      <c r="I444" s="7" t="e">
        <f>+VLOOKUP(T444,Maps!E:F,2,0)</f>
        <v>#N/A</v>
      </c>
    </row>
    <row r="445" spans="1:9" ht="14.25" customHeight="1" x14ac:dyDescent="0.35">
      <c r="A445" s="7" t="str">
        <f t="array" ref="A445">EXTRACTEVENT(N445,V445)</f>
        <v/>
      </c>
      <c r="B445" s="7" t="str">
        <f t="shared" si="18"/>
        <v/>
      </c>
      <c r="C445" s="7"/>
      <c r="D445" s="7" t="str">
        <f t="shared" si="19"/>
        <v>E</v>
      </c>
      <c r="E445" s="10">
        <f t="shared" si="20"/>
        <v>0</v>
      </c>
      <c r="F445" s="7" t="e">
        <f t="array" ref="F445">+TIPOARMA(H445,I445)</f>
        <v>#VALUE!</v>
      </c>
      <c r="G445" s="7"/>
      <c r="H445" s="7" t="e">
        <f>+VLOOKUP(Q445,Maps!I:J,2,0)</f>
        <v>#N/A</v>
      </c>
      <c r="I445" s="7" t="e">
        <f>+VLOOKUP(T445,Maps!E:F,2,0)</f>
        <v>#N/A</v>
      </c>
    </row>
    <row r="446" spans="1:9" ht="14.25" customHeight="1" x14ac:dyDescent="0.35">
      <c r="A446" s="7" t="str">
        <f t="array" ref="A446">EXTRACTEVENT(N446,V446)</f>
        <v/>
      </c>
      <c r="B446" s="7" t="str">
        <f t="shared" si="18"/>
        <v/>
      </c>
      <c r="C446" s="7"/>
      <c r="D446" s="7" t="str">
        <f t="shared" si="19"/>
        <v>E</v>
      </c>
      <c r="E446" s="10">
        <f t="shared" si="20"/>
        <v>0</v>
      </c>
      <c r="F446" s="7" t="e">
        <f t="array" ref="F446">+TIPOARMA(H446,I446)</f>
        <v>#VALUE!</v>
      </c>
      <c r="G446" s="7"/>
      <c r="H446" s="7" t="e">
        <f>+VLOOKUP(Q446,Maps!I:J,2,0)</f>
        <v>#N/A</v>
      </c>
      <c r="I446" s="7" t="e">
        <f>+VLOOKUP(T446,Maps!E:F,2,0)</f>
        <v>#N/A</v>
      </c>
    </row>
    <row r="447" spans="1:9" ht="14.25" customHeight="1" x14ac:dyDescent="0.35">
      <c r="A447" s="7" t="str">
        <f t="array" ref="A447">EXTRACTEVENT(N447,V447)</f>
        <v/>
      </c>
      <c r="B447" s="7" t="str">
        <f t="shared" si="18"/>
        <v/>
      </c>
      <c r="C447" s="7"/>
      <c r="D447" s="7" t="str">
        <f t="shared" si="19"/>
        <v>E</v>
      </c>
      <c r="E447" s="10">
        <f t="shared" si="20"/>
        <v>0</v>
      </c>
      <c r="F447" s="7" t="e">
        <f t="array" ref="F447">+TIPOARMA(H447,I447)</f>
        <v>#VALUE!</v>
      </c>
      <c r="G447" s="7"/>
      <c r="H447" s="7" t="e">
        <f>+VLOOKUP(Q447,Maps!I:J,2,0)</f>
        <v>#N/A</v>
      </c>
      <c r="I447" s="7" t="e">
        <f>+VLOOKUP(T447,Maps!E:F,2,0)</f>
        <v>#N/A</v>
      </c>
    </row>
    <row r="448" spans="1:9" ht="14.25" customHeight="1" x14ac:dyDescent="0.35">
      <c r="A448" s="7" t="str">
        <f t="array" ref="A448">EXTRACTEVENT(N448,V448)</f>
        <v/>
      </c>
      <c r="B448" s="7" t="str">
        <f t="shared" si="18"/>
        <v/>
      </c>
      <c r="C448" s="7"/>
      <c r="D448" s="7" t="str">
        <f t="shared" si="19"/>
        <v>E</v>
      </c>
      <c r="E448" s="10">
        <f t="shared" si="20"/>
        <v>0</v>
      </c>
      <c r="F448" s="7" t="e">
        <f t="array" ref="F448">+TIPOARMA(H448,I448)</f>
        <v>#VALUE!</v>
      </c>
      <c r="G448" s="7"/>
      <c r="H448" s="7" t="e">
        <f>+VLOOKUP(Q448,Maps!I:J,2,0)</f>
        <v>#N/A</v>
      </c>
      <c r="I448" s="7" t="e">
        <f>+VLOOKUP(T448,Maps!E:F,2,0)</f>
        <v>#N/A</v>
      </c>
    </row>
    <row r="449" spans="1:9" ht="14.25" customHeight="1" x14ac:dyDescent="0.35">
      <c r="A449" s="7" t="str">
        <f t="array" ref="A449">EXTRACTEVENT(N449,V449)</f>
        <v/>
      </c>
      <c r="B449" s="7" t="str">
        <f t="shared" si="18"/>
        <v/>
      </c>
      <c r="C449" s="7"/>
      <c r="D449" s="7" t="str">
        <f t="shared" si="19"/>
        <v>E</v>
      </c>
      <c r="E449" s="10">
        <f t="shared" si="20"/>
        <v>0</v>
      </c>
      <c r="F449" s="7" t="e">
        <f t="array" ref="F449">+TIPOARMA(H449,I449)</f>
        <v>#VALUE!</v>
      </c>
      <c r="G449" s="7"/>
      <c r="H449" s="7" t="e">
        <f>+VLOOKUP(Q449,Maps!I:J,2,0)</f>
        <v>#N/A</v>
      </c>
      <c r="I449" s="7" t="e">
        <f>+VLOOKUP(T449,Maps!E:F,2,0)</f>
        <v>#N/A</v>
      </c>
    </row>
    <row r="450" spans="1:9" ht="14.25" customHeight="1" x14ac:dyDescent="0.35">
      <c r="A450" s="7" t="str">
        <f t="array" ref="A450">EXTRACTEVENT(N450,V450)</f>
        <v/>
      </c>
      <c r="B450" s="7" t="str">
        <f t="shared" ref="B450:B513" si="21">+IF(V450="TREINO","-",LEFT(N450,1))</f>
        <v/>
      </c>
      <c r="C450" s="7"/>
      <c r="D450" s="7" t="str">
        <f t="shared" ref="D450:D513" si="22">+IF($V450="TREINO","T",IF(V450="NACIONAL","N","E"))</f>
        <v>E</v>
      </c>
      <c r="E450" s="10">
        <f t="shared" ref="E450:E513" si="23">IFERROR(DATEVALUE(LEFT(M450,10)),M450)</f>
        <v>0</v>
      </c>
      <c r="F450" s="7" t="e">
        <f t="array" ref="F450">+TIPOARMA(H450,I450)</f>
        <v>#VALUE!</v>
      </c>
      <c r="G450" s="7"/>
      <c r="H450" s="7" t="e">
        <f>+VLOOKUP(Q450,Maps!I:J,2,0)</f>
        <v>#N/A</v>
      </c>
      <c r="I450" s="7" t="e">
        <f>+VLOOKUP(T450,Maps!E:F,2,0)</f>
        <v>#N/A</v>
      </c>
    </row>
    <row r="451" spans="1:9" ht="14.25" customHeight="1" x14ac:dyDescent="0.35">
      <c r="A451" s="7" t="str">
        <f t="array" ref="A451">EXTRACTEVENT(N451,V451)</f>
        <v/>
      </c>
      <c r="B451" s="7" t="str">
        <f t="shared" si="21"/>
        <v/>
      </c>
      <c r="C451" s="7"/>
      <c r="D451" s="7" t="str">
        <f t="shared" si="22"/>
        <v>E</v>
      </c>
      <c r="E451" s="10">
        <f t="shared" si="23"/>
        <v>0</v>
      </c>
      <c r="F451" s="7" t="e">
        <f t="array" ref="F451">+TIPOARMA(H451,I451)</f>
        <v>#VALUE!</v>
      </c>
      <c r="G451" s="7"/>
      <c r="H451" s="7" t="e">
        <f>+VLOOKUP(Q451,Maps!I:J,2,0)</f>
        <v>#N/A</v>
      </c>
      <c r="I451" s="7" t="e">
        <f>+VLOOKUP(T451,Maps!E:F,2,0)</f>
        <v>#N/A</v>
      </c>
    </row>
    <row r="452" spans="1:9" ht="14.25" customHeight="1" x14ac:dyDescent="0.35">
      <c r="A452" s="7" t="str">
        <f t="array" ref="A452">EXTRACTEVENT(N452,V452)</f>
        <v/>
      </c>
      <c r="B452" s="7" t="str">
        <f t="shared" si="21"/>
        <v/>
      </c>
      <c r="C452" s="7"/>
      <c r="D452" s="7" t="str">
        <f t="shared" si="22"/>
        <v>E</v>
      </c>
      <c r="E452" s="10">
        <f t="shared" si="23"/>
        <v>0</v>
      </c>
      <c r="F452" s="7" t="e">
        <f t="array" ref="F452">+TIPOARMA(H452,I452)</f>
        <v>#VALUE!</v>
      </c>
      <c r="G452" s="7"/>
      <c r="H452" s="7" t="e">
        <f>+VLOOKUP(Q452,Maps!I:J,2,0)</f>
        <v>#N/A</v>
      </c>
      <c r="I452" s="7" t="e">
        <f>+VLOOKUP(T452,Maps!E:F,2,0)</f>
        <v>#N/A</v>
      </c>
    </row>
    <row r="453" spans="1:9" ht="14.25" customHeight="1" x14ac:dyDescent="0.35">
      <c r="A453" s="7" t="str">
        <f t="array" ref="A453">EXTRACTEVENT(N453,V453)</f>
        <v/>
      </c>
      <c r="B453" s="7" t="str">
        <f t="shared" si="21"/>
        <v/>
      </c>
      <c r="C453" s="7"/>
      <c r="D453" s="7" t="str">
        <f t="shared" si="22"/>
        <v>E</v>
      </c>
      <c r="E453" s="10">
        <f t="shared" si="23"/>
        <v>0</v>
      </c>
      <c r="F453" s="7" t="e">
        <f t="array" ref="F453">+TIPOARMA(H453,I453)</f>
        <v>#VALUE!</v>
      </c>
      <c r="G453" s="7"/>
      <c r="H453" s="7" t="e">
        <f>+VLOOKUP(Q453,Maps!I:J,2,0)</f>
        <v>#N/A</v>
      </c>
      <c r="I453" s="7" t="e">
        <f>+VLOOKUP(T453,Maps!E:F,2,0)</f>
        <v>#N/A</v>
      </c>
    </row>
    <row r="454" spans="1:9" ht="14.25" customHeight="1" x14ac:dyDescent="0.35">
      <c r="A454" s="7" t="str">
        <f t="array" ref="A454">EXTRACTEVENT(N454,V454)</f>
        <v/>
      </c>
      <c r="B454" s="7" t="str">
        <f t="shared" si="21"/>
        <v/>
      </c>
      <c r="C454" s="7"/>
      <c r="D454" s="7" t="str">
        <f t="shared" si="22"/>
        <v>E</v>
      </c>
      <c r="E454" s="10">
        <f t="shared" si="23"/>
        <v>0</v>
      </c>
      <c r="F454" s="7" t="e">
        <f t="array" ref="F454">+TIPOARMA(H454,I454)</f>
        <v>#VALUE!</v>
      </c>
      <c r="G454" s="7"/>
      <c r="H454" s="7" t="e">
        <f>+VLOOKUP(Q454,Maps!I:J,2,0)</f>
        <v>#N/A</v>
      </c>
      <c r="I454" s="7" t="e">
        <f>+VLOOKUP(T454,Maps!E:F,2,0)</f>
        <v>#N/A</v>
      </c>
    </row>
    <row r="455" spans="1:9" ht="14.25" customHeight="1" x14ac:dyDescent="0.35">
      <c r="A455" s="7" t="str">
        <f t="array" ref="A455">EXTRACTEVENT(N455,V455)</f>
        <v/>
      </c>
      <c r="B455" s="7" t="str">
        <f t="shared" si="21"/>
        <v/>
      </c>
      <c r="C455" s="7"/>
      <c r="D455" s="7" t="str">
        <f t="shared" si="22"/>
        <v>E</v>
      </c>
      <c r="E455" s="10">
        <f t="shared" si="23"/>
        <v>0</v>
      </c>
      <c r="F455" s="7" t="e">
        <f t="array" ref="F455">+TIPOARMA(H455,I455)</f>
        <v>#VALUE!</v>
      </c>
      <c r="G455" s="7"/>
      <c r="H455" s="7" t="e">
        <f>+VLOOKUP(Q455,Maps!I:J,2,0)</f>
        <v>#N/A</v>
      </c>
      <c r="I455" s="7" t="e">
        <f>+VLOOKUP(T455,Maps!E:F,2,0)</f>
        <v>#N/A</v>
      </c>
    </row>
    <row r="456" spans="1:9" ht="14.25" customHeight="1" x14ac:dyDescent="0.35">
      <c r="A456" s="7" t="str">
        <f t="array" ref="A456">EXTRACTEVENT(N456,V456)</f>
        <v/>
      </c>
      <c r="B456" s="7" t="str">
        <f t="shared" si="21"/>
        <v/>
      </c>
      <c r="C456" s="7"/>
      <c r="D456" s="7" t="str">
        <f t="shared" si="22"/>
        <v>E</v>
      </c>
      <c r="E456" s="10">
        <f t="shared" si="23"/>
        <v>0</v>
      </c>
      <c r="F456" s="7" t="e">
        <f t="array" ref="F456">+TIPOARMA(H456,I456)</f>
        <v>#VALUE!</v>
      </c>
      <c r="G456" s="7"/>
      <c r="H456" s="7" t="e">
        <f>+VLOOKUP(Q456,Maps!I:J,2,0)</f>
        <v>#N/A</v>
      </c>
      <c r="I456" s="7" t="e">
        <f>+VLOOKUP(T456,Maps!E:F,2,0)</f>
        <v>#N/A</v>
      </c>
    </row>
    <row r="457" spans="1:9" ht="14.25" customHeight="1" x14ac:dyDescent="0.35">
      <c r="A457" s="7" t="str">
        <f t="array" ref="A457">EXTRACTEVENT(N457,V457)</f>
        <v/>
      </c>
      <c r="B457" s="7" t="str">
        <f t="shared" si="21"/>
        <v/>
      </c>
      <c r="C457" s="7"/>
      <c r="D457" s="7" t="str">
        <f t="shared" si="22"/>
        <v>E</v>
      </c>
      <c r="E457" s="10">
        <f t="shared" si="23"/>
        <v>0</v>
      </c>
      <c r="F457" s="7" t="e">
        <f t="array" ref="F457">+TIPOARMA(H457,I457)</f>
        <v>#VALUE!</v>
      </c>
      <c r="G457" s="7"/>
      <c r="H457" s="7" t="e">
        <f>+VLOOKUP(Q457,Maps!I:J,2,0)</f>
        <v>#N/A</v>
      </c>
      <c r="I457" s="7" t="e">
        <f>+VLOOKUP(T457,Maps!E:F,2,0)</f>
        <v>#N/A</v>
      </c>
    </row>
    <row r="458" spans="1:9" ht="14.25" customHeight="1" x14ac:dyDescent="0.35">
      <c r="A458" s="7" t="str">
        <f t="array" ref="A458">EXTRACTEVENT(N458,V458)</f>
        <v/>
      </c>
      <c r="B458" s="7" t="str">
        <f t="shared" si="21"/>
        <v/>
      </c>
      <c r="C458" s="7"/>
      <c r="D458" s="7" t="str">
        <f t="shared" si="22"/>
        <v>E</v>
      </c>
      <c r="E458" s="10">
        <f t="shared" si="23"/>
        <v>0</v>
      </c>
      <c r="F458" s="7" t="e">
        <f t="array" ref="F458">+TIPOARMA(H458,I458)</f>
        <v>#VALUE!</v>
      </c>
      <c r="G458" s="7"/>
      <c r="H458" s="7" t="e">
        <f>+VLOOKUP(Q458,Maps!I:J,2,0)</f>
        <v>#N/A</v>
      </c>
      <c r="I458" s="7" t="e">
        <f>+VLOOKUP(T458,Maps!E:F,2,0)</f>
        <v>#N/A</v>
      </c>
    </row>
    <row r="459" spans="1:9" ht="14.25" customHeight="1" x14ac:dyDescent="0.35">
      <c r="A459" s="7" t="str">
        <f t="array" ref="A459">EXTRACTEVENT(N459,V459)</f>
        <v/>
      </c>
      <c r="B459" s="7" t="str">
        <f t="shared" si="21"/>
        <v/>
      </c>
      <c r="C459" s="7"/>
      <c r="D459" s="7" t="str">
        <f t="shared" si="22"/>
        <v>E</v>
      </c>
      <c r="E459" s="10">
        <f t="shared" si="23"/>
        <v>0</v>
      </c>
      <c r="F459" s="7" t="e">
        <f t="array" ref="F459">+TIPOARMA(H459,I459)</f>
        <v>#VALUE!</v>
      </c>
      <c r="G459" s="7"/>
      <c r="H459" s="7" t="e">
        <f>+VLOOKUP(Q459,Maps!I:J,2,0)</f>
        <v>#N/A</v>
      </c>
      <c r="I459" s="7" t="e">
        <f>+VLOOKUP(T459,Maps!E:F,2,0)</f>
        <v>#N/A</v>
      </c>
    </row>
    <row r="460" spans="1:9" ht="14.25" customHeight="1" x14ac:dyDescent="0.35">
      <c r="A460" s="7" t="str">
        <f t="array" ref="A460">EXTRACTEVENT(N460,V460)</f>
        <v/>
      </c>
      <c r="B460" s="7" t="str">
        <f t="shared" si="21"/>
        <v/>
      </c>
      <c r="C460" s="7"/>
      <c r="D460" s="7" t="str">
        <f t="shared" si="22"/>
        <v>E</v>
      </c>
      <c r="E460" s="10">
        <f t="shared" si="23"/>
        <v>0</v>
      </c>
      <c r="F460" s="7" t="e">
        <f t="array" ref="F460">+TIPOARMA(H460,I460)</f>
        <v>#VALUE!</v>
      </c>
      <c r="G460" s="7"/>
      <c r="H460" s="7" t="e">
        <f>+VLOOKUP(Q460,Maps!I:J,2,0)</f>
        <v>#N/A</v>
      </c>
      <c r="I460" s="7" t="e">
        <f>+VLOOKUP(T460,Maps!E:F,2,0)</f>
        <v>#N/A</v>
      </c>
    </row>
    <row r="461" spans="1:9" ht="14.25" customHeight="1" x14ac:dyDescent="0.35">
      <c r="A461" s="7" t="str">
        <f t="array" ref="A461">EXTRACTEVENT(N461,V461)</f>
        <v/>
      </c>
      <c r="B461" s="7" t="str">
        <f t="shared" si="21"/>
        <v/>
      </c>
      <c r="C461" s="7"/>
      <c r="D461" s="7" t="str">
        <f t="shared" si="22"/>
        <v>E</v>
      </c>
      <c r="E461" s="10">
        <f t="shared" si="23"/>
        <v>0</v>
      </c>
      <c r="F461" s="7" t="e">
        <f t="array" ref="F461">+TIPOARMA(H461,I461)</f>
        <v>#VALUE!</v>
      </c>
      <c r="G461" s="7"/>
      <c r="H461" s="7" t="e">
        <f>+VLOOKUP(Q461,Maps!I:J,2,0)</f>
        <v>#N/A</v>
      </c>
      <c r="I461" s="7" t="e">
        <f>+VLOOKUP(T461,Maps!E:F,2,0)</f>
        <v>#N/A</v>
      </c>
    </row>
    <row r="462" spans="1:9" ht="14.25" customHeight="1" x14ac:dyDescent="0.35">
      <c r="A462" s="7" t="str">
        <f t="array" ref="A462">EXTRACTEVENT(N462,V462)</f>
        <v/>
      </c>
      <c r="B462" s="7" t="str">
        <f t="shared" si="21"/>
        <v/>
      </c>
      <c r="C462" s="7"/>
      <c r="D462" s="7" t="str">
        <f t="shared" si="22"/>
        <v>E</v>
      </c>
      <c r="E462" s="10">
        <f t="shared" si="23"/>
        <v>0</v>
      </c>
      <c r="F462" s="7" t="e">
        <f t="array" ref="F462">+TIPOARMA(H462,I462)</f>
        <v>#VALUE!</v>
      </c>
      <c r="G462" s="7"/>
      <c r="H462" s="7" t="e">
        <f>+VLOOKUP(Q462,Maps!I:J,2,0)</f>
        <v>#N/A</v>
      </c>
      <c r="I462" s="7" t="e">
        <f>+VLOOKUP(T462,Maps!E:F,2,0)</f>
        <v>#N/A</v>
      </c>
    </row>
    <row r="463" spans="1:9" ht="14.25" customHeight="1" x14ac:dyDescent="0.35">
      <c r="A463" s="7" t="str">
        <f t="array" ref="A463">EXTRACTEVENT(N463,V463)</f>
        <v/>
      </c>
      <c r="B463" s="7" t="str">
        <f t="shared" si="21"/>
        <v/>
      </c>
      <c r="C463" s="7"/>
      <c r="D463" s="7" t="str">
        <f t="shared" si="22"/>
        <v>E</v>
      </c>
      <c r="E463" s="10">
        <f t="shared" si="23"/>
        <v>0</v>
      </c>
      <c r="F463" s="7" t="e">
        <f t="array" ref="F463">+TIPOARMA(H463,I463)</f>
        <v>#VALUE!</v>
      </c>
      <c r="G463" s="7"/>
      <c r="H463" s="7" t="e">
        <f>+VLOOKUP(Q463,Maps!I:J,2,0)</f>
        <v>#N/A</v>
      </c>
      <c r="I463" s="7" t="e">
        <f>+VLOOKUP(T463,Maps!E:F,2,0)</f>
        <v>#N/A</v>
      </c>
    </row>
    <row r="464" spans="1:9" ht="14.25" customHeight="1" x14ac:dyDescent="0.35">
      <c r="A464" s="7" t="str">
        <f t="array" ref="A464">EXTRACTEVENT(N464,V464)</f>
        <v/>
      </c>
      <c r="B464" s="7" t="str">
        <f t="shared" si="21"/>
        <v/>
      </c>
      <c r="C464" s="7"/>
      <c r="D464" s="7" t="str">
        <f t="shared" si="22"/>
        <v>E</v>
      </c>
      <c r="E464" s="10">
        <f t="shared" si="23"/>
        <v>0</v>
      </c>
      <c r="F464" s="7" t="e">
        <f t="array" ref="F464">+TIPOARMA(H464,I464)</f>
        <v>#VALUE!</v>
      </c>
      <c r="G464" s="7"/>
      <c r="H464" s="7" t="e">
        <f>+VLOOKUP(Q464,Maps!I:J,2,0)</f>
        <v>#N/A</v>
      </c>
      <c r="I464" s="7" t="e">
        <f>+VLOOKUP(T464,Maps!E:F,2,0)</f>
        <v>#N/A</v>
      </c>
    </row>
    <row r="465" spans="1:9" ht="14.25" customHeight="1" x14ac:dyDescent="0.35">
      <c r="A465" s="7" t="str">
        <f t="array" ref="A465">EXTRACTEVENT(N465,V465)</f>
        <v/>
      </c>
      <c r="B465" s="7" t="str">
        <f t="shared" si="21"/>
        <v/>
      </c>
      <c r="C465" s="7"/>
      <c r="D465" s="7" t="str">
        <f t="shared" si="22"/>
        <v>E</v>
      </c>
      <c r="E465" s="10">
        <f t="shared" si="23"/>
        <v>0</v>
      </c>
      <c r="F465" s="7" t="e">
        <f t="array" ref="F465">+TIPOARMA(H465,I465)</f>
        <v>#VALUE!</v>
      </c>
      <c r="G465" s="7"/>
      <c r="H465" s="7" t="e">
        <f>+VLOOKUP(Q465,Maps!I:J,2,0)</f>
        <v>#N/A</v>
      </c>
      <c r="I465" s="7" t="e">
        <f>+VLOOKUP(T465,Maps!E:F,2,0)</f>
        <v>#N/A</v>
      </c>
    </row>
    <row r="466" spans="1:9" ht="14.25" customHeight="1" x14ac:dyDescent="0.35">
      <c r="A466" s="7" t="str">
        <f t="array" ref="A466">EXTRACTEVENT(N466,V466)</f>
        <v/>
      </c>
      <c r="B466" s="7" t="str">
        <f t="shared" si="21"/>
        <v/>
      </c>
      <c r="C466" s="7"/>
      <c r="D466" s="7" t="str">
        <f t="shared" si="22"/>
        <v>E</v>
      </c>
      <c r="E466" s="10">
        <f t="shared" si="23"/>
        <v>0</v>
      </c>
      <c r="F466" s="7" t="e">
        <f t="array" ref="F466">+TIPOARMA(H466,I466)</f>
        <v>#VALUE!</v>
      </c>
      <c r="G466" s="7"/>
      <c r="H466" s="7" t="e">
        <f>+VLOOKUP(Q466,Maps!I:J,2,0)</f>
        <v>#N/A</v>
      </c>
      <c r="I466" s="7" t="e">
        <f>+VLOOKUP(T466,Maps!E:F,2,0)</f>
        <v>#N/A</v>
      </c>
    </row>
    <row r="467" spans="1:9" ht="14.25" customHeight="1" x14ac:dyDescent="0.35">
      <c r="A467" s="7" t="str">
        <f t="array" ref="A467">EXTRACTEVENT(N467,V467)</f>
        <v/>
      </c>
      <c r="B467" s="7" t="str">
        <f t="shared" si="21"/>
        <v/>
      </c>
      <c r="C467" s="7"/>
      <c r="D467" s="7" t="str">
        <f t="shared" si="22"/>
        <v>E</v>
      </c>
      <c r="E467" s="10">
        <f t="shared" si="23"/>
        <v>0</v>
      </c>
      <c r="F467" s="7" t="e">
        <f t="array" ref="F467">+TIPOARMA(H467,I467)</f>
        <v>#VALUE!</v>
      </c>
      <c r="G467" s="7"/>
      <c r="H467" s="7" t="e">
        <f>+VLOOKUP(Q467,Maps!I:J,2,0)</f>
        <v>#N/A</v>
      </c>
      <c r="I467" s="7" t="e">
        <f>+VLOOKUP(T467,Maps!E:F,2,0)</f>
        <v>#N/A</v>
      </c>
    </row>
    <row r="468" spans="1:9" ht="14.25" customHeight="1" x14ac:dyDescent="0.35">
      <c r="A468" s="7" t="str">
        <f t="array" ref="A468">EXTRACTEVENT(N468,V468)</f>
        <v/>
      </c>
      <c r="B468" s="7" t="str">
        <f t="shared" si="21"/>
        <v/>
      </c>
      <c r="C468" s="7"/>
      <c r="D468" s="7" t="str">
        <f t="shared" si="22"/>
        <v>E</v>
      </c>
      <c r="E468" s="10">
        <f t="shared" si="23"/>
        <v>0</v>
      </c>
      <c r="F468" s="7" t="e">
        <f t="array" ref="F468">+TIPOARMA(H468,I468)</f>
        <v>#VALUE!</v>
      </c>
      <c r="G468" s="7"/>
      <c r="H468" s="7" t="e">
        <f>+VLOOKUP(Q468,Maps!I:J,2,0)</f>
        <v>#N/A</v>
      </c>
      <c r="I468" s="7" t="e">
        <f>+VLOOKUP(T468,Maps!E:F,2,0)</f>
        <v>#N/A</v>
      </c>
    </row>
    <row r="469" spans="1:9" ht="14.25" customHeight="1" x14ac:dyDescent="0.35">
      <c r="A469" s="7" t="str">
        <f t="array" ref="A469">EXTRACTEVENT(N469,V469)</f>
        <v/>
      </c>
      <c r="B469" s="7" t="str">
        <f t="shared" si="21"/>
        <v/>
      </c>
      <c r="C469" s="7"/>
      <c r="D469" s="7" t="str">
        <f t="shared" si="22"/>
        <v>E</v>
      </c>
      <c r="E469" s="10">
        <f t="shared" si="23"/>
        <v>0</v>
      </c>
      <c r="F469" s="7" t="e">
        <f t="array" ref="F469">+TIPOARMA(H469,I469)</f>
        <v>#VALUE!</v>
      </c>
      <c r="G469" s="7"/>
      <c r="H469" s="7" t="e">
        <f>+VLOOKUP(Q469,Maps!I:J,2,0)</f>
        <v>#N/A</v>
      </c>
      <c r="I469" s="7" t="e">
        <f>+VLOOKUP(T469,Maps!E:F,2,0)</f>
        <v>#N/A</v>
      </c>
    </row>
    <row r="470" spans="1:9" ht="14.25" customHeight="1" x14ac:dyDescent="0.35">
      <c r="A470" s="7" t="str">
        <f t="array" ref="A470">EXTRACTEVENT(N470,V470)</f>
        <v/>
      </c>
      <c r="B470" s="7" t="str">
        <f t="shared" si="21"/>
        <v/>
      </c>
      <c r="C470" s="7"/>
      <c r="D470" s="7" t="str">
        <f t="shared" si="22"/>
        <v>E</v>
      </c>
      <c r="E470" s="10">
        <f t="shared" si="23"/>
        <v>0</v>
      </c>
      <c r="F470" s="7" t="e">
        <f t="array" ref="F470">+TIPOARMA(H470,I470)</f>
        <v>#VALUE!</v>
      </c>
      <c r="G470" s="7"/>
      <c r="H470" s="7" t="e">
        <f>+VLOOKUP(Q470,Maps!I:J,2,0)</f>
        <v>#N/A</v>
      </c>
      <c r="I470" s="7" t="e">
        <f>+VLOOKUP(T470,Maps!E:F,2,0)</f>
        <v>#N/A</v>
      </c>
    </row>
    <row r="471" spans="1:9" ht="14.25" customHeight="1" x14ac:dyDescent="0.35">
      <c r="A471" s="7" t="str">
        <f t="array" ref="A471">EXTRACTEVENT(N471,V471)</f>
        <v/>
      </c>
      <c r="B471" s="7" t="str">
        <f t="shared" si="21"/>
        <v/>
      </c>
      <c r="C471" s="7"/>
      <c r="D471" s="7" t="str">
        <f t="shared" si="22"/>
        <v>E</v>
      </c>
      <c r="E471" s="10">
        <f t="shared" si="23"/>
        <v>0</v>
      </c>
      <c r="F471" s="7" t="e">
        <f t="array" ref="F471">+TIPOARMA(H471,I471)</f>
        <v>#VALUE!</v>
      </c>
      <c r="G471" s="7"/>
      <c r="H471" s="7" t="e">
        <f>+VLOOKUP(Q471,Maps!I:J,2,0)</f>
        <v>#N/A</v>
      </c>
      <c r="I471" s="7" t="e">
        <f>+VLOOKUP(T471,Maps!E:F,2,0)</f>
        <v>#N/A</v>
      </c>
    </row>
    <row r="472" spans="1:9" ht="14.25" customHeight="1" x14ac:dyDescent="0.35">
      <c r="A472" s="7" t="str">
        <f t="array" ref="A472">EXTRACTEVENT(N472,V472)</f>
        <v/>
      </c>
      <c r="B472" s="7" t="str">
        <f t="shared" si="21"/>
        <v/>
      </c>
      <c r="C472" s="7"/>
      <c r="D472" s="7" t="str">
        <f t="shared" si="22"/>
        <v>E</v>
      </c>
      <c r="E472" s="10">
        <f t="shared" si="23"/>
        <v>0</v>
      </c>
      <c r="F472" s="7" t="e">
        <f t="array" ref="F472">+TIPOARMA(H472,I472)</f>
        <v>#VALUE!</v>
      </c>
      <c r="G472" s="7"/>
      <c r="H472" s="7" t="e">
        <f>+VLOOKUP(Q472,Maps!I:J,2,0)</f>
        <v>#N/A</v>
      </c>
      <c r="I472" s="7" t="e">
        <f>+VLOOKUP(T472,Maps!E:F,2,0)</f>
        <v>#N/A</v>
      </c>
    </row>
    <row r="473" spans="1:9" ht="14.25" customHeight="1" x14ac:dyDescent="0.35">
      <c r="A473" s="7" t="str">
        <f t="array" ref="A473">EXTRACTEVENT(N473,V473)</f>
        <v/>
      </c>
      <c r="B473" s="7" t="str">
        <f t="shared" si="21"/>
        <v/>
      </c>
      <c r="C473" s="7"/>
      <c r="D473" s="7" t="str">
        <f t="shared" si="22"/>
        <v>E</v>
      </c>
      <c r="E473" s="10">
        <f t="shared" si="23"/>
        <v>0</v>
      </c>
      <c r="F473" s="7" t="e">
        <f t="array" ref="F473">+TIPOARMA(H473,I473)</f>
        <v>#VALUE!</v>
      </c>
      <c r="G473" s="7"/>
      <c r="H473" s="7" t="e">
        <f>+VLOOKUP(Q473,Maps!I:J,2,0)</f>
        <v>#N/A</v>
      </c>
      <c r="I473" s="7" t="e">
        <f>+VLOOKUP(T473,Maps!E:F,2,0)</f>
        <v>#N/A</v>
      </c>
    </row>
    <row r="474" spans="1:9" ht="14.25" customHeight="1" x14ac:dyDescent="0.35">
      <c r="A474" s="7" t="str">
        <f t="array" ref="A474">EXTRACTEVENT(N474,V474)</f>
        <v/>
      </c>
      <c r="B474" s="7" t="str">
        <f t="shared" si="21"/>
        <v/>
      </c>
      <c r="C474" s="7"/>
      <c r="D474" s="7" t="str">
        <f t="shared" si="22"/>
        <v>E</v>
      </c>
      <c r="E474" s="10">
        <f t="shared" si="23"/>
        <v>0</v>
      </c>
      <c r="F474" s="7" t="e">
        <f t="array" ref="F474">+TIPOARMA(H474,I474)</f>
        <v>#VALUE!</v>
      </c>
      <c r="G474" s="7"/>
      <c r="H474" s="7" t="e">
        <f>+VLOOKUP(Q474,Maps!I:J,2,0)</f>
        <v>#N/A</v>
      </c>
      <c r="I474" s="7" t="e">
        <f>+VLOOKUP(T474,Maps!E:F,2,0)</f>
        <v>#N/A</v>
      </c>
    </row>
    <row r="475" spans="1:9" ht="14.25" customHeight="1" x14ac:dyDescent="0.35">
      <c r="A475" s="7" t="str">
        <f t="array" ref="A475">EXTRACTEVENT(N475,V475)</f>
        <v/>
      </c>
      <c r="B475" s="7" t="str">
        <f t="shared" si="21"/>
        <v/>
      </c>
      <c r="C475" s="7"/>
      <c r="D475" s="7" t="str">
        <f t="shared" si="22"/>
        <v>E</v>
      </c>
      <c r="E475" s="10">
        <f t="shared" si="23"/>
        <v>0</v>
      </c>
      <c r="F475" s="7" t="e">
        <f t="array" ref="F475">+TIPOARMA(H475,I475)</f>
        <v>#VALUE!</v>
      </c>
      <c r="G475" s="7"/>
      <c r="H475" s="7" t="e">
        <f>+VLOOKUP(Q475,Maps!I:J,2,0)</f>
        <v>#N/A</v>
      </c>
      <c r="I475" s="7" t="e">
        <f>+VLOOKUP(T475,Maps!E:F,2,0)</f>
        <v>#N/A</v>
      </c>
    </row>
    <row r="476" spans="1:9" ht="14.25" customHeight="1" x14ac:dyDescent="0.35">
      <c r="A476" s="7" t="str">
        <f t="array" ref="A476">EXTRACTEVENT(N476,V476)</f>
        <v/>
      </c>
      <c r="B476" s="7" t="str">
        <f t="shared" si="21"/>
        <v/>
      </c>
      <c r="C476" s="7"/>
      <c r="D476" s="7" t="str">
        <f t="shared" si="22"/>
        <v>E</v>
      </c>
      <c r="E476" s="10">
        <f t="shared" si="23"/>
        <v>0</v>
      </c>
      <c r="F476" s="7" t="e">
        <f t="array" ref="F476">+TIPOARMA(H476,I476)</f>
        <v>#VALUE!</v>
      </c>
      <c r="G476" s="7"/>
      <c r="H476" s="7" t="e">
        <f>+VLOOKUP(Q476,Maps!I:J,2,0)</f>
        <v>#N/A</v>
      </c>
      <c r="I476" s="7" t="e">
        <f>+VLOOKUP(T476,Maps!E:F,2,0)</f>
        <v>#N/A</v>
      </c>
    </row>
    <row r="477" spans="1:9" ht="14.25" customHeight="1" x14ac:dyDescent="0.35">
      <c r="A477" s="7" t="str">
        <f t="array" ref="A477">EXTRACTEVENT(N477,V477)</f>
        <v/>
      </c>
      <c r="B477" s="7" t="str">
        <f t="shared" si="21"/>
        <v/>
      </c>
      <c r="C477" s="7"/>
      <c r="D477" s="7" t="str">
        <f t="shared" si="22"/>
        <v>E</v>
      </c>
      <c r="E477" s="10">
        <f t="shared" si="23"/>
        <v>0</v>
      </c>
      <c r="F477" s="7" t="e">
        <f t="array" ref="F477">+TIPOARMA(H477,I477)</f>
        <v>#VALUE!</v>
      </c>
      <c r="G477" s="7"/>
      <c r="H477" s="7" t="e">
        <f>+VLOOKUP(Q477,Maps!I:J,2,0)</f>
        <v>#N/A</v>
      </c>
      <c r="I477" s="7" t="e">
        <f>+VLOOKUP(T477,Maps!E:F,2,0)</f>
        <v>#N/A</v>
      </c>
    </row>
    <row r="478" spans="1:9" ht="14.25" customHeight="1" x14ac:dyDescent="0.35">
      <c r="A478" s="7" t="str">
        <f t="array" ref="A478">EXTRACTEVENT(N478,V478)</f>
        <v/>
      </c>
      <c r="B478" s="7" t="str">
        <f t="shared" si="21"/>
        <v/>
      </c>
      <c r="C478" s="7"/>
      <c r="D478" s="7" t="str">
        <f t="shared" si="22"/>
        <v>E</v>
      </c>
      <c r="E478" s="10">
        <f t="shared" si="23"/>
        <v>0</v>
      </c>
      <c r="F478" s="7" t="e">
        <f t="array" ref="F478">+TIPOARMA(H478,I478)</f>
        <v>#VALUE!</v>
      </c>
      <c r="G478" s="7"/>
      <c r="H478" s="7" t="e">
        <f>+VLOOKUP(Q478,Maps!I:J,2,0)</f>
        <v>#N/A</v>
      </c>
      <c r="I478" s="7" t="e">
        <f>+VLOOKUP(T478,Maps!E:F,2,0)</f>
        <v>#N/A</v>
      </c>
    </row>
    <row r="479" spans="1:9" ht="14.25" customHeight="1" x14ac:dyDescent="0.35">
      <c r="A479" s="7" t="str">
        <f t="array" ref="A479">EXTRACTEVENT(N479,V479)</f>
        <v/>
      </c>
      <c r="B479" s="7" t="str">
        <f t="shared" si="21"/>
        <v/>
      </c>
      <c r="C479" s="7"/>
      <c r="D479" s="7" t="str">
        <f t="shared" si="22"/>
        <v>E</v>
      </c>
      <c r="E479" s="10">
        <f t="shared" si="23"/>
        <v>0</v>
      </c>
      <c r="F479" s="7" t="e">
        <f t="array" ref="F479">+TIPOARMA(H479,I479)</f>
        <v>#VALUE!</v>
      </c>
      <c r="G479" s="7"/>
      <c r="H479" s="7" t="e">
        <f>+VLOOKUP(Q479,Maps!I:J,2,0)</f>
        <v>#N/A</v>
      </c>
      <c r="I479" s="7" t="e">
        <f>+VLOOKUP(T479,Maps!E:F,2,0)</f>
        <v>#N/A</v>
      </c>
    </row>
    <row r="480" spans="1:9" ht="14.25" customHeight="1" x14ac:dyDescent="0.35">
      <c r="A480" s="7" t="str">
        <f t="array" ref="A480">EXTRACTEVENT(N480,V480)</f>
        <v/>
      </c>
      <c r="B480" s="7" t="str">
        <f t="shared" si="21"/>
        <v/>
      </c>
      <c r="C480" s="7"/>
      <c r="D480" s="7" t="str">
        <f t="shared" si="22"/>
        <v>E</v>
      </c>
      <c r="E480" s="10">
        <f t="shared" si="23"/>
        <v>0</v>
      </c>
      <c r="F480" s="7" t="e">
        <f t="array" ref="F480">+TIPOARMA(H480,I480)</f>
        <v>#VALUE!</v>
      </c>
      <c r="G480" s="7"/>
      <c r="H480" s="7" t="e">
        <f>+VLOOKUP(Q480,Maps!I:J,2,0)</f>
        <v>#N/A</v>
      </c>
      <c r="I480" s="7" t="e">
        <f>+VLOOKUP(T480,Maps!E:F,2,0)</f>
        <v>#N/A</v>
      </c>
    </row>
    <row r="481" spans="1:9" ht="14.25" customHeight="1" x14ac:dyDescent="0.35">
      <c r="A481" s="7" t="str">
        <f t="array" ref="A481">EXTRACTEVENT(N481,V481)</f>
        <v/>
      </c>
      <c r="B481" s="7" t="str">
        <f t="shared" si="21"/>
        <v/>
      </c>
      <c r="C481" s="7"/>
      <c r="D481" s="7" t="str">
        <f t="shared" si="22"/>
        <v>E</v>
      </c>
      <c r="E481" s="10">
        <f t="shared" si="23"/>
        <v>0</v>
      </c>
      <c r="F481" s="7" t="e">
        <f t="array" ref="F481">+TIPOARMA(H481,I481)</f>
        <v>#VALUE!</v>
      </c>
      <c r="G481" s="7"/>
      <c r="H481" s="7" t="e">
        <f>+VLOOKUP(Q481,Maps!I:J,2,0)</f>
        <v>#N/A</v>
      </c>
      <c r="I481" s="7" t="e">
        <f>+VLOOKUP(T481,Maps!E:F,2,0)</f>
        <v>#N/A</v>
      </c>
    </row>
    <row r="482" spans="1:9" ht="14.25" customHeight="1" x14ac:dyDescent="0.35">
      <c r="A482" s="7" t="str">
        <f t="array" ref="A482">EXTRACTEVENT(N482,V482)</f>
        <v/>
      </c>
      <c r="B482" s="7" t="str">
        <f t="shared" si="21"/>
        <v/>
      </c>
      <c r="C482" s="7"/>
      <c r="D482" s="7" t="str">
        <f t="shared" si="22"/>
        <v>E</v>
      </c>
      <c r="E482" s="10">
        <f t="shared" si="23"/>
        <v>0</v>
      </c>
      <c r="F482" s="7" t="e">
        <f t="array" ref="F482">+TIPOARMA(H482,I482)</f>
        <v>#VALUE!</v>
      </c>
      <c r="G482" s="7"/>
      <c r="H482" s="7" t="e">
        <f>+VLOOKUP(Q482,Maps!I:J,2,0)</f>
        <v>#N/A</v>
      </c>
      <c r="I482" s="7" t="e">
        <f>+VLOOKUP(T482,Maps!E:F,2,0)</f>
        <v>#N/A</v>
      </c>
    </row>
    <row r="483" spans="1:9" ht="14.25" customHeight="1" x14ac:dyDescent="0.35">
      <c r="A483" s="7" t="str">
        <f t="array" ref="A483">EXTRACTEVENT(N483,V483)</f>
        <v/>
      </c>
      <c r="B483" s="7" t="str">
        <f t="shared" si="21"/>
        <v/>
      </c>
      <c r="C483" s="7"/>
      <c r="D483" s="7" t="str">
        <f t="shared" si="22"/>
        <v>E</v>
      </c>
      <c r="E483" s="10">
        <f t="shared" si="23"/>
        <v>0</v>
      </c>
      <c r="F483" s="7" t="e">
        <f t="array" ref="F483">+TIPOARMA(H483,I483)</f>
        <v>#VALUE!</v>
      </c>
      <c r="G483" s="7"/>
      <c r="H483" s="7" t="e">
        <f>+VLOOKUP(Q483,Maps!I:J,2,0)</f>
        <v>#N/A</v>
      </c>
      <c r="I483" s="7" t="e">
        <f>+VLOOKUP(T483,Maps!E:F,2,0)</f>
        <v>#N/A</v>
      </c>
    </row>
    <row r="484" spans="1:9" ht="14.25" customHeight="1" x14ac:dyDescent="0.35">
      <c r="A484" s="7" t="str">
        <f t="array" ref="A484">EXTRACTEVENT(N484,V484)</f>
        <v/>
      </c>
      <c r="B484" s="7" t="str">
        <f t="shared" si="21"/>
        <v/>
      </c>
      <c r="C484" s="7"/>
      <c r="D484" s="7" t="str">
        <f t="shared" si="22"/>
        <v>E</v>
      </c>
      <c r="E484" s="10">
        <f t="shared" si="23"/>
        <v>0</v>
      </c>
      <c r="F484" s="7" t="e">
        <f t="array" ref="F484">+TIPOARMA(H484,I484)</f>
        <v>#VALUE!</v>
      </c>
      <c r="G484" s="7"/>
      <c r="H484" s="7" t="e">
        <f>+VLOOKUP(Q484,Maps!I:J,2,0)</f>
        <v>#N/A</v>
      </c>
      <c r="I484" s="7" t="e">
        <f>+VLOOKUP(T484,Maps!E:F,2,0)</f>
        <v>#N/A</v>
      </c>
    </row>
    <row r="485" spans="1:9" ht="14.25" customHeight="1" x14ac:dyDescent="0.35">
      <c r="A485" s="7" t="str">
        <f t="array" ref="A485">EXTRACTEVENT(N485,V485)</f>
        <v/>
      </c>
      <c r="B485" s="7" t="str">
        <f t="shared" si="21"/>
        <v/>
      </c>
      <c r="C485" s="7"/>
      <c r="D485" s="7" t="str">
        <f t="shared" si="22"/>
        <v>E</v>
      </c>
      <c r="E485" s="10">
        <f t="shared" si="23"/>
        <v>0</v>
      </c>
      <c r="F485" s="7" t="e">
        <f t="array" ref="F485">+TIPOARMA(H485,I485)</f>
        <v>#VALUE!</v>
      </c>
      <c r="G485" s="7"/>
      <c r="H485" s="7" t="e">
        <f>+VLOOKUP(Q485,Maps!I:J,2,0)</f>
        <v>#N/A</v>
      </c>
      <c r="I485" s="7" t="e">
        <f>+VLOOKUP(T485,Maps!E:F,2,0)</f>
        <v>#N/A</v>
      </c>
    </row>
    <row r="486" spans="1:9" ht="14.25" customHeight="1" x14ac:dyDescent="0.35">
      <c r="A486" s="7" t="str">
        <f t="array" ref="A486">EXTRACTEVENT(N486,V486)</f>
        <v/>
      </c>
      <c r="B486" s="7" t="str">
        <f t="shared" si="21"/>
        <v/>
      </c>
      <c r="C486" s="7"/>
      <c r="D486" s="7" t="str">
        <f t="shared" si="22"/>
        <v>E</v>
      </c>
      <c r="E486" s="10">
        <f t="shared" si="23"/>
        <v>0</v>
      </c>
      <c r="F486" s="7" t="e">
        <f t="array" ref="F486">+TIPOARMA(H486,I486)</f>
        <v>#VALUE!</v>
      </c>
      <c r="G486" s="7"/>
      <c r="H486" s="7" t="e">
        <f>+VLOOKUP(Q486,Maps!I:J,2,0)</f>
        <v>#N/A</v>
      </c>
      <c r="I486" s="7" t="e">
        <f>+VLOOKUP(T486,Maps!E:F,2,0)</f>
        <v>#N/A</v>
      </c>
    </row>
    <row r="487" spans="1:9" ht="14.25" customHeight="1" x14ac:dyDescent="0.35">
      <c r="A487" s="7" t="str">
        <f t="array" ref="A487">EXTRACTEVENT(N487,V487)</f>
        <v/>
      </c>
      <c r="B487" s="7" t="str">
        <f t="shared" si="21"/>
        <v/>
      </c>
      <c r="C487" s="7"/>
      <c r="D487" s="7" t="str">
        <f t="shared" si="22"/>
        <v>E</v>
      </c>
      <c r="E487" s="10">
        <f t="shared" si="23"/>
        <v>0</v>
      </c>
      <c r="F487" s="7" t="e">
        <f t="array" ref="F487">+TIPOARMA(H487,I487)</f>
        <v>#VALUE!</v>
      </c>
      <c r="G487" s="7"/>
      <c r="H487" s="7" t="e">
        <f>+VLOOKUP(Q487,Maps!I:J,2,0)</f>
        <v>#N/A</v>
      </c>
      <c r="I487" s="7" t="e">
        <f>+VLOOKUP(T487,Maps!E:F,2,0)</f>
        <v>#N/A</v>
      </c>
    </row>
    <row r="488" spans="1:9" ht="14.25" customHeight="1" x14ac:dyDescent="0.35">
      <c r="A488" s="7" t="str">
        <f t="array" ref="A488">EXTRACTEVENT(N488,V488)</f>
        <v/>
      </c>
      <c r="B488" s="7" t="str">
        <f t="shared" si="21"/>
        <v/>
      </c>
      <c r="C488" s="7"/>
      <c r="D488" s="7" t="str">
        <f t="shared" si="22"/>
        <v>E</v>
      </c>
      <c r="E488" s="10">
        <f t="shared" si="23"/>
        <v>0</v>
      </c>
      <c r="F488" s="7" t="e">
        <f t="array" ref="F488">+TIPOARMA(H488,I488)</f>
        <v>#VALUE!</v>
      </c>
      <c r="G488" s="7"/>
      <c r="H488" s="7" t="e">
        <f>+VLOOKUP(Q488,Maps!I:J,2,0)</f>
        <v>#N/A</v>
      </c>
      <c r="I488" s="7" t="e">
        <f>+VLOOKUP(T488,Maps!E:F,2,0)</f>
        <v>#N/A</v>
      </c>
    </row>
    <row r="489" spans="1:9" ht="14.25" customHeight="1" x14ac:dyDescent="0.35">
      <c r="A489" s="7" t="str">
        <f t="array" ref="A489">EXTRACTEVENT(N489,V489)</f>
        <v/>
      </c>
      <c r="B489" s="7" t="str">
        <f t="shared" si="21"/>
        <v/>
      </c>
      <c r="C489" s="7"/>
      <c r="D489" s="7" t="str">
        <f t="shared" si="22"/>
        <v>E</v>
      </c>
      <c r="E489" s="10">
        <f t="shared" si="23"/>
        <v>0</v>
      </c>
      <c r="F489" s="7" t="e">
        <f t="array" ref="F489">+TIPOARMA(H489,I489)</f>
        <v>#VALUE!</v>
      </c>
      <c r="G489" s="7"/>
      <c r="H489" s="7" t="e">
        <f>+VLOOKUP(Q489,Maps!I:J,2,0)</f>
        <v>#N/A</v>
      </c>
      <c r="I489" s="7" t="e">
        <f>+VLOOKUP(T489,Maps!E:F,2,0)</f>
        <v>#N/A</v>
      </c>
    </row>
    <row r="490" spans="1:9" ht="14.25" customHeight="1" x14ac:dyDescent="0.35">
      <c r="A490" s="7" t="str">
        <f t="array" ref="A490">EXTRACTEVENT(N490,V490)</f>
        <v/>
      </c>
      <c r="B490" s="7" t="str">
        <f t="shared" si="21"/>
        <v/>
      </c>
      <c r="C490" s="7"/>
      <c r="D490" s="7" t="str">
        <f t="shared" si="22"/>
        <v>E</v>
      </c>
      <c r="E490" s="10">
        <f t="shared" si="23"/>
        <v>0</v>
      </c>
      <c r="F490" s="7" t="e">
        <f t="array" ref="F490">+TIPOARMA(H490,I490)</f>
        <v>#VALUE!</v>
      </c>
      <c r="G490" s="7"/>
      <c r="H490" s="7" t="e">
        <f>+VLOOKUP(Q490,Maps!I:J,2,0)</f>
        <v>#N/A</v>
      </c>
      <c r="I490" s="7" t="e">
        <f>+VLOOKUP(T490,Maps!E:F,2,0)</f>
        <v>#N/A</v>
      </c>
    </row>
    <row r="491" spans="1:9" ht="14.25" customHeight="1" x14ac:dyDescent="0.35">
      <c r="A491" s="7" t="str">
        <f t="array" ref="A491">EXTRACTEVENT(N491,V491)</f>
        <v/>
      </c>
      <c r="B491" s="7" t="str">
        <f t="shared" si="21"/>
        <v/>
      </c>
      <c r="C491" s="7"/>
      <c r="D491" s="7" t="str">
        <f t="shared" si="22"/>
        <v>E</v>
      </c>
      <c r="E491" s="10">
        <f t="shared" si="23"/>
        <v>0</v>
      </c>
      <c r="F491" s="7" t="e">
        <f t="array" ref="F491">+TIPOARMA(H491,I491)</f>
        <v>#VALUE!</v>
      </c>
      <c r="G491" s="7"/>
      <c r="H491" s="7" t="e">
        <f>+VLOOKUP(Q491,Maps!I:J,2,0)</f>
        <v>#N/A</v>
      </c>
      <c r="I491" s="7" t="e">
        <f>+VLOOKUP(T491,Maps!E:F,2,0)</f>
        <v>#N/A</v>
      </c>
    </row>
    <row r="492" spans="1:9" ht="14.25" customHeight="1" x14ac:dyDescent="0.35">
      <c r="A492" s="7" t="str">
        <f t="array" ref="A492">EXTRACTEVENT(N492,V492)</f>
        <v/>
      </c>
      <c r="B492" s="7" t="str">
        <f t="shared" si="21"/>
        <v/>
      </c>
      <c r="C492" s="7"/>
      <c r="D492" s="7" t="str">
        <f t="shared" si="22"/>
        <v>E</v>
      </c>
      <c r="E492" s="10">
        <f t="shared" si="23"/>
        <v>0</v>
      </c>
      <c r="F492" s="7" t="e">
        <f t="array" ref="F492">+TIPOARMA(H492,I492)</f>
        <v>#VALUE!</v>
      </c>
      <c r="G492" s="7"/>
      <c r="H492" s="7" t="e">
        <f>+VLOOKUP(Q492,Maps!I:J,2,0)</f>
        <v>#N/A</v>
      </c>
      <c r="I492" s="7" t="e">
        <f>+VLOOKUP(T492,Maps!E:F,2,0)</f>
        <v>#N/A</v>
      </c>
    </row>
    <row r="493" spans="1:9" ht="14.25" customHeight="1" x14ac:dyDescent="0.35">
      <c r="A493" s="7" t="str">
        <f t="array" ref="A493">EXTRACTEVENT(N493,V493)</f>
        <v/>
      </c>
      <c r="B493" s="7" t="str">
        <f t="shared" si="21"/>
        <v/>
      </c>
      <c r="C493" s="7"/>
      <c r="D493" s="7" t="str">
        <f t="shared" si="22"/>
        <v>E</v>
      </c>
      <c r="E493" s="10">
        <f t="shared" si="23"/>
        <v>0</v>
      </c>
      <c r="F493" s="7" t="e">
        <f t="array" ref="F493">+TIPOARMA(H493,I493)</f>
        <v>#VALUE!</v>
      </c>
      <c r="G493" s="7"/>
      <c r="H493" s="7" t="e">
        <f>+VLOOKUP(Q493,Maps!I:J,2,0)</f>
        <v>#N/A</v>
      </c>
      <c r="I493" s="7" t="e">
        <f>+VLOOKUP(T493,Maps!E:F,2,0)</f>
        <v>#N/A</v>
      </c>
    </row>
    <row r="494" spans="1:9" ht="14.25" customHeight="1" x14ac:dyDescent="0.35">
      <c r="A494" s="7" t="str">
        <f t="array" ref="A494">EXTRACTEVENT(N494,V494)</f>
        <v/>
      </c>
      <c r="B494" s="7" t="str">
        <f t="shared" si="21"/>
        <v/>
      </c>
      <c r="C494" s="7"/>
      <c r="D494" s="7" t="str">
        <f t="shared" si="22"/>
        <v>E</v>
      </c>
      <c r="E494" s="10">
        <f t="shared" si="23"/>
        <v>0</v>
      </c>
      <c r="F494" s="7" t="e">
        <f t="array" ref="F494">+TIPOARMA(H494,I494)</f>
        <v>#VALUE!</v>
      </c>
      <c r="G494" s="7"/>
      <c r="H494" s="7" t="e">
        <f>+VLOOKUP(Q494,Maps!I:J,2,0)</f>
        <v>#N/A</v>
      </c>
      <c r="I494" s="7" t="e">
        <f>+VLOOKUP(T494,Maps!E:F,2,0)</f>
        <v>#N/A</v>
      </c>
    </row>
    <row r="495" spans="1:9" ht="14.25" customHeight="1" x14ac:dyDescent="0.35">
      <c r="A495" s="7" t="str">
        <f t="array" ref="A495">EXTRACTEVENT(N495,V495)</f>
        <v/>
      </c>
      <c r="B495" s="7" t="str">
        <f t="shared" si="21"/>
        <v/>
      </c>
      <c r="C495" s="7"/>
      <c r="D495" s="7" t="str">
        <f t="shared" si="22"/>
        <v>E</v>
      </c>
      <c r="E495" s="10">
        <f t="shared" si="23"/>
        <v>0</v>
      </c>
      <c r="F495" s="7" t="e">
        <f t="array" ref="F495">+TIPOARMA(H495,I495)</f>
        <v>#VALUE!</v>
      </c>
      <c r="G495" s="7"/>
      <c r="H495" s="7" t="e">
        <f>+VLOOKUP(Q495,Maps!I:J,2,0)</f>
        <v>#N/A</v>
      </c>
      <c r="I495" s="7" t="e">
        <f>+VLOOKUP(T495,Maps!E:F,2,0)</f>
        <v>#N/A</v>
      </c>
    </row>
    <row r="496" spans="1:9" ht="14.25" customHeight="1" x14ac:dyDescent="0.35">
      <c r="A496" s="7" t="str">
        <f t="array" ref="A496">EXTRACTEVENT(N496,V496)</f>
        <v/>
      </c>
      <c r="B496" s="7" t="str">
        <f t="shared" si="21"/>
        <v/>
      </c>
      <c r="C496" s="7"/>
      <c r="D496" s="7" t="str">
        <f t="shared" si="22"/>
        <v>E</v>
      </c>
      <c r="E496" s="10">
        <f t="shared" si="23"/>
        <v>0</v>
      </c>
      <c r="F496" s="7" t="e">
        <f t="array" ref="F496">+TIPOARMA(H496,I496)</f>
        <v>#VALUE!</v>
      </c>
      <c r="G496" s="7"/>
      <c r="H496" s="7" t="e">
        <f>+VLOOKUP(Q496,Maps!I:J,2,0)</f>
        <v>#N/A</v>
      </c>
      <c r="I496" s="7" t="e">
        <f>+VLOOKUP(T496,Maps!E:F,2,0)</f>
        <v>#N/A</v>
      </c>
    </row>
    <row r="497" spans="1:9" ht="14.25" customHeight="1" x14ac:dyDescent="0.35">
      <c r="A497" s="7" t="str">
        <f t="array" ref="A497">EXTRACTEVENT(N497,V497)</f>
        <v/>
      </c>
      <c r="B497" s="7" t="str">
        <f t="shared" si="21"/>
        <v/>
      </c>
      <c r="C497" s="7"/>
      <c r="D497" s="7" t="str">
        <f t="shared" si="22"/>
        <v>E</v>
      </c>
      <c r="E497" s="10">
        <f t="shared" si="23"/>
        <v>0</v>
      </c>
      <c r="F497" s="7" t="e">
        <f t="array" ref="F497">+TIPOARMA(H497,I497)</f>
        <v>#VALUE!</v>
      </c>
      <c r="G497" s="7"/>
      <c r="H497" s="7" t="e">
        <f>+VLOOKUP(Q497,Maps!I:J,2,0)</f>
        <v>#N/A</v>
      </c>
      <c r="I497" s="7" t="e">
        <f>+VLOOKUP(T497,Maps!E:F,2,0)</f>
        <v>#N/A</v>
      </c>
    </row>
    <row r="498" spans="1:9" ht="14.25" customHeight="1" x14ac:dyDescent="0.35">
      <c r="A498" s="7" t="str">
        <f t="array" ref="A498">EXTRACTEVENT(N498,V498)</f>
        <v/>
      </c>
      <c r="B498" s="7" t="str">
        <f t="shared" si="21"/>
        <v/>
      </c>
      <c r="C498" s="7"/>
      <c r="D498" s="7" t="str">
        <f t="shared" si="22"/>
        <v>E</v>
      </c>
      <c r="E498" s="10">
        <f t="shared" si="23"/>
        <v>0</v>
      </c>
      <c r="F498" s="7" t="e">
        <f t="array" ref="F498">+TIPOARMA(H498,I498)</f>
        <v>#VALUE!</v>
      </c>
      <c r="G498" s="7"/>
      <c r="H498" s="7" t="e">
        <f>+VLOOKUP(Q498,Maps!I:J,2,0)</f>
        <v>#N/A</v>
      </c>
      <c r="I498" s="7" t="e">
        <f>+VLOOKUP(T498,Maps!E:F,2,0)</f>
        <v>#N/A</v>
      </c>
    </row>
    <row r="499" spans="1:9" ht="14.25" customHeight="1" x14ac:dyDescent="0.35">
      <c r="A499" s="7" t="str">
        <f t="array" ref="A499">EXTRACTEVENT(N499,V499)</f>
        <v/>
      </c>
      <c r="B499" s="7" t="str">
        <f t="shared" si="21"/>
        <v/>
      </c>
      <c r="C499" s="7"/>
      <c r="D499" s="7" t="str">
        <f t="shared" si="22"/>
        <v>E</v>
      </c>
      <c r="E499" s="10">
        <f t="shared" si="23"/>
        <v>0</v>
      </c>
      <c r="F499" s="7" t="e">
        <f t="array" ref="F499">+TIPOARMA(H499,I499)</f>
        <v>#VALUE!</v>
      </c>
      <c r="G499" s="7"/>
      <c r="H499" s="7" t="e">
        <f>+VLOOKUP(Q499,Maps!I:J,2,0)</f>
        <v>#N/A</v>
      </c>
      <c r="I499" s="7" t="e">
        <f>+VLOOKUP(T499,Maps!E:F,2,0)</f>
        <v>#N/A</v>
      </c>
    </row>
    <row r="500" spans="1:9" ht="14.25" customHeight="1" x14ac:dyDescent="0.35">
      <c r="A500" s="7" t="str">
        <f t="array" ref="A500">EXTRACTEVENT(N500,V500)</f>
        <v/>
      </c>
      <c r="B500" s="7" t="str">
        <f t="shared" si="21"/>
        <v/>
      </c>
      <c r="C500" s="7"/>
      <c r="D500" s="7" t="str">
        <f t="shared" si="22"/>
        <v>E</v>
      </c>
      <c r="E500" s="10">
        <f t="shared" si="23"/>
        <v>0</v>
      </c>
      <c r="F500" s="7" t="e">
        <f t="array" ref="F500">+TIPOARMA(H500,I500)</f>
        <v>#VALUE!</v>
      </c>
      <c r="G500" s="7"/>
      <c r="H500" s="7" t="e">
        <f>+VLOOKUP(Q500,Maps!I:J,2,0)</f>
        <v>#N/A</v>
      </c>
      <c r="I500" s="7" t="e">
        <f>+VLOOKUP(T500,Maps!E:F,2,0)</f>
        <v>#N/A</v>
      </c>
    </row>
    <row r="501" spans="1:9" ht="14.25" customHeight="1" x14ac:dyDescent="0.35">
      <c r="A501" s="7" t="str">
        <f t="array" ref="A501">EXTRACTEVENT(N501,V501)</f>
        <v/>
      </c>
      <c r="B501" s="7" t="str">
        <f t="shared" si="21"/>
        <v/>
      </c>
      <c r="C501" s="7"/>
      <c r="D501" s="7" t="str">
        <f t="shared" si="22"/>
        <v>E</v>
      </c>
      <c r="E501" s="10">
        <f t="shared" si="23"/>
        <v>0</v>
      </c>
      <c r="F501" s="7" t="e">
        <f t="array" ref="F501">+TIPOARMA(H501,I501)</f>
        <v>#VALUE!</v>
      </c>
      <c r="G501" s="7"/>
      <c r="H501" s="7" t="e">
        <f>+VLOOKUP(Q501,Maps!I:J,2,0)</f>
        <v>#N/A</v>
      </c>
      <c r="I501" s="7" t="e">
        <f>+VLOOKUP(T501,Maps!E:F,2,0)</f>
        <v>#N/A</v>
      </c>
    </row>
    <row r="502" spans="1:9" ht="14.25" customHeight="1" x14ac:dyDescent="0.35">
      <c r="A502" s="7" t="str">
        <f t="array" ref="A502">EXTRACTEVENT(N502,V502)</f>
        <v/>
      </c>
      <c r="B502" s="7" t="str">
        <f t="shared" si="21"/>
        <v/>
      </c>
      <c r="C502" s="7"/>
      <c r="D502" s="7" t="str">
        <f t="shared" si="22"/>
        <v>E</v>
      </c>
      <c r="E502" s="10">
        <f t="shared" si="23"/>
        <v>0</v>
      </c>
      <c r="F502" s="7" t="e">
        <f t="array" ref="F502">+TIPOARMA(H502,I502)</f>
        <v>#VALUE!</v>
      </c>
      <c r="G502" s="7"/>
      <c r="H502" s="7" t="e">
        <f>+VLOOKUP(Q502,Maps!I:J,2,0)</f>
        <v>#N/A</v>
      </c>
      <c r="I502" s="7" t="e">
        <f>+VLOOKUP(T502,Maps!E:F,2,0)</f>
        <v>#N/A</v>
      </c>
    </row>
    <row r="503" spans="1:9" ht="14.25" customHeight="1" x14ac:dyDescent="0.35">
      <c r="A503" s="7" t="str">
        <f t="array" ref="A503">EXTRACTEVENT(N503,V503)</f>
        <v/>
      </c>
      <c r="B503" s="7" t="str">
        <f t="shared" si="21"/>
        <v/>
      </c>
      <c r="C503" s="7"/>
      <c r="D503" s="7" t="str">
        <f t="shared" si="22"/>
        <v>E</v>
      </c>
      <c r="E503" s="10">
        <f t="shared" si="23"/>
        <v>0</v>
      </c>
      <c r="F503" s="7" t="e">
        <f t="array" ref="F503">+TIPOARMA(H503,I503)</f>
        <v>#VALUE!</v>
      </c>
      <c r="G503" s="7"/>
      <c r="H503" s="7" t="e">
        <f>+VLOOKUP(Q503,Maps!I:J,2,0)</f>
        <v>#N/A</v>
      </c>
      <c r="I503" s="7" t="e">
        <f>+VLOOKUP(T503,Maps!E:F,2,0)</f>
        <v>#N/A</v>
      </c>
    </row>
    <row r="504" spans="1:9" ht="14.25" customHeight="1" x14ac:dyDescent="0.35">
      <c r="A504" s="7" t="str">
        <f t="array" ref="A504">EXTRACTEVENT(N504,V504)</f>
        <v/>
      </c>
      <c r="B504" s="7" t="str">
        <f t="shared" si="21"/>
        <v/>
      </c>
      <c r="C504" s="7"/>
      <c r="D504" s="7" t="str">
        <f t="shared" si="22"/>
        <v>E</v>
      </c>
      <c r="E504" s="10">
        <f t="shared" si="23"/>
        <v>0</v>
      </c>
      <c r="F504" s="7" t="e">
        <f t="array" ref="F504">+TIPOARMA(H504,I504)</f>
        <v>#VALUE!</v>
      </c>
      <c r="G504" s="7"/>
      <c r="H504" s="7" t="e">
        <f>+VLOOKUP(Q504,Maps!I:J,2,0)</f>
        <v>#N/A</v>
      </c>
      <c r="I504" s="7" t="e">
        <f>+VLOOKUP(T504,Maps!E:F,2,0)</f>
        <v>#N/A</v>
      </c>
    </row>
    <row r="505" spans="1:9" ht="14.25" customHeight="1" x14ac:dyDescent="0.35">
      <c r="A505" s="7" t="str">
        <f t="array" ref="A505">EXTRACTEVENT(N505,V505)</f>
        <v/>
      </c>
      <c r="B505" s="7" t="str">
        <f t="shared" si="21"/>
        <v/>
      </c>
      <c r="C505" s="7"/>
      <c r="D505" s="7" t="str">
        <f t="shared" si="22"/>
        <v>E</v>
      </c>
      <c r="E505" s="10">
        <f t="shared" si="23"/>
        <v>0</v>
      </c>
      <c r="F505" s="7" t="e">
        <f t="array" ref="F505">+TIPOARMA(H505,I505)</f>
        <v>#VALUE!</v>
      </c>
      <c r="G505" s="7"/>
      <c r="H505" s="7" t="e">
        <f>+VLOOKUP(Q505,Maps!I:J,2,0)</f>
        <v>#N/A</v>
      </c>
      <c r="I505" s="7" t="e">
        <f>+VLOOKUP(T505,Maps!E:F,2,0)</f>
        <v>#N/A</v>
      </c>
    </row>
    <row r="506" spans="1:9" ht="14.25" customHeight="1" x14ac:dyDescent="0.35">
      <c r="A506" s="7" t="str">
        <f t="array" ref="A506">EXTRACTEVENT(N506,V506)</f>
        <v/>
      </c>
      <c r="B506" s="7" t="str">
        <f t="shared" si="21"/>
        <v/>
      </c>
      <c r="C506" s="7"/>
      <c r="D506" s="7" t="str">
        <f t="shared" si="22"/>
        <v>E</v>
      </c>
      <c r="E506" s="10">
        <f t="shared" si="23"/>
        <v>0</v>
      </c>
      <c r="F506" s="7" t="e">
        <f t="array" ref="F506">+TIPOARMA(H506,I506)</f>
        <v>#VALUE!</v>
      </c>
      <c r="G506" s="7"/>
      <c r="H506" s="7" t="e">
        <f>+VLOOKUP(Q506,Maps!I:J,2,0)</f>
        <v>#N/A</v>
      </c>
      <c r="I506" s="7" t="e">
        <f>+VLOOKUP(T506,Maps!E:F,2,0)</f>
        <v>#N/A</v>
      </c>
    </row>
    <row r="507" spans="1:9" ht="14.25" customHeight="1" x14ac:dyDescent="0.35">
      <c r="A507" s="7" t="str">
        <f t="array" ref="A507">EXTRACTEVENT(N507,V507)</f>
        <v/>
      </c>
      <c r="B507" s="7" t="str">
        <f t="shared" si="21"/>
        <v/>
      </c>
      <c r="C507" s="7"/>
      <c r="D507" s="7" t="str">
        <f t="shared" si="22"/>
        <v>E</v>
      </c>
      <c r="E507" s="10">
        <f t="shared" si="23"/>
        <v>0</v>
      </c>
      <c r="F507" s="7" t="e">
        <f t="array" ref="F507">+TIPOARMA(H507,I507)</f>
        <v>#VALUE!</v>
      </c>
      <c r="G507" s="7"/>
      <c r="H507" s="7" t="e">
        <f>+VLOOKUP(Q507,Maps!I:J,2,0)</f>
        <v>#N/A</v>
      </c>
      <c r="I507" s="7" t="e">
        <f>+VLOOKUP(T507,Maps!E:F,2,0)</f>
        <v>#N/A</v>
      </c>
    </row>
    <row r="508" spans="1:9" ht="14.25" customHeight="1" x14ac:dyDescent="0.35">
      <c r="A508" s="7" t="str">
        <f t="array" ref="A508">EXTRACTEVENT(N508,V508)</f>
        <v/>
      </c>
      <c r="B508" s="7" t="str">
        <f t="shared" si="21"/>
        <v/>
      </c>
      <c r="C508" s="7"/>
      <c r="D508" s="7" t="str">
        <f t="shared" si="22"/>
        <v>E</v>
      </c>
      <c r="E508" s="10">
        <f t="shared" si="23"/>
        <v>0</v>
      </c>
      <c r="F508" s="7" t="e">
        <f t="array" ref="F508">+TIPOARMA(H508,I508)</f>
        <v>#VALUE!</v>
      </c>
      <c r="G508" s="7"/>
      <c r="H508" s="7" t="e">
        <f>+VLOOKUP(Q508,Maps!I:J,2,0)</f>
        <v>#N/A</v>
      </c>
      <c r="I508" s="7" t="e">
        <f>+VLOOKUP(T508,Maps!E:F,2,0)</f>
        <v>#N/A</v>
      </c>
    </row>
    <row r="509" spans="1:9" ht="14.25" customHeight="1" x14ac:dyDescent="0.35">
      <c r="A509" s="7" t="str">
        <f t="array" ref="A509">EXTRACTEVENT(N509,V509)</f>
        <v/>
      </c>
      <c r="B509" s="7" t="str">
        <f t="shared" si="21"/>
        <v/>
      </c>
      <c r="C509" s="7"/>
      <c r="D509" s="7" t="str">
        <f t="shared" si="22"/>
        <v>E</v>
      </c>
      <c r="E509" s="10">
        <f t="shared" si="23"/>
        <v>0</v>
      </c>
      <c r="F509" s="7" t="e">
        <f t="array" ref="F509">+TIPOARMA(H509,I509)</f>
        <v>#VALUE!</v>
      </c>
      <c r="G509" s="7"/>
      <c r="H509" s="7" t="e">
        <f>+VLOOKUP(Q509,Maps!I:J,2,0)</f>
        <v>#N/A</v>
      </c>
      <c r="I509" s="7" t="e">
        <f>+VLOOKUP(T509,Maps!E:F,2,0)</f>
        <v>#N/A</v>
      </c>
    </row>
    <row r="510" spans="1:9" ht="14.25" customHeight="1" x14ac:dyDescent="0.35">
      <c r="A510" s="7" t="str">
        <f t="array" ref="A510">EXTRACTEVENT(N510,V510)</f>
        <v/>
      </c>
      <c r="B510" s="7" t="str">
        <f t="shared" si="21"/>
        <v/>
      </c>
      <c r="C510" s="7"/>
      <c r="D510" s="7" t="str">
        <f t="shared" si="22"/>
        <v>E</v>
      </c>
      <c r="E510" s="10">
        <f t="shared" si="23"/>
        <v>0</v>
      </c>
      <c r="F510" s="7" t="e">
        <f t="array" ref="F510">+TIPOARMA(H510,I510)</f>
        <v>#VALUE!</v>
      </c>
      <c r="G510" s="7"/>
      <c r="H510" s="7" t="e">
        <f>+VLOOKUP(Q510,Maps!I:J,2,0)</f>
        <v>#N/A</v>
      </c>
      <c r="I510" s="7" t="e">
        <f>+VLOOKUP(T510,Maps!E:F,2,0)</f>
        <v>#N/A</v>
      </c>
    </row>
    <row r="511" spans="1:9" ht="14.25" customHeight="1" x14ac:dyDescent="0.35">
      <c r="A511" s="7" t="str">
        <f t="array" ref="A511">EXTRACTEVENT(N511,V511)</f>
        <v/>
      </c>
      <c r="B511" s="7" t="str">
        <f t="shared" si="21"/>
        <v/>
      </c>
      <c r="C511" s="7"/>
      <c r="D511" s="7" t="str">
        <f t="shared" si="22"/>
        <v>E</v>
      </c>
      <c r="E511" s="10">
        <f t="shared" si="23"/>
        <v>0</v>
      </c>
      <c r="F511" s="7" t="e">
        <f t="array" ref="F511">+TIPOARMA(H511,I511)</f>
        <v>#VALUE!</v>
      </c>
      <c r="G511" s="7"/>
      <c r="H511" s="7" t="e">
        <f>+VLOOKUP(Q511,Maps!I:J,2,0)</f>
        <v>#N/A</v>
      </c>
      <c r="I511" s="7" t="e">
        <f>+VLOOKUP(T511,Maps!E:F,2,0)</f>
        <v>#N/A</v>
      </c>
    </row>
    <row r="512" spans="1:9" ht="14.25" customHeight="1" x14ac:dyDescent="0.35">
      <c r="A512" s="7" t="str">
        <f t="array" ref="A512">EXTRACTEVENT(N512,V512)</f>
        <v/>
      </c>
      <c r="B512" s="7" t="str">
        <f t="shared" si="21"/>
        <v/>
      </c>
      <c r="C512" s="7"/>
      <c r="D512" s="7" t="str">
        <f t="shared" si="22"/>
        <v>E</v>
      </c>
      <c r="E512" s="10">
        <f t="shared" si="23"/>
        <v>0</v>
      </c>
      <c r="F512" s="7" t="e">
        <f t="array" ref="F512">+TIPOARMA(H512,I512)</f>
        <v>#VALUE!</v>
      </c>
      <c r="G512" s="7"/>
      <c r="H512" s="7" t="e">
        <f>+VLOOKUP(Q512,Maps!I:J,2,0)</f>
        <v>#N/A</v>
      </c>
      <c r="I512" s="7" t="e">
        <f>+VLOOKUP(T512,Maps!E:F,2,0)</f>
        <v>#N/A</v>
      </c>
    </row>
    <row r="513" spans="1:9" ht="14.25" customHeight="1" x14ac:dyDescent="0.35">
      <c r="A513" s="7" t="str">
        <f t="array" ref="A513">EXTRACTEVENT(N513,V513)</f>
        <v/>
      </c>
      <c r="B513" s="7" t="str">
        <f t="shared" si="21"/>
        <v/>
      </c>
      <c r="C513" s="7"/>
      <c r="D513" s="7" t="str">
        <f t="shared" si="22"/>
        <v>E</v>
      </c>
      <c r="E513" s="10">
        <f t="shared" si="23"/>
        <v>0</v>
      </c>
      <c r="F513" s="7" t="e">
        <f t="array" ref="F513">+TIPOARMA(H513,I513)</f>
        <v>#VALUE!</v>
      </c>
      <c r="G513" s="7"/>
      <c r="H513" s="7" t="e">
        <f>+VLOOKUP(Q513,Maps!I:J,2,0)</f>
        <v>#N/A</v>
      </c>
      <c r="I513" s="7" t="e">
        <f>+VLOOKUP(T513,Maps!E:F,2,0)</f>
        <v>#N/A</v>
      </c>
    </row>
    <row r="514" spans="1:9" ht="14.25" customHeight="1" x14ac:dyDescent="0.35">
      <c r="A514" s="7" t="str">
        <f t="array" ref="A514">EXTRACTEVENT(N514,V514)</f>
        <v/>
      </c>
      <c r="B514" s="7" t="str">
        <f t="shared" ref="B514:B577" si="24">+IF(V514="TREINO","-",LEFT(N514,1))</f>
        <v/>
      </c>
      <c r="C514" s="7"/>
      <c r="D514" s="7" t="str">
        <f t="shared" ref="D514:D577" si="25">+IF($V514="TREINO","T",IF(V514="NACIONAL","N","E"))</f>
        <v>E</v>
      </c>
      <c r="E514" s="10">
        <f t="shared" ref="E514:E577" si="26">IFERROR(DATEVALUE(LEFT(M514,10)),M514)</f>
        <v>0</v>
      </c>
      <c r="F514" s="7" t="e">
        <f t="array" ref="F514">+TIPOARMA(H514,I514)</f>
        <v>#VALUE!</v>
      </c>
      <c r="G514" s="7"/>
      <c r="H514" s="7" t="e">
        <f>+VLOOKUP(Q514,Maps!I:J,2,0)</f>
        <v>#N/A</v>
      </c>
      <c r="I514" s="7" t="e">
        <f>+VLOOKUP(T514,Maps!E:F,2,0)</f>
        <v>#N/A</v>
      </c>
    </row>
    <row r="515" spans="1:9" ht="14.25" customHeight="1" x14ac:dyDescent="0.35">
      <c r="A515" s="7" t="str">
        <f t="array" ref="A515">EXTRACTEVENT(N515,V515)</f>
        <v/>
      </c>
      <c r="B515" s="7" t="str">
        <f t="shared" si="24"/>
        <v/>
      </c>
      <c r="C515" s="7"/>
      <c r="D515" s="7" t="str">
        <f t="shared" si="25"/>
        <v>E</v>
      </c>
      <c r="E515" s="10">
        <f t="shared" si="26"/>
        <v>0</v>
      </c>
      <c r="F515" s="7" t="e">
        <f t="array" ref="F515">+TIPOARMA(H515,I515)</f>
        <v>#VALUE!</v>
      </c>
      <c r="G515" s="7"/>
      <c r="H515" s="7" t="e">
        <f>+VLOOKUP(Q515,Maps!I:J,2,0)</f>
        <v>#N/A</v>
      </c>
      <c r="I515" s="7" t="e">
        <f>+VLOOKUP(T515,Maps!E:F,2,0)</f>
        <v>#N/A</v>
      </c>
    </row>
    <row r="516" spans="1:9" ht="14.25" customHeight="1" x14ac:dyDescent="0.35">
      <c r="A516" s="7" t="str">
        <f t="array" ref="A516">EXTRACTEVENT(N516,V516)</f>
        <v/>
      </c>
      <c r="B516" s="7" t="str">
        <f t="shared" si="24"/>
        <v/>
      </c>
      <c r="C516" s="7"/>
      <c r="D516" s="7" t="str">
        <f t="shared" si="25"/>
        <v>E</v>
      </c>
      <c r="E516" s="10">
        <f t="shared" si="26"/>
        <v>0</v>
      </c>
      <c r="F516" s="7" t="e">
        <f t="array" ref="F516">+TIPOARMA(H516,I516)</f>
        <v>#VALUE!</v>
      </c>
      <c r="G516" s="7"/>
      <c r="H516" s="7" t="e">
        <f>+VLOOKUP(Q516,Maps!I:J,2,0)</f>
        <v>#N/A</v>
      </c>
      <c r="I516" s="7" t="e">
        <f>+VLOOKUP(T516,Maps!E:F,2,0)</f>
        <v>#N/A</v>
      </c>
    </row>
    <row r="517" spans="1:9" ht="14.25" customHeight="1" x14ac:dyDescent="0.35">
      <c r="A517" s="7" t="str">
        <f t="array" ref="A517">EXTRACTEVENT(N517,V517)</f>
        <v/>
      </c>
      <c r="B517" s="7" t="str">
        <f t="shared" si="24"/>
        <v/>
      </c>
      <c r="C517" s="7"/>
      <c r="D517" s="7" t="str">
        <f t="shared" si="25"/>
        <v>E</v>
      </c>
      <c r="E517" s="10">
        <f t="shared" si="26"/>
        <v>0</v>
      </c>
      <c r="F517" s="7" t="e">
        <f t="array" ref="F517">+TIPOARMA(H517,I517)</f>
        <v>#VALUE!</v>
      </c>
      <c r="G517" s="7"/>
      <c r="H517" s="7" t="e">
        <f>+VLOOKUP(Q517,Maps!I:J,2,0)</f>
        <v>#N/A</v>
      </c>
      <c r="I517" s="7" t="e">
        <f>+VLOOKUP(T517,Maps!E:F,2,0)</f>
        <v>#N/A</v>
      </c>
    </row>
    <row r="518" spans="1:9" ht="14.25" customHeight="1" x14ac:dyDescent="0.35">
      <c r="A518" s="7" t="str">
        <f t="array" ref="A518">EXTRACTEVENT(N518,V518)</f>
        <v/>
      </c>
      <c r="B518" s="7" t="str">
        <f t="shared" si="24"/>
        <v/>
      </c>
      <c r="C518" s="7"/>
      <c r="D518" s="7" t="str">
        <f t="shared" si="25"/>
        <v>E</v>
      </c>
      <c r="E518" s="10">
        <f t="shared" si="26"/>
        <v>0</v>
      </c>
      <c r="F518" s="7" t="e">
        <f t="array" ref="F518">+TIPOARMA(H518,I518)</f>
        <v>#VALUE!</v>
      </c>
      <c r="G518" s="7"/>
      <c r="H518" s="7" t="e">
        <f>+VLOOKUP(Q518,Maps!I:J,2,0)</f>
        <v>#N/A</v>
      </c>
      <c r="I518" s="7" t="e">
        <f>+VLOOKUP(T518,Maps!E:F,2,0)</f>
        <v>#N/A</v>
      </c>
    </row>
    <row r="519" spans="1:9" ht="14.25" customHeight="1" x14ac:dyDescent="0.35">
      <c r="A519" s="7" t="str">
        <f t="array" ref="A519">EXTRACTEVENT(N519,V519)</f>
        <v/>
      </c>
      <c r="B519" s="7" t="str">
        <f t="shared" si="24"/>
        <v/>
      </c>
      <c r="C519" s="7"/>
      <c r="D519" s="7" t="str">
        <f t="shared" si="25"/>
        <v>E</v>
      </c>
      <c r="E519" s="10">
        <f t="shared" si="26"/>
        <v>0</v>
      </c>
      <c r="F519" s="7" t="e">
        <f t="array" ref="F519">+TIPOARMA(H519,I519)</f>
        <v>#VALUE!</v>
      </c>
      <c r="G519" s="7"/>
      <c r="H519" s="7" t="e">
        <f>+VLOOKUP(Q519,Maps!I:J,2,0)</f>
        <v>#N/A</v>
      </c>
      <c r="I519" s="7" t="e">
        <f>+VLOOKUP(T519,Maps!E:F,2,0)</f>
        <v>#N/A</v>
      </c>
    </row>
    <row r="520" spans="1:9" ht="14.25" customHeight="1" x14ac:dyDescent="0.35">
      <c r="A520" s="7" t="str">
        <f t="array" ref="A520">EXTRACTEVENT(N520,V520)</f>
        <v/>
      </c>
      <c r="B520" s="7" t="str">
        <f t="shared" si="24"/>
        <v/>
      </c>
      <c r="C520" s="7"/>
      <c r="D520" s="7" t="str">
        <f t="shared" si="25"/>
        <v>E</v>
      </c>
      <c r="E520" s="10">
        <f t="shared" si="26"/>
        <v>0</v>
      </c>
      <c r="F520" s="7" t="e">
        <f t="array" ref="F520">+TIPOARMA(H520,I520)</f>
        <v>#VALUE!</v>
      </c>
      <c r="G520" s="7"/>
      <c r="H520" s="7" t="e">
        <f>+VLOOKUP(Q520,Maps!I:J,2,0)</f>
        <v>#N/A</v>
      </c>
      <c r="I520" s="7" t="e">
        <f>+VLOOKUP(T520,Maps!E:F,2,0)</f>
        <v>#N/A</v>
      </c>
    </row>
    <row r="521" spans="1:9" ht="14.25" customHeight="1" x14ac:dyDescent="0.35">
      <c r="A521" s="7" t="str">
        <f t="array" ref="A521">EXTRACTEVENT(N521,V521)</f>
        <v/>
      </c>
      <c r="B521" s="7" t="str">
        <f t="shared" si="24"/>
        <v/>
      </c>
      <c r="C521" s="7"/>
      <c r="D521" s="7" t="str">
        <f t="shared" si="25"/>
        <v>E</v>
      </c>
      <c r="E521" s="10">
        <f t="shared" si="26"/>
        <v>0</v>
      </c>
      <c r="F521" s="7" t="e">
        <f t="array" ref="F521">+TIPOARMA(H521,I521)</f>
        <v>#VALUE!</v>
      </c>
      <c r="G521" s="7"/>
      <c r="H521" s="7" t="e">
        <f>+VLOOKUP(Q521,Maps!I:J,2,0)</f>
        <v>#N/A</v>
      </c>
      <c r="I521" s="7" t="e">
        <f>+VLOOKUP(T521,Maps!E:F,2,0)</f>
        <v>#N/A</v>
      </c>
    </row>
    <row r="522" spans="1:9" ht="14.25" customHeight="1" x14ac:dyDescent="0.35">
      <c r="A522" s="7" t="str">
        <f t="array" ref="A522">EXTRACTEVENT(N522,V522)</f>
        <v/>
      </c>
      <c r="B522" s="7" t="str">
        <f t="shared" si="24"/>
        <v/>
      </c>
      <c r="C522" s="7"/>
      <c r="D522" s="7" t="str">
        <f t="shared" si="25"/>
        <v>E</v>
      </c>
      <c r="E522" s="10">
        <f t="shared" si="26"/>
        <v>0</v>
      </c>
      <c r="F522" s="7" t="e">
        <f t="array" ref="F522">+TIPOARMA(H522,I522)</f>
        <v>#VALUE!</v>
      </c>
      <c r="G522" s="7"/>
      <c r="H522" s="7" t="e">
        <f>+VLOOKUP(Q522,Maps!I:J,2,0)</f>
        <v>#N/A</v>
      </c>
      <c r="I522" s="7" t="e">
        <f>+VLOOKUP(T522,Maps!E:F,2,0)</f>
        <v>#N/A</v>
      </c>
    </row>
    <row r="523" spans="1:9" ht="14.25" customHeight="1" x14ac:dyDescent="0.35">
      <c r="A523" s="7" t="str">
        <f t="array" ref="A523">EXTRACTEVENT(N523,V523)</f>
        <v/>
      </c>
      <c r="B523" s="7" t="str">
        <f t="shared" si="24"/>
        <v/>
      </c>
      <c r="C523" s="7"/>
      <c r="D523" s="7" t="str">
        <f t="shared" si="25"/>
        <v>E</v>
      </c>
      <c r="E523" s="10">
        <f t="shared" si="26"/>
        <v>0</v>
      </c>
      <c r="F523" s="7" t="e">
        <f t="array" ref="F523">+TIPOARMA(H523,I523)</f>
        <v>#VALUE!</v>
      </c>
      <c r="G523" s="7"/>
      <c r="H523" s="7" t="e">
        <f>+VLOOKUP(Q523,Maps!I:J,2,0)</f>
        <v>#N/A</v>
      </c>
      <c r="I523" s="7" t="e">
        <f>+VLOOKUP(T523,Maps!E:F,2,0)</f>
        <v>#N/A</v>
      </c>
    </row>
    <row r="524" spans="1:9" ht="14.25" customHeight="1" x14ac:dyDescent="0.35">
      <c r="A524" s="7" t="str">
        <f t="array" ref="A524">EXTRACTEVENT(N524,V524)</f>
        <v/>
      </c>
      <c r="B524" s="7" t="str">
        <f t="shared" si="24"/>
        <v/>
      </c>
      <c r="C524" s="7"/>
      <c r="D524" s="7" t="str">
        <f t="shared" si="25"/>
        <v>E</v>
      </c>
      <c r="E524" s="10">
        <f t="shared" si="26"/>
        <v>0</v>
      </c>
      <c r="F524" s="7" t="e">
        <f t="array" ref="F524">+TIPOARMA(H524,I524)</f>
        <v>#VALUE!</v>
      </c>
      <c r="G524" s="7"/>
      <c r="H524" s="7" t="e">
        <f>+VLOOKUP(Q524,Maps!I:J,2,0)</f>
        <v>#N/A</v>
      </c>
      <c r="I524" s="7" t="e">
        <f>+VLOOKUP(T524,Maps!E:F,2,0)</f>
        <v>#N/A</v>
      </c>
    </row>
    <row r="525" spans="1:9" ht="14.25" customHeight="1" x14ac:dyDescent="0.35">
      <c r="A525" s="7" t="str">
        <f t="array" ref="A525">EXTRACTEVENT(N525,V525)</f>
        <v/>
      </c>
      <c r="B525" s="7" t="str">
        <f t="shared" si="24"/>
        <v/>
      </c>
      <c r="C525" s="7"/>
      <c r="D525" s="7" t="str">
        <f t="shared" si="25"/>
        <v>E</v>
      </c>
      <c r="E525" s="10">
        <f t="shared" si="26"/>
        <v>0</v>
      </c>
      <c r="F525" s="7" t="e">
        <f t="array" ref="F525">+TIPOARMA(H525,I525)</f>
        <v>#VALUE!</v>
      </c>
      <c r="G525" s="7"/>
      <c r="H525" s="7" t="e">
        <f>+VLOOKUP(Q525,Maps!I:J,2,0)</f>
        <v>#N/A</v>
      </c>
      <c r="I525" s="7" t="e">
        <f>+VLOOKUP(T525,Maps!E:F,2,0)</f>
        <v>#N/A</v>
      </c>
    </row>
    <row r="526" spans="1:9" ht="14.25" customHeight="1" x14ac:dyDescent="0.35">
      <c r="A526" s="7" t="str">
        <f t="array" ref="A526">EXTRACTEVENT(N526,V526)</f>
        <v/>
      </c>
      <c r="B526" s="7" t="str">
        <f t="shared" si="24"/>
        <v/>
      </c>
      <c r="C526" s="7"/>
      <c r="D526" s="7" t="str">
        <f t="shared" si="25"/>
        <v>E</v>
      </c>
      <c r="E526" s="10">
        <f t="shared" si="26"/>
        <v>0</v>
      </c>
      <c r="F526" s="7" t="e">
        <f t="array" ref="F526">+TIPOARMA(H526,I526)</f>
        <v>#VALUE!</v>
      </c>
      <c r="G526" s="7"/>
      <c r="H526" s="7" t="e">
        <f>+VLOOKUP(Q526,Maps!I:J,2,0)</f>
        <v>#N/A</v>
      </c>
      <c r="I526" s="7" t="e">
        <f>+VLOOKUP(T526,Maps!E:F,2,0)</f>
        <v>#N/A</v>
      </c>
    </row>
    <row r="527" spans="1:9" ht="14.25" customHeight="1" x14ac:dyDescent="0.35">
      <c r="A527" s="7" t="str">
        <f t="array" ref="A527">EXTRACTEVENT(N527,V527)</f>
        <v/>
      </c>
      <c r="B527" s="7" t="str">
        <f t="shared" si="24"/>
        <v/>
      </c>
      <c r="C527" s="7"/>
      <c r="D527" s="7" t="str">
        <f t="shared" si="25"/>
        <v>E</v>
      </c>
      <c r="E527" s="10">
        <f t="shared" si="26"/>
        <v>0</v>
      </c>
      <c r="F527" s="7" t="e">
        <f t="array" ref="F527">+TIPOARMA(H527,I527)</f>
        <v>#VALUE!</v>
      </c>
      <c r="G527" s="7"/>
      <c r="H527" s="7" t="e">
        <f>+VLOOKUP(Q527,Maps!I:J,2,0)</f>
        <v>#N/A</v>
      </c>
      <c r="I527" s="7" t="e">
        <f>+VLOOKUP(T527,Maps!E:F,2,0)</f>
        <v>#N/A</v>
      </c>
    </row>
    <row r="528" spans="1:9" ht="14.25" customHeight="1" x14ac:dyDescent="0.35">
      <c r="A528" s="7" t="str">
        <f t="array" ref="A528">EXTRACTEVENT(N528,V528)</f>
        <v/>
      </c>
      <c r="B528" s="7" t="str">
        <f t="shared" si="24"/>
        <v/>
      </c>
      <c r="C528" s="7"/>
      <c r="D528" s="7" t="str">
        <f t="shared" si="25"/>
        <v>E</v>
      </c>
      <c r="E528" s="10">
        <f t="shared" si="26"/>
        <v>0</v>
      </c>
      <c r="F528" s="7" t="e">
        <f t="array" ref="F528">+TIPOARMA(H528,I528)</f>
        <v>#VALUE!</v>
      </c>
      <c r="G528" s="7"/>
      <c r="H528" s="7" t="e">
        <f>+VLOOKUP(Q528,Maps!I:J,2,0)</f>
        <v>#N/A</v>
      </c>
      <c r="I528" s="7" t="e">
        <f>+VLOOKUP(T528,Maps!E:F,2,0)</f>
        <v>#N/A</v>
      </c>
    </row>
    <row r="529" spans="1:9" ht="14.25" customHeight="1" x14ac:dyDescent="0.35">
      <c r="A529" s="7" t="str">
        <f t="array" ref="A529">EXTRACTEVENT(N529,V529)</f>
        <v/>
      </c>
      <c r="B529" s="7" t="str">
        <f t="shared" si="24"/>
        <v/>
      </c>
      <c r="C529" s="7"/>
      <c r="D529" s="7" t="str">
        <f t="shared" si="25"/>
        <v>E</v>
      </c>
      <c r="E529" s="10">
        <f t="shared" si="26"/>
        <v>0</v>
      </c>
      <c r="F529" s="7" t="e">
        <f t="array" ref="F529">+TIPOARMA(H529,I529)</f>
        <v>#VALUE!</v>
      </c>
      <c r="G529" s="7"/>
      <c r="H529" s="7" t="e">
        <f>+VLOOKUP(Q529,Maps!I:J,2,0)</f>
        <v>#N/A</v>
      </c>
      <c r="I529" s="7" t="e">
        <f>+VLOOKUP(T529,Maps!E:F,2,0)</f>
        <v>#N/A</v>
      </c>
    </row>
    <row r="530" spans="1:9" ht="14.25" customHeight="1" x14ac:dyDescent="0.35">
      <c r="A530" s="7" t="str">
        <f t="array" ref="A530">EXTRACTEVENT(N530,V530)</f>
        <v/>
      </c>
      <c r="B530" s="7" t="str">
        <f t="shared" si="24"/>
        <v/>
      </c>
      <c r="C530" s="7"/>
      <c r="D530" s="7" t="str">
        <f t="shared" si="25"/>
        <v>E</v>
      </c>
      <c r="E530" s="10">
        <f t="shared" si="26"/>
        <v>0</v>
      </c>
      <c r="F530" s="7" t="e">
        <f t="array" ref="F530">+TIPOARMA(H530,I530)</f>
        <v>#VALUE!</v>
      </c>
      <c r="G530" s="7"/>
      <c r="H530" s="7" t="e">
        <f>+VLOOKUP(Q530,Maps!I:J,2,0)</f>
        <v>#N/A</v>
      </c>
      <c r="I530" s="7" t="e">
        <f>+VLOOKUP(T530,Maps!E:F,2,0)</f>
        <v>#N/A</v>
      </c>
    </row>
    <row r="531" spans="1:9" ht="14.25" customHeight="1" x14ac:dyDescent="0.35">
      <c r="A531" s="7" t="str">
        <f t="array" ref="A531">EXTRACTEVENT(N531,V531)</f>
        <v/>
      </c>
      <c r="B531" s="7" t="str">
        <f t="shared" si="24"/>
        <v/>
      </c>
      <c r="C531" s="7"/>
      <c r="D531" s="7" t="str">
        <f t="shared" si="25"/>
        <v>E</v>
      </c>
      <c r="E531" s="10">
        <f t="shared" si="26"/>
        <v>0</v>
      </c>
      <c r="F531" s="7" t="e">
        <f t="array" ref="F531">+TIPOARMA(H531,I531)</f>
        <v>#VALUE!</v>
      </c>
      <c r="G531" s="7"/>
      <c r="H531" s="7" t="e">
        <f>+VLOOKUP(Q531,Maps!I:J,2,0)</f>
        <v>#N/A</v>
      </c>
      <c r="I531" s="7" t="e">
        <f>+VLOOKUP(T531,Maps!E:F,2,0)</f>
        <v>#N/A</v>
      </c>
    </row>
    <row r="532" spans="1:9" ht="14.25" customHeight="1" x14ac:dyDescent="0.35">
      <c r="A532" s="7" t="str">
        <f t="array" ref="A532">EXTRACTEVENT(N532,V532)</f>
        <v/>
      </c>
      <c r="B532" s="7" t="str">
        <f t="shared" si="24"/>
        <v/>
      </c>
      <c r="C532" s="7"/>
      <c r="D532" s="7" t="str">
        <f t="shared" si="25"/>
        <v>E</v>
      </c>
      <c r="E532" s="10">
        <f t="shared" si="26"/>
        <v>0</v>
      </c>
      <c r="F532" s="7" t="e">
        <f t="array" ref="F532">+TIPOARMA(H532,I532)</f>
        <v>#VALUE!</v>
      </c>
      <c r="G532" s="7"/>
      <c r="H532" s="7" t="e">
        <f>+VLOOKUP(Q532,Maps!I:J,2,0)</f>
        <v>#N/A</v>
      </c>
      <c r="I532" s="7" t="e">
        <f>+VLOOKUP(T532,Maps!E:F,2,0)</f>
        <v>#N/A</v>
      </c>
    </row>
    <row r="533" spans="1:9" ht="14.25" customHeight="1" x14ac:dyDescent="0.35">
      <c r="A533" s="7" t="str">
        <f t="array" ref="A533">EXTRACTEVENT(N533,V533)</f>
        <v/>
      </c>
      <c r="B533" s="7" t="str">
        <f t="shared" si="24"/>
        <v/>
      </c>
      <c r="C533" s="7"/>
      <c r="D533" s="7" t="str">
        <f t="shared" si="25"/>
        <v>E</v>
      </c>
      <c r="E533" s="10">
        <f t="shared" si="26"/>
        <v>0</v>
      </c>
      <c r="F533" s="7" t="e">
        <f t="array" ref="F533">+TIPOARMA(H533,I533)</f>
        <v>#VALUE!</v>
      </c>
      <c r="G533" s="7"/>
      <c r="H533" s="7" t="e">
        <f>+VLOOKUP(Q533,Maps!I:J,2,0)</f>
        <v>#N/A</v>
      </c>
      <c r="I533" s="7" t="e">
        <f>+VLOOKUP(T533,Maps!E:F,2,0)</f>
        <v>#N/A</v>
      </c>
    </row>
    <row r="534" spans="1:9" ht="14.25" customHeight="1" x14ac:dyDescent="0.35">
      <c r="A534" s="7" t="str">
        <f t="array" ref="A534">EXTRACTEVENT(N534,V534)</f>
        <v/>
      </c>
      <c r="B534" s="7" t="str">
        <f t="shared" si="24"/>
        <v/>
      </c>
      <c r="C534" s="7"/>
      <c r="D534" s="7" t="str">
        <f t="shared" si="25"/>
        <v>E</v>
      </c>
      <c r="E534" s="10">
        <f t="shared" si="26"/>
        <v>0</v>
      </c>
      <c r="F534" s="7" t="e">
        <f t="array" ref="F534">+TIPOARMA(H534,I534)</f>
        <v>#VALUE!</v>
      </c>
      <c r="G534" s="7"/>
      <c r="H534" s="7" t="e">
        <f>+VLOOKUP(Q534,Maps!I:J,2,0)</f>
        <v>#N/A</v>
      </c>
      <c r="I534" s="7" t="e">
        <f>+VLOOKUP(T534,Maps!E:F,2,0)</f>
        <v>#N/A</v>
      </c>
    </row>
    <row r="535" spans="1:9" ht="14.25" customHeight="1" x14ac:dyDescent="0.35">
      <c r="A535" s="7" t="str">
        <f t="array" ref="A535">EXTRACTEVENT(N535,V535)</f>
        <v/>
      </c>
      <c r="B535" s="7" t="str">
        <f t="shared" si="24"/>
        <v/>
      </c>
      <c r="C535" s="7"/>
      <c r="D535" s="7" t="str">
        <f t="shared" si="25"/>
        <v>E</v>
      </c>
      <c r="E535" s="10">
        <f t="shared" si="26"/>
        <v>0</v>
      </c>
      <c r="F535" s="7" t="e">
        <f t="array" ref="F535">+TIPOARMA(H535,I535)</f>
        <v>#VALUE!</v>
      </c>
      <c r="G535" s="7"/>
      <c r="H535" s="7" t="e">
        <f>+VLOOKUP(Q535,Maps!I:J,2,0)</f>
        <v>#N/A</v>
      </c>
      <c r="I535" s="7" t="e">
        <f>+VLOOKUP(T535,Maps!E:F,2,0)</f>
        <v>#N/A</v>
      </c>
    </row>
    <row r="536" spans="1:9" ht="14.25" customHeight="1" x14ac:dyDescent="0.35">
      <c r="A536" s="7" t="str">
        <f t="array" ref="A536">EXTRACTEVENT(N536,V536)</f>
        <v/>
      </c>
      <c r="B536" s="7" t="str">
        <f t="shared" si="24"/>
        <v/>
      </c>
      <c r="C536" s="7"/>
      <c r="D536" s="7" t="str">
        <f t="shared" si="25"/>
        <v>E</v>
      </c>
      <c r="E536" s="10">
        <f t="shared" si="26"/>
        <v>0</v>
      </c>
      <c r="F536" s="7" t="e">
        <f t="array" ref="F536">+TIPOARMA(H536,I536)</f>
        <v>#VALUE!</v>
      </c>
      <c r="G536" s="7"/>
      <c r="H536" s="7" t="e">
        <f>+VLOOKUP(Q536,Maps!I:J,2,0)</f>
        <v>#N/A</v>
      </c>
      <c r="I536" s="7" t="e">
        <f>+VLOOKUP(T536,Maps!E:F,2,0)</f>
        <v>#N/A</v>
      </c>
    </row>
    <row r="537" spans="1:9" ht="14.25" customHeight="1" x14ac:dyDescent="0.35">
      <c r="A537" s="7" t="str">
        <f t="array" ref="A537">EXTRACTEVENT(N537,V537)</f>
        <v/>
      </c>
      <c r="B537" s="7" t="str">
        <f t="shared" si="24"/>
        <v/>
      </c>
      <c r="C537" s="7"/>
      <c r="D537" s="7" t="str">
        <f t="shared" si="25"/>
        <v>E</v>
      </c>
      <c r="E537" s="10">
        <f t="shared" si="26"/>
        <v>0</v>
      </c>
      <c r="F537" s="7" t="e">
        <f t="array" ref="F537">+TIPOARMA(H537,I537)</f>
        <v>#VALUE!</v>
      </c>
      <c r="G537" s="7"/>
      <c r="H537" s="7" t="e">
        <f>+VLOOKUP(Q537,Maps!I:J,2,0)</f>
        <v>#N/A</v>
      </c>
      <c r="I537" s="7" t="e">
        <f>+VLOOKUP(T537,Maps!E:F,2,0)</f>
        <v>#N/A</v>
      </c>
    </row>
    <row r="538" spans="1:9" ht="14.25" customHeight="1" x14ac:dyDescent="0.35">
      <c r="A538" s="7" t="str">
        <f t="array" ref="A538">EXTRACTEVENT(N538,V538)</f>
        <v/>
      </c>
      <c r="B538" s="7" t="str">
        <f t="shared" si="24"/>
        <v/>
      </c>
      <c r="C538" s="7"/>
      <c r="D538" s="7" t="str">
        <f t="shared" si="25"/>
        <v>E</v>
      </c>
      <c r="E538" s="10">
        <f t="shared" si="26"/>
        <v>0</v>
      </c>
      <c r="F538" s="7" t="e">
        <f t="array" ref="F538">+TIPOARMA(H538,I538)</f>
        <v>#VALUE!</v>
      </c>
      <c r="G538" s="7"/>
      <c r="H538" s="7" t="e">
        <f>+VLOOKUP(Q538,Maps!I:J,2,0)</f>
        <v>#N/A</v>
      </c>
      <c r="I538" s="7" t="e">
        <f>+VLOOKUP(T538,Maps!E:F,2,0)</f>
        <v>#N/A</v>
      </c>
    </row>
    <row r="539" spans="1:9" ht="14.25" customHeight="1" x14ac:dyDescent="0.35">
      <c r="A539" s="7" t="str">
        <f t="array" ref="A539">EXTRACTEVENT(N539,V539)</f>
        <v/>
      </c>
      <c r="B539" s="7" t="str">
        <f t="shared" si="24"/>
        <v/>
      </c>
      <c r="C539" s="7"/>
      <c r="D539" s="7" t="str">
        <f t="shared" si="25"/>
        <v>E</v>
      </c>
      <c r="E539" s="10">
        <f t="shared" si="26"/>
        <v>0</v>
      </c>
      <c r="F539" s="7" t="e">
        <f t="array" ref="F539">+TIPOARMA(H539,I539)</f>
        <v>#VALUE!</v>
      </c>
      <c r="G539" s="7"/>
      <c r="H539" s="7" t="e">
        <f>+VLOOKUP(Q539,Maps!I:J,2,0)</f>
        <v>#N/A</v>
      </c>
      <c r="I539" s="7" t="e">
        <f>+VLOOKUP(T539,Maps!E:F,2,0)</f>
        <v>#N/A</v>
      </c>
    </row>
    <row r="540" spans="1:9" ht="14.25" customHeight="1" x14ac:dyDescent="0.35">
      <c r="A540" s="7" t="str">
        <f t="array" ref="A540">EXTRACTEVENT(N540,V540)</f>
        <v/>
      </c>
      <c r="B540" s="7" t="str">
        <f t="shared" si="24"/>
        <v/>
      </c>
      <c r="C540" s="7"/>
      <c r="D540" s="7" t="str">
        <f t="shared" si="25"/>
        <v>E</v>
      </c>
      <c r="E540" s="10">
        <f t="shared" si="26"/>
        <v>0</v>
      </c>
      <c r="F540" s="7" t="e">
        <f t="array" ref="F540">+TIPOARMA(H540,I540)</f>
        <v>#VALUE!</v>
      </c>
      <c r="G540" s="7"/>
      <c r="H540" s="7" t="e">
        <f>+VLOOKUP(Q540,Maps!I:J,2,0)</f>
        <v>#N/A</v>
      </c>
      <c r="I540" s="7" t="e">
        <f>+VLOOKUP(T540,Maps!E:F,2,0)</f>
        <v>#N/A</v>
      </c>
    </row>
    <row r="541" spans="1:9" ht="14.25" customHeight="1" x14ac:dyDescent="0.35">
      <c r="A541" s="7" t="str">
        <f t="array" ref="A541">EXTRACTEVENT(N541,V541)</f>
        <v/>
      </c>
      <c r="B541" s="7" t="str">
        <f t="shared" si="24"/>
        <v/>
      </c>
      <c r="C541" s="7"/>
      <c r="D541" s="7" t="str">
        <f t="shared" si="25"/>
        <v>E</v>
      </c>
      <c r="E541" s="10">
        <f t="shared" si="26"/>
        <v>0</v>
      </c>
      <c r="F541" s="7" t="e">
        <f t="array" ref="F541">+TIPOARMA(H541,I541)</f>
        <v>#VALUE!</v>
      </c>
      <c r="G541" s="7"/>
      <c r="H541" s="7" t="e">
        <f>+VLOOKUP(Q541,Maps!I:J,2,0)</f>
        <v>#N/A</v>
      </c>
      <c r="I541" s="7" t="e">
        <f>+VLOOKUP(T541,Maps!E:F,2,0)</f>
        <v>#N/A</v>
      </c>
    </row>
    <row r="542" spans="1:9" ht="14.25" customHeight="1" x14ac:dyDescent="0.35">
      <c r="A542" s="7" t="str">
        <f t="array" ref="A542">EXTRACTEVENT(N542,V542)</f>
        <v/>
      </c>
      <c r="B542" s="7" t="str">
        <f t="shared" si="24"/>
        <v/>
      </c>
      <c r="C542" s="7"/>
      <c r="D542" s="7" t="str">
        <f t="shared" si="25"/>
        <v>E</v>
      </c>
      <c r="E542" s="10">
        <f t="shared" si="26"/>
        <v>0</v>
      </c>
      <c r="F542" s="7" t="e">
        <f t="array" ref="F542">+TIPOARMA(H542,I542)</f>
        <v>#VALUE!</v>
      </c>
      <c r="G542" s="7"/>
      <c r="H542" s="7" t="e">
        <f>+VLOOKUP(Q542,Maps!I:J,2,0)</f>
        <v>#N/A</v>
      </c>
      <c r="I542" s="7" t="e">
        <f>+VLOOKUP(T542,Maps!E:F,2,0)</f>
        <v>#N/A</v>
      </c>
    </row>
    <row r="543" spans="1:9" ht="14.25" customHeight="1" x14ac:dyDescent="0.35">
      <c r="A543" s="7" t="str">
        <f t="array" ref="A543">EXTRACTEVENT(N543,V543)</f>
        <v/>
      </c>
      <c r="B543" s="7" t="str">
        <f t="shared" si="24"/>
        <v/>
      </c>
      <c r="C543" s="7"/>
      <c r="D543" s="7" t="str">
        <f t="shared" si="25"/>
        <v>E</v>
      </c>
      <c r="E543" s="10">
        <f t="shared" si="26"/>
        <v>0</v>
      </c>
      <c r="F543" s="7" t="e">
        <f t="array" ref="F543">+TIPOARMA(H543,I543)</f>
        <v>#VALUE!</v>
      </c>
      <c r="G543" s="7"/>
      <c r="H543" s="7" t="e">
        <f>+VLOOKUP(Q543,Maps!I:J,2,0)</f>
        <v>#N/A</v>
      </c>
      <c r="I543" s="7" t="e">
        <f>+VLOOKUP(T543,Maps!E:F,2,0)</f>
        <v>#N/A</v>
      </c>
    </row>
    <row r="544" spans="1:9" ht="14.25" customHeight="1" x14ac:dyDescent="0.35">
      <c r="A544" s="7" t="str">
        <f t="array" ref="A544">EXTRACTEVENT(N544,V544)</f>
        <v/>
      </c>
      <c r="B544" s="7" t="str">
        <f t="shared" si="24"/>
        <v/>
      </c>
      <c r="C544" s="7"/>
      <c r="D544" s="7" t="str">
        <f t="shared" si="25"/>
        <v>E</v>
      </c>
      <c r="E544" s="10">
        <f t="shared" si="26"/>
        <v>0</v>
      </c>
      <c r="F544" s="7" t="e">
        <f t="array" ref="F544">+TIPOARMA(H544,I544)</f>
        <v>#VALUE!</v>
      </c>
      <c r="G544" s="7"/>
      <c r="H544" s="7" t="e">
        <f>+VLOOKUP(Q544,Maps!I:J,2,0)</f>
        <v>#N/A</v>
      </c>
      <c r="I544" s="7" t="e">
        <f>+VLOOKUP(T544,Maps!E:F,2,0)</f>
        <v>#N/A</v>
      </c>
    </row>
    <row r="545" spans="1:9" ht="14.25" customHeight="1" x14ac:dyDescent="0.35">
      <c r="A545" s="7" t="str">
        <f t="array" ref="A545">EXTRACTEVENT(N545,V545)</f>
        <v/>
      </c>
      <c r="B545" s="7" t="str">
        <f t="shared" si="24"/>
        <v/>
      </c>
      <c r="C545" s="7"/>
      <c r="D545" s="7" t="str">
        <f t="shared" si="25"/>
        <v>E</v>
      </c>
      <c r="E545" s="10">
        <f t="shared" si="26"/>
        <v>0</v>
      </c>
      <c r="F545" s="7" t="e">
        <f t="array" ref="F545">+TIPOARMA(H545,I545)</f>
        <v>#VALUE!</v>
      </c>
      <c r="G545" s="7"/>
      <c r="H545" s="7" t="e">
        <f>+VLOOKUP(Q545,Maps!I:J,2,0)</f>
        <v>#N/A</v>
      </c>
      <c r="I545" s="7" t="e">
        <f>+VLOOKUP(T545,Maps!E:F,2,0)</f>
        <v>#N/A</v>
      </c>
    </row>
    <row r="546" spans="1:9" ht="14.25" customHeight="1" x14ac:dyDescent="0.35">
      <c r="A546" s="7" t="str">
        <f t="array" ref="A546">EXTRACTEVENT(N546,V546)</f>
        <v/>
      </c>
      <c r="B546" s="7" t="str">
        <f t="shared" si="24"/>
        <v/>
      </c>
      <c r="C546" s="7"/>
      <c r="D546" s="7" t="str">
        <f t="shared" si="25"/>
        <v>E</v>
      </c>
      <c r="E546" s="10">
        <f t="shared" si="26"/>
        <v>0</v>
      </c>
      <c r="F546" s="7" t="e">
        <f t="array" ref="F546">+TIPOARMA(H546,I546)</f>
        <v>#VALUE!</v>
      </c>
      <c r="G546" s="7"/>
      <c r="H546" s="7" t="e">
        <f>+VLOOKUP(Q546,Maps!I:J,2,0)</f>
        <v>#N/A</v>
      </c>
      <c r="I546" s="7" t="e">
        <f>+VLOOKUP(T546,Maps!E:F,2,0)</f>
        <v>#N/A</v>
      </c>
    </row>
    <row r="547" spans="1:9" ht="14.25" customHeight="1" x14ac:dyDescent="0.35">
      <c r="A547" s="7" t="str">
        <f t="array" ref="A547">EXTRACTEVENT(N547,V547)</f>
        <v/>
      </c>
      <c r="B547" s="7" t="str">
        <f t="shared" si="24"/>
        <v/>
      </c>
      <c r="C547" s="7"/>
      <c r="D547" s="7" t="str">
        <f t="shared" si="25"/>
        <v>E</v>
      </c>
      <c r="E547" s="10">
        <f t="shared" si="26"/>
        <v>0</v>
      </c>
      <c r="F547" s="7" t="e">
        <f t="array" ref="F547">+TIPOARMA(H547,I547)</f>
        <v>#VALUE!</v>
      </c>
      <c r="G547" s="7"/>
      <c r="H547" s="7" t="e">
        <f>+VLOOKUP(Q547,Maps!I:J,2,0)</f>
        <v>#N/A</v>
      </c>
      <c r="I547" s="7" t="e">
        <f>+VLOOKUP(T547,Maps!E:F,2,0)</f>
        <v>#N/A</v>
      </c>
    </row>
    <row r="548" spans="1:9" ht="14.25" customHeight="1" x14ac:dyDescent="0.35">
      <c r="A548" s="7" t="str">
        <f t="array" ref="A548">EXTRACTEVENT(N548,V548)</f>
        <v/>
      </c>
      <c r="B548" s="7" t="str">
        <f t="shared" si="24"/>
        <v/>
      </c>
      <c r="C548" s="7"/>
      <c r="D548" s="7" t="str">
        <f t="shared" si="25"/>
        <v>E</v>
      </c>
      <c r="E548" s="10">
        <f t="shared" si="26"/>
        <v>0</v>
      </c>
      <c r="F548" s="7" t="e">
        <f t="array" ref="F548">+TIPOARMA(H548,I548)</f>
        <v>#VALUE!</v>
      </c>
      <c r="G548" s="7"/>
      <c r="H548" s="7" t="e">
        <f>+VLOOKUP(Q548,Maps!I:J,2,0)</f>
        <v>#N/A</v>
      </c>
      <c r="I548" s="7" t="e">
        <f>+VLOOKUP(T548,Maps!E:F,2,0)</f>
        <v>#N/A</v>
      </c>
    </row>
    <row r="549" spans="1:9" ht="14.25" customHeight="1" x14ac:dyDescent="0.35">
      <c r="A549" s="7" t="str">
        <f t="array" ref="A549">EXTRACTEVENT(N549,V549)</f>
        <v/>
      </c>
      <c r="B549" s="7" t="str">
        <f t="shared" si="24"/>
        <v/>
      </c>
      <c r="C549" s="7"/>
      <c r="D549" s="7" t="str">
        <f t="shared" si="25"/>
        <v>E</v>
      </c>
      <c r="E549" s="10">
        <f t="shared" si="26"/>
        <v>0</v>
      </c>
      <c r="F549" s="7" t="e">
        <f t="array" ref="F549">+TIPOARMA(H549,I549)</f>
        <v>#VALUE!</v>
      </c>
      <c r="G549" s="7"/>
      <c r="H549" s="7" t="e">
        <f>+VLOOKUP(Q549,Maps!I:J,2,0)</f>
        <v>#N/A</v>
      </c>
      <c r="I549" s="7" t="e">
        <f>+VLOOKUP(T549,Maps!E:F,2,0)</f>
        <v>#N/A</v>
      </c>
    </row>
    <row r="550" spans="1:9" ht="14.25" customHeight="1" x14ac:dyDescent="0.35">
      <c r="A550" s="7" t="str">
        <f t="array" ref="A550">EXTRACTEVENT(N550,V550)</f>
        <v/>
      </c>
      <c r="B550" s="7" t="str">
        <f t="shared" si="24"/>
        <v/>
      </c>
      <c r="C550" s="7"/>
      <c r="D550" s="7" t="str">
        <f t="shared" si="25"/>
        <v>E</v>
      </c>
      <c r="E550" s="10">
        <f t="shared" si="26"/>
        <v>0</v>
      </c>
      <c r="F550" s="7" t="e">
        <f t="array" ref="F550">+TIPOARMA(H550,I550)</f>
        <v>#VALUE!</v>
      </c>
      <c r="G550" s="7"/>
      <c r="H550" s="7" t="e">
        <f>+VLOOKUP(Q550,Maps!I:J,2,0)</f>
        <v>#N/A</v>
      </c>
      <c r="I550" s="7" t="e">
        <f>+VLOOKUP(T550,Maps!E:F,2,0)</f>
        <v>#N/A</v>
      </c>
    </row>
    <row r="551" spans="1:9" ht="14.25" customHeight="1" x14ac:dyDescent="0.35">
      <c r="A551" s="7" t="str">
        <f t="array" ref="A551">EXTRACTEVENT(N551,V551)</f>
        <v/>
      </c>
      <c r="B551" s="7" t="str">
        <f t="shared" si="24"/>
        <v/>
      </c>
      <c r="C551" s="7"/>
      <c r="D551" s="7" t="str">
        <f t="shared" si="25"/>
        <v>E</v>
      </c>
      <c r="E551" s="10">
        <f t="shared" si="26"/>
        <v>0</v>
      </c>
      <c r="F551" s="7" t="e">
        <f t="array" ref="F551">+TIPOARMA(H551,I551)</f>
        <v>#VALUE!</v>
      </c>
      <c r="G551" s="7"/>
      <c r="H551" s="7" t="e">
        <f>+VLOOKUP(Q551,Maps!I:J,2,0)</f>
        <v>#N/A</v>
      </c>
      <c r="I551" s="7" t="e">
        <f>+VLOOKUP(T551,Maps!E:F,2,0)</f>
        <v>#N/A</v>
      </c>
    </row>
    <row r="552" spans="1:9" ht="14.25" customHeight="1" x14ac:dyDescent="0.35">
      <c r="A552" s="7" t="str">
        <f t="array" ref="A552">EXTRACTEVENT(N552,V552)</f>
        <v/>
      </c>
      <c r="B552" s="7" t="str">
        <f t="shared" si="24"/>
        <v/>
      </c>
      <c r="C552" s="7"/>
      <c r="D552" s="7" t="str">
        <f t="shared" si="25"/>
        <v>E</v>
      </c>
      <c r="E552" s="10">
        <f t="shared" si="26"/>
        <v>0</v>
      </c>
      <c r="F552" s="7" t="e">
        <f t="array" ref="F552">+TIPOARMA(H552,I552)</f>
        <v>#VALUE!</v>
      </c>
      <c r="G552" s="7"/>
      <c r="H552" s="7" t="e">
        <f>+VLOOKUP(Q552,Maps!I:J,2,0)</f>
        <v>#N/A</v>
      </c>
      <c r="I552" s="7" t="e">
        <f>+VLOOKUP(T552,Maps!E:F,2,0)</f>
        <v>#N/A</v>
      </c>
    </row>
    <row r="553" spans="1:9" ht="14.25" customHeight="1" x14ac:dyDescent="0.35">
      <c r="A553" s="7" t="str">
        <f t="array" ref="A553">EXTRACTEVENT(N553,V553)</f>
        <v/>
      </c>
      <c r="B553" s="7" t="str">
        <f t="shared" si="24"/>
        <v/>
      </c>
      <c r="C553" s="7"/>
      <c r="D553" s="7" t="str">
        <f t="shared" si="25"/>
        <v>E</v>
      </c>
      <c r="E553" s="10">
        <f t="shared" si="26"/>
        <v>0</v>
      </c>
      <c r="F553" s="7" t="e">
        <f t="array" ref="F553">+TIPOARMA(H553,I553)</f>
        <v>#VALUE!</v>
      </c>
      <c r="G553" s="7"/>
      <c r="H553" s="7" t="e">
        <f>+VLOOKUP(Q553,Maps!I:J,2,0)</f>
        <v>#N/A</v>
      </c>
      <c r="I553" s="7" t="e">
        <f>+VLOOKUP(T553,Maps!E:F,2,0)</f>
        <v>#N/A</v>
      </c>
    </row>
    <row r="554" spans="1:9" ht="14.25" customHeight="1" x14ac:dyDescent="0.35">
      <c r="A554" s="7" t="str">
        <f t="array" ref="A554">EXTRACTEVENT(N554,V554)</f>
        <v/>
      </c>
      <c r="B554" s="7" t="str">
        <f t="shared" si="24"/>
        <v/>
      </c>
      <c r="C554" s="7"/>
      <c r="D554" s="7" t="str">
        <f t="shared" si="25"/>
        <v>E</v>
      </c>
      <c r="E554" s="10">
        <f t="shared" si="26"/>
        <v>0</v>
      </c>
      <c r="F554" s="7" t="e">
        <f t="array" ref="F554">+TIPOARMA(H554,I554)</f>
        <v>#VALUE!</v>
      </c>
      <c r="G554" s="7"/>
      <c r="H554" s="7" t="e">
        <f>+VLOOKUP(Q554,Maps!I:J,2,0)</f>
        <v>#N/A</v>
      </c>
      <c r="I554" s="7" t="e">
        <f>+VLOOKUP(T554,Maps!E:F,2,0)</f>
        <v>#N/A</v>
      </c>
    </row>
    <row r="555" spans="1:9" ht="14.25" customHeight="1" x14ac:dyDescent="0.35">
      <c r="A555" s="7" t="str">
        <f t="array" ref="A555">EXTRACTEVENT(N555,V555)</f>
        <v/>
      </c>
      <c r="B555" s="7" t="str">
        <f t="shared" si="24"/>
        <v/>
      </c>
      <c r="C555" s="7"/>
      <c r="D555" s="7" t="str">
        <f t="shared" si="25"/>
        <v>E</v>
      </c>
      <c r="E555" s="10">
        <f t="shared" si="26"/>
        <v>0</v>
      </c>
      <c r="F555" s="7" t="e">
        <f t="array" ref="F555">+TIPOARMA(H555,I555)</f>
        <v>#VALUE!</v>
      </c>
      <c r="G555" s="7"/>
      <c r="H555" s="7" t="e">
        <f>+VLOOKUP(Q555,Maps!I:J,2,0)</f>
        <v>#N/A</v>
      </c>
      <c r="I555" s="7" t="e">
        <f>+VLOOKUP(T555,Maps!E:F,2,0)</f>
        <v>#N/A</v>
      </c>
    </row>
    <row r="556" spans="1:9" ht="14.25" customHeight="1" x14ac:dyDescent="0.35">
      <c r="A556" s="7" t="str">
        <f t="array" ref="A556">EXTRACTEVENT(N556,V556)</f>
        <v/>
      </c>
      <c r="B556" s="7" t="str">
        <f t="shared" si="24"/>
        <v/>
      </c>
      <c r="C556" s="7"/>
      <c r="D556" s="7" t="str">
        <f t="shared" si="25"/>
        <v>E</v>
      </c>
      <c r="E556" s="10">
        <f t="shared" si="26"/>
        <v>0</v>
      </c>
      <c r="F556" s="7" t="e">
        <f t="array" ref="F556">+TIPOARMA(H556,I556)</f>
        <v>#VALUE!</v>
      </c>
      <c r="G556" s="7"/>
      <c r="H556" s="7" t="e">
        <f>+VLOOKUP(Q556,Maps!I:J,2,0)</f>
        <v>#N/A</v>
      </c>
      <c r="I556" s="7" t="e">
        <f>+VLOOKUP(T556,Maps!E:F,2,0)</f>
        <v>#N/A</v>
      </c>
    </row>
    <row r="557" spans="1:9" ht="14.25" customHeight="1" x14ac:dyDescent="0.35">
      <c r="A557" s="7" t="str">
        <f t="array" ref="A557">EXTRACTEVENT(N557,V557)</f>
        <v/>
      </c>
      <c r="B557" s="7" t="str">
        <f t="shared" si="24"/>
        <v/>
      </c>
      <c r="C557" s="7"/>
      <c r="D557" s="7" t="str">
        <f t="shared" si="25"/>
        <v>E</v>
      </c>
      <c r="E557" s="10">
        <f t="shared" si="26"/>
        <v>0</v>
      </c>
      <c r="F557" s="7" t="e">
        <f t="array" ref="F557">+TIPOARMA(H557,I557)</f>
        <v>#VALUE!</v>
      </c>
      <c r="G557" s="7"/>
      <c r="H557" s="7" t="e">
        <f>+VLOOKUP(Q557,Maps!I:J,2,0)</f>
        <v>#N/A</v>
      </c>
      <c r="I557" s="7" t="e">
        <f>+VLOOKUP(T557,Maps!E:F,2,0)</f>
        <v>#N/A</v>
      </c>
    </row>
    <row r="558" spans="1:9" ht="14.25" customHeight="1" x14ac:dyDescent="0.35">
      <c r="A558" s="7" t="str">
        <f t="array" ref="A558">EXTRACTEVENT(N558,V558)</f>
        <v/>
      </c>
      <c r="B558" s="7" t="str">
        <f t="shared" si="24"/>
        <v/>
      </c>
      <c r="C558" s="7"/>
      <c r="D558" s="7" t="str">
        <f t="shared" si="25"/>
        <v>E</v>
      </c>
      <c r="E558" s="10">
        <f t="shared" si="26"/>
        <v>0</v>
      </c>
      <c r="F558" s="7" t="e">
        <f t="array" ref="F558">+TIPOARMA(H558,I558)</f>
        <v>#VALUE!</v>
      </c>
      <c r="G558" s="7"/>
      <c r="H558" s="7" t="e">
        <f>+VLOOKUP(Q558,Maps!I:J,2,0)</f>
        <v>#N/A</v>
      </c>
      <c r="I558" s="7" t="e">
        <f>+VLOOKUP(T558,Maps!E:F,2,0)</f>
        <v>#N/A</v>
      </c>
    </row>
    <row r="559" spans="1:9" ht="14.25" customHeight="1" x14ac:dyDescent="0.35">
      <c r="A559" s="7" t="str">
        <f t="array" ref="A559">EXTRACTEVENT(N559,V559)</f>
        <v/>
      </c>
      <c r="B559" s="7" t="str">
        <f t="shared" si="24"/>
        <v/>
      </c>
      <c r="C559" s="7"/>
      <c r="D559" s="7" t="str">
        <f t="shared" si="25"/>
        <v>E</v>
      </c>
      <c r="E559" s="10">
        <f t="shared" si="26"/>
        <v>0</v>
      </c>
      <c r="F559" s="7" t="e">
        <f t="array" ref="F559">+TIPOARMA(H559,I559)</f>
        <v>#VALUE!</v>
      </c>
      <c r="G559" s="7"/>
      <c r="H559" s="7" t="e">
        <f>+VLOOKUP(Q559,Maps!I:J,2,0)</f>
        <v>#N/A</v>
      </c>
      <c r="I559" s="7" t="e">
        <f>+VLOOKUP(T559,Maps!E:F,2,0)</f>
        <v>#N/A</v>
      </c>
    </row>
    <row r="560" spans="1:9" ht="14.25" customHeight="1" x14ac:dyDescent="0.35">
      <c r="A560" s="7" t="str">
        <f t="array" ref="A560">EXTRACTEVENT(N560,V560)</f>
        <v/>
      </c>
      <c r="B560" s="7" t="str">
        <f t="shared" si="24"/>
        <v/>
      </c>
      <c r="C560" s="7"/>
      <c r="D560" s="7" t="str">
        <f t="shared" si="25"/>
        <v>E</v>
      </c>
      <c r="E560" s="10">
        <f t="shared" si="26"/>
        <v>0</v>
      </c>
      <c r="F560" s="7" t="e">
        <f t="array" ref="F560">+TIPOARMA(H560,I560)</f>
        <v>#VALUE!</v>
      </c>
      <c r="G560" s="7"/>
      <c r="H560" s="7" t="e">
        <f>+VLOOKUP(Q560,Maps!I:J,2,0)</f>
        <v>#N/A</v>
      </c>
      <c r="I560" s="7" t="e">
        <f>+VLOOKUP(T560,Maps!E:F,2,0)</f>
        <v>#N/A</v>
      </c>
    </row>
    <row r="561" spans="1:9" ht="14.25" customHeight="1" x14ac:dyDescent="0.35">
      <c r="A561" s="7" t="str">
        <f t="array" ref="A561">EXTRACTEVENT(N561,V561)</f>
        <v/>
      </c>
      <c r="B561" s="7" t="str">
        <f t="shared" si="24"/>
        <v/>
      </c>
      <c r="C561" s="7"/>
      <c r="D561" s="7" t="str">
        <f t="shared" si="25"/>
        <v>E</v>
      </c>
      <c r="E561" s="10">
        <f t="shared" si="26"/>
        <v>0</v>
      </c>
      <c r="F561" s="7" t="e">
        <f t="array" ref="F561">+TIPOARMA(H561,I561)</f>
        <v>#VALUE!</v>
      </c>
      <c r="G561" s="7"/>
      <c r="H561" s="7" t="e">
        <f>+VLOOKUP(Q561,Maps!I:J,2,0)</f>
        <v>#N/A</v>
      </c>
      <c r="I561" s="7" t="e">
        <f>+VLOOKUP(T561,Maps!E:F,2,0)</f>
        <v>#N/A</v>
      </c>
    </row>
    <row r="562" spans="1:9" ht="14.25" customHeight="1" x14ac:dyDescent="0.35">
      <c r="A562" s="7" t="str">
        <f t="array" ref="A562">EXTRACTEVENT(N562,V562)</f>
        <v/>
      </c>
      <c r="B562" s="7" t="str">
        <f t="shared" si="24"/>
        <v/>
      </c>
      <c r="C562" s="7"/>
      <c r="D562" s="7" t="str">
        <f t="shared" si="25"/>
        <v>E</v>
      </c>
      <c r="E562" s="10">
        <f t="shared" si="26"/>
        <v>0</v>
      </c>
      <c r="F562" s="7" t="e">
        <f t="array" ref="F562">+TIPOARMA(H562,I562)</f>
        <v>#VALUE!</v>
      </c>
      <c r="G562" s="7"/>
      <c r="H562" s="7" t="e">
        <f>+VLOOKUP(Q562,Maps!I:J,2,0)</f>
        <v>#N/A</v>
      </c>
      <c r="I562" s="7" t="e">
        <f>+VLOOKUP(T562,Maps!E:F,2,0)</f>
        <v>#N/A</v>
      </c>
    </row>
    <row r="563" spans="1:9" ht="14.25" customHeight="1" x14ac:dyDescent="0.35">
      <c r="A563" s="7" t="str">
        <f t="array" ref="A563">EXTRACTEVENT(N563,V563)</f>
        <v/>
      </c>
      <c r="B563" s="7" t="str">
        <f t="shared" si="24"/>
        <v/>
      </c>
      <c r="C563" s="7"/>
      <c r="D563" s="7" t="str">
        <f t="shared" si="25"/>
        <v>E</v>
      </c>
      <c r="E563" s="10">
        <f t="shared" si="26"/>
        <v>0</v>
      </c>
      <c r="F563" s="7" t="e">
        <f t="array" ref="F563">+TIPOARMA(H563,I563)</f>
        <v>#VALUE!</v>
      </c>
      <c r="G563" s="7"/>
      <c r="H563" s="7" t="e">
        <f>+VLOOKUP(Q563,Maps!I:J,2,0)</f>
        <v>#N/A</v>
      </c>
      <c r="I563" s="7" t="e">
        <f>+VLOOKUP(T563,Maps!E:F,2,0)</f>
        <v>#N/A</v>
      </c>
    </row>
    <row r="564" spans="1:9" ht="14.25" customHeight="1" x14ac:dyDescent="0.35">
      <c r="A564" s="7" t="str">
        <f t="array" ref="A564">EXTRACTEVENT(N564,V564)</f>
        <v/>
      </c>
      <c r="B564" s="7" t="str">
        <f t="shared" si="24"/>
        <v/>
      </c>
      <c r="C564" s="7"/>
      <c r="D564" s="7" t="str">
        <f t="shared" si="25"/>
        <v>E</v>
      </c>
      <c r="E564" s="10">
        <f t="shared" si="26"/>
        <v>0</v>
      </c>
      <c r="F564" s="7" t="e">
        <f t="array" ref="F564">+TIPOARMA(H564,I564)</f>
        <v>#VALUE!</v>
      </c>
      <c r="G564" s="7"/>
      <c r="H564" s="7" t="e">
        <f>+VLOOKUP(Q564,Maps!I:J,2,0)</f>
        <v>#N/A</v>
      </c>
      <c r="I564" s="7" t="e">
        <f>+VLOOKUP(T564,Maps!E:F,2,0)</f>
        <v>#N/A</v>
      </c>
    </row>
    <row r="565" spans="1:9" ht="14.25" customHeight="1" x14ac:dyDescent="0.35">
      <c r="A565" s="7" t="str">
        <f t="array" ref="A565">EXTRACTEVENT(N565,V565)</f>
        <v/>
      </c>
      <c r="B565" s="7" t="str">
        <f t="shared" si="24"/>
        <v/>
      </c>
      <c r="C565" s="7"/>
      <c r="D565" s="7" t="str">
        <f t="shared" si="25"/>
        <v>E</v>
      </c>
      <c r="E565" s="10">
        <f t="shared" si="26"/>
        <v>0</v>
      </c>
      <c r="F565" s="7" t="e">
        <f t="array" ref="F565">+TIPOARMA(H565,I565)</f>
        <v>#VALUE!</v>
      </c>
      <c r="G565" s="7"/>
      <c r="H565" s="7" t="e">
        <f>+VLOOKUP(Q565,Maps!I:J,2,0)</f>
        <v>#N/A</v>
      </c>
      <c r="I565" s="7" t="e">
        <f>+VLOOKUP(T565,Maps!E:F,2,0)</f>
        <v>#N/A</v>
      </c>
    </row>
    <row r="566" spans="1:9" ht="14.25" customHeight="1" x14ac:dyDescent="0.35">
      <c r="A566" s="7" t="str">
        <f t="array" ref="A566">EXTRACTEVENT(N566,V566)</f>
        <v/>
      </c>
      <c r="B566" s="7" t="str">
        <f t="shared" si="24"/>
        <v/>
      </c>
      <c r="C566" s="7"/>
      <c r="D566" s="7" t="str">
        <f t="shared" si="25"/>
        <v>E</v>
      </c>
      <c r="E566" s="10">
        <f t="shared" si="26"/>
        <v>0</v>
      </c>
      <c r="F566" s="7" t="e">
        <f t="array" ref="F566">+TIPOARMA(H566,I566)</f>
        <v>#VALUE!</v>
      </c>
      <c r="G566" s="7"/>
      <c r="H566" s="7" t="e">
        <f>+VLOOKUP(Q566,Maps!I:J,2,0)</f>
        <v>#N/A</v>
      </c>
      <c r="I566" s="7" t="e">
        <f>+VLOOKUP(T566,Maps!E:F,2,0)</f>
        <v>#N/A</v>
      </c>
    </row>
    <row r="567" spans="1:9" ht="14.25" customHeight="1" x14ac:dyDescent="0.35">
      <c r="A567" s="7" t="str">
        <f t="array" ref="A567">EXTRACTEVENT(N567,V567)</f>
        <v/>
      </c>
      <c r="B567" s="7" t="str">
        <f t="shared" si="24"/>
        <v/>
      </c>
      <c r="C567" s="7"/>
      <c r="D567" s="7" t="str">
        <f t="shared" si="25"/>
        <v>E</v>
      </c>
      <c r="E567" s="10">
        <f t="shared" si="26"/>
        <v>0</v>
      </c>
      <c r="F567" s="7" t="e">
        <f t="array" ref="F567">+TIPOARMA(H567,I567)</f>
        <v>#VALUE!</v>
      </c>
      <c r="G567" s="7"/>
      <c r="H567" s="7" t="e">
        <f>+VLOOKUP(Q567,Maps!I:J,2,0)</f>
        <v>#N/A</v>
      </c>
      <c r="I567" s="7" t="e">
        <f>+VLOOKUP(T567,Maps!E:F,2,0)</f>
        <v>#N/A</v>
      </c>
    </row>
    <row r="568" spans="1:9" ht="14.25" customHeight="1" x14ac:dyDescent="0.35">
      <c r="A568" s="7" t="str">
        <f t="array" ref="A568">EXTRACTEVENT(N568,V568)</f>
        <v/>
      </c>
      <c r="B568" s="7" t="str">
        <f t="shared" si="24"/>
        <v/>
      </c>
      <c r="C568" s="7"/>
      <c r="D568" s="7" t="str">
        <f t="shared" si="25"/>
        <v>E</v>
      </c>
      <c r="E568" s="10">
        <f t="shared" si="26"/>
        <v>0</v>
      </c>
      <c r="F568" s="7" t="e">
        <f t="array" ref="F568">+TIPOARMA(H568,I568)</f>
        <v>#VALUE!</v>
      </c>
      <c r="G568" s="7"/>
      <c r="H568" s="7" t="e">
        <f>+VLOOKUP(Q568,Maps!I:J,2,0)</f>
        <v>#N/A</v>
      </c>
      <c r="I568" s="7" t="e">
        <f>+VLOOKUP(T568,Maps!E:F,2,0)</f>
        <v>#N/A</v>
      </c>
    </row>
    <row r="569" spans="1:9" ht="14.25" customHeight="1" x14ac:dyDescent="0.35">
      <c r="A569" s="7" t="str">
        <f t="array" ref="A569">EXTRACTEVENT(N569,V569)</f>
        <v/>
      </c>
      <c r="B569" s="7" t="str">
        <f t="shared" si="24"/>
        <v/>
      </c>
      <c r="C569" s="7"/>
      <c r="D569" s="7" t="str">
        <f t="shared" si="25"/>
        <v>E</v>
      </c>
      <c r="E569" s="10">
        <f t="shared" si="26"/>
        <v>0</v>
      </c>
      <c r="F569" s="7" t="e">
        <f t="array" ref="F569">+TIPOARMA(H569,I569)</f>
        <v>#VALUE!</v>
      </c>
      <c r="G569" s="7"/>
      <c r="H569" s="7" t="e">
        <f>+VLOOKUP(Q569,Maps!I:J,2,0)</f>
        <v>#N/A</v>
      </c>
      <c r="I569" s="7" t="e">
        <f>+VLOOKUP(T569,Maps!E:F,2,0)</f>
        <v>#N/A</v>
      </c>
    </row>
    <row r="570" spans="1:9" ht="14.25" customHeight="1" x14ac:dyDescent="0.35">
      <c r="A570" s="7" t="str">
        <f t="array" ref="A570">EXTRACTEVENT(N570,V570)</f>
        <v/>
      </c>
      <c r="B570" s="7" t="str">
        <f t="shared" si="24"/>
        <v/>
      </c>
      <c r="C570" s="7"/>
      <c r="D570" s="7" t="str">
        <f t="shared" si="25"/>
        <v>E</v>
      </c>
      <c r="E570" s="10">
        <f t="shared" si="26"/>
        <v>0</v>
      </c>
      <c r="F570" s="7" t="e">
        <f t="array" ref="F570">+TIPOARMA(H570,I570)</f>
        <v>#VALUE!</v>
      </c>
      <c r="G570" s="7"/>
      <c r="H570" s="7" t="e">
        <f>+VLOOKUP(Q570,Maps!I:J,2,0)</f>
        <v>#N/A</v>
      </c>
      <c r="I570" s="7" t="e">
        <f>+VLOOKUP(T570,Maps!E:F,2,0)</f>
        <v>#N/A</v>
      </c>
    </row>
    <row r="571" spans="1:9" ht="14.25" customHeight="1" x14ac:dyDescent="0.35">
      <c r="A571" s="7" t="str">
        <f t="array" ref="A571">EXTRACTEVENT(N571,V571)</f>
        <v/>
      </c>
      <c r="B571" s="7" t="str">
        <f t="shared" si="24"/>
        <v/>
      </c>
      <c r="C571" s="7"/>
      <c r="D571" s="7" t="str">
        <f t="shared" si="25"/>
        <v>E</v>
      </c>
      <c r="E571" s="10">
        <f t="shared" si="26"/>
        <v>0</v>
      </c>
      <c r="F571" s="7" t="e">
        <f t="array" ref="F571">+TIPOARMA(H571,I571)</f>
        <v>#VALUE!</v>
      </c>
      <c r="G571" s="7"/>
      <c r="H571" s="7" t="e">
        <f>+VLOOKUP(Q571,Maps!I:J,2,0)</f>
        <v>#N/A</v>
      </c>
      <c r="I571" s="7" t="e">
        <f>+VLOOKUP(T571,Maps!E:F,2,0)</f>
        <v>#N/A</v>
      </c>
    </row>
    <row r="572" spans="1:9" ht="14.25" customHeight="1" x14ac:dyDescent="0.35">
      <c r="A572" s="7" t="str">
        <f t="array" ref="A572">EXTRACTEVENT(N572,V572)</f>
        <v/>
      </c>
      <c r="B572" s="7" t="str">
        <f t="shared" si="24"/>
        <v/>
      </c>
      <c r="C572" s="7"/>
      <c r="D572" s="7" t="str">
        <f t="shared" si="25"/>
        <v>E</v>
      </c>
      <c r="E572" s="10">
        <f t="shared" si="26"/>
        <v>0</v>
      </c>
      <c r="F572" s="7" t="e">
        <f t="array" ref="F572">+TIPOARMA(H572,I572)</f>
        <v>#VALUE!</v>
      </c>
      <c r="G572" s="7"/>
      <c r="H572" s="7" t="e">
        <f>+VLOOKUP(Q572,Maps!I:J,2,0)</f>
        <v>#N/A</v>
      </c>
      <c r="I572" s="7" t="e">
        <f>+VLOOKUP(T572,Maps!E:F,2,0)</f>
        <v>#N/A</v>
      </c>
    </row>
    <row r="573" spans="1:9" ht="14.25" customHeight="1" x14ac:dyDescent="0.35">
      <c r="A573" s="7" t="str">
        <f t="array" ref="A573">EXTRACTEVENT(N573,V573)</f>
        <v/>
      </c>
      <c r="B573" s="7" t="str">
        <f t="shared" si="24"/>
        <v/>
      </c>
      <c r="C573" s="7"/>
      <c r="D573" s="7" t="str">
        <f t="shared" si="25"/>
        <v>E</v>
      </c>
      <c r="E573" s="10">
        <f t="shared" si="26"/>
        <v>0</v>
      </c>
      <c r="F573" s="7" t="e">
        <f t="array" ref="F573">+TIPOARMA(H573,I573)</f>
        <v>#VALUE!</v>
      </c>
      <c r="G573" s="7"/>
      <c r="H573" s="7" t="e">
        <f>+VLOOKUP(Q573,Maps!I:J,2,0)</f>
        <v>#N/A</v>
      </c>
      <c r="I573" s="7" t="e">
        <f>+VLOOKUP(T573,Maps!E:F,2,0)</f>
        <v>#N/A</v>
      </c>
    </row>
    <row r="574" spans="1:9" ht="14.25" customHeight="1" x14ac:dyDescent="0.35">
      <c r="A574" s="7" t="str">
        <f t="array" ref="A574">EXTRACTEVENT(N574,V574)</f>
        <v/>
      </c>
      <c r="B574" s="7" t="str">
        <f t="shared" si="24"/>
        <v/>
      </c>
      <c r="C574" s="7"/>
      <c r="D574" s="7" t="str">
        <f t="shared" si="25"/>
        <v>E</v>
      </c>
      <c r="E574" s="10">
        <f t="shared" si="26"/>
        <v>0</v>
      </c>
      <c r="F574" s="7" t="e">
        <f t="array" ref="F574">+TIPOARMA(H574,I574)</f>
        <v>#VALUE!</v>
      </c>
      <c r="G574" s="7"/>
      <c r="H574" s="7" t="e">
        <f>+VLOOKUP(Q574,Maps!I:J,2,0)</f>
        <v>#N/A</v>
      </c>
      <c r="I574" s="7" t="e">
        <f>+VLOOKUP(T574,Maps!E:F,2,0)</f>
        <v>#N/A</v>
      </c>
    </row>
    <row r="575" spans="1:9" ht="14.25" customHeight="1" x14ac:dyDescent="0.35">
      <c r="A575" s="7" t="str">
        <f t="array" ref="A575">EXTRACTEVENT(N575,V575)</f>
        <v/>
      </c>
      <c r="B575" s="7" t="str">
        <f t="shared" si="24"/>
        <v/>
      </c>
      <c r="C575" s="7"/>
      <c r="D575" s="7" t="str">
        <f t="shared" si="25"/>
        <v>E</v>
      </c>
      <c r="E575" s="10">
        <f t="shared" si="26"/>
        <v>0</v>
      </c>
      <c r="F575" s="7" t="e">
        <f t="array" ref="F575">+TIPOARMA(H575,I575)</f>
        <v>#VALUE!</v>
      </c>
      <c r="G575" s="7"/>
      <c r="H575" s="7" t="e">
        <f>+VLOOKUP(Q575,Maps!I:J,2,0)</f>
        <v>#N/A</v>
      </c>
      <c r="I575" s="7" t="e">
        <f>+VLOOKUP(T575,Maps!E:F,2,0)</f>
        <v>#N/A</v>
      </c>
    </row>
    <row r="576" spans="1:9" ht="14.25" customHeight="1" x14ac:dyDescent="0.35">
      <c r="A576" s="7" t="str">
        <f t="array" ref="A576">EXTRACTEVENT(N576,V576)</f>
        <v/>
      </c>
      <c r="B576" s="7" t="str">
        <f t="shared" si="24"/>
        <v/>
      </c>
      <c r="C576" s="7"/>
      <c r="D576" s="7" t="str">
        <f t="shared" si="25"/>
        <v>E</v>
      </c>
      <c r="E576" s="10">
        <f t="shared" si="26"/>
        <v>0</v>
      </c>
      <c r="F576" s="7" t="e">
        <f t="array" ref="F576">+TIPOARMA(H576,I576)</f>
        <v>#VALUE!</v>
      </c>
      <c r="G576" s="7"/>
      <c r="H576" s="7" t="e">
        <f>+VLOOKUP(Q576,Maps!I:J,2,0)</f>
        <v>#N/A</v>
      </c>
      <c r="I576" s="7" t="e">
        <f>+VLOOKUP(T576,Maps!E:F,2,0)</f>
        <v>#N/A</v>
      </c>
    </row>
    <row r="577" spans="1:9" ht="14.25" customHeight="1" x14ac:dyDescent="0.35">
      <c r="A577" s="7" t="str">
        <f t="array" ref="A577">EXTRACTEVENT(N577,V577)</f>
        <v/>
      </c>
      <c r="B577" s="7" t="str">
        <f t="shared" si="24"/>
        <v/>
      </c>
      <c r="C577" s="7"/>
      <c r="D577" s="7" t="str">
        <f t="shared" si="25"/>
        <v>E</v>
      </c>
      <c r="E577" s="10">
        <f t="shared" si="26"/>
        <v>0</v>
      </c>
      <c r="F577" s="7" t="e">
        <f t="array" ref="F577">+TIPOARMA(H577,I577)</f>
        <v>#VALUE!</v>
      </c>
      <c r="G577" s="7"/>
      <c r="H577" s="7" t="e">
        <f>+VLOOKUP(Q577,Maps!I:J,2,0)</f>
        <v>#N/A</v>
      </c>
      <c r="I577" s="7" t="e">
        <f>+VLOOKUP(T577,Maps!E:F,2,0)</f>
        <v>#N/A</v>
      </c>
    </row>
    <row r="578" spans="1:9" ht="14.25" customHeight="1" x14ac:dyDescent="0.35">
      <c r="A578" s="7" t="str">
        <f t="array" ref="A578">EXTRACTEVENT(N578,V578)</f>
        <v/>
      </c>
      <c r="B578" s="7" t="str">
        <f t="shared" ref="B578:B641" si="27">+IF(V578="TREINO","-",LEFT(N578,1))</f>
        <v/>
      </c>
      <c r="C578" s="7"/>
      <c r="D578" s="7" t="str">
        <f t="shared" ref="D578:D641" si="28">+IF($V578="TREINO","T",IF(V578="NACIONAL","N","E"))</f>
        <v>E</v>
      </c>
      <c r="E578" s="10">
        <f t="shared" ref="E578:E641" si="29">IFERROR(DATEVALUE(LEFT(M578,10)),M578)</f>
        <v>0</v>
      </c>
      <c r="F578" s="7" t="e">
        <f t="array" ref="F578">+TIPOARMA(H578,I578)</f>
        <v>#VALUE!</v>
      </c>
      <c r="G578" s="7"/>
      <c r="H578" s="7" t="e">
        <f>+VLOOKUP(Q578,Maps!I:J,2,0)</f>
        <v>#N/A</v>
      </c>
      <c r="I578" s="7" t="e">
        <f>+VLOOKUP(T578,Maps!E:F,2,0)</f>
        <v>#N/A</v>
      </c>
    </row>
    <row r="579" spans="1:9" ht="14.25" customHeight="1" x14ac:dyDescent="0.35">
      <c r="A579" s="7" t="str">
        <f t="array" ref="A579">EXTRACTEVENT(N579,V579)</f>
        <v/>
      </c>
      <c r="B579" s="7" t="str">
        <f t="shared" si="27"/>
        <v/>
      </c>
      <c r="C579" s="7"/>
      <c r="D579" s="7" t="str">
        <f t="shared" si="28"/>
        <v>E</v>
      </c>
      <c r="E579" s="10">
        <f t="shared" si="29"/>
        <v>0</v>
      </c>
      <c r="F579" s="7" t="e">
        <f t="array" ref="F579">+TIPOARMA(H579,I579)</f>
        <v>#VALUE!</v>
      </c>
      <c r="G579" s="7"/>
      <c r="H579" s="7" t="e">
        <f>+VLOOKUP(Q579,Maps!I:J,2,0)</f>
        <v>#N/A</v>
      </c>
      <c r="I579" s="7" t="e">
        <f>+VLOOKUP(T579,Maps!E:F,2,0)</f>
        <v>#N/A</v>
      </c>
    </row>
    <row r="580" spans="1:9" ht="14.25" customHeight="1" x14ac:dyDescent="0.35">
      <c r="A580" s="7" t="str">
        <f t="array" ref="A580">EXTRACTEVENT(N580,V580)</f>
        <v/>
      </c>
      <c r="B580" s="7" t="str">
        <f t="shared" si="27"/>
        <v/>
      </c>
      <c r="C580" s="7"/>
      <c r="D580" s="7" t="str">
        <f t="shared" si="28"/>
        <v>E</v>
      </c>
      <c r="E580" s="10">
        <f t="shared" si="29"/>
        <v>0</v>
      </c>
      <c r="F580" s="7" t="e">
        <f t="array" ref="F580">+TIPOARMA(H580,I580)</f>
        <v>#VALUE!</v>
      </c>
      <c r="G580" s="7"/>
      <c r="H580" s="7" t="e">
        <f>+VLOOKUP(Q580,Maps!I:J,2,0)</f>
        <v>#N/A</v>
      </c>
      <c r="I580" s="7" t="e">
        <f>+VLOOKUP(T580,Maps!E:F,2,0)</f>
        <v>#N/A</v>
      </c>
    </row>
    <row r="581" spans="1:9" ht="14.25" customHeight="1" x14ac:dyDescent="0.35">
      <c r="A581" s="7" t="str">
        <f t="array" ref="A581">EXTRACTEVENT(N581,V581)</f>
        <v/>
      </c>
      <c r="B581" s="7" t="str">
        <f t="shared" si="27"/>
        <v/>
      </c>
      <c r="C581" s="7"/>
      <c r="D581" s="7" t="str">
        <f t="shared" si="28"/>
        <v>E</v>
      </c>
      <c r="E581" s="10">
        <f t="shared" si="29"/>
        <v>0</v>
      </c>
      <c r="F581" s="7" t="e">
        <f t="array" ref="F581">+TIPOARMA(H581,I581)</f>
        <v>#VALUE!</v>
      </c>
      <c r="G581" s="7"/>
      <c r="H581" s="7" t="e">
        <f>+VLOOKUP(Q581,Maps!I:J,2,0)</f>
        <v>#N/A</v>
      </c>
      <c r="I581" s="7" t="e">
        <f>+VLOOKUP(T581,Maps!E:F,2,0)</f>
        <v>#N/A</v>
      </c>
    </row>
    <row r="582" spans="1:9" ht="14.25" customHeight="1" x14ac:dyDescent="0.35">
      <c r="A582" s="7" t="str">
        <f t="array" ref="A582">EXTRACTEVENT(N582,V582)</f>
        <v/>
      </c>
      <c r="B582" s="7" t="str">
        <f t="shared" si="27"/>
        <v/>
      </c>
      <c r="C582" s="7"/>
      <c r="D582" s="7" t="str">
        <f t="shared" si="28"/>
        <v>E</v>
      </c>
      <c r="E582" s="10">
        <f t="shared" si="29"/>
        <v>0</v>
      </c>
      <c r="F582" s="7" t="e">
        <f t="array" ref="F582">+TIPOARMA(H582,I582)</f>
        <v>#VALUE!</v>
      </c>
      <c r="G582" s="7"/>
      <c r="H582" s="7" t="e">
        <f>+VLOOKUP(Q582,Maps!I:J,2,0)</f>
        <v>#N/A</v>
      </c>
      <c r="I582" s="7" t="e">
        <f>+VLOOKUP(T582,Maps!E:F,2,0)</f>
        <v>#N/A</v>
      </c>
    </row>
    <row r="583" spans="1:9" ht="14.25" customHeight="1" x14ac:dyDescent="0.35">
      <c r="A583" s="7" t="str">
        <f t="array" ref="A583">EXTRACTEVENT(N583,V583)</f>
        <v/>
      </c>
      <c r="B583" s="7" t="str">
        <f t="shared" si="27"/>
        <v/>
      </c>
      <c r="C583" s="7"/>
      <c r="D583" s="7" t="str">
        <f t="shared" si="28"/>
        <v>E</v>
      </c>
      <c r="E583" s="10">
        <f t="shared" si="29"/>
        <v>0</v>
      </c>
      <c r="F583" s="7" t="e">
        <f t="array" ref="F583">+TIPOARMA(H583,I583)</f>
        <v>#VALUE!</v>
      </c>
      <c r="G583" s="7"/>
      <c r="H583" s="7" t="e">
        <f>+VLOOKUP(Q583,Maps!I:J,2,0)</f>
        <v>#N/A</v>
      </c>
      <c r="I583" s="7" t="e">
        <f>+VLOOKUP(T583,Maps!E:F,2,0)</f>
        <v>#N/A</v>
      </c>
    </row>
    <row r="584" spans="1:9" ht="14.25" customHeight="1" x14ac:dyDescent="0.35">
      <c r="A584" s="7" t="str">
        <f t="array" ref="A584">EXTRACTEVENT(N584,V584)</f>
        <v/>
      </c>
      <c r="B584" s="7" t="str">
        <f t="shared" si="27"/>
        <v/>
      </c>
      <c r="C584" s="7"/>
      <c r="D584" s="7" t="str">
        <f t="shared" si="28"/>
        <v>E</v>
      </c>
      <c r="E584" s="10">
        <f t="shared" si="29"/>
        <v>0</v>
      </c>
      <c r="F584" s="7" t="e">
        <f t="array" ref="F584">+TIPOARMA(H584,I584)</f>
        <v>#VALUE!</v>
      </c>
      <c r="G584" s="7"/>
      <c r="H584" s="7" t="e">
        <f>+VLOOKUP(Q584,Maps!I:J,2,0)</f>
        <v>#N/A</v>
      </c>
      <c r="I584" s="7" t="e">
        <f>+VLOOKUP(T584,Maps!E:F,2,0)</f>
        <v>#N/A</v>
      </c>
    </row>
    <row r="585" spans="1:9" ht="14.25" customHeight="1" x14ac:dyDescent="0.35">
      <c r="A585" s="7" t="str">
        <f t="array" ref="A585">EXTRACTEVENT(N585,V585)</f>
        <v/>
      </c>
      <c r="B585" s="7" t="str">
        <f t="shared" si="27"/>
        <v/>
      </c>
      <c r="C585" s="7"/>
      <c r="D585" s="7" t="str">
        <f t="shared" si="28"/>
        <v>E</v>
      </c>
      <c r="E585" s="10">
        <f t="shared" si="29"/>
        <v>0</v>
      </c>
      <c r="F585" s="7" t="e">
        <f t="array" ref="F585">+TIPOARMA(H585,I585)</f>
        <v>#VALUE!</v>
      </c>
      <c r="G585" s="7"/>
      <c r="H585" s="7" t="e">
        <f>+VLOOKUP(Q585,Maps!I:J,2,0)</f>
        <v>#N/A</v>
      </c>
      <c r="I585" s="7" t="e">
        <f>+VLOOKUP(T585,Maps!E:F,2,0)</f>
        <v>#N/A</v>
      </c>
    </row>
    <row r="586" spans="1:9" ht="14.25" customHeight="1" x14ac:dyDescent="0.35">
      <c r="A586" s="7" t="str">
        <f t="array" ref="A586">EXTRACTEVENT(N586,V586)</f>
        <v/>
      </c>
      <c r="B586" s="7" t="str">
        <f t="shared" si="27"/>
        <v/>
      </c>
      <c r="C586" s="7"/>
      <c r="D586" s="7" t="str">
        <f t="shared" si="28"/>
        <v>E</v>
      </c>
      <c r="E586" s="10">
        <f t="shared" si="29"/>
        <v>0</v>
      </c>
      <c r="F586" s="7" t="e">
        <f t="array" ref="F586">+TIPOARMA(H586,I586)</f>
        <v>#VALUE!</v>
      </c>
      <c r="G586" s="7"/>
      <c r="H586" s="7" t="e">
        <f>+VLOOKUP(Q586,Maps!I:J,2,0)</f>
        <v>#N/A</v>
      </c>
      <c r="I586" s="7" t="e">
        <f>+VLOOKUP(T586,Maps!E:F,2,0)</f>
        <v>#N/A</v>
      </c>
    </row>
    <row r="587" spans="1:9" ht="14.25" customHeight="1" x14ac:dyDescent="0.35">
      <c r="A587" s="7" t="str">
        <f t="array" ref="A587">EXTRACTEVENT(N587,V587)</f>
        <v/>
      </c>
      <c r="B587" s="7" t="str">
        <f t="shared" si="27"/>
        <v/>
      </c>
      <c r="C587" s="7"/>
      <c r="D587" s="7" t="str">
        <f t="shared" si="28"/>
        <v>E</v>
      </c>
      <c r="E587" s="10">
        <f t="shared" si="29"/>
        <v>0</v>
      </c>
      <c r="F587" s="7" t="e">
        <f t="array" ref="F587">+TIPOARMA(H587,I587)</f>
        <v>#VALUE!</v>
      </c>
      <c r="G587" s="7"/>
      <c r="H587" s="7" t="e">
        <f>+VLOOKUP(Q587,Maps!I:J,2,0)</f>
        <v>#N/A</v>
      </c>
      <c r="I587" s="7" t="e">
        <f>+VLOOKUP(T587,Maps!E:F,2,0)</f>
        <v>#N/A</v>
      </c>
    </row>
    <row r="588" spans="1:9" ht="14.25" customHeight="1" x14ac:dyDescent="0.35">
      <c r="A588" s="7" t="str">
        <f t="array" ref="A588">EXTRACTEVENT(N588,V588)</f>
        <v/>
      </c>
      <c r="B588" s="7" t="str">
        <f t="shared" si="27"/>
        <v/>
      </c>
      <c r="C588" s="7"/>
      <c r="D588" s="7" t="str">
        <f t="shared" si="28"/>
        <v>E</v>
      </c>
      <c r="E588" s="10">
        <f t="shared" si="29"/>
        <v>0</v>
      </c>
      <c r="F588" s="7" t="e">
        <f t="array" ref="F588">+TIPOARMA(H588,I588)</f>
        <v>#VALUE!</v>
      </c>
      <c r="G588" s="7"/>
      <c r="H588" s="7" t="e">
        <f>+VLOOKUP(Q588,Maps!I:J,2,0)</f>
        <v>#N/A</v>
      </c>
      <c r="I588" s="7" t="e">
        <f>+VLOOKUP(T588,Maps!E:F,2,0)</f>
        <v>#N/A</v>
      </c>
    </row>
    <row r="589" spans="1:9" ht="14.25" customHeight="1" x14ac:dyDescent="0.35">
      <c r="A589" s="7" t="str">
        <f t="array" ref="A589">EXTRACTEVENT(N589,V589)</f>
        <v/>
      </c>
      <c r="B589" s="7" t="str">
        <f t="shared" si="27"/>
        <v/>
      </c>
      <c r="C589" s="7"/>
      <c r="D589" s="7" t="str">
        <f t="shared" si="28"/>
        <v>E</v>
      </c>
      <c r="E589" s="10">
        <f t="shared" si="29"/>
        <v>0</v>
      </c>
      <c r="F589" s="7" t="e">
        <f t="array" ref="F589">+TIPOARMA(H589,I589)</f>
        <v>#VALUE!</v>
      </c>
      <c r="G589" s="7"/>
      <c r="H589" s="7" t="e">
        <f>+VLOOKUP(Q589,Maps!I:J,2,0)</f>
        <v>#N/A</v>
      </c>
      <c r="I589" s="7" t="e">
        <f>+VLOOKUP(T589,Maps!E:F,2,0)</f>
        <v>#N/A</v>
      </c>
    </row>
    <row r="590" spans="1:9" ht="14.25" customHeight="1" x14ac:dyDescent="0.35">
      <c r="A590" s="7" t="str">
        <f t="array" ref="A590">EXTRACTEVENT(N590,V590)</f>
        <v/>
      </c>
      <c r="B590" s="7" t="str">
        <f t="shared" si="27"/>
        <v/>
      </c>
      <c r="C590" s="7"/>
      <c r="D590" s="7" t="str">
        <f t="shared" si="28"/>
        <v>E</v>
      </c>
      <c r="E590" s="10">
        <f t="shared" si="29"/>
        <v>0</v>
      </c>
      <c r="F590" s="7" t="e">
        <f t="array" ref="F590">+TIPOARMA(H590,I590)</f>
        <v>#VALUE!</v>
      </c>
      <c r="G590" s="7"/>
      <c r="H590" s="7" t="e">
        <f>+VLOOKUP(Q590,Maps!I:J,2,0)</f>
        <v>#N/A</v>
      </c>
      <c r="I590" s="7" t="e">
        <f>+VLOOKUP(T590,Maps!E:F,2,0)</f>
        <v>#N/A</v>
      </c>
    </row>
    <row r="591" spans="1:9" ht="14.25" customHeight="1" x14ac:dyDescent="0.35">
      <c r="A591" s="7" t="str">
        <f t="array" ref="A591">EXTRACTEVENT(N591,V591)</f>
        <v/>
      </c>
      <c r="B591" s="7" t="str">
        <f t="shared" si="27"/>
        <v/>
      </c>
      <c r="C591" s="7"/>
      <c r="D591" s="7" t="str">
        <f t="shared" si="28"/>
        <v>E</v>
      </c>
      <c r="E591" s="10">
        <f t="shared" si="29"/>
        <v>0</v>
      </c>
      <c r="F591" s="7" t="e">
        <f t="array" ref="F591">+TIPOARMA(H591,I591)</f>
        <v>#VALUE!</v>
      </c>
      <c r="G591" s="7"/>
      <c r="H591" s="7" t="e">
        <f>+VLOOKUP(Q591,Maps!I:J,2,0)</f>
        <v>#N/A</v>
      </c>
      <c r="I591" s="7" t="e">
        <f>+VLOOKUP(T591,Maps!E:F,2,0)</f>
        <v>#N/A</v>
      </c>
    </row>
    <row r="592" spans="1:9" ht="14.25" customHeight="1" x14ac:dyDescent="0.35">
      <c r="A592" s="7" t="str">
        <f t="array" ref="A592">EXTRACTEVENT(N592,V592)</f>
        <v/>
      </c>
      <c r="B592" s="7" t="str">
        <f t="shared" si="27"/>
        <v/>
      </c>
      <c r="C592" s="7"/>
      <c r="D592" s="7" t="str">
        <f t="shared" si="28"/>
        <v>E</v>
      </c>
      <c r="E592" s="10">
        <f t="shared" si="29"/>
        <v>0</v>
      </c>
      <c r="F592" s="7" t="e">
        <f t="array" ref="F592">+TIPOARMA(H592,I592)</f>
        <v>#VALUE!</v>
      </c>
      <c r="G592" s="7"/>
      <c r="H592" s="7" t="e">
        <f>+VLOOKUP(Q592,Maps!I:J,2,0)</f>
        <v>#N/A</v>
      </c>
      <c r="I592" s="7" t="e">
        <f>+VLOOKUP(T592,Maps!E:F,2,0)</f>
        <v>#N/A</v>
      </c>
    </row>
    <row r="593" spans="1:9" ht="14.25" customHeight="1" x14ac:dyDescent="0.35">
      <c r="A593" s="7" t="str">
        <f t="array" ref="A593">EXTRACTEVENT(N593,V593)</f>
        <v/>
      </c>
      <c r="B593" s="7" t="str">
        <f t="shared" si="27"/>
        <v/>
      </c>
      <c r="C593" s="7"/>
      <c r="D593" s="7" t="str">
        <f t="shared" si="28"/>
        <v>E</v>
      </c>
      <c r="E593" s="10">
        <f t="shared" si="29"/>
        <v>0</v>
      </c>
      <c r="F593" s="7" t="e">
        <f t="array" ref="F593">+TIPOARMA(H593,I593)</f>
        <v>#VALUE!</v>
      </c>
      <c r="G593" s="7"/>
      <c r="H593" s="7" t="e">
        <f>+VLOOKUP(Q593,Maps!I:J,2,0)</f>
        <v>#N/A</v>
      </c>
      <c r="I593" s="7" t="e">
        <f>+VLOOKUP(T593,Maps!E:F,2,0)</f>
        <v>#N/A</v>
      </c>
    </row>
    <row r="594" spans="1:9" ht="14.25" customHeight="1" x14ac:dyDescent="0.35">
      <c r="A594" s="7" t="str">
        <f t="array" ref="A594">EXTRACTEVENT(N594,V594)</f>
        <v/>
      </c>
      <c r="B594" s="7" t="str">
        <f t="shared" si="27"/>
        <v/>
      </c>
      <c r="C594" s="7"/>
      <c r="D594" s="7" t="str">
        <f t="shared" si="28"/>
        <v>E</v>
      </c>
      <c r="E594" s="10">
        <f t="shared" si="29"/>
        <v>0</v>
      </c>
      <c r="F594" s="7" t="e">
        <f t="array" ref="F594">+TIPOARMA(H594,I594)</f>
        <v>#VALUE!</v>
      </c>
      <c r="G594" s="7"/>
      <c r="H594" s="7" t="e">
        <f>+VLOOKUP(Q594,Maps!I:J,2,0)</f>
        <v>#N/A</v>
      </c>
      <c r="I594" s="7" t="e">
        <f>+VLOOKUP(T594,Maps!E:F,2,0)</f>
        <v>#N/A</v>
      </c>
    </row>
    <row r="595" spans="1:9" ht="14.25" customHeight="1" x14ac:dyDescent="0.35">
      <c r="A595" s="7" t="str">
        <f t="array" ref="A595">EXTRACTEVENT(N595,V595)</f>
        <v/>
      </c>
      <c r="B595" s="7" t="str">
        <f t="shared" si="27"/>
        <v/>
      </c>
      <c r="C595" s="7"/>
      <c r="D595" s="7" t="str">
        <f t="shared" si="28"/>
        <v>E</v>
      </c>
      <c r="E595" s="10">
        <f t="shared" si="29"/>
        <v>0</v>
      </c>
      <c r="F595" s="7" t="e">
        <f t="array" ref="F595">+TIPOARMA(H595,I595)</f>
        <v>#VALUE!</v>
      </c>
      <c r="G595" s="7"/>
      <c r="H595" s="7" t="e">
        <f>+VLOOKUP(Q595,Maps!I:J,2,0)</f>
        <v>#N/A</v>
      </c>
      <c r="I595" s="7" t="e">
        <f>+VLOOKUP(T595,Maps!E:F,2,0)</f>
        <v>#N/A</v>
      </c>
    </row>
    <row r="596" spans="1:9" ht="14.25" customHeight="1" x14ac:dyDescent="0.35">
      <c r="A596" s="7" t="str">
        <f t="array" ref="A596">EXTRACTEVENT(N596,V596)</f>
        <v/>
      </c>
      <c r="B596" s="7" t="str">
        <f t="shared" si="27"/>
        <v/>
      </c>
      <c r="C596" s="7"/>
      <c r="D596" s="7" t="str">
        <f t="shared" si="28"/>
        <v>E</v>
      </c>
      <c r="E596" s="10">
        <f t="shared" si="29"/>
        <v>0</v>
      </c>
      <c r="F596" s="7" t="e">
        <f t="array" ref="F596">+TIPOARMA(H596,I596)</f>
        <v>#VALUE!</v>
      </c>
      <c r="G596" s="7"/>
      <c r="H596" s="7" t="e">
        <f>+VLOOKUP(Q596,Maps!I:J,2,0)</f>
        <v>#N/A</v>
      </c>
      <c r="I596" s="7" t="e">
        <f>+VLOOKUP(T596,Maps!E:F,2,0)</f>
        <v>#N/A</v>
      </c>
    </row>
    <row r="597" spans="1:9" ht="14.25" customHeight="1" x14ac:dyDescent="0.35">
      <c r="A597" s="7" t="str">
        <f t="array" ref="A597">EXTRACTEVENT(N597,V597)</f>
        <v/>
      </c>
      <c r="B597" s="7" t="str">
        <f t="shared" si="27"/>
        <v/>
      </c>
      <c r="C597" s="7"/>
      <c r="D597" s="7" t="str">
        <f t="shared" si="28"/>
        <v>E</v>
      </c>
      <c r="E597" s="10">
        <f t="shared" si="29"/>
        <v>0</v>
      </c>
      <c r="F597" s="7" t="e">
        <f t="array" ref="F597">+TIPOARMA(H597,I597)</f>
        <v>#VALUE!</v>
      </c>
      <c r="G597" s="7"/>
      <c r="H597" s="7" t="e">
        <f>+VLOOKUP(Q597,Maps!I:J,2,0)</f>
        <v>#N/A</v>
      </c>
      <c r="I597" s="7" t="e">
        <f>+VLOOKUP(T597,Maps!E:F,2,0)</f>
        <v>#N/A</v>
      </c>
    </row>
    <row r="598" spans="1:9" ht="14.25" customHeight="1" x14ac:dyDescent="0.35">
      <c r="A598" s="7" t="str">
        <f t="array" ref="A598">EXTRACTEVENT(N598,V598)</f>
        <v/>
      </c>
      <c r="B598" s="7" t="str">
        <f t="shared" si="27"/>
        <v/>
      </c>
      <c r="C598" s="7"/>
      <c r="D598" s="7" t="str">
        <f t="shared" si="28"/>
        <v>E</v>
      </c>
      <c r="E598" s="10">
        <f t="shared" si="29"/>
        <v>0</v>
      </c>
      <c r="F598" s="7" t="e">
        <f t="array" ref="F598">+TIPOARMA(H598,I598)</f>
        <v>#VALUE!</v>
      </c>
      <c r="G598" s="7"/>
      <c r="H598" s="7" t="e">
        <f>+VLOOKUP(Q598,Maps!I:J,2,0)</f>
        <v>#N/A</v>
      </c>
      <c r="I598" s="7" t="e">
        <f>+VLOOKUP(T598,Maps!E:F,2,0)</f>
        <v>#N/A</v>
      </c>
    </row>
    <row r="599" spans="1:9" ht="14.25" customHeight="1" x14ac:dyDescent="0.35">
      <c r="A599" s="7" t="str">
        <f t="array" ref="A599">EXTRACTEVENT(N599,V599)</f>
        <v/>
      </c>
      <c r="B599" s="7" t="str">
        <f t="shared" si="27"/>
        <v/>
      </c>
      <c r="C599" s="7"/>
      <c r="D599" s="7" t="str">
        <f t="shared" si="28"/>
        <v>E</v>
      </c>
      <c r="E599" s="10">
        <f t="shared" si="29"/>
        <v>0</v>
      </c>
      <c r="F599" s="7" t="e">
        <f t="array" ref="F599">+TIPOARMA(H599,I599)</f>
        <v>#VALUE!</v>
      </c>
      <c r="G599" s="7"/>
      <c r="H599" s="7" t="e">
        <f>+VLOOKUP(Q599,Maps!I:J,2,0)</f>
        <v>#N/A</v>
      </c>
      <c r="I599" s="7" t="e">
        <f>+VLOOKUP(T599,Maps!E:F,2,0)</f>
        <v>#N/A</v>
      </c>
    </row>
    <row r="600" spans="1:9" ht="14.25" customHeight="1" x14ac:dyDescent="0.35">
      <c r="A600" s="7" t="str">
        <f t="array" ref="A600">EXTRACTEVENT(N600,V600)</f>
        <v/>
      </c>
      <c r="B600" s="7" t="str">
        <f t="shared" si="27"/>
        <v/>
      </c>
      <c r="C600" s="7"/>
      <c r="D600" s="7" t="str">
        <f t="shared" si="28"/>
        <v>E</v>
      </c>
      <c r="E600" s="10">
        <f t="shared" si="29"/>
        <v>0</v>
      </c>
      <c r="F600" s="7" t="e">
        <f t="array" ref="F600">+TIPOARMA(H600,I600)</f>
        <v>#VALUE!</v>
      </c>
      <c r="G600" s="7"/>
      <c r="H600" s="7" t="e">
        <f>+VLOOKUP(Q600,Maps!I:J,2,0)</f>
        <v>#N/A</v>
      </c>
      <c r="I600" s="7" t="e">
        <f>+VLOOKUP(T600,Maps!E:F,2,0)</f>
        <v>#N/A</v>
      </c>
    </row>
    <row r="601" spans="1:9" ht="14.25" customHeight="1" x14ac:dyDescent="0.35">
      <c r="A601" s="7" t="str">
        <f t="array" ref="A601">EXTRACTEVENT(N601,V601)</f>
        <v/>
      </c>
      <c r="B601" s="7" t="str">
        <f t="shared" si="27"/>
        <v/>
      </c>
      <c r="C601" s="7"/>
      <c r="D601" s="7" t="str">
        <f t="shared" si="28"/>
        <v>E</v>
      </c>
      <c r="E601" s="10">
        <f t="shared" si="29"/>
        <v>0</v>
      </c>
      <c r="F601" s="7" t="e">
        <f t="array" ref="F601">+TIPOARMA(H601,I601)</f>
        <v>#VALUE!</v>
      </c>
      <c r="G601" s="7"/>
      <c r="H601" s="7" t="e">
        <f>+VLOOKUP(Q601,Maps!I:J,2,0)</f>
        <v>#N/A</v>
      </c>
      <c r="I601" s="7" t="e">
        <f>+VLOOKUP(T601,Maps!E:F,2,0)</f>
        <v>#N/A</v>
      </c>
    </row>
    <row r="602" spans="1:9" ht="14.25" customHeight="1" x14ac:dyDescent="0.35">
      <c r="A602" s="7" t="str">
        <f t="array" ref="A602">EXTRACTEVENT(N602,V602)</f>
        <v/>
      </c>
      <c r="B602" s="7" t="str">
        <f t="shared" si="27"/>
        <v/>
      </c>
      <c r="C602" s="7"/>
      <c r="D602" s="7" t="str">
        <f t="shared" si="28"/>
        <v>E</v>
      </c>
      <c r="E602" s="10">
        <f t="shared" si="29"/>
        <v>0</v>
      </c>
      <c r="F602" s="7" t="e">
        <f t="array" ref="F602">+TIPOARMA(H602,I602)</f>
        <v>#VALUE!</v>
      </c>
      <c r="G602" s="7"/>
      <c r="H602" s="7" t="e">
        <f>+VLOOKUP(Q602,Maps!I:J,2,0)</f>
        <v>#N/A</v>
      </c>
      <c r="I602" s="7" t="e">
        <f>+VLOOKUP(T602,Maps!E:F,2,0)</f>
        <v>#N/A</v>
      </c>
    </row>
    <row r="603" spans="1:9" ht="14.25" customHeight="1" x14ac:dyDescent="0.35">
      <c r="A603" s="7" t="str">
        <f t="array" ref="A603">EXTRACTEVENT(N603,V603)</f>
        <v/>
      </c>
      <c r="B603" s="7" t="str">
        <f t="shared" si="27"/>
        <v/>
      </c>
      <c r="C603" s="7"/>
      <c r="D603" s="7" t="str">
        <f t="shared" si="28"/>
        <v>E</v>
      </c>
      <c r="E603" s="10">
        <f t="shared" si="29"/>
        <v>0</v>
      </c>
      <c r="F603" s="7" t="e">
        <f t="array" ref="F603">+TIPOARMA(H603,I603)</f>
        <v>#VALUE!</v>
      </c>
      <c r="G603" s="7"/>
      <c r="H603" s="7" t="e">
        <f>+VLOOKUP(Q603,Maps!I:J,2,0)</f>
        <v>#N/A</v>
      </c>
      <c r="I603" s="7" t="e">
        <f>+VLOOKUP(T603,Maps!E:F,2,0)</f>
        <v>#N/A</v>
      </c>
    </row>
    <row r="604" spans="1:9" ht="14.25" customHeight="1" x14ac:dyDescent="0.35">
      <c r="A604" s="7" t="str">
        <f t="array" ref="A604">EXTRACTEVENT(N604,V604)</f>
        <v/>
      </c>
      <c r="B604" s="7" t="str">
        <f t="shared" si="27"/>
        <v/>
      </c>
      <c r="C604" s="7"/>
      <c r="D604" s="7" t="str">
        <f t="shared" si="28"/>
        <v>E</v>
      </c>
      <c r="E604" s="10">
        <f t="shared" si="29"/>
        <v>0</v>
      </c>
      <c r="F604" s="7" t="e">
        <f t="array" ref="F604">+TIPOARMA(H604,I604)</f>
        <v>#VALUE!</v>
      </c>
      <c r="G604" s="7"/>
      <c r="H604" s="7" t="e">
        <f>+VLOOKUP(Q604,Maps!I:J,2,0)</f>
        <v>#N/A</v>
      </c>
      <c r="I604" s="7" t="e">
        <f>+VLOOKUP(T604,Maps!E:F,2,0)</f>
        <v>#N/A</v>
      </c>
    </row>
    <row r="605" spans="1:9" ht="14.25" customHeight="1" x14ac:dyDescent="0.35">
      <c r="A605" s="7" t="str">
        <f t="array" ref="A605">EXTRACTEVENT(N605,V605)</f>
        <v/>
      </c>
      <c r="B605" s="7" t="str">
        <f t="shared" si="27"/>
        <v/>
      </c>
      <c r="C605" s="7"/>
      <c r="D605" s="7" t="str">
        <f t="shared" si="28"/>
        <v>E</v>
      </c>
      <c r="E605" s="10">
        <f t="shared" si="29"/>
        <v>0</v>
      </c>
      <c r="F605" s="7" t="e">
        <f t="array" ref="F605">+TIPOARMA(H605,I605)</f>
        <v>#VALUE!</v>
      </c>
      <c r="G605" s="7"/>
      <c r="H605" s="7" t="e">
        <f>+VLOOKUP(Q605,Maps!I:J,2,0)</f>
        <v>#N/A</v>
      </c>
      <c r="I605" s="7" t="e">
        <f>+VLOOKUP(T605,Maps!E:F,2,0)</f>
        <v>#N/A</v>
      </c>
    </row>
    <row r="606" spans="1:9" ht="14.25" customHeight="1" x14ac:dyDescent="0.35">
      <c r="A606" s="7" t="str">
        <f t="array" ref="A606">EXTRACTEVENT(N606,V606)</f>
        <v/>
      </c>
      <c r="B606" s="7" t="str">
        <f t="shared" si="27"/>
        <v/>
      </c>
      <c r="C606" s="7"/>
      <c r="D606" s="7" t="str">
        <f t="shared" si="28"/>
        <v>E</v>
      </c>
      <c r="E606" s="10">
        <f t="shared" si="29"/>
        <v>0</v>
      </c>
      <c r="F606" s="7" t="e">
        <f t="array" ref="F606">+TIPOARMA(H606,I606)</f>
        <v>#VALUE!</v>
      </c>
      <c r="G606" s="7"/>
      <c r="H606" s="7" t="e">
        <f>+VLOOKUP(Q606,Maps!I:J,2,0)</f>
        <v>#N/A</v>
      </c>
      <c r="I606" s="7" t="e">
        <f>+VLOOKUP(T606,Maps!E:F,2,0)</f>
        <v>#N/A</v>
      </c>
    </row>
    <row r="607" spans="1:9" ht="14.25" customHeight="1" x14ac:dyDescent="0.35">
      <c r="A607" s="7" t="str">
        <f t="array" ref="A607">EXTRACTEVENT(N607,V607)</f>
        <v/>
      </c>
      <c r="B607" s="7" t="str">
        <f t="shared" si="27"/>
        <v/>
      </c>
      <c r="C607" s="7"/>
      <c r="D607" s="7" t="str">
        <f t="shared" si="28"/>
        <v>E</v>
      </c>
      <c r="E607" s="10">
        <f t="shared" si="29"/>
        <v>0</v>
      </c>
      <c r="F607" s="7" t="e">
        <f t="array" ref="F607">+TIPOARMA(H607,I607)</f>
        <v>#VALUE!</v>
      </c>
      <c r="G607" s="7"/>
      <c r="H607" s="7" t="e">
        <f>+VLOOKUP(Q607,Maps!I:J,2,0)</f>
        <v>#N/A</v>
      </c>
      <c r="I607" s="7" t="e">
        <f>+VLOOKUP(T607,Maps!E:F,2,0)</f>
        <v>#N/A</v>
      </c>
    </row>
    <row r="608" spans="1:9" ht="14.25" customHeight="1" x14ac:dyDescent="0.35">
      <c r="A608" s="7" t="str">
        <f t="array" ref="A608">EXTRACTEVENT(N608,V608)</f>
        <v/>
      </c>
      <c r="B608" s="7" t="str">
        <f t="shared" si="27"/>
        <v/>
      </c>
      <c r="C608" s="7"/>
      <c r="D608" s="7" t="str">
        <f t="shared" si="28"/>
        <v>E</v>
      </c>
      <c r="E608" s="10">
        <f t="shared" si="29"/>
        <v>0</v>
      </c>
      <c r="F608" s="7" t="e">
        <f t="array" ref="F608">+TIPOARMA(H608,I608)</f>
        <v>#VALUE!</v>
      </c>
      <c r="G608" s="7"/>
      <c r="H608" s="7" t="e">
        <f>+VLOOKUP(Q608,Maps!I:J,2,0)</f>
        <v>#N/A</v>
      </c>
      <c r="I608" s="7" t="e">
        <f>+VLOOKUP(T608,Maps!E:F,2,0)</f>
        <v>#N/A</v>
      </c>
    </row>
    <row r="609" spans="1:9" ht="14.25" customHeight="1" x14ac:dyDescent="0.35">
      <c r="A609" s="7" t="str">
        <f t="array" ref="A609">EXTRACTEVENT(N609,V609)</f>
        <v/>
      </c>
      <c r="B609" s="7" t="str">
        <f t="shared" si="27"/>
        <v/>
      </c>
      <c r="C609" s="7"/>
      <c r="D609" s="7" t="str">
        <f t="shared" si="28"/>
        <v>E</v>
      </c>
      <c r="E609" s="10">
        <f t="shared" si="29"/>
        <v>0</v>
      </c>
      <c r="F609" s="7" t="e">
        <f t="array" ref="F609">+TIPOARMA(H609,I609)</f>
        <v>#VALUE!</v>
      </c>
      <c r="G609" s="7"/>
      <c r="H609" s="7" t="e">
        <f>+VLOOKUP(Q609,Maps!I:J,2,0)</f>
        <v>#N/A</v>
      </c>
      <c r="I609" s="7" t="e">
        <f>+VLOOKUP(T609,Maps!E:F,2,0)</f>
        <v>#N/A</v>
      </c>
    </row>
    <row r="610" spans="1:9" ht="14.25" customHeight="1" x14ac:dyDescent="0.35">
      <c r="A610" s="7" t="str">
        <f t="array" ref="A610">EXTRACTEVENT(N610,V610)</f>
        <v/>
      </c>
      <c r="B610" s="7" t="str">
        <f t="shared" si="27"/>
        <v/>
      </c>
      <c r="C610" s="7"/>
      <c r="D610" s="7" t="str">
        <f t="shared" si="28"/>
        <v>E</v>
      </c>
      <c r="E610" s="10">
        <f t="shared" si="29"/>
        <v>0</v>
      </c>
      <c r="F610" s="7" t="e">
        <f t="array" ref="F610">+TIPOARMA(H610,I610)</f>
        <v>#VALUE!</v>
      </c>
      <c r="G610" s="7"/>
      <c r="H610" s="7" t="e">
        <f>+VLOOKUP(Q610,Maps!I:J,2,0)</f>
        <v>#N/A</v>
      </c>
      <c r="I610" s="7" t="e">
        <f>+VLOOKUP(T610,Maps!E:F,2,0)</f>
        <v>#N/A</v>
      </c>
    </row>
    <row r="611" spans="1:9" ht="14.25" customHeight="1" x14ac:dyDescent="0.35">
      <c r="A611" s="7" t="str">
        <f t="array" ref="A611">EXTRACTEVENT(N611,V611)</f>
        <v/>
      </c>
      <c r="B611" s="7" t="str">
        <f t="shared" si="27"/>
        <v/>
      </c>
      <c r="C611" s="7"/>
      <c r="D611" s="7" t="str">
        <f t="shared" si="28"/>
        <v>E</v>
      </c>
      <c r="E611" s="10">
        <f t="shared" si="29"/>
        <v>0</v>
      </c>
      <c r="F611" s="7" t="e">
        <f t="array" ref="F611">+TIPOARMA(H611,I611)</f>
        <v>#VALUE!</v>
      </c>
      <c r="G611" s="7"/>
      <c r="H611" s="7" t="e">
        <f>+VLOOKUP(Q611,Maps!I:J,2,0)</f>
        <v>#N/A</v>
      </c>
      <c r="I611" s="7" t="e">
        <f>+VLOOKUP(T611,Maps!E:F,2,0)</f>
        <v>#N/A</v>
      </c>
    </row>
    <row r="612" spans="1:9" ht="14.25" customHeight="1" x14ac:dyDescent="0.35">
      <c r="A612" s="7" t="str">
        <f t="array" ref="A612">EXTRACTEVENT(N612,V612)</f>
        <v/>
      </c>
      <c r="B612" s="7" t="str">
        <f t="shared" si="27"/>
        <v/>
      </c>
      <c r="C612" s="7"/>
      <c r="D612" s="7" t="str">
        <f t="shared" si="28"/>
        <v>E</v>
      </c>
      <c r="E612" s="10">
        <f t="shared" si="29"/>
        <v>0</v>
      </c>
      <c r="F612" s="7" t="e">
        <f t="array" ref="F612">+TIPOARMA(H612,I612)</f>
        <v>#VALUE!</v>
      </c>
      <c r="G612" s="7"/>
      <c r="H612" s="7" t="e">
        <f>+VLOOKUP(Q612,Maps!I:J,2,0)</f>
        <v>#N/A</v>
      </c>
      <c r="I612" s="7" t="e">
        <f>+VLOOKUP(T612,Maps!E:F,2,0)</f>
        <v>#N/A</v>
      </c>
    </row>
    <row r="613" spans="1:9" ht="14.25" customHeight="1" x14ac:dyDescent="0.35">
      <c r="A613" s="7" t="str">
        <f t="array" ref="A613">EXTRACTEVENT(N613,V613)</f>
        <v/>
      </c>
      <c r="B613" s="7" t="str">
        <f t="shared" si="27"/>
        <v/>
      </c>
      <c r="C613" s="7"/>
      <c r="D613" s="7" t="str">
        <f t="shared" si="28"/>
        <v>E</v>
      </c>
      <c r="E613" s="10">
        <f t="shared" si="29"/>
        <v>0</v>
      </c>
      <c r="F613" s="7" t="e">
        <f t="array" ref="F613">+TIPOARMA(H613,I613)</f>
        <v>#VALUE!</v>
      </c>
      <c r="G613" s="7"/>
      <c r="H613" s="7" t="e">
        <f>+VLOOKUP(Q613,Maps!I:J,2,0)</f>
        <v>#N/A</v>
      </c>
      <c r="I613" s="7" t="e">
        <f>+VLOOKUP(T613,Maps!E:F,2,0)</f>
        <v>#N/A</v>
      </c>
    </row>
    <row r="614" spans="1:9" ht="14.25" customHeight="1" x14ac:dyDescent="0.35">
      <c r="A614" s="7" t="str">
        <f t="array" ref="A614">EXTRACTEVENT(N614,V614)</f>
        <v/>
      </c>
      <c r="B614" s="7" t="str">
        <f t="shared" si="27"/>
        <v/>
      </c>
      <c r="C614" s="7"/>
      <c r="D614" s="7" t="str">
        <f t="shared" si="28"/>
        <v>E</v>
      </c>
      <c r="E614" s="10">
        <f t="shared" si="29"/>
        <v>0</v>
      </c>
      <c r="F614" s="7" t="e">
        <f t="array" ref="F614">+TIPOARMA(H614,I614)</f>
        <v>#VALUE!</v>
      </c>
      <c r="G614" s="7"/>
      <c r="H614" s="7" t="e">
        <f>+VLOOKUP(Q614,Maps!I:J,2,0)</f>
        <v>#N/A</v>
      </c>
      <c r="I614" s="7" t="e">
        <f>+VLOOKUP(T614,Maps!E:F,2,0)</f>
        <v>#N/A</v>
      </c>
    </row>
    <row r="615" spans="1:9" ht="14.25" customHeight="1" x14ac:dyDescent="0.35">
      <c r="A615" s="7" t="str">
        <f t="array" ref="A615">EXTRACTEVENT(N615,V615)</f>
        <v/>
      </c>
      <c r="B615" s="7" t="str">
        <f t="shared" si="27"/>
        <v/>
      </c>
      <c r="C615" s="7"/>
      <c r="D615" s="7" t="str">
        <f t="shared" si="28"/>
        <v>E</v>
      </c>
      <c r="E615" s="10">
        <f t="shared" si="29"/>
        <v>0</v>
      </c>
      <c r="F615" s="7" t="e">
        <f t="array" ref="F615">+TIPOARMA(H615,I615)</f>
        <v>#VALUE!</v>
      </c>
      <c r="G615" s="7"/>
      <c r="H615" s="7" t="e">
        <f>+VLOOKUP(Q615,Maps!I:J,2,0)</f>
        <v>#N/A</v>
      </c>
      <c r="I615" s="7" t="e">
        <f>+VLOOKUP(T615,Maps!E:F,2,0)</f>
        <v>#N/A</v>
      </c>
    </row>
    <row r="616" spans="1:9" ht="14.25" customHeight="1" x14ac:dyDescent="0.35">
      <c r="A616" s="7" t="str">
        <f t="array" ref="A616">EXTRACTEVENT(N616,V616)</f>
        <v/>
      </c>
      <c r="B616" s="7" t="str">
        <f t="shared" si="27"/>
        <v/>
      </c>
      <c r="C616" s="7"/>
      <c r="D616" s="7" t="str">
        <f t="shared" si="28"/>
        <v>E</v>
      </c>
      <c r="E616" s="10">
        <f t="shared" si="29"/>
        <v>0</v>
      </c>
      <c r="F616" s="7" t="e">
        <f t="array" ref="F616">+TIPOARMA(H616,I616)</f>
        <v>#VALUE!</v>
      </c>
      <c r="G616" s="7"/>
      <c r="H616" s="7" t="e">
        <f>+VLOOKUP(Q616,Maps!I:J,2,0)</f>
        <v>#N/A</v>
      </c>
      <c r="I616" s="7" t="e">
        <f>+VLOOKUP(T616,Maps!E:F,2,0)</f>
        <v>#N/A</v>
      </c>
    </row>
    <row r="617" spans="1:9" ht="14.25" customHeight="1" x14ac:dyDescent="0.35">
      <c r="A617" s="7" t="str">
        <f t="array" ref="A617">EXTRACTEVENT(N617,V617)</f>
        <v/>
      </c>
      <c r="B617" s="7" t="str">
        <f t="shared" si="27"/>
        <v/>
      </c>
      <c r="C617" s="7"/>
      <c r="D617" s="7" t="str">
        <f t="shared" si="28"/>
        <v>E</v>
      </c>
      <c r="E617" s="10">
        <f t="shared" si="29"/>
        <v>0</v>
      </c>
      <c r="F617" s="7" t="e">
        <f t="array" ref="F617">+TIPOARMA(H617,I617)</f>
        <v>#VALUE!</v>
      </c>
      <c r="G617" s="7"/>
      <c r="H617" s="7" t="e">
        <f>+VLOOKUP(Q617,Maps!I:J,2,0)</f>
        <v>#N/A</v>
      </c>
      <c r="I617" s="7" t="e">
        <f>+VLOOKUP(T617,Maps!E:F,2,0)</f>
        <v>#N/A</v>
      </c>
    </row>
    <row r="618" spans="1:9" ht="14.25" customHeight="1" x14ac:dyDescent="0.35">
      <c r="A618" s="7" t="str">
        <f t="array" ref="A618">EXTRACTEVENT(N618,V618)</f>
        <v/>
      </c>
      <c r="B618" s="7" t="str">
        <f t="shared" si="27"/>
        <v/>
      </c>
      <c r="C618" s="7"/>
      <c r="D618" s="7" t="str">
        <f t="shared" si="28"/>
        <v>E</v>
      </c>
      <c r="E618" s="10">
        <f t="shared" si="29"/>
        <v>0</v>
      </c>
      <c r="F618" s="7" t="e">
        <f t="array" ref="F618">+TIPOARMA(H618,I618)</f>
        <v>#VALUE!</v>
      </c>
      <c r="G618" s="7"/>
      <c r="H618" s="7" t="e">
        <f>+VLOOKUP(Q618,Maps!I:J,2,0)</f>
        <v>#N/A</v>
      </c>
      <c r="I618" s="7" t="e">
        <f>+VLOOKUP(T618,Maps!E:F,2,0)</f>
        <v>#N/A</v>
      </c>
    </row>
    <row r="619" spans="1:9" ht="14.25" customHeight="1" x14ac:dyDescent="0.35">
      <c r="A619" s="7" t="str">
        <f t="array" ref="A619">EXTRACTEVENT(N619,V619)</f>
        <v/>
      </c>
      <c r="B619" s="7" t="str">
        <f t="shared" si="27"/>
        <v/>
      </c>
      <c r="C619" s="7"/>
      <c r="D619" s="7" t="str">
        <f t="shared" si="28"/>
        <v>E</v>
      </c>
      <c r="E619" s="10">
        <f t="shared" si="29"/>
        <v>0</v>
      </c>
      <c r="F619" s="7" t="e">
        <f t="array" ref="F619">+TIPOARMA(H619,I619)</f>
        <v>#VALUE!</v>
      </c>
      <c r="G619" s="7"/>
      <c r="H619" s="7" t="e">
        <f>+VLOOKUP(Q619,Maps!I:J,2,0)</f>
        <v>#N/A</v>
      </c>
      <c r="I619" s="7" t="e">
        <f>+VLOOKUP(T619,Maps!E:F,2,0)</f>
        <v>#N/A</v>
      </c>
    </row>
    <row r="620" spans="1:9" ht="14.25" customHeight="1" x14ac:dyDescent="0.35">
      <c r="A620" s="7" t="str">
        <f t="array" ref="A620">EXTRACTEVENT(N620,V620)</f>
        <v/>
      </c>
      <c r="B620" s="7" t="str">
        <f t="shared" si="27"/>
        <v/>
      </c>
      <c r="C620" s="7"/>
      <c r="D620" s="7" t="str">
        <f t="shared" si="28"/>
        <v>E</v>
      </c>
      <c r="E620" s="10">
        <f t="shared" si="29"/>
        <v>0</v>
      </c>
      <c r="F620" s="7" t="e">
        <f t="array" ref="F620">+TIPOARMA(H620,I620)</f>
        <v>#VALUE!</v>
      </c>
      <c r="G620" s="7"/>
      <c r="H620" s="7" t="e">
        <f>+VLOOKUP(Q620,Maps!I:J,2,0)</f>
        <v>#N/A</v>
      </c>
      <c r="I620" s="7" t="e">
        <f>+VLOOKUP(T620,Maps!E:F,2,0)</f>
        <v>#N/A</v>
      </c>
    </row>
    <row r="621" spans="1:9" ht="14.25" customHeight="1" x14ac:dyDescent="0.35">
      <c r="A621" s="7" t="str">
        <f t="array" ref="A621">EXTRACTEVENT(N621,V621)</f>
        <v/>
      </c>
      <c r="B621" s="7" t="str">
        <f t="shared" si="27"/>
        <v/>
      </c>
      <c r="C621" s="7"/>
      <c r="D621" s="7" t="str">
        <f t="shared" si="28"/>
        <v>E</v>
      </c>
      <c r="E621" s="10">
        <f t="shared" si="29"/>
        <v>0</v>
      </c>
      <c r="F621" s="7" t="e">
        <f t="array" ref="F621">+TIPOARMA(H621,I621)</f>
        <v>#VALUE!</v>
      </c>
      <c r="G621" s="7"/>
      <c r="H621" s="7" t="e">
        <f>+VLOOKUP(Q621,Maps!I:J,2,0)</f>
        <v>#N/A</v>
      </c>
      <c r="I621" s="7" t="e">
        <f>+VLOOKUP(T621,Maps!E:F,2,0)</f>
        <v>#N/A</v>
      </c>
    </row>
    <row r="622" spans="1:9" ht="14.25" customHeight="1" x14ac:dyDescent="0.35">
      <c r="A622" s="7" t="str">
        <f t="array" ref="A622">EXTRACTEVENT(N622,V622)</f>
        <v/>
      </c>
      <c r="B622" s="7" t="str">
        <f t="shared" si="27"/>
        <v/>
      </c>
      <c r="C622" s="7"/>
      <c r="D622" s="7" t="str">
        <f t="shared" si="28"/>
        <v>E</v>
      </c>
      <c r="E622" s="10">
        <f t="shared" si="29"/>
        <v>0</v>
      </c>
      <c r="F622" s="7" t="e">
        <f t="array" ref="F622">+TIPOARMA(H622,I622)</f>
        <v>#VALUE!</v>
      </c>
      <c r="G622" s="7"/>
      <c r="H622" s="7" t="e">
        <f>+VLOOKUP(Q622,Maps!I:J,2,0)</f>
        <v>#N/A</v>
      </c>
      <c r="I622" s="7" t="e">
        <f>+VLOOKUP(T622,Maps!E:F,2,0)</f>
        <v>#N/A</v>
      </c>
    </row>
    <row r="623" spans="1:9" ht="14.25" customHeight="1" x14ac:dyDescent="0.35">
      <c r="A623" s="7" t="str">
        <f t="array" ref="A623">EXTRACTEVENT(N623,V623)</f>
        <v/>
      </c>
      <c r="B623" s="7" t="str">
        <f t="shared" si="27"/>
        <v/>
      </c>
      <c r="C623" s="7"/>
      <c r="D623" s="7" t="str">
        <f t="shared" si="28"/>
        <v>E</v>
      </c>
      <c r="E623" s="10">
        <f t="shared" si="29"/>
        <v>0</v>
      </c>
      <c r="F623" s="7" t="e">
        <f t="array" ref="F623">+TIPOARMA(H623,I623)</f>
        <v>#VALUE!</v>
      </c>
      <c r="G623" s="7"/>
      <c r="H623" s="7" t="e">
        <f>+VLOOKUP(Q623,Maps!I:J,2,0)</f>
        <v>#N/A</v>
      </c>
      <c r="I623" s="7" t="e">
        <f>+VLOOKUP(T623,Maps!E:F,2,0)</f>
        <v>#N/A</v>
      </c>
    </row>
    <row r="624" spans="1:9" ht="14.25" customHeight="1" x14ac:dyDescent="0.35">
      <c r="A624" s="7" t="str">
        <f t="array" ref="A624">EXTRACTEVENT(N624,V624)</f>
        <v/>
      </c>
      <c r="B624" s="7" t="str">
        <f t="shared" si="27"/>
        <v/>
      </c>
      <c r="C624" s="7"/>
      <c r="D624" s="7" t="str">
        <f t="shared" si="28"/>
        <v>E</v>
      </c>
      <c r="E624" s="10">
        <f t="shared" si="29"/>
        <v>0</v>
      </c>
      <c r="F624" s="7" t="e">
        <f t="array" ref="F624">+TIPOARMA(H624,I624)</f>
        <v>#VALUE!</v>
      </c>
      <c r="G624" s="7"/>
      <c r="H624" s="7" t="e">
        <f>+VLOOKUP(Q624,Maps!I:J,2,0)</f>
        <v>#N/A</v>
      </c>
      <c r="I624" s="7" t="e">
        <f>+VLOOKUP(T624,Maps!E:F,2,0)</f>
        <v>#N/A</v>
      </c>
    </row>
    <row r="625" spans="1:9" ht="14.25" customHeight="1" x14ac:dyDescent="0.35">
      <c r="A625" s="7" t="str">
        <f t="array" ref="A625">EXTRACTEVENT(N625,V625)</f>
        <v/>
      </c>
      <c r="B625" s="7" t="str">
        <f t="shared" si="27"/>
        <v/>
      </c>
      <c r="C625" s="7"/>
      <c r="D625" s="7" t="str">
        <f t="shared" si="28"/>
        <v>E</v>
      </c>
      <c r="E625" s="10">
        <f t="shared" si="29"/>
        <v>0</v>
      </c>
      <c r="F625" s="7" t="e">
        <f t="array" ref="F625">+TIPOARMA(H625,I625)</f>
        <v>#VALUE!</v>
      </c>
      <c r="G625" s="7"/>
      <c r="H625" s="7" t="e">
        <f>+VLOOKUP(Q625,Maps!I:J,2,0)</f>
        <v>#N/A</v>
      </c>
      <c r="I625" s="7" t="e">
        <f>+VLOOKUP(T625,Maps!E:F,2,0)</f>
        <v>#N/A</v>
      </c>
    </row>
    <row r="626" spans="1:9" ht="14.25" customHeight="1" x14ac:dyDescent="0.35">
      <c r="A626" s="7" t="str">
        <f t="array" ref="A626">EXTRACTEVENT(N626,V626)</f>
        <v/>
      </c>
      <c r="B626" s="7" t="str">
        <f t="shared" si="27"/>
        <v/>
      </c>
      <c r="C626" s="7"/>
      <c r="D626" s="7" t="str">
        <f t="shared" si="28"/>
        <v>E</v>
      </c>
      <c r="E626" s="10">
        <f t="shared" si="29"/>
        <v>0</v>
      </c>
      <c r="F626" s="7" t="e">
        <f t="array" ref="F626">+TIPOARMA(H626,I626)</f>
        <v>#VALUE!</v>
      </c>
      <c r="G626" s="7"/>
      <c r="H626" s="7" t="e">
        <f>+VLOOKUP(Q626,Maps!I:J,2,0)</f>
        <v>#N/A</v>
      </c>
      <c r="I626" s="7" t="e">
        <f>+VLOOKUP(T626,Maps!E:F,2,0)</f>
        <v>#N/A</v>
      </c>
    </row>
    <row r="627" spans="1:9" ht="14.25" customHeight="1" x14ac:dyDescent="0.35">
      <c r="A627" s="7" t="str">
        <f t="array" ref="A627">EXTRACTEVENT(N627,V627)</f>
        <v/>
      </c>
      <c r="B627" s="7" t="str">
        <f t="shared" si="27"/>
        <v/>
      </c>
      <c r="C627" s="7"/>
      <c r="D627" s="7" t="str">
        <f t="shared" si="28"/>
        <v>E</v>
      </c>
      <c r="E627" s="10">
        <f t="shared" si="29"/>
        <v>0</v>
      </c>
      <c r="F627" s="7" t="e">
        <f t="array" ref="F627">+TIPOARMA(H627,I627)</f>
        <v>#VALUE!</v>
      </c>
      <c r="G627" s="7"/>
      <c r="H627" s="7" t="e">
        <f>+VLOOKUP(Q627,Maps!I:J,2,0)</f>
        <v>#N/A</v>
      </c>
      <c r="I627" s="7" t="e">
        <f>+VLOOKUP(T627,Maps!E:F,2,0)</f>
        <v>#N/A</v>
      </c>
    </row>
    <row r="628" spans="1:9" ht="14.25" customHeight="1" x14ac:dyDescent="0.35">
      <c r="A628" s="7" t="str">
        <f t="array" ref="A628">EXTRACTEVENT(N628,V628)</f>
        <v/>
      </c>
      <c r="B628" s="7" t="str">
        <f t="shared" si="27"/>
        <v/>
      </c>
      <c r="C628" s="7"/>
      <c r="D628" s="7" t="str">
        <f t="shared" si="28"/>
        <v>E</v>
      </c>
      <c r="E628" s="10">
        <f t="shared" si="29"/>
        <v>0</v>
      </c>
      <c r="F628" s="7" t="e">
        <f t="array" ref="F628">+TIPOARMA(H628,I628)</f>
        <v>#VALUE!</v>
      </c>
      <c r="G628" s="7"/>
      <c r="H628" s="7" t="e">
        <f>+VLOOKUP(Q628,Maps!I:J,2,0)</f>
        <v>#N/A</v>
      </c>
      <c r="I628" s="7" t="e">
        <f>+VLOOKUP(T628,Maps!E:F,2,0)</f>
        <v>#N/A</v>
      </c>
    </row>
    <row r="629" spans="1:9" ht="14.25" customHeight="1" x14ac:dyDescent="0.35">
      <c r="A629" s="7" t="str">
        <f t="array" ref="A629">EXTRACTEVENT(N629,V629)</f>
        <v/>
      </c>
      <c r="B629" s="7" t="str">
        <f t="shared" si="27"/>
        <v/>
      </c>
      <c r="C629" s="7"/>
      <c r="D629" s="7" t="str">
        <f t="shared" si="28"/>
        <v>E</v>
      </c>
      <c r="E629" s="10">
        <f t="shared" si="29"/>
        <v>0</v>
      </c>
      <c r="F629" s="7" t="e">
        <f t="array" ref="F629">+TIPOARMA(H629,I629)</f>
        <v>#VALUE!</v>
      </c>
      <c r="G629" s="7"/>
      <c r="H629" s="7" t="e">
        <f>+VLOOKUP(Q629,Maps!I:J,2,0)</f>
        <v>#N/A</v>
      </c>
      <c r="I629" s="7" t="e">
        <f>+VLOOKUP(T629,Maps!E:F,2,0)</f>
        <v>#N/A</v>
      </c>
    </row>
    <row r="630" spans="1:9" ht="14.25" customHeight="1" x14ac:dyDescent="0.35">
      <c r="A630" s="7" t="str">
        <f t="array" ref="A630">EXTRACTEVENT(N630,V630)</f>
        <v/>
      </c>
      <c r="B630" s="7" t="str">
        <f t="shared" si="27"/>
        <v/>
      </c>
      <c r="C630" s="7"/>
      <c r="D630" s="7" t="str">
        <f t="shared" si="28"/>
        <v>E</v>
      </c>
      <c r="E630" s="10">
        <f t="shared" si="29"/>
        <v>0</v>
      </c>
      <c r="F630" s="7" t="e">
        <f t="array" ref="F630">+TIPOARMA(H630,I630)</f>
        <v>#VALUE!</v>
      </c>
      <c r="G630" s="7"/>
      <c r="H630" s="7" t="e">
        <f>+VLOOKUP(Q630,Maps!I:J,2,0)</f>
        <v>#N/A</v>
      </c>
      <c r="I630" s="7" t="e">
        <f>+VLOOKUP(T630,Maps!E:F,2,0)</f>
        <v>#N/A</v>
      </c>
    </row>
    <row r="631" spans="1:9" ht="14.25" customHeight="1" x14ac:dyDescent="0.35">
      <c r="A631" s="7" t="str">
        <f t="array" ref="A631">EXTRACTEVENT(N631,V631)</f>
        <v/>
      </c>
      <c r="B631" s="7" t="str">
        <f t="shared" si="27"/>
        <v/>
      </c>
      <c r="C631" s="7"/>
      <c r="D631" s="7" t="str">
        <f t="shared" si="28"/>
        <v>E</v>
      </c>
      <c r="E631" s="10">
        <f t="shared" si="29"/>
        <v>0</v>
      </c>
      <c r="F631" s="7" t="e">
        <f t="array" ref="F631">+TIPOARMA(H631,I631)</f>
        <v>#VALUE!</v>
      </c>
      <c r="G631" s="7"/>
      <c r="H631" s="7" t="e">
        <f>+VLOOKUP(Q631,Maps!I:J,2,0)</f>
        <v>#N/A</v>
      </c>
      <c r="I631" s="7" t="e">
        <f>+VLOOKUP(T631,Maps!E:F,2,0)</f>
        <v>#N/A</v>
      </c>
    </row>
    <row r="632" spans="1:9" ht="14.25" customHeight="1" x14ac:dyDescent="0.35">
      <c r="A632" s="7" t="str">
        <f t="array" ref="A632">EXTRACTEVENT(N632,V632)</f>
        <v/>
      </c>
      <c r="B632" s="7" t="str">
        <f t="shared" si="27"/>
        <v/>
      </c>
      <c r="C632" s="7"/>
      <c r="D632" s="7" t="str">
        <f t="shared" si="28"/>
        <v>E</v>
      </c>
      <c r="E632" s="10">
        <f t="shared" si="29"/>
        <v>0</v>
      </c>
      <c r="F632" s="7" t="e">
        <f t="array" ref="F632">+TIPOARMA(H632,I632)</f>
        <v>#VALUE!</v>
      </c>
      <c r="G632" s="7"/>
      <c r="H632" s="7" t="e">
        <f>+VLOOKUP(Q632,Maps!I:J,2,0)</f>
        <v>#N/A</v>
      </c>
      <c r="I632" s="7" t="e">
        <f>+VLOOKUP(T632,Maps!E:F,2,0)</f>
        <v>#N/A</v>
      </c>
    </row>
    <row r="633" spans="1:9" ht="14.25" customHeight="1" x14ac:dyDescent="0.35">
      <c r="A633" s="7" t="str">
        <f t="array" ref="A633">EXTRACTEVENT(N633,V633)</f>
        <v/>
      </c>
      <c r="B633" s="7" t="str">
        <f t="shared" si="27"/>
        <v/>
      </c>
      <c r="C633" s="7"/>
      <c r="D633" s="7" t="str">
        <f t="shared" si="28"/>
        <v>E</v>
      </c>
      <c r="E633" s="10">
        <f t="shared" si="29"/>
        <v>0</v>
      </c>
      <c r="F633" s="7" t="e">
        <f t="array" ref="F633">+TIPOARMA(H633,I633)</f>
        <v>#VALUE!</v>
      </c>
      <c r="G633" s="7"/>
      <c r="H633" s="7" t="e">
        <f>+VLOOKUP(Q633,Maps!I:J,2,0)</f>
        <v>#N/A</v>
      </c>
      <c r="I633" s="7" t="e">
        <f>+VLOOKUP(T633,Maps!E:F,2,0)</f>
        <v>#N/A</v>
      </c>
    </row>
    <row r="634" spans="1:9" ht="14.25" customHeight="1" x14ac:dyDescent="0.35">
      <c r="A634" s="7" t="str">
        <f t="array" ref="A634">EXTRACTEVENT(N634,V634)</f>
        <v/>
      </c>
      <c r="B634" s="7" t="str">
        <f t="shared" si="27"/>
        <v/>
      </c>
      <c r="C634" s="7"/>
      <c r="D634" s="7" t="str">
        <f t="shared" si="28"/>
        <v>E</v>
      </c>
      <c r="E634" s="10">
        <f t="shared" si="29"/>
        <v>0</v>
      </c>
      <c r="F634" s="7" t="e">
        <f t="array" ref="F634">+TIPOARMA(H634,I634)</f>
        <v>#VALUE!</v>
      </c>
      <c r="G634" s="7"/>
      <c r="H634" s="7" t="e">
        <f>+VLOOKUP(Q634,Maps!I:J,2,0)</f>
        <v>#N/A</v>
      </c>
      <c r="I634" s="7" t="e">
        <f>+VLOOKUP(T634,Maps!E:F,2,0)</f>
        <v>#N/A</v>
      </c>
    </row>
    <row r="635" spans="1:9" ht="14.25" customHeight="1" x14ac:dyDescent="0.35">
      <c r="A635" s="7" t="str">
        <f t="array" ref="A635">EXTRACTEVENT(N635,V635)</f>
        <v/>
      </c>
      <c r="B635" s="7" t="str">
        <f t="shared" si="27"/>
        <v/>
      </c>
      <c r="C635" s="7"/>
      <c r="D635" s="7" t="str">
        <f t="shared" si="28"/>
        <v>E</v>
      </c>
      <c r="E635" s="10">
        <f t="shared" si="29"/>
        <v>0</v>
      </c>
      <c r="F635" s="7" t="e">
        <f t="array" ref="F635">+TIPOARMA(H635,I635)</f>
        <v>#VALUE!</v>
      </c>
      <c r="G635" s="7"/>
      <c r="H635" s="7" t="e">
        <f>+VLOOKUP(Q635,Maps!I:J,2,0)</f>
        <v>#N/A</v>
      </c>
      <c r="I635" s="7" t="e">
        <f>+VLOOKUP(T635,Maps!E:F,2,0)</f>
        <v>#N/A</v>
      </c>
    </row>
    <row r="636" spans="1:9" ht="14.25" customHeight="1" x14ac:dyDescent="0.35">
      <c r="A636" s="7" t="str">
        <f t="array" ref="A636">EXTRACTEVENT(N636,V636)</f>
        <v/>
      </c>
      <c r="B636" s="7" t="str">
        <f t="shared" si="27"/>
        <v/>
      </c>
      <c r="C636" s="7"/>
      <c r="D636" s="7" t="str">
        <f t="shared" si="28"/>
        <v>E</v>
      </c>
      <c r="E636" s="10">
        <f t="shared" si="29"/>
        <v>0</v>
      </c>
      <c r="F636" s="7" t="e">
        <f t="array" ref="F636">+TIPOARMA(H636,I636)</f>
        <v>#VALUE!</v>
      </c>
      <c r="G636" s="7"/>
      <c r="H636" s="7" t="e">
        <f>+VLOOKUP(Q636,Maps!I:J,2,0)</f>
        <v>#N/A</v>
      </c>
      <c r="I636" s="7" t="e">
        <f>+VLOOKUP(T636,Maps!E:F,2,0)</f>
        <v>#N/A</v>
      </c>
    </row>
    <row r="637" spans="1:9" ht="14.25" customHeight="1" x14ac:dyDescent="0.35">
      <c r="A637" s="7" t="str">
        <f t="array" ref="A637">EXTRACTEVENT(N637,V637)</f>
        <v/>
      </c>
      <c r="B637" s="7" t="str">
        <f t="shared" si="27"/>
        <v/>
      </c>
      <c r="C637" s="7"/>
      <c r="D637" s="7" t="str">
        <f t="shared" si="28"/>
        <v>E</v>
      </c>
      <c r="E637" s="10">
        <f t="shared" si="29"/>
        <v>0</v>
      </c>
      <c r="F637" s="7" t="e">
        <f t="array" ref="F637">+TIPOARMA(H637,I637)</f>
        <v>#VALUE!</v>
      </c>
      <c r="G637" s="7"/>
      <c r="H637" s="7" t="e">
        <f>+VLOOKUP(Q637,Maps!I:J,2,0)</f>
        <v>#N/A</v>
      </c>
      <c r="I637" s="7" t="e">
        <f>+VLOOKUP(T637,Maps!E:F,2,0)</f>
        <v>#N/A</v>
      </c>
    </row>
    <row r="638" spans="1:9" ht="14.25" customHeight="1" x14ac:dyDescent="0.35">
      <c r="A638" s="7" t="str">
        <f t="array" ref="A638">EXTRACTEVENT(N638,V638)</f>
        <v/>
      </c>
      <c r="B638" s="7" t="str">
        <f t="shared" si="27"/>
        <v/>
      </c>
      <c r="C638" s="7"/>
      <c r="D638" s="7" t="str">
        <f t="shared" si="28"/>
        <v>E</v>
      </c>
      <c r="E638" s="10">
        <f t="shared" si="29"/>
        <v>0</v>
      </c>
      <c r="F638" s="7" t="e">
        <f t="array" ref="F638">+TIPOARMA(H638,I638)</f>
        <v>#VALUE!</v>
      </c>
      <c r="G638" s="7"/>
      <c r="H638" s="7" t="e">
        <f>+VLOOKUP(Q638,Maps!I:J,2,0)</f>
        <v>#N/A</v>
      </c>
      <c r="I638" s="7" t="e">
        <f>+VLOOKUP(T638,Maps!E:F,2,0)</f>
        <v>#N/A</v>
      </c>
    </row>
    <row r="639" spans="1:9" ht="14.25" customHeight="1" x14ac:dyDescent="0.35">
      <c r="A639" s="7" t="str">
        <f t="array" ref="A639">EXTRACTEVENT(N639,V639)</f>
        <v/>
      </c>
      <c r="B639" s="7" t="str">
        <f t="shared" si="27"/>
        <v/>
      </c>
      <c r="C639" s="7"/>
      <c r="D639" s="7" t="str">
        <f t="shared" si="28"/>
        <v>E</v>
      </c>
      <c r="E639" s="10">
        <f t="shared" si="29"/>
        <v>0</v>
      </c>
      <c r="F639" s="7" t="e">
        <f t="array" ref="F639">+TIPOARMA(H639,I639)</f>
        <v>#VALUE!</v>
      </c>
      <c r="G639" s="7"/>
      <c r="H639" s="7" t="e">
        <f>+VLOOKUP(Q639,Maps!I:J,2,0)</f>
        <v>#N/A</v>
      </c>
      <c r="I639" s="7" t="e">
        <f>+VLOOKUP(T639,Maps!E:F,2,0)</f>
        <v>#N/A</v>
      </c>
    </row>
    <row r="640" spans="1:9" ht="14.25" customHeight="1" x14ac:dyDescent="0.35">
      <c r="A640" s="7" t="str">
        <f t="array" ref="A640">EXTRACTEVENT(N640,V640)</f>
        <v/>
      </c>
      <c r="B640" s="7" t="str">
        <f t="shared" si="27"/>
        <v/>
      </c>
      <c r="C640" s="7"/>
      <c r="D640" s="7" t="str">
        <f t="shared" si="28"/>
        <v>E</v>
      </c>
      <c r="E640" s="10">
        <f t="shared" si="29"/>
        <v>0</v>
      </c>
      <c r="F640" s="7" t="e">
        <f t="array" ref="F640">+TIPOARMA(H640,I640)</f>
        <v>#VALUE!</v>
      </c>
      <c r="G640" s="7"/>
      <c r="H640" s="7" t="e">
        <f>+VLOOKUP(Q640,Maps!I:J,2,0)</f>
        <v>#N/A</v>
      </c>
      <c r="I640" s="7" t="e">
        <f>+VLOOKUP(T640,Maps!E:F,2,0)</f>
        <v>#N/A</v>
      </c>
    </row>
    <row r="641" spans="1:9" ht="14.25" customHeight="1" x14ac:dyDescent="0.35">
      <c r="A641" s="7" t="str">
        <f t="array" ref="A641">EXTRACTEVENT(N641,V641)</f>
        <v/>
      </c>
      <c r="B641" s="7" t="str">
        <f t="shared" si="27"/>
        <v/>
      </c>
      <c r="C641" s="7"/>
      <c r="D641" s="7" t="str">
        <f t="shared" si="28"/>
        <v>E</v>
      </c>
      <c r="E641" s="10">
        <f t="shared" si="29"/>
        <v>0</v>
      </c>
      <c r="F641" s="7" t="e">
        <f t="array" ref="F641">+TIPOARMA(H641,I641)</f>
        <v>#VALUE!</v>
      </c>
      <c r="G641" s="7"/>
      <c r="H641" s="7" t="e">
        <f>+VLOOKUP(Q641,Maps!I:J,2,0)</f>
        <v>#N/A</v>
      </c>
      <c r="I641" s="7" t="e">
        <f>+VLOOKUP(T641,Maps!E:F,2,0)</f>
        <v>#N/A</v>
      </c>
    </row>
    <row r="642" spans="1:9" ht="14.25" customHeight="1" x14ac:dyDescent="0.35">
      <c r="A642" s="7" t="str">
        <f t="array" ref="A642">EXTRACTEVENT(N642,V642)</f>
        <v/>
      </c>
      <c r="B642" s="7" t="str">
        <f t="shared" ref="B642:B705" si="30">+IF(V642="TREINO","-",LEFT(N642,1))</f>
        <v/>
      </c>
      <c r="C642" s="7"/>
      <c r="D642" s="7" t="str">
        <f t="shared" ref="D642:D705" si="31">+IF($V642="TREINO","T",IF(V642="NACIONAL","N","E"))</f>
        <v>E</v>
      </c>
      <c r="E642" s="10">
        <f t="shared" ref="E642:E705" si="32">IFERROR(DATEVALUE(LEFT(M642,10)),M642)</f>
        <v>0</v>
      </c>
      <c r="F642" s="7" t="e">
        <f t="array" ref="F642">+TIPOARMA(H642,I642)</f>
        <v>#VALUE!</v>
      </c>
      <c r="G642" s="7"/>
      <c r="H642" s="7" t="e">
        <f>+VLOOKUP(Q642,Maps!I:J,2,0)</f>
        <v>#N/A</v>
      </c>
      <c r="I642" s="7" t="e">
        <f>+VLOOKUP(T642,Maps!E:F,2,0)</f>
        <v>#N/A</v>
      </c>
    </row>
    <row r="643" spans="1:9" ht="14.25" customHeight="1" x14ac:dyDescent="0.35">
      <c r="A643" s="7" t="str">
        <f t="array" ref="A643">EXTRACTEVENT(N643,V643)</f>
        <v/>
      </c>
      <c r="B643" s="7" t="str">
        <f t="shared" si="30"/>
        <v/>
      </c>
      <c r="C643" s="7"/>
      <c r="D643" s="7" t="str">
        <f t="shared" si="31"/>
        <v>E</v>
      </c>
      <c r="E643" s="10">
        <f t="shared" si="32"/>
        <v>0</v>
      </c>
      <c r="F643" s="7" t="e">
        <f t="array" ref="F643">+TIPOARMA(H643,I643)</f>
        <v>#VALUE!</v>
      </c>
      <c r="G643" s="7"/>
      <c r="H643" s="7" t="e">
        <f>+VLOOKUP(Q643,Maps!I:J,2,0)</f>
        <v>#N/A</v>
      </c>
      <c r="I643" s="7" t="e">
        <f>+VLOOKUP(T643,Maps!E:F,2,0)</f>
        <v>#N/A</v>
      </c>
    </row>
    <row r="644" spans="1:9" ht="14.25" customHeight="1" x14ac:dyDescent="0.35">
      <c r="A644" s="7" t="str">
        <f t="array" ref="A644">EXTRACTEVENT(N644,V644)</f>
        <v/>
      </c>
      <c r="B644" s="7" t="str">
        <f t="shared" si="30"/>
        <v/>
      </c>
      <c r="C644" s="7"/>
      <c r="D644" s="7" t="str">
        <f t="shared" si="31"/>
        <v>E</v>
      </c>
      <c r="E644" s="10">
        <f t="shared" si="32"/>
        <v>0</v>
      </c>
      <c r="F644" s="7" t="e">
        <f t="array" ref="F644">+TIPOARMA(H644,I644)</f>
        <v>#VALUE!</v>
      </c>
      <c r="G644" s="7"/>
      <c r="H644" s="7" t="e">
        <f>+VLOOKUP(Q644,Maps!I:J,2,0)</f>
        <v>#N/A</v>
      </c>
      <c r="I644" s="7" t="e">
        <f>+VLOOKUP(T644,Maps!E:F,2,0)</f>
        <v>#N/A</v>
      </c>
    </row>
    <row r="645" spans="1:9" ht="14.25" customHeight="1" x14ac:dyDescent="0.35">
      <c r="A645" s="7" t="str">
        <f t="array" ref="A645">EXTRACTEVENT(N645,V645)</f>
        <v/>
      </c>
      <c r="B645" s="7" t="str">
        <f t="shared" si="30"/>
        <v/>
      </c>
      <c r="C645" s="7"/>
      <c r="D645" s="7" t="str">
        <f t="shared" si="31"/>
        <v>E</v>
      </c>
      <c r="E645" s="10">
        <f t="shared" si="32"/>
        <v>0</v>
      </c>
      <c r="F645" s="7" t="e">
        <f t="array" ref="F645">+TIPOARMA(H645,I645)</f>
        <v>#VALUE!</v>
      </c>
      <c r="G645" s="7"/>
      <c r="H645" s="7" t="e">
        <f>+VLOOKUP(Q645,Maps!I:J,2,0)</f>
        <v>#N/A</v>
      </c>
      <c r="I645" s="7" t="e">
        <f>+VLOOKUP(T645,Maps!E:F,2,0)</f>
        <v>#N/A</v>
      </c>
    </row>
    <row r="646" spans="1:9" ht="14.25" customHeight="1" x14ac:dyDescent="0.35">
      <c r="A646" s="7" t="str">
        <f t="array" ref="A646">EXTRACTEVENT(N646,V646)</f>
        <v/>
      </c>
      <c r="B646" s="7" t="str">
        <f t="shared" si="30"/>
        <v/>
      </c>
      <c r="C646" s="7"/>
      <c r="D646" s="7" t="str">
        <f t="shared" si="31"/>
        <v>E</v>
      </c>
      <c r="E646" s="10">
        <f t="shared" si="32"/>
        <v>0</v>
      </c>
      <c r="F646" s="7" t="e">
        <f t="array" ref="F646">+TIPOARMA(H646,I646)</f>
        <v>#VALUE!</v>
      </c>
      <c r="G646" s="7"/>
      <c r="H646" s="7" t="e">
        <f>+VLOOKUP(Q646,Maps!I:J,2,0)</f>
        <v>#N/A</v>
      </c>
      <c r="I646" s="7" t="e">
        <f>+VLOOKUP(T646,Maps!E:F,2,0)</f>
        <v>#N/A</v>
      </c>
    </row>
    <row r="647" spans="1:9" ht="14.25" customHeight="1" x14ac:dyDescent="0.35">
      <c r="A647" s="7" t="str">
        <f t="array" ref="A647">EXTRACTEVENT(N647,V647)</f>
        <v/>
      </c>
      <c r="B647" s="7" t="str">
        <f t="shared" si="30"/>
        <v/>
      </c>
      <c r="C647" s="7"/>
      <c r="D647" s="7" t="str">
        <f t="shared" si="31"/>
        <v>E</v>
      </c>
      <c r="E647" s="10">
        <f t="shared" si="32"/>
        <v>0</v>
      </c>
      <c r="F647" s="7" t="e">
        <f t="array" ref="F647">+TIPOARMA(H647,I647)</f>
        <v>#VALUE!</v>
      </c>
      <c r="G647" s="7"/>
      <c r="H647" s="7" t="e">
        <f>+VLOOKUP(Q647,Maps!I:J,2,0)</f>
        <v>#N/A</v>
      </c>
      <c r="I647" s="7" t="e">
        <f>+VLOOKUP(T647,Maps!E:F,2,0)</f>
        <v>#N/A</v>
      </c>
    </row>
    <row r="648" spans="1:9" ht="14.25" customHeight="1" x14ac:dyDescent="0.35">
      <c r="A648" s="7" t="str">
        <f t="array" ref="A648">EXTRACTEVENT(N648,V648)</f>
        <v/>
      </c>
      <c r="B648" s="7" t="str">
        <f t="shared" si="30"/>
        <v/>
      </c>
      <c r="C648" s="7"/>
      <c r="D648" s="7" t="str">
        <f t="shared" si="31"/>
        <v>E</v>
      </c>
      <c r="E648" s="10">
        <f t="shared" si="32"/>
        <v>0</v>
      </c>
      <c r="F648" s="7" t="e">
        <f t="array" ref="F648">+TIPOARMA(H648,I648)</f>
        <v>#VALUE!</v>
      </c>
      <c r="G648" s="7"/>
      <c r="H648" s="7" t="e">
        <f>+VLOOKUP(Q648,Maps!I:J,2,0)</f>
        <v>#N/A</v>
      </c>
      <c r="I648" s="7" t="e">
        <f>+VLOOKUP(T648,Maps!E:F,2,0)</f>
        <v>#N/A</v>
      </c>
    </row>
    <row r="649" spans="1:9" ht="14.25" customHeight="1" x14ac:dyDescent="0.35">
      <c r="A649" s="7" t="str">
        <f t="array" ref="A649">EXTRACTEVENT(N649,V649)</f>
        <v/>
      </c>
      <c r="B649" s="7" t="str">
        <f t="shared" si="30"/>
        <v/>
      </c>
      <c r="C649" s="7"/>
      <c r="D649" s="7" t="str">
        <f t="shared" si="31"/>
        <v>E</v>
      </c>
      <c r="E649" s="10">
        <f t="shared" si="32"/>
        <v>0</v>
      </c>
      <c r="F649" s="7" t="e">
        <f t="array" ref="F649">+TIPOARMA(H649,I649)</f>
        <v>#VALUE!</v>
      </c>
      <c r="G649" s="7"/>
      <c r="H649" s="7" t="e">
        <f>+VLOOKUP(Q649,Maps!I:J,2,0)</f>
        <v>#N/A</v>
      </c>
      <c r="I649" s="7" t="e">
        <f>+VLOOKUP(T649,Maps!E:F,2,0)</f>
        <v>#N/A</v>
      </c>
    </row>
    <row r="650" spans="1:9" ht="14.25" customHeight="1" x14ac:dyDescent="0.35">
      <c r="A650" s="7" t="str">
        <f t="array" ref="A650">EXTRACTEVENT(N650,V650)</f>
        <v/>
      </c>
      <c r="B650" s="7" t="str">
        <f t="shared" si="30"/>
        <v/>
      </c>
      <c r="C650" s="7"/>
      <c r="D650" s="7" t="str">
        <f t="shared" si="31"/>
        <v>E</v>
      </c>
      <c r="E650" s="10">
        <f t="shared" si="32"/>
        <v>0</v>
      </c>
      <c r="F650" s="7" t="e">
        <f t="array" ref="F650">+TIPOARMA(H650,I650)</f>
        <v>#VALUE!</v>
      </c>
      <c r="G650" s="7"/>
      <c r="H650" s="7" t="e">
        <f>+VLOOKUP(Q650,Maps!I:J,2,0)</f>
        <v>#N/A</v>
      </c>
      <c r="I650" s="7" t="e">
        <f>+VLOOKUP(T650,Maps!E:F,2,0)</f>
        <v>#N/A</v>
      </c>
    </row>
    <row r="651" spans="1:9" ht="14.25" customHeight="1" x14ac:dyDescent="0.35">
      <c r="A651" s="7" t="str">
        <f t="array" ref="A651">EXTRACTEVENT(N651,V651)</f>
        <v/>
      </c>
      <c r="B651" s="7" t="str">
        <f t="shared" si="30"/>
        <v/>
      </c>
      <c r="C651" s="7"/>
      <c r="D651" s="7" t="str">
        <f t="shared" si="31"/>
        <v>E</v>
      </c>
      <c r="E651" s="10">
        <f t="shared" si="32"/>
        <v>0</v>
      </c>
      <c r="F651" s="7" t="e">
        <f t="array" ref="F651">+TIPOARMA(H651,I651)</f>
        <v>#VALUE!</v>
      </c>
      <c r="G651" s="7"/>
      <c r="H651" s="7" t="e">
        <f>+VLOOKUP(Q651,Maps!I:J,2,0)</f>
        <v>#N/A</v>
      </c>
      <c r="I651" s="7" t="e">
        <f>+VLOOKUP(T651,Maps!E:F,2,0)</f>
        <v>#N/A</v>
      </c>
    </row>
    <row r="652" spans="1:9" ht="14.25" customHeight="1" x14ac:dyDescent="0.35">
      <c r="A652" s="7" t="str">
        <f t="array" ref="A652">EXTRACTEVENT(N652,V652)</f>
        <v/>
      </c>
      <c r="B652" s="7" t="str">
        <f t="shared" si="30"/>
        <v/>
      </c>
      <c r="C652" s="7"/>
      <c r="D652" s="7" t="str">
        <f t="shared" si="31"/>
        <v>E</v>
      </c>
      <c r="E652" s="10">
        <f t="shared" si="32"/>
        <v>0</v>
      </c>
      <c r="F652" s="7" t="e">
        <f t="array" ref="F652">+TIPOARMA(H652,I652)</f>
        <v>#VALUE!</v>
      </c>
      <c r="G652" s="7"/>
      <c r="H652" s="7" t="e">
        <f>+VLOOKUP(Q652,Maps!I:J,2,0)</f>
        <v>#N/A</v>
      </c>
      <c r="I652" s="7" t="e">
        <f>+VLOOKUP(T652,Maps!E:F,2,0)</f>
        <v>#N/A</v>
      </c>
    </row>
    <row r="653" spans="1:9" ht="14.25" customHeight="1" x14ac:dyDescent="0.35">
      <c r="A653" s="7" t="str">
        <f t="array" ref="A653">EXTRACTEVENT(N653,V653)</f>
        <v/>
      </c>
      <c r="B653" s="7" t="str">
        <f t="shared" si="30"/>
        <v/>
      </c>
      <c r="C653" s="7"/>
      <c r="D653" s="7" t="str">
        <f t="shared" si="31"/>
        <v>E</v>
      </c>
      <c r="E653" s="10">
        <f t="shared" si="32"/>
        <v>0</v>
      </c>
      <c r="F653" s="7" t="e">
        <f t="array" ref="F653">+TIPOARMA(H653,I653)</f>
        <v>#VALUE!</v>
      </c>
      <c r="G653" s="7"/>
      <c r="H653" s="7" t="e">
        <f>+VLOOKUP(Q653,Maps!I:J,2,0)</f>
        <v>#N/A</v>
      </c>
      <c r="I653" s="7" t="e">
        <f>+VLOOKUP(T653,Maps!E:F,2,0)</f>
        <v>#N/A</v>
      </c>
    </row>
    <row r="654" spans="1:9" ht="14.25" customHeight="1" x14ac:dyDescent="0.35">
      <c r="A654" s="7" t="str">
        <f t="array" ref="A654">EXTRACTEVENT(N654,V654)</f>
        <v/>
      </c>
      <c r="B654" s="7" t="str">
        <f t="shared" si="30"/>
        <v/>
      </c>
      <c r="C654" s="7"/>
      <c r="D654" s="7" t="str">
        <f t="shared" si="31"/>
        <v>E</v>
      </c>
      <c r="E654" s="10">
        <f t="shared" si="32"/>
        <v>0</v>
      </c>
      <c r="F654" s="7" t="e">
        <f t="array" ref="F654">+TIPOARMA(H654,I654)</f>
        <v>#VALUE!</v>
      </c>
      <c r="G654" s="7"/>
      <c r="H654" s="7" t="e">
        <f>+VLOOKUP(Q654,Maps!I:J,2,0)</f>
        <v>#N/A</v>
      </c>
      <c r="I654" s="7" t="e">
        <f>+VLOOKUP(T654,Maps!E:F,2,0)</f>
        <v>#N/A</v>
      </c>
    </row>
    <row r="655" spans="1:9" ht="14.25" customHeight="1" x14ac:dyDescent="0.35">
      <c r="A655" s="7" t="str">
        <f t="array" ref="A655">EXTRACTEVENT(N655,V655)</f>
        <v/>
      </c>
      <c r="B655" s="7" t="str">
        <f t="shared" si="30"/>
        <v/>
      </c>
      <c r="C655" s="7"/>
      <c r="D655" s="7" t="str">
        <f t="shared" si="31"/>
        <v>E</v>
      </c>
      <c r="E655" s="10">
        <f t="shared" si="32"/>
        <v>0</v>
      </c>
      <c r="F655" s="7" t="e">
        <f t="array" ref="F655">+TIPOARMA(H655,I655)</f>
        <v>#VALUE!</v>
      </c>
      <c r="G655" s="7"/>
      <c r="H655" s="7" t="e">
        <f>+VLOOKUP(Q655,Maps!I:J,2,0)</f>
        <v>#N/A</v>
      </c>
      <c r="I655" s="7" t="e">
        <f>+VLOOKUP(T655,Maps!E:F,2,0)</f>
        <v>#N/A</v>
      </c>
    </row>
    <row r="656" spans="1:9" ht="14.25" customHeight="1" x14ac:dyDescent="0.35">
      <c r="A656" s="7" t="str">
        <f t="array" ref="A656">EXTRACTEVENT(N656,V656)</f>
        <v/>
      </c>
      <c r="B656" s="7" t="str">
        <f t="shared" si="30"/>
        <v/>
      </c>
      <c r="C656" s="7"/>
      <c r="D656" s="7" t="str">
        <f t="shared" si="31"/>
        <v>E</v>
      </c>
      <c r="E656" s="10">
        <f t="shared" si="32"/>
        <v>0</v>
      </c>
      <c r="F656" s="7" t="e">
        <f t="array" ref="F656">+TIPOARMA(H656,I656)</f>
        <v>#VALUE!</v>
      </c>
      <c r="G656" s="7"/>
      <c r="H656" s="7" t="e">
        <f>+VLOOKUP(Q656,Maps!I:J,2,0)</f>
        <v>#N/A</v>
      </c>
      <c r="I656" s="7" t="e">
        <f>+VLOOKUP(T656,Maps!E:F,2,0)</f>
        <v>#N/A</v>
      </c>
    </row>
    <row r="657" spans="1:9" ht="14.25" customHeight="1" x14ac:dyDescent="0.35">
      <c r="A657" s="7" t="str">
        <f t="array" ref="A657">EXTRACTEVENT(N657,V657)</f>
        <v/>
      </c>
      <c r="B657" s="7" t="str">
        <f t="shared" si="30"/>
        <v/>
      </c>
      <c r="C657" s="7"/>
      <c r="D657" s="7" t="str">
        <f t="shared" si="31"/>
        <v>E</v>
      </c>
      <c r="E657" s="10">
        <f t="shared" si="32"/>
        <v>0</v>
      </c>
      <c r="F657" s="7" t="e">
        <f t="array" ref="F657">+TIPOARMA(H657,I657)</f>
        <v>#VALUE!</v>
      </c>
      <c r="G657" s="7"/>
      <c r="H657" s="7" t="e">
        <f>+VLOOKUP(Q657,Maps!I:J,2,0)</f>
        <v>#N/A</v>
      </c>
      <c r="I657" s="7" t="e">
        <f>+VLOOKUP(T657,Maps!E:F,2,0)</f>
        <v>#N/A</v>
      </c>
    </row>
    <row r="658" spans="1:9" ht="14.25" customHeight="1" x14ac:dyDescent="0.35">
      <c r="A658" s="7" t="str">
        <f t="array" ref="A658">EXTRACTEVENT(N658,V658)</f>
        <v/>
      </c>
      <c r="B658" s="7" t="str">
        <f t="shared" si="30"/>
        <v/>
      </c>
      <c r="C658" s="7"/>
      <c r="D658" s="7" t="str">
        <f t="shared" si="31"/>
        <v>E</v>
      </c>
      <c r="E658" s="10">
        <f t="shared" si="32"/>
        <v>0</v>
      </c>
      <c r="F658" s="7" t="e">
        <f t="array" ref="F658">+TIPOARMA(H658,I658)</f>
        <v>#VALUE!</v>
      </c>
      <c r="G658" s="7"/>
      <c r="H658" s="7" t="e">
        <f>+VLOOKUP(Q658,Maps!I:J,2,0)</f>
        <v>#N/A</v>
      </c>
      <c r="I658" s="7" t="e">
        <f>+VLOOKUP(T658,Maps!E:F,2,0)</f>
        <v>#N/A</v>
      </c>
    </row>
    <row r="659" spans="1:9" ht="14.25" customHeight="1" x14ac:dyDescent="0.35">
      <c r="A659" s="7" t="str">
        <f t="array" ref="A659">EXTRACTEVENT(N659,V659)</f>
        <v/>
      </c>
      <c r="B659" s="7" t="str">
        <f t="shared" si="30"/>
        <v/>
      </c>
      <c r="C659" s="7"/>
      <c r="D659" s="7" t="str">
        <f t="shared" si="31"/>
        <v>E</v>
      </c>
      <c r="E659" s="10">
        <f t="shared" si="32"/>
        <v>0</v>
      </c>
      <c r="F659" s="7" t="e">
        <f t="array" ref="F659">+TIPOARMA(H659,I659)</f>
        <v>#VALUE!</v>
      </c>
      <c r="G659" s="7"/>
      <c r="H659" s="7" t="e">
        <f>+VLOOKUP(Q659,Maps!I:J,2,0)</f>
        <v>#N/A</v>
      </c>
      <c r="I659" s="7" t="e">
        <f>+VLOOKUP(T659,Maps!E:F,2,0)</f>
        <v>#N/A</v>
      </c>
    </row>
    <row r="660" spans="1:9" ht="14.25" customHeight="1" x14ac:dyDescent="0.35">
      <c r="A660" s="7" t="str">
        <f t="array" ref="A660">EXTRACTEVENT(N660,V660)</f>
        <v/>
      </c>
      <c r="B660" s="7" t="str">
        <f t="shared" si="30"/>
        <v/>
      </c>
      <c r="C660" s="7"/>
      <c r="D660" s="7" t="str">
        <f t="shared" si="31"/>
        <v>E</v>
      </c>
      <c r="E660" s="10">
        <f t="shared" si="32"/>
        <v>0</v>
      </c>
      <c r="F660" s="7" t="e">
        <f t="array" ref="F660">+TIPOARMA(H660,I660)</f>
        <v>#VALUE!</v>
      </c>
      <c r="G660" s="7"/>
      <c r="H660" s="7" t="e">
        <f>+VLOOKUP(Q660,Maps!I:J,2,0)</f>
        <v>#N/A</v>
      </c>
      <c r="I660" s="7" t="e">
        <f>+VLOOKUP(T660,Maps!E:F,2,0)</f>
        <v>#N/A</v>
      </c>
    </row>
    <row r="661" spans="1:9" ht="14.25" customHeight="1" x14ac:dyDescent="0.35">
      <c r="A661" s="7" t="str">
        <f t="array" ref="A661">EXTRACTEVENT(N661,V661)</f>
        <v/>
      </c>
      <c r="B661" s="7" t="str">
        <f t="shared" si="30"/>
        <v/>
      </c>
      <c r="C661" s="7"/>
      <c r="D661" s="7" t="str">
        <f t="shared" si="31"/>
        <v>E</v>
      </c>
      <c r="E661" s="10">
        <f t="shared" si="32"/>
        <v>0</v>
      </c>
      <c r="F661" s="7" t="e">
        <f t="array" ref="F661">+TIPOARMA(H661,I661)</f>
        <v>#VALUE!</v>
      </c>
      <c r="G661" s="7"/>
      <c r="H661" s="7" t="e">
        <f>+VLOOKUP(Q661,Maps!I:J,2,0)</f>
        <v>#N/A</v>
      </c>
      <c r="I661" s="7" t="e">
        <f>+VLOOKUP(T661,Maps!E:F,2,0)</f>
        <v>#N/A</v>
      </c>
    </row>
    <row r="662" spans="1:9" ht="14.25" customHeight="1" x14ac:dyDescent="0.35">
      <c r="A662" s="7" t="str">
        <f t="array" ref="A662">EXTRACTEVENT(N662,V662)</f>
        <v/>
      </c>
      <c r="B662" s="7" t="str">
        <f t="shared" si="30"/>
        <v/>
      </c>
      <c r="C662" s="7"/>
      <c r="D662" s="7" t="str">
        <f t="shared" si="31"/>
        <v>E</v>
      </c>
      <c r="E662" s="10">
        <f t="shared" si="32"/>
        <v>0</v>
      </c>
      <c r="F662" s="7" t="e">
        <f t="array" ref="F662">+TIPOARMA(H662,I662)</f>
        <v>#VALUE!</v>
      </c>
      <c r="G662" s="7"/>
      <c r="H662" s="7" t="e">
        <f>+VLOOKUP(Q662,Maps!I:J,2,0)</f>
        <v>#N/A</v>
      </c>
      <c r="I662" s="7" t="e">
        <f>+VLOOKUP(T662,Maps!E:F,2,0)</f>
        <v>#N/A</v>
      </c>
    </row>
    <row r="663" spans="1:9" ht="14.25" customHeight="1" x14ac:dyDescent="0.35">
      <c r="A663" s="7" t="str">
        <f t="array" ref="A663">EXTRACTEVENT(N663,V663)</f>
        <v/>
      </c>
      <c r="B663" s="7" t="str">
        <f t="shared" si="30"/>
        <v/>
      </c>
      <c r="C663" s="7"/>
      <c r="D663" s="7" t="str">
        <f t="shared" si="31"/>
        <v>E</v>
      </c>
      <c r="E663" s="10">
        <f t="shared" si="32"/>
        <v>0</v>
      </c>
      <c r="F663" s="7" t="e">
        <f t="array" ref="F663">+TIPOARMA(H663,I663)</f>
        <v>#VALUE!</v>
      </c>
      <c r="G663" s="7"/>
      <c r="H663" s="7" t="e">
        <f>+VLOOKUP(Q663,Maps!I:J,2,0)</f>
        <v>#N/A</v>
      </c>
      <c r="I663" s="7" t="e">
        <f>+VLOOKUP(T663,Maps!E:F,2,0)</f>
        <v>#N/A</v>
      </c>
    </row>
    <row r="664" spans="1:9" ht="14.25" customHeight="1" x14ac:dyDescent="0.35">
      <c r="A664" s="7" t="str">
        <f t="array" ref="A664">EXTRACTEVENT(N664,V664)</f>
        <v/>
      </c>
      <c r="B664" s="7" t="str">
        <f t="shared" si="30"/>
        <v/>
      </c>
      <c r="C664" s="7"/>
      <c r="D664" s="7" t="str">
        <f t="shared" si="31"/>
        <v>E</v>
      </c>
      <c r="E664" s="10">
        <f t="shared" si="32"/>
        <v>0</v>
      </c>
      <c r="F664" s="7" t="e">
        <f t="array" ref="F664">+TIPOARMA(H664,I664)</f>
        <v>#VALUE!</v>
      </c>
      <c r="G664" s="7"/>
      <c r="H664" s="7" t="e">
        <f>+VLOOKUP(Q664,Maps!I:J,2,0)</f>
        <v>#N/A</v>
      </c>
      <c r="I664" s="7" t="e">
        <f>+VLOOKUP(T664,Maps!E:F,2,0)</f>
        <v>#N/A</v>
      </c>
    </row>
    <row r="665" spans="1:9" ht="14.25" customHeight="1" x14ac:dyDescent="0.35">
      <c r="A665" s="7" t="str">
        <f t="array" ref="A665">EXTRACTEVENT(N665,V665)</f>
        <v/>
      </c>
      <c r="B665" s="7" t="str">
        <f t="shared" si="30"/>
        <v/>
      </c>
      <c r="C665" s="7"/>
      <c r="D665" s="7" t="str">
        <f t="shared" si="31"/>
        <v>E</v>
      </c>
      <c r="E665" s="10">
        <f t="shared" si="32"/>
        <v>0</v>
      </c>
      <c r="F665" s="7" t="e">
        <f t="array" ref="F665">+TIPOARMA(H665,I665)</f>
        <v>#VALUE!</v>
      </c>
      <c r="G665" s="7"/>
      <c r="H665" s="7" t="e">
        <f>+VLOOKUP(Q665,Maps!I:J,2,0)</f>
        <v>#N/A</v>
      </c>
      <c r="I665" s="7" t="e">
        <f>+VLOOKUP(T665,Maps!E:F,2,0)</f>
        <v>#N/A</v>
      </c>
    </row>
    <row r="666" spans="1:9" ht="14.25" customHeight="1" x14ac:dyDescent="0.35">
      <c r="A666" s="7" t="str">
        <f t="array" ref="A666">EXTRACTEVENT(N666,V666)</f>
        <v/>
      </c>
      <c r="B666" s="7" t="str">
        <f t="shared" si="30"/>
        <v/>
      </c>
      <c r="C666" s="7"/>
      <c r="D666" s="7" t="str">
        <f t="shared" si="31"/>
        <v>E</v>
      </c>
      <c r="E666" s="10">
        <f t="shared" si="32"/>
        <v>0</v>
      </c>
      <c r="F666" s="7" t="e">
        <f t="array" ref="F666">+TIPOARMA(H666,I666)</f>
        <v>#VALUE!</v>
      </c>
      <c r="G666" s="7"/>
      <c r="H666" s="7" t="e">
        <f>+VLOOKUP(Q666,Maps!I:J,2,0)</f>
        <v>#N/A</v>
      </c>
      <c r="I666" s="7" t="e">
        <f>+VLOOKUP(T666,Maps!E:F,2,0)</f>
        <v>#N/A</v>
      </c>
    </row>
    <row r="667" spans="1:9" ht="14.25" customHeight="1" x14ac:dyDescent="0.35">
      <c r="A667" s="7" t="str">
        <f t="array" ref="A667">EXTRACTEVENT(N667,V667)</f>
        <v/>
      </c>
      <c r="B667" s="7" t="str">
        <f t="shared" si="30"/>
        <v/>
      </c>
      <c r="C667" s="7"/>
      <c r="D667" s="7" t="str">
        <f t="shared" si="31"/>
        <v>E</v>
      </c>
      <c r="E667" s="10">
        <f t="shared" si="32"/>
        <v>0</v>
      </c>
      <c r="F667" s="7" t="e">
        <f t="array" ref="F667">+TIPOARMA(H667,I667)</f>
        <v>#VALUE!</v>
      </c>
      <c r="G667" s="7"/>
      <c r="H667" s="7" t="e">
        <f>+VLOOKUP(Q667,Maps!I:J,2,0)</f>
        <v>#N/A</v>
      </c>
      <c r="I667" s="7" t="e">
        <f>+VLOOKUP(T667,Maps!E:F,2,0)</f>
        <v>#N/A</v>
      </c>
    </row>
    <row r="668" spans="1:9" ht="14.25" customHeight="1" x14ac:dyDescent="0.35">
      <c r="A668" s="7" t="str">
        <f t="array" ref="A668">EXTRACTEVENT(N668,V668)</f>
        <v/>
      </c>
      <c r="B668" s="7" t="str">
        <f t="shared" si="30"/>
        <v/>
      </c>
      <c r="C668" s="7"/>
      <c r="D668" s="7" t="str">
        <f t="shared" si="31"/>
        <v>E</v>
      </c>
      <c r="E668" s="10">
        <f t="shared" si="32"/>
        <v>0</v>
      </c>
      <c r="F668" s="7" t="e">
        <f t="array" ref="F668">+TIPOARMA(H668,I668)</f>
        <v>#VALUE!</v>
      </c>
      <c r="G668" s="7"/>
      <c r="H668" s="7" t="e">
        <f>+VLOOKUP(Q668,Maps!I:J,2,0)</f>
        <v>#N/A</v>
      </c>
      <c r="I668" s="7" t="e">
        <f>+VLOOKUP(T668,Maps!E:F,2,0)</f>
        <v>#N/A</v>
      </c>
    </row>
    <row r="669" spans="1:9" ht="14.25" customHeight="1" x14ac:dyDescent="0.35">
      <c r="A669" s="7" t="str">
        <f t="array" ref="A669">EXTRACTEVENT(N669,V669)</f>
        <v/>
      </c>
      <c r="B669" s="7" t="str">
        <f t="shared" si="30"/>
        <v/>
      </c>
      <c r="C669" s="7"/>
      <c r="D669" s="7" t="str">
        <f t="shared" si="31"/>
        <v>E</v>
      </c>
      <c r="E669" s="10">
        <f t="shared" si="32"/>
        <v>0</v>
      </c>
      <c r="F669" s="7" t="e">
        <f t="array" ref="F669">+TIPOARMA(H669,I669)</f>
        <v>#VALUE!</v>
      </c>
      <c r="G669" s="7"/>
      <c r="H669" s="7" t="e">
        <f>+VLOOKUP(Q669,Maps!I:J,2,0)</f>
        <v>#N/A</v>
      </c>
      <c r="I669" s="7" t="e">
        <f>+VLOOKUP(T669,Maps!E:F,2,0)</f>
        <v>#N/A</v>
      </c>
    </row>
    <row r="670" spans="1:9" ht="14.25" customHeight="1" x14ac:dyDescent="0.35">
      <c r="A670" s="7" t="str">
        <f t="array" ref="A670">EXTRACTEVENT(N670,V670)</f>
        <v/>
      </c>
      <c r="B670" s="7" t="str">
        <f t="shared" si="30"/>
        <v/>
      </c>
      <c r="C670" s="7"/>
      <c r="D670" s="7" t="str">
        <f t="shared" si="31"/>
        <v>E</v>
      </c>
      <c r="E670" s="10">
        <f t="shared" si="32"/>
        <v>0</v>
      </c>
      <c r="F670" s="7" t="e">
        <f t="array" ref="F670">+TIPOARMA(H670,I670)</f>
        <v>#VALUE!</v>
      </c>
      <c r="G670" s="7"/>
      <c r="H670" s="7" t="e">
        <f>+VLOOKUP(Q670,Maps!I:J,2,0)</f>
        <v>#N/A</v>
      </c>
      <c r="I670" s="7" t="e">
        <f>+VLOOKUP(T670,Maps!E:F,2,0)</f>
        <v>#N/A</v>
      </c>
    </row>
    <row r="671" spans="1:9" ht="14.25" customHeight="1" x14ac:dyDescent="0.35">
      <c r="A671" s="7" t="str">
        <f t="array" ref="A671">EXTRACTEVENT(N671,V671)</f>
        <v/>
      </c>
      <c r="B671" s="7" t="str">
        <f t="shared" si="30"/>
        <v/>
      </c>
      <c r="C671" s="7"/>
      <c r="D671" s="7" t="str">
        <f t="shared" si="31"/>
        <v>E</v>
      </c>
      <c r="E671" s="10">
        <f t="shared" si="32"/>
        <v>0</v>
      </c>
      <c r="F671" s="7" t="e">
        <f t="array" ref="F671">+TIPOARMA(H671,I671)</f>
        <v>#VALUE!</v>
      </c>
      <c r="G671" s="7"/>
      <c r="H671" s="7" t="e">
        <f>+VLOOKUP(Q671,Maps!I:J,2,0)</f>
        <v>#N/A</v>
      </c>
      <c r="I671" s="7" t="e">
        <f>+VLOOKUP(T671,Maps!E:F,2,0)</f>
        <v>#N/A</v>
      </c>
    </row>
    <row r="672" spans="1:9" ht="14.25" customHeight="1" x14ac:dyDescent="0.35">
      <c r="A672" s="7" t="str">
        <f t="array" ref="A672">EXTRACTEVENT(N672,V672)</f>
        <v/>
      </c>
      <c r="B672" s="7" t="str">
        <f t="shared" si="30"/>
        <v/>
      </c>
      <c r="C672" s="7"/>
      <c r="D672" s="7" t="str">
        <f t="shared" si="31"/>
        <v>E</v>
      </c>
      <c r="E672" s="10">
        <f t="shared" si="32"/>
        <v>0</v>
      </c>
      <c r="F672" s="7" t="e">
        <f t="array" ref="F672">+TIPOARMA(H672,I672)</f>
        <v>#VALUE!</v>
      </c>
      <c r="G672" s="7"/>
      <c r="H672" s="7" t="e">
        <f>+VLOOKUP(Q672,Maps!I:J,2,0)</f>
        <v>#N/A</v>
      </c>
      <c r="I672" s="7" t="e">
        <f>+VLOOKUP(T672,Maps!E:F,2,0)</f>
        <v>#N/A</v>
      </c>
    </row>
    <row r="673" spans="1:9" ht="14.25" customHeight="1" x14ac:dyDescent="0.35">
      <c r="A673" s="7" t="str">
        <f t="array" ref="A673">EXTRACTEVENT(N673,V673)</f>
        <v/>
      </c>
      <c r="B673" s="7" t="str">
        <f t="shared" si="30"/>
        <v/>
      </c>
      <c r="C673" s="7"/>
      <c r="D673" s="7" t="str">
        <f t="shared" si="31"/>
        <v>E</v>
      </c>
      <c r="E673" s="10">
        <f t="shared" si="32"/>
        <v>0</v>
      </c>
      <c r="F673" s="7" t="e">
        <f t="array" ref="F673">+TIPOARMA(H673,I673)</f>
        <v>#VALUE!</v>
      </c>
      <c r="G673" s="7"/>
      <c r="H673" s="7" t="e">
        <f>+VLOOKUP(Q673,Maps!I:J,2,0)</f>
        <v>#N/A</v>
      </c>
      <c r="I673" s="7" t="e">
        <f>+VLOOKUP(T673,Maps!E:F,2,0)</f>
        <v>#N/A</v>
      </c>
    </row>
    <row r="674" spans="1:9" ht="14.25" customHeight="1" x14ac:dyDescent="0.35">
      <c r="A674" s="7" t="str">
        <f t="array" ref="A674">EXTRACTEVENT(N674,V674)</f>
        <v/>
      </c>
      <c r="B674" s="7" t="str">
        <f t="shared" si="30"/>
        <v/>
      </c>
      <c r="C674" s="7"/>
      <c r="D674" s="7" t="str">
        <f t="shared" si="31"/>
        <v>E</v>
      </c>
      <c r="E674" s="10">
        <f t="shared" si="32"/>
        <v>0</v>
      </c>
      <c r="F674" s="7" t="e">
        <f t="array" ref="F674">+TIPOARMA(H674,I674)</f>
        <v>#VALUE!</v>
      </c>
      <c r="G674" s="7"/>
      <c r="H674" s="7" t="e">
        <f>+VLOOKUP(Q674,Maps!I:J,2,0)</f>
        <v>#N/A</v>
      </c>
      <c r="I674" s="7" t="e">
        <f>+VLOOKUP(T674,Maps!E:F,2,0)</f>
        <v>#N/A</v>
      </c>
    </row>
    <row r="675" spans="1:9" ht="14.25" customHeight="1" x14ac:dyDescent="0.35">
      <c r="A675" s="7" t="str">
        <f t="array" ref="A675">EXTRACTEVENT(N675,V675)</f>
        <v/>
      </c>
      <c r="B675" s="7" t="str">
        <f t="shared" si="30"/>
        <v/>
      </c>
      <c r="C675" s="7"/>
      <c r="D675" s="7" t="str">
        <f t="shared" si="31"/>
        <v>E</v>
      </c>
      <c r="E675" s="10">
        <f t="shared" si="32"/>
        <v>0</v>
      </c>
      <c r="F675" s="7" t="e">
        <f t="array" ref="F675">+TIPOARMA(H675,I675)</f>
        <v>#VALUE!</v>
      </c>
      <c r="G675" s="7"/>
      <c r="H675" s="7" t="e">
        <f>+VLOOKUP(Q675,Maps!I:J,2,0)</f>
        <v>#N/A</v>
      </c>
      <c r="I675" s="7" t="e">
        <f>+VLOOKUP(T675,Maps!E:F,2,0)</f>
        <v>#N/A</v>
      </c>
    </row>
    <row r="676" spans="1:9" ht="14.25" customHeight="1" x14ac:dyDescent="0.35">
      <c r="A676" s="7" t="str">
        <f t="array" ref="A676">EXTRACTEVENT(N676,V676)</f>
        <v/>
      </c>
      <c r="B676" s="7" t="str">
        <f t="shared" si="30"/>
        <v/>
      </c>
      <c r="C676" s="7"/>
      <c r="D676" s="7" t="str">
        <f t="shared" si="31"/>
        <v>E</v>
      </c>
      <c r="E676" s="10">
        <f t="shared" si="32"/>
        <v>0</v>
      </c>
      <c r="F676" s="7" t="e">
        <f t="array" ref="F676">+TIPOARMA(H676,I676)</f>
        <v>#VALUE!</v>
      </c>
      <c r="G676" s="7"/>
      <c r="H676" s="7" t="e">
        <f>+VLOOKUP(Q676,Maps!I:J,2,0)</f>
        <v>#N/A</v>
      </c>
      <c r="I676" s="7" t="e">
        <f>+VLOOKUP(T676,Maps!E:F,2,0)</f>
        <v>#N/A</v>
      </c>
    </row>
    <row r="677" spans="1:9" ht="14.25" customHeight="1" x14ac:dyDescent="0.35">
      <c r="A677" s="7" t="str">
        <f t="array" ref="A677">EXTRACTEVENT(N677,V677)</f>
        <v/>
      </c>
      <c r="B677" s="7" t="str">
        <f t="shared" si="30"/>
        <v/>
      </c>
      <c r="C677" s="7"/>
      <c r="D677" s="7" t="str">
        <f t="shared" si="31"/>
        <v>E</v>
      </c>
      <c r="E677" s="10">
        <f t="shared" si="32"/>
        <v>0</v>
      </c>
      <c r="F677" s="7" t="e">
        <f t="array" ref="F677">+TIPOARMA(H677,I677)</f>
        <v>#VALUE!</v>
      </c>
      <c r="G677" s="7"/>
      <c r="H677" s="7" t="e">
        <f>+VLOOKUP(Q677,Maps!I:J,2,0)</f>
        <v>#N/A</v>
      </c>
      <c r="I677" s="7" t="e">
        <f>+VLOOKUP(T677,Maps!E:F,2,0)</f>
        <v>#N/A</v>
      </c>
    </row>
    <row r="678" spans="1:9" ht="14.25" customHeight="1" x14ac:dyDescent="0.35">
      <c r="A678" s="7" t="str">
        <f t="array" ref="A678">EXTRACTEVENT(N678,V678)</f>
        <v/>
      </c>
      <c r="B678" s="7" t="str">
        <f t="shared" si="30"/>
        <v/>
      </c>
      <c r="C678" s="7"/>
      <c r="D678" s="7" t="str">
        <f t="shared" si="31"/>
        <v>E</v>
      </c>
      <c r="E678" s="10">
        <f t="shared" si="32"/>
        <v>0</v>
      </c>
      <c r="F678" s="7" t="e">
        <f t="array" ref="F678">+TIPOARMA(H678,I678)</f>
        <v>#VALUE!</v>
      </c>
      <c r="G678" s="7"/>
      <c r="H678" s="7" t="e">
        <f>+VLOOKUP(Q678,Maps!I:J,2,0)</f>
        <v>#N/A</v>
      </c>
      <c r="I678" s="7" t="e">
        <f>+VLOOKUP(T678,Maps!E:F,2,0)</f>
        <v>#N/A</v>
      </c>
    </row>
    <row r="679" spans="1:9" ht="14.25" customHeight="1" x14ac:dyDescent="0.35">
      <c r="A679" s="7" t="str">
        <f t="array" ref="A679">EXTRACTEVENT(N679,V679)</f>
        <v/>
      </c>
      <c r="B679" s="7" t="str">
        <f t="shared" si="30"/>
        <v/>
      </c>
      <c r="C679" s="7"/>
      <c r="D679" s="7" t="str">
        <f t="shared" si="31"/>
        <v>E</v>
      </c>
      <c r="E679" s="10">
        <f t="shared" si="32"/>
        <v>0</v>
      </c>
      <c r="F679" s="7" t="e">
        <f t="array" ref="F679">+TIPOARMA(H679,I679)</f>
        <v>#VALUE!</v>
      </c>
      <c r="G679" s="7"/>
      <c r="H679" s="7" t="e">
        <f>+VLOOKUP(Q679,Maps!I:J,2,0)</f>
        <v>#N/A</v>
      </c>
      <c r="I679" s="7" t="e">
        <f>+VLOOKUP(T679,Maps!E:F,2,0)</f>
        <v>#N/A</v>
      </c>
    </row>
    <row r="680" spans="1:9" ht="14.25" customHeight="1" x14ac:dyDescent="0.35">
      <c r="A680" s="7" t="str">
        <f t="array" ref="A680">EXTRACTEVENT(N680,V680)</f>
        <v/>
      </c>
      <c r="B680" s="7" t="str">
        <f t="shared" si="30"/>
        <v/>
      </c>
      <c r="C680" s="7"/>
      <c r="D680" s="7" t="str">
        <f t="shared" si="31"/>
        <v>E</v>
      </c>
      <c r="E680" s="10">
        <f t="shared" si="32"/>
        <v>0</v>
      </c>
      <c r="F680" s="7" t="e">
        <f t="array" ref="F680">+TIPOARMA(H680,I680)</f>
        <v>#VALUE!</v>
      </c>
      <c r="G680" s="7"/>
      <c r="H680" s="7" t="e">
        <f>+VLOOKUP(Q680,Maps!I:J,2,0)</f>
        <v>#N/A</v>
      </c>
      <c r="I680" s="7" t="e">
        <f>+VLOOKUP(T680,Maps!E:F,2,0)</f>
        <v>#N/A</v>
      </c>
    </row>
    <row r="681" spans="1:9" ht="14.25" customHeight="1" x14ac:dyDescent="0.35">
      <c r="A681" s="7" t="str">
        <f t="array" ref="A681">EXTRACTEVENT(N681,V681)</f>
        <v/>
      </c>
      <c r="B681" s="7" t="str">
        <f t="shared" si="30"/>
        <v/>
      </c>
      <c r="C681" s="7"/>
      <c r="D681" s="7" t="str">
        <f t="shared" si="31"/>
        <v>E</v>
      </c>
      <c r="E681" s="10">
        <f t="shared" si="32"/>
        <v>0</v>
      </c>
      <c r="F681" s="7" t="e">
        <f t="array" ref="F681">+TIPOARMA(H681,I681)</f>
        <v>#VALUE!</v>
      </c>
      <c r="G681" s="7"/>
      <c r="H681" s="7" t="e">
        <f>+VLOOKUP(Q681,Maps!I:J,2,0)</f>
        <v>#N/A</v>
      </c>
      <c r="I681" s="7" t="e">
        <f>+VLOOKUP(T681,Maps!E:F,2,0)</f>
        <v>#N/A</v>
      </c>
    </row>
    <row r="682" spans="1:9" ht="14.25" customHeight="1" x14ac:dyDescent="0.35">
      <c r="A682" s="7" t="str">
        <f t="array" ref="A682">EXTRACTEVENT(N682,V682)</f>
        <v/>
      </c>
      <c r="B682" s="7" t="str">
        <f t="shared" si="30"/>
        <v/>
      </c>
      <c r="C682" s="7"/>
      <c r="D682" s="7" t="str">
        <f t="shared" si="31"/>
        <v>E</v>
      </c>
      <c r="E682" s="10">
        <f t="shared" si="32"/>
        <v>0</v>
      </c>
      <c r="F682" s="7" t="e">
        <f t="array" ref="F682">+TIPOARMA(H682,I682)</f>
        <v>#VALUE!</v>
      </c>
      <c r="G682" s="7"/>
      <c r="H682" s="7" t="e">
        <f>+VLOOKUP(Q682,Maps!I:J,2,0)</f>
        <v>#N/A</v>
      </c>
      <c r="I682" s="7" t="e">
        <f>+VLOOKUP(T682,Maps!E:F,2,0)</f>
        <v>#N/A</v>
      </c>
    </row>
    <row r="683" spans="1:9" ht="14.25" customHeight="1" x14ac:dyDescent="0.35">
      <c r="A683" s="7" t="str">
        <f t="array" ref="A683">EXTRACTEVENT(N683,V683)</f>
        <v/>
      </c>
      <c r="B683" s="7" t="str">
        <f t="shared" si="30"/>
        <v/>
      </c>
      <c r="C683" s="7"/>
      <c r="D683" s="7" t="str">
        <f t="shared" si="31"/>
        <v>E</v>
      </c>
      <c r="E683" s="10">
        <f t="shared" si="32"/>
        <v>0</v>
      </c>
      <c r="F683" s="7" t="e">
        <f t="array" ref="F683">+TIPOARMA(H683,I683)</f>
        <v>#VALUE!</v>
      </c>
      <c r="G683" s="7"/>
      <c r="H683" s="7" t="e">
        <f>+VLOOKUP(Q683,Maps!I:J,2,0)</f>
        <v>#N/A</v>
      </c>
      <c r="I683" s="7" t="e">
        <f>+VLOOKUP(T683,Maps!E:F,2,0)</f>
        <v>#N/A</v>
      </c>
    </row>
    <row r="684" spans="1:9" ht="14.25" customHeight="1" x14ac:dyDescent="0.35">
      <c r="A684" s="7" t="str">
        <f t="array" ref="A684">EXTRACTEVENT(N684,V684)</f>
        <v/>
      </c>
      <c r="B684" s="7" t="str">
        <f t="shared" si="30"/>
        <v/>
      </c>
      <c r="C684" s="7"/>
      <c r="D684" s="7" t="str">
        <f t="shared" si="31"/>
        <v>E</v>
      </c>
      <c r="E684" s="10">
        <f t="shared" si="32"/>
        <v>0</v>
      </c>
      <c r="F684" s="7" t="e">
        <f t="array" ref="F684">+TIPOARMA(H684,I684)</f>
        <v>#VALUE!</v>
      </c>
      <c r="G684" s="7"/>
      <c r="H684" s="7" t="e">
        <f>+VLOOKUP(Q684,Maps!I:J,2,0)</f>
        <v>#N/A</v>
      </c>
      <c r="I684" s="7" t="e">
        <f>+VLOOKUP(T684,Maps!E:F,2,0)</f>
        <v>#N/A</v>
      </c>
    </row>
    <row r="685" spans="1:9" ht="14.25" customHeight="1" x14ac:dyDescent="0.35">
      <c r="A685" s="7" t="str">
        <f t="array" ref="A685">EXTRACTEVENT(N685,V685)</f>
        <v/>
      </c>
      <c r="B685" s="7" t="str">
        <f t="shared" si="30"/>
        <v/>
      </c>
      <c r="C685" s="7"/>
      <c r="D685" s="7" t="str">
        <f t="shared" si="31"/>
        <v>E</v>
      </c>
      <c r="E685" s="10">
        <f t="shared" si="32"/>
        <v>0</v>
      </c>
      <c r="F685" s="7" t="e">
        <f t="array" ref="F685">+TIPOARMA(H685,I685)</f>
        <v>#VALUE!</v>
      </c>
      <c r="G685" s="7"/>
      <c r="H685" s="7" t="e">
        <f>+VLOOKUP(Q685,Maps!I:J,2,0)</f>
        <v>#N/A</v>
      </c>
      <c r="I685" s="7" t="e">
        <f>+VLOOKUP(T685,Maps!E:F,2,0)</f>
        <v>#N/A</v>
      </c>
    </row>
    <row r="686" spans="1:9" ht="14.25" customHeight="1" x14ac:dyDescent="0.35">
      <c r="A686" s="7" t="str">
        <f t="array" ref="A686">EXTRACTEVENT(N686,V686)</f>
        <v/>
      </c>
      <c r="B686" s="7" t="str">
        <f t="shared" si="30"/>
        <v/>
      </c>
      <c r="C686" s="7"/>
      <c r="D686" s="7" t="str">
        <f t="shared" si="31"/>
        <v>E</v>
      </c>
      <c r="E686" s="10">
        <f t="shared" si="32"/>
        <v>0</v>
      </c>
      <c r="F686" s="7" t="e">
        <f t="array" ref="F686">+TIPOARMA(H686,I686)</f>
        <v>#VALUE!</v>
      </c>
      <c r="G686" s="7"/>
      <c r="H686" s="7" t="e">
        <f>+VLOOKUP(Q686,Maps!I:J,2,0)</f>
        <v>#N/A</v>
      </c>
      <c r="I686" s="7" t="e">
        <f>+VLOOKUP(T686,Maps!E:F,2,0)</f>
        <v>#N/A</v>
      </c>
    </row>
    <row r="687" spans="1:9" ht="14.25" customHeight="1" x14ac:dyDescent="0.35">
      <c r="A687" s="7" t="str">
        <f t="array" ref="A687">EXTRACTEVENT(N687,V687)</f>
        <v/>
      </c>
      <c r="B687" s="7" t="str">
        <f t="shared" si="30"/>
        <v/>
      </c>
      <c r="C687" s="7"/>
      <c r="D687" s="7" t="str">
        <f t="shared" si="31"/>
        <v>E</v>
      </c>
      <c r="E687" s="10">
        <f t="shared" si="32"/>
        <v>0</v>
      </c>
      <c r="F687" s="7" t="e">
        <f t="array" ref="F687">+TIPOARMA(H687,I687)</f>
        <v>#VALUE!</v>
      </c>
      <c r="G687" s="7"/>
      <c r="H687" s="7" t="e">
        <f>+VLOOKUP(Q687,Maps!I:J,2,0)</f>
        <v>#N/A</v>
      </c>
      <c r="I687" s="7" t="e">
        <f>+VLOOKUP(T687,Maps!E:F,2,0)</f>
        <v>#N/A</v>
      </c>
    </row>
    <row r="688" spans="1:9" ht="14.25" customHeight="1" x14ac:dyDescent="0.35">
      <c r="A688" s="7" t="str">
        <f t="array" ref="A688">EXTRACTEVENT(N688,V688)</f>
        <v/>
      </c>
      <c r="B688" s="7" t="str">
        <f t="shared" si="30"/>
        <v/>
      </c>
      <c r="C688" s="7"/>
      <c r="D688" s="7" t="str">
        <f t="shared" si="31"/>
        <v>E</v>
      </c>
      <c r="E688" s="10">
        <f t="shared" si="32"/>
        <v>0</v>
      </c>
      <c r="F688" s="7" t="e">
        <f t="array" ref="F688">+TIPOARMA(H688,I688)</f>
        <v>#VALUE!</v>
      </c>
      <c r="G688" s="7"/>
      <c r="H688" s="7" t="e">
        <f>+VLOOKUP(Q688,Maps!I:J,2,0)</f>
        <v>#N/A</v>
      </c>
      <c r="I688" s="7" t="e">
        <f>+VLOOKUP(T688,Maps!E:F,2,0)</f>
        <v>#N/A</v>
      </c>
    </row>
    <row r="689" spans="1:9" ht="14.25" customHeight="1" x14ac:dyDescent="0.35">
      <c r="A689" s="7" t="str">
        <f t="array" ref="A689">EXTRACTEVENT(N689,V689)</f>
        <v/>
      </c>
      <c r="B689" s="7" t="str">
        <f t="shared" si="30"/>
        <v/>
      </c>
      <c r="C689" s="7"/>
      <c r="D689" s="7" t="str">
        <f t="shared" si="31"/>
        <v>E</v>
      </c>
      <c r="E689" s="10">
        <f t="shared" si="32"/>
        <v>0</v>
      </c>
      <c r="F689" s="7" t="e">
        <f t="array" ref="F689">+TIPOARMA(H689,I689)</f>
        <v>#VALUE!</v>
      </c>
      <c r="G689" s="7"/>
      <c r="H689" s="7" t="e">
        <f>+VLOOKUP(Q689,Maps!I:J,2,0)</f>
        <v>#N/A</v>
      </c>
      <c r="I689" s="7" t="e">
        <f>+VLOOKUP(T689,Maps!E:F,2,0)</f>
        <v>#N/A</v>
      </c>
    </row>
    <row r="690" spans="1:9" ht="14.25" customHeight="1" x14ac:dyDescent="0.35">
      <c r="A690" s="7" t="str">
        <f t="array" ref="A690">EXTRACTEVENT(N690,V690)</f>
        <v/>
      </c>
      <c r="B690" s="7" t="str">
        <f t="shared" si="30"/>
        <v/>
      </c>
      <c r="C690" s="7"/>
      <c r="D690" s="7" t="str">
        <f t="shared" si="31"/>
        <v>E</v>
      </c>
      <c r="E690" s="10">
        <f t="shared" si="32"/>
        <v>0</v>
      </c>
      <c r="F690" s="7" t="e">
        <f t="array" ref="F690">+TIPOARMA(H690,I690)</f>
        <v>#VALUE!</v>
      </c>
      <c r="G690" s="7"/>
      <c r="H690" s="7" t="e">
        <f>+VLOOKUP(Q690,Maps!I:J,2,0)</f>
        <v>#N/A</v>
      </c>
      <c r="I690" s="7" t="e">
        <f>+VLOOKUP(T690,Maps!E:F,2,0)</f>
        <v>#N/A</v>
      </c>
    </row>
    <row r="691" spans="1:9" ht="14.25" customHeight="1" x14ac:dyDescent="0.35">
      <c r="A691" s="7" t="str">
        <f t="array" ref="A691">EXTRACTEVENT(N691,V691)</f>
        <v/>
      </c>
      <c r="B691" s="7" t="str">
        <f t="shared" si="30"/>
        <v/>
      </c>
      <c r="C691" s="7"/>
      <c r="D691" s="7" t="str">
        <f t="shared" si="31"/>
        <v>E</v>
      </c>
      <c r="E691" s="10">
        <f t="shared" si="32"/>
        <v>0</v>
      </c>
      <c r="F691" s="7" t="e">
        <f t="array" ref="F691">+TIPOARMA(H691,I691)</f>
        <v>#VALUE!</v>
      </c>
      <c r="G691" s="7"/>
      <c r="H691" s="7" t="e">
        <f>+VLOOKUP(Q691,Maps!I:J,2,0)</f>
        <v>#N/A</v>
      </c>
      <c r="I691" s="7" t="e">
        <f>+VLOOKUP(T691,Maps!E:F,2,0)</f>
        <v>#N/A</v>
      </c>
    </row>
    <row r="692" spans="1:9" ht="14.25" customHeight="1" x14ac:dyDescent="0.35">
      <c r="A692" s="7" t="str">
        <f t="array" ref="A692">EXTRACTEVENT(N692,V692)</f>
        <v/>
      </c>
      <c r="B692" s="7" t="str">
        <f t="shared" si="30"/>
        <v/>
      </c>
      <c r="C692" s="7"/>
      <c r="D692" s="7" t="str">
        <f t="shared" si="31"/>
        <v>E</v>
      </c>
      <c r="E692" s="10">
        <f t="shared" si="32"/>
        <v>0</v>
      </c>
      <c r="F692" s="7" t="e">
        <f t="array" ref="F692">+TIPOARMA(H692,I692)</f>
        <v>#VALUE!</v>
      </c>
      <c r="G692" s="7"/>
      <c r="H692" s="7" t="e">
        <f>+VLOOKUP(Q692,Maps!I:J,2,0)</f>
        <v>#N/A</v>
      </c>
      <c r="I692" s="7" t="e">
        <f>+VLOOKUP(T692,Maps!E:F,2,0)</f>
        <v>#N/A</v>
      </c>
    </row>
    <row r="693" spans="1:9" ht="14.25" customHeight="1" x14ac:dyDescent="0.35">
      <c r="A693" s="7" t="str">
        <f t="array" ref="A693">EXTRACTEVENT(N693,V693)</f>
        <v/>
      </c>
      <c r="B693" s="7" t="str">
        <f t="shared" si="30"/>
        <v/>
      </c>
      <c r="C693" s="7"/>
      <c r="D693" s="7" t="str">
        <f t="shared" si="31"/>
        <v>E</v>
      </c>
      <c r="E693" s="10">
        <f t="shared" si="32"/>
        <v>0</v>
      </c>
      <c r="F693" s="7" t="e">
        <f t="array" ref="F693">+TIPOARMA(H693,I693)</f>
        <v>#VALUE!</v>
      </c>
      <c r="G693" s="7"/>
      <c r="H693" s="7" t="e">
        <f>+VLOOKUP(Q693,Maps!I:J,2,0)</f>
        <v>#N/A</v>
      </c>
      <c r="I693" s="7" t="e">
        <f>+VLOOKUP(T693,Maps!E:F,2,0)</f>
        <v>#N/A</v>
      </c>
    </row>
    <row r="694" spans="1:9" ht="14.25" customHeight="1" x14ac:dyDescent="0.35">
      <c r="A694" s="7" t="str">
        <f t="array" ref="A694">EXTRACTEVENT(N694,V694)</f>
        <v/>
      </c>
      <c r="B694" s="7" t="str">
        <f t="shared" si="30"/>
        <v/>
      </c>
      <c r="C694" s="7"/>
      <c r="D694" s="7" t="str">
        <f t="shared" si="31"/>
        <v>E</v>
      </c>
      <c r="E694" s="10">
        <f t="shared" si="32"/>
        <v>0</v>
      </c>
      <c r="F694" s="7" t="e">
        <f t="array" ref="F694">+TIPOARMA(H694,I694)</f>
        <v>#VALUE!</v>
      </c>
      <c r="G694" s="7"/>
      <c r="H694" s="7" t="e">
        <f>+VLOOKUP(Q694,Maps!I:J,2,0)</f>
        <v>#N/A</v>
      </c>
      <c r="I694" s="7" t="e">
        <f>+VLOOKUP(T694,Maps!E:F,2,0)</f>
        <v>#N/A</v>
      </c>
    </row>
    <row r="695" spans="1:9" ht="14.25" customHeight="1" x14ac:dyDescent="0.35">
      <c r="A695" s="7" t="str">
        <f t="array" ref="A695">EXTRACTEVENT(N695,V695)</f>
        <v/>
      </c>
      <c r="B695" s="7" t="str">
        <f t="shared" si="30"/>
        <v/>
      </c>
      <c r="C695" s="7"/>
      <c r="D695" s="7" t="str">
        <f t="shared" si="31"/>
        <v>E</v>
      </c>
      <c r="E695" s="10">
        <f t="shared" si="32"/>
        <v>0</v>
      </c>
      <c r="F695" s="7" t="e">
        <f t="array" ref="F695">+TIPOARMA(H695,I695)</f>
        <v>#VALUE!</v>
      </c>
      <c r="G695" s="7"/>
      <c r="H695" s="7" t="e">
        <f>+VLOOKUP(Q695,Maps!I:J,2,0)</f>
        <v>#N/A</v>
      </c>
      <c r="I695" s="7" t="e">
        <f>+VLOOKUP(T695,Maps!E:F,2,0)</f>
        <v>#N/A</v>
      </c>
    </row>
    <row r="696" spans="1:9" ht="14.25" customHeight="1" x14ac:dyDescent="0.35">
      <c r="A696" s="7" t="str">
        <f t="array" ref="A696">EXTRACTEVENT(N696,V696)</f>
        <v/>
      </c>
      <c r="B696" s="7" t="str">
        <f t="shared" si="30"/>
        <v/>
      </c>
      <c r="C696" s="7"/>
      <c r="D696" s="7" t="str">
        <f t="shared" si="31"/>
        <v>E</v>
      </c>
      <c r="E696" s="10">
        <f t="shared" si="32"/>
        <v>0</v>
      </c>
      <c r="F696" s="7" t="e">
        <f t="array" ref="F696">+TIPOARMA(H696,I696)</f>
        <v>#VALUE!</v>
      </c>
      <c r="G696" s="7"/>
      <c r="H696" s="7" t="e">
        <f>+VLOOKUP(Q696,Maps!I:J,2,0)</f>
        <v>#N/A</v>
      </c>
      <c r="I696" s="7" t="e">
        <f>+VLOOKUP(T696,Maps!E:F,2,0)</f>
        <v>#N/A</v>
      </c>
    </row>
    <row r="697" spans="1:9" ht="14.25" customHeight="1" x14ac:dyDescent="0.35">
      <c r="A697" s="7" t="str">
        <f t="array" ref="A697">EXTRACTEVENT(N697,V697)</f>
        <v/>
      </c>
      <c r="B697" s="7" t="str">
        <f t="shared" si="30"/>
        <v/>
      </c>
      <c r="C697" s="7"/>
      <c r="D697" s="7" t="str">
        <f t="shared" si="31"/>
        <v>E</v>
      </c>
      <c r="E697" s="10">
        <f t="shared" si="32"/>
        <v>0</v>
      </c>
      <c r="F697" s="7" t="e">
        <f t="array" ref="F697">+TIPOARMA(H697,I697)</f>
        <v>#VALUE!</v>
      </c>
      <c r="G697" s="7"/>
      <c r="H697" s="7" t="e">
        <f>+VLOOKUP(Q697,Maps!I:J,2,0)</f>
        <v>#N/A</v>
      </c>
      <c r="I697" s="7" t="e">
        <f>+VLOOKUP(T697,Maps!E:F,2,0)</f>
        <v>#N/A</v>
      </c>
    </row>
    <row r="698" spans="1:9" ht="14.25" customHeight="1" x14ac:dyDescent="0.35">
      <c r="A698" s="7" t="str">
        <f t="array" ref="A698">EXTRACTEVENT(N698,V698)</f>
        <v/>
      </c>
      <c r="B698" s="7" t="str">
        <f t="shared" si="30"/>
        <v/>
      </c>
      <c r="C698" s="7"/>
      <c r="D698" s="7" t="str">
        <f t="shared" si="31"/>
        <v>E</v>
      </c>
      <c r="E698" s="10">
        <f t="shared" si="32"/>
        <v>0</v>
      </c>
      <c r="F698" s="7" t="e">
        <f t="array" ref="F698">+TIPOARMA(H698,I698)</f>
        <v>#VALUE!</v>
      </c>
      <c r="G698" s="7"/>
      <c r="H698" s="7" t="e">
        <f>+VLOOKUP(Q698,Maps!I:J,2,0)</f>
        <v>#N/A</v>
      </c>
      <c r="I698" s="7" t="e">
        <f>+VLOOKUP(T698,Maps!E:F,2,0)</f>
        <v>#N/A</v>
      </c>
    </row>
    <row r="699" spans="1:9" ht="14.25" customHeight="1" x14ac:dyDescent="0.35">
      <c r="A699" s="7" t="str">
        <f t="array" ref="A699">EXTRACTEVENT(N699,V699)</f>
        <v/>
      </c>
      <c r="B699" s="7" t="str">
        <f t="shared" si="30"/>
        <v/>
      </c>
      <c r="C699" s="7"/>
      <c r="D699" s="7" t="str">
        <f t="shared" si="31"/>
        <v>E</v>
      </c>
      <c r="E699" s="10">
        <f t="shared" si="32"/>
        <v>0</v>
      </c>
      <c r="F699" s="7" t="e">
        <f t="array" ref="F699">+TIPOARMA(H699,I699)</f>
        <v>#VALUE!</v>
      </c>
      <c r="G699" s="7"/>
      <c r="H699" s="7" t="e">
        <f>+VLOOKUP(Q699,Maps!I:J,2,0)</f>
        <v>#N/A</v>
      </c>
      <c r="I699" s="7" t="e">
        <f>+VLOOKUP(T699,Maps!E:F,2,0)</f>
        <v>#N/A</v>
      </c>
    </row>
    <row r="700" spans="1:9" ht="14.25" customHeight="1" x14ac:dyDescent="0.35">
      <c r="A700" s="7" t="str">
        <f t="array" ref="A700">EXTRACTEVENT(N700,V700)</f>
        <v/>
      </c>
      <c r="B700" s="7" t="str">
        <f t="shared" si="30"/>
        <v/>
      </c>
      <c r="C700" s="7"/>
      <c r="D700" s="7" t="str">
        <f t="shared" si="31"/>
        <v>E</v>
      </c>
      <c r="E700" s="10">
        <f t="shared" si="32"/>
        <v>0</v>
      </c>
      <c r="F700" s="7" t="e">
        <f t="array" ref="F700">+TIPOARMA(H700,I700)</f>
        <v>#VALUE!</v>
      </c>
      <c r="G700" s="7"/>
      <c r="H700" s="7" t="e">
        <f>+VLOOKUP(Q700,Maps!I:J,2,0)</f>
        <v>#N/A</v>
      </c>
      <c r="I700" s="7" t="e">
        <f>+VLOOKUP(T700,Maps!E:F,2,0)</f>
        <v>#N/A</v>
      </c>
    </row>
    <row r="701" spans="1:9" ht="14.25" customHeight="1" x14ac:dyDescent="0.35">
      <c r="A701" s="7" t="str">
        <f t="array" ref="A701">EXTRACTEVENT(N701,V701)</f>
        <v/>
      </c>
      <c r="B701" s="7" t="str">
        <f t="shared" si="30"/>
        <v/>
      </c>
      <c r="C701" s="7"/>
      <c r="D701" s="7" t="str">
        <f t="shared" si="31"/>
        <v>E</v>
      </c>
      <c r="E701" s="10">
        <f t="shared" si="32"/>
        <v>0</v>
      </c>
      <c r="F701" s="7" t="e">
        <f t="array" ref="F701">+TIPOARMA(H701,I701)</f>
        <v>#VALUE!</v>
      </c>
      <c r="G701" s="7"/>
      <c r="H701" s="7" t="e">
        <f>+VLOOKUP(Q701,Maps!I:J,2,0)</f>
        <v>#N/A</v>
      </c>
      <c r="I701" s="7" t="e">
        <f>+VLOOKUP(T701,Maps!E:F,2,0)</f>
        <v>#N/A</v>
      </c>
    </row>
    <row r="702" spans="1:9" ht="14.25" customHeight="1" x14ac:dyDescent="0.35">
      <c r="A702" s="7" t="str">
        <f t="array" ref="A702">EXTRACTEVENT(N702,V702)</f>
        <v/>
      </c>
      <c r="B702" s="7" t="str">
        <f t="shared" si="30"/>
        <v/>
      </c>
      <c r="C702" s="7"/>
      <c r="D702" s="7" t="str">
        <f t="shared" si="31"/>
        <v>E</v>
      </c>
      <c r="E702" s="10">
        <f t="shared" si="32"/>
        <v>0</v>
      </c>
      <c r="F702" s="7" t="e">
        <f t="array" ref="F702">+TIPOARMA(H702,I702)</f>
        <v>#VALUE!</v>
      </c>
      <c r="G702" s="7"/>
      <c r="H702" s="7" t="e">
        <f>+VLOOKUP(Q702,Maps!I:J,2,0)</f>
        <v>#N/A</v>
      </c>
      <c r="I702" s="7" t="e">
        <f>+VLOOKUP(T702,Maps!E:F,2,0)</f>
        <v>#N/A</v>
      </c>
    </row>
    <row r="703" spans="1:9" ht="14.25" customHeight="1" x14ac:dyDescent="0.35">
      <c r="A703" s="7" t="str">
        <f t="array" ref="A703">EXTRACTEVENT(N703,V703)</f>
        <v/>
      </c>
      <c r="B703" s="7" t="str">
        <f t="shared" si="30"/>
        <v/>
      </c>
      <c r="C703" s="7"/>
      <c r="D703" s="7" t="str">
        <f t="shared" si="31"/>
        <v>E</v>
      </c>
      <c r="E703" s="10">
        <f t="shared" si="32"/>
        <v>0</v>
      </c>
      <c r="F703" s="7" t="e">
        <f t="array" ref="F703">+TIPOARMA(H703,I703)</f>
        <v>#VALUE!</v>
      </c>
      <c r="G703" s="7"/>
      <c r="H703" s="7" t="e">
        <f>+VLOOKUP(Q703,Maps!I:J,2,0)</f>
        <v>#N/A</v>
      </c>
      <c r="I703" s="7" t="e">
        <f>+VLOOKUP(T703,Maps!E:F,2,0)</f>
        <v>#N/A</v>
      </c>
    </row>
    <row r="704" spans="1:9" ht="14.25" customHeight="1" x14ac:dyDescent="0.35">
      <c r="A704" s="7" t="str">
        <f t="array" ref="A704">EXTRACTEVENT(N704,V704)</f>
        <v/>
      </c>
      <c r="B704" s="7" t="str">
        <f t="shared" si="30"/>
        <v/>
      </c>
      <c r="C704" s="7"/>
      <c r="D704" s="7" t="str">
        <f t="shared" si="31"/>
        <v>E</v>
      </c>
      <c r="E704" s="10">
        <f t="shared" si="32"/>
        <v>0</v>
      </c>
      <c r="F704" s="7" t="e">
        <f t="array" ref="F704">+TIPOARMA(H704,I704)</f>
        <v>#VALUE!</v>
      </c>
      <c r="G704" s="7"/>
      <c r="H704" s="7" t="e">
        <f>+VLOOKUP(Q704,Maps!I:J,2,0)</f>
        <v>#N/A</v>
      </c>
      <c r="I704" s="7" t="e">
        <f>+VLOOKUP(T704,Maps!E:F,2,0)</f>
        <v>#N/A</v>
      </c>
    </row>
    <row r="705" spans="1:9" ht="14.25" customHeight="1" x14ac:dyDescent="0.35">
      <c r="A705" s="7" t="str">
        <f t="array" ref="A705">EXTRACTEVENT(N705,V705)</f>
        <v/>
      </c>
      <c r="B705" s="7" t="str">
        <f t="shared" si="30"/>
        <v/>
      </c>
      <c r="C705" s="7"/>
      <c r="D705" s="7" t="str">
        <f t="shared" si="31"/>
        <v>E</v>
      </c>
      <c r="E705" s="10">
        <f t="shared" si="32"/>
        <v>0</v>
      </c>
      <c r="F705" s="7" t="e">
        <f t="array" ref="F705">+TIPOARMA(H705,I705)</f>
        <v>#VALUE!</v>
      </c>
      <c r="G705" s="7"/>
      <c r="H705" s="7" t="e">
        <f>+VLOOKUP(Q705,Maps!I:J,2,0)</f>
        <v>#N/A</v>
      </c>
      <c r="I705" s="7" t="e">
        <f>+VLOOKUP(T705,Maps!E:F,2,0)</f>
        <v>#N/A</v>
      </c>
    </row>
    <row r="706" spans="1:9" ht="14.25" customHeight="1" x14ac:dyDescent="0.35">
      <c r="A706" s="7" t="str">
        <f t="array" ref="A706">EXTRACTEVENT(N706,V706)</f>
        <v/>
      </c>
      <c r="B706" s="7" t="str">
        <f t="shared" ref="B706:B769" si="33">+IF(V706="TREINO","-",LEFT(N706,1))</f>
        <v/>
      </c>
      <c r="C706" s="7"/>
      <c r="D706" s="7" t="str">
        <f t="shared" ref="D706:D769" si="34">+IF($V706="TREINO","T",IF(V706="NACIONAL","N","E"))</f>
        <v>E</v>
      </c>
      <c r="E706" s="10">
        <f t="shared" ref="E706:E769" si="35">IFERROR(DATEVALUE(LEFT(M706,10)),M706)</f>
        <v>0</v>
      </c>
      <c r="F706" s="7" t="e">
        <f t="array" ref="F706">+TIPOARMA(H706,I706)</f>
        <v>#VALUE!</v>
      </c>
      <c r="G706" s="7"/>
      <c r="H706" s="7" t="e">
        <f>+VLOOKUP(Q706,Maps!I:J,2,0)</f>
        <v>#N/A</v>
      </c>
      <c r="I706" s="7" t="e">
        <f>+VLOOKUP(T706,Maps!E:F,2,0)</f>
        <v>#N/A</v>
      </c>
    </row>
    <row r="707" spans="1:9" ht="14.25" customHeight="1" x14ac:dyDescent="0.35">
      <c r="A707" s="7" t="str">
        <f t="array" ref="A707">EXTRACTEVENT(N707,V707)</f>
        <v/>
      </c>
      <c r="B707" s="7" t="str">
        <f t="shared" si="33"/>
        <v/>
      </c>
      <c r="C707" s="7"/>
      <c r="D707" s="7" t="str">
        <f t="shared" si="34"/>
        <v>E</v>
      </c>
      <c r="E707" s="10">
        <f t="shared" si="35"/>
        <v>0</v>
      </c>
      <c r="F707" s="7" t="e">
        <f t="array" ref="F707">+TIPOARMA(H707,I707)</f>
        <v>#VALUE!</v>
      </c>
      <c r="G707" s="7"/>
      <c r="H707" s="7" t="e">
        <f>+VLOOKUP(Q707,Maps!I:J,2,0)</f>
        <v>#N/A</v>
      </c>
      <c r="I707" s="7" t="e">
        <f>+VLOOKUP(T707,Maps!E:F,2,0)</f>
        <v>#N/A</v>
      </c>
    </row>
    <row r="708" spans="1:9" ht="14.25" customHeight="1" x14ac:dyDescent="0.35">
      <c r="A708" s="7" t="str">
        <f t="array" ref="A708">EXTRACTEVENT(N708,V708)</f>
        <v/>
      </c>
      <c r="B708" s="7" t="str">
        <f t="shared" si="33"/>
        <v/>
      </c>
      <c r="C708" s="7"/>
      <c r="D708" s="7" t="str">
        <f t="shared" si="34"/>
        <v>E</v>
      </c>
      <c r="E708" s="10">
        <f t="shared" si="35"/>
        <v>0</v>
      </c>
      <c r="F708" s="7" t="e">
        <f t="array" ref="F708">+TIPOARMA(H708,I708)</f>
        <v>#VALUE!</v>
      </c>
      <c r="G708" s="7"/>
      <c r="H708" s="7" t="e">
        <f>+VLOOKUP(Q708,Maps!I:J,2,0)</f>
        <v>#N/A</v>
      </c>
      <c r="I708" s="7" t="e">
        <f>+VLOOKUP(T708,Maps!E:F,2,0)</f>
        <v>#N/A</v>
      </c>
    </row>
    <row r="709" spans="1:9" ht="14.25" customHeight="1" x14ac:dyDescent="0.35">
      <c r="A709" s="7" t="str">
        <f t="array" ref="A709">EXTRACTEVENT(N709,V709)</f>
        <v/>
      </c>
      <c r="B709" s="7" t="str">
        <f t="shared" si="33"/>
        <v/>
      </c>
      <c r="C709" s="7"/>
      <c r="D709" s="7" t="str">
        <f t="shared" si="34"/>
        <v>E</v>
      </c>
      <c r="E709" s="10">
        <f t="shared" si="35"/>
        <v>0</v>
      </c>
      <c r="F709" s="7" t="e">
        <f t="array" ref="F709">+TIPOARMA(H709,I709)</f>
        <v>#VALUE!</v>
      </c>
      <c r="G709" s="7"/>
      <c r="H709" s="7" t="e">
        <f>+VLOOKUP(Q709,Maps!I:J,2,0)</f>
        <v>#N/A</v>
      </c>
      <c r="I709" s="7" t="e">
        <f>+VLOOKUP(T709,Maps!E:F,2,0)</f>
        <v>#N/A</v>
      </c>
    </row>
    <row r="710" spans="1:9" ht="14.25" customHeight="1" x14ac:dyDescent="0.35">
      <c r="A710" s="7" t="str">
        <f t="array" ref="A710">EXTRACTEVENT(N710,V710)</f>
        <v/>
      </c>
      <c r="B710" s="7" t="str">
        <f t="shared" si="33"/>
        <v/>
      </c>
      <c r="C710" s="7"/>
      <c r="D710" s="7" t="str">
        <f t="shared" si="34"/>
        <v>E</v>
      </c>
      <c r="E710" s="10">
        <f t="shared" si="35"/>
        <v>0</v>
      </c>
      <c r="F710" s="7" t="e">
        <f t="array" ref="F710">+TIPOARMA(H710,I710)</f>
        <v>#VALUE!</v>
      </c>
      <c r="G710" s="7"/>
      <c r="H710" s="7" t="e">
        <f>+VLOOKUP(Q710,Maps!I:J,2,0)</f>
        <v>#N/A</v>
      </c>
      <c r="I710" s="7" t="e">
        <f>+VLOOKUP(T710,Maps!E:F,2,0)</f>
        <v>#N/A</v>
      </c>
    </row>
    <row r="711" spans="1:9" ht="14.25" customHeight="1" x14ac:dyDescent="0.35">
      <c r="A711" s="7" t="str">
        <f t="array" ref="A711">EXTRACTEVENT(N711,V711)</f>
        <v/>
      </c>
      <c r="B711" s="7" t="str">
        <f t="shared" si="33"/>
        <v/>
      </c>
      <c r="C711" s="7"/>
      <c r="D711" s="7" t="str">
        <f t="shared" si="34"/>
        <v>E</v>
      </c>
      <c r="E711" s="10">
        <f t="shared" si="35"/>
        <v>0</v>
      </c>
      <c r="F711" s="7" t="e">
        <f t="array" ref="F711">+TIPOARMA(H711,I711)</f>
        <v>#VALUE!</v>
      </c>
      <c r="G711" s="7"/>
      <c r="H711" s="7" t="e">
        <f>+VLOOKUP(Q711,Maps!I:J,2,0)</f>
        <v>#N/A</v>
      </c>
      <c r="I711" s="7" t="e">
        <f>+VLOOKUP(T711,Maps!E:F,2,0)</f>
        <v>#N/A</v>
      </c>
    </row>
    <row r="712" spans="1:9" ht="14.25" customHeight="1" x14ac:dyDescent="0.35">
      <c r="A712" s="7" t="str">
        <f t="array" ref="A712">EXTRACTEVENT(N712,V712)</f>
        <v/>
      </c>
      <c r="B712" s="7" t="str">
        <f t="shared" si="33"/>
        <v/>
      </c>
      <c r="C712" s="7"/>
      <c r="D712" s="7" t="str">
        <f t="shared" si="34"/>
        <v>E</v>
      </c>
      <c r="E712" s="10">
        <f t="shared" si="35"/>
        <v>0</v>
      </c>
      <c r="F712" s="7" t="e">
        <f t="array" ref="F712">+TIPOARMA(H712,I712)</f>
        <v>#VALUE!</v>
      </c>
      <c r="G712" s="7"/>
      <c r="H712" s="7" t="e">
        <f>+VLOOKUP(Q712,Maps!I:J,2,0)</f>
        <v>#N/A</v>
      </c>
      <c r="I712" s="7" t="e">
        <f>+VLOOKUP(T712,Maps!E:F,2,0)</f>
        <v>#N/A</v>
      </c>
    </row>
    <row r="713" spans="1:9" ht="14.25" customHeight="1" x14ac:dyDescent="0.35">
      <c r="A713" s="7" t="str">
        <f t="array" ref="A713">EXTRACTEVENT(N713,V713)</f>
        <v/>
      </c>
      <c r="B713" s="7" t="str">
        <f t="shared" si="33"/>
        <v/>
      </c>
      <c r="C713" s="7"/>
      <c r="D713" s="7" t="str">
        <f t="shared" si="34"/>
        <v>E</v>
      </c>
      <c r="E713" s="10">
        <f t="shared" si="35"/>
        <v>0</v>
      </c>
      <c r="F713" s="7" t="e">
        <f t="array" ref="F713">+TIPOARMA(H713,I713)</f>
        <v>#VALUE!</v>
      </c>
      <c r="G713" s="7"/>
      <c r="H713" s="7" t="e">
        <f>+VLOOKUP(Q713,Maps!I:J,2,0)</f>
        <v>#N/A</v>
      </c>
      <c r="I713" s="7" t="e">
        <f>+VLOOKUP(T713,Maps!E:F,2,0)</f>
        <v>#N/A</v>
      </c>
    </row>
    <row r="714" spans="1:9" ht="14.25" customHeight="1" x14ac:dyDescent="0.35">
      <c r="A714" s="7" t="str">
        <f t="array" ref="A714">EXTRACTEVENT(N714,V714)</f>
        <v/>
      </c>
      <c r="B714" s="7" t="str">
        <f t="shared" si="33"/>
        <v/>
      </c>
      <c r="C714" s="7"/>
      <c r="D714" s="7" t="str">
        <f t="shared" si="34"/>
        <v>E</v>
      </c>
      <c r="E714" s="10">
        <f t="shared" si="35"/>
        <v>0</v>
      </c>
      <c r="F714" s="7" t="e">
        <f t="array" ref="F714">+TIPOARMA(H714,I714)</f>
        <v>#VALUE!</v>
      </c>
      <c r="G714" s="7"/>
      <c r="H714" s="7" t="e">
        <f>+VLOOKUP(Q714,Maps!I:J,2,0)</f>
        <v>#N/A</v>
      </c>
      <c r="I714" s="7" t="e">
        <f>+VLOOKUP(T714,Maps!E:F,2,0)</f>
        <v>#N/A</v>
      </c>
    </row>
    <row r="715" spans="1:9" ht="14.25" customHeight="1" x14ac:dyDescent="0.35">
      <c r="A715" s="7" t="str">
        <f t="array" ref="A715">EXTRACTEVENT(N715,V715)</f>
        <v/>
      </c>
      <c r="B715" s="7" t="str">
        <f t="shared" si="33"/>
        <v/>
      </c>
      <c r="C715" s="7"/>
      <c r="D715" s="7" t="str">
        <f t="shared" si="34"/>
        <v>E</v>
      </c>
      <c r="E715" s="10">
        <f t="shared" si="35"/>
        <v>0</v>
      </c>
      <c r="F715" s="7" t="e">
        <f t="array" ref="F715">+TIPOARMA(H715,I715)</f>
        <v>#VALUE!</v>
      </c>
      <c r="G715" s="7"/>
      <c r="H715" s="7" t="e">
        <f>+VLOOKUP(Q715,Maps!I:J,2,0)</f>
        <v>#N/A</v>
      </c>
      <c r="I715" s="7" t="e">
        <f>+VLOOKUP(T715,Maps!E:F,2,0)</f>
        <v>#N/A</v>
      </c>
    </row>
    <row r="716" spans="1:9" ht="14.25" customHeight="1" x14ac:dyDescent="0.35">
      <c r="A716" s="7" t="str">
        <f t="array" ref="A716">EXTRACTEVENT(N716,V716)</f>
        <v/>
      </c>
      <c r="B716" s="7" t="str">
        <f t="shared" si="33"/>
        <v/>
      </c>
      <c r="C716" s="7"/>
      <c r="D716" s="7" t="str">
        <f t="shared" si="34"/>
        <v>E</v>
      </c>
      <c r="E716" s="10">
        <f t="shared" si="35"/>
        <v>0</v>
      </c>
      <c r="F716" s="7" t="e">
        <f t="array" ref="F716">+TIPOARMA(H716,I716)</f>
        <v>#VALUE!</v>
      </c>
      <c r="G716" s="7"/>
      <c r="H716" s="7" t="e">
        <f>+VLOOKUP(Q716,Maps!I:J,2,0)</f>
        <v>#N/A</v>
      </c>
      <c r="I716" s="7" t="e">
        <f>+VLOOKUP(T716,Maps!E:F,2,0)</f>
        <v>#N/A</v>
      </c>
    </row>
    <row r="717" spans="1:9" ht="14.25" customHeight="1" x14ac:dyDescent="0.35">
      <c r="A717" s="7" t="str">
        <f t="array" ref="A717">EXTRACTEVENT(N717,V717)</f>
        <v/>
      </c>
      <c r="B717" s="7" t="str">
        <f t="shared" si="33"/>
        <v/>
      </c>
      <c r="C717" s="7"/>
      <c r="D717" s="7" t="str">
        <f t="shared" si="34"/>
        <v>E</v>
      </c>
      <c r="E717" s="10">
        <f t="shared" si="35"/>
        <v>0</v>
      </c>
      <c r="F717" s="7" t="e">
        <f t="array" ref="F717">+TIPOARMA(H717,I717)</f>
        <v>#VALUE!</v>
      </c>
      <c r="G717" s="7"/>
      <c r="H717" s="7" t="e">
        <f>+VLOOKUP(Q717,Maps!I:J,2,0)</f>
        <v>#N/A</v>
      </c>
      <c r="I717" s="7" t="e">
        <f>+VLOOKUP(T717,Maps!E:F,2,0)</f>
        <v>#N/A</v>
      </c>
    </row>
    <row r="718" spans="1:9" ht="14.25" customHeight="1" x14ac:dyDescent="0.35">
      <c r="A718" s="7" t="str">
        <f t="array" ref="A718">EXTRACTEVENT(N718,V718)</f>
        <v/>
      </c>
      <c r="B718" s="7" t="str">
        <f t="shared" si="33"/>
        <v/>
      </c>
      <c r="C718" s="7"/>
      <c r="D718" s="7" t="str">
        <f t="shared" si="34"/>
        <v>E</v>
      </c>
      <c r="E718" s="10">
        <f t="shared" si="35"/>
        <v>0</v>
      </c>
      <c r="F718" s="7" t="e">
        <f t="array" ref="F718">+TIPOARMA(H718,I718)</f>
        <v>#VALUE!</v>
      </c>
      <c r="G718" s="7"/>
      <c r="H718" s="7" t="e">
        <f>+VLOOKUP(Q718,Maps!I:J,2,0)</f>
        <v>#N/A</v>
      </c>
      <c r="I718" s="7" t="e">
        <f>+VLOOKUP(T718,Maps!E:F,2,0)</f>
        <v>#N/A</v>
      </c>
    </row>
    <row r="719" spans="1:9" ht="14.25" customHeight="1" x14ac:dyDescent="0.35">
      <c r="A719" s="7" t="str">
        <f t="array" ref="A719">EXTRACTEVENT(N719,V719)</f>
        <v/>
      </c>
      <c r="B719" s="7" t="str">
        <f t="shared" si="33"/>
        <v/>
      </c>
      <c r="C719" s="7"/>
      <c r="D719" s="7" t="str">
        <f t="shared" si="34"/>
        <v>E</v>
      </c>
      <c r="E719" s="10">
        <f t="shared" si="35"/>
        <v>0</v>
      </c>
      <c r="F719" s="7" t="e">
        <f t="array" ref="F719">+TIPOARMA(H719,I719)</f>
        <v>#VALUE!</v>
      </c>
      <c r="G719" s="7"/>
      <c r="H719" s="7" t="e">
        <f>+VLOOKUP(Q719,Maps!I:J,2,0)</f>
        <v>#N/A</v>
      </c>
      <c r="I719" s="7" t="e">
        <f>+VLOOKUP(T719,Maps!E:F,2,0)</f>
        <v>#N/A</v>
      </c>
    </row>
    <row r="720" spans="1:9" ht="14.25" customHeight="1" x14ac:dyDescent="0.35">
      <c r="A720" s="7" t="str">
        <f t="array" ref="A720">EXTRACTEVENT(N720,V720)</f>
        <v/>
      </c>
      <c r="B720" s="7" t="str">
        <f t="shared" si="33"/>
        <v/>
      </c>
      <c r="C720" s="7"/>
      <c r="D720" s="7" t="str">
        <f t="shared" si="34"/>
        <v>E</v>
      </c>
      <c r="E720" s="10">
        <f t="shared" si="35"/>
        <v>0</v>
      </c>
      <c r="F720" s="7" t="e">
        <f t="array" ref="F720">+TIPOARMA(H720,I720)</f>
        <v>#VALUE!</v>
      </c>
      <c r="G720" s="7"/>
      <c r="H720" s="7" t="e">
        <f>+VLOOKUP(Q720,Maps!I:J,2,0)</f>
        <v>#N/A</v>
      </c>
      <c r="I720" s="7" t="e">
        <f>+VLOOKUP(T720,Maps!E:F,2,0)</f>
        <v>#N/A</v>
      </c>
    </row>
    <row r="721" spans="1:9" ht="14.25" customHeight="1" x14ac:dyDescent="0.35">
      <c r="A721" s="7" t="str">
        <f t="array" ref="A721">EXTRACTEVENT(N721,V721)</f>
        <v/>
      </c>
      <c r="B721" s="7" t="str">
        <f t="shared" si="33"/>
        <v/>
      </c>
      <c r="C721" s="7"/>
      <c r="D721" s="7" t="str">
        <f t="shared" si="34"/>
        <v>E</v>
      </c>
      <c r="E721" s="10">
        <f t="shared" si="35"/>
        <v>0</v>
      </c>
      <c r="F721" s="7" t="e">
        <f t="array" ref="F721">+TIPOARMA(H721,I721)</f>
        <v>#VALUE!</v>
      </c>
      <c r="G721" s="7"/>
      <c r="H721" s="7" t="e">
        <f>+VLOOKUP(Q721,Maps!I:J,2,0)</f>
        <v>#N/A</v>
      </c>
      <c r="I721" s="7" t="e">
        <f>+VLOOKUP(T721,Maps!E:F,2,0)</f>
        <v>#N/A</v>
      </c>
    </row>
    <row r="722" spans="1:9" ht="14.25" customHeight="1" x14ac:dyDescent="0.35">
      <c r="A722" s="7" t="str">
        <f t="array" ref="A722">EXTRACTEVENT(N722,V722)</f>
        <v/>
      </c>
      <c r="B722" s="7" t="str">
        <f t="shared" si="33"/>
        <v/>
      </c>
      <c r="C722" s="7"/>
      <c r="D722" s="7" t="str">
        <f t="shared" si="34"/>
        <v>E</v>
      </c>
      <c r="E722" s="10">
        <f t="shared" si="35"/>
        <v>0</v>
      </c>
      <c r="F722" s="7" t="e">
        <f t="array" ref="F722">+TIPOARMA(H722,I722)</f>
        <v>#VALUE!</v>
      </c>
      <c r="G722" s="7"/>
      <c r="H722" s="7" t="e">
        <f>+VLOOKUP(Q722,Maps!I:J,2,0)</f>
        <v>#N/A</v>
      </c>
      <c r="I722" s="7" t="e">
        <f>+VLOOKUP(T722,Maps!E:F,2,0)</f>
        <v>#N/A</v>
      </c>
    </row>
    <row r="723" spans="1:9" ht="14.25" customHeight="1" x14ac:dyDescent="0.35">
      <c r="A723" s="7" t="str">
        <f t="array" ref="A723">EXTRACTEVENT(N723,V723)</f>
        <v/>
      </c>
      <c r="B723" s="7" t="str">
        <f t="shared" si="33"/>
        <v/>
      </c>
      <c r="C723" s="7"/>
      <c r="D723" s="7" t="str">
        <f t="shared" si="34"/>
        <v>E</v>
      </c>
      <c r="E723" s="10">
        <f t="shared" si="35"/>
        <v>0</v>
      </c>
      <c r="F723" s="7" t="e">
        <f t="array" ref="F723">+TIPOARMA(H723,I723)</f>
        <v>#VALUE!</v>
      </c>
      <c r="G723" s="7"/>
      <c r="H723" s="7" t="e">
        <f>+VLOOKUP(Q723,Maps!I:J,2,0)</f>
        <v>#N/A</v>
      </c>
      <c r="I723" s="7" t="e">
        <f>+VLOOKUP(T723,Maps!E:F,2,0)</f>
        <v>#N/A</v>
      </c>
    </row>
    <row r="724" spans="1:9" ht="14.25" customHeight="1" x14ac:dyDescent="0.35">
      <c r="A724" s="7" t="str">
        <f t="array" ref="A724">EXTRACTEVENT(N724,V724)</f>
        <v/>
      </c>
      <c r="B724" s="7" t="str">
        <f t="shared" si="33"/>
        <v/>
      </c>
      <c r="C724" s="7"/>
      <c r="D724" s="7" t="str">
        <f t="shared" si="34"/>
        <v>E</v>
      </c>
      <c r="E724" s="10">
        <f t="shared" si="35"/>
        <v>0</v>
      </c>
      <c r="F724" s="7" t="e">
        <f t="array" ref="F724">+TIPOARMA(H724,I724)</f>
        <v>#VALUE!</v>
      </c>
      <c r="G724" s="7"/>
      <c r="H724" s="7" t="e">
        <f>+VLOOKUP(Q724,Maps!I:J,2,0)</f>
        <v>#N/A</v>
      </c>
      <c r="I724" s="7" t="e">
        <f>+VLOOKUP(T724,Maps!E:F,2,0)</f>
        <v>#N/A</v>
      </c>
    </row>
    <row r="725" spans="1:9" ht="14.25" customHeight="1" x14ac:dyDescent="0.35">
      <c r="A725" s="7" t="str">
        <f t="array" ref="A725">EXTRACTEVENT(N725,V725)</f>
        <v/>
      </c>
      <c r="B725" s="7" t="str">
        <f t="shared" si="33"/>
        <v/>
      </c>
      <c r="C725" s="7"/>
      <c r="D725" s="7" t="str">
        <f t="shared" si="34"/>
        <v>E</v>
      </c>
      <c r="E725" s="10">
        <f t="shared" si="35"/>
        <v>0</v>
      </c>
      <c r="F725" s="7" t="e">
        <f t="array" ref="F725">+TIPOARMA(H725,I725)</f>
        <v>#VALUE!</v>
      </c>
      <c r="G725" s="7"/>
      <c r="H725" s="7" t="e">
        <f>+VLOOKUP(Q725,Maps!I:J,2,0)</f>
        <v>#N/A</v>
      </c>
      <c r="I725" s="7" t="e">
        <f>+VLOOKUP(T725,Maps!E:F,2,0)</f>
        <v>#N/A</v>
      </c>
    </row>
    <row r="726" spans="1:9" ht="14.25" customHeight="1" x14ac:dyDescent="0.35">
      <c r="A726" s="7" t="str">
        <f t="array" ref="A726">EXTRACTEVENT(N726,V726)</f>
        <v/>
      </c>
      <c r="B726" s="7" t="str">
        <f t="shared" si="33"/>
        <v/>
      </c>
      <c r="C726" s="7"/>
      <c r="D726" s="7" t="str">
        <f t="shared" si="34"/>
        <v>E</v>
      </c>
      <c r="E726" s="10">
        <f t="shared" si="35"/>
        <v>0</v>
      </c>
      <c r="F726" s="7" t="e">
        <f t="array" ref="F726">+TIPOARMA(H726,I726)</f>
        <v>#VALUE!</v>
      </c>
      <c r="G726" s="7"/>
      <c r="H726" s="7" t="e">
        <f>+VLOOKUP(Q726,Maps!I:J,2,0)</f>
        <v>#N/A</v>
      </c>
      <c r="I726" s="7" t="e">
        <f>+VLOOKUP(T726,Maps!E:F,2,0)</f>
        <v>#N/A</v>
      </c>
    </row>
    <row r="727" spans="1:9" ht="14.25" customHeight="1" x14ac:dyDescent="0.35">
      <c r="A727" s="7" t="str">
        <f t="array" ref="A727">EXTRACTEVENT(N727,V727)</f>
        <v/>
      </c>
      <c r="B727" s="7" t="str">
        <f t="shared" si="33"/>
        <v/>
      </c>
      <c r="C727" s="7"/>
      <c r="D727" s="7" t="str">
        <f t="shared" si="34"/>
        <v>E</v>
      </c>
      <c r="E727" s="10">
        <f t="shared" si="35"/>
        <v>0</v>
      </c>
      <c r="F727" s="7" t="e">
        <f t="array" ref="F727">+TIPOARMA(H727,I727)</f>
        <v>#VALUE!</v>
      </c>
      <c r="G727" s="7"/>
      <c r="H727" s="7" t="e">
        <f>+VLOOKUP(Q727,Maps!I:J,2,0)</f>
        <v>#N/A</v>
      </c>
      <c r="I727" s="7" t="e">
        <f>+VLOOKUP(T727,Maps!E:F,2,0)</f>
        <v>#N/A</v>
      </c>
    </row>
    <row r="728" spans="1:9" ht="14.25" customHeight="1" x14ac:dyDescent="0.35">
      <c r="A728" s="7" t="str">
        <f t="array" ref="A728">EXTRACTEVENT(N728,V728)</f>
        <v/>
      </c>
      <c r="B728" s="7" t="str">
        <f t="shared" si="33"/>
        <v/>
      </c>
      <c r="C728" s="7"/>
      <c r="D728" s="7" t="str">
        <f t="shared" si="34"/>
        <v>E</v>
      </c>
      <c r="E728" s="10">
        <f t="shared" si="35"/>
        <v>0</v>
      </c>
      <c r="F728" s="7" t="e">
        <f t="array" ref="F728">+TIPOARMA(H728,I728)</f>
        <v>#VALUE!</v>
      </c>
      <c r="G728" s="7"/>
      <c r="H728" s="7" t="e">
        <f>+VLOOKUP(Q728,Maps!I:J,2,0)</f>
        <v>#N/A</v>
      </c>
      <c r="I728" s="7" t="e">
        <f>+VLOOKUP(T728,Maps!E:F,2,0)</f>
        <v>#N/A</v>
      </c>
    </row>
    <row r="729" spans="1:9" ht="14.25" customHeight="1" x14ac:dyDescent="0.35">
      <c r="A729" s="7" t="str">
        <f t="array" ref="A729">EXTRACTEVENT(N729,V729)</f>
        <v/>
      </c>
      <c r="B729" s="7" t="str">
        <f t="shared" si="33"/>
        <v/>
      </c>
      <c r="C729" s="7"/>
      <c r="D729" s="7" t="str">
        <f t="shared" si="34"/>
        <v>E</v>
      </c>
      <c r="E729" s="10">
        <f t="shared" si="35"/>
        <v>0</v>
      </c>
      <c r="F729" s="7" t="e">
        <f t="array" ref="F729">+TIPOARMA(H729,I729)</f>
        <v>#VALUE!</v>
      </c>
      <c r="G729" s="7"/>
      <c r="H729" s="7" t="e">
        <f>+VLOOKUP(Q729,Maps!I:J,2,0)</f>
        <v>#N/A</v>
      </c>
      <c r="I729" s="7" t="e">
        <f>+VLOOKUP(T729,Maps!E:F,2,0)</f>
        <v>#N/A</v>
      </c>
    </row>
    <row r="730" spans="1:9" ht="14.25" customHeight="1" x14ac:dyDescent="0.35">
      <c r="A730" s="7" t="str">
        <f t="array" ref="A730">EXTRACTEVENT(N730,V730)</f>
        <v/>
      </c>
      <c r="B730" s="7" t="str">
        <f t="shared" si="33"/>
        <v/>
      </c>
      <c r="C730" s="7"/>
      <c r="D730" s="7" t="str">
        <f t="shared" si="34"/>
        <v>E</v>
      </c>
      <c r="E730" s="10">
        <f t="shared" si="35"/>
        <v>0</v>
      </c>
      <c r="F730" s="7" t="e">
        <f t="array" ref="F730">+TIPOARMA(H730,I730)</f>
        <v>#VALUE!</v>
      </c>
      <c r="G730" s="7"/>
      <c r="H730" s="7" t="e">
        <f>+VLOOKUP(Q730,Maps!I:J,2,0)</f>
        <v>#N/A</v>
      </c>
      <c r="I730" s="7" t="e">
        <f>+VLOOKUP(T730,Maps!E:F,2,0)</f>
        <v>#N/A</v>
      </c>
    </row>
    <row r="731" spans="1:9" ht="14.25" customHeight="1" x14ac:dyDescent="0.35">
      <c r="A731" s="7" t="str">
        <f t="array" ref="A731">EXTRACTEVENT(N731,V731)</f>
        <v/>
      </c>
      <c r="B731" s="7" t="str">
        <f t="shared" si="33"/>
        <v/>
      </c>
      <c r="C731" s="7"/>
      <c r="D731" s="7" t="str">
        <f t="shared" si="34"/>
        <v>E</v>
      </c>
      <c r="E731" s="10">
        <f t="shared" si="35"/>
        <v>0</v>
      </c>
      <c r="F731" s="7" t="e">
        <f t="array" ref="F731">+TIPOARMA(H731,I731)</f>
        <v>#VALUE!</v>
      </c>
      <c r="G731" s="7"/>
      <c r="H731" s="7" t="e">
        <f>+VLOOKUP(Q731,Maps!I:J,2,0)</f>
        <v>#N/A</v>
      </c>
      <c r="I731" s="7" t="e">
        <f>+VLOOKUP(T731,Maps!E:F,2,0)</f>
        <v>#N/A</v>
      </c>
    </row>
    <row r="732" spans="1:9" ht="14.25" customHeight="1" x14ac:dyDescent="0.35">
      <c r="A732" s="7" t="str">
        <f t="array" ref="A732">EXTRACTEVENT(N732,V732)</f>
        <v/>
      </c>
      <c r="B732" s="7" t="str">
        <f t="shared" si="33"/>
        <v/>
      </c>
      <c r="C732" s="7"/>
      <c r="D732" s="7" t="str">
        <f t="shared" si="34"/>
        <v>E</v>
      </c>
      <c r="E732" s="10">
        <f t="shared" si="35"/>
        <v>0</v>
      </c>
      <c r="F732" s="7" t="e">
        <f t="array" ref="F732">+TIPOARMA(H732,I732)</f>
        <v>#VALUE!</v>
      </c>
      <c r="G732" s="7"/>
      <c r="H732" s="7" t="e">
        <f>+VLOOKUP(Q732,Maps!I:J,2,0)</f>
        <v>#N/A</v>
      </c>
      <c r="I732" s="7" t="e">
        <f>+VLOOKUP(T732,Maps!E:F,2,0)</f>
        <v>#N/A</v>
      </c>
    </row>
    <row r="733" spans="1:9" ht="14.25" customHeight="1" x14ac:dyDescent="0.35">
      <c r="A733" s="7" t="str">
        <f t="array" ref="A733">EXTRACTEVENT(N733,V733)</f>
        <v/>
      </c>
      <c r="B733" s="7" t="str">
        <f t="shared" si="33"/>
        <v/>
      </c>
      <c r="C733" s="7"/>
      <c r="D733" s="7" t="str">
        <f t="shared" si="34"/>
        <v>E</v>
      </c>
      <c r="E733" s="10">
        <f t="shared" si="35"/>
        <v>0</v>
      </c>
      <c r="F733" s="7" t="e">
        <f t="array" ref="F733">+TIPOARMA(H733,I733)</f>
        <v>#VALUE!</v>
      </c>
      <c r="G733" s="7"/>
      <c r="H733" s="7" t="e">
        <f>+VLOOKUP(Q733,Maps!I:J,2,0)</f>
        <v>#N/A</v>
      </c>
      <c r="I733" s="7" t="e">
        <f>+VLOOKUP(T733,Maps!E:F,2,0)</f>
        <v>#N/A</v>
      </c>
    </row>
    <row r="734" spans="1:9" ht="14.25" customHeight="1" x14ac:dyDescent="0.35">
      <c r="A734" s="7" t="str">
        <f t="array" ref="A734">EXTRACTEVENT(N734,V734)</f>
        <v/>
      </c>
      <c r="B734" s="7" t="str">
        <f t="shared" si="33"/>
        <v/>
      </c>
      <c r="C734" s="7"/>
      <c r="D734" s="7" t="str">
        <f t="shared" si="34"/>
        <v>E</v>
      </c>
      <c r="E734" s="10">
        <f t="shared" si="35"/>
        <v>0</v>
      </c>
      <c r="F734" s="7" t="e">
        <f t="array" ref="F734">+TIPOARMA(H734,I734)</f>
        <v>#VALUE!</v>
      </c>
      <c r="G734" s="7"/>
      <c r="H734" s="7" t="e">
        <f>+VLOOKUP(Q734,Maps!I:J,2,0)</f>
        <v>#N/A</v>
      </c>
      <c r="I734" s="7" t="e">
        <f>+VLOOKUP(T734,Maps!E:F,2,0)</f>
        <v>#N/A</v>
      </c>
    </row>
    <row r="735" spans="1:9" ht="14.25" customHeight="1" x14ac:dyDescent="0.35">
      <c r="A735" s="7" t="str">
        <f t="array" ref="A735">EXTRACTEVENT(N735,V735)</f>
        <v/>
      </c>
      <c r="B735" s="7" t="str">
        <f t="shared" si="33"/>
        <v/>
      </c>
      <c r="C735" s="7"/>
      <c r="D735" s="7" t="str">
        <f t="shared" si="34"/>
        <v>E</v>
      </c>
      <c r="E735" s="10">
        <f t="shared" si="35"/>
        <v>0</v>
      </c>
      <c r="F735" s="7" t="e">
        <f t="array" ref="F735">+TIPOARMA(H735,I735)</f>
        <v>#VALUE!</v>
      </c>
      <c r="G735" s="7"/>
      <c r="H735" s="7" t="e">
        <f>+VLOOKUP(Q735,Maps!I:J,2,0)</f>
        <v>#N/A</v>
      </c>
      <c r="I735" s="7" t="e">
        <f>+VLOOKUP(T735,Maps!E:F,2,0)</f>
        <v>#N/A</v>
      </c>
    </row>
    <row r="736" spans="1:9" ht="14.25" customHeight="1" x14ac:dyDescent="0.35">
      <c r="A736" s="7" t="str">
        <f t="array" ref="A736">EXTRACTEVENT(N736,V736)</f>
        <v/>
      </c>
      <c r="B736" s="7" t="str">
        <f t="shared" si="33"/>
        <v/>
      </c>
      <c r="C736" s="7"/>
      <c r="D736" s="7" t="str">
        <f t="shared" si="34"/>
        <v>E</v>
      </c>
      <c r="E736" s="10">
        <f t="shared" si="35"/>
        <v>0</v>
      </c>
      <c r="F736" s="7" t="e">
        <f t="array" ref="F736">+TIPOARMA(H736,I736)</f>
        <v>#VALUE!</v>
      </c>
      <c r="G736" s="7"/>
      <c r="H736" s="7" t="e">
        <f>+VLOOKUP(Q736,Maps!I:J,2,0)</f>
        <v>#N/A</v>
      </c>
      <c r="I736" s="7" t="e">
        <f>+VLOOKUP(T736,Maps!E:F,2,0)</f>
        <v>#N/A</v>
      </c>
    </row>
    <row r="737" spans="1:9" ht="14.25" customHeight="1" x14ac:dyDescent="0.35">
      <c r="A737" s="7" t="str">
        <f t="array" ref="A737">EXTRACTEVENT(N737,V737)</f>
        <v/>
      </c>
      <c r="B737" s="7" t="str">
        <f t="shared" si="33"/>
        <v/>
      </c>
      <c r="C737" s="7"/>
      <c r="D737" s="7" t="str">
        <f t="shared" si="34"/>
        <v>E</v>
      </c>
      <c r="E737" s="10">
        <f t="shared" si="35"/>
        <v>0</v>
      </c>
      <c r="F737" s="7" t="e">
        <f t="array" ref="F737">+TIPOARMA(H737,I737)</f>
        <v>#VALUE!</v>
      </c>
      <c r="G737" s="7"/>
      <c r="H737" s="7" t="e">
        <f>+VLOOKUP(Q737,Maps!I:J,2,0)</f>
        <v>#N/A</v>
      </c>
      <c r="I737" s="7" t="e">
        <f>+VLOOKUP(T737,Maps!E:F,2,0)</f>
        <v>#N/A</v>
      </c>
    </row>
    <row r="738" spans="1:9" ht="14.25" customHeight="1" x14ac:dyDescent="0.35">
      <c r="A738" s="7" t="str">
        <f t="array" ref="A738">EXTRACTEVENT(N738,V738)</f>
        <v/>
      </c>
      <c r="B738" s="7" t="str">
        <f t="shared" si="33"/>
        <v/>
      </c>
      <c r="C738" s="7"/>
      <c r="D738" s="7" t="str">
        <f t="shared" si="34"/>
        <v>E</v>
      </c>
      <c r="E738" s="10">
        <f t="shared" si="35"/>
        <v>0</v>
      </c>
      <c r="F738" s="7" t="e">
        <f t="array" ref="F738">+TIPOARMA(H738,I738)</f>
        <v>#VALUE!</v>
      </c>
      <c r="G738" s="7"/>
      <c r="H738" s="7" t="e">
        <f>+VLOOKUP(Q738,Maps!I:J,2,0)</f>
        <v>#N/A</v>
      </c>
      <c r="I738" s="7" t="e">
        <f>+VLOOKUP(T738,Maps!E:F,2,0)</f>
        <v>#N/A</v>
      </c>
    </row>
    <row r="739" spans="1:9" ht="14.25" customHeight="1" x14ac:dyDescent="0.35">
      <c r="A739" s="7" t="str">
        <f t="array" ref="A739">EXTRACTEVENT(N739,V739)</f>
        <v/>
      </c>
      <c r="B739" s="7" t="str">
        <f t="shared" si="33"/>
        <v/>
      </c>
      <c r="C739" s="7"/>
      <c r="D739" s="7" t="str">
        <f t="shared" si="34"/>
        <v>E</v>
      </c>
      <c r="E739" s="10">
        <f t="shared" si="35"/>
        <v>0</v>
      </c>
      <c r="F739" s="7" t="e">
        <f t="array" ref="F739">+TIPOARMA(H739,I739)</f>
        <v>#VALUE!</v>
      </c>
      <c r="G739" s="7"/>
      <c r="H739" s="7" t="e">
        <f>+VLOOKUP(Q739,Maps!I:J,2,0)</f>
        <v>#N/A</v>
      </c>
      <c r="I739" s="7" t="e">
        <f>+VLOOKUP(T739,Maps!E:F,2,0)</f>
        <v>#N/A</v>
      </c>
    </row>
    <row r="740" spans="1:9" ht="14.25" customHeight="1" x14ac:dyDescent="0.35">
      <c r="A740" s="7" t="str">
        <f t="array" ref="A740">EXTRACTEVENT(N740,V740)</f>
        <v/>
      </c>
      <c r="B740" s="7" t="str">
        <f t="shared" si="33"/>
        <v/>
      </c>
      <c r="C740" s="7"/>
      <c r="D740" s="7" t="str">
        <f t="shared" si="34"/>
        <v>E</v>
      </c>
      <c r="E740" s="10">
        <f t="shared" si="35"/>
        <v>0</v>
      </c>
      <c r="F740" s="7" t="e">
        <f t="array" ref="F740">+TIPOARMA(H740,I740)</f>
        <v>#VALUE!</v>
      </c>
      <c r="G740" s="7"/>
      <c r="H740" s="7" t="e">
        <f>+VLOOKUP(Q740,Maps!I:J,2,0)</f>
        <v>#N/A</v>
      </c>
      <c r="I740" s="7" t="e">
        <f>+VLOOKUP(T740,Maps!E:F,2,0)</f>
        <v>#N/A</v>
      </c>
    </row>
    <row r="741" spans="1:9" ht="14.25" customHeight="1" x14ac:dyDescent="0.35">
      <c r="A741" s="7" t="str">
        <f t="array" ref="A741">EXTRACTEVENT(N741,V741)</f>
        <v/>
      </c>
      <c r="B741" s="7" t="str">
        <f t="shared" si="33"/>
        <v/>
      </c>
      <c r="C741" s="7"/>
      <c r="D741" s="7" t="str">
        <f t="shared" si="34"/>
        <v>E</v>
      </c>
      <c r="E741" s="10">
        <f t="shared" si="35"/>
        <v>0</v>
      </c>
      <c r="F741" s="7" t="e">
        <f t="array" ref="F741">+TIPOARMA(H741,I741)</f>
        <v>#VALUE!</v>
      </c>
      <c r="G741" s="7"/>
      <c r="H741" s="7" t="e">
        <f>+VLOOKUP(Q741,Maps!I:J,2,0)</f>
        <v>#N/A</v>
      </c>
      <c r="I741" s="7" t="e">
        <f>+VLOOKUP(T741,Maps!E:F,2,0)</f>
        <v>#N/A</v>
      </c>
    </row>
    <row r="742" spans="1:9" ht="14.25" customHeight="1" x14ac:dyDescent="0.35">
      <c r="A742" s="7" t="str">
        <f t="array" ref="A742">EXTRACTEVENT(N742,V742)</f>
        <v/>
      </c>
      <c r="B742" s="7" t="str">
        <f t="shared" si="33"/>
        <v/>
      </c>
      <c r="C742" s="7"/>
      <c r="D742" s="7" t="str">
        <f t="shared" si="34"/>
        <v>E</v>
      </c>
      <c r="E742" s="10">
        <f t="shared" si="35"/>
        <v>0</v>
      </c>
      <c r="F742" s="7" t="e">
        <f t="array" ref="F742">+TIPOARMA(H742,I742)</f>
        <v>#VALUE!</v>
      </c>
      <c r="G742" s="7"/>
      <c r="H742" s="7" t="e">
        <f>+VLOOKUP(Q742,Maps!I:J,2,0)</f>
        <v>#N/A</v>
      </c>
      <c r="I742" s="7" t="e">
        <f>+VLOOKUP(T742,Maps!E:F,2,0)</f>
        <v>#N/A</v>
      </c>
    </row>
    <row r="743" spans="1:9" ht="14.25" customHeight="1" x14ac:dyDescent="0.35">
      <c r="A743" s="7" t="str">
        <f t="array" ref="A743">EXTRACTEVENT(N743,V743)</f>
        <v/>
      </c>
      <c r="B743" s="7" t="str">
        <f t="shared" si="33"/>
        <v/>
      </c>
      <c r="C743" s="7"/>
      <c r="D743" s="7" t="str">
        <f t="shared" si="34"/>
        <v>E</v>
      </c>
      <c r="E743" s="10">
        <f t="shared" si="35"/>
        <v>0</v>
      </c>
      <c r="F743" s="7" t="e">
        <f t="array" ref="F743">+TIPOARMA(H743,I743)</f>
        <v>#VALUE!</v>
      </c>
      <c r="G743" s="7"/>
      <c r="H743" s="7" t="e">
        <f>+VLOOKUP(Q743,Maps!I:J,2,0)</f>
        <v>#N/A</v>
      </c>
      <c r="I743" s="7" t="e">
        <f>+VLOOKUP(T743,Maps!E:F,2,0)</f>
        <v>#N/A</v>
      </c>
    </row>
    <row r="744" spans="1:9" ht="14.25" customHeight="1" x14ac:dyDescent="0.35">
      <c r="A744" s="7" t="str">
        <f t="array" ref="A744">EXTRACTEVENT(N744,V744)</f>
        <v/>
      </c>
      <c r="B744" s="7" t="str">
        <f t="shared" si="33"/>
        <v/>
      </c>
      <c r="C744" s="7"/>
      <c r="D744" s="7" t="str">
        <f t="shared" si="34"/>
        <v>E</v>
      </c>
      <c r="E744" s="10">
        <f t="shared" si="35"/>
        <v>0</v>
      </c>
      <c r="F744" s="7" t="e">
        <f t="array" ref="F744">+TIPOARMA(H744,I744)</f>
        <v>#VALUE!</v>
      </c>
      <c r="G744" s="7"/>
      <c r="H744" s="7" t="e">
        <f>+VLOOKUP(Q744,Maps!I:J,2,0)</f>
        <v>#N/A</v>
      </c>
      <c r="I744" s="7" t="e">
        <f>+VLOOKUP(T744,Maps!E:F,2,0)</f>
        <v>#N/A</v>
      </c>
    </row>
    <row r="745" spans="1:9" ht="14.25" customHeight="1" x14ac:dyDescent="0.35">
      <c r="A745" s="7" t="str">
        <f t="array" ref="A745">EXTRACTEVENT(N745,V745)</f>
        <v/>
      </c>
      <c r="B745" s="7" t="str">
        <f t="shared" si="33"/>
        <v/>
      </c>
      <c r="C745" s="7"/>
      <c r="D745" s="7" t="str">
        <f t="shared" si="34"/>
        <v>E</v>
      </c>
      <c r="E745" s="10">
        <f t="shared" si="35"/>
        <v>0</v>
      </c>
      <c r="F745" s="7" t="e">
        <f t="array" ref="F745">+TIPOARMA(H745,I745)</f>
        <v>#VALUE!</v>
      </c>
      <c r="G745" s="7"/>
      <c r="H745" s="7" t="e">
        <f>+VLOOKUP(Q745,Maps!I:J,2,0)</f>
        <v>#N/A</v>
      </c>
      <c r="I745" s="7" t="e">
        <f>+VLOOKUP(T745,Maps!E:F,2,0)</f>
        <v>#N/A</v>
      </c>
    </row>
    <row r="746" spans="1:9" ht="14.25" customHeight="1" x14ac:dyDescent="0.35">
      <c r="A746" s="7" t="str">
        <f t="array" ref="A746">EXTRACTEVENT(N746,V746)</f>
        <v/>
      </c>
      <c r="B746" s="7" t="str">
        <f t="shared" si="33"/>
        <v/>
      </c>
      <c r="C746" s="7"/>
      <c r="D746" s="7" t="str">
        <f t="shared" si="34"/>
        <v>E</v>
      </c>
      <c r="E746" s="10">
        <f t="shared" si="35"/>
        <v>0</v>
      </c>
      <c r="F746" s="7" t="e">
        <f t="array" ref="F746">+TIPOARMA(H746,I746)</f>
        <v>#VALUE!</v>
      </c>
      <c r="G746" s="7"/>
      <c r="H746" s="7" t="e">
        <f>+VLOOKUP(Q746,Maps!I:J,2,0)</f>
        <v>#N/A</v>
      </c>
      <c r="I746" s="7" t="e">
        <f>+VLOOKUP(T746,Maps!E:F,2,0)</f>
        <v>#N/A</v>
      </c>
    </row>
    <row r="747" spans="1:9" ht="14.25" customHeight="1" x14ac:dyDescent="0.35">
      <c r="A747" s="7" t="str">
        <f t="array" ref="A747">EXTRACTEVENT(N747,V747)</f>
        <v/>
      </c>
      <c r="B747" s="7" t="str">
        <f t="shared" si="33"/>
        <v/>
      </c>
      <c r="C747" s="7"/>
      <c r="D747" s="7" t="str">
        <f t="shared" si="34"/>
        <v>E</v>
      </c>
      <c r="E747" s="10">
        <f t="shared" si="35"/>
        <v>0</v>
      </c>
      <c r="F747" s="7" t="e">
        <f t="array" ref="F747">+TIPOARMA(H747,I747)</f>
        <v>#VALUE!</v>
      </c>
      <c r="G747" s="7"/>
      <c r="H747" s="7" t="e">
        <f>+VLOOKUP(Q747,Maps!I:J,2,0)</f>
        <v>#N/A</v>
      </c>
      <c r="I747" s="7" t="e">
        <f>+VLOOKUP(T747,Maps!E:F,2,0)</f>
        <v>#N/A</v>
      </c>
    </row>
    <row r="748" spans="1:9" ht="14.25" customHeight="1" x14ac:dyDescent="0.35">
      <c r="A748" s="7" t="str">
        <f t="array" ref="A748">EXTRACTEVENT(N748,V748)</f>
        <v/>
      </c>
      <c r="B748" s="7" t="str">
        <f t="shared" si="33"/>
        <v/>
      </c>
      <c r="C748" s="7"/>
      <c r="D748" s="7" t="str">
        <f t="shared" si="34"/>
        <v>E</v>
      </c>
      <c r="E748" s="10">
        <f t="shared" si="35"/>
        <v>0</v>
      </c>
      <c r="F748" s="7" t="e">
        <f t="array" ref="F748">+TIPOARMA(H748,I748)</f>
        <v>#VALUE!</v>
      </c>
      <c r="G748" s="7"/>
      <c r="H748" s="7" t="e">
        <f>+VLOOKUP(Q748,Maps!I:J,2,0)</f>
        <v>#N/A</v>
      </c>
      <c r="I748" s="7" t="e">
        <f>+VLOOKUP(T748,Maps!E:F,2,0)</f>
        <v>#N/A</v>
      </c>
    </row>
    <row r="749" spans="1:9" ht="14.25" customHeight="1" x14ac:dyDescent="0.35">
      <c r="A749" s="7" t="str">
        <f t="array" ref="A749">EXTRACTEVENT(N749,V749)</f>
        <v/>
      </c>
      <c r="B749" s="7" t="str">
        <f t="shared" si="33"/>
        <v/>
      </c>
      <c r="C749" s="7"/>
      <c r="D749" s="7" t="str">
        <f t="shared" si="34"/>
        <v>E</v>
      </c>
      <c r="E749" s="10">
        <f t="shared" si="35"/>
        <v>0</v>
      </c>
      <c r="F749" s="7" t="e">
        <f t="array" ref="F749">+TIPOARMA(H749,I749)</f>
        <v>#VALUE!</v>
      </c>
      <c r="G749" s="7"/>
      <c r="H749" s="7" t="e">
        <f>+VLOOKUP(Q749,Maps!I:J,2,0)</f>
        <v>#N/A</v>
      </c>
      <c r="I749" s="7" t="e">
        <f>+VLOOKUP(T749,Maps!E:F,2,0)</f>
        <v>#N/A</v>
      </c>
    </row>
    <row r="750" spans="1:9" ht="14.25" customHeight="1" x14ac:dyDescent="0.35">
      <c r="A750" s="7" t="str">
        <f t="array" ref="A750">EXTRACTEVENT(N750,V750)</f>
        <v/>
      </c>
      <c r="B750" s="7" t="str">
        <f t="shared" si="33"/>
        <v/>
      </c>
      <c r="C750" s="7"/>
      <c r="D750" s="7" t="str">
        <f t="shared" si="34"/>
        <v>E</v>
      </c>
      <c r="E750" s="10">
        <f t="shared" si="35"/>
        <v>0</v>
      </c>
      <c r="F750" s="7" t="e">
        <f t="array" ref="F750">+TIPOARMA(H750,I750)</f>
        <v>#VALUE!</v>
      </c>
      <c r="G750" s="7"/>
      <c r="H750" s="7" t="e">
        <f>+VLOOKUP(Q750,Maps!I:J,2,0)</f>
        <v>#N/A</v>
      </c>
      <c r="I750" s="7" t="e">
        <f>+VLOOKUP(T750,Maps!E:F,2,0)</f>
        <v>#N/A</v>
      </c>
    </row>
    <row r="751" spans="1:9" ht="14.25" customHeight="1" x14ac:dyDescent="0.35">
      <c r="A751" s="7" t="str">
        <f t="array" ref="A751">EXTRACTEVENT(N751,V751)</f>
        <v/>
      </c>
      <c r="B751" s="7" t="str">
        <f t="shared" si="33"/>
        <v/>
      </c>
      <c r="C751" s="7"/>
      <c r="D751" s="7" t="str">
        <f t="shared" si="34"/>
        <v>E</v>
      </c>
      <c r="E751" s="10">
        <f t="shared" si="35"/>
        <v>0</v>
      </c>
      <c r="F751" s="7" t="e">
        <f t="array" ref="F751">+TIPOARMA(H751,I751)</f>
        <v>#VALUE!</v>
      </c>
      <c r="G751" s="7"/>
      <c r="H751" s="7" t="e">
        <f>+VLOOKUP(Q751,Maps!I:J,2,0)</f>
        <v>#N/A</v>
      </c>
      <c r="I751" s="7" t="e">
        <f>+VLOOKUP(T751,Maps!E:F,2,0)</f>
        <v>#N/A</v>
      </c>
    </row>
    <row r="752" spans="1:9" ht="14.25" customHeight="1" x14ac:dyDescent="0.35">
      <c r="A752" s="7" t="str">
        <f t="array" ref="A752">EXTRACTEVENT(N752,V752)</f>
        <v/>
      </c>
      <c r="B752" s="7" t="str">
        <f t="shared" si="33"/>
        <v/>
      </c>
      <c r="C752" s="7"/>
      <c r="D752" s="7" t="str">
        <f t="shared" si="34"/>
        <v>E</v>
      </c>
      <c r="E752" s="10">
        <f t="shared" si="35"/>
        <v>0</v>
      </c>
      <c r="F752" s="7" t="e">
        <f t="array" ref="F752">+TIPOARMA(H752,I752)</f>
        <v>#VALUE!</v>
      </c>
      <c r="G752" s="7"/>
      <c r="H752" s="7" t="e">
        <f>+VLOOKUP(Q752,Maps!I:J,2,0)</f>
        <v>#N/A</v>
      </c>
      <c r="I752" s="7" t="e">
        <f>+VLOOKUP(T752,Maps!E:F,2,0)</f>
        <v>#N/A</v>
      </c>
    </row>
    <row r="753" spans="1:9" ht="14.25" customHeight="1" x14ac:dyDescent="0.35">
      <c r="A753" s="7" t="str">
        <f t="array" ref="A753">EXTRACTEVENT(N753,V753)</f>
        <v/>
      </c>
      <c r="B753" s="7" t="str">
        <f t="shared" si="33"/>
        <v/>
      </c>
      <c r="C753" s="7"/>
      <c r="D753" s="7" t="str">
        <f t="shared" si="34"/>
        <v>E</v>
      </c>
      <c r="E753" s="10">
        <f t="shared" si="35"/>
        <v>0</v>
      </c>
      <c r="F753" s="7" t="e">
        <f t="array" ref="F753">+TIPOARMA(H753,I753)</f>
        <v>#VALUE!</v>
      </c>
      <c r="G753" s="7"/>
      <c r="H753" s="7" t="e">
        <f>+VLOOKUP(Q753,Maps!I:J,2,0)</f>
        <v>#N/A</v>
      </c>
      <c r="I753" s="7" t="e">
        <f>+VLOOKUP(T753,Maps!E:F,2,0)</f>
        <v>#N/A</v>
      </c>
    </row>
    <row r="754" spans="1:9" ht="14.25" customHeight="1" x14ac:dyDescent="0.35">
      <c r="A754" s="7" t="str">
        <f t="array" ref="A754">EXTRACTEVENT(N754,V754)</f>
        <v/>
      </c>
      <c r="B754" s="7" t="str">
        <f t="shared" si="33"/>
        <v/>
      </c>
      <c r="C754" s="7"/>
      <c r="D754" s="7" t="str">
        <f t="shared" si="34"/>
        <v>E</v>
      </c>
      <c r="E754" s="10">
        <f t="shared" si="35"/>
        <v>0</v>
      </c>
      <c r="F754" s="7" t="e">
        <f t="array" ref="F754">+TIPOARMA(H754,I754)</f>
        <v>#VALUE!</v>
      </c>
      <c r="G754" s="7"/>
      <c r="H754" s="7" t="e">
        <f>+VLOOKUP(Q754,Maps!I:J,2,0)</f>
        <v>#N/A</v>
      </c>
      <c r="I754" s="7" t="e">
        <f>+VLOOKUP(T754,Maps!E:F,2,0)</f>
        <v>#N/A</v>
      </c>
    </row>
    <row r="755" spans="1:9" ht="14.25" customHeight="1" x14ac:dyDescent="0.35">
      <c r="A755" s="7" t="str">
        <f t="array" ref="A755">EXTRACTEVENT(N755,V755)</f>
        <v/>
      </c>
      <c r="B755" s="7" t="str">
        <f t="shared" si="33"/>
        <v/>
      </c>
      <c r="C755" s="7"/>
      <c r="D755" s="7" t="str">
        <f t="shared" si="34"/>
        <v>E</v>
      </c>
      <c r="E755" s="10">
        <f t="shared" si="35"/>
        <v>0</v>
      </c>
      <c r="F755" s="7" t="e">
        <f t="array" ref="F755">+TIPOARMA(H755,I755)</f>
        <v>#VALUE!</v>
      </c>
      <c r="G755" s="7"/>
      <c r="H755" s="7" t="e">
        <f>+VLOOKUP(Q755,Maps!I:J,2,0)</f>
        <v>#N/A</v>
      </c>
      <c r="I755" s="7" t="e">
        <f>+VLOOKUP(T755,Maps!E:F,2,0)</f>
        <v>#N/A</v>
      </c>
    </row>
    <row r="756" spans="1:9" ht="14.25" customHeight="1" x14ac:dyDescent="0.35">
      <c r="A756" s="7" t="str">
        <f t="array" ref="A756">EXTRACTEVENT(N756,V756)</f>
        <v/>
      </c>
      <c r="B756" s="7" t="str">
        <f t="shared" si="33"/>
        <v/>
      </c>
      <c r="C756" s="7"/>
      <c r="D756" s="7" t="str">
        <f t="shared" si="34"/>
        <v>E</v>
      </c>
      <c r="E756" s="10">
        <f t="shared" si="35"/>
        <v>0</v>
      </c>
      <c r="F756" s="7" t="e">
        <f t="array" ref="F756">+TIPOARMA(H756,I756)</f>
        <v>#VALUE!</v>
      </c>
      <c r="G756" s="7"/>
      <c r="H756" s="7" t="e">
        <f>+VLOOKUP(Q756,Maps!I:J,2,0)</f>
        <v>#N/A</v>
      </c>
      <c r="I756" s="7" t="e">
        <f>+VLOOKUP(T756,Maps!E:F,2,0)</f>
        <v>#N/A</v>
      </c>
    </row>
    <row r="757" spans="1:9" ht="14.25" customHeight="1" x14ac:dyDescent="0.35">
      <c r="A757" s="7" t="str">
        <f t="array" ref="A757">EXTRACTEVENT(N757,V757)</f>
        <v/>
      </c>
      <c r="B757" s="7" t="str">
        <f t="shared" si="33"/>
        <v/>
      </c>
      <c r="C757" s="7"/>
      <c r="D757" s="7" t="str">
        <f t="shared" si="34"/>
        <v>E</v>
      </c>
      <c r="E757" s="10">
        <f t="shared" si="35"/>
        <v>0</v>
      </c>
      <c r="F757" s="7" t="e">
        <f t="array" ref="F757">+TIPOARMA(H757,I757)</f>
        <v>#VALUE!</v>
      </c>
      <c r="G757" s="7"/>
      <c r="H757" s="7" t="e">
        <f>+VLOOKUP(Q757,Maps!I:J,2,0)</f>
        <v>#N/A</v>
      </c>
      <c r="I757" s="7" t="e">
        <f>+VLOOKUP(T757,Maps!E:F,2,0)</f>
        <v>#N/A</v>
      </c>
    </row>
    <row r="758" spans="1:9" ht="14.25" customHeight="1" x14ac:dyDescent="0.35">
      <c r="A758" s="7" t="str">
        <f t="array" ref="A758">EXTRACTEVENT(N758,V758)</f>
        <v/>
      </c>
      <c r="B758" s="7" t="str">
        <f t="shared" si="33"/>
        <v/>
      </c>
      <c r="C758" s="7"/>
      <c r="D758" s="7" t="str">
        <f t="shared" si="34"/>
        <v>E</v>
      </c>
      <c r="E758" s="10">
        <f t="shared" si="35"/>
        <v>0</v>
      </c>
      <c r="F758" s="7" t="e">
        <f t="array" ref="F758">+TIPOARMA(H758,I758)</f>
        <v>#VALUE!</v>
      </c>
      <c r="G758" s="7"/>
      <c r="H758" s="7" t="e">
        <f>+VLOOKUP(Q758,Maps!I:J,2,0)</f>
        <v>#N/A</v>
      </c>
      <c r="I758" s="7" t="e">
        <f>+VLOOKUP(T758,Maps!E:F,2,0)</f>
        <v>#N/A</v>
      </c>
    </row>
    <row r="759" spans="1:9" ht="14.25" customHeight="1" x14ac:dyDescent="0.35">
      <c r="A759" s="7" t="str">
        <f t="array" ref="A759">EXTRACTEVENT(N759,V759)</f>
        <v/>
      </c>
      <c r="B759" s="7" t="str">
        <f t="shared" si="33"/>
        <v/>
      </c>
      <c r="C759" s="7"/>
      <c r="D759" s="7" t="str">
        <f t="shared" si="34"/>
        <v>E</v>
      </c>
      <c r="E759" s="10">
        <f t="shared" si="35"/>
        <v>0</v>
      </c>
      <c r="F759" s="7" t="e">
        <f t="array" ref="F759">+TIPOARMA(H759,I759)</f>
        <v>#VALUE!</v>
      </c>
      <c r="G759" s="7"/>
      <c r="H759" s="7" t="e">
        <f>+VLOOKUP(Q759,Maps!I:J,2,0)</f>
        <v>#N/A</v>
      </c>
      <c r="I759" s="7" t="e">
        <f>+VLOOKUP(T759,Maps!E:F,2,0)</f>
        <v>#N/A</v>
      </c>
    </row>
    <row r="760" spans="1:9" ht="14.25" customHeight="1" x14ac:dyDescent="0.35">
      <c r="A760" s="7" t="str">
        <f t="array" ref="A760">EXTRACTEVENT(N760,V760)</f>
        <v/>
      </c>
      <c r="B760" s="7" t="str">
        <f t="shared" si="33"/>
        <v/>
      </c>
      <c r="C760" s="7"/>
      <c r="D760" s="7" t="str">
        <f t="shared" si="34"/>
        <v>E</v>
      </c>
      <c r="E760" s="10">
        <f t="shared" si="35"/>
        <v>0</v>
      </c>
      <c r="F760" s="7" t="e">
        <f t="array" ref="F760">+TIPOARMA(H760,I760)</f>
        <v>#VALUE!</v>
      </c>
      <c r="G760" s="7"/>
      <c r="H760" s="7" t="e">
        <f>+VLOOKUP(Q760,Maps!I:J,2,0)</f>
        <v>#N/A</v>
      </c>
      <c r="I760" s="7" t="e">
        <f>+VLOOKUP(T760,Maps!E:F,2,0)</f>
        <v>#N/A</v>
      </c>
    </row>
    <row r="761" spans="1:9" ht="14.25" customHeight="1" x14ac:dyDescent="0.35">
      <c r="A761" s="7" t="str">
        <f t="array" ref="A761">EXTRACTEVENT(N761,V761)</f>
        <v/>
      </c>
      <c r="B761" s="7" t="str">
        <f t="shared" si="33"/>
        <v/>
      </c>
      <c r="C761" s="7"/>
      <c r="D761" s="7" t="str">
        <f t="shared" si="34"/>
        <v>E</v>
      </c>
      <c r="E761" s="10">
        <f t="shared" si="35"/>
        <v>0</v>
      </c>
      <c r="F761" s="7" t="e">
        <f t="array" ref="F761">+TIPOARMA(H761,I761)</f>
        <v>#VALUE!</v>
      </c>
      <c r="G761" s="7"/>
      <c r="H761" s="7" t="e">
        <f>+VLOOKUP(Q761,Maps!I:J,2,0)</f>
        <v>#N/A</v>
      </c>
      <c r="I761" s="7" t="e">
        <f>+VLOOKUP(T761,Maps!E:F,2,0)</f>
        <v>#N/A</v>
      </c>
    </row>
    <row r="762" spans="1:9" ht="14.25" customHeight="1" x14ac:dyDescent="0.35">
      <c r="A762" s="7" t="str">
        <f t="array" ref="A762">EXTRACTEVENT(N762,V762)</f>
        <v/>
      </c>
      <c r="B762" s="7" t="str">
        <f t="shared" si="33"/>
        <v/>
      </c>
      <c r="C762" s="7"/>
      <c r="D762" s="7" t="str">
        <f t="shared" si="34"/>
        <v>E</v>
      </c>
      <c r="E762" s="10">
        <f t="shared" si="35"/>
        <v>0</v>
      </c>
      <c r="F762" s="7" t="e">
        <f t="array" ref="F762">+TIPOARMA(H762,I762)</f>
        <v>#VALUE!</v>
      </c>
      <c r="G762" s="7"/>
      <c r="H762" s="7" t="e">
        <f>+VLOOKUP(Q762,Maps!I:J,2,0)</f>
        <v>#N/A</v>
      </c>
      <c r="I762" s="7" t="e">
        <f>+VLOOKUP(T762,Maps!E:F,2,0)</f>
        <v>#N/A</v>
      </c>
    </row>
    <row r="763" spans="1:9" ht="14.25" customHeight="1" x14ac:dyDescent="0.35">
      <c r="A763" s="7" t="str">
        <f t="array" ref="A763">EXTRACTEVENT(N763,V763)</f>
        <v/>
      </c>
      <c r="B763" s="7" t="str">
        <f t="shared" si="33"/>
        <v/>
      </c>
      <c r="C763" s="7"/>
      <c r="D763" s="7" t="str">
        <f t="shared" si="34"/>
        <v>E</v>
      </c>
      <c r="E763" s="10">
        <f t="shared" si="35"/>
        <v>0</v>
      </c>
      <c r="F763" s="7" t="e">
        <f t="array" ref="F763">+TIPOARMA(H763,I763)</f>
        <v>#VALUE!</v>
      </c>
      <c r="G763" s="7"/>
      <c r="H763" s="7" t="e">
        <f>+VLOOKUP(Q763,Maps!I:J,2,0)</f>
        <v>#N/A</v>
      </c>
      <c r="I763" s="7" t="e">
        <f>+VLOOKUP(T763,Maps!E:F,2,0)</f>
        <v>#N/A</v>
      </c>
    </row>
    <row r="764" spans="1:9" ht="14.25" customHeight="1" x14ac:dyDescent="0.35">
      <c r="A764" s="7" t="str">
        <f t="array" ref="A764">EXTRACTEVENT(N764,V764)</f>
        <v/>
      </c>
      <c r="B764" s="7" t="str">
        <f t="shared" si="33"/>
        <v/>
      </c>
      <c r="C764" s="7"/>
      <c r="D764" s="7" t="str">
        <f t="shared" si="34"/>
        <v>E</v>
      </c>
      <c r="E764" s="10">
        <f t="shared" si="35"/>
        <v>0</v>
      </c>
      <c r="F764" s="7" t="e">
        <f t="array" ref="F764">+TIPOARMA(H764,I764)</f>
        <v>#VALUE!</v>
      </c>
      <c r="G764" s="7"/>
      <c r="H764" s="7" t="e">
        <f>+VLOOKUP(Q764,Maps!I:J,2,0)</f>
        <v>#N/A</v>
      </c>
      <c r="I764" s="7" t="e">
        <f>+VLOOKUP(T764,Maps!E:F,2,0)</f>
        <v>#N/A</v>
      </c>
    </row>
    <row r="765" spans="1:9" ht="14.25" customHeight="1" x14ac:dyDescent="0.35">
      <c r="A765" s="7" t="str">
        <f t="array" ref="A765">EXTRACTEVENT(N765,V765)</f>
        <v/>
      </c>
      <c r="B765" s="7" t="str">
        <f t="shared" si="33"/>
        <v/>
      </c>
      <c r="C765" s="7"/>
      <c r="D765" s="7" t="str">
        <f t="shared" si="34"/>
        <v>E</v>
      </c>
      <c r="E765" s="10">
        <f t="shared" si="35"/>
        <v>0</v>
      </c>
      <c r="F765" s="7" t="e">
        <f t="array" ref="F765">+TIPOARMA(H765,I765)</f>
        <v>#VALUE!</v>
      </c>
      <c r="G765" s="7"/>
      <c r="H765" s="7" t="e">
        <f>+VLOOKUP(Q765,Maps!I:J,2,0)</f>
        <v>#N/A</v>
      </c>
      <c r="I765" s="7" t="e">
        <f>+VLOOKUP(T765,Maps!E:F,2,0)</f>
        <v>#N/A</v>
      </c>
    </row>
    <row r="766" spans="1:9" ht="14.25" customHeight="1" x14ac:dyDescent="0.35">
      <c r="A766" s="7" t="str">
        <f t="array" ref="A766">EXTRACTEVENT(N766,V766)</f>
        <v/>
      </c>
      <c r="B766" s="7" t="str">
        <f t="shared" si="33"/>
        <v/>
      </c>
      <c r="C766" s="7"/>
      <c r="D766" s="7" t="str">
        <f t="shared" si="34"/>
        <v>E</v>
      </c>
      <c r="E766" s="10">
        <f t="shared" si="35"/>
        <v>0</v>
      </c>
      <c r="F766" s="7" t="e">
        <f t="array" ref="F766">+TIPOARMA(H766,I766)</f>
        <v>#VALUE!</v>
      </c>
      <c r="G766" s="7"/>
      <c r="H766" s="7" t="e">
        <f>+VLOOKUP(Q766,Maps!I:J,2,0)</f>
        <v>#N/A</v>
      </c>
      <c r="I766" s="7" t="e">
        <f>+VLOOKUP(T766,Maps!E:F,2,0)</f>
        <v>#N/A</v>
      </c>
    </row>
    <row r="767" spans="1:9" ht="14.25" customHeight="1" x14ac:dyDescent="0.35">
      <c r="A767" s="7" t="str">
        <f t="array" ref="A767">EXTRACTEVENT(N767,V767)</f>
        <v/>
      </c>
      <c r="B767" s="7" t="str">
        <f t="shared" si="33"/>
        <v/>
      </c>
      <c r="C767" s="7"/>
      <c r="D767" s="7" t="str">
        <f t="shared" si="34"/>
        <v>E</v>
      </c>
      <c r="E767" s="10">
        <f t="shared" si="35"/>
        <v>0</v>
      </c>
      <c r="F767" s="7" t="e">
        <f t="array" ref="F767">+TIPOARMA(H767,I767)</f>
        <v>#VALUE!</v>
      </c>
      <c r="G767" s="7"/>
      <c r="H767" s="7" t="e">
        <f>+VLOOKUP(Q767,Maps!I:J,2,0)</f>
        <v>#N/A</v>
      </c>
      <c r="I767" s="7" t="e">
        <f>+VLOOKUP(T767,Maps!E:F,2,0)</f>
        <v>#N/A</v>
      </c>
    </row>
    <row r="768" spans="1:9" ht="14.25" customHeight="1" x14ac:dyDescent="0.35">
      <c r="A768" s="7" t="str">
        <f t="array" ref="A768">EXTRACTEVENT(N768,V768)</f>
        <v/>
      </c>
      <c r="B768" s="7" t="str">
        <f t="shared" si="33"/>
        <v/>
      </c>
      <c r="C768" s="7"/>
      <c r="D768" s="7" t="str">
        <f t="shared" si="34"/>
        <v>E</v>
      </c>
      <c r="E768" s="10">
        <f t="shared" si="35"/>
        <v>0</v>
      </c>
      <c r="F768" s="7" t="e">
        <f t="array" ref="F768">+TIPOARMA(H768,I768)</f>
        <v>#VALUE!</v>
      </c>
      <c r="G768" s="7"/>
      <c r="H768" s="7" t="e">
        <f>+VLOOKUP(Q768,Maps!I:J,2,0)</f>
        <v>#N/A</v>
      </c>
      <c r="I768" s="7" t="e">
        <f>+VLOOKUP(T768,Maps!E:F,2,0)</f>
        <v>#N/A</v>
      </c>
    </row>
    <row r="769" spans="1:9" ht="14.25" customHeight="1" x14ac:dyDescent="0.35">
      <c r="A769" s="7" t="str">
        <f t="array" ref="A769">EXTRACTEVENT(N769,V769)</f>
        <v/>
      </c>
      <c r="B769" s="7" t="str">
        <f t="shared" si="33"/>
        <v/>
      </c>
      <c r="C769" s="7"/>
      <c r="D769" s="7" t="str">
        <f t="shared" si="34"/>
        <v>E</v>
      </c>
      <c r="E769" s="10">
        <f t="shared" si="35"/>
        <v>0</v>
      </c>
      <c r="F769" s="7" t="e">
        <f t="array" ref="F769">+TIPOARMA(H769,I769)</f>
        <v>#VALUE!</v>
      </c>
      <c r="G769" s="7"/>
      <c r="H769" s="7" t="e">
        <f>+VLOOKUP(Q769,Maps!I:J,2,0)</f>
        <v>#N/A</v>
      </c>
      <c r="I769" s="7" t="e">
        <f>+VLOOKUP(T769,Maps!E:F,2,0)</f>
        <v>#N/A</v>
      </c>
    </row>
    <row r="770" spans="1:9" ht="14.25" customHeight="1" x14ac:dyDescent="0.35">
      <c r="A770" s="7" t="str">
        <f t="array" ref="A770">EXTRACTEVENT(N770,V770)</f>
        <v/>
      </c>
      <c r="B770" s="7" t="str">
        <f t="shared" ref="B770:B833" si="36">+IF(V770="TREINO","-",LEFT(N770,1))</f>
        <v/>
      </c>
      <c r="C770" s="7"/>
      <c r="D770" s="7" t="str">
        <f t="shared" ref="D770:D833" si="37">+IF($V770="TREINO","T",IF(V770="NACIONAL","N","E"))</f>
        <v>E</v>
      </c>
      <c r="E770" s="10">
        <f t="shared" ref="E770:E833" si="38">IFERROR(DATEVALUE(LEFT(M770,10)),M770)</f>
        <v>0</v>
      </c>
      <c r="F770" s="7" t="e">
        <f t="array" ref="F770">+TIPOARMA(H770,I770)</f>
        <v>#VALUE!</v>
      </c>
      <c r="G770" s="7"/>
      <c r="H770" s="7" t="e">
        <f>+VLOOKUP(Q770,Maps!I:J,2,0)</f>
        <v>#N/A</v>
      </c>
      <c r="I770" s="7" t="e">
        <f>+VLOOKUP(T770,Maps!E:F,2,0)</f>
        <v>#N/A</v>
      </c>
    </row>
    <row r="771" spans="1:9" ht="14.25" customHeight="1" x14ac:dyDescent="0.35">
      <c r="A771" s="7" t="str">
        <f t="array" ref="A771">EXTRACTEVENT(N771,V771)</f>
        <v/>
      </c>
      <c r="B771" s="7" t="str">
        <f t="shared" si="36"/>
        <v/>
      </c>
      <c r="C771" s="7"/>
      <c r="D771" s="7" t="str">
        <f t="shared" si="37"/>
        <v>E</v>
      </c>
      <c r="E771" s="10">
        <f t="shared" si="38"/>
        <v>0</v>
      </c>
      <c r="F771" s="7" t="e">
        <f t="array" ref="F771">+TIPOARMA(H771,I771)</f>
        <v>#VALUE!</v>
      </c>
      <c r="G771" s="7"/>
      <c r="H771" s="7" t="e">
        <f>+VLOOKUP(Q771,Maps!I:J,2,0)</f>
        <v>#N/A</v>
      </c>
      <c r="I771" s="7" t="e">
        <f>+VLOOKUP(T771,Maps!E:F,2,0)</f>
        <v>#N/A</v>
      </c>
    </row>
    <row r="772" spans="1:9" ht="14.25" customHeight="1" x14ac:dyDescent="0.35">
      <c r="A772" s="7" t="str">
        <f t="array" ref="A772">EXTRACTEVENT(N772,V772)</f>
        <v/>
      </c>
      <c r="B772" s="7" t="str">
        <f t="shared" si="36"/>
        <v/>
      </c>
      <c r="C772" s="7"/>
      <c r="D772" s="7" t="str">
        <f t="shared" si="37"/>
        <v>E</v>
      </c>
      <c r="E772" s="10">
        <f t="shared" si="38"/>
        <v>0</v>
      </c>
      <c r="F772" s="7" t="e">
        <f t="array" ref="F772">+TIPOARMA(H772,I772)</f>
        <v>#VALUE!</v>
      </c>
      <c r="G772" s="7"/>
      <c r="H772" s="7" t="e">
        <f>+VLOOKUP(Q772,Maps!I:J,2,0)</f>
        <v>#N/A</v>
      </c>
      <c r="I772" s="7" t="e">
        <f>+VLOOKUP(T772,Maps!E:F,2,0)</f>
        <v>#N/A</v>
      </c>
    </row>
    <row r="773" spans="1:9" ht="14.25" customHeight="1" x14ac:dyDescent="0.35">
      <c r="A773" s="7" t="str">
        <f t="array" ref="A773">EXTRACTEVENT(N773,V773)</f>
        <v/>
      </c>
      <c r="B773" s="7" t="str">
        <f t="shared" si="36"/>
        <v/>
      </c>
      <c r="C773" s="7"/>
      <c r="D773" s="7" t="str">
        <f t="shared" si="37"/>
        <v>E</v>
      </c>
      <c r="E773" s="10">
        <f t="shared" si="38"/>
        <v>0</v>
      </c>
      <c r="F773" s="7" t="e">
        <f t="array" ref="F773">+TIPOARMA(H773,I773)</f>
        <v>#VALUE!</v>
      </c>
      <c r="G773" s="7"/>
      <c r="H773" s="7" t="e">
        <f>+VLOOKUP(Q773,Maps!I:J,2,0)</f>
        <v>#N/A</v>
      </c>
      <c r="I773" s="7" t="e">
        <f>+VLOOKUP(T773,Maps!E:F,2,0)</f>
        <v>#N/A</v>
      </c>
    </row>
    <row r="774" spans="1:9" ht="14.25" customHeight="1" x14ac:dyDescent="0.35">
      <c r="A774" s="7" t="str">
        <f t="array" ref="A774">EXTRACTEVENT(N774,V774)</f>
        <v/>
      </c>
      <c r="B774" s="7" t="str">
        <f t="shared" si="36"/>
        <v/>
      </c>
      <c r="C774" s="7"/>
      <c r="D774" s="7" t="str">
        <f t="shared" si="37"/>
        <v>E</v>
      </c>
      <c r="E774" s="10">
        <f t="shared" si="38"/>
        <v>0</v>
      </c>
      <c r="F774" s="7" t="e">
        <f t="array" ref="F774">+TIPOARMA(H774,I774)</f>
        <v>#VALUE!</v>
      </c>
      <c r="G774" s="7"/>
      <c r="H774" s="7" t="e">
        <f>+VLOOKUP(Q774,Maps!I:J,2,0)</f>
        <v>#N/A</v>
      </c>
      <c r="I774" s="7" t="e">
        <f>+VLOOKUP(T774,Maps!E:F,2,0)</f>
        <v>#N/A</v>
      </c>
    </row>
    <row r="775" spans="1:9" ht="14.25" customHeight="1" x14ac:dyDescent="0.35">
      <c r="A775" s="7" t="str">
        <f t="array" ref="A775">EXTRACTEVENT(N775,V775)</f>
        <v/>
      </c>
      <c r="B775" s="7" t="str">
        <f t="shared" si="36"/>
        <v/>
      </c>
      <c r="C775" s="7"/>
      <c r="D775" s="7" t="str">
        <f t="shared" si="37"/>
        <v>E</v>
      </c>
      <c r="E775" s="10">
        <f t="shared" si="38"/>
        <v>0</v>
      </c>
      <c r="F775" s="7" t="e">
        <f t="array" ref="F775">+TIPOARMA(H775,I775)</f>
        <v>#VALUE!</v>
      </c>
      <c r="G775" s="7"/>
      <c r="H775" s="7" t="e">
        <f>+VLOOKUP(Q775,Maps!I:J,2,0)</f>
        <v>#N/A</v>
      </c>
      <c r="I775" s="7" t="e">
        <f>+VLOOKUP(T775,Maps!E:F,2,0)</f>
        <v>#N/A</v>
      </c>
    </row>
    <row r="776" spans="1:9" ht="14.25" customHeight="1" x14ac:dyDescent="0.35">
      <c r="A776" s="7" t="str">
        <f t="array" ref="A776">EXTRACTEVENT(N776,V776)</f>
        <v/>
      </c>
      <c r="B776" s="7" t="str">
        <f t="shared" si="36"/>
        <v/>
      </c>
      <c r="C776" s="7"/>
      <c r="D776" s="7" t="str">
        <f t="shared" si="37"/>
        <v>E</v>
      </c>
      <c r="E776" s="10">
        <f t="shared" si="38"/>
        <v>0</v>
      </c>
      <c r="F776" s="7" t="e">
        <f t="array" ref="F776">+TIPOARMA(H776,I776)</f>
        <v>#VALUE!</v>
      </c>
      <c r="G776" s="7"/>
      <c r="H776" s="7" t="e">
        <f>+VLOOKUP(Q776,Maps!I:J,2,0)</f>
        <v>#N/A</v>
      </c>
      <c r="I776" s="7" t="e">
        <f>+VLOOKUP(T776,Maps!E:F,2,0)</f>
        <v>#N/A</v>
      </c>
    </row>
    <row r="777" spans="1:9" ht="14.25" customHeight="1" x14ac:dyDescent="0.35">
      <c r="A777" s="7" t="str">
        <f t="array" ref="A777">EXTRACTEVENT(N777,V777)</f>
        <v/>
      </c>
      <c r="B777" s="7" t="str">
        <f t="shared" si="36"/>
        <v/>
      </c>
      <c r="C777" s="7"/>
      <c r="D777" s="7" t="str">
        <f t="shared" si="37"/>
        <v>E</v>
      </c>
      <c r="E777" s="10">
        <f t="shared" si="38"/>
        <v>0</v>
      </c>
      <c r="F777" s="7" t="e">
        <f t="array" ref="F777">+TIPOARMA(H777,I777)</f>
        <v>#VALUE!</v>
      </c>
      <c r="G777" s="7"/>
      <c r="H777" s="7" t="e">
        <f>+VLOOKUP(Q777,Maps!I:J,2,0)</f>
        <v>#N/A</v>
      </c>
      <c r="I777" s="7" t="e">
        <f>+VLOOKUP(T777,Maps!E:F,2,0)</f>
        <v>#N/A</v>
      </c>
    </row>
    <row r="778" spans="1:9" ht="14.25" customHeight="1" x14ac:dyDescent="0.35">
      <c r="A778" s="7" t="str">
        <f t="array" ref="A778">EXTRACTEVENT(N778,V778)</f>
        <v/>
      </c>
      <c r="B778" s="7" t="str">
        <f t="shared" si="36"/>
        <v/>
      </c>
      <c r="C778" s="7"/>
      <c r="D778" s="7" t="str">
        <f t="shared" si="37"/>
        <v>E</v>
      </c>
      <c r="E778" s="10">
        <f t="shared" si="38"/>
        <v>0</v>
      </c>
      <c r="F778" s="7" t="e">
        <f t="array" ref="F778">+TIPOARMA(H778,I778)</f>
        <v>#VALUE!</v>
      </c>
      <c r="G778" s="7"/>
      <c r="H778" s="7" t="e">
        <f>+VLOOKUP(Q778,Maps!I:J,2,0)</f>
        <v>#N/A</v>
      </c>
      <c r="I778" s="7" t="e">
        <f>+VLOOKUP(T778,Maps!E:F,2,0)</f>
        <v>#N/A</v>
      </c>
    </row>
    <row r="779" spans="1:9" ht="14.25" customHeight="1" x14ac:dyDescent="0.35">
      <c r="A779" s="7" t="str">
        <f t="array" ref="A779">EXTRACTEVENT(N779,V779)</f>
        <v/>
      </c>
      <c r="B779" s="7" t="str">
        <f t="shared" si="36"/>
        <v/>
      </c>
      <c r="C779" s="7"/>
      <c r="D779" s="7" t="str">
        <f t="shared" si="37"/>
        <v>E</v>
      </c>
      <c r="E779" s="10">
        <f t="shared" si="38"/>
        <v>0</v>
      </c>
      <c r="F779" s="7" t="e">
        <f t="array" ref="F779">+TIPOARMA(H779,I779)</f>
        <v>#VALUE!</v>
      </c>
      <c r="G779" s="7"/>
      <c r="H779" s="7" t="e">
        <f>+VLOOKUP(Q779,Maps!I:J,2,0)</f>
        <v>#N/A</v>
      </c>
      <c r="I779" s="7" t="e">
        <f>+VLOOKUP(T779,Maps!E:F,2,0)</f>
        <v>#N/A</v>
      </c>
    </row>
    <row r="780" spans="1:9" ht="14.25" customHeight="1" x14ac:dyDescent="0.35">
      <c r="A780" s="7" t="str">
        <f t="array" ref="A780">EXTRACTEVENT(N780,V780)</f>
        <v/>
      </c>
      <c r="B780" s="7" t="str">
        <f t="shared" si="36"/>
        <v/>
      </c>
      <c r="C780" s="7"/>
      <c r="D780" s="7" t="str">
        <f t="shared" si="37"/>
        <v>E</v>
      </c>
      <c r="E780" s="10">
        <f t="shared" si="38"/>
        <v>0</v>
      </c>
      <c r="F780" s="7" t="e">
        <f t="array" ref="F780">+TIPOARMA(H780,I780)</f>
        <v>#VALUE!</v>
      </c>
      <c r="G780" s="7"/>
      <c r="H780" s="7" t="e">
        <f>+VLOOKUP(Q780,Maps!I:J,2,0)</f>
        <v>#N/A</v>
      </c>
      <c r="I780" s="7" t="e">
        <f>+VLOOKUP(T780,Maps!E:F,2,0)</f>
        <v>#N/A</v>
      </c>
    </row>
    <row r="781" spans="1:9" ht="14.25" customHeight="1" x14ac:dyDescent="0.35">
      <c r="A781" s="7" t="str">
        <f t="array" ref="A781">EXTRACTEVENT(N781,V781)</f>
        <v/>
      </c>
      <c r="B781" s="7" t="str">
        <f t="shared" si="36"/>
        <v/>
      </c>
      <c r="C781" s="7"/>
      <c r="D781" s="7" t="str">
        <f t="shared" si="37"/>
        <v>E</v>
      </c>
      <c r="E781" s="10">
        <f t="shared" si="38"/>
        <v>0</v>
      </c>
      <c r="F781" s="7" t="e">
        <f t="array" ref="F781">+TIPOARMA(H781,I781)</f>
        <v>#VALUE!</v>
      </c>
      <c r="G781" s="7"/>
      <c r="H781" s="7" t="e">
        <f>+VLOOKUP(Q781,Maps!I:J,2,0)</f>
        <v>#N/A</v>
      </c>
      <c r="I781" s="7" t="e">
        <f>+VLOOKUP(T781,Maps!E:F,2,0)</f>
        <v>#N/A</v>
      </c>
    </row>
    <row r="782" spans="1:9" ht="14.25" customHeight="1" x14ac:dyDescent="0.35">
      <c r="A782" s="7" t="str">
        <f t="array" ref="A782">EXTRACTEVENT(N782,V782)</f>
        <v/>
      </c>
      <c r="B782" s="7" t="str">
        <f t="shared" si="36"/>
        <v/>
      </c>
      <c r="C782" s="7"/>
      <c r="D782" s="7" t="str">
        <f t="shared" si="37"/>
        <v>E</v>
      </c>
      <c r="E782" s="10">
        <f t="shared" si="38"/>
        <v>0</v>
      </c>
      <c r="F782" s="7" t="e">
        <f t="array" ref="F782">+TIPOARMA(H782,I782)</f>
        <v>#VALUE!</v>
      </c>
      <c r="G782" s="7"/>
      <c r="H782" s="7" t="e">
        <f>+VLOOKUP(Q782,Maps!I:J,2,0)</f>
        <v>#N/A</v>
      </c>
      <c r="I782" s="7" t="e">
        <f>+VLOOKUP(T782,Maps!E:F,2,0)</f>
        <v>#N/A</v>
      </c>
    </row>
    <row r="783" spans="1:9" ht="14.25" customHeight="1" x14ac:dyDescent="0.35">
      <c r="A783" s="7" t="str">
        <f t="array" ref="A783">EXTRACTEVENT(N783,V783)</f>
        <v/>
      </c>
      <c r="B783" s="7" t="str">
        <f t="shared" si="36"/>
        <v/>
      </c>
      <c r="C783" s="7"/>
      <c r="D783" s="7" t="str">
        <f t="shared" si="37"/>
        <v>E</v>
      </c>
      <c r="E783" s="10">
        <f t="shared" si="38"/>
        <v>0</v>
      </c>
      <c r="F783" s="7" t="e">
        <f t="array" ref="F783">+TIPOARMA(H783,I783)</f>
        <v>#VALUE!</v>
      </c>
      <c r="G783" s="7"/>
      <c r="H783" s="7" t="e">
        <f>+VLOOKUP(Q783,Maps!I:J,2,0)</f>
        <v>#N/A</v>
      </c>
      <c r="I783" s="7" t="e">
        <f>+VLOOKUP(T783,Maps!E:F,2,0)</f>
        <v>#N/A</v>
      </c>
    </row>
    <row r="784" spans="1:9" ht="14.25" customHeight="1" x14ac:dyDescent="0.35">
      <c r="A784" s="7" t="str">
        <f t="array" ref="A784">EXTRACTEVENT(N784,V784)</f>
        <v/>
      </c>
      <c r="B784" s="7" t="str">
        <f t="shared" si="36"/>
        <v/>
      </c>
      <c r="C784" s="7"/>
      <c r="D784" s="7" t="str">
        <f t="shared" si="37"/>
        <v>E</v>
      </c>
      <c r="E784" s="10">
        <f t="shared" si="38"/>
        <v>0</v>
      </c>
      <c r="F784" s="7" t="e">
        <f t="array" ref="F784">+TIPOARMA(H784,I784)</f>
        <v>#VALUE!</v>
      </c>
      <c r="G784" s="7"/>
      <c r="H784" s="7" t="e">
        <f>+VLOOKUP(Q784,Maps!I:J,2,0)</f>
        <v>#N/A</v>
      </c>
      <c r="I784" s="7" t="e">
        <f>+VLOOKUP(T784,Maps!E:F,2,0)</f>
        <v>#N/A</v>
      </c>
    </row>
    <row r="785" spans="1:9" ht="14.25" customHeight="1" x14ac:dyDescent="0.35">
      <c r="A785" s="7" t="str">
        <f t="array" ref="A785">EXTRACTEVENT(N785,V785)</f>
        <v/>
      </c>
      <c r="B785" s="7" t="str">
        <f t="shared" si="36"/>
        <v/>
      </c>
      <c r="C785" s="7"/>
      <c r="D785" s="7" t="str">
        <f t="shared" si="37"/>
        <v>E</v>
      </c>
      <c r="E785" s="10">
        <f t="shared" si="38"/>
        <v>0</v>
      </c>
      <c r="F785" s="7" t="e">
        <f t="array" ref="F785">+TIPOARMA(H785,I785)</f>
        <v>#VALUE!</v>
      </c>
      <c r="G785" s="7"/>
      <c r="H785" s="7" t="e">
        <f>+VLOOKUP(Q785,Maps!I:J,2,0)</f>
        <v>#N/A</v>
      </c>
      <c r="I785" s="7" t="e">
        <f>+VLOOKUP(T785,Maps!E:F,2,0)</f>
        <v>#N/A</v>
      </c>
    </row>
    <row r="786" spans="1:9" ht="14.25" customHeight="1" x14ac:dyDescent="0.35">
      <c r="A786" s="7" t="str">
        <f t="array" ref="A786">EXTRACTEVENT(N786,V786)</f>
        <v/>
      </c>
      <c r="B786" s="7" t="str">
        <f t="shared" si="36"/>
        <v/>
      </c>
      <c r="C786" s="7"/>
      <c r="D786" s="7" t="str">
        <f t="shared" si="37"/>
        <v>E</v>
      </c>
      <c r="E786" s="10">
        <f t="shared" si="38"/>
        <v>0</v>
      </c>
      <c r="F786" s="7" t="e">
        <f t="array" ref="F786">+TIPOARMA(H786,I786)</f>
        <v>#VALUE!</v>
      </c>
      <c r="G786" s="7"/>
      <c r="H786" s="7" t="e">
        <f>+VLOOKUP(Q786,Maps!I:J,2,0)</f>
        <v>#N/A</v>
      </c>
      <c r="I786" s="7" t="e">
        <f>+VLOOKUP(T786,Maps!E:F,2,0)</f>
        <v>#N/A</v>
      </c>
    </row>
    <row r="787" spans="1:9" ht="14.25" customHeight="1" x14ac:dyDescent="0.35">
      <c r="A787" s="7" t="str">
        <f t="array" ref="A787">EXTRACTEVENT(N787,V787)</f>
        <v/>
      </c>
      <c r="B787" s="7" t="str">
        <f t="shared" si="36"/>
        <v/>
      </c>
      <c r="C787" s="7"/>
      <c r="D787" s="7" t="str">
        <f t="shared" si="37"/>
        <v>E</v>
      </c>
      <c r="E787" s="10">
        <f t="shared" si="38"/>
        <v>0</v>
      </c>
      <c r="F787" s="7" t="e">
        <f t="array" ref="F787">+TIPOARMA(H787,I787)</f>
        <v>#VALUE!</v>
      </c>
      <c r="G787" s="7"/>
      <c r="H787" s="7" t="e">
        <f>+VLOOKUP(Q787,Maps!I:J,2,0)</f>
        <v>#N/A</v>
      </c>
      <c r="I787" s="7" t="e">
        <f>+VLOOKUP(T787,Maps!E:F,2,0)</f>
        <v>#N/A</v>
      </c>
    </row>
    <row r="788" spans="1:9" ht="14.25" customHeight="1" x14ac:dyDescent="0.35">
      <c r="A788" s="7" t="str">
        <f t="array" ref="A788">EXTRACTEVENT(N788,V788)</f>
        <v/>
      </c>
      <c r="B788" s="7" t="str">
        <f t="shared" si="36"/>
        <v/>
      </c>
      <c r="C788" s="7"/>
      <c r="D788" s="7" t="str">
        <f t="shared" si="37"/>
        <v>E</v>
      </c>
      <c r="E788" s="10">
        <f t="shared" si="38"/>
        <v>0</v>
      </c>
      <c r="F788" s="7" t="e">
        <f t="array" ref="F788">+TIPOARMA(H788,I788)</f>
        <v>#VALUE!</v>
      </c>
      <c r="G788" s="7"/>
      <c r="H788" s="7" t="e">
        <f>+VLOOKUP(Q788,Maps!I:J,2,0)</f>
        <v>#N/A</v>
      </c>
      <c r="I788" s="7" t="e">
        <f>+VLOOKUP(T788,Maps!E:F,2,0)</f>
        <v>#N/A</v>
      </c>
    </row>
    <row r="789" spans="1:9" ht="14.25" customHeight="1" x14ac:dyDescent="0.35">
      <c r="A789" s="7" t="str">
        <f t="array" ref="A789">EXTRACTEVENT(N789,V789)</f>
        <v/>
      </c>
      <c r="B789" s="7" t="str">
        <f t="shared" si="36"/>
        <v/>
      </c>
      <c r="C789" s="7"/>
      <c r="D789" s="7" t="str">
        <f t="shared" si="37"/>
        <v>E</v>
      </c>
      <c r="E789" s="10">
        <f t="shared" si="38"/>
        <v>0</v>
      </c>
      <c r="F789" s="7" t="e">
        <f t="array" ref="F789">+TIPOARMA(H789,I789)</f>
        <v>#VALUE!</v>
      </c>
      <c r="G789" s="7"/>
      <c r="H789" s="7" t="e">
        <f>+VLOOKUP(Q789,Maps!I:J,2,0)</f>
        <v>#N/A</v>
      </c>
      <c r="I789" s="7" t="e">
        <f>+VLOOKUP(T789,Maps!E:F,2,0)</f>
        <v>#N/A</v>
      </c>
    </row>
    <row r="790" spans="1:9" ht="14.25" customHeight="1" x14ac:dyDescent="0.35">
      <c r="A790" s="7" t="str">
        <f t="array" ref="A790">EXTRACTEVENT(N790,V790)</f>
        <v/>
      </c>
      <c r="B790" s="7" t="str">
        <f t="shared" si="36"/>
        <v/>
      </c>
      <c r="C790" s="7"/>
      <c r="D790" s="7" t="str">
        <f t="shared" si="37"/>
        <v>E</v>
      </c>
      <c r="E790" s="10">
        <f t="shared" si="38"/>
        <v>0</v>
      </c>
      <c r="F790" s="7" t="e">
        <f t="array" ref="F790">+TIPOARMA(H790,I790)</f>
        <v>#VALUE!</v>
      </c>
      <c r="G790" s="7"/>
      <c r="H790" s="7" t="e">
        <f>+VLOOKUP(Q790,Maps!I:J,2,0)</f>
        <v>#N/A</v>
      </c>
      <c r="I790" s="7" t="e">
        <f>+VLOOKUP(T790,Maps!E:F,2,0)</f>
        <v>#N/A</v>
      </c>
    </row>
    <row r="791" spans="1:9" ht="14.25" customHeight="1" x14ac:dyDescent="0.35">
      <c r="A791" s="7" t="str">
        <f t="array" ref="A791">EXTRACTEVENT(N791,V791)</f>
        <v/>
      </c>
      <c r="B791" s="7" t="str">
        <f t="shared" si="36"/>
        <v/>
      </c>
      <c r="C791" s="7"/>
      <c r="D791" s="7" t="str">
        <f t="shared" si="37"/>
        <v>E</v>
      </c>
      <c r="E791" s="10">
        <f t="shared" si="38"/>
        <v>0</v>
      </c>
      <c r="F791" s="7" t="e">
        <f t="array" ref="F791">+TIPOARMA(H791,I791)</f>
        <v>#VALUE!</v>
      </c>
      <c r="G791" s="7"/>
      <c r="H791" s="7" t="e">
        <f>+VLOOKUP(Q791,Maps!I:J,2,0)</f>
        <v>#N/A</v>
      </c>
      <c r="I791" s="7" t="e">
        <f>+VLOOKUP(T791,Maps!E:F,2,0)</f>
        <v>#N/A</v>
      </c>
    </row>
    <row r="792" spans="1:9" ht="14.25" customHeight="1" x14ac:dyDescent="0.35">
      <c r="A792" s="7" t="str">
        <f t="array" ref="A792">EXTRACTEVENT(N792,V792)</f>
        <v/>
      </c>
      <c r="B792" s="7" t="str">
        <f t="shared" si="36"/>
        <v/>
      </c>
      <c r="C792" s="7"/>
      <c r="D792" s="7" t="str">
        <f t="shared" si="37"/>
        <v>E</v>
      </c>
      <c r="E792" s="10">
        <f t="shared" si="38"/>
        <v>0</v>
      </c>
      <c r="F792" s="7" t="e">
        <f t="array" ref="F792">+TIPOARMA(H792,I792)</f>
        <v>#VALUE!</v>
      </c>
      <c r="G792" s="7"/>
      <c r="H792" s="7" t="e">
        <f>+VLOOKUP(Q792,Maps!I:J,2,0)</f>
        <v>#N/A</v>
      </c>
      <c r="I792" s="7" t="e">
        <f>+VLOOKUP(T792,Maps!E:F,2,0)</f>
        <v>#N/A</v>
      </c>
    </row>
    <row r="793" spans="1:9" ht="14.25" customHeight="1" x14ac:dyDescent="0.35">
      <c r="A793" s="7" t="str">
        <f t="array" ref="A793">EXTRACTEVENT(N793,V793)</f>
        <v/>
      </c>
      <c r="B793" s="7" t="str">
        <f t="shared" si="36"/>
        <v/>
      </c>
      <c r="C793" s="7"/>
      <c r="D793" s="7" t="str">
        <f t="shared" si="37"/>
        <v>E</v>
      </c>
      <c r="E793" s="10">
        <f t="shared" si="38"/>
        <v>0</v>
      </c>
      <c r="F793" s="7" t="e">
        <f t="array" ref="F793">+TIPOARMA(H793,I793)</f>
        <v>#VALUE!</v>
      </c>
      <c r="G793" s="7"/>
      <c r="H793" s="7" t="e">
        <f>+VLOOKUP(Q793,Maps!I:J,2,0)</f>
        <v>#N/A</v>
      </c>
      <c r="I793" s="7" t="e">
        <f>+VLOOKUP(T793,Maps!E:F,2,0)</f>
        <v>#N/A</v>
      </c>
    </row>
    <row r="794" spans="1:9" ht="14.25" customHeight="1" x14ac:dyDescent="0.35">
      <c r="A794" s="7" t="str">
        <f t="array" ref="A794">EXTRACTEVENT(N794,V794)</f>
        <v/>
      </c>
      <c r="B794" s="7" t="str">
        <f t="shared" si="36"/>
        <v/>
      </c>
      <c r="C794" s="7"/>
      <c r="D794" s="7" t="str">
        <f t="shared" si="37"/>
        <v>E</v>
      </c>
      <c r="E794" s="10">
        <f t="shared" si="38"/>
        <v>0</v>
      </c>
      <c r="F794" s="7" t="e">
        <f t="array" ref="F794">+TIPOARMA(H794,I794)</f>
        <v>#VALUE!</v>
      </c>
      <c r="G794" s="7"/>
      <c r="H794" s="7" t="e">
        <f>+VLOOKUP(Q794,Maps!I:J,2,0)</f>
        <v>#N/A</v>
      </c>
      <c r="I794" s="7" t="e">
        <f>+VLOOKUP(T794,Maps!E:F,2,0)</f>
        <v>#N/A</v>
      </c>
    </row>
    <row r="795" spans="1:9" ht="14.25" customHeight="1" x14ac:dyDescent="0.35">
      <c r="A795" s="7" t="str">
        <f t="array" ref="A795">EXTRACTEVENT(N795,V795)</f>
        <v/>
      </c>
      <c r="B795" s="7" t="str">
        <f t="shared" si="36"/>
        <v/>
      </c>
      <c r="C795" s="7"/>
      <c r="D795" s="7" t="str">
        <f t="shared" si="37"/>
        <v>E</v>
      </c>
      <c r="E795" s="10">
        <f t="shared" si="38"/>
        <v>0</v>
      </c>
      <c r="F795" s="7" t="e">
        <f t="array" ref="F795">+TIPOARMA(H795,I795)</f>
        <v>#VALUE!</v>
      </c>
      <c r="G795" s="7"/>
      <c r="H795" s="7" t="e">
        <f>+VLOOKUP(Q795,Maps!I:J,2,0)</f>
        <v>#N/A</v>
      </c>
      <c r="I795" s="7" t="e">
        <f>+VLOOKUP(T795,Maps!E:F,2,0)</f>
        <v>#N/A</v>
      </c>
    </row>
    <row r="796" spans="1:9" ht="14.25" customHeight="1" x14ac:dyDescent="0.35">
      <c r="A796" s="7" t="str">
        <f t="array" ref="A796">EXTRACTEVENT(N796,V796)</f>
        <v/>
      </c>
      <c r="B796" s="7" t="str">
        <f t="shared" si="36"/>
        <v/>
      </c>
      <c r="C796" s="7"/>
      <c r="D796" s="7" t="str">
        <f t="shared" si="37"/>
        <v>E</v>
      </c>
      <c r="E796" s="10">
        <f t="shared" si="38"/>
        <v>0</v>
      </c>
      <c r="F796" s="7" t="e">
        <f t="array" ref="F796">+TIPOARMA(H796,I796)</f>
        <v>#VALUE!</v>
      </c>
      <c r="G796" s="7"/>
      <c r="H796" s="7" t="e">
        <f>+VLOOKUP(Q796,Maps!I:J,2,0)</f>
        <v>#N/A</v>
      </c>
      <c r="I796" s="7" t="e">
        <f>+VLOOKUP(T796,Maps!E:F,2,0)</f>
        <v>#N/A</v>
      </c>
    </row>
    <row r="797" spans="1:9" ht="14.25" customHeight="1" x14ac:dyDescent="0.35">
      <c r="A797" s="7" t="str">
        <f t="array" ref="A797">EXTRACTEVENT(N797,V797)</f>
        <v/>
      </c>
      <c r="B797" s="7" t="str">
        <f t="shared" si="36"/>
        <v/>
      </c>
      <c r="C797" s="7"/>
      <c r="D797" s="7" t="str">
        <f t="shared" si="37"/>
        <v>E</v>
      </c>
      <c r="E797" s="10">
        <f t="shared" si="38"/>
        <v>0</v>
      </c>
      <c r="F797" s="7" t="e">
        <f t="array" ref="F797">+TIPOARMA(H797,I797)</f>
        <v>#VALUE!</v>
      </c>
      <c r="G797" s="7"/>
      <c r="H797" s="7" t="e">
        <f>+VLOOKUP(Q797,Maps!I:J,2,0)</f>
        <v>#N/A</v>
      </c>
      <c r="I797" s="7" t="e">
        <f>+VLOOKUP(T797,Maps!E:F,2,0)</f>
        <v>#N/A</v>
      </c>
    </row>
    <row r="798" spans="1:9" ht="14.25" customHeight="1" x14ac:dyDescent="0.35">
      <c r="A798" s="7" t="str">
        <f t="array" ref="A798">EXTRACTEVENT(N798,V798)</f>
        <v/>
      </c>
      <c r="B798" s="7" t="str">
        <f t="shared" si="36"/>
        <v/>
      </c>
      <c r="C798" s="7"/>
      <c r="D798" s="7" t="str">
        <f t="shared" si="37"/>
        <v>E</v>
      </c>
      <c r="E798" s="10">
        <f t="shared" si="38"/>
        <v>0</v>
      </c>
      <c r="F798" s="7" t="e">
        <f t="array" ref="F798">+TIPOARMA(H798,I798)</f>
        <v>#VALUE!</v>
      </c>
      <c r="G798" s="7"/>
      <c r="H798" s="7" t="e">
        <f>+VLOOKUP(Q798,Maps!I:J,2,0)</f>
        <v>#N/A</v>
      </c>
      <c r="I798" s="7" t="e">
        <f>+VLOOKUP(T798,Maps!E:F,2,0)</f>
        <v>#N/A</v>
      </c>
    </row>
    <row r="799" spans="1:9" ht="14.25" customHeight="1" x14ac:dyDescent="0.35">
      <c r="A799" s="7" t="str">
        <f t="array" ref="A799">EXTRACTEVENT(N799,V799)</f>
        <v/>
      </c>
      <c r="B799" s="7" t="str">
        <f t="shared" si="36"/>
        <v/>
      </c>
      <c r="C799" s="7"/>
      <c r="D799" s="7" t="str">
        <f t="shared" si="37"/>
        <v>E</v>
      </c>
      <c r="E799" s="10">
        <f t="shared" si="38"/>
        <v>0</v>
      </c>
      <c r="F799" s="7" t="e">
        <f t="array" ref="F799">+TIPOARMA(H799,I799)</f>
        <v>#VALUE!</v>
      </c>
      <c r="G799" s="7"/>
      <c r="H799" s="7" t="e">
        <f>+VLOOKUP(Q799,Maps!I:J,2,0)</f>
        <v>#N/A</v>
      </c>
      <c r="I799" s="7" t="e">
        <f>+VLOOKUP(T799,Maps!E:F,2,0)</f>
        <v>#N/A</v>
      </c>
    </row>
    <row r="800" spans="1:9" ht="14.25" customHeight="1" x14ac:dyDescent="0.35">
      <c r="A800" s="7" t="str">
        <f t="array" ref="A800">EXTRACTEVENT(N800,V800)</f>
        <v/>
      </c>
      <c r="B800" s="7" t="str">
        <f t="shared" si="36"/>
        <v/>
      </c>
      <c r="C800" s="7"/>
      <c r="D800" s="7" t="str">
        <f t="shared" si="37"/>
        <v>E</v>
      </c>
      <c r="E800" s="10">
        <f t="shared" si="38"/>
        <v>0</v>
      </c>
      <c r="F800" s="7" t="e">
        <f t="array" ref="F800">+TIPOARMA(H800,I800)</f>
        <v>#VALUE!</v>
      </c>
      <c r="G800" s="7"/>
      <c r="H800" s="7" t="e">
        <f>+VLOOKUP(Q800,Maps!I:J,2,0)</f>
        <v>#N/A</v>
      </c>
      <c r="I800" s="7" t="e">
        <f>+VLOOKUP(T800,Maps!E:F,2,0)</f>
        <v>#N/A</v>
      </c>
    </row>
    <row r="801" spans="1:9" ht="14.25" customHeight="1" x14ac:dyDescent="0.35">
      <c r="A801" s="7" t="str">
        <f t="array" ref="A801">EXTRACTEVENT(N801,V801)</f>
        <v/>
      </c>
      <c r="B801" s="7" t="str">
        <f t="shared" si="36"/>
        <v/>
      </c>
      <c r="C801" s="7"/>
      <c r="D801" s="7" t="str">
        <f t="shared" si="37"/>
        <v>E</v>
      </c>
      <c r="E801" s="10">
        <f t="shared" si="38"/>
        <v>0</v>
      </c>
      <c r="F801" s="7" t="e">
        <f t="array" ref="F801">+TIPOARMA(H801,I801)</f>
        <v>#VALUE!</v>
      </c>
      <c r="G801" s="7"/>
      <c r="H801" s="7" t="e">
        <f>+VLOOKUP(Q801,Maps!I:J,2,0)</f>
        <v>#N/A</v>
      </c>
      <c r="I801" s="7" t="e">
        <f>+VLOOKUP(T801,Maps!E:F,2,0)</f>
        <v>#N/A</v>
      </c>
    </row>
    <row r="802" spans="1:9" ht="14.25" customHeight="1" x14ac:dyDescent="0.35">
      <c r="A802" s="7" t="str">
        <f t="array" ref="A802">EXTRACTEVENT(N802,V802)</f>
        <v/>
      </c>
      <c r="B802" s="7" t="str">
        <f t="shared" si="36"/>
        <v/>
      </c>
      <c r="C802" s="7"/>
      <c r="D802" s="7" t="str">
        <f t="shared" si="37"/>
        <v>E</v>
      </c>
      <c r="E802" s="10">
        <f t="shared" si="38"/>
        <v>0</v>
      </c>
      <c r="F802" s="7" t="e">
        <f t="array" ref="F802">+TIPOARMA(H802,I802)</f>
        <v>#VALUE!</v>
      </c>
      <c r="G802" s="7"/>
      <c r="H802" s="7" t="e">
        <f>+VLOOKUP(Q802,Maps!I:J,2,0)</f>
        <v>#N/A</v>
      </c>
      <c r="I802" s="7" t="e">
        <f>+VLOOKUP(T802,Maps!E:F,2,0)</f>
        <v>#N/A</v>
      </c>
    </row>
    <row r="803" spans="1:9" ht="14.25" customHeight="1" x14ac:dyDescent="0.35">
      <c r="A803" s="7" t="str">
        <f t="array" ref="A803">EXTRACTEVENT(N803,V803)</f>
        <v/>
      </c>
      <c r="B803" s="7" t="str">
        <f t="shared" si="36"/>
        <v/>
      </c>
      <c r="C803" s="7"/>
      <c r="D803" s="7" t="str">
        <f t="shared" si="37"/>
        <v>E</v>
      </c>
      <c r="E803" s="10">
        <f t="shared" si="38"/>
        <v>0</v>
      </c>
      <c r="F803" s="7" t="e">
        <f t="array" ref="F803">+TIPOARMA(H803,I803)</f>
        <v>#VALUE!</v>
      </c>
      <c r="G803" s="7"/>
      <c r="H803" s="7" t="e">
        <f>+VLOOKUP(Q803,Maps!I:J,2,0)</f>
        <v>#N/A</v>
      </c>
      <c r="I803" s="7" t="e">
        <f>+VLOOKUP(T803,Maps!E:F,2,0)</f>
        <v>#N/A</v>
      </c>
    </row>
    <row r="804" spans="1:9" ht="14.25" customHeight="1" x14ac:dyDescent="0.35">
      <c r="A804" s="7" t="str">
        <f t="array" ref="A804">EXTRACTEVENT(N804,V804)</f>
        <v/>
      </c>
      <c r="B804" s="7" t="str">
        <f t="shared" si="36"/>
        <v/>
      </c>
      <c r="C804" s="7"/>
      <c r="D804" s="7" t="str">
        <f t="shared" si="37"/>
        <v>E</v>
      </c>
      <c r="E804" s="10">
        <f t="shared" si="38"/>
        <v>0</v>
      </c>
      <c r="F804" s="7" t="e">
        <f t="array" ref="F804">+TIPOARMA(H804,I804)</f>
        <v>#VALUE!</v>
      </c>
      <c r="G804" s="7"/>
      <c r="H804" s="7" t="e">
        <f>+VLOOKUP(Q804,Maps!I:J,2,0)</f>
        <v>#N/A</v>
      </c>
      <c r="I804" s="7" t="e">
        <f>+VLOOKUP(T804,Maps!E:F,2,0)</f>
        <v>#N/A</v>
      </c>
    </row>
    <row r="805" spans="1:9" ht="14.25" customHeight="1" x14ac:dyDescent="0.35">
      <c r="A805" s="7" t="str">
        <f t="array" ref="A805">EXTRACTEVENT(N805,V805)</f>
        <v/>
      </c>
      <c r="B805" s="7" t="str">
        <f t="shared" si="36"/>
        <v/>
      </c>
      <c r="C805" s="7"/>
      <c r="D805" s="7" t="str">
        <f t="shared" si="37"/>
        <v>E</v>
      </c>
      <c r="E805" s="10">
        <f t="shared" si="38"/>
        <v>0</v>
      </c>
      <c r="F805" s="7" t="e">
        <f t="array" ref="F805">+TIPOARMA(H805,I805)</f>
        <v>#VALUE!</v>
      </c>
      <c r="G805" s="7"/>
      <c r="H805" s="7" t="e">
        <f>+VLOOKUP(Q805,Maps!I:J,2,0)</f>
        <v>#N/A</v>
      </c>
      <c r="I805" s="7" t="e">
        <f>+VLOOKUP(T805,Maps!E:F,2,0)</f>
        <v>#N/A</v>
      </c>
    </row>
    <row r="806" spans="1:9" ht="14.25" customHeight="1" x14ac:dyDescent="0.35">
      <c r="A806" s="7" t="str">
        <f t="array" ref="A806">EXTRACTEVENT(N806,V806)</f>
        <v/>
      </c>
      <c r="B806" s="7" t="str">
        <f t="shared" si="36"/>
        <v/>
      </c>
      <c r="C806" s="7"/>
      <c r="D806" s="7" t="str">
        <f t="shared" si="37"/>
        <v>E</v>
      </c>
      <c r="E806" s="10">
        <f t="shared" si="38"/>
        <v>0</v>
      </c>
      <c r="F806" s="7" t="e">
        <f t="array" ref="F806">+TIPOARMA(H806,I806)</f>
        <v>#VALUE!</v>
      </c>
      <c r="G806" s="7"/>
      <c r="H806" s="7" t="e">
        <f>+VLOOKUP(Q806,Maps!I:J,2,0)</f>
        <v>#N/A</v>
      </c>
      <c r="I806" s="7" t="e">
        <f>+VLOOKUP(T806,Maps!E:F,2,0)</f>
        <v>#N/A</v>
      </c>
    </row>
    <row r="807" spans="1:9" ht="14.25" customHeight="1" x14ac:dyDescent="0.35">
      <c r="A807" s="7" t="str">
        <f t="array" ref="A807">EXTRACTEVENT(N807,V807)</f>
        <v/>
      </c>
      <c r="B807" s="7" t="str">
        <f t="shared" si="36"/>
        <v/>
      </c>
      <c r="C807" s="7"/>
      <c r="D807" s="7" t="str">
        <f t="shared" si="37"/>
        <v>E</v>
      </c>
      <c r="E807" s="10">
        <f t="shared" si="38"/>
        <v>0</v>
      </c>
      <c r="F807" s="7" t="e">
        <f t="array" ref="F807">+TIPOARMA(H807,I807)</f>
        <v>#VALUE!</v>
      </c>
      <c r="G807" s="7"/>
      <c r="H807" s="7" t="e">
        <f>+VLOOKUP(Q807,Maps!I:J,2,0)</f>
        <v>#N/A</v>
      </c>
      <c r="I807" s="7" t="e">
        <f>+VLOOKUP(T807,Maps!E:F,2,0)</f>
        <v>#N/A</v>
      </c>
    </row>
    <row r="808" spans="1:9" ht="14.25" customHeight="1" x14ac:dyDescent="0.35">
      <c r="A808" s="7" t="str">
        <f t="array" ref="A808">EXTRACTEVENT(N808,V808)</f>
        <v/>
      </c>
      <c r="B808" s="7" t="str">
        <f t="shared" si="36"/>
        <v/>
      </c>
      <c r="C808" s="7"/>
      <c r="D808" s="7" t="str">
        <f t="shared" si="37"/>
        <v>E</v>
      </c>
      <c r="E808" s="10">
        <f t="shared" si="38"/>
        <v>0</v>
      </c>
      <c r="F808" s="7" t="e">
        <f t="array" ref="F808">+TIPOARMA(H808,I808)</f>
        <v>#VALUE!</v>
      </c>
      <c r="G808" s="7"/>
      <c r="H808" s="7" t="e">
        <f>+VLOOKUP(Q808,Maps!I:J,2,0)</f>
        <v>#N/A</v>
      </c>
      <c r="I808" s="7" t="e">
        <f>+VLOOKUP(T808,Maps!E:F,2,0)</f>
        <v>#N/A</v>
      </c>
    </row>
    <row r="809" spans="1:9" ht="14.25" customHeight="1" x14ac:dyDescent="0.35">
      <c r="A809" s="7" t="str">
        <f t="array" ref="A809">EXTRACTEVENT(N809,V809)</f>
        <v/>
      </c>
      <c r="B809" s="7" t="str">
        <f t="shared" si="36"/>
        <v/>
      </c>
      <c r="C809" s="7"/>
      <c r="D809" s="7" t="str">
        <f t="shared" si="37"/>
        <v>E</v>
      </c>
      <c r="E809" s="10">
        <f t="shared" si="38"/>
        <v>0</v>
      </c>
      <c r="F809" s="7" t="e">
        <f t="array" ref="F809">+TIPOARMA(H809,I809)</f>
        <v>#VALUE!</v>
      </c>
      <c r="G809" s="7"/>
      <c r="H809" s="7" t="e">
        <f>+VLOOKUP(Q809,Maps!I:J,2,0)</f>
        <v>#N/A</v>
      </c>
      <c r="I809" s="7" t="e">
        <f>+VLOOKUP(T809,Maps!E:F,2,0)</f>
        <v>#N/A</v>
      </c>
    </row>
    <row r="810" spans="1:9" ht="14.25" customHeight="1" x14ac:dyDescent="0.35">
      <c r="A810" s="7" t="str">
        <f t="array" ref="A810">EXTRACTEVENT(N810,V810)</f>
        <v/>
      </c>
      <c r="B810" s="7" t="str">
        <f t="shared" si="36"/>
        <v/>
      </c>
      <c r="C810" s="7"/>
      <c r="D810" s="7" t="str">
        <f t="shared" si="37"/>
        <v>E</v>
      </c>
      <c r="E810" s="10">
        <f t="shared" si="38"/>
        <v>0</v>
      </c>
      <c r="F810" s="7" t="e">
        <f t="array" ref="F810">+TIPOARMA(H810,I810)</f>
        <v>#VALUE!</v>
      </c>
      <c r="G810" s="7"/>
      <c r="H810" s="7" t="e">
        <f>+VLOOKUP(Q810,Maps!I:J,2,0)</f>
        <v>#N/A</v>
      </c>
      <c r="I810" s="7" t="e">
        <f>+VLOOKUP(T810,Maps!E:F,2,0)</f>
        <v>#N/A</v>
      </c>
    </row>
    <row r="811" spans="1:9" ht="14.25" customHeight="1" x14ac:dyDescent="0.35">
      <c r="A811" s="7" t="str">
        <f t="array" ref="A811">EXTRACTEVENT(N811,V811)</f>
        <v/>
      </c>
      <c r="B811" s="7" t="str">
        <f t="shared" si="36"/>
        <v/>
      </c>
      <c r="C811" s="7"/>
      <c r="D811" s="7" t="str">
        <f t="shared" si="37"/>
        <v>E</v>
      </c>
      <c r="E811" s="10">
        <f t="shared" si="38"/>
        <v>0</v>
      </c>
      <c r="F811" s="7" t="e">
        <f t="array" ref="F811">+TIPOARMA(H811,I811)</f>
        <v>#VALUE!</v>
      </c>
      <c r="G811" s="7"/>
      <c r="H811" s="7" t="e">
        <f>+VLOOKUP(Q811,Maps!I:J,2,0)</f>
        <v>#N/A</v>
      </c>
      <c r="I811" s="7" t="e">
        <f>+VLOOKUP(T811,Maps!E:F,2,0)</f>
        <v>#N/A</v>
      </c>
    </row>
    <row r="812" spans="1:9" ht="14.25" customHeight="1" x14ac:dyDescent="0.35">
      <c r="A812" s="7" t="str">
        <f t="array" ref="A812">EXTRACTEVENT(N812,V812)</f>
        <v/>
      </c>
      <c r="B812" s="7" t="str">
        <f t="shared" si="36"/>
        <v/>
      </c>
      <c r="C812" s="7"/>
      <c r="D812" s="7" t="str">
        <f t="shared" si="37"/>
        <v>E</v>
      </c>
      <c r="E812" s="10">
        <f t="shared" si="38"/>
        <v>0</v>
      </c>
      <c r="F812" s="7" t="e">
        <f t="array" ref="F812">+TIPOARMA(H812,I812)</f>
        <v>#VALUE!</v>
      </c>
      <c r="G812" s="7"/>
      <c r="H812" s="7" t="e">
        <f>+VLOOKUP(Q812,Maps!I:J,2,0)</f>
        <v>#N/A</v>
      </c>
      <c r="I812" s="7" t="e">
        <f>+VLOOKUP(T812,Maps!E:F,2,0)</f>
        <v>#N/A</v>
      </c>
    </row>
    <row r="813" spans="1:9" ht="14.25" customHeight="1" x14ac:dyDescent="0.35">
      <c r="A813" s="7" t="str">
        <f t="array" ref="A813">EXTRACTEVENT(N813,V813)</f>
        <v/>
      </c>
      <c r="B813" s="7" t="str">
        <f t="shared" si="36"/>
        <v/>
      </c>
      <c r="C813" s="7"/>
      <c r="D813" s="7" t="str">
        <f t="shared" si="37"/>
        <v>E</v>
      </c>
      <c r="E813" s="10">
        <f t="shared" si="38"/>
        <v>0</v>
      </c>
      <c r="F813" s="7" t="e">
        <f t="array" ref="F813">+TIPOARMA(H813,I813)</f>
        <v>#VALUE!</v>
      </c>
      <c r="G813" s="7"/>
      <c r="H813" s="7" t="e">
        <f>+VLOOKUP(Q813,Maps!I:J,2,0)</f>
        <v>#N/A</v>
      </c>
      <c r="I813" s="7" t="e">
        <f>+VLOOKUP(T813,Maps!E:F,2,0)</f>
        <v>#N/A</v>
      </c>
    </row>
    <row r="814" spans="1:9" ht="14.25" customHeight="1" x14ac:dyDescent="0.35">
      <c r="A814" s="7" t="str">
        <f t="array" ref="A814">EXTRACTEVENT(N814,V814)</f>
        <v/>
      </c>
      <c r="B814" s="7" t="str">
        <f t="shared" si="36"/>
        <v/>
      </c>
      <c r="C814" s="7"/>
      <c r="D814" s="7" t="str">
        <f t="shared" si="37"/>
        <v>E</v>
      </c>
      <c r="E814" s="10">
        <f t="shared" si="38"/>
        <v>0</v>
      </c>
      <c r="F814" s="7" t="e">
        <f t="array" ref="F814">+TIPOARMA(H814,I814)</f>
        <v>#VALUE!</v>
      </c>
      <c r="G814" s="7"/>
      <c r="H814" s="7" t="e">
        <f>+VLOOKUP(Q814,Maps!I:J,2,0)</f>
        <v>#N/A</v>
      </c>
      <c r="I814" s="7" t="e">
        <f>+VLOOKUP(T814,Maps!E:F,2,0)</f>
        <v>#N/A</v>
      </c>
    </row>
    <row r="815" spans="1:9" ht="14.25" customHeight="1" x14ac:dyDescent="0.35">
      <c r="A815" s="7" t="str">
        <f t="array" ref="A815">EXTRACTEVENT(N815,V815)</f>
        <v/>
      </c>
      <c r="B815" s="7" t="str">
        <f t="shared" si="36"/>
        <v/>
      </c>
      <c r="C815" s="7"/>
      <c r="D815" s="7" t="str">
        <f t="shared" si="37"/>
        <v>E</v>
      </c>
      <c r="E815" s="10">
        <f t="shared" si="38"/>
        <v>0</v>
      </c>
      <c r="F815" s="7" t="e">
        <f t="array" ref="F815">+TIPOARMA(H815,I815)</f>
        <v>#VALUE!</v>
      </c>
      <c r="G815" s="7"/>
      <c r="H815" s="7" t="e">
        <f>+VLOOKUP(Q815,Maps!I:J,2,0)</f>
        <v>#N/A</v>
      </c>
      <c r="I815" s="7" t="e">
        <f>+VLOOKUP(T815,Maps!E:F,2,0)</f>
        <v>#N/A</v>
      </c>
    </row>
    <row r="816" spans="1:9" ht="14.25" customHeight="1" x14ac:dyDescent="0.35">
      <c r="A816" s="7" t="str">
        <f t="array" ref="A816">EXTRACTEVENT(N816,V816)</f>
        <v/>
      </c>
      <c r="B816" s="7" t="str">
        <f t="shared" si="36"/>
        <v/>
      </c>
      <c r="C816" s="7"/>
      <c r="D816" s="7" t="str">
        <f t="shared" si="37"/>
        <v>E</v>
      </c>
      <c r="E816" s="10">
        <f t="shared" si="38"/>
        <v>0</v>
      </c>
      <c r="F816" s="7" t="e">
        <f t="array" ref="F816">+TIPOARMA(H816,I816)</f>
        <v>#VALUE!</v>
      </c>
      <c r="G816" s="7"/>
      <c r="H816" s="7" t="e">
        <f>+VLOOKUP(Q816,Maps!I:J,2,0)</f>
        <v>#N/A</v>
      </c>
      <c r="I816" s="7" t="e">
        <f>+VLOOKUP(T816,Maps!E:F,2,0)</f>
        <v>#N/A</v>
      </c>
    </row>
    <row r="817" spans="1:9" ht="14.25" customHeight="1" x14ac:dyDescent="0.35">
      <c r="A817" s="7" t="str">
        <f t="array" ref="A817">EXTRACTEVENT(N817,V817)</f>
        <v/>
      </c>
      <c r="B817" s="7" t="str">
        <f t="shared" si="36"/>
        <v/>
      </c>
      <c r="C817" s="7"/>
      <c r="D817" s="7" t="str">
        <f t="shared" si="37"/>
        <v>E</v>
      </c>
      <c r="E817" s="10">
        <f t="shared" si="38"/>
        <v>0</v>
      </c>
      <c r="F817" s="7" t="e">
        <f t="array" ref="F817">+TIPOARMA(H817,I817)</f>
        <v>#VALUE!</v>
      </c>
      <c r="G817" s="7"/>
      <c r="H817" s="7" t="e">
        <f>+VLOOKUP(Q817,Maps!I:J,2,0)</f>
        <v>#N/A</v>
      </c>
      <c r="I817" s="7" t="e">
        <f>+VLOOKUP(T817,Maps!E:F,2,0)</f>
        <v>#N/A</v>
      </c>
    </row>
    <row r="818" spans="1:9" ht="14.25" customHeight="1" x14ac:dyDescent="0.35">
      <c r="A818" s="7" t="str">
        <f t="array" ref="A818">EXTRACTEVENT(N818,V818)</f>
        <v/>
      </c>
      <c r="B818" s="7" t="str">
        <f t="shared" si="36"/>
        <v/>
      </c>
      <c r="C818" s="7"/>
      <c r="D818" s="7" t="str">
        <f t="shared" si="37"/>
        <v>E</v>
      </c>
      <c r="E818" s="10">
        <f t="shared" si="38"/>
        <v>0</v>
      </c>
      <c r="F818" s="7" t="e">
        <f t="array" ref="F818">+TIPOARMA(H818,I818)</f>
        <v>#VALUE!</v>
      </c>
      <c r="G818" s="7"/>
      <c r="H818" s="7" t="e">
        <f>+VLOOKUP(Q818,Maps!I:J,2,0)</f>
        <v>#N/A</v>
      </c>
      <c r="I818" s="7" t="e">
        <f>+VLOOKUP(T818,Maps!E:F,2,0)</f>
        <v>#N/A</v>
      </c>
    </row>
    <row r="819" spans="1:9" ht="14.25" customHeight="1" x14ac:dyDescent="0.35">
      <c r="A819" s="7" t="str">
        <f t="array" ref="A819">EXTRACTEVENT(N819,V819)</f>
        <v/>
      </c>
      <c r="B819" s="7" t="str">
        <f t="shared" si="36"/>
        <v/>
      </c>
      <c r="C819" s="7"/>
      <c r="D819" s="7" t="str">
        <f t="shared" si="37"/>
        <v>E</v>
      </c>
      <c r="E819" s="10">
        <f t="shared" si="38"/>
        <v>0</v>
      </c>
      <c r="F819" s="7" t="e">
        <f t="array" ref="F819">+TIPOARMA(H819,I819)</f>
        <v>#VALUE!</v>
      </c>
      <c r="G819" s="7"/>
      <c r="H819" s="7" t="e">
        <f>+VLOOKUP(Q819,Maps!I:J,2,0)</f>
        <v>#N/A</v>
      </c>
      <c r="I819" s="7" t="e">
        <f>+VLOOKUP(T819,Maps!E:F,2,0)</f>
        <v>#N/A</v>
      </c>
    </row>
    <row r="820" spans="1:9" ht="14.25" customHeight="1" x14ac:dyDescent="0.35">
      <c r="A820" s="7" t="str">
        <f t="array" ref="A820">EXTRACTEVENT(N820,V820)</f>
        <v/>
      </c>
      <c r="B820" s="7" t="str">
        <f t="shared" si="36"/>
        <v/>
      </c>
      <c r="C820" s="7"/>
      <c r="D820" s="7" t="str">
        <f t="shared" si="37"/>
        <v>E</v>
      </c>
      <c r="E820" s="10">
        <f t="shared" si="38"/>
        <v>0</v>
      </c>
      <c r="F820" s="7" t="e">
        <f t="array" ref="F820">+TIPOARMA(H820,I820)</f>
        <v>#VALUE!</v>
      </c>
      <c r="G820" s="7"/>
      <c r="H820" s="7" t="e">
        <f>+VLOOKUP(Q820,Maps!I:J,2,0)</f>
        <v>#N/A</v>
      </c>
      <c r="I820" s="7" t="e">
        <f>+VLOOKUP(T820,Maps!E:F,2,0)</f>
        <v>#N/A</v>
      </c>
    </row>
    <row r="821" spans="1:9" ht="14.25" customHeight="1" x14ac:dyDescent="0.35">
      <c r="A821" s="7" t="str">
        <f t="array" ref="A821">EXTRACTEVENT(N821,V821)</f>
        <v/>
      </c>
      <c r="B821" s="7" t="str">
        <f t="shared" si="36"/>
        <v/>
      </c>
      <c r="C821" s="7"/>
      <c r="D821" s="7" t="str">
        <f t="shared" si="37"/>
        <v>E</v>
      </c>
      <c r="E821" s="10">
        <f t="shared" si="38"/>
        <v>0</v>
      </c>
      <c r="F821" s="7" t="e">
        <f t="array" ref="F821">+TIPOARMA(H821,I821)</f>
        <v>#VALUE!</v>
      </c>
      <c r="G821" s="7"/>
      <c r="H821" s="7" t="e">
        <f>+VLOOKUP(Q821,Maps!I:J,2,0)</f>
        <v>#N/A</v>
      </c>
      <c r="I821" s="7" t="e">
        <f>+VLOOKUP(T821,Maps!E:F,2,0)</f>
        <v>#N/A</v>
      </c>
    </row>
    <row r="822" spans="1:9" ht="14.25" customHeight="1" x14ac:dyDescent="0.35">
      <c r="A822" s="7" t="str">
        <f t="array" ref="A822">EXTRACTEVENT(N822,V822)</f>
        <v/>
      </c>
      <c r="B822" s="7" t="str">
        <f t="shared" si="36"/>
        <v/>
      </c>
      <c r="C822" s="7"/>
      <c r="D822" s="7" t="str">
        <f t="shared" si="37"/>
        <v>E</v>
      </c>
      <c r="E822" s="10">
        <f t="shared" si="38"/>
        <v>0</v>
      </c>
      <c r="F822" s="7" t="e">
        <f t="array" ref="F822">+TIPOARMA(H822,I822)</f>
        <v>#VALUE!</v>
      </c>
      <c r="G822" s="7"/>
      <c r="H822" s="7" t="e">
        <f>+VLOOKUP(Q822,Maps!I:J,2,0)</f>
        <v>#N/A</v>
      </c>
      <c r="I822" s="7" t="e">
        <f>+VLOOKUP(T822,Maps!E:F,2,0)</f>
        <v>#N/A</v>
      </c>
    </row>
    <row r="823" spans="1:9" ht="14.25" customHeight="1" x14ac:dyDescent="0.35">
      <c r="A823" s="7" t="str">
        <f t="array" ref="A823">EXTRACTEVENT(N823,V823)</f>
        <v/>
      </c>
      <c r="B823" s="7" t="str">
        <f t="shared" si="36"/>
        <v/>
      </c>
      <c r="C823" s="7"/>
      <c r="D823" s="7" t="str">
        <f t="shared" si="37"/>
        <v>E</v>
      </c>
      <c r="E823" s="10">
        <f t="shared" si="38"/>
        <v>0</v>
      </c>
      <c r="F823" s="7" t="e">
        <f t="array" ref="F823">+TIPOARMA(H823,I823)</f>
        <v>#VALUE!</v>
      </c>
      <c r="G823" s="7"/>
      <c r="H823" s="7" t="e">
        <f>+VLOOKUP(Q823,Maps!I:J,2,0)</f>
        <v>#N/A</v>
      </c>
      <c r="I823" s="7" t="e">
        <f>+VLOOKUP(T823,Maps!E:F,2,0)</f>
        <v>#N/A</v>
      </c>
    </row>
    <row r="824" spans="1:9" ht="14.25" customHeight="1" x14ac:dyDescent="0.35">
      <c r="A824" s="7" t="str">
        <f t="array" ref="A824">EXTRACTEVENT(N824,V824)</f>
        <v/>
      </c>
      <c r="B824" s="7" t="str">
        <f t="shared" si="36"/>
        <v/>
      </c>
      <c r="C824" s="7"/>
      <c r="D824" s="7" t="str">
        <f t="shared" si="37"/>
        <v>E</v>
      </c>
      <c r="E824" s="10">
        <f t="shared" si="38"/>
        <v>0</v>
      </c>
      <c r="F824" s="7" t="e">
        <f t="array" ref="F824">+TIPOARMA(H824,I824)</f>
        <v>#VALUE!</v>
      </c>
      <c r="G824" s="7"/>
      <c r="H824" s="7" t="e">
        <f>+VLOOKUP(Q824,Maps!I:J,2,0)</f>
        <v>#N/A</v>
      </c>
      <c r="I824" s="7" t="e">
        <f>+VLOOKUP(T824,Maps!E:F,2,0)</f>
        <v>#N/A</v>
      </c>
    </row>
    <row r="825" spans="1:9" ht="14.25" customHeight="1" x14ac:dyDescent="0.35">
      <c r="A825" s="7" t="str">
        <f t="array" ref="A825">EXTRACTEVENT(N825,V825)</f>
        <v/>
      </c>
      <c r="B825" s="7" t="str">
        <f t="shared" si="36"/>
        <v/>
      </c>
      <c r="C825" s="7"/>
      <c r="D825" s="7" t="str">
        <f t="shared" si="37"/>
        <v>E</v>
      </c>
      <c r="E825" s="10">
        <f t="shared" si="38"/>
        <v>0</v>
      </c>
      <c r="F825" s="7" t="e">
        <f t="array" ref="F825">+TIPOARMA(H825,I825)</f>
        <v>#VALUE!</v>
      </c>
      <c r="G825" s="7"/>
      <c r="H825" s="7" t="e">
        <f>+VLOOKUP(Q825,Maps!I:J,2,0)</f>
        <v>#N/A</v>
      </c>
      <c r="I825" s="7" t="e">
        <f>+VLOOKUP(T825,Maps!E:F,2,0)</f>
        <v>#N/A</v>
      </c>
    </row>
    <row r="826" spans="1:9" ht="14.25" customHeight="1" x14ac:dyDescent="0.35">
      <c r="A826" s="7" t="str">
        <f t="array" ref="A826">EXTRACTEVENT(N826,V826)</f>
        <v/>
      </c>
      <c r="B826" s="7" t="str">
        <f t="shared" si="36"/>
        <v/>
      </c>
      <c r="C826" s="7"/>
      <c r="D826" s="7" t="str">
        <f t="shared" si="37"/>
        <v>E</v>
      </c>
      <c r="E826" s="10">
        <f t="shared" si="38"/>
        <v>0</v>
      </c>
      <c r="F826" s="7" t="e">
        <f t="array" ref="F826">+TIPOARMA(H826,I826)</f>
        <v>#VALUE!</v>
      </c>
      <c r="G826" s="7"/>
      <c r="H826" s="7" t="e">
        <f>+VLOOKUP(Q826,Maps!I:J,2,0)</f>
        <v>#N/A</v>
      </c>
      <c r="I826" s="7" t="e">
        <f>+VLOOKUP(T826,Maps!E:F,2,0)</f>
        <v>#N/A</v>
      </c>
    </row>
    <row r="827" spans="1:9" ht="14.25" customHeight="1" x14ac:dyDescent="0.35">
      <c r="A827" s="7" t="str">
        <f t="array" ref="A827">EXTRACTEVENT(N827,V827)</f>
        <v/>
      </c>
      <c r="B827" s="7" t="str">
        <f t="shared" si="36"/>
        <v/>
      </c>
      <c r="C827" s="7"/>
      <c r="D827" s="7" t="str">
        <f t="shared" si="37"/>
        <v>E</v>
      </c>
      <c r="E827" s="10">
        <f t="shared" si="38"/>
        <v>0</v>
      </c>
      <c r="F827" s="7" t="e">
        <f t="array" ref="F827">+TIPOARMA(H827,I827)</f>
        <v>#VALUE!</v>
      </c>
      <c r="G827" s="7"/>
      <c r="H827" s="7" t="e">
        <f>+VLOOKUP(Q827,Maps!I:J,2,0)</f>
        <v>#N/A</v>
      </c>
      <c r="I827" s="7" t="e">
        <f>+VLOOKUP(T827,Maps!E:F,2,0)</f>
        <v>#N/A</v>
      </c>
    </row>
    <row r="828" spans="1:9" ht="14.25" customHeight="1" x14ac:dyDescent="0.35">
      <c r="A828" s="7" t="str">
        <f t="array" ref="A828">EXTRACTEVENT(N828,V828)</f>
        <v/>
      </c>
      <c r="B828" s="7" t="str">
        <f t="shared" si="36"/>
        <v/>
      </c>
      <c r="C828" s="7"/>
      <c r="D828" s="7" t="str">
        <f t="shared" si="37"/>
        <v>E</v>
      </c>
      <c r="E828" s="10">
        <f t="shared" si="38"/>
        <v>0</v>
      </c>
      <c r="F828" s="7" t="e">
        <f t="array" ref="F828">+TIPOARMA(H828,I828)</f>
        <v>#VALUE!</v>
      </c>
      <c r="G828" s="7"/>
      <c r="H828" s="7" t="e">
        <f>+VLOOKUP(Q828,Maps!I:J,2,0)</f>
        <v>#N/A</v>
      </c>
      <c r="I828" s="7" t="e">
        <f>+VLOOKUP(T828,Maps!E:F,2,0)</f>
        <v>#N/A</v>
      </c>
    </row>
    <row r="829" spans="1:9" ht="14.25" customHeight="1" x14ac:dyDescent="0.35">
      <c r="A829" s="7" t="str">
        <f t="array" ref="A829">EXTRACTEVENT(N829,V829)</f>
        <v/>
      </c>
      <c r="B829" s="7" t="str">
        <f t="shared" si="36"/>
        <v/>
      </c>
      <c r="C829" s="7"/>
      <c r="D829" s="7" t="str">
        <f t="shared" si="37"/>
        <v>E</v>
      </c>
      <c r="E829" s="10">
        <f t="shared" si="38"/>
        <v>0</v>
      </c>
      <c r="F829" s="7" t="e">
        <f t="array" ref="F829">+TIPOARMA(H829,I829)</f>
        <v>#VALUE!</v>
      </c>
      <c r="G829" s="7"/>
      <c r="H829" s="7" t="e">
        <f>+VLOOKUP(Q829,Maps!I:J,2,0)</f>
        <v>#N/A</v>
      </c>
      <c r="I829" s="7" t="e">
        <f>+VLOOKUP(T829,Maps!E:F,2,0)</f>
        <v>#N/A</v>
      </c>
    </row>
    <row r="830" spans="1:9" ht="14.25" customHeight="1" x14ac:dyDescent="0.35">
      <c r="A830" s="7" t="str">
        <f t="array" ref="A830">EXTRACTEVENT(N830,V830)</f>
        <v/>
      </c>
      <c r="B830" s="7" t="str">
        <f t="shared" si="36"/>
        <v/>
      </c>
      <c r="C830" s="7"/>
      <c r="D830" s="7" t="str">
        <f t="shared" si="37"/>
        <v>E</v>
      </c>
      <c r="E830" s="10">
        <f t="shared" si="38"/>
        <v>0</v>
      </c>
      <c r="F830" s="7" t="e">
        <f t="array" ref="F830">+TIPOARMA(H830,I830)</f>
        <v>#VALUE!</v>
      </c>
      <c r="G830" s="7"/>
      <c r="H830" s="7" t="e">
        <f>+VLOOKUP(Q830,Maps!I:J,2,0)</f>
        <v>#N/A</v>
      </c>
      <c r="I830" s="7" t="e">
        <f>+VLOOKUP(T830,Maps!E:F,2,0)</f>
        <v>#N/A</v>
      </c>
    </row>
    <row r="831" spans="1:9" ht="14.25" customHeight="1" x14ac:dyDescent="0.35">
      <c r="A831" s="7" t="str">
        <f t="array" ref="A831">EXTRACTEVENT(N831,V831)</f>
        <v/>
      </c>
      <c r="B831" s="7" t="str">
        <f t="shared" si="36"/>
        <v/>
      </c>
      <c r="C831" s="7"/>
      <c r="D831" s="7" t="str">
        <f t="shared" si="37"/>
        <v>E</v>
      </c>
      <c r="E831" s="10">
        <f t="shared" si="38"/>
        <v>0</v>
      </c>
      <c r="F831" s="7" t="e">
        <f t="array" ref="F831">+TIPOARMA(H831,I831)</f>
        <v>#VALUE!</v>
      </c>
      <c r="G831" s="7"/>
      <c r="H831" s="7" t="e">
        <f>+VLOOKUP(Q831,Maps!I:J,2,0)</f>
        <v>#N/A</v>
      </c>
      <c r="I831" s="7" t="e">
        <f>+VLOOKUP(T831,Maps!E:F,2,0)</f>
        <v>#N/A</v>
      </c>
    </row>
    <row r="832" spans="1:9" ht="14.25" customHeight="1" x14ac:dyDescent="0.35">
      <c r="A832" s="7" t="str">
        <f t="array" ref="A832">EXTRACTEVENT(N832,V832)</f>
        <v/>
      </c>
      <c r="B832" s="7" t="str">
        <f t="shared" si="36"/>
        <v/>
      </c>
      <c r="C832" s="7"/>
      <c r="D832" s="7" t="str">
        <f t="shared" si="37"/>
        <v>E</v>
      </c>
      <c r="E832" s="10">
        <f t="shared" si="38"/>
        <v>0</v>
      </c>
      <c r="F832" s="7" t="e">
        <f t="array" ref="F832">+TIPOARMA(H832,I832)</f>
        <v>#VALUE!</v>
      </c>
      <c r="G832" s="7"/>
      <c r="H832" s="7" t="e">
        <f>+VLOOKUP(Q832,Maps!I:J,2,0)</f>
        <v>#N/A</v>
      </c>
      <c r="I832" s="7" t="e">
        <f>+VLOOKUP(T832,Maps!E:F,2,0)</f>
        <v>#N/A</v>
      </c>
    </row>
    <row r="833" spans="1:9" ht="14.25" customHeight="1" x14ac:dyDescent="0.35">
      <c r="A833" s="7" t="str">
        <f t="array" ref="A833">EXTRACTEVENT(N833,V833)</f>
        <v/>
      </c>
      <c r="B833" s="7" t="str">
        <f t="shared" si="36"/>
        <v/>
      </c>
      <c r="C833" s="7"/>
      <c r="D833" s="7" t="str">
        <f t="shared" si="37"/>
        <v>E</v>
      </c>
      <c r="E833" s="10">
        <f t="shared" si="38"/>
        <v>0</v>
      </c>
      <c r="F833" s="7" t="e">
        <f t="array" ref="F833">+TIPOARMA(H833,I833)</f>
        <v>#VALUE!</v>
      </c>
      <c r="G833" s="7"/>
      <c r="H833" s="7" t="e">
        <f>+VLOOKUP(Q833,Maps!I:J,2,0)</f>
        <v>#N/A</v>
      </c>
      <c r="I833" s="7" t="e">
        <f>+VLOOKUP(T833,Maps!E:F,2,0)</f>
        <v>#N/A</v>
      </c>
    </row>
    <row r="834" spans="1:9" ht="14.25" customHeight="1" x14ac:dyDescent="0.35">
      <c r="A834" s="7" t="str">
        <f t="array" ref="A834">EXTRACTEVENT(N834,V834)</f>
        <v/>
      </c>
      <c r="B834" s="7" t="str">
        <f t="shared" ref="B834:B897" si="39">+IF(V834="TREINO","-",LEFT(N834,1))</f>
        <v/>
      </c>
      <c r="C834" s="7"/>
      <c r="D834" s="7" t="str">
        <f t="shared" ref="D834:D897" si="40">+IF($V834="TREINO","T",IF(V834="NACIONAL","N","E"))</f>
        <v>E</v>
      </c>
      <c r="E834" s="10">
        <f t="shared" ref="E834:E897" si="41">IFERROR(DATEVALUE(LEFT(M834,10)),M834)</f>
        <v>0</v>
      </c>
      <c r="F834" s="7" t="e">
        <f t="array" ref="F834">+TIPOARMA(H834,I834)</f>
        <v>#VALUE!</v>
      </c>
      <c r="G834" s="7"/>
      <c r="H834" s="7" t="e">
        <f>+VLOOKUP(Q834,Maps!I:J,2,0)</f>
        <v>#N/A</v>
      </c>
      <c r="I834" s="7" t="e">
        <f>+VLOOKUP(T834,Maps!E:F,2,0)</f>
        <v>#N/A</v>
      </c>
    </row>
    <row r="835" spans="1:9" ht="14.25" customHeight="1" x14ac:dyDescent="0.35">
      <c r="A835" s="7" t="str">
        <f t="array" ref="A835">EXTRACTEVENT(N835,V835)</f>
        <v/>
      </c>
      <c r="B835" s="7" t="str">
        <f t="shared" si="39"/>
        <v/>
      </c>
      <c r="C835" s="7"/>
      <c r="D835" s="7" t="str">
        <f t="shared" si="40"/>
        <v>E</v>
      </c>
      <c r="E835" s="10">
        <f t="shared" si="41"/>
        <v>0</v>
      </c>
      <c r="F835" s="7" t="e">
        <f t="array" ref="F835">+TIPOARMA(H835,I835)</f>
        <v>#VALUE!</v>
      </c>
      <c r="G835" s="7"/>
      <c r="H835" s="7" t="e">
        <f>+VLOOKUP(Q835,Maps!I:J,2,0)</f>
        <v>#N/A</v>
      </c>
      <c r="I835" s="7" t="e">
        <f>+VLOOKUP(T835,Maps!E:F,2,0)</f>
        <v>#N/A</v>
      </c>
    </row>
    <row r="836" spans="1:9" ht="14.25" customHeight="1" x14ac:dyDescent="0.35">
      <c r="A836" s="7" t="str">
        <f t="array" ref="A836">EXTRACTEVENT(N836,V836)</f>
        <v/>
      </c>
      <c r="B836" s="7" t="str">
        <f t="shared" si="39"/>
        <v/>
      </c>
      <c r="C836" s="7"/>
      <c r="D836" s="7" t="str">
        <f t="shared" si="40"/>
        <v>E</v>
      </c>
      <c r="E836" s="10">
        <f t="shared" si="41"/>
        <v>0</v>
      </c>
      <c r="F836" s="7" t="e">
        <f t="array" ref="F836">+TIPOARMA(H836,I836)</f>
        <v>#VALUE!</v>
      </c>
      <c r="G836" s="7"/>
      <c r="H836" s="7" t="e">
        <f>+VLOOKUP(Q836,Maps!I:J,2,0)</f>
        <v>#N/A</v>
      </c>
      <c r="I836" s="7" t="e">
        <f>+VLOOKUP(T836,Maps!E:F,2,0)</f>
        <v>#N/A</v>
      </c>
    </row>
    <row r="837" spans="1:9" ht="14.25" customHeight="1" x14ac:dyDescent="0.35">
      <c r="A837" s="7" t="str">
        <f t="array" ref="A837">EXTRACTEVENT(N837,V837)</f>
        <v/>
      </c>
      <c r="B837" s="7" t="str">
        <f t="shared" si="39"/>
        <v/>
      </c>
      <c r="C837" s="7"/>
      <c r="D837" s="7" t="str">
        <f t="shared" si="40"/>
        <v>E</v>
      </c>
      <c r="E837" s="10">
        <f t="shared" si="41"/>
        <v>0</v>
      </c>
      <c r="F837" s="7" t="e">
        <f t="array" ref="F837">+TIPOARMA(H837,I837)</f>
        <v>#VALUE!</v>
      </c>
      <c r="G837" s="7"/>
      <c r="H837" s="7" t="e">
        <f>+VLOOKUP(Q837,Maps!I:J,2,0)</f>
        <v>#N/A</v>
      </c>
      <c r="I837" s="7" t="e">
        <f>+VLOOKUP(T837,Maps!E:F,2,0)</f>
        <v>#N/A</v>
      </c>
    </row>
    <row r="838" spans="1:9" ht="14.25" customHeight="1" x14ac:dyDescent="0.35">
      <c r="A838" s="7" t="str">
        <f t="array" ref="A838">EXTRACTEVENT(N838,V838)</f>
        <v/>
      </c>
      <c r="B838" s="7" t="str">
        <f t="shared" si="39"/>
        <v/>
      </c>
      <c r="C838" s="7"/>
      <c r="D838" s="7" t="str">
        <f t="shared" si="40"/>
        <v>E</v>
      </c>
      <c r="E838" s="10">
        <f t="shared" si="41"/>
        <v>0</v>
      </c>
      <c r="F838" s="7" t="e">
        <f t="array" ref="F838">+TIPOARMA(H838,I838)</f>
        <v>#VALUE!</v>
      </c>
      <c r="G838" s="7"/>
      <c r="H838" s="7" t="e">
        <f>+VLOOKUP(Q838,Maps!I:J,2,0)</f>
        <v>#N/A</v>
      </c>
      <c r="I838" s="7" t="e">
        <f>+VLOOKUP(T838,Maps!E:F,2,0)</f>
        <v>#N/A</v>
      </c>
    </row>
    <row r="839" spans="1:9" ht="14.25" customHeight="1" x14ac:dyDescent="0.35">
      <c r="A839" s="7" t="str">
        <f t="array" ref="A839">EXTRACTEVENT(N839,V839)</f>
        <v/>
      </c>
      <c r="B839" s="7" t="str">
        <f t="shared" si="39"/>
        <v/>
      </c>
      <c r="C839" s="7"/>
      <c r="D839" s="7" t="str">
        <f t="shared" si="40"/>
        <v>E</v>
      </c>
      <c r="E839" s="10">
        <f t="shared" si="41"/>
        <v>0</v>
      </c>
      <c r="F839" s="7" t="e">
        <f t="array" ref="F839">+TIPOARMA(H839,I839)</f>
        <v>#VALUE!</v>
      </c>
      <c r="G839" s="7"/>
      <c r="H839" s="7" t="e">
        <f>+VLOOKUP(Q839,Maps!I:J,2,0)</f>
        <v>#N/A</v>
      </c>
      <c r="I839" s="7" t="e">
        <f>+VLOOKUP(T839,Maps!E:F,2,0)</f>
        <v>#N/A</v>
      </c>
    </row>
    <row r="840" spans="1:9" ht="14.25" customHeight="1" x14ac:dyDescent="0.35">
      <c r="A840" s="7" t="str">
        <f t="array" ref="A840">EXTRACTEVENT(N840,V840)</f>
        <v/>
      </c>
      <c r="B840" s="7" t="str">
        <f t="shared" si="39"/>
        <v/>
      </c>
      <c r="C840" s="7"/>
      <c r="D840" s="7" t="str">
        <f t="shared" si="40"/>
        <v>E</v>
      </c>
      <c r="E840" s="10">
        <f t="shared" si="41"/>
        <v>0</v>
      </c>
      <c r="F840" s="7" t="e">
        <f t="array" ref="F840">+TIPOARMA(H840,I840)</f>
        <v>#VALUE!</v>
      </c>
      <c r="G840" s="7"/>
      <c r="H840" s="7" t="e">
        <f>+VLOOKUP(Q840,Maps!I:J,2,0)</f>
        <v>#N/A</v>
      </c>
      <c r="I840" s="7" t="e">
        <f>+VLOOKUP(T840,Maps!E:F,2,0)</f>
        <v>#N/A</v>
      </c>
    </row>
    <row r="841" spans="1:9" ht="14.25" customHeight="1" x14ac:dyDescent="0.35">
      <c r="A841" s="7" t="str">
        <f t="array" ref="A841">EXTRACTEVENT(N841,V841)</f>
        <v/>
      </c>
      <c r="B841" s="7" t="str">
        <f t="shared" si="39"/>
        <v/>
      </c>
      <c r="C841" s="7"/>
      <c r="D841" s="7" t="str">
        <f t="shared" si="40"/>
        <v>E</v>
      </c>
      <c r="E841" s="10">
        <f t="shared" si="41"/>
        <v>0</v>
      </c>
      <c r="F841" s="7" t="e">
        <f t="array" ref="F841">+TIPOARMA(H841,I841)</f>
        <v>#VALUE!</v>
      </c>
      <c r="G841" s="7"/>
      <c r="H841" s="7" t="e">
        <f>+VLOOKUP(Q841,Maps!I:J,2,0)</f>
        <v>#N/A</v>
      </c>
      <c r="I841" s="7" t="e">
        <f>+VLOOKUP(T841,Maps!E:F,2,0)</f>
        <v>#N/A</v>
      </c>
    </row>
    <row r="842" spans="1:9" ht="14.25" customHeight="1" x14ac:dyDescent="0.35">
      <c r="A842" s="7" t="str">
        <f t="array" ref="A842">EXTRACTEVENT(N842,V842)</f>
        <v/>
      </c>
      <c r="B842" s="7" t="str">
        <f t="shared" si="39"/>
        <v/>
      </c>
      <c r="C842" s="7"/>
      <c r="D842" s="7" t="str">
        <f t="shared" si="40"/>
        <v>E</v>
      </c>
      <c r="E842" s="10">
        <f t="shared" si="41"/>
        <v>0</v>
      </c>
      <c r="F842" s="7" t="e">
        <f t="array" ref="F842">+TIPOARMA(H842,I842)</f>
        <v>#VALUE!</v>
      </c>
      <c r="G842" s="7"/>
      <c r="H842" s="7" t="e">
        <f>+VLOOKUP(Q842,Maps!I:J,2,0)</f>
        <v>#N/A</v>
      </c>
      <c r="I842" s="7" t="e">
        <f>+VLOOKUP(T842,Maps!E:F,2,0)</f>
        <v>#N/A</v>
      </c>
    </row>
    <row r="843" spans="1:9" ht="14.25" customHeight="1" x14ac:dyDescent="0.35">
      <c r="A843" s="7" t="str">
        <f t="array" ref="A843">EXTRACTEVENT(N843,V843)</f>
        <v/>
      </c>
      <c r="B843" s="7" t="str">
        <f t="shared" si="39"/>
        <v/>
      </c>
      <c r="C843" s="7"/>
      <c r="D843" s="7" t="str">
        <f t="shared" si="40"/>
        <v>E</v>
      </c>
      <c r="E843" s="10">
        <f t="shared" si="41"/>
        <v>0</v>
      </c>
      <c r="F843" s="7" t="e">
        <f t="array" ref="F843">+TIPOARMA(H843,I843)</f>
        <v>#VALUE!</v>
      </c>
      <c r="G843" s="7"/>
      <c r="H843" s="7" t="e">
        <f>+VLOOKUP(Q843,Maps!I:J,2,0)</f>
        <v>#N/A</v>
      </c>
      <c r="I843" s="7" t="e">
        <f>+VLOOKUP(T843,Maps!E:F,2,0)</f>
        <v>#N/A</v>
      </c>
    </row>
    <row r="844" spans="1:9" ht="14.25" customHeight="1" x14ac:dyDescent="0.35">
      <c r="A844" s="7" t="str">
        <f t="array" ref="A844">EXTRACTEVENT(N844,V844)</f>
        <v/>
      </c>
      <c r="B844" s="7" t="str">
        <f t="shared" si="39"/>
        <v/>
      </c>
      <c r="C844" s="7"/>
      <c r="D844" s="7" t="str">
        <f t="shared" si="40"/>
        <v>E</v>
      </c>
      <c r="E844" s="10">
        <f t="shared" si="41"/>
        <v>0</v>
      </c>
      <c r="F844" s="7" t="e">
        <f t="array" ref="F844">+TIPOARMA(H844,I844)</f>
        <v>#VALUE!</v>
      </c>
      <c r="G844" s="7"/>
      <c r="H844" s="7" t="e">
        <f>+VLOOKUP(Q844,Maps!I:J,2,0)</f>
        <v>#N/A</v>
      </c>
      <c r="I844" s="7" t="e">
        <f>+VLOOKUP(T844,Maps!E:F,2,0)</f>
        <v>#N/A</v>
      </c>
    </row>
    <row r="845" spans="1:9" ht="14.25" customHeight="1" x14ac:dyDescent="0.35">
      <c r="A845" s="7" t="str">
        <f t="array" ref="A845">EXTRACTEVENT(N845,V845)</f>
        <v/>
      </c>
      <c r="B845" s="7" t="str">
        <f t="shared" si="39"/>
        <v/>
      </c>
      <c r="C845" s="7"/>
      <c r="D845" s="7" t="str">
        <f t="shared" si="40"/>
        <v>E</v>
      </c>
      <c r="E845" s="10">
        <f t="shared" si="41"/>
        <v>0</v>
      </c>
      <c r="F845" s="7" t="e">
        <f t="array" ref="F845">+TIPOARMA(H845,I845)</f>
        <v>#VALUE!</v>
      </c>
      <c r="G845" s="7"/>
      <c r="H845" s="7" t="e">
        <f>+VLOOKUP(Q845,Maps!I:J,2,0)</f>
        <v>#N/A</v>
      </c>
      <c r="I845" s="7" t="e">
        <f>+VLOOKUP(T845,Maps!E:F,2,0)</f>
        <v>#N/A</v>
      </c>
    </row>
    <row r="846" spans="1:9" ht="14.25" customHeight="1" x14ac:dyDescent="0.35">
      <c r="A846" s="7" t="str">
        <f t="array" ref="A846">EXTRACTEVENT(N846,V846)</f>
        <v/>
      </c>
      <c r="B846" s="7" t="str">
        <f t="shared" si="39"/>
        <v/>
      </c>
      <c r="C846" s="7"/>
      <c r="D846" s="7" t="str">
        <f t="shared" si="40"/>
        <v>E</v>
      </c>
      <c r="E846" s="10">
        <f t="shared" si="41"/>
        <v>0</v>
      </c>
      <c r="F846" s="7" t="e">
        <f t="array" ref="F846">+TIPOARMA(H846,I846)</f>
        <v>#VALUE!</v>
      </c>
      <c r="G846" s="7"/>
      <c r="H846" s="7" t="e">
        <f>+VLOOKUP(Q846,Maps!I:J,2,0)</f>
        <v>#N/A</v>
      </c>
      <c r="I846" s="7" t="e">
        <f>+VLOOKUP(T846,Maps!E:F,2,0)</f>
        <v>#N/A</v>
      </c>
    </row>
    <row r="847" spans="1:9" ht="14.25" customHeight="1" x14ac:dyDescent="0.35">
      <c r="A847" s="7" t="str">
        <f t="array" ref="A847">EXTRACTEVENT(N847,V847)</f>
        <v/>
      </c>
      <c r="B847" s="7" t="str">
        <f t="shared" si="39"/>
        <v/>
      </c>
      <c r="C847" s="7"/>
      <c r="D847" s="7" t="str">
        <f t="shared" si="40"/>
        <v>E</v>
      </c>
      <c r="E847" s="10">
        <f t="shared" si="41"/>
        <v>0</v>
      </c>
      <c r="F847" s="7" t="e">
        <f t="array" ref="F847">+TIPOARMA(H847,I847)</f>
        <v>#VALUE!</v>
      </c>
      <c r="G847" s="7"/>
      <c r="H847" s="7" t="e">
        <f>+VLOOKUP(Q847,Maps!I:J,2,0)</f>
        <v>#N/A</v>
      </c>
      <c r="I847" s="7" t="e">
        <f>+VLOOKUP(T847,Maps!E:F,2,0)</f>
        <v>#N/A</v>
      </c>
    </row>
    <row r="848" spans="1:9" ht="14.25" customHeight="1" x14ac:dyDescent="0.35">
      <c r="A848" s="7" t="str">
        <f t="array" ref="A848">EXTRACTEVENT(N848,V848)</f>
        <v/>
      </c>
      <c r="B848" s="7" t="str">
        <f t="shared" si="39"/>
        <v/>
      </c>
      <c r="C848" s="7"/>
      <c r="D848" s="7" t="str">
        <f t="shared" si="40"/>
        <v>E</v>
      </c>
      <c r="E848" s="10">
        <f t="shared" si="41"/>
        <v>0</v>
      </c>
      <c r="F848" s="7" t="e">
        <f t="array" ref="F848">+TIPOARMA(H848,I848)</f>
        <v>#VALUE!</v>
      </c>
      <c r="G848" s="7"/>
      <c r="H848" s="7" t="e">
        <f>+VLOOKUP(Q848,Maps!I:J,2,0)</f>
        <v>#N/A</v>
      </c>
      <c r="I848" s="7" t="e">
        <f>+VLOOKUP(T848,Maps!E:F,2,0)</f>
        <v>#N/A</v>
      </c>
    </row>
    <row r="849" spans="1:9" ht="14.25" customHeight="1" x14ac:dyDescent="0.35">
      <c r="A849" s="7" t="str">
        <f t="array" ref="A849">EXTRACTEVENT(N849,V849)</f>
        <v/>
      </c>
      <c r="B849" s="7" t="str">
        <f t="shared" si="39"/>
        <v/>
      </c>
      <c r="C849" s="7"/>
      <c r="D849" s="7" t="str">
        <f t="shared" si="40"/>
        <v>E</v>
      </c>
      <c r="E849" s="10">
        <f t="shared" si="41"/>
        <v>0</v>
      </c>
      <c r="F849" s="7" t="e">
        <f t="array" ref="F849">+TIPOARMA(H849,I849)</f>
        <v>#VALUE!</v>
      </c>
      <c r="G849" s="7"/>
      <c r="H849" s="7" t="e">
        <f>+VLOOKUP(Q849,Maps!I:J,2,0)</f>
        <v>#N/A</v>
      </c>
      <c r="I849" s="7" t="e">
        <f>+VLOOKUP(T849,Maps!E:F,2,0)</f>
        <v>#N/A</v>
      </c>
    </row>
    <row r="850" spans="1:9" ht="14.25" customHeight="1" x14ac:dyDescent="0.35">
      <c r="A850" s="7" t="str">
        <f t="array" ref="A850">EXTRACTEVENT(N850,V850)</f>
        <v/>
      </c>
      <c r="B850" s="7" t="str">
        <f t="shared" si="39"/>
        <v/>
      </c>
      <c r="C850" s="7"/>
      <c r="D850" s="7" t="str">
        <f t="shared" si="40"/>
        <v>E</v>
      </c>
      <c r="E850" s="10">
        <f t="shared" si="41"/>
        <v>0</v>
      </c>
      <c r="F850" s="7" t="e">
        <f t="array" ref="F850">+TIPOARMA(H850,I850)</f>
        <v>#VALUE!</v>
      </c>
      <c r="G850" s="7"/>
      <c r="H850" s="7" t="e">
        <f>+VLOOKUP(Q850,Maps!I:J,2,0)</f>
        <v>#N/A</v>
      </c>
      <c r="I850" s="7" t="e">
        <f>+VLOOKUP(T850,Maps!E:F,2,0)</f>
        <v>#N/A</v>
      </c>
    </row>
    <row r="851" spans="1:9" ht="14.25" customHeight="1" x14ac:dyDescent="0.35">
      <c r="A851" s="7" t="str">
        <f t="array" ref="A851">EXTRACTEVENT(N851,V851)</f>
        <v/>
      </c>
      <c r="B851" s="7" t="str">
        <f t="shared" si="39"/>
        <v/>
      </c>
      <c r="C851" s="7"/>
      <c r="D851" s="7" t="str">
        <f t="shared" si="40"/>
        <v>E</v>
      </c>
      <c r="E851" s="10">
        <f t="shared" si="41"/>
        <v>0</v>
      </c>
      <c r="F851" s="7" t="e">
        <f t="array" ref="F851">+TIPOARMA(H851,I851)</f>
        <v>#VALUE!</v>
      </c>
      <c r="G851" s="7"/>
      <c r="H851" s="7" t="e">
        <f>+VLOOKUP(Q851,Maps!I:J,2,0)</f>
        <v>#N/A</v>
      </c>
      <c r="I851" s="7" t="e">
        <f>+VLOOKUP(T851,Maps!E:F,2,0)</f>
        <v>#N/A</v>
      </c>
    </row>
    <row r="852" spans="1:9" ht="14.25" customHeight="1" x14ac:dyDescent="0.35">
      <c r="A852" s="7" t="str">
        <f t="array" ref="A852">EXTRACTEVENT(N852,V852)</f>
        <v/>
      </c>
      <c r="B852" s="7" t="str">
        <f t="shared" si="39"/>
        <v/>
      </c>
      <c r="C852" s="7"/>
      <c r="D852" s="7" t="str">
        <f t="shared" si="40"/>
        <v>E</v>
      </c>
      <c r="E852" s="10">
        <f t="shared" si="41"/>
        <v>0</v>
      </c>
      <c r="F852" s="7" t="e">
        <f t="array" ref="F852">+TIPOARMA(H852,I852)</f>
        <v>#VALUE!</v>
      </c>
      <c r="G852" s="7"/>
      <c r="H852" s="7" t="e">
        <f>+VLOOKUP(Q852,Maps!I:J,2,0)</f>
        <v>#N/A</v>
      </c>
      <c r="I852" s="7" t="e">
        <f>+VLOOKUP(T852,Maps!E:F,2,0)</f>
        <v>#N/A</v>
      </c>
    </row>
    <row r="853" spans="1:9" ht="14.25" customHeight="1" x14ac:dyDescent="0.35">
      <c r="A853" s="7" t="str">
        <f t="array" ref="A853">EXTRACTEVENT(N853,V853)</f>
        <v/>
      </c>
      <c r="B853" s="7" t="str">
        <f t="shared" si="39"/>
        <v/>
      </c>
      <c r="C853" s="7"/>
      <c r="D853" s="7" t="str">
        <f t="shared" si="40"/>
        <v>E</v>
      </c>
      <c r="E853" s="10">
        <f t="shared" si="41"/>
        <v>0</v>
      </c>
      <c r="F853" s="7" t="e">
        <f t="array" ref="F853">+TIPOARMA(H853,I853)</f>
        <v>#VALUE!</v>
      </c>
      <c r="G853" s="7"/>
      <c r="H853" s="7" t="e">
        <f>+VLOOKUP(Q853,Maps!I:J,2,0)</f>
        <v>#N/A</v>
      </c>
      <c r="I853" s="7" t="e">
        <f>+VLOOKUP(T853,Maps!E:F,2,0)</f>
        <v>#N/A</v>
      </c>
    </row>
    <row r="854" spans="1:9" ht="14.25" customHeight="1" x14ac:dyDescent="0.35">
      <c r="A854" s="7" t="str">
        <f t="array" ref="A854">EXTRACTEVENT(N854,V854)</f>
        <v/>
      </c>
      <c r="B854" s="7" t="str">
        <f t="shared" si="39"/>
        <v/>
      </c>
      <c r="C854" s="7"/>
      <c r="D854" s="7" t="str">
        <f t="shared" si="40"/>
        <v>E</v>
      </c>
      <c r="E854" s="10">
        <f t="shared" si="41"/>
        <v>0</v>
      </c>
      <c r="F854" s="7" t="e">
        <f t="array" ref="F854">+TIPOARMA(H854,I854)</f>
        <v>#VALUE!</v>
      </c>
      <c r="G854" s="7"/>
      <c r="H854" s="7" t="e">
        <f>+VLOOKUP(Q854,Maps!I:J,2,0)</f>
        <v>#N/A</v>
      </c>
      <c r="I854" s="7" t="e">
        <f>+VLOOKUP(T854,Maps!E:F,2,0)</f>
        <v>#N/A</v>
      </c>
    </row>
    <row r="855" spans="1:9" ht="14.25" customHeight="1" x14ac:dyDescent="0.35">
      <c r="A855" s="7" t="str">
        <f t="array" ref="A855">EXTRACTEVENT(N855,V855)</f>
        <v/>
      </c>
      <c r="B855" s="7" t="str">
        <f t="shared" si="39"/>
        <v/>
      </c>
      <c r="C855" s="7"/>
      <c r="D855" s="7" t="str">
        <f t="shared" si="40"/>
        <v>E</v>
      </c>
      <c r="E855" s="10">
        <f t="shared" si="41"/>
        <v>0</v>
      </c>
      <c r="F855" s="7" t="e">
        <f t="array" ref="F855">+TIPOARMA(H855,I855)</f>
        <v>#VALUE!</v>
      </c>
      <c r="G855" s="7"/>
      <c r="H855" s="7" t="e">
        <f>+VLOOKUP(Q855,Maps!I:J,2,0)</f>
        <v>#N/A</v>
      </c>
      <c r="I855" s="7" t="e">
        <f>+VLOOKUP(T855,Maps!E:F,2,0)</f>
        <v>#N/A</v>
      </c>
    </row>
    <row r="856" spans="1:9" ht="14.25" customHeight="1" x14ac:dyDescent="0.35">
      <c r="A856" s="7" t="str">
        <f t="array" ref="A856">EXTRACTEVENT(N856,V856)</f>
        <v/>
      </c>
      <c r="B856" s="7" t="str">
        <f t="shared" si="39"/>
        <v/>
      </c>
      <c r="C856" s="7"/>
      <c r="D856" s="7" t="str">
        <f t="shared" si="40"/>
        <v>E</v>
      </c>
      <c r="E856" s="10">
        <f t="shared" si="41"/>
        <v>0</v>
      </c>
      <c r="F856" s="7" t="e">
        <f t="array" ref="F856">+TIPOARMA(H856,I856)</f>
        <v>#VALUE!</v>
      </c>
      <c r="G856" s="7"/>
      <c r="H856" s="7" t="e">
        <f>+VLOOKUP(Q856,Maps!I:J,2,0)</f>
        <v>#N/A</v>
      </c>
      <c r="I856" s="7" t="e">
        <f>+VLOOKUP(T856,Maps!E:F,2,0)</f>
        <v>#N/A</v>
      </c>
    </row>
    <row r="857" spans="1:9" ht="14.25" customHeight="1" x14ac:dyDescent="0.35">
      <c r="A857" s="7" t="str">
        <f t="array" ref="A857">EXTRACTEVENT(N857,V857)</f>
        <v/>
      </c>
      <c r="B857" s="7" t="str">
        <f t="shared" si="39"/>
        <v/>
      </c>
      <c r="C857" s="7"/>
      <c r="D857" s="7" t="str">
        <f t="shared" si="40"/>
        <v>E</v>
      </c>
      <c r="E857" s="10">
        <f t="shared" si="41"/>
        <v>0</v>
      </c>
      <c r="F857" s="7" t="e">
        <f t="array" ref="F857">+TIPOARMA(H857,I857)</f>
        <v>#VALUE!</v>
      </c>
      <c r="G857" s="7"/>
      <c r="H857" s="7" t="e">
        <f>+VLOOKUP(Q857,Maps!I:J,2,0)</f>
        <v>#N/A</v>
      </c>
      <c r="I857" s="7" t="e">
        <f>+VLOOKUP(T857,Maps!E:F,2,0)</f>
        <v>#N/A</v>
      </c>
    </row>
    <row r="858" spans="1:9" ht="14.25" customHeight="1" x14ac:dyDescent="0.35">
      <c r="A858" s="7" t="str">
        <f t="array" ref="A858">EXTRACTEVENT(N858,V858)</f>
        <v/>
      </c>
      <c r="B858" s="7" t="str">
        <f t="shared" si="39"/>
        <v/>
      </c>
      <c r="C858" s="7"/>
      <c r="D858" s="7" t="str">
        <f t="shared" si="40"/>
        <v>E</v>
      </c>
      <c r="E858" s="10">
        <f t="shared" si="41"/>
        <v>0</v>
      </c>
      <c r="F858" s="7" t="e">
        <f t="array" ref="F858">+TIPOARMA(H858,I858)</f>
        <v>#VALUE!</v>
      </c>
      <c r="G858" s="7"/>
      <c r="H858" s="7" t="e">
        <f>+VLOOKUP(Q858,Maps!I:J,2,0)</f>
        <v>#N/A</v>
      </c>
      <c r="I858" s="7" t="e">
        <f>+VLOOKUP(T858,Maps!E:F,2,0)</f>
        <v>#N/A</v>
      </c>
    </row>
    <row r="859" spans="1:9" ht="14.25" customHeight="1" x14ac:dyDescent="0.35">
      <c r="A859" s="7" t="str">
        <f t="array" ref="A859">EXTRACTEVENT(N859,V859)</f>
        <v/>
      </c>
      <c r="B859" s="7" t="str">
        <f t="shared" si="39"/>
        <v/>
      </c>
      <c r="C859" s="7"/>
      <c r="D859" s="7" t="str">
        <f t="shared" si="40"/>
        <v>E</v>
      </c>
      <c r="E859" s="10">
        <f t="shared" si="41"/>
        <v>0</v>
      </c>
      <c r="F859" s="7" t="e">
        <f t="array" ref="F859">+TIPOARMA(H859,I859)</f>
        <v>#VALUE!</v>
      </c>
      <c r="G859" s="7"/>
      <c r="H859" s="7" t="e">
        <f>+VLOOKUP(Q859,Maps!I:J,2,0)</f>
        <v>#N/A</v>
      </c>
      <c r="I859" s="7" t="e">
        <f>+VLOOKUP(T859,Maps!E:F,2,0)</f>
        <v>#N/A</v>
      </c>
    </row>
    <row r="860" spans="1:9" ht="14.25" customHeight="1" x14ac:dyDescent="0.35">
      <c r="A860" s="7" t="str">
        <f t="array" ref="A860">EXTRACTEVENT(N860,V860)</f>
        <v/>
      </c>
      <c r="B860" s="7" t="str">
        <f t="shared" si="39"/>
        <v/>
      </c>
      <c r="C860" s="7"/>
      <c r="D860" s="7" t="str">
        <f t="shared" si="40"/>
        <v>E</v>
      </c>
      <c r="E860" s="10">
        <f t="shared" si="41"/>
        <v>0</v>
      </c>
      <c r="F860" s="7" t="e">
        <f t="array" ref="F860">+TIPOARMA(H860,I860)</f>
        <v>#VALUE!</v>
      </c>
      <c r="G860" s="7"/>
      <c r="H860" s="7" t="e">
        <f>+VLOOKUP(Q860,Maps!I:J,2,0)</f>
        <v>#N/A</v>
      </c>
      <c r="I860" s="7" t="e">
        <f>+VLOOKUP(T860,Maps!E:F,2,0)</f>
        <v>#N/A</v>
      </c>
    </row>
    <row r="861" spans="1:9" ht="14.25" customHeight="1" x14ac:dyDescent="0.35">
      <c r="A861" s="7" t="str">
        <f t="array" ref="A861">EXTRACTEVENT(N861,V861)</f>
        <v/>
      </c>
      <c r="B861" s="7" t="str">
        <f t="shared" si="39"/>
        <v/>
      </c>
      <c r="C861" s="7"/>
      <c r="D861" s="7" t="str">
        <f t="shared" si="40"/>
        <v>E</v>
      </c>
      <c r="E861" s="10">
        <f t="shared" si="41"/>
        <v>0</v>
      </c>
      <c r="F861" s="7" t="e">
        <f t="array" ref="F861">+TIPOARMA(H861,I861)</f>
        <v>#VALUE!</v>
      </c>
      <c r="G861" s="7"/>
      <c r="H861" s="7" t="e">
        <f>+VLOOKUP(Q861,Maps!I:J,2,0)</f>
        <v>#N/A</v>
      </c>
      <c r="I861" s="7" t="e">
        <f>+VLOOKUP(T861,Maps!E:F,2,0)</f>
        <v>#N/A</v>
      </c>
    </row>
    <row r="862" spans="1:9" ht="14.25" customHeight="1" x14ac:dyDescent="0.35">
      <c r="A862" s="7" t="str">
        <f t="array" ref="A862">EXTRACTEVENT(N862,V862)</f>
        <v/>
      </c>
      <c r="B862" s="7" t="str">
        <f t="shared" si="39"/>
        <v/>
      </c>
      <c r="C862" s="7"/>
      <c r="D862" s="7" t="str">
        <f t="shared" si="40"/>
        <v>E</v>
      </c>
      <c r="E862" s="10">
        <f t="shared" si="41"/>
        <v>0</v>
      </c>
      <c r="F862" s="7" t="e">
        <f t="array" ref="F862">+TIPOARMA(H862,I862)</f>
        <v>#VALUE!</v>
      </c>
      <c r="G862" s="7"/>
      <c r="H862" s="7" t="e">
        <f>+VLOOKUP(Q862,Maps!I:J,2,0)</f>
        <v>#N/A</v>
      </c>
      <c r="I862" s="7" t="e">
        <f>+VLOOKUP(T862,Maps!E:F,2,0)</f>
        <v>#N/A</v>
      </c>
    </row>
    <row r="863" spans="1:9" ht="14.25" customHeight="1" x14ac:dyDescent="0.35">
      <c r="A863" s="7" t="str">
        <f t="array" ref="A863">EXTRACTEVENT(N863,V863)</f>
        <v/>
      </c>
      <c r="B863" s="7" t="str">
        <f t="shared" si="39"/>
        <v/>
      </c>
      <c r="C863" s="7"/>
      <c r="D863" s="7" t="str">
        <f t="shared" si="40"/>
        <v>E</v>
      </c>
      <c r="E863" s="10">
        <f t="shared" si="41"/>
        <v>0</v>
      </c>
      <c r="F863" s="7" t="e">
        <f t="array" ref="F863">+TIPOARMA(H863,I863)</f>
        <v>#VALUE!</v>
      </c>
      <c r="G863" s="7"/>
      <c r="H863" s="7" t="e">
        <f>+VLOOKUP(Q863,Maps!I:J,2,0)</f>
        <v>#N/A</v>
      </c>
      <c r="I863" s="7" t="e">
        <f>+VLOOKUP(T863,Maps!E:F,2,0)</f>
        <v>#N/A</v>
      </c>
    </row>
    <row r="864" spans="1:9" ht="14.25" customHeight="1" x14ac:dyDescent="0.35">
      <c r="A864" s="7" t="str">
        <f t="array" ref="A864">EXTRACTEVENT(N864,V864)</f>
        <v/>
      </c>
      <c r="B864" s="7" t="str">
        <f t="shared" si="39"/>
        <v/>
      </c>
      <c r="C864" s="7"/>
      <c r="D864" s="7" t="str">
        <f t="shared" si="40"/>
        <v>E</v>
      </c>
      <c r="E864" s="10">
        <f t="shared" si="41"/>
        <v>0</v>
      </c>
      <c r="F864" s="7" t="e">
        <f t="array" ref="F864">+TIPOARMA(H864,I864)</f>
        <v>#VALUE!</v>
      </c>
      <c r="G864" s="7"/>
      <c r="H864" s="7" t="e">
        <f>+VLOOKUP(Q864,Maps!I:J,2,0)</f>
        <v>#N/A</v>
      </c>
      <c r="I864" s="7" t="e">
        <f>+VLOOKUP(T864,Maps!E:F,2,0)</f>
        <v>#N/A</v>
      </c>
    </row>
    <row r="865" spans="1:9" ht="14.25" customHeight="1" x14ac:dyDescent="0.35">
      <c r="A865" s="7" t="str">
        <f t="array" ref="A865">EXTRACTEVENT(N865,V865)</f>
        <v/>
      </c>
      <c r="B865" s="7" t="str">
        <f t="shared" si="39"/>
        <v/>
      </c>
      <c r="C865" s="7"/>
      <c r="D865" s="7" t="str">
        <f t="shared" si="40"/>
        <v>E</v>
      </c>
      <c r="E865" s="10">
        <f t="shared" si="41"/>
        <v>0</v>
      </c>
      <c r="F865" s="7" t="e">
        <f t="array" ref="F865">+TIPOARMA(H865,I865)</f>
        <v>#VALUE!</v>
      </c>
      <c r="G865" s="7"/>
      <c r="H865" s="7" t="e">
        <f>+VLOOKUP(Q865,Maps!I:J,2,0)</f>
        <v>#N/A</v>
      </c>
      <c r="I865" s="7" t="e">
        <f>+VLOOKUP(T865,Maps!E:F,2,0)</f>
        <v>#N/A</v>
      </c>
    </row>
    <row r="866" spans="1:9" ht="14.25" customHeight="1" x14ac:dyDescent="0.35">
      <c r="A866" s="7" t="str">
        <f t="array" ref="A866">EXTRACTEVENT(N866,V866)</f>
        <v/>
      </c>
      <c r="B866" s="7" t="str">
        <f t="shared" si="39"/>
        <v/>
      </c>
      <c r="C866" s="7"/>
      <c r="D866" s="7" t="str">
        <f t="shared" si="40"/>
        <v>E</v>
      </c>
      <c r="E866" s="10">
        <f t="shared" si="41"/>
        <v>0</v>
      </c>
      <c r="F866" s="7" t="e">
        <f t="array" ref="F866">+TIPOARMA(H866,I866)</f>
        <v>#VALUE!</v>
      </c>
      <c r="G866" s="7"/>
      <c r="H866" s="7" t="e">
        <f>+VLOOKUP(Q866,Maps!I:J,2,0)</f>
        <v>#N/A</v>
      </c>
      <c r="I866" s="7" t="e">
        <f>+VLOOKUP(T866,Maps!E:F,2,0)</f>
        <v>#N/A</v>
      </c>
    </row>
    <row r="867" spans="1:9" ht="14.25" customHeight="1" x14ac:dyDescent="0.35">
      <c r="A867" s="7" t="str">
        <f t="array" ref="A867">EXTRACTEVENT(N867,V867)</f>
        <v/>
      </c>
      <c r="B867" s="7" t="str">
        <f t="shared" si="39"/>
        <v/>
      </c>
      <c r="C867" s="7"/>
      <c r="D867" s="7" t="str">
        <f t="shared" si="40"/>
        <v>E</v>
      </c>
      <c r="E867" s="10">
        <f t="shared" si="41"/>
        <v>0</v>
      </c>
      <c r="F867" s="7" t="e">
        <f t="array" ref="F867">+TIPOARMA(H867,I867)</f>
        <v>#VALUE!</v>
      </c>
      <c r="G867" s="7"/>
      <c r="H867" s="7" t="e">
        <f>+VLOOKUP(Q867,Maps!I:J,2,0)</f>
        <v>#N/A</v>
      </c>
      <c r="I867" s="7" t="e">
        <f>+VLOOKUP(T867,Maps!E:F,2,0)</f>
        <v>#N/A</v>
      </c>
    </row>
    <row r="868" spans="1:9" ht="14.25" customHeight="1" x14ac:dyDescent="0.35">
      <c r="A868" s="7" t="str">
        <f t="array" ref="A868">EXTRACTEVENT(N868,V868)</f>
        <v/>
      </c>
      <c r="B868" s="7" t="str">
        <f t="shared" si="39"/>
        <v/>
      </c>
      <c r="C868" s="7"/>
      <c r="D868" s="7" t="str">
        <f t="shared" si="40"/>
        <v>E</v>
      </c>
      <c r="E868" s="10">
        <f t="shared" si="41"/>
        <v>0</v>
      </c>
      <c r="F868" s="7" t="e">
        <f t="array" ref="F868">+TIPOARMA(H868,I868)</f>
        <v>#VALUE!</v>
      </c>
      <c r="G868" s="7"/>
      <c r="H868" s="7" t="e">
        <f>+VLOOKUP(Q868,Maps!I:J,2,0)</f>
        <v>#N/A</v>
      </c>
      <c r="I868" s="7" t="e">
        <f>+VLOOKUP(T868,Maps!E:F,2,0)</f>
        <v>#N/A</v>
      </c>
    </row>
    <row r="869" spans="1:9" ht="14.25" customHeight="1" x14ac:dyDescent="0.35">
      <c r="A869" s="7" t="str">
        <f t="array" ref="A869">EXTRACTEVENT(N869,V869)</f>
        <v/>
      </c>
      <c r="B869" s="7" t="str">
        <f t="shared" si="39"/>
        <v/>
      </c>
      <c r="C869" s="7"/>
      <c r="D869" s="7" t="str">
        <f t="shared" si="40"/>
        <v>E</v>
      </c>
      <c r="E869" s="10">
        <f t="shared" si="41"/>
        <v>0</v>
      </c>
      <c r="F869" s="7" t="e">
        <f t="array" ref="F869">+TIPOARMA(H869,I869)</f>
        <v>#VALUE!</v>
      </c>
      <c r="G869" s="7"/>
      <c r="H869" s="7" t="e">
        <f>+VLOOKUP(Q869,Maps!I:J,2,0)</f>
        <v>#N/A</v>
      </c>
      <c r="I869" s="7" t="e">
        <f>+VLOOKUP(T869,Maps!E:F,2,0)</f>
        <v>#N/A</v>
      </c>
    </row>
    <row r="870" spans="1:9" ht="14.25" customHeight="1" x14ac:dyDescent="0.35">
      <c r="A870" s="7" t="str">
        <f t="array" ref="A870">EXTRACTEVENT(N870,V870)</f>
        <v/>
      </c>
      <c r="B870" s="7" t="str">
        <f t="shared" si="39"/>
        <v/>
      </c>
      <c r="C870" s="7"/>
      <c r="D870" s="7" t="str">
        <f t="shared" si="40"/>
        <v>E</v>
      </c>
      <c r="E870" s="10">
        <f t="shared" si="41"/>
        <v>0</v>
      </c>
      <c r="F870" s="7" t="e">
        <f t="array" ref="F870">+TIPOARMA(H870,I870)</f>
        <v>#VALUE!</v>
      </c>
      <c r="G870" s="7"/>
      <c r="H870" s="7" t="e">
        <f>+VLOOKUP(Q870,Maps!I:J,2,0)</f>
        <v>#N/A</v>
      </c>
      <c r="I870" s="7" t="e">
        <f>+VLOOKUP(T870,Maps!E:F,2,0)</f>
        <v>#N/A</v>
      </c>
    </row>
    <row r="871" spans="1:9" ht="14.25" customHeight="1" x14ac:dyDescent="0.35">
      <c r="A871" s="7" t="str">
        <f t="array" ref="A871">EXTRACTEVENT(N871,V871)</f>
        <v/>
      </c>
      <c r="B871" s="7" t="str">
        <f t="shared" si="39"/>
        <v/>
      </c>
      <c r="C871" s="7"/>
      <c r="D871" s="7" t="str">
        <f t="shared" si="40"/>
        <v>E</v>
      </c>
      <c r="E871" s="10">
        <f t="shared" si="41"/>
        <v>0</v>
      </c>
      <c r="F871" s="7" t="e">
        <f t="array" ref="F871">+TIPOARMA(H871,I871)</f>
        <v>#VALUE!</v>
      </c>
      <c r="G871" s="7"/>
      <c r="H871" s="7" t="e">
        <f>+VLOOKUP(Q871,Maps!I:J,2,0)</f>
        <v>#N/A</v>
      </c>
      <c r="I871" s="7" t="e">
        <f>+VLOOKUP(T871,Maps!E:F,2,0)</f>
        <v>#N/A</v>
      </c>
    </row>
    <row r="872" spans="1:9" ht="14.25" customHeight="1" x14ac:dyDescent="0.35">
      <c r="A872" s="7" t="str">
        <f t="array" ref="A872">EXTRACTEVENT(N872,V872)</f>
        <v/>
      </c>
      <c r="B872" s="7" t="str">
        <f t="shared" si="39"/>
        <v/>
      </c>
      <c r="C872" s="7"/>
      <c r="D872" s="7" t="str">
        <f t="shared" si="40"/>
        <v>E</v>
      </c>
      <c r="E872" s="10">
        <f t="shared" si="41"/>
        <v>0</v>
      </c>
      <c r="F872" s="7" t="e">
        <f t="array" ref="F872">+TIPOARMA(H872,I872)</f>
        <v>#VALUE!</v>
      </c>
      <c r="G872" s="7"/>
      <c r="H872" s="7" t="e">
        <f>+VLOOKUP(Q872,Maps!I:J,2,0)</f>
        <v>#N/A</v>
      </c>
      <c r="I872" s="7" t="e">
        <f>+VLOOKUP(T872,Maps!E:F,2,0)</f>
        <v>#N/A</v>
      </c>
    </row>
    <row r="873" spans="1:9" ht="14.25" customHeight="1" x14ac:dyDescent="0.35">
      <c r="A873" s="7" t="str">
        <f t="array" ref="A873">EXTRACTEVENT(N873,V873)</f>
        <v/>
      </c>
      <c r="B873" s="7" t="str">
        <f t="shared" si="39"/>
        <v/>
      </c>
      <c r="C873" s="7"/>
      <c r="D873" s="7" t="str">
        <f t="shared" si="40"/>
        <v>E</v>
      </c>
      <c r="E873" s="10">
        <f t="shared" si="41"/>
        <v>0</v>
      </c>
      <c r="F873" s="7" t="e">
        <f t="array" ref="F873">+TIPOARMA(H873,I873)</f>
        <v>#VALUE!</v>
      </c>
      <c r="G873" s="7"/>
      <c r="H873" s="7" t="e">
        <f>+VLOOKUP(Q873,Maps!I:J,2,0)</f>
        <v>#N/A</v>
      </c>
      <c r="I873" s="7" t="e">
        <f>+VLOOKUP(T873,Maps!E:F,2,0)</f>
        <v>#N/A</v>
      </c>
    </row>
    <row r="874" spans="1:9" ht="14.25" customHeight="1" x14ac:dyDescent="0.35">
      <c r="A874" s="7" t="str">
        <f t="array" ref="A874">EXTRACTEVENT(N874,V874)</f>
        <v/>
      </c>
      <c r="B874" s="7" t="str">
        <f t="shared" si="39"/>
        <v/>
      </c>
      <c r="C874" s="7"/>
      <c r="D874" s="7" t="str">
        <f t="shared" si="40"/>
        <v>E</v>
      </c>
      <c r="E874" s="10">
        <f t="shared" si="41"/>
        <v>0</v>
      </c>
      <c r="F874" s="7" t="e">
        <f t="array" ref="F874">+TIPOARMA(H874,I874)</f>
        <v>#VALUE!</v>
      </c>
      <c r="G874" s="7"/>
      <c r="H874" s="7" t="e">
        <f>+VLOOKUP(Q874,Maps!I:J,2,0)</f>
        <v>#N/A</v>
      </c>
      <c r="I874" s="7" t="e">
        <f>+VLOOKUP(T874,Maps!E:F,2,0)</f>
        <v>#N/A</v>
      </c>
    </row>
    <row r="875" spans="1:9" ht="14.25" customHeight="1" x14ac:dyDescent="0.35">
      <c r="A875" s="7" t="str">
        <f t="array" ref="A875">EXTRACTEVENT(N875,V875)</f>
        <v/>
      </c>
      <c r="B875" s="7" t="str">
        <f t="shared" si="39"/>
        <v/>
      </c>
      <c r="C875" s="7"/>
      <c r="D875" s="7" t="str">
        <f t="shared" si="40"/>
        <v>E</v>
      </c>
      <c r="E875" s="10">
        <f t="shared" si="41"/>
        <v>0</v>
      </c>
      <c r="F875" s="7" t="e">
        <f t="array" ref="F875">+TIPOARMA(H875,I875)</f>
        <v>#VALUE!</v>
      </c>
      <c r="G875" s="7"/>
      <c r="H875" s="7" t="e">
        <f>+VLOOKUP(Q875,Maps!I:J,2,0)</f>
        <v>#N/A</v>
      </c>
      <c r="I875" s="7" t="e">
        <f>+VLOOKUP(T875,Maps!E:F,2,0)</f>
        <v>#N/A</v>
      </c>
    </row>
    <row r="876" spans="1:9" ht="14.25" customHeight="1" x14ac:dyDescent="0.35">
      <c r="A876" s="7" t="str">
        <f t="array" ref="A876">EXTRACTEVENT(N876,V876)</f>
        <v/>
      </c>
      <c r="B876" s="7" t="str">
        <f t="shared" si="39"/>
        <v/>
      </c>
      <c r="C876" s="7"/>
      <c r="D876" s="7" t="str">
        <f t="shared" si="40"/>
        <v>E</v>
      </c>
      <c r="E876" s="10">
        <f t="shared" si="41"/>
        <v>0</v>
      </c>
      <c r="F876" s="7" t="e">
        <f t="array" ref="F876">+TIPOARMA(H876,I876)</f>
        <v>#VALUE!</v>
      </c>
      <c r="G876" s="7"/>
      <c r="H876" s="7" t="e">
        <f>+VLOOKUP(Q876,Maps!I:J,2,0)</f>
        <v>#N/A</v>
      </c>
      <c r="I876" s="7" t="e">
        <f>+VLOOKUP(T876,Maps!E:F,2,0)</f>
        <v>#N/A</v>
      </c>
    </row>
    <row r="877" spans="1:9" ht="14.25" customHeight="1" x14ac:dyDescent="0.35">
      <c r="A877" s="7" t="str">
        <f t="array" ref="A877">EXTRACTEVENT(N877,V877)</f>
        <v/>
      </c>
      <c r="B877" s="7" t="str">
        <f t="shared" si="39"/>
        <v/>
      </c>
      <c r="C877" s="7"/>
      <c r="D877" s="7" t="str">
        <f t="shared" si="40"/>
        <v>E</v>
      </c>
      <c r="E877" s="10">
        <f t="shared" si="41"/>
        <v>0</v>
      </c>
      <c r="F877" s="7" t="e">
        <f t="array" ref="F877">+TIPOARMA(H877,I877)</f>
        <v>#VALUE!</v>
      </c>
      <c r="G877" s="7"/>
      <c r="H877" s="7" t="e">
        <f>+VLOOKUP(Q877,Maps!I:J,2,0)</f>
        <v>#N/A</v>
      </c>
      <c r="I877" s="7" t="e">
        <f>+VLOOKUP(T877,Maps!E:F,2,0)</f>
        <v>#N/A</v>
      </c>
    </row>
    <row r="878" spans="1:9" ht="14.25" customHeight="1" x14ac:dyDescent="0.35">
      <c r="A878" s="7" t="str">
        <f t="array" ref="A878">EXTRACTEVENT(N878,V878)</f>
        <v/>
      </c>
      <c r="B878" s="7" t="str">
        <f t="shared" si="39"/>
        <v/>
      </c>
      <c r="C878" s="7"/>
      <c r="D878" s="7" t="str">
        <f t="shared" si="40"/>
        <v>E</v>
      </c>
      <c r="E878" s="10">
        <f t="shared" si="41"/>
        <v>0</v>
      </c>
      <c r="F878" s="7" t="e">
        <f t="array" ref="F878">+TIPOARMA(H878,I878)</f>
        <v>#VALUE!</v>
      </c>
      <c r="G878" s="7"/>
      <c r="H878" s="7" t="e">
        <f>+VLOOKUP(Q878,Maps!I:J,2,0)</f>
        <v>#N/A</v>
      </c>
      <c r="I878" s="7" t="e">
        <f>+VLOOKUP(T878,Maps!E:F,2,0)</f>
        <v>#N/A</v>
      </c>
    </row>
    <row r="879" spans="1:9" ht="14.25" customHeight="1" x14ac:dyDescent="0.35">
      <c r="A879" s="7" t="str">
        <f t="array" ref="A879">EXTRACTEVENT(N879,V879)</f>
        <v/>
      </c>
      <c r="B879" s="7" t="str">
        <f t="shared" si="39"/>
        <v/>
      </c>
      <c r="C879" s="7"/>
      <c r="D879" s="7" t="str">
        <f t="shared" si="40"/>
        <v>E</v>
      </c>
      <c r="E879" s="10">
        <f t="shared" si="41"/>
        <v>0</v>
      </c>
      <c r="F879" s="7" t="e">
        <f t="array" ref="F879">+TIPOARMA(H879,I879)</f>
        <v>#VALUE!</v>
      </c>
      <c r="G879" s="7"/>
      <c r="H879" s="7" t="e">
        <f>+VLOOKUP(Q879,Maps!I:J,2,0)</f>
        <v>#N/A</v>
      </c>
      <c r="I879" s="7" t="e">
        <f>+VLOOKUP(T879,Maps!E:F,2,0)</f>
        <v>#N/A</v>
      </c>
    </row>
    <row r="880" spans="1:9" ht="14.25" customHeight="1" x14ac:dyDescent="0.35">
      <c r="A880" s="7" t="str">
        <f t="array" ref="A880">EXTRACTEVENT(N880,V880)</f>
        <v/>
      </c>
      <c r="B880" s="7" t="str">
        <f t="shared" si="39"/>
        <v/>
      </c>
      <c r="C880" s="7"/>
      <c r="D880" s="7" t="str">
        <f t="shared" si="40"/>
        <v>E</v>
      </c>
      <c r="E880" s="10">
        <f t="shared" si="41"/>
        <v>0</v>
      </c>
      <c r="F880" s="7" t="e">
        <f t="array" ref="F880">+TIPOARMA(H880,I880)</f>
        <v>#VALUE!</v>
      </c>
      <c r="G880" s="7"/>
      <c r="H880" s="7" t="e">
        <f>+VLOOKUP(Q880,Maps!I:J,2,0)</f>
        <v>#N/A</v>
      </c>
      <c r="I880" s="7" t="e">
        <f>+VLOOKUP(T880,Maps!E:F,2,0)</f>
        <v>#N/A</v>
      </c>
    </row>
    <row r="881" spans="1:9" ht="14.25" customHeight="1" x14ac:dyDescent="0.35">
      <c r="A881" s="7" t="str">
        <f t="array" ref="A881">EXTRACTEVENT(N881,V881)</f>
        <v/>
      </c>
      <c r="B881" s="7" t="str">
        <f t="shared" si="39"/>
        <v/>
      </c>
      <c r="C881" s="7"/>
      <c r="D881" s="7" t="str">
        <f t="shared" si="40"/>
        <v>E</v>
      </c>
      <c r="E881" s="10">
        <f t="shared" si="41"/>
        <v>0</v>
      </c>
      <c r="F881" s="7" t="e">
        <f t="array" ref="F881">+TIPOARMA(H881,I881)</f>
        <v>#VALUE!</v>
      </c>
      <c r="G881" s="7"/>
      <c r="H881" s="7" t="e">
        <f>+VLOOKUP(Q881,Maps!I:J,2,0)</f>
        <v>#N/A</v>
      </c>
      <c r="I881" s="7" t="e">
        <f>+VLOOKUP(T881,Maps!E:F,2,0)</f>
        <v>#N/A</v>
      </c>
    </row>
    <row r="882" spans="1:9" ht="14.25" customHeight="1" x14ac:dyDescent="0.35">
      <c r="A882" s="7" t="str">
        <f t="array" ref="A882">EXTRACTEVENT(N882,V882)</f>
        <v/>
      </c>
      <c r="B882" s="7" t="str">
        <f t="shared" si="39"/>
        <v/>
      </c>
      <c r="C882" s="7"/>
      <c r="D882" s="7" t="str">
        <f t="shared" si="40"/>
        <v>E</v>
      </c>
      <c r="E882" s="10">
        <f t="shared" si="41"/>
        <v>0</v>
      </c>
      <c r="F882" s="7" t="e">
        <f t="array" ref="F882">+TIPOARMA(H882,I882)</f>
        <v>#VALUE!</v>
      </c>
      <c r="G882" s="7"/>
      <c r="H882" s="7" t="e">
        <f>+VLOOKUP(Q882,Maps!I:J,2,0)</f>
        <v>#N/A</v>
      </c>
      <c r="I882" s="7" t="e">
        <f>+VLOOKUP(T882,Maps!E:F,2,0)</f>
        <v>#N/A</v>
      </c>
    </row>
    <row r="883" spans="1:9" ht="14.25" customHeight="1" x14ac:dyDescent="0.35">
      <c r="A883" s="7" t="str">
        <f t="array" ref="A883">EXTRACTEVENT(N883,V883)</f>
        <v/>
      </c>
      <c r="B883" s="7" t="str">
        <f t="shared" si="39"/>
        <v/>
      </c>
      <c r="C883" s="7"/>
      <c r="D883" s="7" t="str">
        <f t="shared" si="40"/>
        <v>E</v>
      </c>
      <c r="E883" s="10">
        <f t="shared" si="41"/>
        <v>0</v>
      </c>
      <c r="F883" s="7" t="e">
        <f t="array" ref="F883">+TIPOARMA(H883,I883)</f>
        <v>#VALUE!</v>
      </c>
      <c r="G883" s="7"/>
      <c r="H883" s="7" t="e">
        <f>+VLOOKUP(Q883,Maps!I:J,2,0)</f>
        <v>#N/A</v>
      </c>
      <c r="I883" s="7" t="e">
        <f>+VLOOKUP(T883,Maps!E:F,2,0)</f>
        <v>#N/A</v>
      </c>
    </row>
    <row r="884" spans="1:9" ht="14.25" customHeight="1" x14ac:dyDescent="0.35">
      <c r="A884" s="7" t="str">
        <f t="array" ref="A884">EXTRACTEVENT(N884,V884)</f>
        <v/>
      </c>
      <c r="B884" s="7" t="str">
        <f t="shared" si="39"/>
        <v/>
      </c>
      <c r="C884" s="7"/>
      <c r="D884" s="7" t="str">
        <f t="shared" si="40"/>
        <v>E</v>
      </c>
      <c r="E884" s="10">
        <f t="shared" si="41"/>
        <v>0</v>
      </c>
      <c r="F884" s="7" t="e">
        <f t="array" ref="F884">+TIPOARMA(H884,I884)</f>
        <v>#VALUE!</v>
      </c>
      <c r="G884" s="7"/>
      <c r="H884" s="7" t="e">
        <f>+VLOOKUP(Q884,Maps!I:J,2,0)</f>
        <v>#N/A</v>
      </c>
      <c r="I884" s="7" t="e">
        <f>+VLOOKUP(T884,Maps!E:F,2,0)</f>
        <v>#N/A</v>
      </c>
    </row>
    <row r="885" spans="1:9" ht="14.25" customHeight="1" x14ac:dyDescent="0.35">
      <c r="A885" s="7" t="str">
        <f t="array" ref="A885">EXTRACTEVENT(N885,V885)</f>
        <v/>
      </c>
      <c r="B885" s="7" t="str">
        <f t="shared" si="39"/>
        <v/>
      </c>
      <c r="C885" s="7"/>
      <c r="D885" s="7" t="str">
        <f t="shared" si="40"/>
        <v>E</v>
      </c>
      <c r="E885" s="10">
        <f t="shared" si="41"/>
        <v>0</v>
      </c>
      <c r="F885" s="7" t="e">
        <f t="array" ref="F885">+TIPOARMA(H885,I885)</f>
        <v>#VALUE!</v>
      </c>
      <c r="G885" s="7"/>
      <c r="H885" s="7" t="e">
        <f>+VLOOKUP(Q885,Maps!I:J,2,0)</f>
        <v>#N/A</v>
      </c>
      <c r="I885" s="7" t="e">
        <f>+VLOOKUP(T885,Maps!E:F,2,0)</f>
        <v>#N/A</v>
      </c>
    </row>
    <row r="886" spans="1:9" ht="14.25" customHeight="1" x14ac:dyDescent="0.35">
      <c r="A886" s="7" t="str">
        <f t="array" ref="A886">EXTRACTEVENT(N886,V886)</f>
        <v/>
      </c>
      <c r="B886" s="7" t="str">
        <f t="shared" si="39"/>
        <v/>
      </c>
      <c r="C886" s="7"/>
      <c r="D886" s="7" t="str">
        <f t="shared" si="40"/>
        <v>E</v>
      </c>
      <c r="E886" s="10">
        <f t="shared" si="41"/>
        <v>0</v>
      </c>
      <c r="F886" s="7" t="e">
        <f t="array" ref="F886">+TIPOARMA(H886,I886)</f>
        <v>#VALUE!</v>
      </c>
      <c r="G886" s="7"/>
      <c r="H886" s="7" t="e">
        <f>+VLOOKUP(Q886,Maps!I:J,2,0)</f>
        <v>#N/A</v>
      </c>
      <c r="I886" s="7" t="e">
        <f>+VLOOKUP(T886,Maps!E:F,2,0)</f>
        <v>#N/A</v>
      </c>
    </row>
    <row r="887" spans="1:9" ht="14.25" customHeight="1" x14ac:dyDescent="0.35">
      <c r="A887" s="7" t="str">
        <f t="array" ref="A887">EXTRACTEVENT(N887,V887)</f>
        <v/>
      </c>
      <c r="B887" s="7" t="str">
        <f t="shared" si="39"/>
        <v/>
      </c>
      <c r="C887" s="7"/>
      <c r="D887" s="7" t="str">
        <f t="shared" si="40"/>
        <v>E</v>
      </c>
      <c r="E887" s="10">
        <f t="shared" si="41"/>
        <v>0</v>
      </c>
      <c r="F887" s="7" t="e">
        <f t="array" ref="F887">+TIPOARMA(H887,I887)</f>
        <v>#VALUE!</v>
      </c>
      <c r="G887" s="7"/>
      <c r="H887" s="7" t="e">
        <f>+VLOOKUP(Q887,Maps!I:J,2,0)</f>
        <v>#N/A</v>
      </c>
      <c r="I887" s="7" t="e">
        <f>+VLOOKUP(T887,Maps!E:F,2,0)</f>
        <v>#N/A</v>
      </c>
    </row>
    <row r="888" spans="1:9" ht="14.25" customHeight="1" x14ac:dyDescent="0.35">
      <c r="A888" s="7" t="str">
        <f t="array" ref="A888">EXTRACTEVENT(N888,V888)</f>
        <v/>
      </c>
      <c r="B888" s="7" t="str">
        <f t="shared" si="39"/>
        <v/>
      </c>
      <c r="C888" s="7"/>
      <c r="D888" s="7" t="str">
        <f t="shared" si="40"/>
        <v>E</v>
      </c>
      <c r="E888" s="10">
        <f t="shared" si="41"/>
        <v>0</v>
      </c>
      <c r="F888" s="7" t="e">
        <f t="array" ref="F888">+TIPOARMA(H888,I888)</f>
        <v>#VALUE!</v>
      </c>
      <c r="G888" s="7"/>
      <c r="H888" s="7" t="e">
        <f>+VLOOKUP(Q888,Maps!I:J,2,0)</f>
        <v>#N/A</v>
      </c>
      <c r="I888" s="7" t="e">
        <f>+VLOOKUP(T888,Maps!E:F,2,0)</f>
        <v>#N/A</v>
      </c>
    </row>
    <row r="889" spans="1:9" ht="14.25" customHeight="1" x14ac:dyDescent="0.35">
      <c r="A889" s="7" t="str">
        <f t="array" ref="A889">EXTRACTEVENT(N889,V889)</f>
        <v/>
      </c>
      <c r="B889" s="7" t="str">
        <f t="shared" si="39"/>
        <v/>
      </c>
      <c r="C889" s="7"/>
      <c r="D889" s="7" t="str">
        <f t="shared" si="40"/>
        <v>E</v>
      </c>
      <c r="E889" s="10">
        <f t="shared" si="41"/>
        <v>0</v>
      </c>
      <c r="F889" s="7" t="e">
        <f t="array" ref="F889">+TIPOARMA(H889,I889)</f>
        <v>#VALUE!</v>
      </c>
      <c r="G889" s="7"/>
      <c r="H889" s="7" t="e">
        <f>+VLOOKUP(Q889,Maps!I:J,2,0)</f>
        <v>#N/A</v>
      </c>
      <c r="I889" s="7" t="e">
        <f>+VLOOKUP(T889,Maps!E:F,2,0)</f>
        <v>#N/A</v>
      </c>
    </row>
    <row r="890" spans="1:9" ht="14.25" customHeight="1" x14ac:dyDescent="0.35">
      <c r="A890" s="7" t="str">
        <f t="array" ref="A890">EXTRACTEVENT(N890,V890)</f>
        <v/>
      </c>
      <c r="B890" s="7" t="str">
        <f t="shared" si="39"/>
        <v/>
      </c>
      <c r="C890" s="7"/>
      <c r="D890" s="7" t="str">
        <f t="shared" si="40"/>
        <v>E</v>
      </c>
      <c r="E890" s="10">
        <f t="shared" si="41"/>
        <v>0</v>
      </c>
      <c r="F890" s="7" t="e">
        <f t="array" ref="F890">+TIPOARMA(H890,I890)</f>
        <v>#VALUE!</v>
      </c>
      <c r="G890" s="7"/>
      <c r="H890" s="7" t="e">
        <f>+VLOOKUP(Q890,Maps!I:J,2,0)</f>
        <v>#N/A</v>
      </c>
      <c r="I890" s="7" t="e">
        <f>+VLOOKUP(T890,Maps!E:F,2,0)</f>
        <v>#N/A</v>
      </c>
    </row>
    <row r="891" spans="1:9" ht="14.25" customHeight="1" x14ac:dyDescent="0.35">
      <c r="A891" s="7" t="str">
        <f t="array" ref="A891">EXTRACTEVENT(N891,V891)</f>
        <v/>
      </c>
      <c r="B891" s="7" t="str">
        <f t="shared" si="39"/>
        <v/>
      </c>
      <c r="C891" s="7"/>
      <c r="D891" s="7" t="str">
        <f t="shared" si="40"/>
        <v>E</v>
      </c>
      <c r="E891" s="10">
        <f t="shared" si="41"/>
        <v>0</v>
      </c>
      <c r="F891" s="7" t="e">
        <f t="array" ref="F891">+TIPOARMA(H891,I891)</f>
        <v>#VALUE!</v>
      </c>
      <c r="G891" s="7"/>
      <c r="H891" s="7" t="e">
        <f>+VLOOKUP(Q891,Maps!I:J,2,0)</f>
        <v>#N/A</v>
      </c>
      <c r="I891" s="7" t="e">
        <f>+VLOOKUP(T891,Maps!E:F,2,0)</f>
        <v>#N/A</v>
      </c>
    </row>
    <row r="892" spans="1:9" ht="14.25" customHeight="1" x14ac:dyDescent="0.35">
      <c r="A892" s="7" t="str">
        <f t="array" ref="A892">EXTRACTEVENT(N892,V892)</f>
        <v/>
      </c>
      <c r="B892" s="7" t="str">
        <f t="shared" si="39"/>
        <v/>
      </c>
      <c r="C892" s="7"/>
      <c r="D892" s="7" t="str">
        <f t="shared" si="40"/>
        <v>E</v>
      </c>
      <c r="E892" s="10">
        <f t="shared" si="41"/>
        <v>0</v>
      </c>
      <c r="F892" s="7" t="e">
        <f t="array" ref="F892">+TIPOARMA(H892,I892)</f>
        <v>#VALUE!</v>
      </c>
      <c r="G892" s="7"/>
      <c r="H892" s="7" t="e">
        <f>+VLOOKUP(Q892,Maps!I:J,2,0)</f>
        <v>#N/A</v>
      </c>
      <c r="I892" s="7" t="e">
        <f>+VLOOKUP(T892,Maps!E:F,2,0)</f>
        <v>#N/A</v>
      </c>
    </row>
    <row r="893" spans="1:9" ht="14.25" customHeight="1" x14ac:dyDescent="0.35">
      <c r="A893" s="7" t="str">
        <f t="array" ref="A893">EXTRACTEVENT(N893,V893)</f>
        <v/>
      </c>
      <c r="B893" s="7" t="str">
        <f t="shared" si="39"/>
        <v/>
      </c>
      <c r="C893" s="7"/>
      <c r="D893" s="7" t="str">
        <f t="shared" si="40"/>
        <v>E</v>
      </c>
      <c r="E893" s="10">
        <f t="shared" si="41"/>
        <v>0</v>
      </c>
      <c r="F893" s="7" t="e">
        <f t="array" ref="F893">+TIPOARMA(H893,I893)</f>
        <v>#VALUE!</v>
      </c>
      <c r="G893" s="7"/>
      <c r="H893" s="7" t="e">
        <f>+VLOOKUP(Q893,Maps!I:J,2,0)</f>
        <v>#N/A</v>
      </c>
      <c r="I893" s="7" t="e">
        <f>+VLOOKUP(T893,Maps!E:F,2,0)</f>
        <v>#N/A</v>
      </c>
    </row>
    <row r="894" spans="1:9" ht="14.25" customHeight="1" x14ac:dyDescent="0.35">
      <c r="A894" s="7" t="str">
        <f t="array" ref="A894">EXTRACTEVENT(N894,V894)</f>
        <v/>
      </c>
      <c r="B894" s="7" t="str">
        <f t="shared" si="39"/>
        <v/>
      </c>
      <c r="C894" s="7"/>
      <c r="D894" s="7" t="str">
        <f t="shared" si="40"/>
        <v>E</v>
      </c>
      <c r="E894" s="10">
        <f t="shared" si="41"/>
        <v>0</v>
      </c>
      <c r="F894" s="7" t="e">
        <f t="array" ref="F894">+TIPOARMA(H894,I894)</f>
        <v>#VALUE!</v>
      </c>
      <c r="G894" s="7"/>
      <c r="H894" s="7" t="e">
        <f>+VLOOKUP(Q894,Maps!I:J,2,0)</f>
        <v>#N/A</v>
      </c>
      <c r="I894" s="7" t="e">
        <f>+VLOOKUP(T894,Maps!E:F,2,0)</f>
        <v>#N/A</v>
      </c>
    </row>
    <row r="895" spans="1:9" ht="14.25" customHeight="1" x14ac:dyDescent="0.35">
      <c r="A895" s="7" t="str">
        <f t="array" ref="A895">EXTRACTEVENT(N895,V895)</f>
        <v/>
      </c>
      <c r="B895" s="7" t="str">
        <f t="shared" si="39"/>
        <v/>
      </c>
      <c r="C895" s="7"/>
      <c r="D895" s="7" t="str">
        <f t="shared" si="40"/>
        <v>E</v>
      </c>
      <c r="E895" s="10">
        <f t="shared" si="41"/>
        <v>0</v>
      </c>
      <c r="F895" s="7" t="e">
        <f t="array" ref="F895">+TIPOARMA(H895,I895)</f>
        <v>#VALUE!</v>
      </c>
      <c r="G895" s="7"/>
      <c r="H895" s="7" t="e">
        <f>+VLOOKUP(Q895,Maps!I:J,2,0)</f>
        <v>#N/A</v>
      </c>
      <c r="I895" s="7" t="e">
        <f>+VLOOKUP(T895,Maps!E:F,2,0)</f>
        <v>#N/A</v>
      </c>
    </row>
    <row r="896" spans="1:9" ht="14.25" customHeight="1" x14ac:dyDescent="0.35">
      <c r="A896" s="7" t="str">
        <f t="array" ref="A896">EXTRACTEVENT(N896,V896)</f>
        <v/>
      </c>
      <c r="B896" s="7" t="str">
        <f t="shared" si="39"/>
        <v/>
      </c>
      <c r="C896" s="7"/>
      <c r="D896" s="7" t="str">
        <f t="shared" si="40"/>
        <v>E</v>
      </c>
      <c r="E896" s="10">
        <f t="shared" si="41"/>
        <v>0</v>
      </c>
      <c r="F896" s="7" t="e">
        <f t="array" ref="F896">+TIPOARMA(H896,I896)</f>
        <v>#VALUE!</v>
      </c>
      <c r="G896" s="7"/>
      <c r="H896" s="7" t="e">
        <f>+VLOOKUP(Q896,Maps!I:J,2,0)</f>
        <v>#N/A</v>
      </c>
      <c r="I896" s="7" t="e">
        <f>+VLOOKUP(T896,Maps!E:F,2,0)</f>
        <v>#N/A</v>
      </c>
    </row>
    <row r="897" spans="1:9" ht="14.25" customHeight="1" x14ac:dyDescent="0.35">
      <c r="A897" s="7" t="str">
        <f t="array" ref="A897">EXTRACTEVENT(N897,V897)</f>
        <v/>
      </c>
      <c r="B897" s="7" t="str">
        <f t="shared" si="39"/>
        <v/>
      </c>
      <c r="C897" s="7"/>
      <c r="D897" s="7" t="str">
        <f t="shared" si="40"/>
        <v>E</v>
      </c>
      <c r="E897" s="10">
        <f t="shared" si="41"/>
        <v>0</v>
      </c>
      <c r="F897" s="7" t="e">
        <f t="array" ref="F897">+TIPOARMA(H897,I897)</f>
        <v>#VALUE!</v>
      </c>
      <c r="G897" s="7"/>
      <c r="H897" s="7" t="e">
        <f>+VLOOKUP(Q897,Maps!I:J,2,0)</f>
        <v>#N/A</v>
      </c>
      <c r="I897" s="7" t="e">
        <f>+VLOOKUP(T897,Maps!E:F,2,0)</f>
        <v>#N/A</v>
      </c>
    </row>
    <row r="898" spans="1:9" ht="14.25" customHeight="1" x14ac:dyDescent="0.35">
      <c r="A898" s="7" t="str">
        <f t="array" ref="A898">EXTRACTEVENT(N898,V898)</f>
        <v/>
      </c>
      <c r="B898" s="7" t="str">
        <f t="shared" ref="B898:B961" si="42">+IF(V898="TREINO","-",LEFT(N898,1))</f>
        <v/>
      </c>
      <c r="C898" s="7"/>
      <c r="D898" s="7" t="str">
        <f t="shared" ref="D898:D961" si="43">+IF($V898="TREINO","T",IF(V898="NACIONAL","N","E"))</f>
        <v>E</v>
      </c>
      <c r="E898" s="10">
        <f t="shared" ref="E898:E961" si="44">IFERROR(DATEVALUE(LEFT(M898,10)),M898)</f>
        <v>0</v>
      </c>
      <c r="F898" s="7" t="e">
        <f t="array" ref="F898">+TIPOARMA(H898,I898)</f>
        <v>#VALUE!</v>
      </c>
      <c r="G898" s="7"/>
      <c r="H898" s="7" t="e">
        <f>+VLOOKUP(Q898,Maps!I:J,2,0)</f>
        <v>#N/A</v>
      </c>
      <c r="I898" s="7" t="e">
        <f>+VLOOKUP(T898,Maps!E:F,2,0)</f>
        <v>#N/A</v>
      </c>
    </row>
    <row r="899" spans="1:9" ht="14.25" customHeight="1" x14ac:dyDescent="0.35">
      <c r="A899" s="7" t="str">
        <f t="array" ref="A899">EXTRACTEVENT(N899,V899)</f>
        <v/>
      </c>
      <c r="B899" s="7" t="str">
        <f t="shared" si="42"/>
        <v/>
      </c>
      <c r="C899" s="7"/>
      <c r="D899" s="7" t="str">
        <f t="shared" si="43"/>
        <v>E</v>
      </c>
      <c r="E899" s="10">
        <f t="shared" si="44"/>
        <v>0</v>
      </c>
      <c r="F899" s="7" t="e">
        <f t="array" ref="F899">+TIPOARMA(H899,I899)</f>
        <v>#VALUE!</v>
      </c>
      <c r="G899" s="7"/>
      <c r="H899" s="7" t="e">
        <f>+VLOOKUP(Q899,Maps!I:J,2,0)</f>
        <v>#N/A</v>
      </c>
      <c r="I899" s="7" t="e">
        <f>+VLOOKUP(T899,Maps!E:F,2,0)</f>
        <v>#N/A</v>
      </c>
    </row>
    <row r="900" spans="1:9" ht="14.25" customHeight="1" x14ac:dyDescent="0.35">
      <c r="A900" s="7" t="str">
        <f t="array" ref="A900">EXTRACTEVENT(N900,V900)</f>
        <v/>
      </c>
      <c r="B900" s="7" t="str">
        <f t="shared" si="42"/>
        <v/>
      </c>
      <c r="C900" s="7"/>
      <c r="D900" s="7" t="str">
        <f t="shared" si="43"/>
        <v>E</v>
      </c>
      <c r="E900" s="10">
        <f t="shared" si="44"/>
        <v>0</v>
      </c>
      <c r="F900" s="7" t="e">
        <f t="array" ref="F900">+TIPOARMA(H900,I900)</f>
        <v>#VALUE!</v>
      </c>
      <c r="G900" s="7"/>
      <c r="H900" s="7" t="e">
        <f>+VLOOKUP(Q900,Maps!I:J,2,0)</f>
        <v>#N/A</v>
      </c>
      <c r="I900" s="7" t="e">
        <f>+VLOOKUP(T900,Maps!E:F,2,0)</f>
        <v>#N/A</v>
      </c>
    </row>
    <row r="901" spans="1:9" ht="14.25" customHeight="1" x14ac:dyDescent="0.35">
      <c r="A901" s="7" t="str">
        <f t="array" ref="A901">EXTRACTEVENT(N901,V901)</f>
        <v/>
      </c>
      <c r="B901" s="7" t="str">
        <f t="shared" si="42"/>
        <v/>
      </c>
      <c r="C901" s="7"/>
      <c r="D901" s="7" t="str">
        <f t="shared" si="43"/>
        <v>E</v>
      </c>
      <c r="E901" s="10">
        <f t="shared" si="44"/>
        <v>0</v>
      </c>
      <c r="F901" s="7" t="e">
        <f t="array" ref="F901">+TIPOARMA(H901,I901)</f>
        <v>#VALUE!</v>
      </c>
      <c r="G901" s="7"/>
      <c r="H901" s="7" t="e">
        <f>+VLOOKUP(Q901,Maps!I:J,2,0)</f>
        <v>#N/A</v>
      </c>
      <c r="I901" s="7" t="e">
        <f>+VLOOKUP(T901,Maps!E:F,2,0)</f>
        <v>#N/A</v>
      </c>
    </row>
    <row r="902" spans="1:9" ht="14.25" customHeight="1" x14ac:dyDescent="0.35">
      <c r="A902" s="7" t="str">
        <f t="array" ref="A902">EXTRACTEVENT(N902,V902)</f>
        <v/>
      </c>
      <c r="B902" s="7" t="str">
        <f t="shared" si="42"/>
        <v/>
      </c>
      <c r="C902" s="7"/>
      <c r="D902" s="7" t="str">
        <f t="shared" si="43"/>
        <v>E</v>
      </c>
      <c r="E902" s="10">
        <f t="shared" si="44"/>
        <v>0</v>
      </c>
      <c r="F902" s="7" t="e">
        <f t="array" ref="F902">+TIPOARMA(H902,I902)</f>
        <v>#VALUE!</v>
      </c>
      <c r="G902" s="7"/>
      <c r="H902" s="7" t="e">
        <f>+VLOOKUP(Q902,Maps!I:J,2,0)</f>
        <v>#N/A</v>
      </c>
      <c r="I902" s="7" t="e">
        <f>+VLOOKUP(T902,Maps!E:F,2,0)</f>
        <v>#N/A</v>
      </c>
    </row>
    <row r="903" spans="1:9" ht="14.25" customHeight="1" x14ac:dyDescent="0.35">
      <c r="A903" s="7" t="str">
        <f t="array" ref="A903">EXTRACTEVENT(N903,V903)</f>
        <v/>
      </c>
      <c r="B903" s="7" t="str">
        <f t="shared" si="42"/>
        <v/>
      </c>
      <c r="C903" s="7"/>
      <c r="D903" s="7" t="str">
        <f t="shared" si="43"/>
        <v>E</v>
      </c>
      <c r="E903" s="10">
        <f t="shared" si="44"/>
        <v>0</v>
      </c>
      <c r="F903" s="7" t="e">
        <f t="array" ref="F903">+TIPOARMA(H903,I903)</f>
        <v>#VALUE!</v>
      </c>
      <c r="G903" s="7"/>
      <c r="H903" s="7" t="e">
        <f>+VLOOKUP(Q903,Maps!I:J,2,0)</f>
        <v>#N/A</v>
      </c>
      <c r="I903" s="7" t="e">
        <f>+VLOOKUP(T903,Maps!E:F,2,0)</f>
        <v>#N/A</v>
      </c>
    </row>
    <row r="904" spans="1:9" ht="14.25" customHeight="1" x14ac:dyDescent="0.35">
      <c r="A904" s="7" t="str">
        <f t="array" ref="A904">EXTRACTEVENT(N904,V904)</f>
        <v/>
      </c>
      <c r="B904" s="7" t="str">
        <f t="shared" si="42"/>
        <v/>
      </c>
      <c r="C904" s="7"/>
      <c r="D904" s="7" t="str">
        <f t="shared" si="43"/>
        <v>E</v>
      </c>
      <c r="E904" s="10">
        <f t="shared" si="44"/>
        <v>0</v>
      </c>
      <c r="F904" s="7" t="e">
        <f t="array" ref="F904">+TIPOARMA(H904,I904)</f>
        <v>#VALUE!</v>
      </c>
      <c r="G904" s="7"/>
      <c r="H904" s="7" t="e">
        <f>+VLOOKUP(Q904,Maps!I:J,2,0)</f>
        <v>#N/A</v>
      </c>
      <c r="I904" s="7" t="e">
        <f>+VLOOKUP(T904,Maps!E:F,2,0)</f>
        <v>#N/A</v>
      </c>
    </row>
    <row r="905" spans="1:9" ht="14.25" customHeight="1" x14ac:dyDescent="0.35">
      <c r="A905" s="7" t="str">
        <f t="array" ref="A905">EXTRACTEVENT(N905,V905)</f>
        <v/>
      </c>
      <c r="B905" s="7" t="str">
        <f t="shared" si="42"/>
        <v/>
      </c>
      <c r="C905" s="7"/>
      <c r="D905" s="7" t="str">
        <f t="shared" si="43"/>
        <v>E</v>
      </c>
      <c r="E905" s="10">
        <f t="shared" si="44"/>
        <v>0</v>
      </c>
      <c r="F905" s="7" t="e">
        <f t="array" ref="F905">+TIPOARMA(H905,I905)</f>
        <v>#VALUE!</v>
      </c>
      <c r="G905" s="7"/>
      <c r="H905" s="7" t="e">
        <f>+VLOOKUP(Q905,Maps!I:J,2,0)</f>
        <v>#N/A</v>
      </c>
      <c r="I905" s="7" t="e">
        <f>+VLOOKUP(T905,Maps!E:F,2,0)</f>
        <v>#N/A</v>
      </c>
    </row>
    <row r="906" spans="1:9" ht="14.25" customHeight="1" x14ac:dyDescent="0.35">
      <c r="A906" s="7" t="str">
        <f t="array" ref="A906">EXTRACTEVENT(N906,V906)</f>
        <v/>
      </c>
      <c r="B906" s="7" t="str">
        <f t="shared" si="42"/>
        <v/>
      </c>
      <c r="C906" s="7"/>
      <c r="D906" s="7" t="str">
        <f t="shared" si="43"/>
        <v>E</v>
      </c>
      <c r="E906" s="10">
        <f t="shared" si="44"/>
        <v>0</v>
      </c>
      <c r="F906" s="7" t="e">
        <f t="array" ref="F906">+TIPOARMA(H906,I906)</f>
        <v>#VALUE!</v>
      </c>
      <c r="G906" s="7"/>
      <c r="H906" s="7" t="e">
        <f>+VLOOKUP(Q906,Maps!I:J,2,0)</f>
        <v>#N/A</v>
      </c>
      <c r="I906" s="7" t="e">
        <f>+VLOOKUP(T906,Maps!E:F,2,0)</f>
        <v>#N/A</v>
      </c>
    </row>
    <row r="907" spans="1:9" ht="14.25" customHeight="1" x14ac:dyDescent="0.35">
      <c r="A907" s="7" t="str">
        <f t="array" ref="A907">EXTRACTEVENT(N907,V907)</f>
        <v/>
      </c>
      <c r="B907" s="7" t="str">
        <f t="shared" si="42"/>
        <v/>
      </c>
      <c r="C907" s="7"/>
      <c r="D907" s="7" t="str">
        <f t="shared" si="43"/>
        <v>E</v>
      </c>
      <c r="E907" s="10">
        <f t="shared" si="44"/>
        <v>0</v>
      </c>
      <c r="F907" s="7" t="e">
        <f t="array" ref="F907">+TIPOARMA(H907,I907)</f>
        <v>#VALUE!</v>
      </c>
      <c r="G907" s="7"/>
      <c r="H907" s="7" t="e">
        <f>+VLOOKUP(Q907,Maps!I:J,2,0)</f>
        <v>#N/A</v>
      </c>
      <c r="I907" s="7" t="e">
        <f>+VLOOKUP(T907,Maps!E:F,2,0)</f>
        <v>#N/A</v>
      </c>
    </row>
    <row r="908" spans="1:9" ht="14.25" customHeight="1" x14ac:dyDescent="0.35">
      <c r="A908" s="7" t="str">
        <f t="array" ref="A908">EXTRACTEVENT(N908,V908)</f>
        <v/>
      </c>
      <c r="B908" s="7" t="str">
        <f t="shared" si="42"/>
        <v/>
      </c>
      <c r="C908" s="7"/>
      <c r="D908" s="7" t="str">
        <f t="shared" si="43"/>
        <v>E</v>
      </c>
      <c r="E908" s="10">
        <f t="shared" si="44"/>
        <v>0</v>
      </c>
      <c r="F908" s="7" t="e">
        <f t="array" ref="F908">+TIPOARMA(H908,I908)</f>
        <v>#VALUE!</v>
      </c>
      <c r="G908" s="7"/>
      <c r="H908" s="7" t="e">
        <f>+VLOOKUP(Q908,Maps!I:J,2,0)</f>
        <v>#N/A</v>
      </c>
      <c r="I908" s="7" t="e">
        <f>+VLOOKUP(T908,Maps!E:F,2,0)</f>
        <v>#N/A</v>
      </c>
    </row>
    <row r="909" spans="1:9" ht="14.25" customHeight="1" x14ac:dyDescent="0.35">
      <c r="A909" s="7" t="str">
        <f t="array" ref="A909">EXTRACTEVENT(N909,V909)</f>
        <v/>
      </c>
      <c r="B909" s="7" t="str">
        <f t="shared" si="42"/>
        <v/>
      </c>
      <c r="C909" s="7"/>
      <c r="D909" s="7" t="str">
        <f t="shared" si="43"/>
        <v>E</v>
      </c>
      <c r="E909" s="10">
        <f t="shared" si="44"/>
        <v>0</v>
      </c>
      <c r="F909" s="7" t="e">
        <f t="array" ref="F909">+TIPOARMA(H909,I909)</f>
        <v>#VALUE!</v>
      </c>
      <c r="G909" s="7"/>
      <c r="H909" s="7" t="e">
        <f>+VLOOKUP(Q909,Maps!I:J,2,0)</f>
        <v>#N/A</v>
      </c>
      <c r="I909" s="7" t="e">
        <f>+VLOOKUP(T909,Maps!E:F,2,0)</f>
        <v>#N/A</v>
      </c>
    </row>
    <row r="910" spans="1:9" ht="14.25" customHeight="1" x14ac:dyDescent="0.35">
      <c r="A910" s="7" t="str">
        <f t="array" ref="A910">EXTRACTEVENT(N910,V910)</f>
        <v/>
      </c>
      <c r="B910" s="7" t="str">
        <f t="shared" si="42"/>
        <v/>
      </c>
      <c r="C910" s="7"/>
      <c r="D910" s="7" t="str">
        <f t="shared" si="43"/>
        <v>E</v>
      </c>
      <c r="E910" s="10">
        <f t="shared" si="44"/>
        <v>0</v>
      </c>
      <c r="F910" s="7" t="e">
        <f t="array" ref="F910">+TIPOARMA(H910,I910)</f>
        <v>#VALUE!</v>
      </c>
      <c r="G910" s="7"/>
      <c r="H910" s="7" t="e">
        <f>+VLOOKUP(Q910,Maps!I:J,2,0)</f>
        <v>#N/A</v>
      </c>
      <c r="I910" s="7" t="e">
        <f>+VLOOKUP(T910,Maps!E:F,2,0)</f>
        <v>#N/A</v>
      </c>
    </row>
    <row r="911" spans="1:9" ht="14.25" customHeight="1" x14ac:dyDescent="0.35">
      <c r="A911" s="7" t="str">
        <f t="array" ref="A911">EXTRACTEVENT(N911,V911)</f>
        <v/>
      </c>
      <c r="B911" s="7" t="str">
        <f t="shared" si="42"/>
        <v/>
      </c>
      <c r="C911" s="7"/>
      <c r="D911" s="7" t="str">
        <f t="shared" si="43"/>
        <v>E</v>
      </c>
      <c r="E911" s="10">
        <f t="shared" si="44"/>
        <v>0</v>
      </c>
      <c r="F911" s="7" t="e">
        <f t="array" ref="F911">+TIPOARMA(H911,I911)</f>
        <v>#VALUE!</v>
      </c>
      <c r="G911" s="7"/>
      <c r="H911" s="7" t="e">
        <f>+VLOOKUP(Q911,Maps!I:J,2,0)</f>
        <v>#N/A</v>
      </c>
      <c r="I911" s="7" t="e">
        <f>+VLOOKUP(T911,Maps!E:F,2,0)</f>
        <v>#N/A</v>
      </c>
    </row>
    <row r="912" spans="1:9" ht="14.25" customHeight="1" x14ac:dyDescent="0.35">
      <c r="A912" s="7" t="str">
        <f t="array" ref="A912">EXTRACTEVENT(N912,V912)</f>
        <v/>
      </c>
      <c r="B912" s="7" t="str">
        <f t="shared" si="42"/>
        <v/>
      </c>
      <c r="C912" s="7"/>
      <c r="D912" s="7" t="str">
        <f t="shared" si="43"/>
        <v>E</v>
      </c>
      <c r="E912" s="10">
        <f t="shared" si="44"/>
        <v>0</v>
      </c>
      <c r="F912" s="7" t="e">
        <f t="array" ref="F912">+TIPOARMA(H912,I912)</f>
        <v>#VALUE!</v>
      </c>
      <c r="G912" s="7"/>
      <c r="H912" s="7" t="e">
        <f>+VLOOKUP(Q912,Maps!I:J,2,0)</f>
        <v>#N/A</v>
      </c>
      <c r="I912" s="7" t="e">
        <f>+VLOOKUP(T912,Maps!E:F,2,0)</f>
        <v>#N/A</v>
      </c>
    </row>
    <row r="913" spans="1:9" ht="14.25" customHeight="1" x14ac:dyDescent="0.35">
      <c r="A913" s="7" t="str">
        <f t="array" ref="A913">EXTRACTEVENT(N913,V913)</f>
        <v/>
      </c>
      <c r="B913" s="7" t="str">
        <f t="shared" si="42"/>
        <v/>
      </c>
      <c r="C913" s="7"/>
      <c r="D913" s="7" t="str">
        <f t="shared" si="43"/>
        <v>E</v>
      </c>
      <c r="E913" s="10">
        <f t="shared" si="44"/>
        <v>0</v>
      </c>
      <c r="F913" s="7" t="e">
        <f t="array" ref="F913">+TIPOARMA(H913,I913)</f>
        <v>#VALUE!</v>
      </c>
      <c r="G913" s="7"/>
      <c r="H913" s="7" t="e">
        <f>+VLOOKUP(Q913,Maps!I:J,2,0)</f>
        <v>#N/A</v>
      </c>
      <c r="I913" s="7" t="e">
        <f>+VLOOKUP(T913,Maps!E:F,2,0)</f>
        <v>#N/A</v>
      </c>
    </row>
    <row r="914" spans="1:9" ht="14.25" customHeight="1" x14ac:dyDescent="0.35">
      <c r="A914" s="7" t="str">
        <f t="array" ref="A914">EXTRACTEVENT(N914,V914)</f>
        <v/>
      </c>
      <c r="B914" s="7" t="str">
        <f t="shared" si="42"/>
        <v/>
      </c>
      <c r="C914" s="7"/>
      <c r="D914" s="7" t="str">
        <f t="shared" si="43"/>
        <v>E</v>
      </c>
      <c r="E914" s="10">
        <f t="shared" si="44"/>
        <v>0</v>
      </c>
      <c r="F914" s="7" t="e">
        <f t="array" ref="F914">+TIPOARMA(H914,I914)</f>
        <v>#VALUE!</v>
      </c>
      <c r="G914" s="7"/>
      <c r="H914" s="7" t="e">
        <f>+VLOOKUP(Q914,Maps!I:J,2,0)</f>
        <v>#N/A</v>
      </c>
      <c r="I914" s="7" t="e">
        <f>+VLOOKUP(T914,Maps!E:F,2,0)</f>
        <v>#N/A</v>
      </c>
    </row>
    <row r="915" spans="1:9" ht="14.25" customHeight="1" x14ac:dyDescent="0.35">
      <c r="A915" s="7" t="str">
        <f t="array" ref="A915">EXTRACTEVENT(N915,V915)</f>
        <v/>
      </c>
      <c r="B915" s="7" t="str">
        <f t="shared" si="42"/>
        <v/>
      </c>
      <c r="C915" s="7"/>
      <c r="D915" s="7" t="str">
        <f t="shared" si="43"/>
        <v>E</v>
      </c>
      <c r="E915" s="10">
        <f t="shared" si="44"/>
        <v>0</v>
      </c>
      <c r="F915" s="7" t="e">
        <f t="array" ref="F915">+TIPOARMA(H915,I915)</f>
        <v>#VALUE!</v>
      </c>
      <c r="G915" s="7"/>
      <c r="H915" s="7" t="e">
        <f>+VLOOKUP(Q915,Maps!I:J,2,0)</f>
        <v>#N/A</v>
      </c>
      <c r="I915" s="7" t="e">
        <f>+VLOOKUP(T915,Maps!E:F,2,0)</f>
        <v>#N/A</v>
      </c>
    </row>
    <row r="916" spans="1:9" ht="14.25" customHeight="1" x14ac:dyDescent="0.35">
      <c r="A916" s="7" t="str">
        <f t="array" ref="A916">EXTRACTEVENT(N916,V916)</f>
        <v/>
      </c>
      <c r="B916" s="7" t="str">
        <f t="shared" si="42"/>
        <v/>
      </c>
      <c r="C916" s="7"/>
      <c r="D916" s="7" t="str">
        <f t="shared" si="43"/>
        <v>E</v>
      </c>
      <c r="E916" s="10">
        <f t="shared" si="44"/>
        <v>0</v>
      </c>
      <c r="F916" s="7" t="e">
        <f t="array" ref="F916">+TIPOARMA(H916,I916)</f>
        <v>#VALUE!</v>
      </c>
      <c r="G916" s="7"/>
      <c r="H916" s="7" t="e">
        <f>+VLOOKUP(Q916,Maps!I:J,2,0)</f>
        <v>#N/A</v>
      </c>
      <c r="I916" s="7" t="e">
        <f>+VLOOKUP(T916,Maps!E:F,2,0)</f>
        <v>#N/A</v>
      </c>
    </row>
    <row r="917" spans="1:9" ht="14.25" customHeight="1" x14ac:dyDescent="0.35">
      <c r="A917" s="7" t="str">
        <f t="array" ref="A917">EXTRACTEVENT(N917,V917)</f>
        <v/>
      </c>
      <c r="B917" s="7" t="str">
        <f t="shared" si="42"/>
        <v/>
      </c>
      <c r="C917" s="7"/>
      <c r="D917" s="7" t="str">
        <f t="shared" si="43"/>
        <v>E</v>
      </c>
      <c r="E917" s="10">
        <f t="shared" si="44"/>
        <v>0</v>
      </c>
      <c r="F917" s="7" t="e">
        <f t="array" ref="F917">+TIPOARMA(H917,I917)</f>
        <v>#VALUE!</v>
      </c>
      <c r="G917" s="7"/>
      <c r="H917" s="7" t="e">
        <f>+VLOOKUP(Q917,Maps!I:J,2,0)</f>
        <v>#N/A</v>
      </c>
      <c r="I917" s="7" t="e">
        <f>+VLOOKUP(T917,Maps!E:F,2,0)</f>
        <v>#N/A</v>
      </c>
    </row>
    <row r="918" spans="1:9" ht="14.25" customHeight="1" x14ac:dyDescent="0.35">
      <c r="A918" s="7" t="str">
        <f t="array" ref="A918">EXTRACTEVENT(N918,V918)</f>
        <v/>
      </c>
      <c r="B918" s="7" t="str">
        <f t="shared" si="42"/>
        <v/>
      </c>
      <c r="C918" s="7"/>
      <c r="D918" s="7" t="str">
        <f t="shared" si="43"/>
        <v>E</v>
      </c>
      <c r="E918" s="10">
        <f t="shared" si="44"/>
        <v>0</v>
      </c>
      <c r="F918" s="7" t="e">
        <f t="array" ref="F918">+TIPOARMA(H918,I918)</f>
        <v>#VALUE!</v>
      </c>
      <c r="G918" s="7"/>
      <c r="H918" s="7" t="e">
        <f>+VLOOKUP(Q918,Maps!I:J,2,0)</f>
        <v>#N/A</v>
      </c>
      <c r="I918" s="7" t="e">
        <f>+VLOOKUP(T918,Maps!E:F,2,0)</f>
        <v>#N/A</v>
      </c>
    </row>
    <row r="919" spans="1:9" ht="14.25" customHeight="1" x14ac:dyDescent="0.35">
      <c r="A919" s="7" t="str">
        <f t="array" ref="A919">EXTRACTEVENT(N919,V919)</f>
        <v/>
      </c>
      <c r="B919" s="7" t="str">
        <f t="shared" si="42"/>
        <v/>
      </c>
      <c r="C919" s="7"/>
      <c r="D919" s="7" t="str">
        <f t="shared" si="43"/>
        <v>E</v>
      </c>
      <c r="E919" s="10">
        <f t="shared" si="44"/>
        <v>0</v>
      </c>
      <c r="F919" s="7" t="e">
        <f t="array" ref="F919">+TIPOARMA(H919,I919)</f>
        <v>#VALUE!</v>
      </c>
      <c r="G919" s="7"/>
      <c r="H919" s="7" t="e">
        <f>+VLOOKUP(Q919,Maps!I:J,2,0)</f>
        <v>#N/A</v>
      </c>
      <c r="I919" s="7" t="e">
        <f>+VLOOKUP(T919,Maps!E:F,2,0)</f>
        <v>#N/A</v>
      </c>
    </row>
    <row r="920" spans="1:9" ht="14.25" customHeight="1" x14ac:dyDescent="0.35">
      <c r="A920" s="7" t="str">
        <f t="array" ref="A920">EXTRACTEVENT(N920,V920)</f>
        <v/>
      </c>
      <c r="B920" s="7" t="str">
        <f t="shared" si="42"/>
        <v/>
      </c>
      <c r="C920" s="7"/>
      <c r="D920" s="7" t="str">
        <f t="shared" si="43"/>
        <v>E</v>
      </c>
      <c r="E920" s="10">
        <f t="shared" si="44"/>
        <v>0</v>
      </c>
      <c r="F920" s="7" t="e">
        <f t="array" ref="F920">+TIPOARMA(H920,I920)</f>
        <v>#VALUE!</v>
      </c>
      <c r="G920" s="7"/>
      <c r="H920" s="7" t="e">
        <f>+VLOOKUP(Q920,Maps!I:J,2,0)</f>
        <v>#N/A</v>
      </c>
      <c r="I920" s="7" t="e">
        <f>+VLOOKUP(T920,Maps!E:F,2,0)</f>
        <v>#N/A</v>
      </c>
    </row>
    <row r="921" spans="1:9" ht="14.25" customHeight="1" x14ac:dyDescent="0.35">
      <c r="A921" s="7" t="str">
        <f t="array" ref="A921">EXTRACTEVENT(N921,V921)</f>
        <v/>
      </c>
      <c r="B921" s="7" t="str">
        <f t="shared" si="42"/>
        <v/>
      </c>
      <c r="C921" s="7"/>
      <c r="D921" s="7" t="str">
        <f t="shared" si="43"/>
        <v>E</v>
      </c>
      <c r="E921" s="10">
        <f t="shared" si="44"/>
        <v>0</v>
      </c>
      <c r="F921" s="7" t="e">
        <f t="array" ref="F921">+TIPOARMA(H921,I921)</f>
        <v>#VALUE!</v>
      </c>
      <c r="G921" s="7"/>
      <c r="H921" s="7" t="e">
        <f>+VLOOKUP(Q921,Maps!I:J,2,0)</f>
        <v>#N/A</v>
      </c>
      <c r="I921" s="7" t="e">
        <f>+VLOOKUP(T921,Maps!E:F,2,0)</f>
        <v>#N/A</v>
      </c>
    </row>
    <row r="922" spans="1:9" ht="14.25" customHeight="1" x14ac:dyDescent="0.35">
      <c r="A922" s="7" t="str">
        <f t="array" ref="A922">EXTRACTEVENT(N922,V922)</f>
        <v/>
      </c>
      <c r="B922" s="7" t="str">
        <f t="shared" si="42"/>
        <v/>
      </c>
      <c r="C922" s="7"/>
      <c r="D922" s="7" t="str">
        <f t="shared" si="43"/>
        <v>E</v>
      </c>
      <c r="E922" s="10">
        <f t="shared" si="44"/>
        <v>0</v>
      </c>
      <c r="F922" s="7" t="e">
        <f t="array" ref="F922">+TIPOARMA(H922,I922)</f>
        <v>#VALUE!</v>
      </c>
      <c r="G922" s="7"/>
      <c r="H922" s="7" t="e">
        <f>+VLOOKUP(Q922,Maps!I:J,2,0)</f>
        <v>#N/A</v>
      </c>
      <c r="I922" s="7" t="e">
        <f>+VLOOKUP(T922,Maps!E:F,2,0)</f>
        <v>#N/A</v>
      </c>
    </row>
    <row r="923" spans="1:9" ht="14.25" customHeight="1" x14ac:dyDescent="0.35">
      <c r="A923" s="7" t="str">
        <f t="array" ref="A923">EXTRACTEVENT(N923,V923)</f>
        <v/>
      </c>
      <c r="B923" s="7" t="str">
        <f t="shared" si="42"/>
        <v/>
      </c>
      <c r="C923" s="7"/>
      <c r="D923" s="7" t="str">
        <f t="shared" si="43"/>
        <v>E</v>
      </c>
      <c r="E923" s="10">
        <f t="shared" si="44"/>
        <v>0</v>
      </c>
      <c r="F923" s="7" t="e">
        <f t="array" ref="F923">+TIPOARMA(H923,I923)</f>
        <v>#VALUE!</v>
      </c>
      <c r="G923" s="7"/>
      <c r="H923" s="7" t="e">
        <f>+VLOOKUP(Q923,Maps!I:J,2,0)</f>
        <v>#N/A</v>
      </c>
      <c r="I923" s="7" t="e">
        <f>+VLOOKUP(T923,Maps!E:F,2,0)</f>
        <v>#N/A</v>
      </c>
    </row>
    <row r="924" spans="1:9" ht="14.25" customHeight="1" x14ac:dyDescent="0.35">
      <c r="A924" s="7" t="str">
        <f t="array" ref="A924">EXTRACTEVENT(N924,V924)</f>
        <v/>
      </c>
      <c r="B924" s="7" t="str">
        <f t="shared" si="42"/>
        <v/>
      </c>
      <c r="C924" s="7"/>
      <c r="D924" s="7" t="str">
        <f t="shared" si="43"/>
        <v>E</v>
      </c>
      <c r="E924" s="10">
        <f t="shared" si="44"/>
        <v>0</v>
      </c>
      <c r="F924" s="7" t="e">
        <f t="array" ref="F924">+TIPOARMA(H924,I924)</f>
        <v>#VALUE!</v>
      </c>
      <c r="G924" s="7"/>
      <c r="H924" s="7" t="e">
        <f>+VLOOKUP(Q924,Maps!I:J,2,0)</f>
        <v>#N/A</v>
      </c>
      <c r="I924" s="7" t="e">
        <f>+VLOOKUP(T924,Maps!E:F,2,0)</f>
        <v>#N/A</v>
      </c>
    </row>
    <row r="925" spans="1:9" ht="14.25" customHeight="1" x14ac:dyDescent="0.35">
      <c r="A925" s="7" t="str">
        <f t="array" ref="A925">EXTRACTEVENT(N925,V925)</f>
        <v/>
      </c>
      <c r="B925" s="7" t="str">
        <f t="shared" si="42"/>
        <v/>
      </c>
      <c r="C925" s="7"/>
      <c r="D925" s="7" t="str">
        <f t="shared" si="43"/>
        <v>E</v>
      </c>
      <c r="E925" s="10">
        <f t="shared" si="44"/>
        <v>0</v>
      </c>
      <c r="F925" s="7" t="e">
        <f t="array" ref="F925">+TIPOARMA(H925,I925)</f>
        <v>#VALUE!</v>
      </c>
      <c r="G925" s="7"/>
      <c r="H925" s="7" t="e">
        <f>+VLOOKUP(Q925,Maps!I:J,2,0)</f>
        <v>#N/A</v>
      </c>
      <c r="I925" s="7" t="e">
        <f>+VLOOKUP(T925,Maps!E:F,2,0)</f>
        <v>#N/A</v>
      </c>
    </row>
    <row r="926" spans="1:9" ht="14.25" customHeight="1" x14ac:dyDescent="0.35">
      <c r="A926" s="7" t="str">
        <f t="array" ref="A926">EXTRACTEVENT(N926,V926)</f>
        <v/>
      </c>
      <c r="B926" s="7" t="str">
        <f t="shared" si="42"/>
        <v/>
      </c>
      <c r="C926" s="7"/>
      <c r="D926" s="7" t="str">
        <f t="shared" si="43"/>
        <v>E</v>
      </c>
      <c r="E926" s="10">
        <f t="shared" si="44"/>
        <v>0</v>
      </c>
      <c r="F926" s="7" t="e">
        <f t="array" ref="F926">+TIPOARMA(H926,I926)</f>
        <v>#VALUE!</v>
      </c>
      <c r="G926" s="7"/>
      <c r="H926" s="7" t="e">
        <f>+VLOOKUP(Q926,Maps!I:J,2,0)</f>
        <v>#N/A</v>
      </c>
      <c r="I926" s="7" t="e">
        <f>+VLOOKUP(T926,Maps!E:F,2,0)</f>
        <v>#N/A</v>
      </c>
    </row>
    <row r="927" spans="1:9" ht="14.25" customHeight="1" x14ac:dyDescent="0.35">
      <c r="A927" s="7" t="str">
        <f t="array" ref="A927">EXTRACTEVENT(N927,V927)</f>
        <v/>
      </c>
      <c r="B927" s="7" t="str">
        <f t="shared" si="42"/>
        <v/>
      </c>
      <c r="C927" s="7"/>
      <c r="D927" s="7" t="str">
        <f t="shared" si="43"/>
        <v>E</v>
      </c>
      <c r="E927" s="10">
        <f t="shared" si="44"/>
        <v>0</v>
      </c>
      <c r="F927" s="7" t="e">
        <f t="array" ref="F927">+TIPOARMA(H927,I927)</f>
        <v>#VALUE!</v>
      </c>
      <c r="G927" s="7"/>
      <c r="H927" s="7" t="e">
        <f>+VLOOKUP(Q927,Maps!I:J,2,0)</f>
        <v>#N/A</v>
      </c>
      <c r="I927" s="7" t="e">
        <f>+VLOOKUP(T927,Maps!E:F,2,0)</f>
        <v>#N/A</v>
      </c>
    </row>
    <row r="928" spans="1:9" ht="14.25" customHeight="1" x14ac:dyDescent="0.35">
      <c r="A928" s="7" t="str">
        <f t="array" ref="A928">EXTRACTEVENT(N928,V928)</f>
        <v/>
      </c>
      <c r="B928" s="7" t="str">
        <f t="shared" si="42"/>
        <v/>
      </c>
      <c r="C928" s="7"/>
      <c r="D928" s="7" t="str">
        <f t="shared" si="43"/>
        <v>E</v>
      </c>
      <c r="E928" s="10">
        <f t="shared" si="44"/>
        <v>0</v>
      </c>
      <c r="F928" s="7" t="e">
        <f t="array" ref="F928">+TIPOARMA(H928,I928)</f>
        <v>#VALUE!</v>
      </c>
      <c r="G928" s="7"/>
      <c r="H928" s="7" t="e">
        <f>+VLOOKUP(Q928,Maps!I:J,2,0)</f>
        <v>#N/A</v>
      </c>
      <c r="I928" s="7" t="e">
        <f>+VLOOKUP(T928,Maps!E:F,2,0)</f>
        <v>#N/A</v>
      </c>
    </row>
    <row r="929" spans="1:9" ht="14.25" customHeight="1" x14ac:dyDescent="0.35">
      <c r="A929" s="7" t="str">
        <f t="array" ref="A929">EXTRACTEVENT(N929,V929)</f>
        <v/>
      </c>
      <c r="B929" s="7" t="str">
        <f t="shared" si="42"/>
        <v/>
      </c>
      <c r="C929" s="7"/>
      <c r="D929" s="7" t="str">
        <f t="shared" si="43"/>
        <v>E</v>
      </c>
      <c r="E929" s="10">
        <f t="shared" si="44"/>
        <v>0</v>
      </c>
      <c r="F929" s="7" t="e">
        <f t="array" ref="F929">+TIPOARMA(H929,I929)</f>
        <v>#VALUE!</v>
      </c>
      <c r="G929" s="7"/>
      <c r="H929" s="7" t="e">
        <f>+VLOOKUP(Q929,Maps!I:J,2,0)</f>
        <v>#N/A</v>
      </c>
      <c r="I929" s="7" t="e">
        <f>+VLOOKUP(T929,Maps!E:F,2,0)</f>
        <v>#N/A</v>
      </c>
    </row>
    <row r="930" spans="1:9" ht="14.25" customHeight="1" x14ac:dyDescent="0.35">
      <c r="A930" s="7" t="str">
        <f t="array" ref="A930">EXTRACTEVENT(N930,V930)</f>
        <v/>
      </c>
      <c r="B930" s="7" t="str">
        <f t="shared" si="42"/>
        <v/>
      </c>
      <c r="C930" s="7"/>
      <c r="D930" s="7" t="str">
        <f t="shared" si="43"/>
        <v>E</v>
      </c>
      <c r="E930" s="10">
        <f t="shared" si="44"/>
        <v>0</v>
      </c>
      <c r="F930" s="7" t="e">
        <f t="array" ref="F930">+TIPOARMA(H930,I930)</f>
        <v>#VALUE!</v>
      </c>
      <c r="G930" s="7"/>
      <c r="H930" s="7" t="e">
        <f>+VLOOKUP(Q930,Maps!I:J,2,0)</f>
        <v>#N/A</v>
      </c>
      <c r="I930" s="7" t="e">
        <f>+VLOOKUP(T930,Maps!E:F,2,0)</f>
        <v>#N/A</v>
      </c>
    </row>
    <row r="931" spans="1:9" ht="14.25" customHeight="1" x14ac:dyDescent="0.35">
      <c r="A931" s="7" t="str">
        <f t="array" ref="A931">EXTRACTEVENT(N931,V931)</f>
        <v/>
      </c>
      <c r="B931" s="7" t="str">
        <f t="shared" si="42"/>
        <v/>
      </c>
      <c r="C931" s="7"/>
      <c r="D931" s="7" t="str">
        <f t="shared" si="43"/>
        <v>E</v>
      </c>
      <c r="E931" s="10">
        <f t="shared" si="44"/>
        <v>0</v>
      </c>
      <c r="F931" s="7" t="e">
        <f t="array" ref="F931">+TIPOARMA(H931,I931)</f>
        <v>#VALUE!</v>
      </c>
      <c r="G931" s="7"/>
      <c r="H931" s="7" t="e">
        <f>+VLOOKUP(Q931,Maps!I:J,2,0)</f>
        <v>#N/A</v>
      </c>
      <c r="I931" s="7" t="e">
        <f>+VLOOKUP(T931,Maps!E:F,2,0)</f>
        <v>#N/A</v>
      </c>
    </row>
    <row r="932" spans="1:9" ht="14.25" customHeight="1" x14ac:dyDescent="0.35">
      <c r="A932" s="7" t="str">
        <f t="array" ref="A932">EXTRACTEVENT(N932,V932)</f>
        <v/>
      </c>
      <c r="B932" s="7" t="str">
        <f t="shared" si="42"/>
        <v/>
      </c>
      <c r="C932" s="7"/>
      <c r="D932" s="7" t="str">
        <f t="shared" si="43"/>
        <v>E</v>
      </c>
      <c r="E932" s="10">
        <f t="shared" si="44"/>
        <v>0</v>
      </c>
      <c r="F932" s="7" t="e">
        <f t="array" ref="F932">+TIPOARMA(H932,I932)</f>
        <v>#VALUE!</v>
      </c>
      <c r="G932" s="7"/>
      <c r="H932" s="7" t="e">
        <f>+VLOOKUP(Q932,Maps!I:J,2,0)</f>
        <v>#N/A</v>
      </c>
      <c r="I932" s="7" t="e">
        <f>+VLOOKUP(T932,Maps!E:F,2,0)</f>
        <v>#N/A</v>
      </c>
    </row>
    <row r="933" spans="1:9" ht="14.25" customHeight="1" x14ac:dyDescent="0.35">
      <c r="A933" s="7" t="str">
        <f t="array" ref="A933">EXTRACTEVENT(N933,V933)</f>
        <v/>
      </c>
      <c r="B933" s="7" t="str">
        <f t="shared" si="42"/>
        <v/>
      </c>
      <c r="C933" s="7"/>
      <c r="D933" s="7" t="str">
        <f t="shared" si="43"/>
        <v>E</v>
      </c>
      <c r="E933" s="10">
        <f t="shared" si="44"/>
        <v>0</v>
      </c>
      <c r="F933" s="7" t="e">
        <f t="array" ref="F933">+TIPOARMA(H933,I933)</f>
        <v>#VALUE!</v>
      </c>
      <c r="G933" s="7"/>
      <c r="H933" s="7" t="e">
        <f>+VLOOKUP(Q933,Maps!I:J,2,0)</f>
        <v>#N/A</v>
      </c>
      <c r="I933" s="7" t="e">
        <f>+VLOOKUP(T933,Maps!E:F,2,0)</f>
        <v>#N/A</v>
      </c>
    </row>
    <row r="934" spans="1:9" ht="14.25" customHeight="1" x14ac:dyDescent="0.35">
      <c r="A934" s="7" t="str">
        <f t="array" ref="A934">EXTRACTEVENT(N934,V934)</f>
        <v/>
      </c>
      <c r="B934" s="7" t="str">
        <f t="shared" si="42"/>
        <v/>
      </c>
      <c r="C934" s="7"/>
      <c r="D934" s="7" t="str">
        <f t="shared" si="43"/>
        <v>E</v>
      </c>
      <c r="E934" s="10">
        <f t="shared" si="44"/>
        <v>0</v>
      </c>
      <c r="F934" s="7" t="e">
        <f t="array" ref="F934">+TIPOARMA(H934,I934)</f>
        <v>#VALUE!</v>
      </c>
      <c r="G934" s="7"/>
      <c r="H934" s="7" t="e">
        <f>+VLOOKUP(Q934,Maps!I:J,2,0)</f>
        <v>#N/A</v>
      </c>
      <c r="I934" s="7" t="e">
        <f>+VLOOKUP(T934,Maps!E:F,2,0)</f>
        <v>#N/A</v>
      </c>
    </row>
    <row r="935" spans="1:9" ht="14.25" customHeight="1" x14ac:dyDescent="0.35">
      <c r="A935" s="7" t="str">
        <f t="array" ref="A935">EXTRACTEVENT(N935,V935)</f>
        <v/>
      </c>
      <c r="B935" s="7" t="str">
        <f t="shared" si="42"/>
        <v/>
      </c>
      <c r="C935" s="7"/>
      <c r="D935" s="7" t="str">
        <f t="shared" si="43"/>
        <v>E</v>
      </c>
      <c r="E935" s="10">
        <f t="shared" si="44"/>
        <v>0</v>
      </c>
      <c r="F935" s="7" t="e">
        <f t="array" ref="F935">+TIPOARMA(H935,I935)</f>
        <v>#VALUE!</v>
      </c>
      <c r="G935" s="7"/>
      <c r="H935" s="7" t="e">
        <f>+VLOOKUP(Q935,Maps!I:J,2,0)</f>
        <v>#N/A</v>
      </c>
      <c r="I935" s="7" t="e">
        <f>+VLOOKUP(T935,Maps!E:F,2,0)</f>
        <v>#N/A</v>
      </c>
    </row>
    <row r="936" spans="1:9" ht="14.25" customHeight="1" x14ac:dyDescent="0.35">
      <c r="A936" s="7" t="str">
        <f t="array" ref="A936">EXTRACTEVENT(N936,V936)</f>
        <v/>
      </c>
      <c r="B936" s="7" t="str">
        <f t="shared" si="42"/>
        <v/>
      </c>
      <c r="C936" s="7"/>
      <c r="D936" s="7" t="str">
        <f t="shared" si="43"/>
        <v>E</v>
      </c>
      <c r="E936" s="10">
        <f t="shared" si="44"/>
        <v>0</v>
      </c>
      <c r="F936" s="7" t="e">
        <f t="array" ref="F936">+TIPOARMA(H936,I936)</f>
        <v>#VALUE!</v>
      </c>
      <c r="G936" s="7"/>
      <c r="H936" s="7" t="e">
        <f>+VLOOKUP(Q936,Maps!I:J,2,0)</f>
        <v>#N/A</v>
      </c>
      <c r="I936" s="7" t="e">
        <f>+VLOOKUP(T936,Maps!E:F,2,0)</f>
        <v>#N/A</v>
      </c>
    </row>
    <row r="937" spans="1:9" ht="14.25" customHeight="1" x14ac:dyDescent="0.35">
      <c r="A937" s="7" t="str">
        <f t="array" ref="A937">EXTRACTEVENT(N937,V937)</f>
        <v/>
      </c>
      <c r="B937" s="7" t="str">
        <f t="shared" si="42"/>
        <v/>
      </c>
      <c r="C937" s="7"/>
      <c r="D937" s="7" t="str">
        <f t="shared" si="43"/>
        <v>E</v>
      </c>
      <c r="E937" s="10">
        <f t="shared" si="44"/>
        <v>0</v>
      </c>
      <c r="F937" s="7" t="e">
        <f t="array" ref="F937">+TIPOARMA(H937,I937)</f>
        <v>#VALUE!</v>
      </c>
      <c r="G937" s="7"/>
      <c r="H937" s="7" t="e">
        <f>+VLOOKUP(Q937,Maps!I:J,2,0)</f>
        <v>#N/A</v>
      </c>
      <c r="I937" s="7" t="e">
        <f>+VLOOKUP(T937,Maps!E:F,2,0)</f>
        <v>#N/A</v>
      </c>
    </row>
    <row r="938" spans="1:9" ht="14.25" customHeight="1" x14ac:dyDescent="0.35">
      <c r="A938" s="7" t="str">
        <f t="array" ref="A938">EXTRACTEVENT(N938,V938)</f>
        <v/>
      </c>
      <c r="B938" s="7" t="str">
        <f t="shared" si="42"/>
        <v/>
      </c>
      <c r="C938" s="7"/>
      <c r="D938" s="7" t="str">
        <f t="shared" si="43"/>
        <v>E</v>
      </c>
      <c r="E938" s="10">
        <f t="shared" si="44"/>
        <v>0</v>
      </c>
      <c r="F938" s="7" t="e">
        <f t="array" ref="F938">+TIPOARMA(H938,I938)</f>
        <v>#VALUE!</v>
      </c>
      <c r="G938" s="7"/>
      <c r="H938" s="7" t="e">
        <f>+VLOOKUP(Q938,Maps!I:J,2,0)</f>
        <v>#N/A</v>
      </c>
      <c r="I938" s="7" t="e">
        <f>+VLOOKUP(T938,Maps!E:F,2,0)</f>
        <v>#N/A</v>
      </c>
    </row>
    <row r="939" spans="1:9" ht="14.25" customHeight="1" x14ac:dyDescent="0.35">
      <c r="A939" s="7" t="str">
        <f t="array" ref="A939">EXTRACTEVENT(N939,V939)</f>
        <v/>
      </c>
      <c r="B939" s="7" t="str">
        <f t="shared" si="42"/>
        <v/>
      </c>
      <c r="C939" s="7"/>
      <c r="D939" s="7" t="str">
        <f t="shared" si="43"/>
        <v>E</v>
      </c>
      <c r="E939" s="10">
        <f t="shared" si="44"/>
        <v>0</v>
      </c>
      <c r="F939" s="7" t="e">
        <f t="array" ref="F939">+TIPOARMA(H939,I939)</f>
        <v>#VALUE!</v>
      </c>
      <c r="G939" s="7"/>
      <c r="H939" s="7" t="e">
        <f>+VLOOKUP(Q939,Maps!I:J,2,0)</f>
        <v>#N/A</v>
      </c>
      <c r="I939" s="7" t="e">
        <f>+VLOOKUP(T939,Maps!E:F,2,0)</f>
        <v>#N/A</v>
      </c>
    </row>
    <row r="940" spans="1:9" ht="14.25" customHeight="1" x14ac:dyDescent="0.35">
      <c r="A940" s="7" t="str">
        <f t="array" ref="A940">EXTRACTEVENT(N940,V940)</f>
        <v/>
      </c>
      <c r="B940" s="7" t="str">
        <f t="shared" si="42"/>
        <v/>
      </c>
      <c r="C940" s="7"/>
      <c r="D940" s="7" t="str">
        <f t="shared" si="43"/>
        <v>E</v>
      </c>
      <c r="E940" s="10">
        <f t="shared" si="44"/>
        <v>0</v>
      </c>
      <c r="F940" s="7" t="e">
        <f t="array" ref="F940">+TIPOARMA(H940,I940)</f>
        <v>#VALUE!</v>
      </c>
      <c r="G940" s="7"/>
      <c r="H940" s="7" t="e">
        <f>+VLOOKUP(Q940,Maps!I:J,2,0)</f>
        <v>#N/A</v>
      </c>
      <c r="I940" s="7" t="e">
        <f>+VLOOKUP(T940,Maps!E:F,2,0)</f>
        <v>#N/A</v>
      </c>
    </row>
    <row r="941" spans="1:9" ht="14.25" customHeight="1" x14ac:dyDescent="0.35">
      <c r="A941" s="7" t="str">
        <f t="array" ref="A941">EXTRACTEVENT(N941,V941)</f>
        <v/>
      </c>
      <c r="B941" s="7" t="str">
        <f t="shared" si="42"/>
        <v/>
      </c>
      <c r="C941" s="7"/>
      <c r="D941" s="7" t="str">
        <f t="shared" si="43"/>
        <v>E</v>
      </c>
      <c r="E941" s="10">
        <f t="shared" si="44"/>
        <v>0</v>
      </c>
      <c r="F941" s="7" t="e">
        <f t="array" ref="F941">+TIPOARMA(H941,I941)</f>
        <v>#VALUE!</v>
      </c>
      <c r="G941" s="7"/>
      <c r="H941" s="7" t="e">
        <f>+VLOOKUP(Q941,Maps!I:J,2,0)</f>
        <v>#N/A</v>
      </c>
      <c r="I941" s="7" t="e">
        <f>+VLOOKUP(T941,Maps!E:F,2,0)</f>
        <v>#N/A</v>
      </c>
    </row>
    <row r="942" spans="1:9" ht="14.25" customHeight="1" x14ac:dyDescent="0.35">
      <c r="A942" s="7" t="str">
        <f t="array" ref="A942">EXTRACTEVENT(N942,V942)</f>
        <v/>
      </c>
      <c r="B942" s="7" t="str">
        <f t="shared" si="42"/>
        <v/>
      </c>
      <c r="C942" s="7"/>
      <c r="D942" s="7" t="str">
        <f t="shared" si="43"/>
        <v>E</v>
      </c>
      <c r="E942" s="10">
        <f t="shared" si="44"/>
        <v>0</v>
      </c>
      <c r="F942" s="7" t="e">
        <f t="array" ref="F942">+TIPOARMA(H942,I942)</f>
        <v>#VALUE!</v>
      </c>
      <c r="G942" s="7"/>
      <c r="H942" s="7" t="e">
        <f>+VLOOKUP(Q942,Maps!I:J,2,0)</f>
        <v>#N/A</v>
      </c>
      <c r="I942" s="7" t="e">
        <f>+VLOOKUP(T942,Maps!E:F,2,0)</f>
        <v>#N/A</v>
      </c>
    </row>
    <row r="943" spans="1:9" ht="14.25" customHeight="1" x14ac:dyDescent="0.35">
      <c r="A943" s="7" t="str">
        <f t="array" ref="A943">EXTRACTEVENT(N943,V943)</f>
        <v/>
      </c>
      <c r="B943" s="7" t="str">
        <f t="shared" si="42"/>
        <v/>
      </c>
      <c r="C943" s="7"/>
      <c r="D943" s="7" t="str">
        <f t="shared" si="43"/>
        <v>E</v>
      </c>
      <c r="E943" s="10">
        <f t="shared" si="44"/>
        <v>0</v>
      </c>
      <c r="F943" s="7" t="e">
        <f t="array" ref="F943">+TIPOARMA(H943,I943)</f>
        <v>#VALUE!</v>
      </c>
      <c r="G943" s="7"/>
      <c r="H943" s="7" t="e">
        <f>+VLOOKUP(Q943,Maps!I:J,2,0)</f>
        <v>#N/A</v>
      </c>
      <c r="I943" s="7" t="e">
        <f>+VLOOKUP(T943,Maps!E:F,2,0)</f>
        <v>#N/A</v>
      </c>
    </row>
    <row r="944" spans="1:9" ht="14.25" customHeight="1" x14ac:dyDescent="0.35">
      <c r="A944" s="7" t="str">
        <f t="array" ref="A944">EXTRACTEVENT(N944,V944)</f>
        <v/>
      </c>
      <c r="B944" s="7" t="str">
        <f t="shared" si="42"/>
        <v/>
      </c>
      <c r="C944" s="7"/>
      <c r="D944" s="7" t="str">
        <f t="shared" si="43"/>
        <v>E</v>
      </c>
      <c r="E944" s="10">
        <f t="shared" si="44"/>
        <v>0</v>
      </c>
      <c r="F944" s="7" t="e">
        <f t="array" ref="F944">+TIPOARMA(H944,I944)</f>
        <v>#VALUE!</v>
      </c>
      <c r="G944" s="7"/>
      <c r="H944" s="7" t="e">
        <f>+VLOOKUP(Q944,Maps!I:J,2,0)</f>
        <v>#N/A</v>
      </c>
      <c r="I944" s="7" t="e">
        <f>+VLOOKUP(T944,Maps!E:F,2,0)</f>
        <v>#N/A</v>
      </c>
    </row>
    <row r="945" spans="1:9" ht="14.25" customHeight="1" x14ac:dyDescent="0.35">
      <c r="A945" s="7" t="str">
        <f t="array" ref="A945">EXTRACTEVENT(N945,V945)</f>
        <v/>
      </c>
      <c r="B945" s="7" t="str">
        <f t="shared" si="42"/>
        <v/>
      </c>
      <c r="C945" s="7"/>
      <c r="D945" s="7" t="str">
        <f t="shared" si="43"/>
        <v>E</v>
      </c>
      <c r="E945" s="10">
        <f t="shared" si="44"/>
        <v>0</v>
      </c>
      <c r="F945" s="7" t="e">
        <f t="array" ref="F945">+TIPOARMA(H945,I945)</f>
        <v>#VALUE!</v>
      </c>
      <c r="G945" s="7"/>
      <c r="H945" s="7" t="e">
        <f>+VLOOKUP(Q945,Maps!I:J,2,0)</f>
        <v>#N/A</v>
      </c>
      <c r="I945" s="7" t="e">
        <f>+VLOOKUP(T945,Maps!E:F,2,0)</f>
        <v>#N/A</v>
      </c>
    </row>
    <row r="946" spans="1:9" ht="14.25" customHeight="1" x14ac:dyDescent="0.35">
      <c r="A946" s="7" t="str">
        <f t="array" ref="A946">EXTRACTEVENT(N946,V946)</f>
        <v/>
      </c>
      <c r="B946" s="7" t="str">
        <f t="shared" si="42"/>
        <v/>
      </c>
      <c r="C946" s="7"/>
      <c r="D946" s="7" t="str">
        <f t="shared" si="43"/>
        <v>E</v>
      </c>
      <c r="E946" s="10">
        <f t="shared" si="44"/>
        <v>0</v>
      </c>
      <c r="F946" s="7" t="e">
        <f t="array" ref="F946">+TIPOARMA(H946,I946)</f>
        <v>#VALUE!</v>
      </c>
      <c r="G946" s="7"/>
      <c r="H946" s="7" t="e">
        <f>+VLOOKUP(Q946,Maps!I:J,2,0)</f>
        <v>#N/A</v>
      </c>
      <c r="I946" s="7" t="e">
        <f>+VLOOKUP(T946,Maps!E:F,2,0)</f>
        <v>#N/A</v>
      </c>
    </row>
    <row r="947" spans="1:9" ht="14.25" customHeight="1" x14ac:dyDescent="0.35">
      <c r="A947" s="7" t="str">
        <f t="array" ref="A947">EXTRACTEVENT(N947,V947)</f>
        <v/>
      </c>
      <c r="B947" s="7" t="str">
        <f t="shared" si="42"/>
        <v/>
      </c>
      <c r="C947" s="7"/>
      <c r="D947" s="7" t="str">
        <f t="shared" si="43"/>
        <v>E</v>
      </c>
      <c r="E947" s="10">
        <f t="shared" si="44"/>
        <v>0</v>
      </c>
      <c r="F947" s="7" t="e">
        <f t="array" ref="F947">+TIPOARMA(H947,I947)</f>
        <v>#VALUE!</v>
      </c>
      <c r="G947" s="7"/>
      <c r="H947" s="7" t="e">
        <f>+VLOOKUP(Q947,Maps!I:J,2,0)</f>
        <v>#N/A</v>
      </c>
      <c r="I947" s="7" t="e">
        <f>+VLOOKUP(T947,Maps!E:F,2,0)</f>
        <v>#N/A</v>
      </c>
    </row>
    <row r="948" spans="1:9" ht="14.25" customHeight="1" x14ac:dyDescent="0.35">
      <c r="A948" s="7" t="str">
        <f t="array" ref="A948">EXTRACTEVENT(N948,V948)</f>
        <v/>
      </c>
      <c r="B948" s="7" t="str">
        <f t="shared" si="42"/>
        <v/>
      </c>
      <c r="C948" s="7"/>
      <c r="D948" s="7" t="str">
        <f t="shared" si="43"/>
        <v>E</v>
      </c>
      <c r="E948" s="10">
        <f t="shared" si="44"/>
        <v>0</v>
      </c>
      <c r="F948" s="7" t="e">
        <f t="array" ref="F948">+TIPOARMA(H948,I948)</f>
        <v>#VALUE!</v>
      </c>
      <c r="G948" s="7"/>
      <c r="H948" s="7" t="e">
        <f>+VLOOKUP(Q948,Maps!I:J,2,0)</f>
        <v>#N/A</v>
      </c>
      <c r="I948" s="7" t="e">
        <f>+VLOOKUP(T948,Maps!E:F,2,0)</f>
        <v>#N/A</v>
      </c>
    </row>
    <row r="949" spans="1:9" ht="14.25" customHeight="1" x14ac:dyDescent="0.35">
      <c r="A949" s="7" t="str">
        <f t="array" ref="A949">EXTRACTEVENT(N949,V949)</f>
        <v/>
      </c>
      <c r="B949" s="7" t="str">
        <f t="shared" si="42"/>
        <v/>
      </c>
      <c r="C949" s="7"/>
      <c r="D949" s="7" t="str">
        <f t="shared" si="43"/>
        <v>E</v>
      </c>
      <c r="E949" s="10">
        <f t="shared" si="44"/>
        <v>0</v>
      </c>
      <c r="F949" s="7" t="e">
        <f t="array" ref="F949">+TIPOARMA(H949,I949)</f>
        <v>#VALUE!</v>
      </c>
      <c r="G949" s="7"/>
      <c r="H949" s="7" t="e">
        <f>+VLOOKUP(Q949,Maps!I:J,2,0)</f>
        <v>#N/A</v>
      </c>
      <c r="I949" s="7" t="e">
        <f>+VLOOKUP(T949,Maps!E:F,2,0)</f>
        <v>#N/A</v>
      </c>
    </row>
    <row r="950" spans="1:9" ht="14.25" customHeight="1" x14ac:dyDescent="0.35">
      <c r="A950" s="7" t="str">
        <f t="array" ref="A950">EXTRACTEVENT(N950,V950)</f>
        <v/>
      </c>
      <c r="B950" s="7" t="str">
        <f t="shared" si="42"/>
        <v/>
      </c>
      <c r="C950" s="7"/>
      <c r="D950" s="7" t="str">
        <f t="shared" si="43"/>
        <v>E</v>
      </c>
      <c r="E950" s="10">
        <f t="shared" si="44"/>
        <v>0</v>
      </c>
      <c r="F950" s="7" t="e">
        <f t="array" ref="F950">+TIPOARMA(H950,I950)</f>
        <v>#VALUE!</v>
      </c>
      <c r="G950" s="7"/>
      <c r="H950" s="7" t="e">
        <f>+VLOOKUP(Q950,Maps!I:J,2,0)</f>
        <v>#N/A</v>
      </c>
      <c r="I950" s="7" t="e">
        <f>+VLOOKUP(T950,Maps!E:F,2,0)</f>
        <v>#N/A</v>
      </c>
    </row>
    <row r="951" spans="1:9" ht="14.25" customHeight="1" x14ac:dyDescent="0.35">
      <c r="A951" s="7" t="str">
        <f t="array" ref="A951">EXTRACTEVENT(N951,V951)</f>
        <v/>
      </c>
      <c r="B951" s="7" t="str">
        <f t="shared" si="42"/>
        <v/>
      </c>
      <c r="C951" s="7"/>
      <c r="D951" s="7" t="str">
        <f t="shared" si="43"/>
        <v>E</v>
      </c>
      <c r="E951" s="10">
        <f t="shared" si="44"/>
        <v>0</v>
      </c>
      <c r="F951" s="7" t="e">
        <f t="array" ref="F951">+TIPOARMA(H951,I951)</f>
        <v>#VALUE!</v>
      </c>
      <c r="G951" s="7"/>
      <c r="H951" s="7" t="e">
        <f>+VLOOKUP(Q951,Maps!I:J,2,0)</f>
        <v>#N/A</v>
      </c>
      <c r="I951" s="7" t="e">
        <f>+VLOOKUP(T951,Maps!E:F,2,0)</f>
        <v>#N/A</v>
      </c>
    </row>
    <row r="952" spans="1:9" ht="14.25" customHeight="1" x14ac:dyDescent="0.35">
      <c r="A952" s="7" t="str">
        <f t="array" ref="A952">EXTRACTEVENT(N952,V952)</f>
        <v/>
      </c>
      <c r="B952" s="7" t="str">
        <f t="shared" si="42"/>
        <v/>
      </c>
      <c r="C952" s="7"/>
      <c r="D952" s="7" t="str">
        <f t="shared" si="43"/>
        <v>E</v>
      </c>
      <c r="E952" s="10">
        <f t="shared" si="44"/>
        <v>0</v>
      </c>
      <c r="F952" s="7" t="e">
        <f t="array" ref="F952">+TIPOARMA(H952,I952)</f>
        <v>#VALUE!</v>
      </c>
      <c r="G952" s="7"/>
      <c r="H952" s="7" t="e">
        <f>+VLOOKUP(Q952,Maps!I:J,2,0)</f>
        <v>#N/A</v>
      </c>
      <c r="I952" s="7" t="e">
        <f>+VLOOKUP(T952,Maps!E:F,2,0)</f>
        <v>#N/A</v>
      </c>
    </row>
    <row r="953" spans="1:9" ht="14.25" customHeight="1" x14ac:dyDescent="0.35">
      <c r="A953" s="7" t="str">
        <f t="array" ref="A953">EXTRACTEVENT(N953,V953)</f>
        <v/>
      </c>
      <c r="B953" s="7" t="str">
        <f t="shared" si="42"/>
        <v/>
      </c>
      <c r="C953" s="7"/>
      <c r="D953" s="7" t="str">
        <f t="shared" si="43"/>
        <v>E</v>
      </c>
      <c r="E953" s="10">
        <f t="shared" si="44"/>
        <v>0</v>
      </c>
      <c r="F953" s="7" t="e">
        <f t="array" ref="F953">+TIPOARMA(H953,I953)</f>
        <v>#VALUE!</v>
      </c>
      <c r="G953" s="7"/>
      <c r="H953" s="7" t="e">
        <f>+VLOOKUP(Q953,Maps!I:J,2,0)</f>
        <v>#N/A</v>
      </c>
      <c r="I953" s="7" t="e">
        <f>+VLOOKUP(T953,Maps!E:F,2,0)</f>
        <v>#N/A</v>
      </c>
    </row>
    <row r="954" spans="1:9" ht="14.25" customHeight="1" x14ac:dyDescent="0.35">
      <c r="A954" s="7" t="str">
        <f t="array" ref="A954">EXTRACTEVENT(N954,V954)</f>
        <v/>
      </c>
      <c r="B954" s="7" t="str">
        <f t="shared" si="42"/>
        <v/>
      </c>
      <c r="C954" s="7"/>
      <c r="D954" s="7" t="str">
        <f t="shared" si="43"/>
        <v>E</v>
      </c>
      <c r="E954" s="10">
        <f t="shared" si="44"/>
        <v>0</v>
      </c>
      <c r="F954" s="7" t="e">
        <f t="array" ref="F954">+TIPOARMA(H954,I954)</f>
        <v>#VALUE!</v>
      </c>
      <c r="G954" s="7"/>
      <c r="H954" s="7" t="e">
        <f>+VLOOKUP(Q954,Maps!I:J,2,0)</f>
        <v>#N/A</v>
      </c>
      <c r="I954" s="7" t="e">
        <f>+VLOOKUP(T954,Maps!E:F,2,0)</f>
        <v>#N/A</v>
      </c>
    </row>
    <row r="955" spans="1:9" ht="14.25" customHeight="1" x14ac:dyDescent="0.35">
      <c r="A955" s="7" t="str">
        <f t="array" ref="A955">EXTRACTEVENT(N955,V955)</f>
        <v/>
      </c>
      <c r="B955" s="7" t="str">
        <f t="shared" si="42"/>
        <v/>
      </c>
      <c r="C955" s="7"/>
      <c r="D955" s="7" t="str">
        <f t="shared" si="43"/>
        <v>E</v>
      </c>
      <c r="E955" s="10">
        <f t="shared" si="44"/>
        <v>0</v>
      </c>
      <c r="F955" s="7" t="e">
        <f t="array" ref="F955">+TIPOARMA(H955,I955)</f>
        <v>#VALUE!</v>
      </c>
      <c r="G955" s="7"/>
      <c r="H955" s="7" t="e">
        <f>+VLOOKUP(Q955,Maps!I:J,2,0)</f>
        <v>#N/A</v>
      </c>
      <c r="I955" s="7" t="e">
        <f>+VLOOKUP(T955,Maps!E:F,2,0)</f>
        <v>#N/A</v>
      </c>
    </row>
    <row r="956" spans="1:9" ht="14.25" customHeight="1" x14ac:dyDescent="0.35">
      <c r="A956" s="7" t="str">
        <f t="array" ref="A956">EXTRACTEVENT(N956,V956)</f>
        <v/>
      </c>
      <c r="B956" s="7" t="str">
        <f t="shared" si="42"/>
        <v/>
      </c>
      <c r="C956" s="7"/>
      <c r="D956" s="7" t="str">
        <f t="shared" si="43"/>
        <v>E</v>
      </c>
      <c r="E956" s="10">
        <f t="shared" si="44"/>
        <v>0</v>
      </c>
      <c r="F956" s="7" t="e">
        <f t="array" ref="F956">+TIPOARMA(H956,I956)</f>
        <v>#VALUE!</v>
      </c>
      <c r="G956" s="7"/>
      <c r="H956" s="7" t="e">
        <f>+VLOOKUP(Q956,Maps!I:J,2,0)</f>
        <v>#N/A</v>
      </c>
      <c r="I956" s="7" t="e">
        <f>+VLOOKUP(T956,Maps!E:F,2,0)</f>
        <v>#N/A</v>
      </c>
    </row>
    <row r="957" spans="1:9" ht="14.25" customHeight="1" x14ac:dyDescent="0.35">
      <c r="A957" s="7" t="str">
        <f t="array" ref="A957">EXTRACTEVENT(N957,V957)</f>
        <v/>
      </c>
      <c r="B957" s="7" t="str">
        <f t="shared" si="42"/>
        <v/>
      </c>
      <c r="C957" s="7"/>
      <c r="D957" s="7" t="str">
        <f t="shared" si="43"/>
        <v>E</v>
      </c>
      <c r="E957" s="10">
        <f t="shared" si="44"/>
        <v>0</v>
      </c>
      <c r="F957" s="7" t="e">
        <f t="array" ref="F957">+TIPOARMA(H957,I957)</f>
        <v>#VALUE!</v>
      </c>
      <c r="G957" s="7"/>
      <c r="H957" s="7" t="e">
        <f>+VLOOKUP(Q957,Maps!I:J,2,0)</f>
        <v>#N/A</v>
      </c>
      <c r="I957" s="7" t="e">
        <f>+VLOOKUP(T957,Maps!E:F,2,0)</f>
        <v>#N/A</v>
      </c>
    </row>
    <row r="958" spans="1:9" ht="14.25" customHeight="1" x14ac:dyDescent="0.35">
      <c r="A958" s="7" t="str">
        <f t="array" ref="A958">EXTRACTEVENT(N958,V958)</f>
        <v/>
      </c>
      <c r="B958" s="7" t="str">
        <f t="shared" si="42"/>
        <v/>
      </c>
      <c r="C958" s="7"/>
      <c r="D958" s="7" t="str">
        <f t="shared" si="43"/>
        <v>E</v>
      </c>
      <c r="E958" s="10">
        <f t="shared" si="44"/>
        <v>0</v>
      </c>
      <c r="F958" s="7" t="e">
        <f t="array" ref="F958">+TIPOARMA(H958,I958)</f>
        <v>#VALUE!</v>
      </c>
      <c r="G958" s="7"/>
      <c r="H958" s="7" t="e">
        <f>+VLOOKUP(Q958,Maps!I:J,2,0)</f>
        <v>#N/A</v>
      </c>
      <c r="I958" s="7" t="e">
        <f>+VLOOKUP(T958,Maps!E:F,2,0)</f>
        <v>#N/A</v>
      </c>
    </row>
    <row r="959" spans="1:9" ht="14.25" customHeight="1" x14ac:dyDescent="0.35">
      <c r="A959" s="7" t="str">
        <f t="array" ref="A959">EXTRACTEVENT(N959,V959)</f>
        <v/>
      </c>
      <c r="B959" s="7" t="str">
        <f t="shared" si="42"/>
        <v/>
      </c>
      <c r="C959" s="7"/>
      <c r="D959" s="7" t="str">
        <f t="shared" si="43"/>
        <v>E</v>
      </c>
      <c r="E959" s="10">
        <f t="shared" si="44"/>
        <v>0</v>
      </c>
      <c r="F959" s="7" t="e">
        <f t="array" ref="F959">+TIPOARMA(H959,I959)</f>
        <v>#VALUE!</v>
      </c>
      <c r="G959" s="7"/>
      <c r="H959" s="7" t="e">
        <f>+VLOOKUP(Q959,Maps!I:J,2,0)</f>
        <v>#N/A</v>
      </c>
      <c r="I959" s="7" t="e">
        <f>+VLOOKUP(T959,Maps!E:F,2,0)</f>
        <v>#N/A</v>
      </c>
    </row>
    <row r="960" spans="1:9" ht="14.25" customHeight="1" x14ac:dyDescent="0.35">
      <c r="A960" s="7" t="str">
        <f t="array" ref="A960">EXTRACTEVENT(N960,V960)</f>
        <v/>
      </c>
      <c r="B960" s="7" t="str">
        <f t="shared" si="42"/>
        <v/>
      </c>
      <c r="C960" s="7"/>
      <c r="D960" s="7" t="str">
        <f t="shared" si="43"/>
        <v>E</v>
      </c>
      <c r="E960" s="10">
        <f t="shared" si="44"/>
        <v>0</v>
      </c>
      <c r="F960" s="7" t="e">
        <f t="array" ref="F960">+TIPOARMA(H960,I960)</f>
        <v>#VALUE!</v>
      </c>
      <c r="G960" s="7"/>
      <c r="H960" s="7" t="e">
        <f>+VLOOKUP(Q960,Maps!I:J,2,0)</f>
        <v>#N/A</v>
      </c>
      <c r="I960" s="7" t="e">
        <f>+VLOOKUP(T960,Maps!E:F,2,0)</f>
        <v>#N/A</v>
      </c>
    </row>
    <row r="961" spans="1:9" ht="14.25" customHeight="1" x14ac:dyDescent="0.35">
      <c r="A961" s="7" t="str">
        <f t="array" ref="A961">EXTRACTEVENT(N961,V961)</f>
        <v/>
      </c>
      <c r="B961" s="7" t="str">
        <f t="shared" si="42"/>
        <v/>
      </c>
      <c r="C961" s="7"/>
      <c r="D961" s="7" t="str">
        <f t="shared" si="43"/>
        <v>E</v>
      </c>
      <c r="E961" s="10">
        <f t="shared" si="44"/>
        <v>0</v>
      </c>
      <c r="F961" s="7" t="e">
        <f t="array" ref="F961">+TIPOARMA(H961,I961)</f>
        <v>#VALUE!</v>
      </c>
      <c r="G961" s="7"/>
      <c r="H961" s="7" t="e">
        <f>+VLOOKUP(Q961,Maps!I:J,2,0)</f>
        <v>#N/A</v>
      </c>
      <c r="I961" s="7" t="e">
        <f>+VLOOKUP(T961,Maps!E:F,2,0)</f>
        <v>#N/A</v>
      </c>
    </row>
    <row r="962" spans="1:9" ht="14.25" customHeight="1" x14ac:dyDescent="0.35">
      <c r="A962" s="7" t="str">
        <f t="array" ref="A962">EXTRACTEVENT(N962,V962)</f>
        <v/>
      </c>
      <c r="B962" s="7" t="str">
        <f t="shared" ref="B962:B1025" si="45">+IF(V962="TREINO","-",LEFT(N962,1))</f>
        <v/>
      </c>
      <c r="C962" s="7"/>
      <c r="D962" s="7" t="str">
        <f t="shared" ref="D962:D1025" si="46">+IF($V962="TREINO","T",IF(V962="NACIONAL","N","E"))</f>
        <v>E</v>
      </c>
      <c r="E962" s="10">
        <f t="shared" ref="E962:E1025" si="47">IFERROR(DATEVALUE(LEFT(M962,10)),M962)</f>
        <v>0</v>
      </c>
      <c r="F962" s="7" t="e">
        <f t="array" ref="F962">+TIPOARMA(H962,I962)</f>
        <v>#VALUE!</v>
      </c>
      <c r="G962" s="7"/>
      <c r="H962" s="7" t="e">
        <f>+VLOOKUP(Q962,Maps!I:J,2,0)</f>
        <v>#N/A</v>
      </c>
      <c r="I962" s="7" t="e">
        <f>+VLOOKUP(T962,Maps!E:F,2,0)</f>
        <v>#N/A</v>
      </c>
    </row>
    <row r="963" spans="1:9" ht="14.25" customHeight="1" x14ac:dyDescent="0.35">
      <c r="A963" s="7" t="str">
        <f t="array" ref="A963">EXTRACTEVENT(N963,V963)</f>
        <v/>
      </c>
      <c r="B963" s="7" t="str">
        <f t="shared" si="45"/>
        <v/>
      </c>
      <c r="C963" s="7"/>
      <c r="D963" s="7" t="str">
        <f t="shared" si="46"/>
        <v>E</v>
      </c>
      <c r="E963" s="10">
        <f t="shared" si="47"/>
        <v>0</v>
      </c>
      <c r="F963" s="7" t="e">
        <f t="array" ref="F963">+TIPOARMA(H963,I963)</f>
        <v>#VALUE!</v>
      </c>
      <c r="G963" s="7"/>
      <c r="H963" s="7" t="e">
        <f>+VLOOKUP(Q963,Maps!I:J,2,0)</f>
        <v>#N/A</v>
      </c>
      <c r="I963" s="7" t="e">
        <f>+VLOOKUP(T963,Maps!E:F,2,0)</f>
        <v>#N/A</v>
      </c>
    </row>
    <row r="964" spans="1:9" ht="14.25" customHeight="1" x14ac:dyDescent="0.35">
      <c r="A964" s="7" t="str">
        <f t="array" ref="A964">EXTRACTEVENT(N964,V964)</f>
        <v/>
      </c>
      <c r="B964" s="7" t="str">
        <f t="shared" si="45"/>
        <v/>
      </c>
      <c r="C964" s="7"/>
      <c r="D964" s="7" t="str">
        <f t="shared" si="46"/>
        <v>E</v>
      </c>
      <c r="E964" s="10">
        <f t="shared" si="47"/>
        <v>0</v>
      </c>
      <c r="F964" s="7" t="e">
        <f t="array" ref="F964">+TIPOARMA(H964,I964)</f>
        <v>#VALUE!</v>
      </c>
      <c r="G964" s="7"/>
      <c r="H964" s="7" t="e">
        <f>+VLOOKUP(Q964,Maps!I:J,2,0)</f>
        <v>#N/A</v>
      </c>
      <c r="I964" s="7" t="e">
        <f>+VLOOKUP(T964,Maps!E:F,2,0)</f>
        <v>#N/A</v>
      </c>
    </row>
    <row r="965" spans="1:9" ht="14.25" customHeight="1" x14ac:dyDescent="0.35">
      <c r="A965" s="7" t="str">
        <f t="array" ref="A965">EXTRACTEVENT(N965,V965)</f>
        <v/>
      </c>
      <c r="B965" s="7" t="str">
        <f t="shared" si="45"/>
        <v/>
      </c>
      <c r="C965" s="7"/>
      <c r="D965" s="7" t="str">
        <f t="shared" si="46"/>
        <v>E</v>
      </c>
      <c r="E965" s="10">
        <f t="shared" si="47"/>
        <v>0</v>
      </c>
      <c r="F965" s="7" t="e">
        <f t="array" ref="F965">+TIPOARMA(H965,I965)</f>
        <v>#VALUE!</v>
      </c>
      <c r="G965" s="7"/>
      <c r="H965" s="7" t="e">
        <f>+VLOOKUP(Q965,Maps!I:J,2,0)</f>
        <v>#N/A</v>
      </c>
      <c r="I965" s="7" t="e">
        <f>+VLOOKUP(T965,Maps!E:F,2,0)</f>
        <v>#N/A</v>
      </c>
    </row>
    <row r="966" spans="1:9" ht="14.25" customHeight="1" x14ac:dyDescent="0.35">
      <c r="A966" s="7" t="str">
        <f t="array" ref="A966">EXTRACTEVENT(N966,V966)</f>
        <v/>
      </c>
      <c r="B966" s="7" t="str">
        <f t="shared" si="45"/>
        <v/>
      </c>
      <c r="C966" s="7"/>
      <c r="D966" s="7" t="str">
        <f t="shared" si="46"/>
        <v>E</v>
      </c>
      <c r="E966" s="10">
        <f t="shared" si="47"/>
        <v>0</v>
      </c>
      <c r="F966" s="7" t="e">
        <f t="array" ref="F966">+TIPOARMA(H966,I966)</f>
        <v>#VALUE!</v>
      </c>
      <c r="G966" s="7"/>
      <c r="H966" s="7" t="e">
        <f>+VLOOKUP(Q966,Maps!I:J,2,0)</f>
        <v>#N/A</v>
      </c>
      <c r="I966" s="7" t="e">
        <f>+VLOOKUP(T966,Maps!E:F,2,0)</f>
        <v>#N/A</v>
      </c>
    </row>
    <row r="967" spans="1:9" ht="14.25" customHeight="1" x14ac:dyDescent="0.35">
      <c r="A967" s="7" t="str">
        <f t="array" ref="A967">EXTRACTEVENT(N967,V967)</f>
        <v/>
      </c>
      <c r="B967" s="7" t="str">
        <f t="shared" si="45"/>
        <v/>
      </c>
      <c r="C967" s="7"/>
      <c r="D967" s="7" t="str">
        <f t="shared" si="46"/>
        <v>E</v>
      </c>
      <c r="E967" s="10">
        <f t="shared" si="47"/>
        <v>0</v>
      </c>
      <c r="F967" s="7" t="e">
        <f t="array" ref="F967">+TIPOARMA(H967,I967)</f>
        <v>#VALUE!</v>
      </c>
      <c r="G967" s="7"/>
      <c r="H967" s="7" t="e">
        <f>+VLOOKUP(Q967,Maps!I:J,2,0)</f>
        <v>#N/A</v>
      </c>
      <c r="I967" s="7" t="e">
        <f>+VLOOKUP(T967,Maps!E:F,2,0)</f>
        <v>#N/A</v>
      </c>
    </row>
    <row r="968" spans="1:9" ht="14.25" customHeight="1" x14ac:dyDescent="0.35">
      <c r="A968" s="7" t="str">
        <f t="array" ref="A968">EXTRACTEVENT(N968,V968)</f>
        <v/>
      </c>
      <c r="B968" s="7" t="str">
        <f t="shared" si="45"/>
        <v/>
      </c>
      <c r="C968" s="7"/>
      <c r="D968" s="7" t="str">
        <f t="shared" si="46"/>
        <v>E</v>
      </c>
      <c r="E968" s="10">
        <f t="shared" si="47"/>
        <v>0</v>
      </c>
      <c r="F968" s="7" t="e">
        <f t="array" ref="F968">+TIPOARMA(H968,I968)</f>
        <v>#VALUE!</v>
      </c>
      <c r="G968" s="7"/>
      <c r="H968" s="7" t="e">
        <f>+VLOOKUP(Q968,Maps!I:J,2,0)</f>
        <v>#N/A</v>
      </c>
      <c r="I968" s="7" t="e">
        <f>+VLOOKUP(T968,Maps!E:F,2,0)</f>
        <v>#N/A</v>
      </c>
    </row>
    <row r="969" spans="1:9" ht="14.25" customHeight="1" x14ac:dyDescent="0.35">
      <c r="A969" s="7" t="str">
        <f t="array" ref="A969">EXTRACTEVENT(N969,V969)</f>
        <v/>
      </c>
      <c r="B969" s="7" t="str">
        <f t="shared" si="45"/>
        <v/>
      </c>
      <c r="C969" s="7"/>
      <c r="D969" s="7" t="str">
        <f t="shared" si="46"/>
        <v>E</v>
      </c>
      <c r="E969" s="10">
        <f t="shared" si="47"/>
        <v>0</v>
      </c>
      <c r="F969" s="7" t="e">
        <f t="array" ref="F969">+TIPOARMA(H969,I969)</f>
        <v>#VALUE!</v>
      </c>
      <c r="G969" s="7"/>
      <c r="H969" s="7" t="e">
        <f>+VLOOKUP(Q969,Maps!I:J,2,0)</f>
        <v>#N/A</v>
      </c>
      <c r="I969" s="7" t="e">
        <f>+VLOOKUP(T969,Maps!E:F,2,0)</f>
        <v>#N/A</v>
      </c>
    </row>
    <row r="970" spans="1:9" ht="14.25" customHeight="1" x14ac:dyDescent="0.35">
      <c r="A970" s="7" t="str">
        <f t="array" ref="A970">EXTRACTEVENT(N970,V970)</f>
        <v/>
      </c>
      <c r="B970" s="7" t="str">
        <f t="shared" si="45"/>
        <v/>
      </c>
      <c r="C970" s="7"/>
      <c r="D970" s="7" t="str">
        <f t="shared" si="46"/>
        <v>E</v>
      </c>
      <c r="E970" s="10">
        <f t="shared" si="47"/>
        <v>0</v>
      </c>
      <c r="F970" s="7" t="e">
        <f t="array" ref="F970">+TIPOARMA(H970,I970)</f>
        <v>#VALUE!</v>
      </c>
      <c r="G970" s="7"/>
      <c r="H970" s="7" t="e">
        <f>+VLOOKUP(Q970,Maps!I:J,2,0)</f>
        <v>#N/A</v>
      </c>
      <c r="I970" s="7" t="e">
        <f>+VLOOKUP(T970,Maps!E:F,2,0)</f>
        <v>#N/A</v>
      </c>
    </row>
    <row r="971" spans="1:9" ht="14.25" customHeight="1" x14ac:dyDescent="0.35">
      <c r="A971" s="7" t="str">
        <f t="array" ref="A971">EXTRACTEVENT(N971,V971)</f>
        <v/>
      </c>
      <c r="B971" s="7" t="str">
        <f t="shared" si="45"/>
        <v/>
      </c>
      <c r="C971" s="7"/>
      <c r="D971" s="7" t="str">
        <f t="shared" si="46"/>
        <v>E</v>
      </c>
      <c r="E971" s="10">
        <f t="shared" si="47"/>
        <v>0</v>
      </c>
      <c r="F971" s="7" t="e">
        <f t="array" ref="F971">+TIPOARMA(H971,I971)</f>
        <v>#VALUE!</v>
      </c>
      <c r="G971" s="7"/>
      <c r="H971" s="7" t="e">
        <f>+VLOOKUP(Q971,Maps!I:J,2,0)</f>
        <v>#N/A</v>
      </c>
      <c r="I971" s="7" t="e">
        <f>+VLOOKUP(T971,Maps!E:F,2,0)</f>
        <v>#N/A</v>
      </c>
    </row>
    <row r="972" spans="1:9" ht="14.25" customHeight="1" x14ac:dyDescent="0.35">
      <c r="A972" s="7" t="str">
        <f t="array" ref="A972">EXTRACTEVENT(N972,V972)</f>
        <v/>
      </c>
      <c r="B972" s="7" t="str">
        <f t="shared" si="45"/>
        <v/>
      </c>
      <c r="C972" s="7"/>
      <c r="D972" s="7" t="str">
        <f t="shared" si="46"/>
        <v>E</v>
      </c>
      <c r="E972" s="10">
        <f t="shared" si="47"/>
        <v>0</v>
      </c>
      <c r="F972" s="7" t="e">
        <f t="array" ref="F972">+TIPOARMA(H972,I972)</f>
        <v>#VALUE!</v>
      </c>
      <c r="G972" s="7"/>
      <c r="H972" s="7" t="e">
        <f>+VLOOKUP(Q972,Maps!I:J,2,0)</f>
        <v>#N/A</v>
      </c>
      <c r="I972" s="7" t="e">
        <f>+VLOOKUP(T972,Maps!E:F,2,0)</f>
        <v>#N/A</v>
      </c>
    </row>
    <row r="973" spans="1:9" ht="14.25" customHeight="1" x14ac:dyDescent="0.35">
      <c r="A973" s="7" t="str">
        <f t="array" ref="A973">EXTRACTEVENT(N973,V973)</f>
        <v/>
      </c>
      <c r="B973" s="7" t="str">
        <f t="shared" si="45"/>
        <v/>
      </c>
      <c r="C973" s="7"/>
      <c r="D973" s="7" t="str">
        <f t="shared" si="46"/>
        <v>E</v>
      </c>
      <c r="E973" s="10">
        <f t="shared" si="47"/>
        <v>0</v>
      </c>
      <c r="F973" s="7" t="e">
        <f t="array" ref="F973">+TIPOARMA(H973,I973)</f>
        <v>#VALUE!</v>
      </c>
      <c r="G973" s="7"/>
      <c r="H973" s="7" t="e">
        <f>+VLOOKUP(Q973,Maps!I:J,2,0)</f>
        <v>#N/A</v>
      </c>
      <c r="I973" s="7" t="e">
        <f>+VLOOKUP(T973,Maps!E:F,2,0)</f>
        <v>#N/A</v>
      </c>
    </row>
    <row r="974" spans="1:9" ht="14.25" customHeight="1" x14ac:dyDescent="0.35">
      <c r="A974" s="7" t="str">
        <f t="array" ref="A974">EXTRACTEVENT(N974,V974)</f>
        <v/>
      </c>
      <c r="B974" s="7" t="str">
        <f t="shared" si="45"/>
        <v/>
      </c>
      <c r="C974" s="7"/>
      <c r="D974" s="7" t="str">
        <f t="shared" si="46"/>
        <v>E</v>
      </c>
      <c r="E974" s="10">
        <f t="shared" si="47"/>
        <v>0</v>
      </c>
      <c r="F974" s="7" t="e">
        <f t="array" ref="F974">+TIPOARMA(H974,I974)</f>
        <v>#VALUE!</v>
      </c>
      <c r="G974" s="7"/>
      <c r="H974" s="7" t="e">
        <f>+VLOOKUP(Q974,Maps!I:J,2,0)</f>
        <v>#N/A</v>
      </c>
      <c r="I974" s="7" t="e">
        <f>+VLOOKUP(T974,Maps!E:F,2,0)</f>
        <v>#N/A</v>
      </c>
    </row>
    <row r="975" spans="1:9" ht="14.25" customHeight="1" x14ac:dyDescent="0.35">
      <c r="A975" s="7" t="str">
        <f t="array" ref="A975">EXTRACTEVENT(N975,V975)</f>
        <v/>
      </c>
      <c r="B975" s="7" t="str">
        <f t="shared" si="45"/>
        <v/>
      </c>
      <c r="C975" s="7"/>
      <c r="D975" s="7" t="str">
        <f t="shared" si="46"/>
        <v>E</v>
      </c>
      <c r="E975" s="10">
        <f t="shared" si="47"/>
        <v>0</v>
      </c>
      <c r="F975" s="7" t="e">
        <f t="array" ref="F975">+TIPOARMA(H975,I975)</f>
        <v>#VALUE!</v>
      </c>
      <c r="G975" s="7"/>
      <c r="H975" s="7" t="e">
        <f>+VLOOKUP(Q975,Maps!I:J,2,0)</f>
        <v>#N/A</v>
      </c>
      <c r="I975" s="7" t="e">
        <f>+VLOOKUP(T975,Maps!E:F,2,0)</f>
        <v>#N/A</v>
      </c>
    </row>
    <row r="976" spans="1:9" ht="14.25" customHeight="1" x14ac:dyDescent="0.35">
      <c r="A976" s="7" t="str">
        <f t="array" ref="A976">EXTRACTEVENT(N976,V976)</f>
        <v/>
      </c>
      <c r="B976" s="7" t="str">
        <f t="shared" si="45"/>
        <v/>
      </c>
      <c r="C976" s="7"/>
      <c r="D976" s="7" t="str">
        <f t="shared" si="46"/>
        <v>E</v>
      </c>
      <c r="E976" s="10">
        <f t="shared" si="47"/>
        <v>0</v>
      </c>
      <c r="F976" s="7" t="e">
        <f t="array" ref="F976">+TIPOARMA(H976,I976)</f>
        <v>#VALUE!</v>
      </c>
      <c r="G976" s="7"/>
      <c r="H976" s="7" t="e">
        <f>+VLOOKUP(Q976,Maps!I:J,2,0)</f>
        <v>#N/A</v>
      </c>
      <c r="I976" s="7" t="e">
        <f>+VLOOKUP(T976,Maps!E:F,2,0)</f>
        <v>#N/A</v>
      </c>
    </row>
    <row r="977" spans="1:9" ht="14.25" customHeight="1" x14ac:dyDescent="0.35">
      <c r="A977" s="7" t="str">
        <f t="array" ref="A977">EXTRACTEVENT(N977,V977)</f>
        <v/>
      </c>
      <c r="B977" s="7" t="str">
        <f t="shared" si="45"/>
        <v/>
      </c>
      <c r="C977" s="7"/>
      <c r="D977" s="7" t="str">
        <f t="shared" si="46"/>
        <v>E</v>
      </c>
      <c r="E977" s="10">
        <f t="shared" si="47"/>
        <v>0</v>
      </c>
      <c r="F977" s="7" t="e">
        <f t="array" ref="F977">+TIPOARMA(H977,I977)</f>
        <v>#VALUE!</v>
      </c>
      <c r="G977" s="7"/>
      <c r="H977" s="7" t="e">
        <f>+VLOOKUP(Q977,Maps!I:J,2,0)</f>
        <v>#N/A</v>
      </c>
      <c r="I977" s="7" t="e">
        <f>+VLOOKUP(T977,Maps!E:F,2,0)</f>
        <v>#N/A</v>
      </c>
    </row>
    <row r="978" spans="1:9" ht="14.25" customHeight="1" x14ac:dyDescent="0.35">
      <c r="A978" s="7" t="str">
        <f t="array" ref="A978">EXTRACTEVENT(N978,V978)</f>
        <v/>
      </c>
      <c r="B978" s="7" t="str">
        <f t="shared" si="45"/>
        <v/>
      </c>
      <c r="C978" s="7"/>
      <c r="D978" s="7" t="str">
        <f t="shared" si="46"/>
        <v>E</v>
      </c>
      <c r="E978" s="10">
        <f t="shared" si="47"/>
        <v>0</v>
      </c>
      <c r="F978" s="7" t="e">
        <f t="array" ref="F978">+TIPOARMA(H978,I978)</f>
        <v>#VALUE!</v>
      </c>
      <c r="G978" s="7"/>
      <c r="H978" s="7" t="e">
        <f>+VLOOKUP(Q978,Maps!I:J,2,0)</f>
        <v>#N/A</v>
      </c>
      <c r="I978" s="7" t="e">
        <f>+VLOOKUP(T978,Maps!E:F,2,0)</f>
        <v>#N/A</v>
      </c>
    </row>
    <row r="979" spans="1:9" ht="14.25" customHeight="1" x14ac:dyDescent="0.35">
      <c r="A979" s="7" t="str">
        <f t="array" ref="A979">EXTRACTEVENT(N979,V979)</f>
        <v/>
      </c>
      <c r="B979" s="7" t="str">
        <f t="shared" si="45"/>
        <v/>
      </c>
      <c r="C979" s="7"/>
      <c r="D979" s="7" t="str">
        <f t="shared" si="46"/>
        <v>E</v>
      </c>
      <c r="E979" s="10">
        <f t="shared" si="47"/>
        <v>0</v>
      </c>
      <c r="F979" s="7" t="e">
        <f t="array" ref="F979">+TIPOARMA(H979,I979)</f>
        <v>#VALUE!</v>
      </c>
      <c r="G979" s="7"/>
      <c r="H979" s="7" t="e">
        <f>+VLOOKUP(Q979,Maps!I:J,2,0)</f>
        <v>#N/A</v>
      </c>
      <c r="I979" s="7" t="e">
        <f>+VLOOKUP(T979,Maps!E:F,2,0)</f>
        <v>#N/A</v>
      </c>
    </row>
    <row r="980" spans="1:9" ht="14.25" customHeight="1" x14ac:dyDescent="0.35">
      <c r="A980" s="7" t="str">
        <f t="array" ref="A980">EXTRACTEVENT(N980,V980)</f>
        <v/>
      </c>
      <c r="B980" s="7" t="str">
        <f t="shared" si="45"/>
        <v/>
      </c>
      <c r="C980" s="7"/>
      <c r="D980" s="7" t="str">
        <f t="shared" si="46"/>
        <v>E</v>
      </c>
      <c r="E980" s="10">
        <f t="shared" si="47"/>
        <v>0</v>
      </c>
      <c r="F980" s="7" t="e">
        <f t="array" ref="F980">+TIPOARMA(H980,I980)</f>
        <v>#VALUE!</v>
      </c>
      <c r="G980" s="7"/>
      <c r="H980" s="7" t="e">
        <f>+VLOOKUP(Q980,Maps!I:J,2,0)</f>
        <v>#N/A</v>
      </c>
      <c r="I980" s="7" t="e">
        <f>+VLOOKUP(T980,Maps!E:F,2,0)</f>
        <v>#N/A</v>
      </c>
    </row>
    <row r="981" spans="1:9" ht="14.25" customHeight="1" x14ac:dyDescent="0.35">
      <c r="A981" s="7" t="str">
        <f t="array" ref="A981">EXTRACTEVENT(N981,V981)</f>
        <v/>
      </c>
      <c r="B981" s="7" t="str">
        <f t="shared" si="45"/>
        <v/>
      </c>
      <c r="C981" s="7"/>
      <c r="D981" s="7" t="str">
        <f t="shared" si="46"/>
        <v>E</v>
      </c>
      <c r="E981" s="10">
        <f t="shared" si="47"/>
        <v>0</v>
      </c>
      <c r="F981" s="7" t="e">
        <f t="array" ref="F981">+TIPOARMA(H981,I981)</f>
        <v>#VALUE!</v>
      </c>
      <c r="G981" s="7"/>
      <c r="H981" s="7" t="e">
        <f>+VLOOKUP(Q981,Maps!I:J,2,0)</f>
        <v>#N/A</v>
      </c>
      <c r="I981" s="7" t="e">
        <f>+VLOOKUP(T981,Maps!E:F,2,0)</f>
        <v>#N/A</v>
      </c>
    </row>
    <row r="982" spans="1:9" ht="14.25" customHeight="1" x14ac:dyDescent="0.35">
      <c r="A982" s="7" t="str">
        <f t="array" ref="A982">EXTRACTEVENT(N982,V982)</f>
        <v/>
      </c>
      <c r="B982" s="7" t="str">
        <f t="shared" si="45"/>
        <v/>
      </c>
      <c r="C982" s="7"/>
      <c r="D982" s="7" t="str">
        <f t="shared" si="46"/>
        <v>E</v>
      </c>
      <c r="E982" s="10">
        <f t="shared" si="47"/>
        <v>0</v>
      </c>
      <c r="F982" s="7" t="e">
        <f t="array" ref="F982">+TIPOARMA(H982,I982)</f>
        <v>#VALUE!</v>
      </c>
      <c r="G982" s="7"/>
      <c r="H982" s="7" t="e">
        <f>+VLOOKUP(Q982,Maps!I:J,2,0)</f>
        <v>#N/A</v>
      </c>
      <c r="I982" s="7" t="e">
        <f>+VLOOKUP(T982,Maps!E:F,2,0)</f>
        <v>#N/A</v>
      </c>
    </row>
    <row r="983" spans="1:9" ht="14.25" customHeight="1" x14ac:dyDescent="0.35">
      <c r="A983" s="7" t="str">
        <f t="array" ref="A983">EXTRACTEVENT(N983,V983)</f>
        <v/>
      </c>
      <c r="B983" s="7" t="str">
        <f t="shared" si="45"/>
        <v/>
      </c>
      <c r="C983" s="7"/>
      <c r="D983" s="7" t="str">
        <f t="shared" si="46"/>
        <v>E</v>
      </c>
      <c r="E983" s="10">
        <f t="shared" si="47"/>
        <v>0</v>
      </c>
      <c r="F983" s="7" t="e">
        <f t="array" ref="F983">+TIPOARMA(H983,I983)</f>
        <v>#VALUE!</v>
      </c>
      <c r="G983" s="7"/>
      <c r="H983" s="7" t="e">
        <f>+VLOOKUP(Q983,Maps!I:J,2,0)</f>
        <v>#N/A</v>
      </c>
      <c r="I983" s="7" t="e">
        <f>+VLOOKUP(T983,Maps!E:F,2,0)</f>
        <v>#N/A</v>
      </c>
    </row>
    <row r="984" spans="1:9" ht="14.25" customHeight="1" x14ac:dyDescent="0.35">
      <c r="A984" s="7" t="str">
        <f t="array" ref="A984">EXTRACTEVENT(N984,V984)</f>
        <v/>
      </c>
      <c r="B984" s="7" t="str">
        <f t="shared" si="45"/>
        <v/>
      </c>
      <c r="C984" s="7"/>
      <c r="D984" s="7" t="str">
        <f t="shared" si="46"/>
        <v>E</v>
      </c>
      <c r="E984" s="10">
        <f t="shared" si="47"/>
        <v>0</v>
      </c>
      <c r="F984" s="7" t="e">
        <f t="array" ref="F984">+TIPOARMA(H984,I984)</f>
        <v>#VALUE!</v>
      </c>
      <c r="G984" s="7"/>
      <c r="H984" s="7" t="e">
        <f>+VLOOKUP(Q984,Maps!I:J,2,0)</f>
        <v>#N/A</v>
      </c>
      <c r="I984" s="7" t="e">
        <f>+VLOOKUP(T984,Maps!E:F,2,0)</f>
        <v>#N/A</v>
      </c>
    </row>
    <row r="985" spans="1:9" ht="14.25" customHeight="1" x14ac:dyDescent="0.35">
      <c r="A985" s="7" t="str">
        <f t="array" ref="A985">EXTRACTEVENT(N985,V985)</f>
        <v/>
      </c>
      <c r="B985" s="7" t="str">
        <f t="shared" si="45"/>
        <v/>
      </c>
      <c r="C985" s="7"/>
      <c r="D985" s="7" t="str">
        <f t="shared" si="46"/>
        <v>E</v>
      </c>
      <c r="E985" s="10">
        <f t="shared" si="47"/>
        <v>0</v>
      </c>
      <c r="F985" s="7" t="e">
        <f t="array" ref="F985">+TIPOARMA(H985,I985)</f>
        <v>#VALUE!</v>
      </c>
      <c r="G985" s="7"/>
      <c r="H985" s="7" t="e">
        <f>+VLOOKUP(Q985,Maps!I:J,2,0)</f>
        <v>#N/A</v>
      </c>
      <c r="I985" s="7" t="e">
        <f>+VLOOKUP(T985,Maps!E:F,2,0)</f>
        <v>#N/A</v>
      </c>
    </row>
    <row r="986" spans="1:9" ht="14.25" customHeight="1" x14ac:dyDescent="0.35">
      <c r="A986" s="7" t="str">
        <f t="array" ref="A986">EXTRACTEVENT(N986,V986)</f>
        <v/>
      </c>
      <c r="B986" s="7" t="str">
        <f t="shared" si="45"/>
        <v/>
      </c>
      <c r="C986" s="7"/>
      <c r="D986" s="7" t="str">
        <f t="shared" si="46"/>
        <v>E</v>
      </c>
      <c r="E986" s="10">
        <f t="shared" si="47"/>
        <v>0</v>
      </c>
      <c r="F986" s="7" t="e">
        <f t="array" ref="F986">+TIPOARMA(H986,I986)</f>
        <v>#VALUE!</v>
      </c>
      <c r="G986" s="7"/>
      <c r="H986" s="7" t="e">
        <f>+VLOOKUP(Q986,Maps!I:J,2,0)</f>
        <v>#N/A</v>
      </c>
      <c r="I986" s="7" t="e">
        <f>+VLOOKUP(T986,Maps!E:F,2,0)</f>
        <v>#N/A</v>
      </c>
    </row>
    <row r="987" spans="1:9" ht="14.25" customHeight="1" x14ac:dyDescent="0.35">
      <c r="A987" s="7" t="str">
        <f t="array" ref="A987">EXTRACTEVENT(N987,V987)</f>
        <v/>
      </c>
      <c r="B987" s="7" t="str">
        <f t="shared" si="45"/>
        <v/>
      </c>
      <c r="C987" s="7"/>
      <c r="D987" s="7" t="str">
        <f t="shared" si="46"/>
        <v>E</v>
      </c>
      <c r="E987" s="10">
        <f t="shared" si="47"/>
        <v>0</v>
      </c>
      <c r="F987" s="7" t="e">
        <f t="array" ref="F987">+TIPOARMA(H987,I987)</f>
        <v>#VALUE!</v>
      </c>
      <c r="G987" s="7"/>
      <c r="H987" s="7" t="e">
        <f>+VLOOKUP(Q987,Maps!I:J,2,0)</f>
        <v>#N/A</v>
      </c>
      <c r="I987" s="7" t="e">
        <f>+VLOOKUP(T987,Maps!E:F,2,0)</f>
        <v>#N/A</v>
      </c>
    </row>
    <row r="988" spans="1:9" ht="14.25" customHeight="1" x14ac:dyDescent="0.35">
      <c r="A988" s="7" t="str">
        <f t="array" ref="A988">EXTRACTEVENT(N988,V988)</f>
        <v/>
      </c>
      <c r="B988" s="7" t="str">
        <f t="shared" si="45"/>
        <v/>
      </c>
      <c r="C988" s="7"/>
      <c r="D988" s="7" t="str">
        <f t="shared" si="46"/>
        <v>E</v>
      </c>
      <c r="E988" s="10">
        <f t="shared" si="47"/>
        <v>0</v>
      </c>
      <c r="F988" s="7" t="e">
        <f t="array" ref="F988">+TIPOARMA(H988,I988)</f>
        <v>#VALUE!</v>
      </c>
      <c r="G988" s="7"/>
      <c r="H988" s="7" t="e">
        <f>+VLOOKUP(Q988,Maps!I:J,2,0)</f>
        <v>#N/A</v>
      </c>
      <c r="I988" s="7" t="e">
        <f>+VLOOKUP(T988,Maps!E:F,2,0)</f>
        <v>#N/A</v>
      </c>
    </row>
    <row r="989" spans="1:9" ht="14.25" customHeight="1" x14ac:dyDescent="0.35">
      <c r="A989" s="7" t="str">
        <f t="array" ref="A989">EXTRACTEVENT(N989,V989)</f>
        <v/>
      </c>
      <c r="B989" s="7" t="str">
        <f t="shared" si="45"/>
        <v/>
      </c>
      <c r="C989" s="7"/>
      <c r="D989" s="7" t="str">
        <f t="shared" si="46"/>
        <v>E</v>
      </c>
      <c r="E989" s="10">
        <f t="shared" si="47"/>
        <v>0</v>
      </c>
      <c r="F989" s="7" t="e">
        <f t="array" ref="F989">+TIPOARMA(H989,I989)</f>
        <v>#VALUE!</v>
      </c>
      <c r="G989" s="7"/>
      <c r="H989" s="7" t="e">
        <f>+VLOOKUP(Q989,Maps!I:J,2,0)</f>
        <v>#N/A</v>
      </c>
      <c r="I989" s="7" t="e">
        <f>+VLOOKUP(T989,Maps!E:F,2,0)</f>
        <v>#N/A</v>
      </c>
    </row>
    <row r="990" spans="1:9" ht="14.25" customHeight="1" x14ac:dyDescent="0.35">
      <c r="A990" s="7" t="str">
        <f t="array" ref="A990">EXTRACTEVENT(N990,V990)</f>
        <v/>
      </c>
      <c r="B990" s="7" t="str">
        <f t="shared" si="45"/>
        <v/>
      </c>
      <c r="C990" s="7"/>
      <c r="D990" s="7" t="str">
        <f t="shared" si="46"/>
        <v>E</v>
      </c>
      <c r="E990" s="10">
        <f t="shared" si="47"/>
        <v>0</v>
      </c>
      <c r="F990" s="7" t="e">
        <f t="array" ref="F990">+TIPOARMA(H990,I990)</f>
        <v>#VALUE!</v>
      </c>
      <c r="G990" s="7"/>
      <c r="H990" s="7" t="e">
        <f>+VLOOKUP(Q990,Maps!I:J,2,0)</f>
        <v>#N/A</v>
      </c>
      <c r="I990" s="7" t="e">
        <f>+VLOOKUP(T990,Maps!E:F,2,0)</f>
        <v>#N/A</v>
      </c>
    </row>
    <row r="991" spans="1:9" ht="14.25" customHeight="1" x14ac:dyDescent="0.35">
      <c r="A991" s="7" t="str">
        <f t="array" ref="A991">EXTRACTEVENT(N991,V991)</f>
        <v/>
      </c>
      <c r="B991" s="7" t="str">
        <f t="shared" si="45"/>
        <v/>
      </c>
      <c r="C991" s="7"/>
      <c r="D991" s="7" t="str">
        <f t="shared" si="46"/>
        <v>E</v>
      </c>
      <c r="E991" s="10">
        <f t="shared" si="47"/>
        <v>0</v>
      </c>
      <c r="F991" s="7" t="e">
        <f t="array" ref="F991">+TIPOARMA(H991,I991)</f>
        <v>#VALUE!</v>
      </c>
      <c r="G991" s="7"/>
      <c r="H991" s="7" t="e">
        <f>+VLOOKUP(Q991,Maps!I:J,2,0)</f>
        <v>#N/A</v>
      </c>
      <c r="I991" s="7" t="e">
        <f>+VLOOKUP(T991,Maps!E:F,2,0)</f>
        <v>#N/A</v>
      </c>
    </row>
    <row r="992" spans="1:9" ht="14.25" customHeight="1" x14ac:dyDescent="0.35">
      <c r="A992" s="7" t="str">
        <f t="array" ref="A992">EXTRACTEVENT(N992,V992)</f>
        <v/>
      </c>
      <c r="B992" s="7" t="str">
        <f t="shared" si="45"/>
        <v/>
      </c>
      <c r="C992" s="7"/>
      <c r="D992" s="7" t="str">
        <f t="shared" si="46"/>
        <v>E</v>
      </c>
      <c r="E992" s="10">
        <f t="shared" si="47"/>
        <v>0</v>
      </c>
      <c r="F992" s="7" t="e">
        <f t="array" ref="F992">+TIPOARMA(H992,I992)</f>
        <v>#VALUE!</v>
      </c>
      <c r="G992" s="7"/>
      <c r="H992" s="7" t="e">
        <f>+VLOOKUP(Q992,Maps!I:J,2,0)</f>
        <v>#N/A</v>
      </c>
      <c r="I992" s="7" t="e">
        <f>+VLOOKUP(T992,Maps!E:F,2,0)</f>
        <v>#N/A</v>
      </c>
    </row>
    <row r="993" spans="1:9" ht="14.25" customHeight="1" x14ac:dyDescent="0.35">
      <c r="A993" s="7" t="str">
        <f t="array" ref="A993">EXTRACTEVENT(N993,V993)</f>
        <v/>
      </c>
      <c r="B993" s="7" t="str">
        <f t="shared" si="45"/>
        <v/>
      </c>
      <c r="C993" s="7"/>
      <c r="D993" s="7" t="str">
        <f t="shared" si="46"/>
        <v>E</v>
      </c>
      <c r="E993" s="10">
        <f t="shared" si="47"/>
        <v>0</v>
      </c>
      <c r="F993" s="7" t="e">
        <f t="array" ref="F993">+TIPOARMA(H993,I993)</f>
        <v>#VALUE!</v>
      </c>
      <c r="G993" s="7"/>
      <c r="H993" s="7" t="e">
        <f>+VLOOKUP(Q993,Maps!I:J,2,0)</f>
        <v>#N/A</v>
      </c>
      <c r="I993" s="7" t="e">
        <f>+VLOOKUP(T993,Maps!E:F,2,0)</f>
        <v>#N/A</v>
      </c>
    </row>
    <row r="994" spans="1:9" ht="14.25" customHeight="1" x14ac:dyDescent="0.35">
      <c r="A994" s="7" t="str">
        <f t="array" ref="A994">EXTRACTEVENT(N994,V994)</f>
        <v/>
      </c>
      <c r="B994" s="7" t="str">
        <f t="shared" si="45"/>
        <v/>
      </c>
      <c r="C994" s="7"/>
      <c r="D994" s="7" t="str">
        <f t="shared" si="46"/>
        <v>E</v>
      </c>
      <c r="E994" s="10">
        <f t="shared" si="47"/>
        <v>0</v>
      </c>
      <c r="F994" s="7" t="e">
        <f t="array" ref="F994">+TIPOARMA(H994,I994)</f>
        <v>#VALUE!</v>
      </c>
      <c r="G994" s="7"/>
      <c r="H994" s="7" t="e">
        <f>+VLOOKUP(Q994,Maps!I:J,2,0)</f>
        <v>#N/A</v>
      </c>
      <c r="I994" s="7" t="e">
        <f>+VLOOKUP(T994,Maps!E:F,2,0)</f>
        <v>#N/A</v>
      </c>
    </row>
    <row r="995" spans="1:9" ht="14.25" customHeight="1" x14ac:dyDescent="0.35">
      <c r="A995" s="7" t="str">
        <f t="array" ref="A995">EXTRACTEVENT(N995,V995)</f>
        <v/>
      </c>
      <c r="B995" s="7" t="str">
        <f t="shared" si="45"/>
        <v/>
      </c>
      <c r="C995" s="7"/>
      <c r="D995" s="7" t="str">
        <f t="shared" si="46"/>
        <v>E</v>
      </c>
      <c r="E995" s="10">
        <f t="shared" si="47"/>
        <v>0</v>
      </c>
      <c r="F995" s="7" t="e">
        <f t="array" ref="F995">+TIPOARMA(H995,I995)</f>
        <v>#VALUE!</v>
      </c>
      <c r="G995" s="7"/>
      <c r="H995" s="7" t="e">
        <f>+VLOOKUP(Q995,Maps!I:J,2,0)</f>
        <v>#N/A</v>
      </c>
      <c r="I995" s="7" t="e">
        <f>+VLOOKUP(T995,Maps!E:F,2,0)</f>
        <v>#N/A</v>
      </c>
    </row>
    <row r="996" spans="1:9" ht="14.25" customHeight="1" x14ac:dyDescent="0.35">
      <c r="A996" s="7" t="str">
        <f t="array" ref="A996">EXTRACTEVENT(N996,V996)</f>
        <v/>
      </c>
      <c r="B996" s="7" t="str">
        <f t="shared" si="45"/>
        <v/>
      </c>
      <c r="C996" s="7"/>
      <c r="D996" s="7" t="str">
        <f t="shared" si="46"/>
        <v>E</v>
      </c>
      <c r="E996" s="10">
        <f t="shared" si="47"/>
        <v>0</v>
      </c>
      <c r="F996" s="7" t="e">
        <f t="array" ref="F996">+TIPOARMA(H996,I996)</f>
        <v>#VALUE!</v>
      </c>
      <c r="G996" s="7"/>
      <c r="H996" s="7" t="e">
        <f>+VLOOKUP(Q996,Maps!I:J,2,0)</f>
        <v>#N/A</v>
      </c>
      <c r="I996" s="7" t="e">
        <f>+VLOOKUP(T996,Maps!E:F,2,0)</f>
        <v>#N/A</v>
      </c>
    </row>
    <row r="997" spans="1:9" ht="14.25" customHeight="1" x14ac:dyDescent="0.35">
      <c r="A997" s="7" t="str">
        <f t="array" ref="A997">EXTRACTEVENT(N997,V997)</f>
        <v/>
      </c>
      <c r="B997" s="7" t="str">
        <f t="shared" si="45"/>
        <v/>
      </c>
      <c r="C997" s="7"/>
      <c r="D997" s="7" t="str">
        <f t="shared" si="46"/>
        <v>E</v>
      </c>
      <c r="E997" s="10">
        <f t="shared" si="47"/>
        <v>0</v>
      </c>
      <c r="F997" s="7" t="e">
        <f t="array" ref="F997">+TIPOARMA(H997,I997)</f>
        <v>#VALUE!</v>
      </c>
      <c r="G997" s="7"/>
      <c r="H997" s="7" t="e">
        <f>+VLOOKUP(Q997,Maps!I:J,2,0)</f>
        <v>#N/A</v>
      </c>
      <c r="I997" s="7" t="e">
        <f>+VLOOKUP(T997,Maps!E:F,2,0)</f>
        <v>#N/A</v>
      </c>
    </row>
    <row r="998" spans="1:9" ht="14.25" customHeight="1" x14ac:dyDescent="0.35">
      <c r="A998" s="7" t="str">
        <f t="array" ref="A998">EXTRACTEVENT(N998,V998)</f>
        <v/>
      </c>
      <c r="B998" s="7" t="str">
        <f t="shared" si="45"/>
        <v/>
      </c>
      <c r="C998" s="7"/>
      <c r="D998" s="7" t="str">
        <f t="shared" si="46"/>
        <v>E</v>
      </c>
      <c r="E998" s="10">
        <f t="shared" si="47"/>
        <v>0</v>
      </c>
      <c r="F998" s="7" t="e">
        <f t="array" ref="F998">+TIPOARMA(H998,I998)</f>
        <v>#VALUE!</v>
      </c>
      <c r="G998" s="7"/>
      <c r="H998" s="7" t="e">
        <f>+VLOOKUP(Q998,Maps!I:J,2,0)</f>
        <v>#N/A</v>
      </c>
      <c r="I998" s="7" t="e">
        <f>+VLOOKUP(T998,Maps!E:F,2,0)</f>
        <v>#N/A</v>
      </c>
    </row>
    <row r="999" spans="1:9" ht="14.25" customHeight="1" x14ac:dyDescent="0.35">
      <c r="A999" s="7" t="str">
        <f t="array" ref="A999">EXTRACTEVENT(N999,V999)</f>
        <v/>
      </c>
      <c r="B999" s="7" t="str">
        <f t="shared" si="45"/>
        <v/>
      </c>
      <c r="C999" s="7"/>
      <c r="D999" s="7" t="str">
        <f t="shared" si="46"/>
        <v>E</v>
      </c>
      <c r="E999" s="10">
        <f t="shared" si="47"/>
        <v>0</v>
      </c>
      <c r="F999" s="7" t="e">
        <f t="array" ref="F999">+TIPOARMA(H999,I999)</f>
        <v>#VALUE!</v>
      </c>
      <c r="G999" s="7"/>
      <c r="H999" s="7" t="e">
        <f>+VLOOKUP(Q999,Maps!I:J,2,0)</f>
        <v>#N/A</v>
      </c>
      <c r="I999" s="7" t="e">
        <f>+VLOOKUP(T999,Maps!E:F,2,0)</f>
        <v>#N/A</v>
      </c>
    </row>
    <row r="1000" spans="1:9" ht="14.25" customHeight="1" x14ac:dyDescent="0.35">
      <c r="A1000" s="7" t="str">
        <f t="array" ref="A1000">EXTRACTEVENT(N1000,V1000)</f>
        <v/>
      </c>
      <c r="B1000" s="7" t="str">
        <f t="shared" si="45"/>
        <v/>
      </c>
      <c r="C1000" s="7"/>
      <c r="D1000" s="7" t="str">
        <f t="shared" si="46"/>
        <v>E</v>
      </c>
      <c r="E1000" s="10">
        <f t="shared" si="47"/>
        <v>0</v>
      </c>
      <c r="F1000" s="7" t="e">
        <f t="array" ref="F1000">+TIPOARMA(H1000,I1000)</f>
        <v>#VALUE!</v>
      </c>
      <c r="G1000" s="7"/>
      <c r="H1000" s="7" t="e">
        <f>+VLOOKUP(Q1000,Maps!I:J,2,0)</f>
        <v>#N/A</v>
      </c>
      <c r="I1000" s="7" t="e">
        <f>+VLOOKUP(T1000,Maps!E:F,2,0)</f>
        <v>#N/A</v>
      </c>
    </row>
    <row r="1001" spans="1:9" ht="14.25" customHeight="1" x14ac:dyDescent="0.35">
      <c r="A1001" s="7" t="str">
        <f t="array" ref="A1001">EXTRACTEVENT(N1001,V1001)</f>
        <v/>
      </c>
      <c r="B1001" s="7" t="str">
        <f t="shared" si="45"/>
        <v/>
      </c>
      <c r="C1001" s="7"/>
      <c r="D1001" s="7" t="str">
        <f t="shared" si="46"/>
        <v>E</v>
      </c>
      <c r="E1001" s="10">
        <f t="shared" si="47"/>
        <v>0</v>
      </c>
      <c r="F1001" s="7" t="e">
        <f t="array" ref="F1001">+TIPOARMA(H1001,I1001)</f>
        <v>#VALUE!</v>
      </c>
      <c r="G1001" s="7"/>
      <c r="H1001" s="7" t="e">
        <f>+VLOOKUP(Q1001,Maps!I:J,2,0)</f>
        <v>#N/A</v>
      </c>
      <c r="I1001" s="7" t="e">
        <f>+VLOOKUP(T1001,Maps!E:F,2,0)</f>
        <v>#N/A</v>
      </c>
    </row>
    <row r="1002" spans="1:9" ht="14.25" customHeight="1" x14ac:dyDescent="0.35">
      <c r="A1002" s="7" t="str">
        <f t="array" ref="A1002">EXTRACTEVENT(N1002,V1002)</f>
        <v/>
      </c>
      <c r="B1002" s="7" t="str">
        <f t="shared" si="45"/>
        <v/>
      </c>
      <c r="C1002" s="7"/>
      <c r="D1002" s="7" t="str">
        <f t="shared" si="46"/>
        <v>E</v>
      </c>
      <c r="E1002" s="10">
        <f t="shared" si="47"/>
        <v>0</v>
      </c>
      <c r="F1002" s="7" t="e">
        <f t="array" ref="F1002">+TIPOARMA(H1002,I1002)</f>
        <v>#VALUE!</v>
      </c>
      <c r="G1002" s="7"/>
      <c r="H1002" s="7" t="e">
        <f>+VLOOKUP(Q1002,Maps!I:J,2,0)</f>
        <v>#N/A</v>
      </c>
      <c r="I1002" s="7" t="e">
        <f>+VLOOKUP(T1002,Maps!E:F,2,0)</f>
        <v>#N/A</v>
      </c>
    </row>
    <row r="1003" spans="1:9" ht="14.25" customHeight="1" x14ac:dyDescent="0.35">
      <c r="A1003" s="7" t="str">
        <f t="array" ref="A1003">EXTRACTEVENT(N1003,V1003)</f>
        <v/>
      </c>
      <c r="B1003" s="7" t="str">
        <f t="shared" si="45"/>
        <v/>
      </c>
      <c r="C1003" s="7"/>
      <c r="D1003" s="7" t="str">
        <f t="shared" si="46"/>
        <v>E</v>
      </c>
      <c r="E1003" s="10">
        <f t="shared" si="47"/>
        <v>0</v>
      </c>
      <c r="F1003" s="7" t="e">
        <f t="array" ref="F1003">+TIPOARMA(H1003,I1003)</f>
        <v>#VALUE!</v>
      </c>
      <c r="G1003" s="7"/>
      <c r="H1003" s="7" t="e">
        <f>+VLOOKUP(Q1003,Maps!I:J,2,0)</f>
        <v>#N/A</v>
      </c>
      <c r="I1003" s="7" t="e">
        <f>+VLOOKUP(T1003,Maps!E:F,2,0)</f>
        <v>#N/A</v>
      </c>
    </row>
    <row r="1004" spans="1:9" ht="14.25" customHeight="1" x14ac:dyDescent="0.35">
      <c r="A1004" s="7" t="str">
        <f t="array" ref="A1004">EXTRACTEVENT(N1004,V1004)</f>
        <v/>
      </c>
      <c r="B1004" s="7" t="str">
        <f t="shared" si="45"/>
        <v/>
      </c>
      <c r="C1004" s="7"/>
      <c r="D1004" s="7" t="str">
        <f t="shared" si="46"/>
        <v>E</v>
      </c>
      <c r="E1004" s="10">
        <f t="shared" si="47"/>
        <v>0</v>
      </c>
      <c r="F1004" s="7" t="e">
        <f t="array" ref="F1004">+TIPOARMA(H1004,I1004)</f>
        <v>#VALUE!</v>
      </c>
      <c r="G1004" s="7"/>
      <c r="H1004" s="7" t="e">
        <f>+VLOOKUP(Q1004,Maps!I:J,2,0)</f>
        <v>#N/A</v>
      </c>
      <c r="I1004" s="7" t="e">
        <f>+VLOOKUP(T1004,Maps!E:F,2,0)</f>
        <v>#N/A</v>
      </c>
    </row>
    <row r="1005" spans="1:9" ht="14.25" customHeight="1" x14ac:dyDescent="0.35">
      <c r="A1005" s="7" t="str">
        <f t="array" ref="A1005">EXTRACTEVENT(N1005,V1005)</f>
        <v/>
      </c>
      <c r="B1005" s="7" t="str">
        <f t="shared" si="45"/>
        <v/>
      </c>
      <c r="C1005" s="7"/>
      <c r="D1005" s="7" t="str">
        <f t="shared" si="46"/>
        <v>E</v>
      </c>
      <c r="E1005" s="10">
        <f t="shared" si="47"/>
        <v>0</v>
      </c>
      <c r="F1005" s="7" t="e">
        <f t="array" ref="F1005">+TIPOARMA(H1005,I1005)</f>
        <v>#VALUE!</v>
      </c>
      <c r="G1005" s="7"/>
      <c r="H1005" s="7" t="e">
        <f>+VLOOKUP(Q1005,Maps!I:J,2,0)</f>
        <v>#N/A</v>
      </c>
      <c r="I1005" s="7" t="e">
        <f>+VLOOKUP(T1005,Maps!E:F,2,0)</f>
        <v>#N/A</v>
      </c>
    </row>
    <row r="1006" spans="1:9" ht="14.25" customHeight="1" x14ac:dyDescent="0.35">
      <c r="A1006" s="7" t="str">
        <f t="array" ref="A1006">EXTRACTEVENT(N1006,V1006)</f>
        <v/>
      </c>
      <c r="B1006" s="7" t="str">
        <f t="shared" si="45"/>
        <v/>
      </c>
      <c r="C1006" s="7"/>
      <c r="D1006" s="7" t="str">
        <f t="shared" si="46"/>
        <v>E</v>
      </c>
      <c r="E1006" s="10">
        <f t="shared" si="47"/>
        <v>0</v>
      </c>
      <c r="F1006" s="7" t="e">
        <f t="array" ref="F1006">+TIPOARMA(H1006,I1006)</f>
        <v>#VALUE!</v>
      </c>
      <c r="G1006" s="7"/>
      <c r="H1006" s="7" t="e">
        <f>+VLOOKUP(Q1006,Maps!I:J,2,0)</f>
        <v>#N/A</v>
      </c>
      <c r="I1006" s="7" t="e">
        <f>+VLOOKUP(T1006,Maps!E:F,2,0)</f>
        <v>#N/A</v>
      </c>
    </row>
    <row r="1007" spans="1:9" ht="14.25" customHeight="1" x14ac:dyDescent="0.35">
      <c r="A1007" s="7" t="str">
        <f t="array" ref="A1007">EXTRACTEVENT(N1007,V1007)</f>
        <v/>
      </c>
      <c r="B1007" s="7" t="str">
        <f t="shared" si="45"/>
        <v/>
      </c>
      <c r="C1007" s="7"/>
      <c r="D1007" s="7" t="str">
        <f t="shared" si="46"/>
        <v>E</v>
      </c>
      <c r="E1007" s="10">
        <f t="shared" si="47"/>
        <v>0</v>
      </c>
      <c r="F1007" s="7" t="e">
        <f t="array" ref="F1007">+TIPOARMA(H1007,I1007)</f>
        <v>#VALUE!</v>
      </c>
      <c r="G1007" s="7"/>
      <c r="H1007" s="7" t="e">
        <f>+VLOOKUP(Q1007,Maps!I:J,2,0)</f>
        <v>#N/A</v>
      </c>
      <c r="I1007" s="7" t="e">
        <f>+VLOOKUP(T1007,Maps!E:F,2,0)</f>
        <v>#N/A</v>
      </c>
    </row>
    <row r="1008" spans="1:9" ht="14.25" customHeight="1" x14ac:dyDescent="0.35">
      <c r="A1008" s="7" t="str">
        <f t="array" ref="A1008">EXTRACTEVENT(N1008,V1008)</f>
        <v/>
      </c>
      <c r="B1008" s="7" t="str">
        <f t="shared" si="45"/>
        <v/>
      </c>
      <c r="C1008" s="7"/>
      <c r="D1008" s="7" t="str">
        <f t="shared" si="46"/>
        <v>E</v>
      </c>
      <c r="E1008" s="10">
        <f t="shared" si="47"/>
        <v>0</v>
      </c>
      <c r="F1008" s="7" t="e">
        <f t="array" ref="F1008">+TIPOARMA(H1008,I1008)</f>
        <v>#VALUE!</v>
      </c>
      <c r="G1008" s="7"/>
      <c r="H1008" s="7" t="e">
        <f>+VLOOKUP(Q1008,Maps!I:J,2,0)</f>
        <v>#N/A</v>
      </c>
      <c r="I1008" s="7" t="e">
        <f>+VLOOKUP(T1008,Maps!E:F,2,0)</f>
        <v>#N/A</v>
      </c>
    </row>
    <row r="1009" spans="1:9" ht="14.25" customHeight="1" x14ac:dyDescent="0.35">
      <c r="A1009" s="7" t="str">
        <f t="array" ref="A1009">EXTRACTEVENT(N1009,V1009)</f>
        <v/>
      </c>
      <c r="B1009" s="7" t="str">
        <f t="shared" si="45"/>
        <v/>
      </c>
      <c r="C1009" s="7"/>
      <c r="D1009" s="7" t="str">
        <f t="shared" si="46"/>
        <v>E</v>
      </c>
      <c r="E1009" s="10">
        <f t="shared" si="47"/>
        <v>0</v>
      </c>
      <c r="F1009" s="7" t="e">
        <f t="array" ref="F1009">+TIPOARMA(H1009,I1009)</f>
        <v>#VALUE!</v>
      </c>
      <c r="G1009" s="7"/>
      <c r="H1009" s="7" t="e">
        <f>+VLOOKUP(Q1009,Maps!I:J,2,0)</f>
        <v>#N/A</v>
      </c>
      <c r="I1009" s="7" t="e">
        <f>+VLOOKUP(T1009,Maps!E:F,2,0)</f>
        <v>#N/A</v>
      </c>
    </row>
    <row r="1010" spans="1:9" ht="14.25" customHeight="1" x14ac:dyDescent="0.35">
      <c r="A1010" s="7" t="str">
        <f t="array" ref="A1010">EXTRACTEVENT(N1010,V1010)</f>
        <v/>
      </c>
      <c r="B1010" s="7" t="str">
        <f t="shared" si="45"/>
        <v/>
      </c>
      <c r="C1010" s="7"/>
      <c r="D1010" s="7" t="str">
        <f t="shared" si="46"/>
        <v>E</v>
      </c>
      <c r="E1010" s="10">
        <f t="shared" si="47"/>
        <v>0</v>
      </c>
      <c r="F1010" s="7" t="e">
        <f t="array" ref="F1010">+TIPOARMA(H1010,I1010)</f>
        <v>#VALUE!</v>
      </c>
      <c r="G1010" s="7"/>
      <c r="H1010" s="7" t="e">
        <f>+VLOOKUP(Q1010,Maps!I:J,2,0)</f>
        <v>#N/A</v>
      </c>
      <c r="I1010" s="7" t="e">
        <f>+VLOOKUP(T1010,Maps!E:F,2,0)</f>
        <v>#N/A</v>
      </c>
    </row>
    <row r="1011" spans="1:9" ht="14.25" customHeight="1" x14ac:dyDescent="0.35">
      <c r="A1011" s="7" t="str">
        <f t="array" ref="A1011">EXTRACTEVENT(N1011,V1011)</f>
        <v/>
      </c>
      <c r="B1011" s="7" t="str">
        <f t="shared" si="45"/>
        <v/>
      </c>
      <c r="C1011" s="7"/>
      <c r="D1011" s="7" t="str">
        <f t="shared" si="46"/>
        <v>E</v>
      </c>
      <c r="E1011" s="10">
        <f t="shared" si="47"/>
        <v>0</v>
      </c>
      <c r="F1011" s="7" t="e">
        <f t="array" ref="F1011">+TIPOARMA(H1011,I1011)</f>
        <v>#VALUE!</v>
      </c>
      <c r="G1011" s="7"/>
      <c r="H1011" s="7" t="e">
        <f>+VLOOKUP(Q1011,Maps!I:J,2,0)</f>
        <v>#N/A</v>
      </c>
      <c r="I1011" s="7" t="e">
        <f>+VLOOKUP(T1011,Maps!E:F,2,0)</f>
        <v>#N/A</v>
      </c>
    </row>
    <row r="1012" spans="1:9" ht="14.25" customHeight="1" x14ac:dyDescent="0.35">
      <c r="A1012" s="7" t="str">
        <f t="array" ref="A1012">EXTRACTEVENT(N1012,V1012)</f>
        <v/>
      </c>
      <c r="B1012" s="7" t="str">
        <f t="shared" si="45"/>
        <v/>
      </c>
      <c r="C1012" s="7"/>
      <c r="D1012" s="7" t="str">
        <f t="shared" si="46"/>
        <v>E</v>
      </c>
      <c r="E1012" s="10">
        <f t="shared" si="47"/>
        <v>0</v>
      </c>
      <c r="F1012" s="7" t="e">
        <f t="array" ref="F1012">+TIPOARMA(H1012,I1012)</f>
        <v>#VALUE!</v>
      </c>
      <c r="G1012" s="7"/>
      <c r="H1012" s="7" t="e">
        <f>+VLOOKUP(Q1012,Maps!I:J,2,0)</f>
        <v>#N/A</v>
      </c>
      <c r="I1012" s="7" t="e">
        <f>+VLOOKUP(T1012,Maps!E:F,2,0)</f>
        <v>#N/A</v>
      </c>
    </row>
    <row r="1013" spans="1:9" ht="14.25" customHeight="1" x14ac:dyDescent="0.35">
      <c r="A1013" s="7" t="str">
        <f t="array" ref="A1013">EXTRACTEVENT(N1013,V1013)</f>
        <v/>
      </c>
      <c r="B1013" s="7" t="str">
        <f t="shared" si="45"/>
        <v/>
      </c>
      <c r="C1013" s="7"/>
      <c r="D1013" s="7" t="str">
        <f t="shared" si="46"/>
        <v>E</v>
      </c>
      <c r="E1013" s="10">
        <f t="shared" si="47"/>
        <v>0</v>
      </c>
      <c r="F1013" s="7" t="e">
        <f t="array" ref="F1013">+TIPOARMA(H1013,I1013)</f>
        <v>#VALUE!</v>
      </c>
      <c r="G1013" s="7"/>
      <c r="H1013" s="7" t="e">
        <f>+VLOOKUP(Q1013,Maps!I:J,2,0)</f>
        <v>#N/A</v>
      </c>
      <c r="I1013" s="7" t="e">
        <f>+VLOOKUP(T1013,Maps!E:F,2,0)</f>
        <v>#N/A</v>
      </c>
    </row>
    <row r="1014" spans="1:9" ht="14.25" customHeight="1" x14ac:dyDescent="0.35">
      <c r="A1014" s="7" t="str">
        <f t="array" ref="A1014">EXTRACTEVENT(N1014,V1014)</f>
        <v/>
      </c>
      <c r="B1014" s="7" t="str">
        <f t="shared" si="45"/>
        <v/>
      </c>
      <c r="C1014" s="7"/>
      <c r="D1014" s="7" t="str">
        <f t="shared" si="46"/>
        <v>E</v>
      </c>
      <c r="E1014" s="10">
        <f t="shared" si="47"/>
        <v>0</v>
      </c>
      <c r="F1014" s="7" t="e">
        <f t="array" ref="F1014">+TIPOARMA(H1014,I1014)</f>
        <v>#VALUE!</v>
      </c>
      <c r="G1014" s="7"/>
      <c r="H1014" s="7" t="e">
        <f>+VLOOKUP(Q1014,Maps!I:J,2,0)</f>
        <v>#N/A</v>
      </c>
      <c r="I1014" s="7" t="e">
        <f>+VLOOKUP(T1014,Maps!E:F,2,0)</f>
        <v>#N/A</v>
      </c>
    </row>
    <row r="1015" spans="1:9" ht="14.25" customHeight="1" x14ac:dyDescent="0.35">
      <c r="A1015" s="7" t="str">
        <f t="array" ref="A1015">EXTRACTEVENT(N1015,V1015)</f>
        <v/>
      </c>
      <c r="B1015" s="7" t="str">
        <f t="shared" si="45"/>
        <v/>
      </c>
      <c r="C1015" s="7"/>
      <c r="D1015" s="7" t="str">
        <f t="shared" si="46"/>
        <v>E</v>
      </c>
      <c r="E1015" s="10">
        <f t="shared" si="47"/>
        <v>0</v>
      </c>
      <c r="F1015" s="7" t="e">
        <f t="array" ref="F1015">+TIPOARMA(H1015,I1015)</f>
        <v>#VALUE!</v>
      </c>
      <c r="G1015" s="7"/>
      <c r="H1015" s="7" t="e">
        <f>+VLOOKUP(Q1015,Maps!I:J,2,0)</f>
        <v>#N/A</v>
      </c>
      <c r="I1015" s="7" t="e">
        <f>+VLOOKUP(T1015,Maps!E:F,2,0)</f>
        <v>#N/A</v>
      </c>
    </row>
    <row r="1016" spans="1:9" ht="14.25" customHeight="1" x14ac:dyDescent="0.35">
      <c r="A1016" s="7" t="str">
        <f t="array" ref="A1016">EXTRACTEVENT(N1016,V1016)</f>
        <v/>
      </c>
      <c r="B1016" s="7" t="str">
        <f t="shared" si="45"/>
        <v/>
      </c>
      <c r="C1016" s="7"/>
      <c r="D1016" s="7" t="str">
        <f t="shared" si="46"/>
        <v>E</v>
      </c>
      <c r="E1016" s="10">
        <f t="shared" si="47"/>
        <v>0</v>
      </c>
      <c r="F1016" s="7" t="e">
        <f t="array" ref="F1016">+TIPOARMA(H1016,I1016)</f>
        <v>#VALUE!</v>
      </c>
      <c r="G1016" s="7"/>
      <c r="H1016" s="7" t="e">
        <f>+VLOOKUP(Q1016,Maps!I:J,2,0)</f>
        <v>#N/A</v>
      </c>
      <c r="I1016" s="7" t="e">
        <f>+VLOOKUP(T1016,Maps!E:F,2,0)</f>
        <v>#N/A</v>
      </c>
    </row>
    <row r="1017" spans="1:9" ht="14.25" customHeight="1" x14ac:dyDescent="0.35">
      <c r="A1017" s="7" t="str">
        <f t="array" ref="A1017">EXTRACTEVENT(N1017,V1017)</f>
        <v/>
      </c>
      <c r="B1017" s="7" t="str">
        <f t="shared" si="45"/>
        <v/>
      </c>
      <c r="C1017" s="7"/>
      <c r="D1017" s="7" t="str">
        <f t="shared" si="46"/>
        <v>E</v>
      </c>
      <c r="E1017" s="10">
        <f t="shared" si="47"/>
        <v>0</v>
      </c>
      <c r="F1017" s="7" t="e">
        <f t="array" ref="F1017">+TIPOARMA(H1017,I1017)</f>
        <v>#VALUE!</v>
      </c>
      <c r="G1017" s="7"/>
      <c r="H1017" s="7" t="e">
        <f>+VLOOKUP(Q1017,Maps!I:J,2,0)</f>
        <v>#N/A</v>
      </c>
      <c r="I1017" s="7" t="e">
        <f>+VLOOKUP(T1017,Maps!E:F,2,0)</f>
        <v>#N/A</v>
      </c>
    </row>
    <row r="1018" spans="1:9" ht="14.25" customHeight="1" x14ac:dyDescent="0.35">
      <c r="A1018" s="7" t="str">
        <f t="array" ref="A1018">EXTRACTEVENT(N1018,V1018)</f>
        <v/>
      </c>
      <c r="B1018" s="7" t="str">
        <f t="shared" si="45"/>
        <v/>
      </c>
      <c r="C1018" s="7"/>
      <c r="D1018" s="7" t="str">
        <f t="shared" si="46"/>
        <v>E</v>
      </c>
      <c r="E1018" s="10">
        <f t="shared" si="47"/>
        <v>0</v>
      </c>
      <c r="F1018" s="7" t="e">
        <f t="array" ref="F1018">+TIPOARMA(H1018,I1018)</f>
        <v>#VALUE!</v>
      </c>
      <c r="G1018" s="7"/>
      <c r="H1018" s="7" t="e">
        <f>+VLOOKUP(Q1018,Maps!I:J,2,0)</f>
        <v>#N/A</v>
      </c>
      <c r="I1018" s="7" t="e">
        <f>+VLOOKUP(T1018,Maps!E:F,2,0)</f>
        <v>#N/A</v>
      </c>
    </row>
    <row r="1019" spans="1:9" ht="14.25" customHeight="1" x14ac:dyDescent="0.35">
      <c r="A1019" s="7" t="str">
        <f t="array" ref="A1019">EXTRACTEVENT(N1019,V1019)</f>
        <v/>
      </c>
      <c r="B1019" s="7" t="str">
        <f t="shared" si="45"/>
        <v/>
      </c>
      <c r="C1019" s="7"/>
      <c r="D1019" s="7" t="str">
        <f t="shared" si="46"/>
        <v>E</v>
      </c>
      <c r="E1019" s="10">
        <f t="shared" si="47"/>
        <v>0</v>
      </c>
      <c r="F1019" s="7" t="e">
        <f t="array" ref="F1019">+TIPOARMA(H1019,I1019)</f>
        <v>#VALUE!</v>
      </c>
      <c r="G1019" s="7"/>
      <c r="H1019" s="7" t="e">
        <f>+VLOOKUP(Q1019,Maps!I:J,2,0)</f>
        <v>#N/A</v>
      </c>
      <c r="I1019" s="7" t="e">
        <f>+VLOOKUP(T1019,Maps!E:F,2,0)</f>
        <v>#N/A</v>
      </c>
    </row>
    <row r="1020" spans="1:9" ht="14.25" customHeight="1" x14ac:dyDescent="0.35">
      <c r="A1020" s="7" t="str">
        <f t="array" ref="A1020">EXTRACTEVENT(N1020,V1020)</f>
        <v/>
      </c>
      <c r="B1020" s="7" t="str">
        <f t="shared" si="45"/>
        <v/>
      </c>
      <c r="C1020" s="7"/>
      <c r="D1020" s="7" t="str">
        <f t="shared" si="46"/>
        <v>E</v>
      </c>
      <c r="E1020" s="10">
        <f t="shared" si="47"/>
        <v>0</v>
      </c>
      <c r="F1020" s="7" t="e">
        <f t="array" ref="F1020">+TIPOARMA(H1020,I1020)</f>
        <v>#VALUE!</v>
      </c>
      <c r="G1020" s="7"/>
      <c r="H1020" s="7" t="e">
        <f>+VLOOKUP(Q1020,Maps!I:J,2,0)</f>
        <v>#N/A</v>
      </c>
      <c r="I1020" s="7" t="e">
        <f>+VLOOKUP(T1020,Maps!E:F,2,0)</f>
        <v>#N/A</v>
      </c>
    </row>
    <row r="1021" spans="1:9" ht="14.25" customHeight="1" x14ac:dyDescent="0.35">
      <c r="A1021" s="7" t="str">
        <f t="array" ref="A1021">EXTRACTEVENT(N1021,V1021)</f>
        <v/>
      </c>
      <c r="B1021" s="7" t="str">
        <f t="shared" si="45"/>
        <v/>
      </c>
      <c r="C1021" s="7"/>
      <c r="D1021" s="7" t="str">
        <f t="shared" si="46"/>
        <v>E</v>
      </c>
      <c r="E1021" s="10">
        <f t="shared" si="47"/>
        <v>0</v>
      </c>
      <c r="F1021" s="7" t="e">
        <f t="array" ref="F1021">+TIPOARMA(H1021,I1021)</f>
        <v>#VALUE!</v>
      </c>
      <c r="G1021" s="7"/>
      <c r="H1021" s="7" t="e">
        <f>+VLOOKUP(Q1021,Maps!I:J,2,0)</f>
        <v>#N/A</v>
      </c>
      <c r="I1021" s="7" t="e">
        <f>+VLOOKUP(T1021,Maps!E:F,2,0)</f>
        <v>#N/A</v>
      </c>
    </row>
    <row r="1022" spans="1:9" ht="14.25" customHeight="1" x14ac:dyDescent="0.35">
      <c r="A1022" s="7" t="str">
        <f t="array" ref="A1022">EXTRACTEVENT(N1022,V1022)</f>
        <v/>
      </c>
      <c r="B1022" s="7" t="str">
        <f t="shared" si="45"/>
        <v/>
      </c>
      <c r="C1022" s="7"/>
      <c r="D1022" s="7" t="str">
        <f t="shared" si="46"/>
        <v>E</v>
      </c>
      <c r="E1022" s="10">
        <f t="shared" si="47"/>
        <v>0</v>
      </c>
      <c r="F1022" s="7" t="e">
        <f t="array" ref="F1022">+TIPOARMA(H1022,I1022)</f>
        <v>#VALUE!</v>
      </c>
      <c r="G1022" s="7"/>
      <c r="H1022" s="7" t="e">
        <f>+VLOOKUP(Q1022,Maps!I:J,2,0)</f>
        <v>#N/A</v>
      </c>
      <c r="I1022" s="7" t="e">
        <f>+VLOOKUP(T1022,Maps!E:F,2,0)</f>
        <v>#N/A</v>
      </c>
    </row>
    <row r="1023" spans="1:9" ht="14.25" customHeight="1" x14ac:dyDescent="0.35">
      <c r="A1023" s="7" t="str">
        <f t="array" ref="A1023">EXTRACTEVENT(N1023,V1023)</f>
        <v/>
      </c>
      <c r="B1023" s="7" t="str">
        <f t="shared" si="45"/>
        <v/>
      </c>
      <c r="C1023" s="7"/>
      <c r="D1023" s="7" t="str">
        <f t="shared" si="46"/>
        <v>E</v>
      </c>
      <c r="E1023" s="10">
        <f t="shared" si="47"/>
        <v>0</v>
      </c>
      <c r="F1023" s="7" t="e">
        <f t="array" ref="F1023">+TIPOARMA(H1023,I1023)</f>
        <v>#VALUE!</v>
      </c>
      <c r="G1023" s="7"/>
      <c r="H1023" s="7" t="e">
        <f>+VLOOKUP(Q1023,Maps!I:J,2,0)</f>
        <v>#N/A</v>
      </c>
      <c r="I1023" s="7" t="e">
        <f>+VLOOKUP(T1023,Maps!E:F,2,0)</f>
        <v>#N/A</v>
      </c>
    </row>
    <row r="1024" spans="1:9" ht="14.25" customHeight="1" x14ac:dyDescent="0.35">
      <c r="A1024" s="7" t="str">
        <f t="array" ref="A1024">EXTRACTEVENT(N1024,V1024)</f>
        <v/>
      </c>
      <c r="B1024" s="7" t="str">
        <f t="shared" si="45"/>
        <v/>
      </c>
      <c r="C1024" s="7"/>
      <c r="D1024" s="7" t="str">
        <f t="shared" si="46"/>
        <v>E</v>
      </c>
      <c r="E1024" s="10">
        <f t="shared" si="47"/>
        <v>0</v>
      </c>
      <c r="F1024" s="7" t="e">
        <f t="array" ref="F1024">+TIPOARMA(H1024,I1024)</f>
        <v>#VALUE!</v>
      </c>
      <c r="G1024" s="7"/>
      <c r="H1024" s="7" t="e">
        <f>+VLOOKUP(Q1024,Maps!I:J,2,0)</f>
        <v>#N/A</v>
      </c>
      <c r="I1024" s="7" t="e">
        <f>+VLOOKUP(T1024,Maps!E:F,2,0)</f>
        <v>#N/A</v>
      </c>
    </row>
    <row r="1025" spans="1:9" ht="14.25" customHeight="1" x14ac:dyDescent="0.35">
      <c r="A1025" s="7" t="str">
        <f t="array" ref="A1025">EXTRACTEVENT(N1025,V1025)</f>
        <v/>
      </c>
      <c r="B1025" s="7" t="str">
        <f t="shared" si="45"/>
        <v/>
      </c>
      <c r="C1025" s="7"/>
      <c r="D1025" s="7" t="str">
        <f t="shared" si="46"/>
        <v>E</v>
      </c>
      <c r="E1025" s="10">
        <f t="shared" si="47"/>
        <v>0</v>
      </c>
      <c r="F1025" s="7" t="e">
        <f t="array" ref="F1025">+TIPOARMA(H1025,I1025)</f>
        <v>#VALUE!</v>
      </c>
      <c r="G1025" s="7"/>
      <c r="H1025" s="7" t="e">
        <f>+VLOOKUP(Q1025,Maps!I:J,2,0)</f>
        <v>#N/A</v>
      </c>
      <c r="I1025" s="7" t="e">
        <f>+VLOOKUP(T1025,Maps!E:F,2,0)</f>
        <v>#N/A</v>
      </c>
    </row>
    <row r="1026" spans="1:9" ht="14.25" customHeight="1" x14ac:dyDescent="0.35">
      <c r="A1026" s="7" t="str">
        <f t="array" ref="A1026">EXTRACTEVENT(N1026,V1026)</f>
        <v/>
      </c>
      <c r="B1026" s="7" t="str">
        <f t="shared" ref="B1026:B1089" si="48">+IF(V1026="TREINO","-",LEFT(N1026,1))</f>
        <v/>
      </c>
      <c r="C1026" s="7"/>
      <c r="D1026" s="7" t="str">
        <f t="shared" ref="D1026:D1089" si="49">+IF($V1026="TREINO","T",IF(V1026="NACIONAL","N","E"))</f>
        <v>E</v>
      </c>
      <c r="E1026" s="10">
        <f t="shared" ref="E1026:E1089" si="50">IFERROR(DATEVALUE(LEFT(M1026,10)),M1026)</f>
        <v>0</v>
      </c>
      <c r="F1026" s="7" t="e">
        <f t="array" ref="F1026">+TIPOARMA(H1026,I1026)</f>
        <v>#VALUE!</v>
      </c>
      <c r="G1026" s="7"/>
      <c r="H1026" s="7" t="e">
        <f>+VLOOKUP(Q1026,Maps!I:J,2,0)</f>
        <v>#N/A</v>
      </c>
      <c r="I1026" s="7" t="e">
        <f>+VLOOKUP(T1026,Maps!E:F,2,0)</f>
        <v>#N/A</v>
      </c>
    </row>
    <row r="1027" spans="1:9" ht="14.25" customHeight="1" x14ac:dyDescent="0.35">
      <c r="A1027" s="7" t="str">
        <f t="array" ref="A1027">EXTRACTEVENT(N1027,V1027)</f>
        <v/>
      </c>
      <c r="B1027" s="7" t="str">
        <f t="shared" si="48"/>
        <v/>
      </c>
      <c r="C1027" s="7"/>
      <c r="D1027" s="7" t="str">
        <f t="shared" si="49"/>
        <v>E</v>
      </c>
      <c r="E1027" s="10">
        <f t="shared" si="50"/>
        <v>0</v>
      </c>
      <c r="F1027" s="7" t="e">
        <f t="array" ref="F1027">+TIPOARMA(H1027,I1027)</f>
        <v>#VALUE!</v>
      </c>
      <c r="G1027" s="7"/>
      <c r="H1027" s="7" t="e">
        <f>+VLOOKUP(Q1027,Maps!I:J,2,0)</f>
        <v>#N/A</v>
      </c>
      <c r="I1027" s="7" t="e">
        <f>+VLOOKUP(T1027,Maps!E:F,2,0)</f>
        <v>#N/A</v>
      </c>
    </row>
    <row r="1028" spans="1:9" ht="14.25" customHeight="1" x14ac:dyDescent="0.35">
      <c r="A1028" s="7" t="str">
        <f t="array" ref="A1028">EXTRACTEVENT(N1028,V1028)</f>
        <v/>
      </c>
      <c r="B1028" s="7" t="str">
        <f t="shared" si="48"/>
        <v/>
      </c>
      <c r="C1028" s="7"/>
      <c r="D1028" s="7" t="str">
        <f t="shared" si="49"/>
        <v>E</v>
      </c>
      <c r="E1028" s="10">
        <f t="shared" si="50"/>
        <v>0</v>
      </c>
      <c r="F1028" s="7" t="e">
        <f t="array" ref="F1028">+TIPOARMA(H1028,I1028)</f>
        <v>#VALUE!</v>
      </c>
      <c r="G1028" s="7"/>
      <c r="H1028" s="7" t="e">
        <f>+VLOOKUP(Q1028,Maps!I:J,2,0)</f>
        <v>#N/A</v>
      </c>
      <c r="I1028" s="7" t="e">
        <f>+VLOOKUP(T1028,Maps!E:F,2,0)</f>
        <v>#N/A</v>
      </c>
    </row>
    <row r="1029" spans="1:9" ht="14.25" customHeight="1" x14ac:dyDescent="0.35">
      <c r="A1029" s="7" t="str">
        <f t="array" ref="A1029">EXTRACTEVENT(N1029,V1029)</f>
        <v/>
      </c>
      <c r="B1029" s="7" t="str">
        <f t="shared" si="48"/>
        <v/>
      </c>
      <c r="C1029" s="7"/>
      <c r="D1029" s="7" t="str">
        <f t="shared" si="49"/>
        <v>E</v>
      </c>
      <c r="E1029" s="10">
        <f t="shared" si="50"/>
        <v>0</v>
      </c>
      <c r="F1029" s="7" t="e">
        <f t="array" ref="F1029">+TIPOARMA(H1029,I1029)</f>
        <v>#VALUE!</v>
      </c>
      <c r="G1029" s="7"/>
      <c r="H1029" s="7" t="e">
        <f>+VLOOKUP(Q1029,Maps!I:J,2,0)</f>
        <v>#N/A</v>
      </c>
      <c r="I1029" s="7" t="e">
        <f>+VLOOKUP(T1029,Maps!E:F,2,0)</f>
        <v>#N/A</v>
      </c>
    </row>
    <row r="1030" spans="1:9" ht="14.25" customHeight="1" x14ac:dyDescent="0.35">
      <c r="A1030" s="7" t="str">
        <f t="array" ref="A1030">EXTRACTEVENT(N1030,V1030)</f>
        <v/>
      </c>
      <c r="B1030" s="7" t="str">
        <f t="shared" si="48"/>
        <v/>
      </c>
      <c r="C1030" s="7"/>
      <c r="D1030" s="7" t="str">
        <f t="shared" si="49"/>
        <v>E</v>
      </c>
      <c r="E1030" s="10">
        <f t="shared" si="50"/>
        <v>0</v>
      </c>
      <c r="F1030" s="7" t="e">
        <f t="array" ref="F1030">+TIPOARMA(H1030,I1030)</f>
        <v>#VALUE!</v>
      </c>
      <c r="G1030" s="7"/>
      <c r="H1030" s="7" t="e">
        <f>+VLOOKUP(Q1030,Maps!I:J,2,0)</f>
        <v>#N/A</v>
      </c>
      <c r="I1030" s="7" t="e">
        <f>+VLOOKUP(T1030,Maps!E:F,2,0)</f>
        <v>#N/A</v>
      </c>
    </row>
    <row r="1031" spans="1:9" ht="14.25" customHeight="1" x14ac:dyDescent="0.35">
      <c r="A1031" s="7" t="str">
        <f t="array" ref="A1031">EXTRACTEVENT(N1031,V1031)</f>
        <v/>
      </c>
      <c r="B1031" s="7" t="str">
        <f t="shared" si="48"/>
        <v/>
      </c>
      <c r="C1031" s="7"/>
      <c r="D1031" s="7" t="str">
        <f t="shared" si="49"/>
        <v>E</v>
      </c>
      <c r="E1031" s="10">
        <f t="shared" si="50"/>
        <v>0</v>
      </c>
      <c r="F1031" s="7" t="e">
        <f t="array" ref="F1031">+TIPOARMA(H1031,I1031)</f>
        <v>#VALUE!</v>
      </c>
      <c r="G1031" s="7"/>
      <c r="H1031" s="7" t="e">
        <f>+VLOOKUP(Q1031,Maps!I:J,2,0)</f>
        <v>#N/A</v>
      </c>
      <c r="I1031" s="7" t="e">
        <f>+VLOOKUP(T1031,Maps!E:F,2,0)</f>
        <v>#N/A</v>
      </c>
    </row>
    <row r="1032" spans="1:9" ht="14.25" customHeight="1" x14ac:dyDescent="0.35">
      <c r="A1032" s="7" t="str">
        <f t="array" ref="A1032">EXTRACTEVENT(N1032,V1032)</f>
        <v/>
      </c>
      <c r="B1032" s="7" t="str">
        <f t="shared" si="48"/>
        <v/>
      </c>
      <c r="C1032" s="7"/>
      <c r="D1032" s="7" t="str">
        <f t="shared" si="49"/>
        <v>E</v>
      </c>
      <c r="E1032" s="10">
        <f t="shared" si="50"/>
        <v>0</v>
      </c>
      <c r="F1032" s="7" t="e">
        <f t="array" ref="F1032">+TIPOARMA(H1032,I1032)</f>
        <v>#VALUE!</v>
      </c>
      <c r="G1032" s="7"/>
      <c r="H1032" s="7" t="e">
        <f>+VLOOKUP(Q1032,Maps!I:J,2,0)</f>
        <v>#N/A</v>
      </c>
      <c r="I1032" s="7" t="e">
        <f>+VLOOKUP(T1032,Maps!E:F,2,0)</f>
        <v>#N/A</v>
      </c>
    </row>
    <row r="1033" spans="1:9" ht="14.25" customHeight="1" x14ac:dyDescent="0.35">
      <c r="A1033" s="7" t="str">
        <f t="array" ref="A1033">EXTRACTEVENT(N1033,V1033)</f>
        <v/>
      </c>
      <c r="B1033" s="7" t="str">
        <f t="shared" si="48"/>
        <v/>
      </c>
      <c r="C1033" s="7"/>
      <c r="D1033" s="7" t="str">
        <f t="shared" si="49"/>
        <v>E</v>
      </c>
      <c r="E1033" s="10">
        <f t="shared" si="50"/>
        <v>0</v>
      </c>
      <c r="F1033" s="7" t="e">
        <f t="array" ref="F1033">+TIPOARMA(H1033,I1033)</f>
        <v>#VALUE!</v>
      </c>
      <c r="G1033" s="7"/>
      <c r="H1033" s="7" t="e">
        <f>+VLOOKUP(Q1033,Maps!I:J,2,0)</f>
        <v>#N/A</v>
      </c>
      <c r="I1033" s="7" t="e">
        <f>+VLOOKUP(T1033,Maps!E:F,2,0)</f>
        <v>#N/A</v>
      </c>
    </row>
    <row r="1034" spans="1:9" ht="14.25" customHeight="1" x14ac:dyDescent="0.35">
      <c r="A1034" s="7" t="str">
        <f t="array" ref="A1034">EXTRACTEVENT(N1034,V1034)</f>
        <v/>
      </c>
      <c r="B1034" s="7" t="str">
        <f t="shared" si="48"/>
        <v/>
      </c>
      <c r="C1034" s="7"/>
      <c r="D1034" s="7" t="str">
        <f t="shared" si="49"/>
        <v>E</v>
      </c>
      <c r="E1034" s="10">
        <f t="shared" si="50"/>
        <v>0</v>
      </c>
      <c r="F1034" s="7" t="e">
        <f t="array" ref="F1034">+TIPOARMA(H1034,I1034)</f>
        <v>#VALUE!</v>
      </c>
      <c r="G1034" s="7"/>
      <c r="H1034" s="7" t="e">
        <f>+VLOOKUP(Q1034,Maps!I:J,2,0)</f>
        <v>#N/A</v>
      </c>
      <c r="I1034" s="7" t="e">
        <f>+VLOOKUP(T1034,Maps!E:F,2,0)</f>
        <v>#N/A</v>
      </c>
    </row>
    <row r="1035" spans="1:9" ht="14.25" customHeight="1" x14ac:dyDescent="0.35">
      <c r="A1035" s="7" t="str">
        <f t="array" ref="A1035">EXTRACTEVENT(N1035,V1035)</f>
        <v/>
      </c>
      <c r="B1035" s="7" t="str">
        <f t="shared" si="48"/>
        <v/>
      </c>
      <c r="C1035" s="7"/>
      <c r="D1035" s="7" t="str">
        <f t="shared" si="49"/>
        <v>E</v>
      </c>
      <c r="E1035" s="10">
        <f t="shared" si="50"/>
        <v>0</v>
      </c>
      <c r="F1035" s="7" t="e">
        <f t="array" ref="F1035">+TIPOARMA(H1035,I1035)</f>
        <v>#VALUE!</v>
      </c>
      <c r="G1035" s="7"/>
      <c r="H1035" s="7" t="e">
        <f>+VLOOKUP(Q1035,Maps!I:J,2,0)</f>
        <v>#N/A</v>
      </c>
      <c r="I1035" s="7" t="e">
        <f>+VLOOKUP(T1035,Maps!E:F,2,0)</f>
        <v>#N/A</v>
      </c>
    </row>
    <row r="1036" spans="1:9" ht="14.25" customHeight="1" x14ac:dyDescent="0.35">
      <c r="A1036" s="7" t="str">
        <f t="array" ref="A1036">EXTRACTEVENT(N1036,V1036)</f>
        <v/>
      </c>
      <c r="B1036" s="7" t="str">
        <f t="shared" si="48"/>
        <v/>
      </c>
      <c r="C1036" s="7"/>
      <c r="D1036" s="7" t="str">
        <f t="shared" si="49"/>
        <v>E</v>
      </c>
      <c r="E1036" s="10">
        <f t="shared" si="50"/>
        <v>0</v>
      </c>
      <c r="F1036" s="7" t="e">
        <f t="array" ref="F1036">+TIPOARMA(H1036,I1036)</f>
        <v>#VALUE!</v>
      </c>
      <c r="G1036" s="7"/>
      <c r="H1036" s="7" t="e">
        <f>+VLOOKUP(Q1036,Maps!I:J,2,0)</f>
        <v>#N/A</v>
      </c>
      <c r="I1036" s="7" t="e">
        <f>+VLOOKUP(T1036,Maps!E:F,2,0)</f>
        <v>#N/A</v>
      </c>
    </row>
    <row r="1037" spans="1:9" ht="14.25" customHeight="1" x14ac:dyDescent="0.35">
      <c r="A1037" s="7" t="str">
        <f t="array" ref="A1037">EXTRACTEVENT(N1037,V1037)</f>
        <v/>
      </c>
      <c r="B1037" s="7" t="str">
        <f t="shared" si="48"/>
        <v/>
      </c>
      <c r="C1037" s="7"/>
      <c r="D1037" s="7" t="str">
        <f t="shared" si="49"/>
        <v>E</v>
      </c>
      <c r="E1037" s="10">
        <f t="shared" si="50"/>
        <v>0</v>
      </c>
      <c r="F1037" s="7" t="e">
        <f t="array" ref="F1037">+TIPOARMA(H1037,I1037)</f>
        <v>#VALUE!</v>
      </c>
      <c r="G1037" s="7"/>
      <c r="H1037" s="7" t="e">
        <f>+VLOOKUP(Q1037,Maps!I:J,2,0)</f>
        <v>#N/A</v>
      </c>
      <c r="I1037" s="7" t="e">
        <f>+VLOOKUP(T1037,Maps!E:F,2,0)</f>
        <v>#N/A</v>
      </c>
    </row>
    <row r="1038" spans="1:9" ht="14.25" customHeight="1" x14ac:dyDescent="0.35">
      <c r="A1038" s="7" t="str">
        <f t="array" ref="A1038">EXTRACTEVENT(N1038,V1038)</f>
        <v/>
      </c>
      <c r="B1038" s="7" t="str">
        <f t="shared" si="48"/>
        <v/>
      </c>
      <c r="C1038" s="7"/>
      <c r="D1038" s="7" t="str">
        <f t="shared" si="49"/>
        <v>E</v>
      </c>
      <c r="E1038" s="10">
        <f t="shared" si="50"/>
        <v>0</v>
      </c>
      <c r="F1038" s="7" t="e">
        <f t="array" ref="F1038">+TIPOARMA(H1038,I1038)</f>
        <v>#VALUE!</v>
      </c>
      <c r="G1038" s="7"/>
      <c r="H1038" s="7" t="e">
        <f>+VLOOKUP(Q1038,Maps!I:J,2,0)</f>
        <v>#N/A</v>
      </c>
      <c r="I1038" s="7" t="e">
        <f>+VLOOKUP(T1038,Maps!E:F,2,0)</f>
        <v>#N/A</v>
      </c>
    </row>
    <row r="1039" spans="1:9" ht="14.25" customHeight="1" x14ac:dyDescent="0.35">
      <c r="A1039" s="7" t="str">
        <f t="array" ref="A1039">EXTRACTEVENT(N1039,V1039)</f>
        <v/>
      </c>
      <c r="B1039" s="7" t="str">
        <f t="shared" si="48"/>
        <v/>
      </c>
      <c r="C1039" s="7"/>
      <c r="D1039" s="7" t="str">
        <f t="shared" si="49"/>
        <v>E</v>
      </c>
      <c r="E1039" s="10">
        <f t="shared" si="50"/>
        <v>0</v>
      </c>
      <c r="F1039" s="7" t="e">
        <f t="array" ref="F1039">+TIPOARMA(H1039,I1039)</f>
        <v>#VALUE!</v>
      </c>
      <c r="G1039" s="7"/>
      <c r="H1039" s="7" t="e">
        <f>+VLOOKUP(Q1039,Maps!I:J,2,0)</f>
        <v>#N/A</v>
      </c>
      <c r="I1039" s="7" t="e">
        <f>+VLOOKUP(T1039,Maps!E:F,2,0)</f>
        <v>#N/A</v>
      </c>
    </row>
    <row r="1040" spans="1:9" ht="14.25" customHeight="1" x14ac:dyDescent="0.35">
      <c r="A1040" s="7" t="str">
        <f t="array" ref="A1040">EXTRACTEVENT(N1040,V1040)</f>
        <v/>
      </c>
      <c r="B1040" s="7" t="str">
        <f t="shared" si="48"/>
        <v/>
      </c>
      <c r="C1040" s="7"/>
      <c r="D1040" s="7" t="str">
        <f t="shared" si="49"/>
        <v>E</v>
      </c>
      <c r="E1040" s="10">
        <f t="shared" si="50"/>
        <v>0</v>
      </c>
      <c r="F1040" s="7" t="e">
        <f t="array" ref="F1040">+TIPOARMA(H1040,I1040)</f>
        <v>#VALUE!</v>
      </c>
      <c r="G1040" s="7"/>
      <c r="H1040" s="7" t="e">
        <f>+VLOOKUP(Q1040,Maps!I:J,2,0)</f>
        <v>#N/A</v>
      </c>
      <c r="I1040" s="7" t="e">
        <f>+VLOOKUP(T1040,Maps!E:F,2,0)</f>
        <v>#N/A</v>
      </c>
    </row>
    <row r="1041" spans="1:9" ht="14.25" customHeight="1" x14ac:dyDescent="0.35">
      <c r="A1041" s="7" t="str">
        <f t="array" ref="A1041">EXTRACTEVENT(N1041,V1041)</f>
        <v/>
      </c>
      <c r="B1041" s="7" t="str">
        <f t="shared" si="48"/>
        <v/>
      </c>
      <c r="C1041" s="7"/>
      <c r="D1041" s="7" t="str">
        <f t="shared" si="49"/>
        <v>E</v>
      </c>
      <c r="E1041" s="10">
        <f t="shared" si="50"/>
        <v>0</v>
      </c>
      <c r="F1041" s="7" t="e">
        <f t="array" ref="F1041">+TIPOARMA(H1041,I1041)</f>
        <v>#VALUE!</v>
      </c>
      <c r="G1041" s="7"/>
      <c r="H1041" s="7" t="e">
        <f>+VLOOKUP(Q1041,Maps!I:J,2,0)</f>
        <v>#N/A</v>
      </c>
      <c r="I1041" s="7" t="e">
        <f>+VLOOKUP(T1041,Maps!E:F,2,0)</f>
        <v>#N/A</v>
      </c>
    </row>
    <row r="1042" spans="1:9" ht="14.25" customHeight="1" x14ac:dyDescent="0.35">
      <c r="A1042" s="7" t="str">
        <f t="array" ref="A1042">EXTRACTEVENT(N1042,V1042)</f>
        <v/>
      </c>
      <c r="B1042" s="7" t="str">
        <f t="shared" si="48"/>
        <v/>
      </c>
      <c r="C1042" s="7"/>
      <c r="D1042" s="7" t="str">
        <f t="shared" si="49"/>
        <v>E</v>
      </c>
      <c r="E1042" s="10">
        <f t="shared" si="50"/>
        <v>0</v>
      </c>
      <c r="F1042" s="7" t="e">
        <f t="array" ref="F1042">+TIPOARMA(H1042,I1042)</f>
        <v>#VALUE!</v>
      </c>
      <c r="G1042" s="7"/>
      <c r="H1042" s="7" t="e">
        <f>+VLOOKUP(Q1042,Maps!I:J,2,0)</f>
        <v>#N/A</v>
      </c>
      <c r="I1042" s="7" t="e">
        <f>+VLOOKUP(T1042,Maps!E:F,2,0)</f>
        <v>#N/A</v>
      </c>
    </row>
    <row r="1043" spans="1:9" ht="14.25" customHeight="1" x14ac:dyDescent="0.35">
      <c r="A1043" s="7" t="str">
        <f t="array" ref="A1043">EXTRACTEVENT(N1043,V1043)</f>
        <v/>
      </c>
      <c r="B1043" s="7" t="str">
        <f t="shared" si="48"/>
        <v/>
      </c>
      <c r="C1043" s="7"/>
      <c r="D1043" s="7" t="str">
        <f t="shared" si="49"/>
        <v>E</v>
      </c>
      <c r="E1043" s="10">
        <f t="shared" si="50"/>
        <v>0</v>
      </c>
      <c r="F1043" s="7" t="e">
        <f t="array" ref="F1043">+TIPOARMA(H1043,I1043)</f>
        <v>#VALUE!</v>
      </c>
      <c r="G1043" s="7"/>
      <c r="H1043" s="7" t="e">
        <f>+VLOOKUP(Q1043,Maps!I:J,2,0)</f>
        <v>#N/A</v>
      </c>
      <c r="I1043" s="7" t="e">
        <f>+VLOOKUP(T1043,Maps!E:F,2,0)</f>
        <v>#N/A</v>
      </c>
    </row>
    <row r="1044" spans="1:9" ht="14.25" customHeight="1" x14ac:dyDescent="0.35">
      <c r="A1044" s="7" t="str">
        <f t="array" ref="A1044">EXTRACTEVENT(N1044,V1044)</f>
        <v/>
      </c>
      <c r="B1044" s="7" t="str">
        <f t="shared" si="48"/>
        <v/>
      </c>
      <c r="C1044" s="7"/>
      <c r="D1044" s="7" t="str">
        <f t="shared" si="49"/>
        <v>E</v>
      </c>
      <c r="E1044" s="10">
        <f t="shared" si="50"/>
        <v>0</v>
      </c>
      <c r="F1044" s="7" t="e">
        <f t="array" ref="F1044">+TIPOARMA(H1044,I1044)</f>
        <v>#VALUE!</v>
      </c>
      <c r="G1044" s="7"/>
      <c r="H1044" s="7" t="e">
        <f>+VLOOKUP(Q1044,Maps!I:J,2,0)</f>
        <v>#N/A</v>
      </c>
      <c r="I1044" s="7" t="e">
        <f>+VLOOKUP(T1044,Maps!E:F,2,0)</f>
        <v>#N/A</v>
      </c>
    </row>
    <row r="1045" spans="1:9" ht="14.25" customHeight="1" x14ac:dyDescent="0.35">
      <c r="A1045" s="7" t="str">
        <f t="array" ref="A1045">EXTRACTEVENT(N1045,V1045)</f>
        <v/>
      </c>
      <c r="B1045" s="7" t="str">
        <f t="shared" si="48"/>
        <v/>
      </c>
      <c r="C1045" s="7"/>
      <c r="D1045" s="7" t="str">
        <f t="shared" si="49"/>
        <v>E</v>
      </c>
      <c r="E1045" s="10">
        <f t="shared" si="50"/>
        <v>0</v>
      </c>
      <c r="F1045" s="7" t="e">
        <f t="array" ref="F1045">+TIPOARMA(H1045,I1045)</f>
        <v>#VALUE!</v>
      </c>
      <c r="G1045" s="7"/>
      <c r="H1045" s="7" t="e">
        <f>+VLOOKUP(Q1045,Maps!I:J,2,0)</f>
        <v>#N/A</v>
      </c>
      <c r="I1045" s="7" t="e">
        <f>+VLOOKUP(T1045,Maps!E:F,2,0)</f>
        <v>#N/A</v>
      </c>
    </row>
    <row r="1046" spans="1:9" ht="14.25" customHeight="1" x14ac:dyDescent="0.35">
      <c r="A1046" s="7" t="str">
        <f t="array" ref="A1046">EXTRACTEVENT(N1046,V1046)</f>
        <v/>
      </c>
      <c r="B1046" s="7" t="str">
        <f t="shared" si="48"/>
        <v/>
      </c>
      <c r="C1046" s="7"/>
      <c r="D1046" s="7" t="str">
        <f t="shared" si="49"/>
        <v>E</v>
      </c>
      <c r="E1046" s="10">
        <f t="shared" si="50"/>
        <v>0</v>
      </c>
      <c r="F1046" s="7" t="e">
        <f t="array" ref="F1046">+TIPOARMA(H1046,I1046)</f>
        <v>#VALUE!</v>
      </c>
      <c r="G1046" s="7"/>
      <c r="H1046" s="7" t="e">
        <f>+VLOOKUP(Q1046,Maps!I:J,2,0)</f>
        <v>#N/A</v>
      </c>
      <c r="I1046" s="7" t="e">
        <f>+VLOOKUP(T1046,Maps!E:F,2,0)</f>
        <v>#N/A</v>
      </c>
    </row>
    <row r="1047" spans="1:9" ht="14.25" customHeight="1" x14ac:dyDescent="0.35">
      <c r="A1047" s="7" t="str">
        <f t="array" ref="A1047">EXTRACTEVENT(N1047,V1047)</f>
        <v/>
      </c>
      <c r="B1047" s="7" t="str">
        <f t="shared" si="48"/>
        <v/>
      </c>
      <c r="C1047" s="7"/>
      <c r="D1047" s="7" t="str">
        <f t="shared" si="49"/>
        <v>E</v>
      </c>
      <c r="E1047" s="10">
        <f t="shared" si="50"/>
        <v>0</v>
      </c>
      <c r="F1047" s="7" t="e">
        <f t="array" ref="F1047">+TIPOARMA(H1047,I1047)</f>
        <v>#VALUE!</v>
      </c>
      <c r="G1047" s="7"/>
      <c r="H1047" s="7" t="e">
        <f>+VLOOKUP(Q1047,Maps!I:J,2,0)</f>
        <v>#N/A</v>
      </c>
      <c r="I1047" s="7" t="e">
        <f>+VLOOKUP(T1047,Maps!E:F,2,0)</f>
        <v>#N/A</v>
      </c>
    </row>
    <row r="1048" spans="1:9" ht="14.25" customHeight="1" x14ac:dyDescent="0.35">
      <c r="A1048" s="7" t="str">
        <f t="array" ref="A1048">EXTRACTEVENT(N1048,V1048)</f>
        <v/>
      </c>
      <c r="B1048" s="7" t="str">
        <f t="shared" si="48"/>
        <v/>
      </c>
      <c r="C1048" s="7"/>
      <c r="D1048" s="7" t="str">
        <f t="shared" si="49"/>
        <v>E</v>
      </c>
      <c r="E1048" s="10">
        <f t="shared" si="50"/>
        <v>0</v>
      </c>
      <c r="F1048" s="7" t="e">
        <f t="array" ref="F1048">+TIPOARMA(H1048,I1048)</f>
        <v>#VALUE!</v>
      </c>
      <c r="G1048" s="7"/>
      <c r="H1048" s="7" t="e">
        <f>+VLOOKUP(Q1048,Maps!I:J,2,0)</f>
        <v>#N/A</v>
      </c>
      <c r="I1048" s="7" t="e">
        <f>+VLOOKUP(T1048,Maps!E:F,2,0)</f>
        <v>#N/A</v>
      </c>
    </row>
    <row r="1049" spans="1:9" ht="14.25" customHeight="1" x14ac:dyDescent="0.35">
      <c r="A1049" s="7" t="str">
        <f t="array" ref="A1049">EXTRACTEVENT(N1049,V1049)</f>
        <v/>
      </c>
      <c r="B1049" s="7" t="str">
        <f t="shared" si="48"/>
        <v/>
      </c>
      <c r="C1049" s="7"/>
      <c r="D1049" s="7" t="str">
        <f t="shared" si="49"/>
        <v>E</v>
      </c>
      <c r="E1049" s="10">
        <f t="shared" si="50"/>
        <v>0</v>
      </c>
      <c r="F1049" s="7" t="e">
        <f t="array" ref="F1049">+TIPOARMA(H1049,I1049)</f>
        <v>#VALUE!</v>
      </c>
      <c r="G1049" s="7"/>
      <c r="H1049" s="7" t="e">
        <f>+VLOOKUP(Q1049,Maps!I:J,2,0)</f>
        <v>#N/A</v>
      </c>
      <c r="I1049" s="7" t="e">
        <f>+VLOOKUP(T1049,Maps!E:F,2,0)</f>
        <v>#N/A</v>
      </c>
    </row>
    <row r="1050" spans="1:9" ht="14.25" customHeight="1" x14ac:dyDescent="0.35">
      <c r="A1050" s="7" t="str">
        <f t="array" ref="A1050">EXTRACTEVENT(N1050,V1050)</f>
        <v/>
      </c>
      <c r="B1050" s="7" t="str">
        <f t="shared" si="48"/>
        <v/>
      </c>
      <c r="C1050" s="7"/>
      <c r="D1050" s="7" t="str">
        <f t="shared" si="49"/>
        <v>E</v>
      </c>
      <c r="E1050" s="10">
        <f t="shared" si="50"/>
        <v>0</v>
      </c>
      <c r="F1050" s="7" t="e">
        <f t="array" ref="F1050">+TIPOARMA(H1050,I1050)</f>
        <v>#VALUE!</v>
      </c>
      <c r="G1050" s="7"/>
      <c r="H1050" s="7" t="e">
        <f>+VLOOKUP(Q1050,Maps!I:J,2,0)</f>
        <v>#N/A</v>
      </c>
      <c r="I1050" s="7" t="e">
        <f>+VLOOKUP(T1050,Maps!E:F,2,0)</f>
        <v>#N/A</v>
      </c>
    </row>
    <row r="1051" spans="1:9" ht="14.25" customHeight="1" x14ac:dyDescent="0.35">
      <c r="A1051" s="7" t="str">
        <f t="array" ref="A1051">EXTRACTEVENT(N1051,V1051)</f>
        <v/>
      </c>
      <c r="B1051" s="7" t="str">
        <f t="shared" si="48"/>
        <v/>
      </c>
      <c r="C1051" s="7"/>
      <c r="D1051" s="7" t="str">
        <f t="shared" si="49"/>
        <v>E</v>
      </c>
      <c r="E1051" s="10">
        <f t="shared" si="50"/>
        <v>0</v>
      </c>
      <c r="F1051" s="7" t="e">
        <f t="array" ref="F1051">+TIPOARMA(H1051,I1051)</f>
        <v>#VALUE!</v>
      </c>
      <c r="G1051" s="7"/>
      <c r="H1051" s="7" t="e">
        <f>+VLOOKUP(Q1051,Maps!I:J,2,0)</f>
        <v>#N/A</v>
      </c>
      <c r="I1051" s="7" t="e">
        <f>+VLOOKUP(T1051,Maps!E:F,2,0)</f>
        <v>#N/A</v>
      </c>
    </row>
    <row r="1052" spans="1:9" ht="14.25" customHeight="1" x14ac:dyDescent="0.35">
      <c r="A1052" s="7" t="str">
        <f t="array" ref="A1052">EXTRACTEVENT(N1052,V1052)</f>
        <v/>
      </c>
      <c r="B1052" s="7" t="str">
        <f t="shared" si="48"/>
        <v/>
      </c>
      <c r="C1052" s="7"/>
      <c r="D1052" s="7" t="str">
        <f t="shared" si="49"/>
        <v>E</v>
      </c>
      <c r="E1052" s="10">
        <f t="shared" si="50"/>
        <v>0</v>
      </c>
      <c r="F1052" s="7" t="e">
        <f t="array" ref="F1052">+TIPOARMA(H1052,I1052)</f>
        <v>#VALUE!</v>
      </c>
      <c r="G1052" s="7"/>
      <c r="H1052" s="7" t="e">
        <f>+VLOOKUP(Q1052,Maps!I:J,2,0)</f>
        <v>#N/A</v>
      </c>
      <c r="I1052" s="7" t="e">
        <f>+VLOOKUP(T1052,Maps!E:F,2,0)</f>
        <v>#N/A</v>
      </c>
    </row>
    <row r="1053" spans="1:9" ht="14.25" customHeight="1" x14ac:dyDescent="0.35">
      <c r="A1053" s="7" t="str">
        <f t="array" ref="A1053">EXTRACTEVENT(N1053,V1053)</f>
        <v/>
      </c>
      <c r="B1053" s="7" t="str">
        <f t="shared" si="48"/>
        <v/>
      </c>
      <c r="C1053" s="7"/>
      <c r="D1053" s="7" t="str">
        <f t="shared" si="49"/>
        <v>E</v>
      </c>
      <c r="E1053" s="10">
        <f t="shared" si="50"/>
        <v>0</v>
      </c>
      <c r="F1053" s="7" t="e">
        <f t="array" ref="F1053">+TIPOARMA(H1053,I1053)</f>
        <v>#VALUE!</v>
      </c>
      <c r="G1053" s="7"/>
      <c r="H1053" s="7" t="e">
        <f>+VLOOKUP(Q1053,Maps!I:J,2,0)</f>
        <v>#N/A</v>
      </c>
      <c r="I1053" s="7" t="e">
        <f>+VLOOKUP(T1053,Maps!E:F,2,0)</f>
        <v>#N/A</v>
      </c>
    </row>
    <row r="1054" spans="1:9" ht="14.25" customHeight="1" x14ac:dyDescent="0.35">
      <c r="A1054" s="7" t="str">
        <f t="array" ref="A1054">EXTRACTEVENT(N1054,V1054)</f>
        <v/>
      </c>
      <c r="B1054" s="7" t="str">
        <f t="shared" si="48"/>
        <v/>
      </c>
      <c r="C1054" s="7"/>
      <c r="D1054" s="7" t="str">
        <f t="shared" si="49"/>
        <v>E</v>
      </c>
      <c r="E1054" s="10">
        <f t="shared" si="50"/>
        <v>0</v>
      </c>
      <c r="F1054" s="7" t="e">
        <f t="array" ref="F1054">+TIPOARMA(H1054,I1054)</f>
        <v>#VALUE!</v>
      </c>
      <c r="G1054" s="7"/>
      <c r="H1054" s="7" t="e">
        <f>+VLOOKUP(Q1054,Maps!I:J,2,0)</f>
        <v>#N/A</v>
      </c>
      <c r="I1054" s="7" t="e">
        <f>+VLOOKUP(T1054,Maps!E:F,2,0)</f>
        <v>#N/A</v>
      </c>
    </row>
    <row r="1055" spans="1:9" ht="14.25" customHeight="1" x14ac:dyDescent="0.35">
      <c r="A1055" s="7" t="str">
        <f t="array" ref="A1055">EXTRACTEVENT(N1055,V1055)</f>
        <v/>
      </c>
      <c r="B1055" s="7" t="str">
        <f t="shared" si="48"/>
        <v/>
      </c>
      <c r="C1055" s="7"/>
      <c r="D1055" s="7" t="str">
        <f t="shared" si="49"/>
        <v>E</v>
      </c>
      <c r="E1055" s="10">
        <f t="shared" si="50"/>
        <v>0</v>
      </c>
      <c r="F1055" s="7" t="e">
        <f t="array" ref="F1055">+TIPOARMA(H1055,I1055)</f>
        <v>#VALUE!</v>
      </c>
      <c r="G1055" s="7"/>
      <c r="H1055" s="7" t="e">
        <f>+VLOOKUP(Q1055,Maps!I:J,2,0)</f>
        <v>#N/A</v>
      </c>
      <c r="I1055" s="7" t="e">
        <f>+VLOOKUP(T1055,Maps!E:F,2,0)</f>
        <v>#N/A</v>
      </c>
    </row>
    <row r="1056" spans="1:9" ht="14.25" customHeight="1" x14ac:dyDescent="0.35">
      <c r="A1056" s="7" t="str">
        <f t="array" ref="A1056">EXTRACTEVENT(N1056,V1056)</f>
        <v/>
      </c>
      <c r="B1056" s="7" t="str">
        <f t="shared" si="48"/>
        <v/>
      </c>
      <c r="C1056" s="7"/>
      <c r="D1056" s="7" t="str">
        <f t="shared" si="49"/>
        <v>E</v>
      </c>
      <c r="E1056" s="10">
        <f t="shared" si="50"/>
        <v>0</v>
      </c>
      <c r="F1056" s="7" t="e">
        <f t="array" ref="F1056">+TIPOARMA(H1056,I1056)</f>
        <v>#VALUE!</v>
      </c>
      <c r="G1056" s="7"/>
      <c r="H1056" s="7" t="e">
        <f>+VLOOKUP(Q1056,Maps!I:J,2,0)</f>
        <v>#N/A</v>
      </c>
      <c r="I1056" s="7" t="e">
        <f>+VLOOKUP(T1056,Maps!E:F,2,0)</f>
        <v>#N/A</v>
      </c>
    </row>
    <row r="1057" spans="1:9" ht="14.25" customHeight="1" x14ac:dyDescent="0.35">
      <c r="A1057" s="7" t="str">
        <f t="array" ref="A1057">EXTRACTEVENT(N1057,V1057)</f>
        <v/>
      </c>
      <c r="B1057" s="7" t="str">
        <f t="shared" si="48"/>
        <v/>
      </c>
      <c r="C1057" s="7"/>
      <c r="D1057" s="7" t="str">
        <f t="shared" si="49"/>
        <v>E</v>
      </c>
      <c r="E1057" s="10">
        <f t="shared" si="50"/>
        <v>0</v>
      </c>
      <c r="F1057" s="7" t="e">
        <f t="array" ref="F1057">+TIPOARMA(H1057,I1057)</f>
        <v>#VALUE!</v>
      </c>
      <c r="G1057" s="7"/>
      <c r="H1057" s="7" t="e">
        <f>+VLOOKUP(Q1057,Maps!I:J,2,0)</f>
        <v>#N/A</v>
      </c>
      <c r="I1057" s="7" t="e">
        <f>+VLOOKUP(T1057,Maps!E:F,2,0)</f>
        <v>#N/A</v>
      </c>
    </row>
    <row r="1058" spans="1:9" ht="14.25" customHeight="1" x14ac:dyDescent="0.35">
      <c r="A1058" s="7" t="str">
        <f t="array" ref="A1058">EXTRACTEVENT(N1058,V1058)</f>
        <v/>
      </c>
      <c r="B1058" s="7" t="str">
        <f t="shared" si="48"/>
        <v/>
      </c>
      <c r="C1058" s="7"/>
      <c r="D1058" s="7" t="str">
        <f t="shared" si="49"/>
        <v>E</v>
      </c>
      <c r="E1058" s="10">
        <f t="shared" si="50"/>
        <v>0</v>
      </c>
      <c r="F1058" s="7" t="e">
        <f t="array" ref="F1058">+TIPOARMA(H1058,I1058)</f>
        <v>#VALUE!</v>
      </c>
      <c r="G1058" s="7"/>
      <c r="H1058" s="7" t="e">
        <f>+VLOOKUP(Q1058,Maps!I:J,2,0)</f>
        <v>#N/A</v>
      </c>
      <c r="I1058" s="7" t="e">
        <f>+VLOOKUP(T1058,Maps!E:F,2,0)</f>
        <v>#N/A</v>
      </c>
    </row>
    <row r="1059" spans="1:9" ht="14.25" customHeight="1" x14ac:dyDescent="0.35">
      <c r="A1059" s="7" t="str">
        <f t="array" ref="A1059">EXTRACTEVENT(N1059,V1059)</f>
        <v/>
      </c>
      <c r="B1059" s="7" t="str">
        <f t="shared" si="48"/>
        <v/>
      </c>
      <c r="C1059" s="7"/>
      <c r="D1059" s="7" t="str">
        <f t="shared" si="49"/>
        <v>E</v>
      </c>
      <c r="E1059" s="10">
        <f t="shared" si="50"/>
        <v>0</v>
      </c>
      <c r="F1059" s="7" t="e">
        <f t="array" ref="F1059">+TIPOARMA(H1059,I1059)</f>
        <v>#VALUE!</v>
      </c>
      <c r="G1059" s="7"/>
      <c r="H1059" s="7" t="e">
        <f>+VLOOKUP(Q1059,Maps!I:J,2,0)</f>
        <v>#N/A</v>
      </c>
      <c r="I1059" s="7" t="e">
        <f>+VLOOKUP(T1059,Maps!E:F,2,0)</f>
        <v>#N/A</v>
      </c>
    </row>
    <row r="1060" spans="1:9" ht="14.25" customHeight="1" x14ac:dyDescent="0.35">
      <c r="A1060" s="7" t="str">
        <f t="array" ref="A1060">EXTRACTEVENT(N1060,V1060)</f>
        <v/>
      </c>
      <c r="B1060" s="7" t="str">
        <f t="shared" si="48"/>
        <v/>
      </c>
      <c r="C1060" s="7"/>
      <c r="D1060" s="7" t="str">
        <f t="shared" si="49"/>
        <v>E</v>
      </c>
      <c r="E1060" s="10">
        <f t="shared" si="50"/>
        <v>0</v>
      </c>
      <c r="F1060" s="7" t="e">
        <f t="array" ref="F1060">+TIPOARMA(H1060,I1060)</f>
        <v>#VALUE!</v>
      </c>
      <c r="G1060" s="7"/>
      <c r="H1060" s="7" t="e">
        <f>+VLOOKUP(Q1060,Maps!I:J,2,0)</f>
        <v>#N/A</v>
      </c>
      <c r="I1060" s="7" t="e">
        <f>+VLOOKUP(T1060,Maps!E:F,2,0)</f>
        <v>#N/A</v>
      </c>
    </row>
    <row r="1061" spans="1:9" ht="14.25" customHeight="1" x14ac:dyDescent="0.35">
      <c r="A1061" s="7" t="str">
        <f t="array" ref="A1061">EXTRACTEVENT(N1061,V1061)</f>
        <v/>
      </c>
      <c r="B1061" s="7" t="str">
        <f t="shared" si="48"/>
        <v/>
      </c>
      <c r="C1061" s="7"/>
      <c r="D1061" s="7" t="str">
        <f t="shared" si="49"/>
        <v>E</v>
      </c>
      <c r="E1061" s="10">
        <f t="shared" si="50"/>
        <v>0</v>
      </c>
      <c r="F1061" s="7" t="e">
        <f t="array" ref="F1061">+TIPOARMA(H1061,I1061)</f>
        <v>#VALUE!</v>
      </c>
      <c r="G1061" s="7"/>
      <c r="H1061" s="7" t="e">
        <f>+VLOOKUP(Q1061,Maps!I:J,2,0)</f>
        <v>#N/A</v>
      </c>
      <c r="I1061" s="7" t="e">
        <f>+VLOOKUP(T1061,Maps!E:F,2,0)</f>
        <v>#N/A</v>
      </c>
    </row>
    <row r="1062" spans="1:9" ht="14.25" customHeight="1" x14ac:dyDescent="0.35">
      <c r="A1062" s="7" t="str">
        <f t="array" ref="A1062">EXTRACTEVENT(N1062,V1062)</f>
        <v/>
      </c>
      <c r="B1062" s="7" t="str">
        <f t="shared" si="48"/>
        <v/>
      </c>
      <c r="C1062" s="7"/>
      <c r="D1062" s="7" t="str">
        <f t="shared" si="49"/>
        <v>E</v>
      </c>
      <c r="E1062" s="10">
        <f t="shared" si="50"/>
        <v>0</v>
      </c>
      <c r="F1062" s="7" t="e">
        <f t="array" ref="F1062">+TIPOARMA(H1062,I1062)</f>
        <v>#VALUE!</v>
      </c>
      <c r="G1062" s="7"/>
      <c r="H1062" s="7" t="e">
        <f>+VLOOKUP(Q1062,Maps!I:J,2,0)</f>
        <v>#N/A</v>
      </c>
      <c r="I1062" s="7" t="e">
        <f>+VLOOKUP(T1062,Maps!E:F,2,0)</f>
        <v>#N/A</v>
      </c>
    </row>
    <row r="1063" spans="1:9" ht="14.25" customHeight="1" x14ac:dyDescent="0.35">
      <c r="A1063" s="7" t="str">
        <f t="array" ref="A1063">EXTRACTEVENT(N1063,V1063)</f>
        <v/>
      </c>
      <c r="B1063" s="7" t="str">
        <f t="shared" si="48"/>
        <v/>
      </c>
      <c r="C1063" s="7"/>
      <c r="D1063" s="7" t="str">
        <f t="shared" si="49"/>
        <v>E</v>
      </c>
      <c r="E1063" s="10">
        <f t="shared" si="50"/>
        <v>0</v>
      </c>
      <c r="F1063" s="7" t="e">
        <f t="array" ref="F1063">+TIPOARMA(H1063,I1063)</f>
        <v>#VALUE!</v>
      </c>
      <c r="G1063" s="7"/>
      <c r="H1063" s="7" t="e">
        <f>+VLOOKUP(Q1063,Maps!I:J,2,0)</f>
        <v>#N/A</v>
      </c>
      <c r="I1063" s="7" t="e">
        <f>+VLOOKUP(T1063,Maps!E:F,2,0)</f>
        <v>#N/A</v>
      </c>
    </row>
    <row r="1064" spans="1:9" ht="14.25" customHeight="1" x14ac:dyDescent="0.35">
      <c r="A1064" s="7" t="str">
        <f t="array" ref="A1064">EXTRACTEVENT(N1064,V1064)</f>
        <v/>
      </c>
      <c r="B1064" s="7" t="str">
        <f t="shared" si="48"/>
        <v/>
      </c>
      <c r="C1064" s="7"/>
      <c r="D1064" s="7" t="str">
        <f t="shared" si="49"/>
        <v>E</v>
      </c>
      <c r="E1064" s="10">
        <f t="shared" si="50"/>
        <v>0</v>
      </c>
      <c r="F1064" s="7" t="e">
        <f t="array" ref="F1064">+TIPOARMA(H1064,I1064)</f>
        <v>#VALUE!</v>
      </c>
      <c r="G1064" s="7"/>
      <c r="H1064" s="7" t="e">
        <f>+VLOOKUP(Q1064,Maps!I:J,2,0)</f>
        <v>#N/A</v>
      </c>
      <c r="I1064" s="7" t="e">
        <f>+VLOOKUP(T1064,Maps!E:F,2,0)</f>
        <v>#N/A</v>
      </c>
    </row>
    <row r="1065" spans="1:9" ht="14.25" customHeight="1" x14ac:dyDescent="0.35">
      <c r="A1065" s="7" t="str">
        <f t="array" ref="A1065">EXTRACTEVENT(N1065,V1065)</f>
        <v/>
      </c>
      <c r="B1065" s="7" t="str">
        <f t="shared" si="48"/>
        <v/>
      </c>
      <c r="C1065" s="7"/>
      <c r="D1065" s="7" t="str">
        <f t="shared" si="49"/>
        <v>E</v>
      </c>
      <c r="E1065" s="10">
        <f t="shared" si="50"/>
        <v>0</v>
      </c>
      <c r="F1065" s="7" t="e">
        <f t="array" ref="F1065">+TIPOARMA(H1065,I1065)</f>
        <v>#VALUE!</v>
      </c>
      <c r="G1065" s="7"/>
      <c r="H1065" s="7" t="e">
        <f>+VLOOKUP(Q1065,Maps!I:J,2,0)</f>
        <v>#N/A</v>
      </c>
      <c r="I1065" s="7" t="e">
        <f>+VLOOKUP(T1065,Maps!E:F,2,0)</f>
        <v>#N/A</v>
      </c>
    </row>
    <row r="1066" spans="1:9" ht="14.25" customHeight="1" x14ac:dyDescent="0.35">
      <c r="A1066" s="7" t="str">
        <f t="array" ref="A1066">EXTRACTEVENT(N1066,V1066)</f>
        <v/>
      </c>
      <c r="B1066" s="7" t="str">
        <f t="shared" si="48"/>
        <v/>
      </c>
      <c r="C1066" s="7"/>
      <c r="D1066" s="7" t="str">
        <f t="shared" si="49"/>
        <v>E</v>
      </c>
      <c r="E1066" s="10">
        <f t="shared" si="50"/>
        <v>0</v>
      </c>
      <c r="F1066" s="7" t="e">
        <f t="array" ref="F1066">+TIPOARMA(H1066,I1066)</f>
        <v>#VALUE!</v>
      </c>
      <c r="G1066" s="7"/>
      <c r="H1066" s="7" t="e">
        <f>+VLOOKUP(Q1066,Maps!I:J,2,0)</f>
        <v>#N/A</v>
      </c>
      <c r="I1066" s="7" t="e">
        <f>+VLOOKUP(T1066,Maps!E:F,2,0)</f>
        <v>#N/A</v>
      </c>
    </row>
    <row r="1067" spans="1:9" ht="14.25" customHeight="1" x14ac:dyDescent="0.35">
      <c r="A1067" s="7" t="str">
        <f t="array" ref="A1067">EXTRACTEVENT(N1067,V1067)</f>
        <v/>
      </c>
      <c r="B1067" s="7" t="str">
        <f t="shared" si="48"/>
        <v/>
      </c>
      <c r="C1067" s="7"/>
      <c r="D1067" s="7" t="str">
        <f t="shared" si="49"/>
        <v>E</v>
      </c>
      <c r="E1067" s="10">
        <f t="shared" si="50"/>
        <v>0</v>
      </c>
      <c r="F1067" s="7" t="e">
        <f t="array" ref="F1067">+TIPOARMA(H1067,I1067)</f>
        <v>#VALUE!</v>
      </c>
      <c r="G1067" s="7"/>
      <c r="H1067" s="7" t="e">
        <f>+VLOOKUP(Q1067,Maps!I:J,2,0)</f>
        <v>#N/A</v>
      </c>
      <c r="I1067" s="7" t="e">
        <f>+VLOOKUP(T1067,Maps!E:F,2,0)</f>
        <v>#N/A</v>
      </c>
    </row>
    <row r="1068" spans="1:9" ht="14.25" customHeight="1" x14ac:dyDescent="0.35">
      <c r="A1068" s="7" t="str">
        <f t="array" ref="A1068">EXTRACTEVENT(N1068,V1068)</f>
        <v/>
      </c>
      <c r="B1068" s="7" t="str">
        <f t="shared" si="48"/>
        <v/>
      </c>
      <c r="C1068" s="7"/>
      <c r="D1068" s="7" t="str">
        <f t="shared" si="49"/>
        <v>E</v>
      </c>
      <c r="E1068" s="10">
        <f t="shared" si="50"/>
        <v>0</v>
      </c>
      <c r="F1068" s="7" t="e">
        <f t="array" ref="F1068">+TIPOARMA(H1068,I1068)</f>
        <v>#VALUE!</v>
      </c>
      <c r="G1068" s="7"/>
      <c r="H1068" s="7" t="e">
        <f>+VLOOKUP(Q1068,Maps!I:J,2,0)</f>
        <v>#N/A</v>
      </c>
      <c r="I1068" s="7" t="e">
        <f>+VLOOKUP(T1068,Maps!E:F,2,0)</f>
        <v>#N/A</v>
      </c>
    </row>
    <row r="1069" spans="1:9" ht="14.25" customHeight="1" x14ac:dyDescent="0.35">
      <c r="A1069" s="7" t="str">
        <f t="array" ref="A1069">EXTRACTEVENT(N1069,V1069)</f>
        <v/>
      </c>
      <c r="B1069" s="7" t="str">
        <f t="shared" si="48"/>
        <v/>
      </c>
      <c r="C1069" s="7"/>
      <c r="D1069" s="7" t="str">
        <f t="shared" si="49"/>
        <v>E</v>
      </c>
      <c r="E1069" s="10">
        <f t="shared" si="50"/>
        <v>0</v>
      </c>
      <c r="F1069" s="7" t="e">
        <f t="array" ref="F1069">+TIPOARMA(H1069,I1069)</f>
        <v>#VALUE!</v>
      </c>
      <c r="G1069" s="7"/>
      <c r="H1069" s="7" t="e">
        <f>+VLOOKUP(Q1069,Maps!I:J,2,0)</f>
        <v>#N/A</v>
      </c>
      <c r="I1069" s="7" t="e">
        <f>+VLOOKUP(T1069,Maps!E:F,2,0)</f>
        <v>#N/A</v>
      </c>
    </row>
    <row r="1070" spans="1:9" ht="14.25" customHeight="1" x14ac:dyDescent="0.35">
      <c r="A1070" s="7" t="str">
        <f t="array" ref="A1070">EXTRACTEVENT(N1070,V1070)</f>
        <v/>
      </c>
      <c r="B1070" s="7" t="str">
        <f t="shared" si="48"/>
        <v/>
      </c>
      <c r="C1070" s="7"/>
      <c r="D1070" s="7" t="str">
        <f t="shared" si="49"/>
        <v>E</v>
      </c>
      <c r="E1070" s="10">
        <f t="shared" si="50"/>
        <v>0</v>
      </c>
      <c r="F1070" s="7" t="e">
        <f t="array" ref="F1070">+TIPOARMA(H1070,I1070)</f>
        <v>#VALUE!</v>
      </c>
      <c r="G1070" s="7"/>
      <c r="H1070" s="7" t="e">
        <f>+VLOOKUP(Q1070,Maps!I:J,2,0)</f>
        <v>#N/A</v>
      </c>
      <c r="I1070" s="7" t="e">
        <f>+VLOOKUP(T1070,Maps!E:F,2,0)</f>
        <v>#N/A</v>
      </c>
    </row>
    <row r="1071" spans="1:9" ht="14.25" customHeight="1" x14ac:dyDescent="0.35">
      <c r="A1071" s="7" t="str">
        <f t="array" ref="A1071">EXTRACTEVENT(N1071,V1071)</f>
        <v/>
      </c>
      <c r="B1071" s="7" t="str">
        <f t="shared" si="48"/>
        <v/>
      </c>
      <c r="C1071" s="7"/>
      <c r="D1071" s="7" t="str">
        <f t="shared" si="49"/>
        <v>E</v>
      </c>
      <c r="E1071" s="10">
        <f t="shared" si="50"/>
        <v>0</v>
      </c>
      <c r="F1071" s="7" t="e">
        <f t="array" ref="F1071">+TIPOARMA(H1071,I1071)</f>
        <v>#VALUE!</v>
      </c>
      <c r="G1071" s="7"/>
      <c r="H1071" s="7" t="e">
        <f>+VLOOKUP(Q1071,Maps!I:J,2,0)</f>
        <v>#N/A</v>
      </c>
      <c r="I1071" s="7" t="e">
        <f>+VLOOKUP(T1071,Maps!E:F,2,0)</f>
        <v>#N/A</v>
      </c>
    </row>
    <row r="1072" spans="1:9" ht="14.25" customHeight="1" x14ac:dyDescent="0.35">
      <c r="A1072" s="7" t="str">
        <f t="array" ref="A1072">EXTRACTEVENT(N1072,V1072)</f>
        <v/>
      </c>
      <c r="B1072" s="7" t="str">
        <f t="shared" si="48"/>
        <v/>
      </c>
      <c r="C1072" s="7"/>
      <c r="D1072" s="7" t="str">
        <f t="shared" si="49"/>
        <v>E</v>
      </c>
      <c r="E1072" s="10">
        <f t="shared" si="50"/>
        <v>0</v>
      </c>
      <c r="F1072" s="7" t="e">
        <f t="array" ref="F1072">+TIPOARMA(H1072,I1072)</f>
        <v>#VALUE!</v>
      </c>
      <c r="G1072" s="7"/>
      <c r="H1072" s="7" t="e">
        <f>+VLOOKUP(Q1072,Maps!I:J,2,0)</f>
        <v>#N/A</v>
      </c>
      <c r="I1072" s="7" t="e">
        <f>+VLOOKUP(T1072,Maps!E:F,2,0)</f>
        <v>#N/A</v>
      </c>
    </row>
    <row r="1073" spans="1:9" ht="14.25" customHeight="1" x14ac:dyDescent="0.35">
      <c r="A1073" s="7" t="str">
        <f t="array" ref="A1073">EXTRACTEVENT(N1073,V1073)</f>
        <v/>
      </c>
      <c r="B1073" s="7" t="str">
        <f t="shared" si="48"/>
        <v/>
      </c>
      <c r="C1073" s="7"/>
      <c r="D1073" s="7" t="str">
        <f t="shared" si="49"/>
        <v>E</v>
      </c>
      <c r="E1073" s="10">
        <f t="shared" si="50"/>
        <v>0</v>
      </c>
      <c r="F1073" s="7" t="e">
        <f t="array" ref="F1073">+TIPOARMA(H1073,I1073)</f>
        <v>#VALUE!</v>
      </c>
      <c r="G1073" s="7"/>
      <c r="H1073" s="7" t="e">
        <f>+VLOOKUP(Q1073,Maps!I:J,2,0)</f>
        <v>#N/A</v>
      </c>
      <c r="I1073" s="7" t="e">
        <f>+VLOOKUP(T1073,Maps!E:F,2,0)</f>
        <v>#N/A</v>
      </c>
    </row>
    <row r="1074" spans="1:9" ht="14.25" customHeight="1" x14ac:dyDescent="0.35">
      <c r="A1074" s="7" t="str">
        <f t="array" ref="A1074">EXTRACTEVENT(N1074,V1074)</f>
        <v/>
      </c>
      <c r="B1074" s="7" t="str">
        <f t="shared" si="48"/>
        <v/>
      </c>
      <c r="C1074" s="7"/>
      <c r="D1074" s="7" t="str">
        <f t="shared" si="49"/>
        <v>E</v>
      </c>
      <c r="E1074" s="10">
        <f t="shared" si="50"/>
        <v>0</v>
      </c>
      <c r="F1074" s="7" t="e">
        <f t="array" ref="F1074">+TIPOARMA(H1074,I1074)</f>
        <v>#VALUE!</v>
      </c>
      <c r="G1074" s="7"/>
      <c r="H1074" s="7" t="e">
        <f>+VLOOKUP(Q1074,Maps!I:J,2,0)</f>
        <v>#N/A</v>
      </c>
      <c r="I1074" s="7" t="e">
        <f>+VLOOKUP(T1074,Maps!E:F,2,0)</f>
        <v>#N/A</v>
      </c>
    </row>
    <row r="1075" spans="1:9" ht="14.25" customHeight="1" x14ac:dyDescent="0.35">
      <c r="A1075" s="7" t="str">
        <f t="array" ref="A1075">EXTRACTEVENT(N1075,V1075)</f>
        <v/>
      </c>
      <c r="B1075" s="7" t="str">
        <f t="shared" si="48"/>
        <v/>
      </c>
      <c r="C1075" s="7"/>
      <c r="D1075" s="7" t="str">
        <f t="shared" si="49"/>
        <v>E</v>
      </c>
      <c r="E1075" s="10">
        <f t="shared" si="50"/>
        <v>0</v>
      </c>
      <c r="F1075" s="7" t="e">
        <f t="array" ref="F1075">+TIPOARMA(H1075,I1075)</f>
        <v>#VALUE!</v>
      </c>
      <c r="G1075" s="7"/>
      <c r="H1075" s="7" t="e">
        <f>+VLOOKUP(Q1075,Maps!I:J,2,0)</f>
        <v>#N/A</v>
      </c>
      <c r="I1075" s="7" t="e">
        <f>+VLOOKUP(T1075,Maps!E:F,2,0)</f>
        <v>#N/A</v>
      </c>
    </row>
    <row r="1076" spans="1:9" ht="14.25" customHeight="1" x14ac:dyDescent="0.35">
      <c r="A1076" s="7" t="str">
        <f t="array" ref="A1076">EXTRACTEVENT(N1076,V1076)</f>
        <v/>
      </c>
      <c r="B1076" s="7" t="str">
        <f t="shared" si="48"/>
        <v/>
      </c>
      <c r="C1076" s="7"/>
      <c r="D1076" s="7" t="str">
        <f t="shared" si="49"/>
        <v>E</v>
      </c>
      <c r="E1076" s="10">
        <f t="shared" si="50"/>
        <v>0</v>
      </c>
      <c r="F1076" s="7" t="e">
        <f t="array" ref="F1076">+TIPOARMA(H1076,I1076)</f>
        <v>#VALUE!</v>
      </c>
      <c r="G1076" s="7"/>
      <c r="H1076" s="7" t="e">
        <f>+VLOOKUP(Q1076,Maps!I:J,2,0)</f>
        <v>#N/A</v>
      </c>
      <c r="I1076" s="7" t="e">
        <f>+VLOOKUP(T1076,Maps!E:F,2,0)</f>
        <v>#N/A</v>
      </c>
    </row>
    <row r="1077" spans="1:9" ht="14.25" customHeight="1" x14ac:dyDescent="0.35">
      <c r="A1077" s="7" t="str">
        <f t="array" ref="A1077">EXTRACTEVENT(N1077,V1077)</f>
        <v/>
      </c>
      <c r="B1077" s="7" t="str">
        <f t="shared" si="48"/>
        <v/>
      </c>
      <c r="C1077" s="7"/>
      <c r="D1077" s="7" t="str">
        <f t="shared" si="49"/>
        <v>E</v>
      </c>
      <c r="E1077" s="10">
        <f t="shared" si="50"/>
        <v>0</v>
      </c>
      <c r="F1077" s="7" t="e">
        <f t="array" ref="F1077">+TIPOARMA(H1077,I1077)</f>
        <v>#VALUE!</v>
      </c>
      <c r="G1077" s="7"/>
      <c r="H1077" s="7" t="e">
        <f>+VLOOKUP(Q1077,Maps!I:J,2,0)</f>
        <v>#N/A</v>
      </c>
      <c r="I1077" s="7" t="e">
        <f>+VLOOKUP(T1077,Maps!E:F,2,0)</f>
        <v>#N/A</v>
      </c>
    </row>
    <row r="1078" spans="1:9" ht="14.25" customHeight="1" x14ac:dyDescent="0.35">
      <c r="A1078" s="7" t="str">
        <f t="array" ref="A1078">EXTRACTEVENT(N1078,V1078)</f>
        <v/>
      </c>
      <c r="B1078" s="7" t="str">
        <f t="shared" si="48"/>
        <v/>
      </c>
      <c r="C1078" s="7"/>
      <c r="D1078" s="7" t="str">
        <f t="shared" si="49"/>
        <v>E</v>
      </c>
      <c r="E1078" s="10">
        <f t="shared" si="50"/>
        <v>0</v>
      </c>
      <c r="F1078" s="7" t="e">
        <f t="array" ref="F1078">+TIPOARMA(H1078,I1078)</f>
        <v>#VALUE!</v>
      </c>
      <c r="G1078" s="7"/>
      <c r="H1078" s="7" t="e">
        <f>+VLOOKUP(Q1078,Maps!I:J,2,0)</f>
        <v>#N/A</v>
      </c>
      <c r="I1078" s="7" t="e">
        <f>+VLOOKUP(T1078,Maps!E:F,2,0)</f>
        <v>#N/A</v>
      </c>
    </row>
    <row r="1079" spans="1:9" ht="14.25" customHeight="1" x14ac:dyDescent="0.35">
      <c r="A1079" s="7" t="str">
        <f t="array" ref="A1079">EXTRACTEVENT(N1079,V1079)</f>
        <v/>
      </c>
      <c r="B1079" s="7" t="str">
        <f t="shared" si="48"/>
        <v/>
      </c>
      <c r="C1079" s="7"/>
      <c r="D1079" s="7" t="str">
        <f t="shared" si="49"/>
        <v>E</v>
      </c>
      <c r="E1079" s="10">
        <f t="shared" si="50"/>
        <v>0</v>
      </c>
      <c r="F1079" s="7" t="e">
        <f t="array" ref="F1079">+TIPOARMA(H1079,I1079)</f>
        <v>#VALUE!</v>
      </c>
      <c r="G1079" s="7"/>
      <c r="H1079" s="7" t="e">
        <f>+VLOOKUP(Q1079,Maps!I:J,2,0)</f>
        <v>#N/A</v>
      </c>
      <c r="I1079" s="7" t="e">
        <f>+VLOOKUP(T1079,Maps!E:F,2,0)</f>
        <v>#N/A</v>
      </c>
    </row>
    <row r="1080" spans="1:9" ht="14.25" customHeight="1" x14ac:dyDescent="0.35">
      <c r="A1080" s="7" t="str">
        <f t="array" ref="A1080">EXTRACTEVENT(N1080,V1080)</f>
        <v/>
      </c>
      <c r="B1080" s="7" t="str">
        <f t="shared" si="48"/>
        <v/>
      </c>
      <c r="C1080" s="7"/>
      <c r="D1080" s="7" t="str">
        <f t="shared" si="49"/>
        <v>E</v>
      </c>
      <c r="E1080" s="10">
        <f t="shared" si="50"/>
        <v>0</v>
      </c>
      <c r="F1080" s="7" t="e">
        <f t="array" ref="F1080">+TIPOARMA(H1080,I1080)</f>
        <v>#VALUE!</v>
      </c>
      <c r="G1080" s="7"/>
      <c r="H1080" s="7" t="e">
        <f>+VLOOKUP(Q1080,Maps!I:J,2,0)</f>
        <v>#N/A</v>
      </c>
      <c r="I1080" s="7" t="e">
        <f>+VLOOKUP(T1080,Maps!E:F,2,0)</f>
        <v>#N/A</v>
      </c>
    </row>
    <row r="1081" spans="1:9" ht="14.25" customHeight="1" x14ac:dyDescent="0.35">
      <c r="A1081" s="7" t="str">
        <f t="array" ref="A1081">EXTRACTEVENT(N1081,V1081)</f>
        <v/>
      </c>
      <c r="B1081" s="7" t="str">
        <f t="shared" si="48"/>
        <v/>
      </c>
      <c r="C1081" s="7"/>
      <c r="D1081" s="7" t="str">
        <f t="shared" si="49"/>
        <v>E</v>
      </c>
      <c r="E1081" s="10">
        <f t="shared" si="50"/>
        <v>0</v>
      </c>
      <c r="F1081" s="7" t="e">
        <f t="array" ref="F1081">+TIPOARMA(H1081,I1081)</f>
        <v>#VALUE!</v>
      </c>
      <c r="G1081" s="7"/>
      <c r="H1081" s="7" t="e">
        <f>+VLOOKUP(Q1081,Maps!I:J,2,0)</f>
        <v>#N/A</v>
      </c>
      <c r="I1081" s="7" t="e">
        <f>+VLOOKUP(T1081,Maps!E:F,2,0)</f>
        <v>#N/A</v>
      </c>
    </row>
    <row r="1082" spans="1:9" ht="14.25" customHeight="1" x14ac:dyDescent="0.35">
      <c r="A1082" s="7" t="str">
        <f t="array" ref="A1082">EXTRACTEVENT(N1082,V1082)</f>
        <v/>
      </c>
      <c r="B1082" s="7" t="str">
        <f t="shared" si="48"/>
        <v/>
      </c>
      <c r="C1082" s="7"/>
      <c r="D1082" s="7" t="str">
        <f t="shared" si="49"/>
        <v>E</v>
      </c>
      <c r="E1082" s="10">
        <f t="shared" si="50"/>
        <v>0</v>
      </c>
      <c r="F1082" s="7" t="e">
        <f t="array" ref="F1082">+TIPOARMA(H1082,I1082)</f>
        <v>#VALUE!</v>
      </c>
      <c r="G1082" s="7"/>
      <c r="H1082" s="7" t="e">
        <f>+VLOOKUP(Q1082,Maps!I:J,2,0)</f>
        <v>#N/A</v>
      </c>
      <c r="I1082" s="7" t="e">
        <f>+VLOOKUP(T1082,Maps!E:F,2,0)</f>
        <v>#N/A</v>
      </c>
    </row>
    <row r="1083" spans="1:9" ht="14.25" customHeight="1" x14ac:dyDescent="0.35">
      <c r="A1083" s="7" t="str">
        <f t="array" ref="A1083">EXTRACTEVENT(N1083,V1083)</f>
        <v/>
      </c>
      <c r="B1083" s="7" t="str">
        <f t="shared" si="48"/>
        <v/>
      </c>
      <c r="C1083" s="7"/>
      <c r="D1083" s="7" t="str">
        <f t="shared" si="49"/>
        <v>E</v>
      </c>
      <c r="E1083" s="10">
        <f t="shared" si="50"/>
        <v>0</v>
      </c>
      <c r="F1083" s="7" t="e">
        <f t="array" ref="F1083">+TIPOARMA(H1083,I1083)</f>
        <v>#VALUE!</v>
      </c>
      <c r="G1083" s="7"/>
      <c r="H1083" s="7" t="e">
        <f>+VLOOKUP(Q1083,Maps!I:J,2,0)</f>
        <v>#N/A</v>
      </c>
      <c r="I1083" s="7" t="e">
        <f>+VLOOKUP(T1083,Maps!E:F,2,0)</f>
        <v>#N/A</v>
      </c>
    </row>
    <row r="1084" spans="1:9" ht="14.25" customHeight="1" x14ac:dyDescent="0.35">
      <c r="A1084" s="7" t="str">
        <f t="array" ref="A1084">EXTRACTEVENT(N1084,V1084)</f>
        <v/>
      </c>
      <c r="B1084" s="7" t="str">
        <f t="shared" si="48"/>
        <v/>
      </c>
      <c r="C1084" s="7"/>
      <c r="D1084" s="7" t="str">
        <f t="shared" si="49"/>
        <v>E</v>
      </c>
      <c r="E1084" s="10">
        <f t="shared" si="50"/>
        <v>0</v>
      </c>
      <c r="F1084" s="7" t="e">
        <f t="array" ref="F1084">+TIPOARMA(H1084,I1084)</f>
        <v>#VALUE!</v>
      </c>
      <c r="G1084" s="7"/>
      <c r="H1084" s="7" t="e">
        <f>+VLOOKUP(Q1084,Maps!I:J,2,0)</f>
        <v>#N/A</v>
      </c>
      <c r="I1084" s="7" t="e">
        <f>+VLOOKUP(T1084,Maps!E:F,2,0)</f>
        <v>#N/A</v>
      </c>
    </row>
    <row r="1085" spans="1:9" ht="14.25" customHeight="1" x14ac:dyDescent="0.35">
      <c r="A1085" s="7" t="str">
        <f t="array" ref="A1085">EXTRACTEVENT(N1085,V1085)</f>
        <v/>
      </c>
      <c r="B1085" s="7" t="str">
        <f t="shared" si="48"/>
        <v/>
      </c>
      <c r="C1085" s="7"/>
      <c r="D1085" s="7" t="str">
        <f t="shared" si="49"/>
        <v>E</v>
      </c>
      <c r="E1085" s="10">
        <f t="shared" si="50"/>
        <v>0</v>
      </c>
      <c r="F1085" s="7" t="e">
        <f t="array" ref="F1085">+TIPOARMA(H1085,I1085)</f>
        <v>#VALUE!</v>
      </c>
      <c r="G1085" s="7"/>
      <c r="H1085" s="7" t="e">
        <f>+VLOOKUP(Q1085,Maps!I:J,2,0)</f>
        <v>#N/A</v>
      </c>
      <c r="I1085" s="7" t="e">
        <f>+VLOOKUP(T1085,Maps!E:F,2,0)</f>
        <v>#N/A</v>
      </c>
    </row>
    <row r="1086" spans="1:9" ht="14.25" customHeight="1" x14ac:dyDescent="0.35">
      <c r="A1086" s="7" t="str">
        <f t="array" ref="A1086">EXTRACTEVENT(N1086,V1086)</f>
        <v/>
      </c>
      <c r="B1086" s="7" t="str">
        <f t="shared" si="48"/>
        <v/>
      </c>
      <c r="C1086" s="7"/>
      <c r="D1086" s="7" t="str">
        <f t="shared" si="49"/>
        <v>E</v>
      </c>
      <c r="E1086" s="10">
        <f t="shared" si="50"/>
        <v>0</v>
      </c>
      <c r="F1086" s="7" t="e">
        <f t="array" ref="F1086">+TIPOARMA(H1086,I1086)</f>
        <v>#VALUE!</v>
      </c>
      <c r="G1086" s="7"/>
      <c r="H1086" s="7" t="e">
        <f>+VLOOKUP(Q1086,Maps!I:J,2,0)</f>
        <v>#N/A</v>
      </c>
      <c r="I1086" s="7" t="e">
        <f>+VLOOKUP(T1086,Maps!E:F,2,0)</f>
        <v>#N/A</v>
      </c>
    </row>
    <row r="1087" spans="1:9" ht="14.25" customHeight="1" x14ac:dyDescent="0.35">
      <c r="A1087" s="7" t="str">
        <f t="array" ref="A1087">EXTRACTEVENT(N1087,V1087)</f>
        <v/>
      </c>
      <c r="B1087" s="7" t="str">
        <f t="shared" si="48"/>
        <v/>
      </c>
      <c r="C1087" s="7"/>
      <c r="D1087" s="7" t="str">
        <f t="shared" si="49"/>
        <v>E</v>
      </c>
      <c r="E1087" s="10">
        <f t="shared" si="50"/>
        <v>0</v>
      </c>
      <c r="F1087" s="7" t="e">
        <f t="array" ref="F1087">+TIPOARMA(H1087,I1087)</f>
        <v>#VALUE!</v>
      </c>
      <c r="G1087" s="7"/>
      <c r="H1087" s="7" t="e">
        <f>+VLOOKUP(Q1087,Maps!I:J,2,0)</f>
        <v>#N/A</v>
      </c>
      <c r="I1087" s="7" t="e">
        <f>+VLOOKUP(T1087,Maps!E:F,2,0)</f>
        <v>#N/A</v>
      </c>
    </row>
    <row r="1088" spans="1:9" ht="14.25" customHeight="1" x14ac:dyDescent="0.35">
      <c r="A1088" s="7" t="str">
        <f t="array" ref="A1088">EXTRACTEVENT(N1088,V1088)</f>
        <v/>
      </c>
      <c r="B1088" s="7" t="str">
        <f t="shared" si="48"/>
        <v/>
      </c>
      <c r="C1088" s="7"/>
      <c r="D1088" s="7" t="str">
        <f t="shared" si="49"/>
        <v>E</v>
      </c>
      <c r="E1088" s="10">
        <f t="shared" si="50"/>
        <v>0</v>
      </c>
      <c r="F1088" s="7" t="e">
        <f t="array" ref="F1088">+TIPOARMA(H1088,I1088)</f>
        <v>#VALUE!</v>
      </c>
      <c r="G1088" s="7"/>
      <c r="H1088" s="7" t="e">
        <f>+VLOOKUP(Q1088,Maps!I:J,2,0)</f>
        <v>#N/A</v>
      </c>
      <c r="I1088" s="7" t="e">
        <f>+VLOOKUP(T1088,Maps!E:F,2,0)</f>
        <v>#N/A</v>
      </c>
    </row>
    <row r="1089" spans="1:9" ht="14.25" customHeight="1" x14ac:dyDescent="0.35">
      <c r="A1089" s="7" t="str">
        <f t="array" ref="A1089">EXTRACTEVENT(N1089,V1089)</f>
        <v/>
      </c>
      <c r="B1089" s="7" t="str">
        <f t="shared" si="48"/>
        <v/>
      </c>
      <c r="C1089" s="7"/>
      <c r="D1089" s="7" t="str">
        <f t="shared" si="49"/>
        <v>E</v>
      </c>
      <c r="E1089" s="10">
        <f t="shared" si="50"/>
        <v>0</v>
      </c>
      <c r="F1089" s="7" t="e">
        <f t="array" ref="F1089">+TIPOARMA(H1089,I1089)</f>
        <v>#VALUE!</v>
      </c>
      <c r="G1089" s="7"/>
      <c r="H1089" s="7" t="e">
        <f>+VLOOKUP(Q1089,Maps!I:J,2,0)</f>
        <v>#N/A</v>
      </c>
      <c r="I1089" s="7" t="e">
        <f>+VLOOKUP(T1089,Maps!E:F,2,0)</f>
        <v>#N/A</v>
      </c>
    </row>
    <row r="1090" spans="1:9" ht="14.25" customHeight="1" x14ac:dyDescent="0.35">
      <c r="A1090" s="7" t="str">
        <f t="array" ref="A1090">EXTRACTEVENT(N1090,V1090)</f>
        <v/>
      </c>
      <c r="B1090" s="7" t="str">
        <f t="shared" ref="B1090:B1153" si="51">+IF(V1090="TREINO","-",LEFT(N1090,1))</f>
        <v/>
      </c>
      <c r="C1090" s="7"/>
      <c r="D1090" s="7" t="str">
        <f t="shared" ref="D1090:D1153" si="52">+IF($V1090="TREINO","T",IF(V1090="NACIONAL","N","E"))</f>
        <v>E</v>
      </c>
      <c r="E1090" s="10">
        <f t="shared" ref="E1090:E1153" si="53">IFERROR(DATEVALUE(LEFT(M1090,10)),M1090)</f>
        <v>0</v>
      </c>
      <c r="F1090" s="7" t="e">
        <f t="array" ref="F1090">+TIPOARMA(H1090,I1090)</f>
        <v>#VALUE!</v>
      </c>
      <c r="G1090" s="7"/>
      <c r="H1090" s="7" t="e">
        <f>+VLOOKUP(Q1090,Maps!I:J,2,0)</f>
        <v>#N/A</v>
      </c>
      <c r="I1090" s="7" t="e">
        <f>+VLOOKUP(T1090,Maps!E:F,2,0)</f>
        <v>#N/A</v>
      </c>
    </row>
    <row r="1091" spans="1:9" ht="14.25" customHeight="1" x14ac:dyDescent="0.35">
      <c r="A1091" s="7" t="str">
        <f t="array" ref="A1091">EXTRACTEVENT(N1091,V1091)</f>
        <v/>
      </c>
      <c r="B1091" s="7" t="str">
        <f t="shared" si="51"/>
        <v/>
      </c>
      <c r="C1091" s="7"/>
      <c r="D1091" s="7" t="str">
        <f t="shared" si="52"/>
        <v>E</v>
      </c>
      <c r="E1091" s="10">
        <f t="shared" si="53"/>
        <v>0</v>
      </c>
      <c r="F1091" s="7" t="e">
        <f t="array" ref="F1091">+TIPOARMA(H1091,I1091)</f>
        <v>#VALUE!</v>
      </c>
      <c r="G1091" s="7"/>
      <c r="H1091" s="7" t="e">
        <f>+VLOOKUP(Q1091,Maps!I:J,2,0)</f>
        <v>#N/A</v>
      </c>
      <c r="I1091" s="7" t="e">
        <f>+VLOOKUP(T1091,Maps!E:F,2,0)</f>
        <v>#N/A</v>
      </c>
    </row>
    <row r="1092" spans="1:9" ht="14.25" customHeight="1" x14ac:dyDescent="0.35">
      <c r="A1092" s="7" t="str">
        <f t="array" ref="A1092">EXTRACTEVENT(N1092,V1092)</f>
        <v/>
      </c>
      <c r="B1092" s="7" t="str">
        <f t="shared" si="51"/>
        <v/>
      </c>
      <c r="C1092" s="7"/>
      <c r="D1092" s="7" t="str">
        <f t="shared" si="52"/>
        <v>E</v>
      </c>
      <c r="E1092" s="10">
        <f t="shared" si="53"/>
        <v>0</v>
      </c>
      <c r="F1092" s="7" t="e">
        <f t="array" ref="F1092">+TIPOARMA(H1092,I1092)</f>
        <v>#VALUE!</v>
      </c>
      <c r="G1092" s="7"/>
      <c r="H1092" s="7" t="e">
        <f>+VLOOKUP(Q1092,Maps!I:J,2,0)</f>
        <v>#N/A</v>
      </c>
      <c r="I1092" s="7" t="e">
        <f>+VLOOKUP(T1092,Maps!E:F,2,0)</f>
        <v>#N/A</v>
      </c>
    </row>
    <row r="1093" spans="1:9" ht="14.25" customHeight="1" x14ac:dyDescent="0.35">
      <c r="A1093" s="7" t="str">
        <f t="array" ref="A1093">EXTRACTEVENT(N1093,V1093)</f>
        <v/>
      </c>
      <c r="B1093" s="7" t="str">
        <f t="shared" si="51"/>
        <v/>
      </c>
      <c r="C1093" s="7"/>
      <c r="D1093" s="7" t="str">
        <f t="shared" si="52"/>
        <v>E</v>
      </c>
      <c r="E1093" s="10">
        <f t="shared" si="53"/>
        <v>0</v>
      </c>
      <c r="F1093" s="7" t="e">
        <f t="array" ref="F1093">+TIPOARMA(H1093,I1093)</f>
        <v>#VALUE!</v>
      </c>
      <c r="G1093" s="7"/>
      <c r="H1093" s="7" t="e">
        <f>+VLOOKUP(Q1093,Maps!I:J,2,0)</f>
        <v>#N/A</v>
      </c>
      <c r="I1093" s="7" t="e">
        <f>+VLOOKUP(T1093,Maps!E:F,2,0)</f>
        <v>#N/A</v>
      </c>
    </row>
    <row r="1094" spans="1:9" ht="14.25" customHeight="1" x14ac:dyDescent="0.35">
      <c r="A1094" s="7" t="str">
        <f t="array" ref="A1094">EXTRACTEVENT(N1094,V1094)</f>
        <v/>
      </c>
      <c r="B1094" s="7" t="str">
        <f t="shared" si="51"/>
        <v/>
      </c>
      <c r="C1094" s="7"/>
      <c r="D1094" s="7" t="str">
        <f t="shared" si="52"/>
        <v>E</v>
      </c>
      <c r="E1094" s="10">
        <f t="shared" si="53"/>
        <v>0</v>
      </c>
      <c r="F1094" s="7" t="e">
        <f t="array" ref="F1094">+TIPOARMA(H1094,I1094)</f>
        <v>#VALUE!</v>
      </c>
      <c r="G1094" s="7"/>
      <c r="H1094" s="7" t="e">
        <f>+VLOOKUP(Q1094,Maps!I:J,2,0)</f>
        <v>#N/A</v>
      </c>
      <c r="I1094" s="7" t="e">
        <f>+VLOOKUP(T1094,Maps!E:F,2,0)</f>
        <v>#N/A</v>
      </c>
    </row>
    <row r="1095" spans="1:9" ht="14.25" customHeight="1" x14ac:dyDescent="0.35">
      <c r="A1095" s="7" t="str">
        <f t="array" ref="A1095">EXTRACTEVENT(N1095,V1095)</f>
        <v/>
      </c>
      <c r="B1095" s="7" t="str">
        <f t="shared" si="51"/>
        <v/>
      </c>
      <c r="C1095" s="7"/>
      <c r="D1095" s="7" t="str">
        <f t="shared" si="52"/>
        <v>E</v>
      </c>
      <c r="E1095" s="10">
        <f t="shared" si="53"/>
        <v>0</v>
      </c>
      <c r="F1095" s="7" t="e">
        <f t="array" ref="F1095">+TIPOARMA(H1095,I1095)</f>
        <v>#VALUE!</v>
      </c>
      <c r="G1095" s="7"/>
      <c r="H1095" s="7" t="e">
        <f>+VLOOKUP(Q1095,Maps!I:J,2,0)</f>
        <v>#N/A</v>
      </c>
      <c r="I1095" s="7" t="e">
        <f>+VLOOKUP(T1095,Maps!E:F,2,0)</f>
        <v>#N/A</v>
      </c>
    </row>
    <row r="1096" spans="1:9" ht="14.25" customHeight="1" x14ac:dyDescent="0.35">
      <c r="A1096" s="7" t="str">
        <f t="array" ref="A1096">EXTRACTEVENT(N1096,V1096)</f>
        <v/>
      </c>
      <c r="B1096" s="7" t="str">
        <f t="shared" si="51"/>
        <v/>
      </c>
      <c r="C1096" s="7"/>
      <c r="D1096" s="7" t="str">
        <f t="shared" si="52"/>
        <v>E</v>
      </c>
      <c r="E1096" s="10">
        <f t="shared" si="53"/>
        <v>0</v>
      </c>
      <c r="F1096" s="7" t="e">
        <f t="array" ref="F1096">+TIPOARMA(H1096,I1096)</f>
        <v>#VALUE!</v>
      </c>
      <c r="G1096" s="7"/>
      <c r="H1096" s="7" t="e">
        <f>+VLOOKUP(Q1096,Maps!I:J,2,0)</f>
        <v>#N/A</v>
      </c>
      <c r="I1096" s="7" t="e">
        <f>+VLOOKUP(T1096,Maps!E:F,2,0)</f>
        <v>#N/A</v>
      </c>
    </row>
    <row r="1097" spans="1:9" ht="14.25" customHeight="1" x14ac:dyDescent="0.35">
      <c r="A1097" s="7" t="str">
        <f t="array" ref="A1097">EXTRACTEVENT(N1097,V1097)</f>
        <v/>
      </c>
      <c r="B1097" s="7" t="str">
        <f t="shared" si="51"/>
        <v/>
      </c>
      <c r="C1097" s="7"/>
      <c r="D1097" s="7" t="str">
        <f t="shared" si="52"/>
        <v>E</v>
      </c>
      <c r="E1097" s="10">
        <f t="shared" si="53"/>
        <v>0</v>
      </c>
      <c r="F1097" s="7" t="e">
        <f t="array" ref="F1097">+TIPOARMA(H1097,I1097)</f>
        <v>#VALUE!</v>
      </c>
      <c r="G1097" s="7"/>
      <c r="H1097" s="7" t="e">
        <f>+VLOOKUP(Q1097,Maps!I:J,2,0)</f>
        <v>#N/A</v>
      </c>
      <c r="I1097" s="7" t="e">
        <f>+VLOOKUP(T1097,Maps!E:F,2,0)</f>
        <v>#N/A</v>
      </c>
    </row>
    <row r="1098" spans="1:9" ht="14.25" customHeight="1" x14ac:dyDescent="0.35">
      <c r="A1098" s="7" t="str">
        <f t="array" ref="A1098">EXTRACTEVENT(N1098,V1098)</f>
        <v/>
      </c>
      <c r="B1098" s="7" t="str">
        <f t="shared" si="51"/>
        <v/>
      </c>
      <c r="C1098" s="7"/>
      <c r="D1098" s="7" t="str">
        <f t="shared" si="52"/>
        <v>E</v>
      </c>
      <c r="E1098" s="10">
        <f t="shared" si="53"/>
        <v>0</v>
      </c>
      <c r="F1098" s="7" t="e">
        <f t="array" ref="F1098">+TIPOARMA(H1098,I1098)</f>
        <v>#VALUE!</v>
      </c>
      <c r="G1098" s="7"/>
      <c r="H1098" s="7" t="e">
        <f>+VLOOKUP(Q1098,Maps!I:J,2,0)</f>
        <v>#N/A</v>
      </c>
      <c r="I1098" s="7" t="e">
        <f>+VLOOKUP(T1098,Maps!E:F,2,0)</f>
        <v>#N/A</v>
      </c>
    </row>
    <row r="1099" spans="1:9" ht="14.25" customHeight="1" x14ac:dyDescent="0.35">
      <c r="A1099" s="7" t="str">
        <f t="array" ref="A1099">EXTRACTEVENT(N1099,V1099)</f>
        <v/>
      </c>
      <c r="B1099" s="7" t="str">
        <f t="shared" si="51"/>
        <v/>
      </c>
      <c r="C1099" s="7"/>
      <c r="D1099" s="7" t="str">
        <f t="shared" si="52"/>
        <v>E</v>
      </c>
      <c r="E1099" s="10">
        <f t="shared" si="53"/>
        <v>0</v>
      </c>
      <c r="F1099" s="7" t="e">
        <f t="array" ref="F1099">+TIPOARMA(H1099,I1099)</f>
        <v>#VALUE!</v>
      </c>
      <c r="G1099" s="7"/>
      <c r="H1099" s="7" t="e">
        <f>+VLOOKUP(Q1099,Maps!I:J,2,0)</f>
        <v>#N/A</v>
      </c>
      <c r="I1099" s="7" t="e">
        <f>+VLOOKUP(T1099,Maps!E:F,2,0)</f>
        <v>#N/A</v>
      </c>
    </row>
    <row r="1100" spans="1:9" ht="14.25" customHeight="1" x14ac:dyDescent="0.35">
      <c r="A1100" s="7" t="str">
        <f t="array" ref="A1100">EXTRACTEVENT(N1100,V1100)</f>
        <v/>
      </c>
      <c r="B1100" s="7" t="str">
        <f t="shared" si="51"/>
        <v/>
      </c>
      <c r="C1100" s="7"/>
      <c r="D1100" s="7" t="str">
        <f t="shared" si="52"/>
        <v>E</v>
      </c>
      <c r="E1100" s="10">
        <f t="shared" si="53"/>
        <v>0</v>
      </c>
      <c r="F1100" s="7" t="e">
        <f t="array" ref="F1100">+TIPOARMA(H1100,I1100)</f>
        <v>#VALUE!</v>
      </c>
      <c r="G1100" s="7"/>
      <c r="H1100" s="7" t="e">
        <f>+VLOOKUP(Q1100,Maps!I:J,2,0)</f>
        <v>#N/A</v>
      </c>
      <c r="I1100" s="7" t="e">
        <f>+VLOOKUP(T1100,Maps!E:F,2,0)</f>
        <v>#N/A</v>
      </c>
    </row>
    <row r="1101" spans="1:9" ht="14.25" customHeight="1" x14ac:dyDescent="0.35">
      <c r="A1101" s="7" t="str">
        <f t="array" ref="A1101">EXTRACTEVENT(N1101,V1101)</f>
        <v/>
      </c>
      <c r="B1101" s="7" t="str">
        <f t="shared" si="51"/>
        <v/>
      </c>
      <c r="C1101" s="7"/>
      <c r="D1101" s="7" t="str">
        <f t="shared" si="52"/>
        <v>E</v>
      </c>
      <c r="E1101" s="10">
        <f t="shared" si="53"/>
        <v>0</v>
      </c>
      <c r="F1101" s="7" t="e">
        <f t="array" ref="F1101">+TIPOARMA(H1101,I1101)</f>
        <v>#VALUE!</v>
      </c>
      <c r="G1101" s="7"/>
      <c r="H1101" s="7" t="e">
        <f>+VLOOKUP(Q1101,Maps!I:J,2,0)</f>
        <v>#N/A</v>
      </c>
      <c r="I1101" s="7" t="e">
        <f>+VLOOKUP(T1101,Maps!E:F,2,0)</f>
        <v>#N/A</v>
      </c>
    </row>
    <row r="1102" spans="1:9" ht="14.25" customHeight="1" x14ac:dyDescent="0.35">
      <c r="A1102" s="7" t="str">
        <f t="array" ref="A1102">EXTRACTEVENT(N1102,V1102)</f>
        <v/>
      </c>
      <c r="B1102" s="7" t="str">
        <f t="shared" si="51"/>
        <v/>
      </c>
      <c r="C1102" s="7"/>
      <c r="D1102" s="7" t="str">
        <f t="shared" si="52"/>
        <v>E</v>
      </c>
      <c r="E1102" s="10">
        <f t="shared" si="53"/>
        <v>0</v>
      </c>
      <c r="F1102" s="7" t="e">
        <f t="array" ref="F1102">+TIPOARMA(H1102,I1102)</f>
        <v>#VALUE!</v>
      </c>
      <c r="G1102" s="7"/>
      <c r="H1102" s="7" t="e">
        <f>+VLOOKUP(Q1102,Maps!I:J,2,0)</f>
        <v>#N/A</v>
      </c>
      <c r="I1102" s="7" t="e">
        <f>+VLOOKUP(T1102,Maps!E:F,2,0)</f>
        <v>#N/A</v>
      </c>
    </row>
    <row r="1103" spans="1:9" ht="14.25" customHeight="1" x14ac:dyDescent="0.35">
      <c r="A1103" s="7" t="str">
        <f t="array" ref="A1103">EXTRACTEVENT(N1103,V1103)</f>
        <v/>
      </c>
      <c r="B1103" s="7" t="str">
        <f t="shared" si="51"/>
        <v/>
      </c>
      <c r="C1103" s="7"/>
      <c r="D1103" s="7" t="str">
        <f t="shared" si="52"/>
        <v>E</v>
      </c>
      <c r="E1103" s="10">
        <f t="shared" si="53"/>
        <v>0</v>
      </c>
      <c r="F1103" s="7" t="e">
        <f t="array" ref="F1103">+TIPOARMA(H1103,I1103)</f>
        <v>#VALUE!</v>
      </c>
      <c r="G1103" s="7"/>
      <c r="H1103" s="7" t="e">
        <f>+VLOOKUP(Q1103,Maps!I:J,2,0)</f>
        <v>#N/A</v>
      </c>
      <c r="I1103" s="7" t="e">
        <f>+VLOOKUP(T1103,Maps!E:F,2,0)</f>
        <v>#N/A</v>
      </c>
    </row>
    <row r="1104" spans="1:9" ht="14.25" customHeight="1" x14ac:dyDescent="0.35">
      <c r="A1104" s="7" t="str">
        <f t="array" ref="A1104">EXTRACTEVENT(N1104,V1104)</f>
        <v/>
      </c>
      <c r="B1104" s="7" t="str">
        <f t="shared" si="51"/>
        <v/>
      </c>
      <c r="C1104" s="7"/>
      <c r="D1104" s="7" t="str">
        <f t="shared" si="52"/>
        <v>E</v>
      </c>
      <c r="E1104" s="10">
        <f t="shared" si="53"/>
        <v>0</v>
      </c>
      <c r="F1104" s="7" t="e">
        <f t="array" ref="F1104">+TIPOARMA(H1104,I1104)</f>
        <v>#VALUE!</v>
      </c>
      <c r="G1104" s="7"/>
      <c r="H1104" s="7" t="e">
        <f>+VLOOKUP(Q1104,Maps!I:J,2,0)</f>
        <v>#N/A</v>
      </c>
      <c r="I1104" s="7" t="e">
        <f>+VLOOKUP(T1104,Maps!E:F,2,0)</f>
        <v>#N/A</v>
      </c>
    </row>
    <row r="1105" spans="1:9" ht="14.25" customHeight="1" x14ac:dyDescent="0.35">
      <c r="A1105" s="7" t="str">
        <f t="array" ref="A1105">EXTRACTEVENT(N1105,V1105)</f>
        <v/>
      </c>
      <c r="B1105" s="7" t="str">
        <f t="shared" si="51"/>
        <v/>
      </c>
      <c r="C1105" s="7"/>
      <c r="D1105" s="7" t="str">
        <f t="shared" si="52"/>
        <v>E</v>
      </c>
      <c r="E1105" s="10">
        <f t="shared" si="53"/>
        <v>0</v>
      </c>
      <c r="F1105" s="7" t="e">
        <f t="array" ref="F1105">+TIPOARMA(H1105,I1105)</f>
        <v>#VALUE!</v>
      </c>
      <c r="G1105" s="7"/>
      <c r="H1105" s="7" t="e">
        <f>+VLOOKUP(Q1105,Maps!I:J,2,0)</f>
        <v>#N/A</v>
      </c>
      <c r="I1105" s="7" t="e">
        <f>+VLOOKUP(T1105,Maps!E:F,2,0)</f>
        <v>#N/A</v>
      </c>
    </row>
    <row r="1106" spans="1:9" ht="14.25" customHeight="1" x14ac:dyDescent="0.35">
      <c r="A1106" s="7" t="str">
        <f t="array" ref="A1106">EXTRACTEVENT(N1106,V1106)</f>
        <v/>
      </c>
      <c r="B1106" s="7" t="str">
        <f t="shared" si="51"/>
        <v/>
      </c>
      <c r="C1106" s="7"/>
      <c r="D1106" s="7" t="str">
        <f t="shared" si="52"/>
        <v>E</v>
      </c>
      <c r="E1106" s="10">
        <f t="shared" si="53"/>
        <v>0</v>
      </c>
      <c r="F1106" s="7" t="e">
        <f t="array" ref="F1106">+TIPOARMA(H1106,I1106)</f>
        <v>#VALUE!</v>
      </c>
      <c r="G1106" s="7"/>
      <c r="H1106" s="7" t="e">
        <f>+VLOOKUP(Q1106,Maps!I:J,2,0)</f>
        <v>#N/A</v>
      </c>
      <c r="I1106" s="7" t="e">
        <f>+VLOOKUP(T1106,Maps!E:F,2,0)</f>
        <v>#N/A</v>
      </c>
    </row>
    <row r="1107" spans="1:9" ht="14.25" customHeight="1" x14ac:dyDescent="0.35">
      <c r="A1107" s="7" t="str">
        <f t="array" ref="A1107">EXTRACTEVENT(N1107,V1107)</f>
        <v/>
      </c>
      <c r="B1107" s="7" t="str">
        <f t="shared" si="51"/>
        <v/>
      </c>
      <c r="C1107" s="7"/>
      <c r="D1107" s="7" t="str">
        <f t="shared" si="52"/>
        <v>E</v>
      </c>
      <c r="E1107" s="10">
        <f t="shared" si="53"/>
        <v>0</v>
      </c>
      <c r="F1107" s="7" t="e">
        <f t="array" ref="F1107">+TIPOARMA(H1107,I1107)</f>
        <v>#VALUE!</v>
      </c>
      <c r="G1107" s="7"/>
      <c r="H1107" s="7" t="e">
        <f>+VLOOKUP(Q1107,Maps!I:J,2,0)</f>
        <v>#N/A</v>
      </c>
      <c r="I1107" s="7" t="e">
        <f>+VLOOKUP(T1107,Maps!E:F,2,0)</f>
        <v>#N/A</v>
      </c>
    </row>
    <row r="1108" spans="1:9" ht="14.25" customHeight="1" x14ac:dyDescent="0.35">
      <c r="A1108" s="7" t="str">
        <f t="array" ref="A1108">EXTRACTEVENT(N1108,V1108)</f>
        <v/>
      </c>
      <c r="B1108" s="7" t="str">
        <f t="shared" si="51"/>
        <v/>
      </c>
      <c r="C1108" s="7"/>
      <c r="D1108" s="7" t="str">
        <f t="shared" si="52"/>
        <v>E</v>
      </c>
      <c r="E1108" s="10">
        <f t="shared" si="53"/>
        <v>0</v>
      </c>
      <c r="F1108" s="7" t="e">
        <f t="array" ref="F1108">+TIPOARMA(H1108,I1108)</f>
        <v>#VALUE!</v>
      </c>
      <c r="G1108" s="7"/>
      <c r="H1108" s="7" t="e">
        <f>+VLOOKUP(Q1108,Maps!I:J,2,0)</f>
        <v>#N/A</v>
      </c>
      <c r="I1108" s="7" t="e">
        <f>+VLOOKUP(T1108,Maps!E:F,2,0)</f>
        <v>#N/A</v>
      </c>
    </row>
    <row r="1109" spans="1:9" ht="14.25" customHeight="1" x14ac:dyDescent="0.35">
      <c r="A1109" s="7" t="str">
        <f t="array" ref="A1109">EXTRACTEVENT(N1109,V1109)</f>
        <v/>
      </c>
      <c r="B1109" s="7" t="str">
        <f t="shared" si="51"/>
        <v/>
      </c>
      <c r="C1109" s="7"/>
      <c r="D1109" s="7" t="str">
        <f t="shared" si="52"/>
        <v>E</v>
      </c>
      <c r="E1109" s="10">
        <f t="shared" si="53"/>
        <v>0</v>
      </c>
      <c r="F1109" s="7" t="e">
        <f t="array" ref="F1109">+TIPOARMA(H1109,I1109)</f>
        <v>#VALUE!</v>
      </c>
      <c r="G1109" s="7"/>
      <c r="H1109" s="7" t="e">
        <f>+VLOOKUP(Q1109,Maps!I:J,2,0)</f>
        <v>#N/A</v>
      </c>
      <c r="I1109" s="7" t="e">
        <f>+VLOOKUP(T1109,Maps!E:F,2,0)</f>
        <v>#N/A</v>
      </c>
    </row>
    <row r="1110" spans="1:9" ht="14.25" customHeight="1" x14ac:dyDescent="0.35">
      <c r="A1110" s="7" t="str">
        <f t="array" ref="A1110">EXTRACTEVENT(N1110,V1110)</f>
        <v/>
      </c>
      <c r="B1110" s="7" t="str">
        <f t="shared" si="51"/>
        <v/>
      </c>
      <c r="C1110" s="7"/>
      <c r="D1110" s="7" t="str">
        <f t="shared" si="52"/>
        <v>E</v>
      </c>
      <c r="E1110" s="10">
        <f t="shared" si="53"/>
        <v>0</v>
      </c>
      <c r="F1110" s="7" t="e">
        <f t="array" ref="F1110">+TIPOARMA(H1110,I1110)</f>
        <v>#VALUE!</v>
      </c>
      <c r="G1110" s="7"/>
      <c r="H1110" s="7" t="e">
        <f>+VLOOKUP(Q1110,Maps!I:J,2,0)</f>
        <v>#N/A</v>
      </c>
      <c r="I1110" s="7" t="e">
        <f>+VLOOKUP(T1110,Maps!E:F,2,0)</f>
        <v>#N/A</v>
      </c>
    </row>
    <row r="1111" spans="1:9" ht="14.25" customHeight="1" x14ac:dyDescent="0.35">
      <c r="A1111" s="7" t="str">
        <f t="array" ref="A1111">EXTRACTEVENT(N1111,V1111)</f>
        <v/>
      </c>
      <c r="B1111" s="7" t="str">
        <f t="shared" si="51"/>
        <v/>
      </c>
      <c r="C1111" s="7"/>
      <c r="D1111" s="7" t="str">
        <f t="shared" si="52"/>
        <v>E</v>
      </c>
      <c r="E1111" s="10">
        <f t="shared" si="53"/>
        <v>0</v>
      </c>
      <c r="F1111" s="7" t="e">
        <f t="array" ref="F1111">+TIPOARMA(H1111,I1111)</f>
        <v>#VALUE!</v>
      </c>
      <c r="G1111" s="7"/>
      <c r="H1111" s="7" t="e">
        <f>+VLOOKUP(Q1111,Maps!I:J,2,0)</f>
        <v>#N/A</v>
      </c>
      <c r="I1111" s="7" t="e">
        <f>+VLOOKUP(T1111,Maps!E:F,2,0)</f>
        <v>#N/A</v>
      </c>
    </row>
    <row r="1112" spans="1:9" ht="14.25" customHeight="1" x14ac:dyDescent="0.35">
      <c r="A1112" s="7" t="str">
        <f t="array" ref="A1112">EXTRACTEVENT(N1112,V1112)</f>
        <v/>
      </c>
      <c r="B1112" s="7" t="str">
        <f t="shared" si="51"/>
        <v/>
      </c>
      <c r="C1112" s="7"/>
      <c r="D1112" s="7" t="str">
        <f t="shared" si="52"/>
        <v>E</v>
      </c>
      <c r="E1112" s="10">
        <f t="shared" si="53"/>
        <v>0</v>
      </c>
      <c r="F1112" s="7" t="e">
        <f t="array" ref="F1112">+TIPOARMA(H1112,I1112)</f>
        <v>#VALUE!</v>
      </c>
      <c r="G1112" s="7"/>
      <c r="H1112" s="7" t="e">
        <f>+VLOOKUP(Q1112,Maps!I:J,2,0)</f>
        <v>#N/A</v>
      </c>
      <c r="I1112" s="7" t="e">
        <f>+VLOOKUP(T1112,Maps!E:F,2,0)</f>
        <v>#N/A</v>
      </c>
    </row>
    <row r="1113" spans="1:9" ht="14.25" customHeight="1" x14ac:dyDescent="0.35">
      <c r="A1113" s="7" t="str">
        <f t="array" ref="A1113">EXTRACTEVENT(N1113,V1113)</f>
        <v/>
      </c>
      <c r="B1113" s="7" t="str">
        <f t="shared" si="51"/>
        <v/>
      </c>
      <c r="C1113" s="7"/>
      <c r="D1113" s="7" t="str">
        <f t="shared" si="52"/>
        <v>E</v>
      </c>
      <c r="E1113" s="10">
        <f t="shared" si="53"/>
        <v>0</v>
      </c>
      <c r="F1113" s="7" t="e">
        <f t="array" ref="F1113">+TIPOARMA(H1113,I1113)</f>
        <v>#VALUE!</v>
      </c>
      <c r="G1113" s="7"/>
      <c r="H1113" s="7" t="e">
        <f>+VLOOKUP(Q1113,Maps!I:J,2,0)</f>
        <v>#N/A</v>
      </c>
      <c r="I1113" s="7" t="e">
        <f>+VLOOKUP(T1113,Maps!E:F,2,0)</f>
        <v>#N/A</v>
      </c>
    </row>
    <row r="1114" spans="1:9" ht="14.25" customHeight="1" x14ac:dyDescent="0.35">
      <c r="A1114" s="7" t="str">
        <f t="array" ref="A1114">EXTRACTEVENT(N1114,V1114)</f>
        <v/>
      </c>
      <c r="B1114" s="7" t="str">
        <f t="shared" si="51"/>
        <v/>
      </c>
      <c r="C1114" s="7"/>
      <c r="D1114" s="7" t="str">
        <f t="shared" si="52"/>
        <v>E</v>
      </c>
      <c r="E1114" s="10">
        <f t="shared" si="53"/>
        <v>0</v>
      </c>
      <c r="F1114" s="7" t="e">
        <f t="array" ref="F1114">+TIPOARMA(H1114,I1114)</f>
        <v>#VALUE!</v>
      </c>
      <c r="G1114" s="7"/>
      <c r="H1114" s="7" t="e">
        <f>+VLOOKUP(Q1114,Maps!I:J,2,0)</f>
        <v>#N/A</v>
      </c>
      <c r="I1114" s="7" t="e">
        <f>+VLOOKUP(T1114,Maps!E:F,2,0)</f>
        <v>#N/A</v>
      </c>
    </row>
    <row r="1115" spans="1:9" ht="14.25" customHeight="1" x14ac:dyDescent="0.35">
      <c r="A1115" s="7" t="str">
        <f t="array" ref="A1115">EXTRACTEVENT(N1115,V1115)</f>
        <v/>
      </c>
      <c r="B1115" s="7" t="str">
        <f t="shared" si="51"/>
        <v/>
      </c>
      <c r="C1115" s="7"/>
      <c r="D1115" s="7" t="str">
        <f t="shared" si="52"/>
        <v>E</v>
      </c>
      <c r="E1115" s="10">
        <f t="shared" si="53"/>
        <v>0</v>
      </c>
      <c r="F1115" s="7" t="e">
        <f t="array" ref="F1115">+TIPOARMA(H1115,I1115)</f>
        <v>#VALUE!</v>
      </c>
      <c r="G1115" s="7"/>
      <c r="H1115" s="7" t="e">
        <f>+VLOOKUP(Q1115,Maps!I:J,2,0)</f>
        <v>#N/A</v>
      </c>
      <c r="I1115" s="7" t="e">
        <f>+VLOOKUP(T1115,Maps!E:F,2,0)</f>
        <v>#N/A</v>
      </c>
    </row>
    <row r="1116" spans="1:9" ht="14.25" customHeight="1" x14ac:dyDescent="0.35">
      <c r="A1116" s="7" t="str">
        <f t="array" ref="A1116">EXTRACTEVENT(N1116,V1116)</f>
        <v/>
      </c>
      <c r="B1116" s="7" t="str">
        <f t="shared" si="51"/>
        <v/>
      </c>
      <c r="C1116" s="7"/>
      <c r="D1116" s="7" t="str">
        <f t="shared" si="52"/>
        <v>E</v>
      </c>
      <c r="E1116" s="10">
        <f t="shared" si="53"/>
        <v>0</v>
      </c>
      <c r="F1116" s="7" t="e">
        <f t="array" ref="F1116">+TIPOARMA(H1116,I1116)</f>
        <v>#VALUE!</v>
      </c>
      <c r="G1116" s="7"/>
      <c r="H1116" s="7" t="e">
        <f>+VLOOKUP(Q1116,Maps!I:J,2,0)</f>
        <v>#N/A</v>
      </c>
      <c r="I1116" s="7" t="e">
        <f>+VLOOKUP(T1116,Maps!E:F,2,0)</f>
        <v>#N/A</v>
      </c>
    </row>
    <row r="1117" spans="1:9" ht="14.25" customHeight="1" x14ac:dyDescent="0.35">
      <c r="A1117" s="7" t="str">
        <f t="array" ref="A1117">EXTRACTEVENT(N1117,V1117)</f>
        <v/>
      </c>
      <c r="B1117" s="7" t="str">
        <f t="shared" si="51"/>
        <v/>
      </c>
      <c r="C1117" s="7"/>
      <c r="D1117" s="7" t="str">
        <f t="shared" si="52"/>
        <v>E</v>
      </c>
      <c r="E1117" s="10">
        <f t="shared" si="53"/>
        <v>0</v>
      </c>
      <c r="F1117" s="7" t="e">
        <f t="array" ref="F1117">+TIPOARMA(H1117,I1117)</f>
        <v>#VALUE!</v>
      </c>
      <c r="G1117" s="7"/>
      <c r="H1117" s="7" t="e">
        <f>+VLOOKUP(Q1117,Maps!I:J,2,0)</f>
        <v>#N/A</v>
      </c>
      <c r="I1117" s="7" t="e">
        <f>+VLOOKUP(T1117,Maps!E:F,2,0)</f>
        <v>#N/A</v>
      </c>
    </row>
    <row r="1118" spans="1:9" ht="14.25" customHeight="1" x14ac:dyDescent="0.35">
      <c r="A1118" s="7" t="str">
        <f t="array" ref="A1118">EXTRACTEVENT(N1118,V1118)</f>
        <v/>
      </c>
      <c r="B1118" s="7" t="str">
        <f t="shared" si="51"/>
        <v/>
      </c>
      <c r="C1118" s="7"/>
      <c r="D1118" s="7" t="str">
        <f t="shared" si="52"/>
        <v>E</v>
      </c>
      <c r="E1118" s="10">
        <f t="shared" si="53"/>
        <v>0</v>
      </c>
      <c r="F1118" s="7" t="e">
        <f t="array" ref="F1118">+TIPOARMA(H1118,I1118)</f>
        <v>#VALUE!</v>
      </c>
      <c r="G1118" s="7"/>
      <c r="H1118" s="7" t="e">
        <f>+VLOOKUP(Q1118,Maps!I:J,2,0)</f>
        <v>#N/A</v>
      </c>
      <c r="I1118" s="7" t="e">
        <f>+VLOOKUP(T1118,Maps!E:F,2,0)</f>
        <v>#N/A</v>
      </c>
    </row>
    <row r="1119" spans="1:9" ht="14.25" customHeight="1" x14ac:dyDescent="0.35">
      <c r="A1119" s="7" t="str">
        <f t="array" ref="A1119">EXTRACTEVENT(N1119,V1119)</f>
        <v/>
      </c>
      <c r="B1119" s="7" t="str">
        <f t="shared" si="51"/>
        <v/>
      </c>
      <c r="C1119" s="7"/>
      <c r="D1119" s="7" t="str">
        <f t="shared" si="52"/>
        <v>E</v>
      </c>
      <c r="E1119" s="10">
        <f t="shared" si="53"/>
        <v>0</v>
      </c>
      <c r="F1119" s="7" t="e">
        <f t="array" ref="F1119">+TIPOARMA(H1119,I1119)</f>
        <v>#VALUE!</v>
      </c>
      <c r="G1119" s="7"/>
      <c r="H1119" s="7" t="e">
        <f>+VLOOKUP(Q1119,Maps!I:J,2,0)</f>
        <v>#N/A</v>
      </c>
      <c r="I1119" s="7" t="e">
        <f>+VLOOKUP(T1119,Maps!E:F,2,0)</f>
        <v>#N/A</v>
      </c>
    </row>
    <row r="1120" spans="1:9" ht="14.25" customHeight="1" x14ac:dyDescent="0.35">
      <c r="A1120" s="7" t="str">
        <f t="array" ref="A1120">EXTRACTEVENT(N1120,V1120)</f>
        <v/>
      </c>
      <c r="B1120" s="7" t="str">
        <f t="shared" si="51"/>
        <v/>
      </c>
      <c r="C1120" s="7"/>
      <c r="D1120" s="7" t="str">
        <f t="shared" si="52"/>
        <v>E</v>
      </c>
      <c r="E1120" s="10">
        <f t="shared" si="53"/>
        <v>0</v>
      </c>
      <c r="F1120" s="7" t="e">
        <f t="array" ref="F1120">+TIPOARMA(H1120,I1120)</f>
        <v>#VALUE!</v>
      </c>
      <c r="G1120" s="7"/>
      <c r="H1120" s="7" t="e">
        <f>+VLOOKUP(Q1120,Maps!I:J,2,0)</f>
        <v>#N/A</v>
      </c>
      <c r="I1120" s="7" t="e">
        <f>+VLOOKUP(T1120,Maps!E:F,2,0)</f>
        <v>#N/A</v>
      </c>
    </row>
    <row r="1121" spans="1:9" ht="14.25" customHeight="1" x14ac:dyDescent="0.35">
      <c r="A1121" s="7" t="str">
        <f t="array" ref="A1121">EXTRACTEVENT(N1121,V1121)</f>
        <v/>
      </c>
      <c r="B1121" s="7" t="str">
        <f t="shared" si="51"/>
        <v/>
      </c>
      <c r="C1121" s="7"/>
      <c r="D1121" s="7" t="str">
        <f t="shared" si="52"/>
        <v>E</v>
      </c>
      <c r="E1121" s="10">
        <f t="shared" si="53"/>
        <v>0</v>
      </c>
      <c r="F1121" s="7" t="e">
        <f t="array" ref="F1121">+TIPOARMA(H1121,I1121)</f>
        <v>#VALUE!</v>
      </c>
      <c r="G1121" s="7"/>
      <c r="H1121" s="7" t="e">
        <f>+VLOOKUP(Q1121,Maps!I:J,2,0)</f>
        <v>#N/A</v>
      </c>
      <c r="I1121" s="7" t="e">
        <f>+VLOOKUP(T1121,Maps!E:F,2,0)</f>
        <v>#N/A</v>
      </c>
    </row>
    <row r="1122" spans="1:9" ht="14.25" customHeight="1" x14ac:dyDescent="0.35">
      <c r="A1122" s="7" t="str">
        <f t="array" ref="A1122">EXTRACTEVENT(N1122,V1122)</f>
        <v/>
      </c>
      <c r="B1122" s="7" t="str">
        <f t="shared" si="51"/>
        <v/>
      </c>
      <c r="C1122" s="7"/>
      <c r="D1122" s="7" t="str">
        <f t="shared" si="52"/>
        <v>E</v>
      </c>
      <c r="E1122" s="10">
        <f t="shared" si="53"/>
        <v>0</v>
      </c>
      <c r="F1122" s="7" t="e">
        <f t="array" ref="F1122">+TIPOARMA(H1122,I1122)</f>
        <v>#VALUE!</v>
      </c>
      <c r="G1122" s="7"/>
      <c r="H1122" s="7" t="e">
        <f>+VLOOKUP(Q1122,Maps!I:J,2,0)</f>
        <v>#N/A</v>
      </c>
      <c r="I1122" s="7" t="e">
        <f>+VLOOKUP(T1122,Maps!E:F,2,0)</f>
        <v>#N/A</v>
      </c>
    </row>
    <row r="1123" spans="1:9" ht="14.25" customHeight="1" x14ac:dyDescent="0.35">
      <c r="A1123" s="7" t="str">
        <f t="array" ref="A1123">EXTRACTEVENT(N1123,V1123)</f>
        <v/>
      </c>
      <c r="B1123" s="7" t="str">
        <f t="shared" si="51"/>
        <v/>
      </c>
      <c r="C1123" s="7"/>
      <c r="D1123" s="7" t="str">
        <f t="shared" si="52"/>
        <v>E</v>
      </c>
      <c r="E1123" s="10">
        <f t="shared" si="53"/>
        <v>0</v>
      </c>
      <c r="F1123" s="7" t="e">
        <f t="array" ref="F1123">+TIPOARMA(H1123,I1123)</f>
        <v>#VALUE!</v>
      </c>
      <c r="G1123" s="7"/>
      <c r="H1123" s="7" t="e">
        <f>+VLOOKUP(Q1123,Maps!I:J,2,0)</f>
        <v>#N/A</v>
      </c>
      <c r="I1123" s="7" t="e">
        <f>+VLOOKUP(T1123,Maps!E:F,2,0)</f>
        <v>#N/A</v>
      </c>
    </row>
    <row r="1124" spans="1:9" ht="14.25" customHeight="1" x14ac:dyDescent="0.35">
      <c r="A1124" s="7" t="str">
        <f t="array" ref="A1124">EXTRACTEVENT(N1124,V1124)</f>
        <v/>
      </c>
      <c r="B1124" s="7" t="str">
        <f t="shared" si="51"/>
        <v/>
      </c>
      <c r="C1124" s="7"/>
      <c r="D1124" s="7" t="str">
        <f t="shared" si="52"/>
        <v>E</v>
      </c>
      <c r="E1124" s="10">
        <f t="shared" si="53"/>
        <v>0</v>
      </c>
      <c r="F1124" s="7" t="e">
        <f t="array" ref="F1124">+TIPOARMA(H1124,I1124)</f>
        <v>#VALUE!</v>
      </c>
      <c r="G1124" s="7"/>
      <c r="H1124" s="7" t="e">
        <f>+VLOOKUP(Q1124,Maps!I:J,2,0)</f>
        <v>#N/A</v>
      </c>
      <c r="I1124" s="7" t="e">
        <f>+VLOOKUP(T1124,Maps!E:F,2,0)</f>
        <v>#N/A</v>
      </c>
    </row>
    <row r="1125" spans="1:9" ht="14.25" customHeight="1" x14ac:dyDescent="0.35">
      <c r="A1125" s="7" t="str">
        <f t="array" ref="A1125">EXTRACTEVENT(N1125,V1125)</f>
        <v/>
      </c>
      <c r="B1125" s="7" t="str">
        <f t="shared" si="51"/>
        <v/>
      </c>
      <c r="C1125" s="7"/>
      <c r="D1125" s="7" t="str">
        <f t="shared" si="52"/>
        <v>E</v>
      </c>
      <c r="E1125" s="10">
        <f t="shared" si="53"/>
        <v>0</v>
      </c>
      <c r="F1125" s="7" t="e">
        <f t="array" ref="F1125">+TIPOARMA(H1125,I1125)</f>
        <v>#VALUE!</v>
      </c>
      <c r="G1125" s="7"/>
      <c r="H1125" s="7" t="e">
        <f>+VLOOKUP(Q1125,Maps!I:J,2,0)</f>
        <v>#N/A</v>
      </c>
      <c r="I1125" s="7" t="e">
        <f>+VLOOKUP(T1125,Maps!E:F,2,0)</f>
        <v>#N/A</v>
      </c>
    </row>
    <row r="1126" spans="1:9" ht="14.25" customHeight="1" x14ac:dyDescent="0.35">
      <c r="A1126" s="7" t="str">
        <f t="array" ref="A1126">EXTRACTEVENT(N1126,V1126)</f>
        <v/>
      </c>
      <c r="B1126" s="7" t="str">
        <f t="shared" si="51"/>
        <v/>
      </c>
      <c r="C1126" s="7"/>
      <c r="D1126" s="7" t="str">
        <f t="shared" si="52"/>
        <v>E</v>
      </c>
      <c r="E1126" s="10">
        <f t="shared" si="53"/>
        <v>0</v>
      </c>
      <c r="F1126" s="7" t="e">
        <f t="array" ref="F1126">+TIPOARMA(H1126,I1126)</f>
        <v>#VALUE!</v>
      </c>
      <c r="G1126" s="7"/>
      <c r="H1126" s="7" t="e">
        <f>+VLOOKUP(Q1126,Maps!I:J,2,0)</f>
        <v>#N/A</v>
      </c>
      <c r="I1126" s="7" t="e">
        <f>+VLOOKUP(T1126,Maps!E:F,2,0)</f>
        <v>#N/A</v>
      </c>
    </row>
    <row r="1127" spans="1:9" ht="14.25" customHeight="1" x14ac:dyDescent="0.35">
      <c r="A1127" s="7" t="str">
        <f t="array" ref="A1127">EXTRACTEVENT(N1127,V1127)</f>
        <v/>
      </c>
      <c r="B1127" s="7" t="str">
        <f t="shared" si="51"/>
        <v/>
      </c>
      <c r="C1127" s="7"/>
      <c r="D1127" s="7" t="str">
        <f t="shared" si="52"/>
        <v>E</v>
      </c>
      <c r="E1127" s="10">
        <f t="shared" si="53"/>
        <v>0</v>
      </c>
      <c r="F1127" s="7" t="e">
        <f t="array" ref="F1127">+TIPOARMA(H1127,I1127)</f>
        <v>#VALUE!</v>
      </c>
      <c r="G1127" s="7"/>
      <c r="H1127" s="7" t="e">
        <f>+VLOOKUP(Q1127,Maps!I:J,2,0)</f>
        <v>#N/A</v>
      </c>
      <c r="I1127" s="7" t="e">
        <f>+VLOOKUP(T1127,Maps!E:F,2,0)</f>
        <v>#N/A</v>
      </c>
    </row>
    <row r="1128" spans="1:9" ht="14.25" customHeight="1" x14ac:dyDescent="0.35">
      <c r="A1128" s="7" t="str">
        <f t="array" ref="A1128">EXTRACTEVENT(N1128,V1128)</f>
        <v/>
      </c>
      <c r="B1128" s="7" t="str">
        <f t="shared" si="51"/>
        <v/>
      </c>
      <c r="C1128" s="7"/>
      <c r="D1128" s="7" t="str">
        <f t="shared" si="52"/>
        <v>E</v>
      </c>
      <c r="E1128" s="10">
        <f t="shared" si="53"/>
        <v>0</v>
      </c>
      <c r="F1128" s="7" t="e">
        <f t="array" ref="F1128">+TIPOARMA(H1128,I1128)</f>
        <v>#VALUE!</v>
      </c>
      <c r="G1128" s="7"/>
      <c r="H1128" s="7" t="e">
        <f>+VLOOKUP(Q1128,Maps!I:J,2,0)</f>
        <v>#N/A</v>
      </c>
      <c r="I1128" s="7" t="e">
        <f>+VLOOKUP(T1128,Maps!E:F,2,0)</f>
        <v>#N/A</v>
      </c>
    </row>
    <row r="1129" spans="1:9" ht="14.25" customHeight="1" x14ac:dyDescent="0.35">
      <c r="A1129" s="7" t="str">
        <f t="array" ref="A1129">EXTRACTEVENT(N1129,V1129)</f>
        <v/>
      </c>
      <c r="B1129" s="7" t="str">
        <f t="shared" si="51"/>
        <v/>
      </c>
      <c r="C1129" s="7"/>
      <c r="D1129" s="7" t="str">
        <f t="shared" si="52"/>
        <v>E</v>
      </c>
      <c r="E1129" s="10">
        <f t="shared" si="53"/>
        <v>0</v>
      </c>
      <c r="F1129" s="7" t="e">
        <f t="array" ref="F1129">+TIPOARMA(H1129,I1129)</f>
        <v>#VALUE!</v>
      </c>
      <c r="G1129" s="7"/>
      <c r="H1129" s="7" t="e">
        <f>+VLOOKUP(Q1129,Maps!I:J,2,0)</f>
        <v>#N/A</v>
      </c>
      <c r="I1129" s="7" t="e">
        <f>+VLOOKUP(T1129,Maps!E:F,2,0)</f>
        <v>#N/A</v>
      </c>
    </row>
    <row r="1130" spans="1:9" ht="14.25" customHeight="1" x14ac:dyDescent="0.35">
      <c r="A1130" s="7" t="str">
        <f t="array" ref="A1130">EXTRACTEVENT(N1130,V1130)</f>
        <v/>
      </c>
      <c r="B1130" s="7" t="str">
        <f t="shared" si="51"/>
        <v/>
      </c>
      <c r="C1130" s="7"/>
      <c r="D1130" s="7" t="str">
        <f t="shared" si="52"/>
        <v>E</v>
      </c>
      <c r="E1130" s="10">
        <f t="shared" si="53"/>
        <v>0</v>
      </c>
      <c r="F1130" s="7" t="e">
        <f t="array" ref="F1130">+TIPOARMA(H1130,I1130)</f>
        <v>#VALUE!</v>
      </c>
      <c r="G1130" s="7"/>
      <c r="H1130" s="7" t="e">
        <f>+VLOOKUP(Q1130,Maps!I:J,2,0)</f>
        <v>#N/A</v>
      </c>
      <c r="I1130" s="7" t="e">
        <f>+VLOOKUP(T1130,Maps!E:F,2,0)</f>
        <v>#N/A</v>
      </c>
    </row>
    <row r="1131" spans="1:9" ht="14.25" customHeight="1" x14ac:dyDescent="0.35">
      <c r="A1131" s="7" t="str">
        <f t="array" ref="A1131">EXTRACTEVENT(N1131,V1131)</f>
        <v/>
      </c>
      <c r="B1131" s="7" t="str">
        <f t="shared" si="51"/>
        <v/>
      </c>
      <c r="C1131" s="7"/>
      <c r="D1131" s="7" t="str">
        <f t="shared" si="52"/>
        <v>E</v>
      </c>
      <c r="E1131" s="10">
        <f t="shared" si="53"/>
        <v>0</v>
      </c>
      <c r="F1131" s="7" t="e">
        <f t="array" ref="F1131">+TIPOARMA(H1131,I1131)</f>
        <v>#VALUE!</v>
      </c>
      <c r="G1131" s="7"/>
      <c r="H1131" s="7" t="e">
        <f>+VLOOKUP(Q1131,Maps!I:J,2,0)</f>
        <v>#N/A</v>
      </c>
      <c r="I1131" s="7" t="e">
        <f>+VLOOKUP(T1131,Maps!E:F,2,0)</f>
        <v>#N/A</v>
      </c>
    </row>
    <row r="1132" spans="1:9" ht="14.25" customHeight="1" x14ac:dyDescent="0.35">
      <c r="A1132" s="7" t="str">
        <f t="array" ref="A1132">EXTRACTEVENT(N1132,V1132)</f>
        <v/>
      </c>
      <c r="B1132" s="7" t="str">
        <f t="shared" si="51"/>
        <v/>
      </c>
      <c r="C1132" s="7"/>
      <c r="D1132" s="7" t="str">
        <f t="shared" si="52"/>
        <v>E</v>
      </c>
      <c r="E1132" s="10">
        <f t="shared" si="53"/>
        <v>0</v>
      </c>
      <c r="F1132" s="7" t="e">
        <f t="array" ref="F1132">+TIPOARMA(H1132,I1132)</f>
        <v>#VALUE!</v>
      </c>
      <c r="G1132" s="7"/>
      <c r="H1132" s="7" t="e">
        <f>+VLOOKUP(Q1132,Maps!I:J,2,0)</f>
        <v>#N/A</v>
      </c>
      <c r="I1132" s="7" t="e">
        <f>+VLOOKUP(T1132,Maps!E:F,2,0)</f>
        <v>#N/A</v>
      </c>
    </row>
    <row r="1133" spans="1:9" ht="14.25" customHeight="1" x14ac:dyDescent="0.35">
      <c r="A1133" s="7" t="str">
        <f t="array" ref="A1133">EXTRACTEVENT(N1133,V1133)</f>
        <v/>
      </c>
      <c r="B1133" s="7" t="str">
        <f t="shared" si="51"/>
        <v/>
      </c>
      <c r="C1133" s="7"/>
      <c r="D1133" s="7" t="str">
        <f t="shared" si="52"/>
        <v>E</v>
      </c>
      <c r="E1133" s="10">
        <f t="shared" si="53"/>
        <v>0</v>
      </c>
      <c r="F1133" s="7" t="e">
        <f t="array" ref="F1133">+TIPOARMA(H1133,I1133)</f>
        <v>#VALUE!</v>
      </c>
      <c r="G1133" s="7"/>
      <c r="H1133" s="7" t="e">
        <f>+VLOOKUP(Q1133,Maps!I:J,2,0)</f>
        <v>#N/A</v>
      </c>
      <c r="I1133" s="7" t="e">
        <f>+VLOOKUP(T1133,Maps!E:F,2,0)</f>
        <v>#N/A</v>
      </c>
    </row>
    <row r="1134" spans="1:9" ht="14.25" customHeight="1" x14ac:dyDescent="0.35">
      <c r="A1134" s="7" t="str">
        <f t="array" ref="A1134">EXTRACTEVENT(N1134,V1134)</f>
        <v/>
      </c>
      <c r="B1134" s="7" t="str">
        <f t="shared" si="51"/>
        <v/>
      </c>
      <c r="C1134" s="7"/>
      <c r="D1134" s="7" t="str">
        <f t="shared" si="52"/>
        <v>E</v>
      </c>
      <c r="E1134" s="10">
        <f t="shared" si="53"/>
        <v>0</v>
      </c>
      <c r="F1134" s="7" t="e">
        <f t="array" ref="F1134">+TIPOARMA(H1134,I1134)</f>
        <v>#VALUE!</v>
      </c>
      <c r="G1134" s="7"/>
      <c r="H1134" s="7" t="e">
        <f>+VLOOKUP(Q1134,Maps!I:J,2,0)</f>
        <v>#N/A</v>
      </c>
      <c r="I1134" s="7" t="e">
        <f>+VLOOKUP(T1134,Maps!E:F,2,0)</f>
        <v>#N/A</v>
      </c>
    </row>
    <row r="1135" spans="1:9" ht="14.25" customHeight="1" x14ac:dyDescent="0.35">
      <c r="A1135" s="7" t="str">
        <f t="array" ref="A1135">EXTRACTEVENT(N1135,V1135)</f>
        <v/>
      </c>
      <c r="B1135" s="7" t="str">
        <f t="shared" si="51"/>
        <v/>
      </c>
      <c r="C1135" s="7"/>
      <c r="D1135" s="7" t="str">
        <f t="shared" si="52"/>
        <v>E</v>
      </c>
      <c r="E1135" s="10">
        <f t="shared" si="53"/>
        <v>0</v>
      </c>
      <c r="F1135" s="7" t="e">
        <f t="array" ref="F1135">+TIPOARMA(H1135,I1135)</f>
        <v>#VALUE!</v>
      </c>
      <c r="G1135" s="7"/>
      <c r="H1135" s="7" t="e">
        <f>+VLOOKUP(Q1135,Maps!I:J,2,0)</f>
        <v>#N/A</v>
      </c>
      <c r="I1135" s="7" t="e">
        <f>+VLOOKUP(T1135,Maps!E:F,2,0)</f>
        <v>#N/A</v>
      </c>
    </row>
    <row r="1136" spans="1:9" ht="14.25" customHeight="1" x14ac:dyDescent="0.35">
      <c r="A1136" s="7" t="str">
        <f t="array" ref="A1136">EXTRACTEVENT(N1136,V1136)</f>
        <v/>
      </c>
      <c r="B1136" s="7" t="str">
        <f t="shared" si="51"/>
        <v/>
      </c>
      <c r="C1136" s="7"/>
      <c r="D1136" s="7" t="str">
        <f t="shared" si="52"/>
        <v>E</v>
      </c>
      <c r="E1136" s="10">
        <f t="shared" si="53"/>
        <v>0</v>
      </c>
      <c r="F1136" s="7" t="e">
        <f t="array" ref="F1136">+TIPOARMA(H1136,I1136)</f>
        <v>#VALUE!</v>
      </c>
      <c r="G1136" s="7"/>
      <c r="H1136" s="7" t="e">
        <f>+VLOOKUP(Q1136,Maps!I:J,2,0)</f>
        <v>#N/A</v>
      </c>
      <c r="I1136" s="7" t="e">
        <f>+VLOOKUP(T1136,Maps!E:F,2,0)</f>
        <v>#N/A</v>
      </c>
    </row>
    <row r="1137" spans="1:9" ht="14.25" customHeight="1" x14ac:dyDescent="0.35">
      <c r="A1137" s="7" t="str">
        <f t="array" ref="A1137">EXTRACTEVENT(N1137,V1137)</f>
        <v/>
      </c>
      <c r="B1137" s="7" t="str">
        <f t="shared" si="51"/>
        <v/>
      </c>
      <c r="C1137" s="7"/>
      <c r="D1137" s="7" t="str">
        <f t="shared" si="52"/>
        <v>E</v>
      </c>
      <c r="E1137" s="10">
        <f t="shared" si="53"/>
        <v>0</v>
      </c>
      <c r="F1137" s="7" t="e">
        <f t="array" ref="F1137">+TIPOARMA(H1137,I1137)</f>
        <v>#VALUE!</v>
      </c>
      <c r="G1137" s="7"/>
      <c r="H1137" s="7" t="e">
        <f>+VLOOKUP(Q1137,Maps!I:J,2,0)</f>
        <v>#N/A</v>
      </c>
      <c r="I1137" s="7" t="e">
        <f>+VLOOKUP(T1137,Maps!E:F,2,0)</f>
        <v>#N/A</v>
      </c>
    </row>
    <row r="1138" spans="1:9" ht="14.25" customHeight="1" x14ac:dyDescent="0.35">
      <c r="A1138" s="7" t="str">
        <f t="array" ref="A1138">EXTRACTEVENT(N1138,V1138)</f>
        <v/>
      </c>
      <c r="B1138" s="7" t="str">
        <f t="shared" si="51"/>
        <v/>
      </c>
      <c r="C1138" s="7"/>
      <c r="D1138" s="7" t="str">
        <f t="shared" si="52"/>
        <v>E</v>
      </c>
      <c r="E1138" s="10">
        <f t="shared" si="53"/>
        <v>0</v>
      </c>
      <c r="F1138" s="7" t="e">
        <f t="array" ref="F1138">+TIPOARMA(H1138,I1138)</f>
        <v>#VALUE!</v>
      </c>
      <c r="G1138" s="7"/>
      <c r="H1138" s="7" t="e">
        <f>+VLOOKUP(Q1138,Maps!I:J,2,0)</f>
        <v>#N/A</v>
      </c>
      <c r="I1138" s="7" t="e">
        <f>+VLOOKUP(T1138,Maps!E:F,2,0)</f>
        <v>#N/A</v>
      </c>
    </row>
    <row r="1139" spans="1:9" ht="14.25" customHeight="1" x14ac:dyDescent="0.35">
      <c r="A1139" s="7" t="str">
        <f t="array" ref="A1139">EXTRACTEVENT(N1139,V1139)</f>
        <v/>
      </c>
      <c r="B1139" s="7" t="str">
        <f t="shared" si="51"/>
        <v/>
      </c>
      <c r="C1139" s="7"/>
      <c r="D1139" s="7" t="str">
        <f t="shared" si="52"/>
        <v>E</v>
      </c>
      <c r="E1139" s="10">
        <f t="shared" si="53"/>
        <v>0</v>
      </c>
      <c r="F1139" s="7" t="e">
        <f t="array" ref="F1139">+TIPOARMA(H1139,I1139)</f>
        <v>#VALUE!</v>
      </c>
      <c r="G1139" s="7"/>
      <c r="H1139" s="7" t="e">
        <f>+VLOOKUP(Q1139,Maps!I:J,2,0)</f>
        <v>#N/A</v>
      </c>
      <c r="I1139" s="7" t="e">
        <f>+VLOOKUP(T1139,Maps!E:F,2,0)</f>
        <v>#N/A</v>
      </c>
    </row>
    <row r="1140" spans="1:9" ht="14.25" customHeight="1" x14ac:dyDescent="0.35">
      <c r="A1140" s="7" t="str">
        <f t="array" ref="A1140">EXTRACTEVENT(N1140,V1140)</f>
        <v/>
      </c>
      <c r="B1140" s="7" t="str">
        <f t="shared" si="51"/>
        <v/>
      </c>
      <c r="C1140" s="7"/>
      <c r="D1140" s="7" t="str">
        <f t="shared" si="52"/>
        <v>E</v>
      </c>
      <c r="E1140" s="10">
        <f t="shared" si="53"/>
        <v>0</v>
      </c>
      <c r="F1140" s="7" t="e">
        <f t="array" ref="F1140">+TIPOARMA(H1140,I1140)</f>
        <v>#VALUE!</v>
      </c>
      <c r="G1140" s="7"/>
      <c r="H1140" s="7" t="e">
        <f>+VLOOKUP(Q1140,Maps!I:J,2,0)</f>
        <v>#N/A</v>
      </c>
      <c r="I1140" s="7" t="e">
        <f>+VLOOKUP(T1140,Maps!E:F,2,0)</f>
        <v>#N/A</v>
      </c>
    </row>
    <row r="1141" spans="1:9" ht="14.25" customHeight="1" x14ac:dyDescent="0.35">
      <c r="A1141" s="7" t="str">
        <f t="array" ref="A1141">EXTRACTEVENT(N1141,V1141)</f>
        <v/>
      </c>
      <c r="B1141" s="7" t="str">
        <f t="shared" si="51"/>
        <v/>
      </c>
      <c r="C1141" s="7"/>
      <c r="D1141" s="7" t="str">
        <f t="shared" si="52"/>
        <v>E</v>
      </c>
      <c r="E1141" s="10">
        <f t="shared" si="53"/>
        <v>0</v>
      </c>
      <c r="F1141" s="7" t="e">
        <f t="array" ref="F1141">+TIPOARMA(H1141,I1141)</f>
        <v>#VALUE!</v>
      </c>
      <c r="G1141" s="7"/>
      <c r="H1141" s="7" t="e">
        <f>+VLOOKUP(Q1141,Maps!I:J,2,0)</f>
        <v>#N/A</v>
      </c>
      <c r="I1141" s="7" t="e">
        <f>+VLOOKUP(T1141,Maps!E:F,2,0)</f>
        <v>#N/A</v>
      </c>
    </row>
    <row r="1142" spans="1:9" ht="14.25" customHeight="1" x14ac:dyDescent="0.35">
      <c r="A1142" s="7" t="str">
        <f t="array" ref="A1142">EXTRACTEVENT(N1142,V1142)</f>
        <v/>
      </c>
      <c r="B1142" s="7" t="str">
        <f t="shared" si="51"/>
        <v/>
      </c>
      <c r="C1142" s="7"/>
      <c r="D1142" s="7" t="str">
        <f t="shared" si="52"/>
        <v>E</v>
      </c>
      <c r="E1142" s="10">
        <f t="shared" si="53"/>
        <v>0</v>
      </c>
      <c r="F1142" s="7" t="e">
        <f t="array" ref="F1142">+TIPOARMA(H1142,I1142)</f>
        <v>#VALUE!</v>
      </c>
      <c r="G1142" s="7"/>
      <c r="H1142" s="7" t="e">
        <f>+VLOOKUP(Q1142,Maps!I:J,2,0)</f>
        <v>#N/A</v>
      </c>
      <c r="I1142" s="7" t="e">
        <f>+VLOOKUP(T1142,Maps!E:F,2,0)</f>
        <v>#N/A</v>
      </c>
    </row>
    <row r="1143" spans="1:9" ht="14.25" customHeight="1" x14ac:dyDescent="0.35">
      <c r="A1143" s="7" t="str">
        <f t="array" ref="A1143">EXTRACTEVENT(N1143,V1143)</f>
        <v/>
      </c>
      <c r="B1143" s="7" t="str">
        <f t="shared" si="51"/>
        <v/>
      </c>
      <c r="C1143" s="7"/>
      <c r="D1143" s="7" t="str">
        <f t="shared" si="52"/>
        <v>E</v>
      </c>
      <c r="E1143" s="10">
        <f t="shared" si="53"/>
        <v>0</v>
      </c>
      <c r="F1143" s="7" t="e">
        <f t="array" ref="F1143">+TIPOARMA(H1143,I1143)</f>
        <v>#VALUE!</v>
      </c>
      <c r="G1143" s="7"/>
      <c r="H1143" s="7" t="e">
        <f>+VLOOKUP(Q1143,Maps!I:J,2,0)</f>
        <v>#N/A</v>
      </c>
      <c r="I1143" s="7" t="e">
        <f>+VLOOKUP(T1143,Maps!E:F,2,0)</f>
        <v>#N/A</v>
      </c>
    </row>
    <row r="1144" spans="1:9" ht="14.25" customHeight="1" x14ac:dyDescent="0.35">
      <c r="A1144" s="7" t="str">
        <f t="array" ref="A1144">EXTRACTEVENT(N1144,V1144)</f>
        <v/>
      </c>
      <c r="B1144" s="7" t="str">
        <f t="shared" si="51"/>
        <v/>
      </c>
      <c r="C1144" s="7"/>
      <c r="D1144" s="7" t="str">
        <f t="shared" si="52"/>
        <v>E</v>
      </c>
      <c r="E1144" s="10">
        <f t="shared" si="53"/>
        <v>0</v>
      </c>
      <c r="F1144" s="7" t="e">
        <f t="array" ref="F1144">+TIPOARMA(H1144,I1144)</f>
        <v>#VALUE!</v>
      </c>
      <c r="G1144" s="7"/>
      <c r="H1144" s="7" t="e">
        <f>+VLOOKUP(Q1144,Maps!I:J,2,0)</f>
        <v>#N/A</v>
      </c>
      <c r="I1144" s="7" t="e">
        <f>+VLOOKUP(T1144,Maps!E:F,2,0)</f>
        <v>#N/A</v>
      </c>
    </row>
    <row r="1145" spans="1:9" ht="14.25" customHeight="1" x14ac:dyDescent="0.35">
      <c r="A1145" s="7" t="str">
        <f t="array" ref="A1145">EXTRACTEVENT(N1145,V1145)</f>
        <v/>
      </c>
      <c r="B1145" s="7" t="str">
        <f t="shared" si="51"/>
        <v/>
      </c>
      <c r="C1145" s="7"/>
      <c r="D1145" s="7" t="str">
        <f t="shared" si="52"/>
        <v>E</v>
      </c>
      <c r="E1145" s="10">
        <f t="shared" si="53"/>
        <v>0</v>
      </c>
      <c r="F1145" s="7" t="e">
        <f t="array" ref="F1145">+TIPOARMA(H1145,I1145)</f>
        <v>#VALUE!</v>
      </c>
      <c r="G1145" s="7"/>
      <c r="H1145" s="7" t="e">
        <f>+VLOOKUP(Q1145,Maps!I:J,2,0)</f>
        <v>#N/A</v>
      </c>
      <c r="I1145" s="7" t="e">
        <f>+VLOOKUP(T1145,Maps!E:F,2,0)</f>
        <v>#N/A</v>
      </c>
    </row>
    <row r="1146" spans="1:9" ht="14.25" customHeight="1" x14ac:dyDescent="0.35">
      <c r="A1146" s="7" t="str">
        <f t="array" ref="A1146">EXTRACTEVENT(N1146,V1146)</f>
        <v/>
      </c>
      <c r="B1146" s="7" t="str">
        <f t="shared" si="51"/>
        <v/>
      </c>
      <c r="C1146" s="7"/>
      <c r="D1146" s="7" t="str">
        <f t="shared" si="52"/>
        <v>E</v>
      </c>
      <c r="E1146" s="10">
        <f t="shared" si="53"/>
        <v>0</v>
      </c>
      <c r="F1146" s="7" t="e">
        <f t="array" ref="F1146">+TIPOARMA(H1146,I1146)</f>
        <v>#VALUE!</v>
      </c>
      <c r="G1146" s="7"/>
      <c r="H1146" s="7" t="e">
        <f>+VLOOKUP(Q1146,Maps!I:J,2,0)</f>
        <v>#N/A</v>
      </c>
      <c r="I1146" s="7" t="e">
        <f>+VLOOKUP(T1146,Maps!E:F,2,0)</f>
        <v>#N/A</v>
      </c>
    </row>
    <row r="1147" spans="1:9" ht="14.25" customHeight="1" x14ac:dyDescent="0.35">
      <c r="A1147" s="7" t="str">
        <f t="array" ref="A1147">EXTRACTEVENT(N1147,V1147)</f>
        <v/>
      </c>
      <c r="B1147" s="7" t="str">
        <f t="shared" si="51"/>
        <v/>
      </c>
      <c r="C1147" s="7"/>
      <c r="D1147" s="7" t="str">
        <f t="shared" si="52"/>
        <v>E</v>
      </c>
      <c r="E1147" s="10">
        <f t="shared" si="53"/>
        <v>0</v>
      </c>
      <c r="F1147" s="7" t="e">
        <f t="array" ref="F1147">+TIPOARMA(H1147,I1147)</f>
        <v>#VALUE!</v>
      </c>
      <c r="G1147" s="7"/>
      <c r="H1147" s="7" t="e">
        <f>+VLOOKUP(Q1147,Maps!I:J,2,0)</f>
        <v>#N/A</v>
      </c>
      <c r="I1147" s="7" t="e">
        <f>+VLOOKUP(T1147,Maps!E:F,2,0)</f>
        <v>#N/A</v>
      </c>
    </row>
    <row r="1148" spans="1:9" ht="14.25" customHeight="1" x14ac:dyDescent="0.35">
      <c r="A1148" s="7" t="str">
        <f t="array" ref="A1148">EXTRACTEVENT(N1148,V1148)</f>
        <v/>
      </c>
      <c r="B1148" s="7" t="str">
        <f t="shared" si="51"/>
        <v/>
      </c>
      <c r="C1148" s="7"/>
      <c r="D1148" s="7" t="str">
        <f t="shared" si="52"/>
        <v>E</v>
      </c>
      <c r="E1148" s="10">
        <f t="shared" si="53"/>
        <v>0</v>
      </c>
      <c r="F1148" s="7" t="e">
        <f t="array" ref="F1148">+TIPOARMA(H1148,I1148)</f>
        <v>#VALUE!</v>
      </c>
      <c r="G1148" s="7"/>
      <c r="H1148" s="7" t="e">
        <f>+VLOOKUP(Q1148,Maps!I:J,2,0)</f>
        <v>#N/A</v>
      </c>
      <c r="I1148" s="7" t="e">
        <f>+VLOOKUP(T1148,Maps!E:F,2,0)</f>
        <v>#N/A</v>
      </c>
    </row>
    <row r="1149" spans="1:9" ht="14.25" customHeight="1" x14ac:dyDescent="0.35">
      <c r="A1149" s="7" t="str">
        <f t="array" ref="A1149">EXTRACTEVENT(N1149,V1149)</f>
        <v/>
      </c>
      <c r="B1149" s="7" t="str">
        <f t="shared" si="51"/>
        <v/>
      </c>
      <c r="C1149" s="7"/>
      <c r="D1149" s="7" t="str">
        <f t="shared" si="52"/>
        <v>E</v>
      </c>
      <c r="E1149" s="10">
        <f t="shared" si="53"/>
        <v>0</v>
      </c>
      <c r="F1149" s="7" t="e">
        <f t="array" ref="F1149">+TIPOARMA(H1149,I1149)</f>
        <v>#VALUE!</v>
      </c>
      <c r="G1149" s="7"/>
      <c r="H1149" s="7" t="e">
        <f>+VLOOKUP(Q1149,Maps!I:J,2,0)</f>
        <v>#N/A</v>
      </c>
      <c r="I1149" s="7" t="e">
        <f>+VLOOKUP(T1149,Maps!E:F,2,0)</f>
        <v>#N/A</v>
      </c>
    </row>
    <row r="1150" spans="1:9" ht="14.25" customHeight="1" x14ac:dyDescent="0.35">
      <c r="A1150" s="7" t="str">
        <f t="array" ref="A1150">EXTRACTEVENT(N1150,V1150)</f>
        <v/>
      </c>
      <c r="B1150" s="7" t="str">
        <f t="shared" si="51"/>
        <v/>
      </c>
      <c r="C1150" s="7"/>
      <c r="D1150" s="7" t="str">
        <f t="shared" si="52"/>
        <v>E</v>
      </c>
      <c r="E1150" s="10">
        <f t="shared" si="53"/>
        <v>0</v>
      </c>
      <c r="F1150" s="7" t="e">
        <f t="array" ref="F1150">+TIPOARMA(H1150,I1150)</f>
        <v>#VALUE!</v>
      </c>
      <c r="G1150" s="7"/>
      <c r="H1150" s="7" t="e">
        <f>+VLOOKUP(Q1150,Maps!I:J,2,0)</f>
        <v>#N/A</v>
      </c>
      <c r="I1150" s="7" t="e">
        <f>+VLOOKUP(T1150,Maps!E:F,2,0)</f>
        <v>#N/A</v>
      </c>
    </row>
    <row r="1151" spans="1:9" ht="14.25" customHeight="1" x14ac:dyDescent="0.35">
      <c r="A1151" s="7" t="str">
        <f t="array" ref="A1151">EXTRACTEVENT(N1151,V1151)</f>
        <v/>
      </c>
      <c r="B1151" s="7" t="str">
        <f t="shared" si="51"/>
        <v/>
      </c>
      <c r="C1151" s="7"/>
      <c r="D1151" s="7" t="str">
        <f t="shared" si="52"/>
        <v>E</v>
      </c>
      <c r="E1151" s="10">
        <f t="shared" si="53"/>
        <v>0</v>
      </c>
      <c r="F1151" s="7" t="e">
        <f t="array" ref="F1151">+TIPOARMA(H1151,I1151)</f>
        <v>#VALUE!</v>
      </c>
      <c r="G1151" s="7"/>
      <c r="H1151" s="7" t="e">
        <f>+VLOOKUP(Q1151,Maps!I:J,2,0)</f>
        <v>#N/A</v>
      </c>
      <c r="I1151" s="7" t="e">
        <f>+VLOOKUP(T1151,Maps!E:F,2,0)</f>
        <v>#N/A</v>
      </c>
    </row>
    <row r="1152" spans="1:9" ht="14.25" customHeight="1" x14ac:dyDescent="0.35">
      <c r="A1152" s="7" t="str">
        <f t="array" ref="A1152">EXTRACTEVENT(N1152,V1152)</f>
        <v/>
      </c>
      <c r="B1152" s="7" t="str">
        <f t="shared" si="51"/>
        <v/>
      </c>
      <c r="C1152" s="7"/>
      <c r="D1152" s="7" t="str">
        <f t="shared" si="52"/>
        <v>E</v>
      </c>
      <c r="E1152" s="10">
        <f t="shared" si="53"/>
        <v>0</v>
      </c>
      <c r="F1152" s="7" t="e">
        <f t="array" ref="F1152">+TIPOARMA(H1152,I1152)</f>
        <v>#VALUE!</v>
      </c>
      <c r="G1152" s="7"/>
      <c r="H1152" s="7" t="e">
        <f>+VLOOKUP(Q1152,Maps!I:J,2,0)</f>
        <v>#N/A</v>
      </c>
      <c r="I1152" s="7" t="e">
        <f>+VLOOKUP(T1152,Maps!E:F,2,0)</f>
        <v>#N/A</v>
      </c>
    </row>
    <row r="1153" spans="1:9" ht="14.25" customHeight="1" x14ac:dyDescent="0.35">
      <c r="A1153" s="7" t="str">
        <f t="array" ref="A1153">EXTRACTEVENT(N1153,V1153)</f>
        <v/>
      </c>
      <c r="B1153" s="7" t="str">
        <f t="shared" si="51"/>
        <v/>
      </c>
      <c r="C1153" s="7"/>
      <c r="D1153" s="7" t="str">
        <f t="shared" si="52"/>
        <v>E</v>
      </c>
      <c r="E1153" s="10">
        <f t="shared" si="53"/>
        <v>0</v>
      </c>
      <c r="F1153" s="7" t="e">
        <f t="array" ref="F1153">+TIPOARMA(H1153,I1153)</f>
        <v>#VALUE!</v>
      </c>
      <c r="G1153" s="7"/>
      <c r="H1153" s="7" t="e">
        <f>+VLOOKUP(Q1153,Maps!I:J,2,0)</f>
        <v>#N/A</v>
      </c>
      <c r="I1153" s="7" t="e">
        <f>+VLOOKUP(T1153,Maps!E:F,2,0)</f>
        <v>#N/A</v>
      </c>
    </row>
    <row r="1154" spans="1:9" ht="14.25" customHeight="1" x14ac:dyDescent="0.35">
      <c r="A1154" s="7" t="str">
        <f t="array" ref="A1154">EXTRACTEVENT(N1154,V1154)</f>
        <v/>
      </c>
      <c r="B1154" s="7" t="str">
        <f t="shared" ref="B1154:B1217" si="54">+IF(V1154="TREINO","-",LEFT(N1154,1))</f>
        <v/>
      </c>
      <c r="C1154" s="7"/>
      <c r="D1154" s="7" t="str">
        <f t="shared" ref="D1154:D1217" si="55">+IF($V1154="TREINO","T",IF(V1154="NACIONAL","N","E"))</f>
        <v>E</v>
      </c>
      <c r="E1154" s="10">
        <f t="shared" ref="E1154:E1217" si="56">IFERROR(DATEVALUE(LEFT(M1154,10)),M1154)</f>
        <v>0</v>
      </c>
      <c r="F1154" s="7" t="e">
        <f t="array" ref="F1154">+TIPOARMA(H1154,I1154)</f>
        <v>#VALUE!</v>
      </c>
      <c r="G1154" s="7"/>
      <c r="H1154" s="7" t="e">
        <f>+VLOOKUP(Q1154,Maps!I:J,2,0)</f>
        <v>#N/A</v>
      </c>
      <c r="I1154" s="7" t="e">
        <f>+VLOOKUP(T1154,Maps!E:F,2,0)</f>
        <v>#N/A</v>
      </c>
    </row>
    <row r="1155" spans="1:9" ht="14.25" customHeight="1" x14ac:dyDescent="0.35">
      <c r="A1155" s="7" t="str">
        <f t="array" ref="A1155">EXTRACTEVENT(N1155,V1155)</f>
        <v/>
      </c>
      <c r="B1155" s="7" t="str">
        <f t="shared" si="54"/>
        <v/>
      </c>
      <c r="C1155" s="7"/>
      <c r="D1155" s="7" t="str">
        <f t="shared" si="55"/>
        <v>E</v>
      </c>
      <c r="E1155" s="10">
        <f t="shared" si="56"/>
        <v>0</v>
      </c>
      <c r="F1155" s="7" t="e">
        <f t="array" ref="F1155">+TIPOARMA(H1155,I1155)</f>
        <v>#VALUE!</v>
      </c>
      <c r="G1155" s="7"/>
      <c r="H1155" s="7" t="e">
        <f>+VLOOKUP(Q1155,Maps!I:J,2,0)</f>
        <v>#N/A</v>
      </c>
      <c r="I1155" s="7" t="e">
        <f>+VLOOKUP(T1155,Maps!E:F,2,0)</f>
        <v>#N/A</v>
      </c>
    </row>
    <row r="1156" spans="1:9" ht="14.25" customHeight="1" x14ac:dyDescent="0.35">
      <c r="A1156" s="7" t="str">
        <f t="array" ref="A1156">EXTRACTEVENT(N1156,V1156)</f>
        <v/>
      </c>
      <c r="B1156" s="7" t="str">
        <f t="shared" si="54"/>
        <v/>
      </c>
      <c r="C1156" s="7"/>
      <c r="D1156" s="7" t="str">
        <f t="shared" si="55"/>
        <v>E</v>
      </c>
      <c r="E1156" s="10">
        <f t="shared" si="56"/>
        <v>0</v>
      </c>
      <c r="F1156" s="7" t="e">
        <f t="array" ref="F1156">+TIPOARMA(H1156,I1156)</f>
        <v>#VALUE!</v>
      </c>
      <c r="G1156" s="7"/>
      <c r="H1156" s="7" t="e">
        <f>+VLOOKUP(Q1156,Maps!I:J,2,0)</f>
        <v>#N/A</v>
      </c>
      <c r="I1156" s="7" t="e">
        <f>+VLOOKUP(T1156,Maps!E:F,2,0)</f>
        <v>#N/A</v>
      </c>
    </row>
    <row r="1157" spans="1:9" ht="14.25" customHeight="1" x14ac:dyDescent="0.35">
      <c r="A1157" s="7" t="str">
        <f t="array" ref="A1157">EXTRACTEVENT(N1157,V1157)</f>
        <v/>
      </c>
      <c r="B1157" s="7" t="str">
        <f t="shared" si="54"/>
        <v/>
      </c>
      <c r="C1157" s="7"/>
      <c r="D1157" s="7" t="str">
        <f t="shared" si="55"/>
        <v>E</v>
      </c>
      <c r="E1157" s="10">
        <f t="shared" si="56"/>
        <v>0</v>
      </c>
      <c r="F1157" s="7" t="e">
        <f t="array" ref="F1157">+TIPOARMA(H1157,I1157)</f>
        <v>#VALUE!</v>
      </c>
      <c r="G1157" s="7"/>
      <c r="H1157" s="7" t="e">
        <f>+VLOOKUP(Q1157,Maps!I:J,2,0)</f>
        <v>#N/A</v>
      </c>
      <c r="I1157" s="7" t="e">
        <f>+VLOOKUP(T1157,Maps!E:F,2,0)</f>
        <v>#N/A</v>
      </c>
    </row>
    <row r="1158" spans="1:9" ht="14.25" customHeight="1" x14ac:dyDescent="0.35">
      <c r="A1158" s="7" t="str">
        <f t="array" ref="A1158">EXTRACTEVENT(N1158,V1158)</f>
        <v/>
      </c>
      <c r="B1158" s="7" t="str">
        <f t="shared" si="54"/>
        <v/>
      </c>
      <c r="C1158" s="7"/>
      <c r="D1158" s="7" t="str">
        <f t="shared" si="55"/>
        <v>E</v>
      </c>
      <c r="E1158" s="10">
        <f t="shared" si="56"/>
        <v>0</v>
      </c>
      <c r="F1158" s="7" t="e">
        <f t="array" ref="F1158">+TIPOARMA(H1158,I1158)</f>
        <v>#VALUE!</v>
      </c>
      <c r="G1158" s="7"/>
      <c r="H1158" s="7" t="e">
        <f>+VLOOKUP(Q1158,Maps!I:J,2,0)</f>
        <v>#N/A</v>
      </c>
      <c r="I1158" s="7" t="e">
        <f>+VLOOKUP(T1158,Maps!E:F,2,0)</f>
        <v>#N/A</v>
      </c>
    </row>
    <row r="1159" spans="1:9" ht="14.25" customHeight="1" x14ac:dyDescent="0.35">
      <c r="A1159" s="7" t="str">
        <f t="array" ref="A1159">EXTRACTEVENT(N1159,V1159)</f>
        <v/>
      </c>
      <c r="B1159" s="7" t="str">
        <f t="shared" si="54"/>
        <v/>
      </c>
      <c r="C1159" s="7"/>
      <c r="D1159" s="7" t="str">
        <f t="shared" si="55"/>
        <v>E</v>
      </c>
      <c r="E1159" s="10">
        <f t="shared" si="56"/>
        <v>0</v>
      </c>
      <c r="F1159" s="7" t="e">
        <f t="array" ref="F1159">+TIPOARMA(H1159,I1159)</f>
        <v>#VALUE!</v>
      </c>
      <c r="G1159" s="7"/>
      <c r="H1159" s="7" t="e">
        <f>+VLOOKUP(Q1159,Maps!I:J,2,0)</f>
        <v>#N/A</v>
      </c>
      <c r="I1159" s="7" t="e">
        <f>+VLOOKUP(T1159,Maps!E:F,2,0)</f>
        <v>#N/A</v>
      </c>
    </row>
    <row r="1160" spans="1:9" ht="14.25" customHeight="1" x14ac:dyDescent="0.35">
      <c r="A1160" s="7" t="str">
        <f t="array" ref="A1160">EXTRACTEVENT(N1160,V1160)</f>
        <v/>
      </c>
      <c r="B1160" s="7" t="str">
        <f t="shared" si="54"/>
        <v/>
      </c>
      <c r="C1160" s="7"/>
      <c r="D1160" s="7" t="str">
        <f t="shared" si="55"/>
        <v>E</v>
      </c>
      <c r="E1160" s="10">
        <f t="shared" si="56"/>
        <v>0</v>
      </c>
      <c r="F1160" s="7" t="e">
        <f t="array" ref="F1160">+TIPOARMA(H1160,I1160)</f>
        <v>#VALUE!</v>
      </c>
      <c r="G1160" s="7"/>
      <c r="H1160" s="7" t="e">
        <f>+VLOOKUP(Q1160,Maps!I:J,2,0)</f>
        <v>#N/A</v>
      </c>
      <c r="I1160" s="7" t="e">
        <f>+VLOOKUP(T1160,Maps!E:F,2,0)</f>
        <v>#N/A</v>
      </c>
    </row>
    <row r="1161" spans="1:9" ht="14.25" customHeight="1" x14ac:dyDescent="0.35">
      <c r="A1161" s="7" t="str">
        <f t="array" ref="A1161">EXTRACTEVENT(N1161,V1161)</f>
        <v/>
      </c>
      <c r="B1161" s="7" t="str">
        <f t="shared" si="54"/>
        <v/>
      </c>
      <c r="C1161" s="7"/>
      <c r="D1161" s="7" t="str">
        <f t="shared" si="55"/>
        <v>E</v>
      </c>
      <c r="E1161" s="10">
        <f t="shared" si="56"/>
        <v>0</v>
      </c>
      <c r="F1161" s="7" t="e">
        <f t="array" ref="F1161">+TIPOARMA(H1161,I1161)</f>
        <v>#VALUE!</v>
      </c>
      <c r="G1161" s="7"/>
      <c r="H1161" s="7" t="e">
        <f>+VLOOKUP(Q1161,Maps!I:J,2,0)</f>
        <v>#N/A</v>
      </c>
      <c r="I1161" s="7" t="e">
        <f>+VLOOKUP(T1161,Maps!E:F,2,0)</f>
        <v>#N/A</v>
      </c>
    </row>
    <row r="1162" spans="1:9" ht="14.25" customHeight="1" x14ac:dyDescent="0.35">
      <c r="A1162" s="7" t="str">
        <f t="array" ref="A1162">EXTRACTEVENT(N1162,V1162)</f>
        <v/>
      </c>
      <c r="B1162" s="7" t="str">
        <f t="shared" si="54"/>
        <v/>
      </c>
      <c r="C1162" s="7"/>
      <c r="D1162" s="7" t="str">
        <f t="shared" si="55"/>
        <v>E</v>
      </c>
      <c r="E1162" s="10">
        <f t="shared" si="56"/>
        <v>0</v>
      </c>
      <c r="F1162" s="7" t="e">
        <f t="array" ref="F1162">+TIPOARMA(H1162,I1162)</f>
        <v>#VALUE!</v>
      </c>
      <c r="G1162" s="7"/>
      <c r="H1162" s="7" t="e">
        <f>+VLOOKUP(Q1162,Maps!I:J,2,0)</f>
        <v>#N/A</v>
      </c>
      <c r="I1162" s="7" t="e">
        <f>+VLOOKUP(T1162,Maps!E:F,2,0)</f>
        <v>#N/A</v>
      </c>
    </row>
    <row r="1163" spans="1:9" ht="14.25" customHeight="1" x14ac:dyDescent="0.35">
      <c r="A1163" s="7" t="str">
        <f t="array" ref="A1163">EXTRACTEVENT(N1163,V1163)</f>
        <v/>
      </c>
      <c r="B1163" s="7" t="str">
        <f t="shared" si="54"/>
        <v/>
      </c>
      <c r="C1163" s="7"/>
      <c r="D1163" s="7" t="str">
        <f t="shared" si="55"/>
        <v>E</v>
      </c>
      <c r="E1163" s="10">
        <f t="shared" si="56"/>
        <v>0</v>
      </c>
      <c r="F1163" s="7" t="e">
        <f t="array" ref="F1163">+TIPOARMA(H1163,I1163)</f>
        <v>#VALUE!</v>
      </c>
      <c r="G1163" s="7"/>
      <c r="H1163" s="7" t="e">
        <f>+VLOOKUP(Q1163,Maps!I:J,2,0)</f>
        <v>#N/A</v>
      </c>
      <c r="I1163" s="7" t="e">
        <f>+VLOOKUP(T1163,Maps!E:F,2,0)</f>
        <v>#N/A</v>
      </c>
    </row>
    <row r="1164" spans="1:9" ht="14.25" customHeight="1" x14ac:dyDescent="0.35">
      <c r="A1164" s="7" t="str">
        <f t="array" ref="A1164">EXTRACTEVENT(N1164,V1164)</f>
        <v/>
      </c>
      <c r="B1164" s="7" t="str">
        <f t="shared" si="54"/>
        <v/>
      </c>
      <c r="C1164" s="7"/>
      <c r="D1164" s="7" t="str">
        <f t="shared" si="55"/>
        <v>E</v>
      </c>
      <c r="E1164" s="10">
        <f t="shared" si="56"/>
        <v>0</v>
      </c>
      <c r="F1164" s="7" t="e">
        <f t="array" ref="F1164">+TIPOARMA(H1164,I1164)</f>
        <v>#VALUE!</v>
      </c>
      <c r="G1164" s="7"/>
      <c r="H1164" s="7" t="e">
        <f>+VLOOKUP(Q1164,Maps!I:J,2,0)</f>
        <v>#N/A</v>
      </c>
      <c r="I1164" s="7" t="e">
        <f>+VLOOKUP(T1164,Maps!E:F,2,0)</f>
        <v>#N/A</v>
      </c>
    </row>
    <row r="1165" spans="1:9" ht="14.25" customHeight="1" x14ac:dyDescent="0.35">
      <c r="A1165" s="7" t="str">
        <f t="array" ref="A1165">EXTRACTEVENT(N1165,V1165)</f>
        <v/>
      </c>
      <c r="B1165" s="7" t="str">
        <f t="shared" si="54"/>
        <v/>
      </c>
      <c r="C1165" s="7"/>
      <c r="D1165" s="7" t="str">
        <f t="shared" si="55"/>
        <v>E</v>
      </c>
      <c r="E1165" s="10">
        <f t="shared" si="56"/>
        <v>0</v>
      </c>
      <c r="F1165" s="7" t="e">
        <f t="array" ref="F1165">+TIPOARMA(H1165,I1165)</f>
        <v>#VALUE!</v>
      </c>
      <c r="G1165" s="7"/>
      <c r="H1165" s="7" t="e">
        <f>+VLOOKUP(Q1165,Maps!I:J,2,0)</f>
        <v>#N/A</v>
      </c>
      <c r="I1165" s="7" t="e">
        <f>+VLOOKUP(T1165,Maps!E:F,2,0)</f>
        <v>#N/A</v>
      </c>
    </row>
    <row r="1166" spans="1:9" ht="14.25" customHeight="1" x14ac:dyDescent="0.35">
      <c r="A1166" s="7" t="str">
        <f t="array" ref="A1166">EXTRACTEVENT(N1166,V1166)</f>
        <v/>
      </c>
      <c r="B1166" s="7" t="str">
        <f t="shared" si="54"/>
        <v/>
      </c>
      <c r="C1166" s="7"/>
      <c r="D1166" s="7" t="str">
        <f t="shared" si="55"/>
        <v>E</v>
      </c>
      <c r="E1166" s="10">
        <f t="shared" si="56"/>
        <v>0</v>
      </c>
      <c r="F1166" s="7" t="e">
        <f t="array" ref="F1166">+TIPOARMA(H1166,I1166)</f>
        <v>#VALUE!</v>
      </c>
      <c r="G1166" s="7"/>
      <c r="H1166" s="7" t="e">
        <f>+VLOOKUP(Q1166,Maps!I:J,2,0)</f>
        <v>#N/A</v>
      </c>
      <c r="I1166" s="7" t="e">
        <f>+VLOOKUP(T1166,Maps!E:F,2,0)</f>
        <v>#N/A</v>
      </c>
    </row>
    <row r="1167" spans="1:9" ht="14.25" customHeight="1" x14ac:dyDescent="0.35">
      <c r="A1167" s="7" t="str">
        <f t="array" ref="A1167">EXTRACTEVENT(N1167,V1167)</f>
        <v/>
      </c>
      <c r="B1167" s="7" t="str">
        <f t="shared" si="54"/>
        <v/>
      </c>
      <c r="C1167" s="7"/>
      <c r="D1167" s="7" t="str">
        <f t="shared" si="55"/>
        <v>E</v>
      </c>
      <c r="E1167" s="10">
        <f t="shared" si="56"/>
        <v>0</v>
      </c>
      <c r="F1167" s="7" t="e">
        <f t="array" ref="F1167">+TIPOARMA(H1167,I1167)</f>
        <v>#VALUE!</v>
      </c>
      <c r="G1167" s="7"/>
      <c r="H1167" s="7" t="e">
        <f>+VLOOKUP(Q1167,Maps!I:J,2,0)</f>
        <v>#N/A</v>
      </c>
      <c r="I1167" s="7" t="e">
        <f>+VLOOKUP(T1167,Maps!E:F,2,0)</f>
        <v>#N/A</v>
      </c>
    </row>
    <row r="1168" spans="1:9" ht="14.25" customHeight="1" x14ac:dyDescent="0.35">
      <c r="A1168" s="7" t="str">
        <f t="array" ref="A1168">EXTRACTEVENT(N1168,V1168)</f>
        <v/>
      </c>
      <c r="B1168" s="7" t="str">
        <f t="shared" si="54"/>
        <v/>
      </c>
      <c r="C1168" s="7"/>
      <c r="D1168" s="7" t="str">
        <f t="shared" si="55"/>
        <v>E</v>
      </c>
      <c r="E1168" s="10">
        <f t="shared" si="56"/>
        <v>0</v>
      </c>
      <c r="F1168" s="7" t="e">
        <f t="array" ref="F1168">+TIPOARMA(H1168,I1168)</f>
        <v>#VALUE!</v>
      </c>
      <c r="G1168" s="7"/>
      <c r="H1168" s="7" t="e">
        <f>+VLOOKUP(Q1168,Maps!I:J,2,0)</f>
        <v>#N/A</v>
      </c>
      <c r="I1168" s="7" t="e">
        <f>+VLOOKUP(T1168,Maps!E:F,2,0)</f>
        <v>#N/A</v>
      </c>
    </row>
    <row r="1169" spans="1:9" ht="14.25" customHeight="1" x14ac:dyDescent="0.35">
      <c r="A1169" s="7" t="str">
        <f t="array" ref="A1169">EXTRACTEVENT(N1169,V1169)</f>
        <v/>
      </c>
      <c r="B1169" s="7" t="str">
        <f t="shared" si="54"/>
        <v/>
      </c>
      <c r="C1169" s="7"/>
      <c r="D1169" s="7" t="str">
        <f t="shared" si="55"/>
        <v>E</v>
      </c>
      <c r="E1169" s="10">
        <f t="shared" si="56"/>
        <v>0</v>
      </c>
      <c r="F1169" s="7" t="e">
        <f t="array" ref="F1169">+TIPOARMA(H1169,I1169)</f>
        <v>#VALUE!</v>
      </c>
      <c r="G1169" s="7"/>
      <c r="H1169" s="7" t="e">
        <f>+VLOOKUP(Q1169,Maps!I:J,2,0)</f>
        <v>#N/A</v>
      </c>
      <c r="I1169" s="7" t="e">
        <f>+VLOOKUP(T1169,Maps!E:F,2,0)</f>
        <v>#N/A</v>
      </c>
    </row>
    <row r="1170" spans="1:9" ht="14.25" customHeight="1" x14ac:dyDescent="0.35">
      <c r="A1170" s="7" t="str">
        <f t="array" ref="A1170">EXTRACTEVENT(N1170,V1170)</f>
        <v/>
      </c>
      <c r="B1170" s="7" t="str">
        <f t="shared" si="54"/>
        <v/>
      </c>
      <c r="C1170" s="7"/>
      <c r="D1170" s="7" t="str">
        <f t="shared" si="55"/>
        <v>E</v>
      </c>
      <c r="E1170" s="10">
        <f t="shared" si="56"/>
        <v>0</v>
      </c>
      <c r="F1170" s="7" t="e">
        <f t="array" ref="F1170">+TIPOARMA(H1170,I1170)</f>
        <v>#VALUE!</v>
      </c>
      <c r="G1170" s="7"/>
      <c r="H1170" s="7" t="e">
        <f>+VLOOKUP(Q1170,Maps!I:J,2,0)</f>
        <v>#N/A</v>
      </c>
      <c r="I1170" s="7" t="e">
        <f>+VLOOKUP(T1170,Maps!E:F,2,0)</f>
        <v>#N/A</v>
      </c>
    </row>
    <row r="1171" spans="1:9" ht="14.25" customHeight="1" x14ac:dyDescent="0.35">
      <c r="A1171" s="7" t="str">
        <f t="array" ref="A1171">EXTRACTEVENT(N1171,V1171)</f>
        <v/>
      </c>
      <c r="B1171" s="7" t="str">
        <f t="shared" si="54"/>
        <v/>
      </c>
      <c r="C1171" s="7"/>
      <c r="D1171" s="7" t="str">
        <f t="shared" si="55"/>
        <v>E</v>
      </c>
      <c r="E1171" s="10">
        <f t="shared" si="56"/>
        <v>0</v>
      </c>
      <c r="F1171" s="7" t="e">
        <f t="array" ref="F1171">+TIPOARMA(H1171,I1171)</f>
        <v>#VALUE!</v>
      </c>
      <c r="G1171" s="7"/>
      <c r="H1171" s="7" t="e">
        <f>+VLOOKUP(Q1171,Maps!I:J,2,0)</f>
        <v>#N/A</v>
      </c>
      <c r="I1171" s="7" t="e">
        <f>+VLOOKUP(T1171,Maps!E:F,2,0)</f>
        <v>#N/A</v>
      </c>
    </row>
    <row r="1172" spans="1:9" ht="14.25" customHeight="1" x14ac:dyDescent="0.35">
      <c r="A1172" s="7" t="str">
        <f t="array" ref="A1172">EXTRACTEVENT(N1172,V1172)</f>
        <v/>
      </c>
      <c r="B1172" s="7" t="str">
        <f t="shared" si="54"/>
        <v/>
      </c>
      <c r="C1172" s="7"/>
      <c r="D1172" s="7" t="str">
        <f t="shared" si="55"/>
        <v>E</v>
      </c>
      <c r="E1172" s="10">
        <f t="shared" si="56"/>
        <v>0</v>
      </c>
      <c r="F1172" s="7" t="e">
        <f t="array" ref="F1172">+TIPOARMA(H1172,I1172)</f>
        <v>#VALUE!</v>
      </c>
      <c r="G1172" s="7"/>
      <c r="H1172" s="7" t="e">
        <f>+VLOOKUP(Q1172,Maps!I:J,2,0)</f>
        <v>#N/A</v>
      </c>
      <c r="I1172" s="7" t="e">
        <f>+VLOOKUP(T1172,Maps!E:F,2,0)</f>
        <v>#N/A</v>
      </c>
    </row>
    <row r="1173" spans="1:9" ht="14.25" customHeight="1" x14ac:dyDescent="0.35">
      <c r="A1173" s="7" t="str">
        <f t="array" ref="A1173">EXTRACTEVENT(N1173,V1173)</f>
        <v/>
      </c>
      <c r="B1173" s="7" t="str">
        <f t="shared" si="54"/>
        <v/>
      </c>
      <c r="C1173" s="7"/>
      <c r="D1173" s="7" t="str">
        <f t="shared" si="55"/>
        <v>E</v>
      </c>
      <c r="E1173" s="10">
        <f t="shared" si="56"/>
        <v>0</v>
      </c>
      <c r="F1173" s="7" t="e">
        <f t="array" ref="F1173">+TIPOARMA(H1173,I1173)</f>
        <v>#VALUE!</v>
      </c>
      <c r="G1173" s="7"/>
      <c r="H1173" s="7" t="e">
        <f>+VLOOKUP(Q1173,Maps!I:J,2,0)</f>
        <v>#N/A</v>
      </c>
      <c r="I1173" s="7" t="e">
        <f>+VLOOKUP(T1173,Maps!E:F,2,0)</f>
        <v>#N/A</v>
      </c>
    </row>
    <row r="1174" spans="1:9" ht="14.25" customHeight="1" x14ac:dyDescent="0.35">
      <c r="A1174" s="7" t="str">
        <f t="array" ref="A1174">EXTRACTEVENT(N1174,V1174)</f>
        <v/>
      </c>
      <c r="B1174" s="7" t="str">
        <f t="shared" si="54"/>
        <v/>
      </c>
      <c r="C1174" s="7"/>
      <c r="D1174" s="7" t="str">
        <f t="shared" si="55"/>
        <v>E</v>
      </c>
      <c r="E1174" s="10">
        <f t="shared" si="56"/>
        <v>0</v>
      </c>
      <c r="F1174" s="7" t="e">
        <f t="array" ref="F1174">+TIPOARMA(H1174,I1174)</f>
        <v>#VALUE!</v>
      </c>
      <c r="G1174" s="7"/>
      <c r="H1174" s="7" t="e">
        <f>+VLOOKUP(Q1174,Maps!I:J,2,0)</f>
        <v>#N/A</v>
      </c>
      <c r="I1174" s="7" t="e">
        <f>+VLOOKUP(T1174,Maps!E:F,2,0)</f>
        <v>#N/A</v>
      </c>
    </row>
    <row r="1175" spans="1:9" ht="14.25" customHeight="1" x14ac:dyDescent="0.35">
      <c r="A1175" s="7" t="str">
        <f t="array" ref="A1175">EXTRACTEVENT(N1175,V1175)</f>
        <v/>
      </c>
      <c r="B1175" s="7" t="str">
        <f t="shared" si="54"/>
        <v/>
      </c>
      <c r="C1175" s="7"/>
      <c r="D1175" s="7" t="str">
        <f t="shared" si="55"/>
        <v>E</v>
      </c>
      <c r="E1175" s="10">
        <f t="shared" si="56"/>
        <v>0</v>
      </c>
      <c r="F1175" s="7" t="e">
        <f t="array" ref="F1175">+TIPOARMA(H1175,I1175)</f>
        <v>#VALUE!</v>
      </c>
      <c r="G1175" s="7"/>
      <c r="H1175" s="7" t="e">
        <f>+VLOOKUP(Q1175,Maps!I:J,2,0)</f>
        <v>#N/A</v>
      </c>
      <c r="I1175" s="7" t="e">
        <f>+VLOOKUP(T1175,Maps!E:F,2,0)</f>
        <v>#N/A</v>
      </c>
    </row>
    <row r="1176" spans="1:9" ht="14.25" customHeight="1" x14ac:dyDescent="0.35">
      <c r="A1176" s="7" t="str">
        <f t="array" ref="A1176">EXTRACTEVENT(N1176,V1176)</f>
        <v/>
      </c>
      <c r="B1176" s="7" t="str">
        <f t="shared" si="54"/>
        <v/>
      </c>
      <c r="C1176" s="7"/>
      <c r="D1176" s="7" t="str">
        <f t="shared" si="55"/>
        <v>E</v>
      </c>
      <c r="E1176" s="10">
        <f t="shared" si="56"/>
        <v>0</v>
      </c>
      <c r="F1176" s="7" t="e">
        <f t="array" ref="F1176">+TIPOARMA(H1176,I1176)</f>
        <v>#VALUE!</v>
      </c>
      <c r="G1176" s="7"/>
      <c r="H1176" s="7" t="e">
        <f>+VLOOKUP(Q1176,Maps!I:J,2,0)</f>
        <v>#N/A</v>
      </c>
      <c r="I1176" s="7" t="e">
        <f>+VLOOKUP(T1176,Maps!E:F,2,0)</f>
        <v>#N/A</v>
      </c>
    </row>
    <row r="1177" spans="1:9" ht="14.25" customHeight="1" x14ac:dyDescent="0.35">
      <c r="A1177" s="7" t="str">
        <f t="array" ref="A1177">EXTRACTEVENT(N1177,V1177)</f>
        <v/>
      </c>
      <c r="B1177" s="7" t="str">
        <f t="shared" si="54"/>
        <v/>
      </c>
      <c r="C1177" s="7"/>
      <c r="D1177" s="7" t="str">
        <f t="shared" si="55"/>
        <v>E</v>
      </c>
      <c r="E1177" s="10">
        <f t="shared" si="56"/>
        <v>0</v>
      </c>
      <c r="F1177" s="7" t="e">
        <f t="array" ref="F1177">+TIPOARMA(H1177,I1177)</f>
        <v>#VALUE!</v>
      </c>
      <c r="G1177" s="7"/>
      <c r="H1177" s="7" t="e">
        <f>+VLOOKUP(Q1177,Maps!I:J,2,0)</f>
        <v>#N/A</v>
      </c>
      <c r="I1177" s="7" t="e">
        <f>+VLOOKUP(T1177,Maps!E:F,2,0)</f>
        <v>#N/A</v>
      </c>
    </row>
    <row r="1178" spans="1:9" ht="14.25" customHeight="1" x14ac:dyDescent="0.35">
      <c r="A1178" s="7" t="str">
        <f t="array" ref="A1178">EXTRACTEVENT(N1178,V1178)</f>
        <v/>
      </c>
      <c r="B1178" s="7" t="str">
        <f t="shared" si="54"/>
        <v/>
      </c>
      <c r="C1178" s="7"/>
      <c r="D1178" s="7" t="str">
        <f t="shared" si="55"/>
        <v>E</v>
      </c>
      <c r="E1178" s="10">
        <f t="shared" si="56"/>
        <v>0</v>
      </c>
      <c r="F1178" s="7" t="e">
        <f t="array" ref="F1178">+TIPOARMA(H1178,I1178)</f>
        <v>#VALUE!</v>
      </c>
      <c r="G1178" s="7"/>
      <c r="H1178" s="7" t="e">
        <f>+VLOOKUP(Q1178,Maps!I:J,2,0)</f>
        <v>#N/A</v>
      </c>
      <c r="I1178" s="7" t="e">
        <f>+VLOOKUP(T1178,Maps!E:F,2,0)</f>
        <v>#N/A</v>
      </c>
    </row>
    <row r="1179" spans="1:9" ht="14.25" customHeight="1" x14ac:dyDescent="0.35">
      <c r="A1179" s="7" t="str">
        <f t="array" ref="A1179">EXTRACTEVENT(N1179,V1179)</f>
        <v/>
      </c>
      <c r="B1179" s="7" t="str">
        <f t="shared" si="54"/>
        <v/>
      </c>
      <c r="C1179" s="7"/>
      <c r="D1179" s="7" t="str">
        <f t="shared" si="55"/>
        <v>E</v>
      </c>
      <c r="E1179" s="10">
        <f t="shared" si="56"/>
        <v>0</v>
      </c>
      <c r="F1179" s="7" t="e">
        <f t="array" ref="F1179">+TIPOARMA(H1179,I1179)</f>
        <v>#VALUE!</v>
      </c>
      <c r="G1179" s="7"/>
      <c r="H1179" s="7" t="e">
        <f>+VLOOKUP(Q1179,Maps!I:J,2,0)</f>
        <v>#N/A</v>
      </c>
      <c r="I1179" s="7" t="e">
        <f>+VLOOKUP(T1179,Maps!E:F,2,0)</f>
        <v>#N/A</v>
      </c>
    </row>
    <row r="1180" spans="1:9" ht="14.25" customHeight="1" x14ac:dyDescent="0.35">
      <c r="A1180" s="7" t="str">
        <f t="array" ref="A1180">EXTRACTEVENT(N1180,V1180)</f>
        <v/>
      </c>
      <c r="B1180" s="7" t="str">
        <f t="shared" si="54"/>
        <v/>
      </c>
      <c r="C1180" s="7"/>
      <c r="D1180" s="7" t="str">
        <f t="shared" si="55"/>
        <v>E</v>
      </c>
      <c r="E1180" s="10">
        <f t="shared" si="56"/>
        <v>0</v>
      </c>
      <c r="F1180" s="7" t="e">
        <f t="array" ref="F1180">+TIPOARMA(H1180,I1180)</f>
        <v>#VALUE!</v>
      </c>
      <c r="G1180" s="7"/>
      <c r="H1180" s="7" t="e">
        <f>+VLOOKUP(Q1180,Maps!I:J,2,0)</f>
        <v>#N/A</v>
      </c>
      <c r="I1180" s="7" t="e">
        <f>+VLOOKUP(T1180,Maps!E:F,2,0)</f>
        <v>#N/A</v>
      </c>
    </row>
    <row r="1181" spans="1:9" ht="14.25" customHeight="1" x14ac:dyDescent="0.35">
      <c r="A1181" s="7" t="str">
        <f t="array" ref="A1181">EXTRACTEVENT(N1181,V1181)</f>
        <v/>
      </c>
      <c r="B1181" s="7" t="str">
        <f t="shared" si="54"/>
        <v/>
      </c>
      <c r="C1181" s="7"/>
      <c r="D1181" s="7" t="str">
        <f t="shared" si="55"/>
        <v>E</v>
      </c>
      <c r="E1181" s="10">
        <f t="shared" si="56"/>
        <v>0</v>
      </c>
      <c r="F1181" s="7" t="e">
        <f t="array" ref="F1181">+TIPOARMA(H1181,I1181)</f>
        <v>#VALUE!</v>
      </c>
      <c r="G1181" s="7"/>
      <c r="H1181" s="7" t="e">
        <f>+VLOOKUP(Q1181,Maps!I:J,2,0)</f>
        <v>#N/A</v>
      </c>
      <c r="I1181" s="7" t="e">
        <f>+VLOOKUP(T1181,Maps!E:F,2,0)</f>
        <v>#N/A</v>
      </c>
    </row>
    <row r="1182" spans="1:9" ht="14.25" customHeight="1" x14ac:dyDescent="0.35">
      <c r="A1182" s="7" t="str">
        <f t="array" ref="A1182">EXTRACTEVENT(N1182,V1182)</f>
        <v/>
      </c>
      <c r="B1182" s="7" t="str">
        <f t="shared" si="54"/>
        <v/>
      </c>
      <c r="C1182" s="7"/>
      <c r="D1182" s="7" t="str">
        <f t="shared" si="55"/>
        <v>E</v>
      </c>
      <c r="E1182" s="10">
        <f t="shared" si="56"/>
        <v>0</v>
      </c>
      <c r="F1182" s="7" t="e">
        <f t="array" ref="F1182">+TIPOARMA(H1182,I1182)</f>
        <v>#VALUE!</v>
      </c>
      <c r="G1182" s="7"/>
      <c r="H1182" s="7" t="e">
        <f>+VLOOKUP(Q1182,Maps!I:J,2,0)</f>
        <v>#N/A</v>
      </c>
      <c r="I1182" s="7" t="e">
        <f>+VLOOKUP(T1182,Maps!E:F,2,0)</f>
        <v>#N/A</v>
      </c>
    </row>
    <row r="1183" spans="1:9" ht="14.25" customHeight="1" x14ac:dyDescent="0.35">
      <c r="A1183" s="7" t="str">
        <f t="array" ref="A1183">EXTRACTEVENT(N1183,V1183)</f>
        <v/>
      </c>
      <c r="B1183" s="7" t="str">
        <f t="shared" si="54"/>
        <v/>
      </c>
      <c r="C1183" s="7"/>
      <c r="D1183" s="7" t="str">
        <f t="shared" si="55"/>
        <v>E</v>
      </c>
      <c r="E1183" s="10">
        <f t="shared" si="56"/>
        <v>0</v>
      </c>
      <c r="F1183" s="7" t="e">
        <f t="array" ref="F1183">+TIPOARMA(H1183,I1183)</f>
        <v>#VALUE!</v>
      </c>
      <c r="G1183" s="7"/>
      <c r="H1183" s="7" t="e">
        <f>+VLOOKUP(Q1183,Maps!I:J,2,0)</f>
        <v>#N/A</v>
      </c>
      <c r="I1183" s="7" t="e">
        <f>+VLOOKUP(T1183,Maps!E:F,2,0)</f>
        <v>#N/A</v>
      </c>
    </row>
    <row r="1184" spans="1:9" ht="14.25" customHeight="1" x14ac:dyDescent="0.35">
      <c r="A1184" s="7" t="str">
        <f t="array" ref="A1184">EXTRACTEVENT(N1184,V1184)</f>
        <v/>
      </c>
      <c r="B1184" s="7" t="str">
        <f t="shared" si="54"/>
        <v/>
      </c>
      <c r="C1184" s="7"/>
      <c r="D1184" s="7" t="str">
        <f t="shared" si="55"/>
        <v>E</v>
      </c>
      <c r="E1184" s="10">
        <f t="shared" si="56"/>
        <v>0</v>
      </c>
      <c r="F1184" s="7" t="e">
        <f t="array" ref="F1184">+TIPOARMA(H1184,I1184)</f>
        <v>#VALUE!</v>
      </c>
      <c r="G1184" s="7"/>
      <c r="H1184" s="7" t="e">
        <f>+VLOOKUP(Q1184,Maps!I:J,2,0)</f>
        <v>#N/A</v>
      </c>
      <c r="I1184" s="7" t="e">
        <f>+VLOOKUP(T1184,Maps!E:F,2,0)</f>
        <v>#N/A</v>
      </c>
    </row>
    <row r="1185" spans="1:9" ht="14.25" customHeight="1" x14ac:dyDescent="0.35">
      <c r="A1185" s="7" t="str">
        <f t="array" ref="A1185">EXTRACTEVENT(N1185,V1185)</f>
        <v/>
      </c>
      <c r="B1185" s="7" t="str">
        <f t="shared" si="54"/>
        <v/>
      </c>
      <c r="C1185" s="7"/>
      <c r="D1185" s="7" t="str">
        <f t="shared" si="55"/>
        <v>E</v>
      </c>
      <c r="E1185" s="10">
        <f t="shared" si="56"/>
        <v>0</v>
      </c>
      <c r="F1185" s="7" t="e">
        <f t="array" ref="F1185">+TIPOARMA(H1185,I1185)</f>
        <v>#VALUE!</v>
      </c>
      <c r="G1185" s="7"/>
      <c r="H1185" s="7" t="e">
        <f>+VLOOKUP(Q1185,Maps!I:J,2,0)</f>
        <v>#N/A</v>
      </c>
      <c r="I1185" s="7" t="e">
        <f>+VLOOKUP(T1185,Maps!E:F,2,0)</f>
        <v>#N/A</v>
      </c>
    </row>
    <row r="1186" spans="1:9" ht="14.25" customHeight="1" x14ac:dyDescent="0.35">
      <c r="A1186" s="7" t="str">
        <f t="array" ref="A1186">EXTRACTEVENT(N1186,V1186)</f>
        <v/>
      </c>
      <c r="B1186" s="7" t="str">
        <f t="shared" si="54"/>
        <v/>
      </c>
      <c r="C1186" s="7"/>
      <c r="D1186" s="7" t="str">
        <f t="shared" si="55"/>
        <v>E</v>
      </c>
      <c r="E1186" s="10">
        <f t="shared" si="56"/>
        <v>0</v>
      </c>
      <c r="F1186" s="7" t="e">
        <f t="array" ref="F1186">+TIPOARMA(H1186,I1186)</f>
        <v>#VALUE!</v>
      </c>
      <c r="G1186" s="7"/>
      <c r="H1186" s="7" t="e">
        <f>+VLOOKUP(Q1186,Maps!I:J,2,0)</f>
        <v>#N/A</v>
      </c>
      <c r="I1186" s="7" t="e">
        <f>+VLOOKUP(T1186,Maps!E:F,2,0)</f>
        <v>#N/A</v>
      </c>
    </row>
    <row r="1187" spans="1:9" ht="14.25" customHeight="1" x14ac:dyDescent="0.35">
      <c r="A1187" s="7" t="str">
        <f t="array" ref="A1187">EXTRACTEVENT(N1187,V1187)</f>
        <v/>
      </c>
      <c r="B1187" s="7" t="str">
        <f t="shared" si="54"/>
        <v/>
      </c>
      <c r="C1187" s="7"/>
      <c r="D1187" s="7" t="str">
        <f t="shared" si="55"/>
        <v>E</v>
      </c>
      <c r="E1187" s="10">
        <f t="shared" si="56"/>
        <v>0</v>
      </c>
      <c r="F1187" s="7" t="e">
        <f t="array" ref="F1187">+TIPOARMA(H1187,I1187)</f>
        <v>#VALUE!</v>
      </c>
      <c r="G1187" s="7"/>
      <c r="H1187" s="7" t="e">
        <f>+VLOOKUP(Q1187,Maps!I:J,2,0)</f>
        <v>#N/A</v>
      </c>
      <c r="I1187" s="7" t="e">
        <f>+VLOOKUP(T1187,Maps!E:F,2,0)</f>
        <v>#N/A</v>
      </c>
    </row>
    <row r="1188" spans="1:9" ht="14.25" customHeight="1" x14ac:dyDescent="0.35">
      <c r="A1188" s="7" t="str">
        <f t="array" ref="A1188">EXTRACTEVENT(N1188,V1188)</f>
        <v/>
      </c>
      <c r="B1188" s="7" t="str">
        <f t="shared" si="54"/>
        <v/>
      </c>
      <c r="C1188" s="7"/>
      <c r="D1188" s="7" t="str">
        <f t="shared" si="55"/>
        <v>E</v>
      </c>
      <c r="E1188" s="10">
        <f t="shared" si="56"/>
        <v>0</v>
      </c>
      <c r="F1188" s="7" t="e">
        <f t="array" ref="F1188">+TIPOARMA(H1188,I1188)</f>
        <v>#VALUE!</v>
      </c>
      <c r="G1188" s="7"/>
      <c r="H1188" s="7" t="e">
        <f>+VLOOKUP(Q1188,Maps!I:J,2,0)</f>
        <v>#N/A</v>
      </c>
      <c r="I1188" s="7" t="e">
        <f>+VLOOKUP(T1188,Maps!E:F,2,0)</f>
        <v>#N/A</v>
      </c>
    </row>
    <row r="1189" spans="1:9" ht="14.25" customHeight="1" x14ac:dyDescent="0.35">
      <c r="A1189" s="7" t="str">
        <f t="array" ref="A1189">EXTRACTEVENT(N1189,V1189)</f>
        <v/>
      </c>
      <c r="B1189" s="7" t="str">
        <f t="shared" si="54"/>
        <v/>
      </c>
      <c r="C1189" s="7"/>
      <c r="D1189" s="7" t="str">
        <f t="shared" si="55"/>
        <v>E</v>
      </c>
      <c r="E1189" s="10">
        <f t="shared" si="56"/>
        <v>0</v>
      </c>
      <c r="F1189" s="7" t="e">
        <f t="array" ref="F1189">+TIPOARMA(H1189,I1189)</f>
        <v>#VALUE!</v>
      </c>
      <c r="G1189" s="7"/>
      <c r="H1189" s="7" t="e">
        <f>+VLOOKUP(Q1189,Maps!I:J,2,0)</f>
        <v>#N/A</v>
      </c>
      <c r="I1189" s="7" t="e">
        <f>+VLOOKUP(T1189,Maps!E:F,2,0)</f>
        <v>#N/A</v>
      </c>
    </row>
    <row r="1190" spans="1:9" ht="14.25" customHeight="1" x14ac:dyDescent="0.35">
      <c r="A1190" s="7" t="str">
        <f t="array" ref="A1190">EXTRACTEVENT(N1190,V1190)</f>
        <v/>
      </c>
      <c r="B1190" s="7" t="str">
        <f t="shared" si="54"/>
        <v/>
      </c>
      <c r="C1190" s="7"/>
      <c r="D1190" s="7" t="str">
        <f t="shared" si="55"/>
        <v>E</v>
      </c>
      <c r="E1190" s="10">
        <f t="shared" si="56"/>
        <v>0</v>
      </c>
      <c r="F1190" s="7" t="e">
        <f t="array" ref="F1190">+TIPOARMA(H1190,I1190)</f>
        <v>#VALUE!</v>
      </c>
      <c r="G1190" s="7"/>
      <c r="H1190" s="7" t="e">
        <f>+VLOOKUP(Q1190,Maps!I:J,2,0)</f>
        <v>#N/A</v>
      </c>
      <c r="I1190" s="7" t="e">
        <f>+VLOOKUP(T1190,Maps!E:F,2,0)</f>
        <v>#N/A</v>
      </c>
    </row>
    <row r="1191" spans="1:9" ht="14.25" customHeight="1" x14ac:dyDescent="0.35">
      <c r="A1191" s="7" t="str">
        <f t="array" ref="A1191">EXTRACTEVENT(N1191,V1191)</f>
        <v/>
      </c>
      <c r="B1191" s="7" t="str">
        <f t="shared" si="54"/>
        <v/>
      </c>
      <c r="C1191" s="7"/>
      <c r="D1191" s="7" t="str">
        <f t="shared" si="55"/>
        <v>E</v>
      </c>
      <c r="E1191" s="10">
        <f t="shared" si="56"/>
        <v>0</v>
      </c>
      <c r="F1191" s="7" t="e">
        <f t="array" ref="F1191">+TIPOARMA(H1191,I1191)</f>
        <v>#VALUE!</v>
      </c>
      <c r="G1191" s="7"/>
      <c r="H1191" s="7" t="e">
        <f>+VLOOKUP(Q1191,Maps!I:J,2,0)</f>
        <v>#N/A</v>
      </c>
      <c r="I1191" s="7" t="e">
        <f>+VLOOKUP(T1191,Maps!E:F,2,0)</f>
        <v>#N/A</v>
      </c>
    </row>
    <row r="1192" spans="1:9" ht="14.25" customHeight="1" x14ac:dyDescent="0.35">
      <c r="A1192" s="7" t="str">
        <f t="array" ref="A1192">EXTRACTEVENT(N1192,V1192)</f>
        <v/>
      </c>
      <c r="B1192" s="7" t="str">
        <f t="shared" si="54"/>
        <v/>
      </c>
      <c r="C1192" s="7"/>
      <c r="D1192" s="7" t="str">
        <f t="shared" si="55"/>
        <v>E</v>
      </c>
      <c r="E1192" s="10">
        <f t="shared" si="56"/>
        <v>0</v>
      </c>
      <c r="F1192" s="7" t="e">
        <f t="array" ref="F1192">+TIPOARMA(H1192,I1192)</f>
        <v>#VALUE!</v>
      </c>
      <c r="G1192" s="7"/>
      <c r="H1192" s="7" t="e">
        <f>+VLOOKUP(Q1192,Maps!I:J,2,0)</f>
        <v>#N/A</v>
      </c>
      <c r="I1192" s="7" t="e">
        <f>+VLOOKUP(T1192,Maps!E:F,2,0)</f>
        <v>#N/A</v>
      </c>
    </row>
    <row r="1193" spans="1:9" ht="14.25" customHeight="1" x14ac:dyDescent="0.35">
      <c r="A1193" s="7" t="str">
        <f t="array" ref="A1193">EXTRACTEVENT(N1193,V1193)</f>
        <v/>
      </c>
      <c r="B1193" s="7" t="str">
        <f t="shared" si="54"/>
        <v/>
      </c>
      <c r="C1193" s="7"/>
      <c r="D1193" s="7" t="str">
        <f t="shared" si="55"/>
        <v>E</v>
      </c>
      <c r="E1193" s="10">
        <f t="shared" si="56"/>
        <v>0</v>
      </c>
      <c r="F1193" s="7" t="e">
        <f t="array" ref="F1193">+TIPOARMA(H1193,I1193)</f>
        <v>#VALUE!</v>
      </c>
      <c r="G1193" s="7"/>
      <c r="H1193" s="7" t="e">
        <f>+VLOOKUP(Q1193,Maps!I:J,2,0)</f>
        <v>#N/A</v>
      </c>
      <c r="I1193" s="7" t="e">
        <f>+VLOOKUP(T1193,Maps!E:F,2,0)</f>
        <v>#N/A</v>
      </c>
    </row>
    <row r="1194" spans="1:9" ht="14.25" customHeight="1" x14ac:dyDescent="0.35">
      <c r="A1194" s="7" t="str">
        <f t="array" ref="A1194">EXTRACTEVENT(N1194,V1194)</f>
        <v/>
      </c>
      <c r="B1194" s="7" t="str">
        <f t="shared" si="54"/>
        <v/>
      </c>
      <c r="C1194" s="7"/>
      <c r="D1194" s="7" t="str">
        <f t="shared" si="55"/>
        <v>E</v>
      </c>
      <c r="E1194" s="10">
        <f t="shared" si="56"/>
        <v>0</v>
      </c>
      <c r="F1194" s="7" t="e">
        <f t="array" ref="F1194">+TIPOARMA(H1194,I1194)</f>
        <v>#VALUE!</v>
      </c>
      <c r="G1194" s="7"/>
      <c r="H1194" s="7" t="e">
        <f>+VLOOKUP(Q1194,Maps!I:J,2,0)</f>
        <v>#N/A</v>
      </c>
      <c r="I1194" s="7" t="e">
        <f>+VLOOKUP(T1194,Maps!E:F,2,0)</f>
        <v>#N/A</v>
      </c>
    </row>
    <row r="1195" spans="1:9" ht="14.25" customHeight="1" x14ac:dyDescent="0.35">
      <c r="A1195" s="7" t="str">
        <f t="array" ref="A1195">EXTRACTEVENT(N1195,V1195)</f>
        <v/>
      </c>
      <c r="B1195" s="7" t="str">
        <f t="shared" si="54"/>
        <v/>
      </c>
      <c r="C1195" s="7"/>
      <c r="D1195" s="7" t="str">
        <f t="shared" si="55"/>
        <v>E</v>
      </c>
      <c r="E1195" s="10">
        <f t="shared" si="56"/>
        <v>0</v>
      </c>
      <c r="F1195" s="7" t="e">
        <f t="array" ref="F1195">+TIPOARMA(H1195,I1195)</f>
        <v>#VALUE!</v>
      </c>
      <c r="G1195" s="7"/>
      <c r="H1195" s="7" t="e">
        <f>+VLOOKUP(Q1195,Maps!I:J,2,0)</f>
        <v>#N/A</v>
      </c>
      <c r="I1195" s="7" t="e">
        <f>+VLOOKUP(T1195,Maps!E:F,2,0)</f>
        <v>#N/A</v>
      </c>
    </row>
    <row r="1196" spans="1:9" ht="14.25" customHeight="1" x14ac:dyDescent="0.35">
      <c r="A1196" s="7" t="str">
        <f t="array" ref="A1196">EXTRACTEVENT(N1196,V1196)</f>
        <v/>
      </c>
      <c r="B1196" s="7" t="str">
        <f t="shared" si="54"/>
        <v/>
      </c>
      <c r="C1196" s="7"/>
      <c r="D1196" s="7" t="str">
        <f t="shared" si="55"/>
        <v>E</v>
      </c>
      <c r="E1196" s="10">
        <f t="shared" si="56"/>
        <v>0</v>
      </c>
      <c r="F1196" s="7" t="e">
        <f t="array" ref="F1196">+TIPOARMA(H1196,I1196)</f>
        <v>#VALUE!</v>
      </c>
      <c r="G1196" s="7"/>
      <c r="H1196" s="7" t="e">
        <f>+VLOOKUP(Q1196,Maps!I:J,2,0)</f>
        <v>#N/A</v>
      </c>
      <c r="I1196" s="7" t="e">
        <f>+VLOOKUP(T1196,Maps!E:F,2,0)</f>
        <v>#N/A</v>
      </c>
    </row>
    <row r="1197" spans="1:9" ht="14.25" customHeight="1" x14ac:dyDescent="0.35">
      <c r="A1197" s="7" t="str">
        <f t="array" ref="A1197">EXTRACTEVENT(N1197,V1197)</f>
        <v/>
      </c>
      <c r="B1197" s="7" t="str">
        <f t="shared" si="54"/>
        <v/>
      </c>
      <c r="C1197" s="7"/>
      <c r="D1197" s="7" t="str">
        <f t="shared" si="55"/>
        <v>E</v>
      </c>
      <c r="E1197" s="10">
        <f t="shared" si="56"/>
        <v>0</v>
      </c>
      <c r="F1197" s="7" t="e">
        <f t="array" ref="F1197">+TIPOARMA(H1197,I1197)</f>
        <v>#VALUE!</v>
      </c>
      <c r="G1197" s="7"/>
      <c r="H1197" s="7" t="e">
        <f>+VLOOKUP(Q1197,Maps!I:J,2,0)</f>
        <v>#N/A</v>
      </c>
      <c r="I1197" s="7" t="e">
        <f>+VLOOKUP(T1197,Maps!E:F,2,0)</f>
        <v>#N/A</v>
      </c>
    </row>
    <row r="1198" spans="1:9" ht="14.25" customHeight="1" x14ac:dyDescent="0.35">
      <c r="A1198" s="7" t="str">
        <f t="array" ref="A1198">EXTRACTEVENT(N1198,V1198)</f>
        <v/>
      </c>
      <c r="B1198" s="7" t="str">
        <f t="shared" si="54"/>
        <v/>
      </c>
      <c r="C1198" s="7"/>
      <c r="D1198" s="7" t="str">
        <f t="shared" si="55"/>
        <v>E</v>
      </c>
      <c r="E1198" s="10">
        <f t="shared" si="56"/>
        <v>0</v>
      </c>
      <c r="F1198" s="7" t="e">
        <f t="array" ref="F1198">+TIPOARMA(H1198,I1198)</f>
        <v>#VALUE!</v>
      </c>
      <c r="G1198" s="7"/>
      <c r="H1198" s="7" t="e">
        <f>+VLOOKUP(Q1198,Maps!I:J,2,0)</f>
        <v>#N/A</v>
      </c>
      <c r="I1198" s="7" t="e">
        <f>+VLOOKUP(T1198,Maps!E:F,2,0)</f>
        <v>#N/A</v>
      </c>
    </row>
    <row r="1199" spans="1:9" ht="14.25" customHeight="1" x14ac:dyDescent="0.35">
      <c r="A1199" s="7" t="str">
        <f t="array" ref="A1199">EXTRACTEVENT(N1199,V1199)</f>
        <v/>
      </c>
      <c r="B1199" s="7" t="str">
        <f t="shared" si="54"/>
        <v/>
      </c>
      <c r="C1199" s="7"/>
      <c r="D1199" s="7" t="str">
        <f t="shared" si="55"/>
        <v>E</v>
      </c>
      <c r="E1199" s="10">
        <f t="shared" si="56"/>
        <v>0</v>
      </c>
      <c r="F1199" s="7" t="e">
        <f t="array" ref="F1199">+TIPOARMA(H1199,I1199)</f>
        <v>#VALUE!</v>
      </c>
      <c r="G1199" s="7"/>
      <c r="H1199" s="7" t="e">
        <f>+VLOOKUP(Q1199,Maps!I:J,2,0)</f>
        <v>#N/A</v>
      </c>
      <c r="I1199" s="7" t="e">
        <f>+VLOOKUP(T1199,Maps!E:F,2,0)</f>
        <v>#N/A</v>
      </c>
    </row>
    <row r="1200" spans="1:9" ht="14.25" customHeight="1" x14ac:dyDescent="0.35">
      <c r="A1200" s="7" t="str">
        <f t="array" ref="A1200">EXTRACTEVENT(N1200,V1200)</f>
        <v/>
      </c>
      <c r="B1200" s="7" t="str">
        <f t="shared" si="54"/>
        <v/>
      </c>
      <c r="C1200" s="7"/>
      <c r="D1200" s="7" t="str">
        <f t="shared" si="55"/>
        <v>E</v>
      </c>
      <c r="E1200" s="10">
        <f t="shared" si="56"/>
        <v>0</v>
      </c>
      <c r="F1200" s="7" t="e">
        <f t="array" ref="F1200">+TIPOARMA(H1200,I1200)</f>
        <v>#VALUE!</v>
      </c>
      <c r="G1200" s="7"/>
      <c r="H1200" s="7" t="e">
        <f>+VLOOKUP(Q1200,Maps!I:J,2,0)</f>
        <v>#N/A</v>
      </c>
      <c r="I1200" s="7" t="e">
        <f>+VLOOKUP(T1200,Maps!E:F,2,0)</f>
        <v>#N/A</v>
      </c>
    </row>
    <row r="1201" spans="1:9" ht="14.25" customHeight="1" x14ac:dyDescent="0.35">
      <c r="A1201" s="7" t="str">
        <f t="array" ref="A1201">EXTRACTEVENT(N1201,V1201)</f>
        <v/>
      </c>
      <c r="B1201" s="7" t="str">
        <f t="shared" si="54"/>
        <v/>
      </c>
      <c r="C1201" s="7"/>
      <c r="D1201" s="7" t="str">
        <f t="shared" si="55"/>
        <v>E</v>
      </c>
      <c r="E1201" s="10">
        <f t="shared" si="56"/>
        <v>0</v>
      </c>
      <c r="F1201" s="7" t="e">
        <f t="array" ref="F1201">+TIPOARMA(H1201,I1201)</f>
        <v>#VALUE!</v>
      </c>
      <c r="G1201" s="7"/>
      <c r="H1201" s="7" t="e">
        <f>+VLOOKUP(Q1201,Maps!I:J,2,0)</f>
        <v>#N/A</v>
      </c>
      <c r="I1201" s="7" t="e">
        <f>+VLOOKUP(T1201,Maps!E:F,2,0)</f>
        <v>#N/A</v>
      </c>
    </row>
    <row r="1202" spans="1:9" ht="14.25" customHeight="1" x14ac:dyDescent="0.35">
      <c r="A1202" s="7" t="str">
        <f t="array" ref="A1202">EXTRACTEVENT(N1202,V1202)</f>
        <v/>
      </c>
      <c r="B1202" s="7" t="str">
        <f t="shared" si="54"/>
        <v/>
      </c>
      <c r="C1202" s="7"/>
      <c r="D1202" s="7" t="str">
        <f t="shared" si="55"/>
        <v>E</v>
      </c>
      <c r="E1202" s="10">
        <f t="shared" si="56"/>
        <v>0</v>
      </c>
      <c r="F1202" s="7" t="e">
        <f t="array" ref="F1202">+TIPOARMA(H1202,I1202)</f>
        <v>#VALUE!</v>
      </c>
      <c r="G1202" s="7"/>
      <c r="H1202" s="7" t="e">
        <f>+VLOOKUP(Q1202,Maps!I:J,2,0)</f>
        <v>#N/A</v>
      </c>
      <c r="I1202" s="7" t="e">
        <f>+VLOOKUP(T1202,Maps!E:F,2,0)</f>
        <v>#N/A</v>
      </c>
    </row>
    <row r="1203" spans="1:9" ht="14.25" customHeight="1" x14ac:dyDescent="0.35">
      <c r="A1203" s="7" t="str">
        <f t="array" ref="A1203">EXTRACTEVENT(N1203,V1203)</f>
        <v/>
      </c>
      <c r="B1203" s="7" t="str">
        <f t="shared" si="54"/>
        <v/>
      </c>
      <c r="C1203" s="7"/>
      <c r="D1203" s="7" t="str">
        <f t="shared" si="55"/>
        <v>E</v>
      </c>
      <c r="E1203" s="10">
        <f t="shared" si="56"/>
        <v>0</v>
      </c>
      <c r="F1203" s="7" t="e">
        <f t="array" ref="F1203">+TIPOARMA(H1203,I1203)</f>
        <v>#VALUE!</v>
      </c>
      <c r="G1203" s="7"/>
      <c r="H1203" s="7" t="e">
        <f>+VLOOKUP(Q1203,Maps!I:J,2,0)</f>
        <v>#N/A</v>
      </c>
      <c r="I1203" s="7" t="e">
        <f>+VLOOKUP(T1203,Maps!E:F,2,0)</f>
        <v>#N/A</v>
      </c>
    </row>
    <row r="1204" spans="1:9" ht="14.25" customHeight="1" x14ac:dyDescent="0.35">
      <c r="A1204" s="7" t="str">
        <f t="array" ref="A1204">EXTRACTEVENT(N1204,V1204)</f>
        <v/>
      </c>
      <c r="B1204" s="7" t="str">
        <f t="shared" si="54"/>
        <v/>
      </c>
      <c r="C1204" s="7"/>
      <c r="D1204" s="7" t="str">
        <f t="shared" si="55"/>
        <v>E</v>
      </c>
      <c r="E1204" s="10">
        <f t="shared" si="56"/>
        <v>0</v>
      </c>
      <c r="F1204" s="7" t="e">
        <f t="array" ref="F1204">+TIPOARMA(H1204,I1204)</f>
        <v>#VALUE!</v>
      </c>
      <c r="G1204" s="7"/>
      <c r="H1204" s="7" t="e">
        <f>+VLOOKUP(Q1204,Maps!I:J,2,0)</f>
        <v>#N/A</v>
      </c>
      <c r="I1204" s="7" t="e">
        <f>+VLOOKUP(T1204,Maps!E:F,2,0)</f>
        <v>#N/A</v>
      </c>
    </row>
    <row r="1205" spans="1:9" ht="14.25" customHeight="1" x14ac:dyDescent="0.35">
      <c r="A1205" s="7" t="str">
        <f t="array" ref="A1205">EXTRACTEVENT(N1205,V1205)</f>
        <v/>
      </c>
      <c r="B1205" s="7" t="str">
        <f t="shared" si="54"/>
        <v/>
      </c>
      <c r="C1205" s="7"/>
      <c r="D1205" s="7" t="str">
        <f t="shared" si="55"/>
        <v>E</v>
      </c>
      <c r="E1205" s="10">
        <f t="shared" si="56"/>
        <v>0</v>
      </c>
      <c r="F1205" s="7" t="e">
        <f t="array" ref="F1205">+TIPOARMA(H1205,I1205)</f>
        <v>#VALUE!</v>
      </c>
      <c r="G1205" s="7"/>
      <c r="H1205" s="7" t="e">
        <f>+VLOOKUP(Q1205,Maps!I:J,2,0)</f>
        <v>#N/A</v>
      </c>
      <c r="I1205" s="7" t="e">
        <f>+VLOOKUP(T1205,Maps!E:F,2,0)</f>
        <v>#N/A</v>
      </c>
    </row>
    <row r="1206" spans="1:9" ht="14.25" customHeight="1" x14ac:dyDescent="0.35">
      <c r="A1206" s="7" t="str">
        <f t="array" ref="A1206">EXTRACTEVENT(N1206,V1206)</f>
        <v/>
      </c>
      <c r="B1206" s="7" t="str">
        <f t="shared" si="54"/>
        <v/>
      </c>
      <c r="C1206" s="7"/>
      <c r="D1206" s="7" t="str">
        <f t="shared" si="55"/>
        <v>E</v>
      </c>
      <c r="E1206" s="10">
        <f t="shared" si="56"/>
        <v>0</v>
      </c>
      <c r="F1206" s="7" t="e">
        <f t="array" ref="F1206">+TIPOARMA(H1206,I1206)</f>
        <v>#VALUE!</v>
      </c>
      <c r="G1206" s="7"/>
      <c r="H1206" s="7" t="e">
        <f>+VLOOKUP(Q1206,Maps!I:J,2,0)</f>
        <v>#N/A</v>
      </c>
      <c r="I1206" s="7" t="e">
        <f>+VLOOKUP(T1206,Maps!E:F,2,0)</f>
        <v>#N/A</v>
      </c>
    </row>
    <row r="1207" spans="1:9" ht="14.25" customHeight="1" x14ac:dyDescent="0.35">
      <c r="A1207" s="7" t="str">
        <f t="array" ref="A1207">EXTRACTEVENT(N1207,V1207)</f>
        <v/>
      </c>
      <c r="B1207" s="7" t="str">
        <f t="shared" si="54"/>
        <v/>
      </c>
      <c r="C1207" s="7"/>
      <c r="D1207" s="7" t="str">
        <f t="shared" si="55"/>
        <v>E</v>
      </c>
      <c r="E1207" s="10">
        <f t="shared" si="56"/>
        <v>0</v>
      </c>
      <c r="F1207" s="7" t="e">
        <f t="array" ref="F1207">+TIPOARMA(H1207,I1207)</f>
        <v>#VALUE!</v>
      </c>
      <c r="G1207" s="7"/>
      <c r="H1207" s="7" t="e">
        <f>+VLOOKUP(Q1207,Maps!I:J,2,0)</f>
        <v>#N/A</v>
      </c>
      <c r="I1207" s="7" t="e">
        <f>+VLOOKUP(T1207,Maps!E:F,2,0)</f>
        <v>#N/A</v>
      </c>
    </row>
    <row r="1208" spans="1:9" ht="14.25" customHeight="1" x14ac:dyDescent="0.35">
      <c r="A1208" s="7" t="str">
        <f t="array" ref="A1208">EXTRACTEVENT(N1208,V1208)</f>
        <v/>
      </c>
      <c r="B1208" s="7" t="str">
        <f t="shared" si="54"/>
        <v/>
      </c>
      <c r="C1208" s="7"/>
      <c r="D1208" s="7" t="str">
        <f t="shared" si="55"/>
        <v>E</v>
      </c>
      <c r="E1208" s="10">
        <f t="shared" si="56"/>
        <v>0</v>
      </c>
      <c r="F1208" s="7" t="e">
        <f t="array" ref="F1208">+TIPOARMA(H1208,I1208)</f>
        <v>#VALUE!</v>
      </c>
      <c r="G1208" s="7"/>
      <c r="H1208" s="7" t="e">
        <f>+VLOOKUP(Q1208,Maps!I:J,2,0)</f>
        <v>#N/A</v>
      </c>
      <c r="I1208" s="7" t="e">
        <f>+VLOOKUP(T1208,Maps!E:F,2,0)</f>
        <v>#N/A</v>
      </c>
    </row>
    <row r="1209" spans="1:9" ht="14.25" customHeight="1" x14ac:dyDescent="0.35">
      <c r="A1209" s="7" t="str">
        <f t="array" ref="A1209">EXTRACTEVENT(N1209,V1209)</f>
        <v/>
      </c>
      <c r="B1209" s="7" t="str">
        <f t="shared" si="54"/>
        <v/>
      </c>
      <c r="C1209" s="7"/>
      <c r="D1209" s="7" t="str">
        <f t="shared" si="55"/>
        <v>E</v>
      </c>
      <c r="E1209" s="10">
        <f t="shared" si="56"/>
        <v>0</v>
      </c>
      <c r="F1209" s="7" t="e">
        <f t="array" ref="F1209">+TIPOARMA(H1209,I1209)</f>
        <v>#VALUE!</v>
      </c>
      <c r="G1209" s="7"/>
      <c r="H1209" s="7" t="e">
        <f>+VLOOKUP(Q1209,Maps!I:J,2,0)</f>
        <v>#N/A</v>
      </c>
      <c r="I1209" s="7" t="e">
        <f>+VLOOKUP(T1209,Maps!E:F,2,0)</f>
        <v>#N/A</v>
      </c>
    </row>
    <row r="1210" spans="1:9" ht="14.25" customHeight="1" x14ac:dyDescent="0.35">
      <c r="A1210" s="7" t="str">
        <f t="array" ref="A1210">EXTRACTEVENT(N1210,V1210)</f>
        <v/>
      </c>
      <c r="B1210" s="7" t="str">
        <f t="shared" si="54"/>
        <v/>
      </c>
      <c r="C1210" s="7"/>
      <c r="D1210" s="7" t="str">
        <f t="shared" si="55"/>
        <v>E</v>
      </c>
      <c r="E1210" s="10">
        <f t="shared" si="56"/>
        <v>0</v>
      </c>
      <c r="F1210" s="7" t="e">
        <f t="array" ref="F1210">+TIPOARMA(H1210,I1210)</f>
        <v>#VALUE!</v>
      </c>
      <c r="G1210" s="7"/>
      <c r="H1210" s="7" t="e">
        <f>+VLOOKUP(Q1210,Maps!I:J,2,0)</f>
        <v>#N/A</v>
      </c>
      <c r="I1210" s="7" t="e">
        <f>+VLOOKUP(T1210,Maps!E:F,2,0)</f>
        <v>#N/A</v>
      </c>
    </row>
    <row r="1211" spans="1:9" ht="14.25" customHeight="1" x14ac:dyDescent="0.35">
      <c r="A1211" s="7" t="str">
        <f t="array" ref="A1211">EXTRACTEVENT(N1211,V1211)</f>
        <v/>
      </c>
      <c r="B1211" s="7" t="str">
        <f t="shared" si="54"/>
        <v/>
      </c>
      <c r="C1211" s="7"/>
      <c r="D1211" s="7" t="str">
        <f t="shared" si="55"/>
        <v>E</v>
      </c>
      <c r="E1211" s="10">
        <f t="shared" si="56"/>
        <v>0</v>
      </c>
      <c r="F1211" s="7" t="e">
        <f t="array" ref="F1211">+TIPOARMA(H1211,I1211)</f>
        <v>#VALUE!</v>
      </c>
      <c r="G1211" s="7"/>
      <c r="H1211" s="7" t="e">
        <f>+VLOOKUP(Q1211,Maps!I:J,2,0)</f>
        <v>#N/A</v>
      </c>
      <c r="I1211" s="7" t="e">
        <f>+VLOOKUP(T1211,Maps!E:F,2,0)</f>
        <v>#N/A</v>
      </c>
    </row>
    <row r="1212" spans="1:9" ht="14.25" customHeight="1" x14ac:dyDescent="0.35">
      <c r="A1212" s="7" t="str">
        <f t="array" ref="A1212">EXTRACTEVENT(N1212,V1212)</f>
        <v/>
      </c>
      <c r="B1212" s="7" t="str">
        <f t="shared" si="54"/>
        <v/>
      </c>
      <c r="C1212" s="7"/>
      <c r="D1212" s="7" t="str">
        <f t="shared" si="55"/>
        <v>E</v>
      </c>
      <c r="E1212" s="10">
        <f t="shared" si="56"/>
        <v>0</v>
      </c>
      <c r="F1212" s="7" t="e">
        <f t="array" ref="F1212">+TIPOARMA(H1212,I1212)</f>
        <v>#VALUE!</v>
      </c>
      <c r="G1212" s="7"/>
      <c r="H1212" s="7" t="e">
        <f>+VLOOKUP(Q1212,Maps!I:J,2,0)</f>
        <v>#N/A</v>
      </c>
      <c r="I1212" s="7" t="e">
        <f>+VLOOKUP(T1212,Maps!E:F,2,0)</f>
        <v>#N/A</v>
      </c>
    </row>
    <row r="1213" spans="1:9" ht="14.25" customHeight="1" x14ac:dyDescent="0.35">
      <c r="A1213" s="7" t="str">
        <f t="array" ref="A1213">EXTRACTEVENT(N1213,V1213)</f>
        <v/>
      </c>
      <c r="B1213" s="7" t="str">
        <f t="shared" si="54"/>
        <v/>
      </c>
      <c r="C1213" s="7"/>
      <c r="D1213" s="7" t="str">
        <f t="shared" si="55"/>
        <v>E</v>
      </c>
      <c r="E1213" s="10">
        <f t="shared" si="56"/>
        <v>0</v>
      </c>
      <c r="F1213" s="7" t="e">
        <f t="array" ref="F1213">+TIPOARMA(H1213,I1213)</f>
        <v>#VALUE!</v>
      </c>
      <c r="G1213" s="7"/>
      <c r="H1213" s="7" t="e">
        <f>+VLOOKUP(Q1213,Maps!I:J,2,0)</f>
        <v>#N/A</v>
      </c>
      <c r="I1213" s="7" t="e">
        <f>+VLOOKUP(T1213,Maps!E:F,2,0)</f>
        <v>#N/A</v>
      </c>
    </row>
    <row r="1214" spans="1:9" ht="14.25" customHeight="1" x14ac:dyDescent="0.35">
      <c r="A1214" s="7" t="str">
        <f t="array" ref="A1214">EXTRACTEVENT(N1214,V1214)</f>
        <v/>
      </c>
      <c r="B1214" s="7" t="str">
        <f t="shared" si="54"/>
        <v/>
      </c>
      <c r="C1214" s="7"/>
      <c r="D1214" s="7" t="str">
        <f t="shared" si="55"/>
        <v>E</v>
      </c>
      <c r="E1214" s="10">
        <f t="shared" si="56"/>
        <v>0</v>
      </c>
      <c r="F1214" s="7" t="e">
        <f t="array" ref="F1214">+TIPOARMA(H1214,I1214)</f>
        <v>#VALUE!</v>
      </c>
      <c r="G1214" s="7"/>
      <c r="H1214" s="7" t="e">
        <f>+VLOOKUP(Q1214,Maps!I:J,2,0)</f>
        <v>#N/A</v>
      </c>
      <c r="I1214" s="7" t="e">
        <f>+VLOOKUP(T1214,Maps!E:F,2,0)</f>
        <v>#N/A</v>
      </c>
    </row>
    <row r="1215" spans="1:9" ht="14.25" customHeight="1" x14ac:dyDescent="0.35">
      <c r="A1215" s="7" t="str">
        <f t="array" ref="A1215">EXTRACTEVENT(N1215,V1215)</f>
        <v/>
      </c>
      <c r="B1215" s="7" t="str">
        <f t="shared" si="54"/>
        <v/>
      </c>
      <c r="C1215" s="7"/>
      <c r="D1215" s="7" t="str">
        <f t="shared" si="55"/>
        <v>E</v>
      </c>
      <c r="E1215" s="10">
        <f t="shared" si="56"/>
        <v>0</v>
      </c>
      <c r="F1215" s="7" t="e">
        <f t="array" ref="F1215">+TIPOARMA(H1215,I1215)</f>
        <v>#VALUE!</v>
      </c>
      <c r="G1215" s="7"/>
      <c r="H1215" s="7" t="e">
        <f>+VLOOKUP(Q1215,Maps!I:J,2,0)</f>
        <v>#N/A</v>
      </c>
      <c r="I1215" s="7" t="e">
        <f>+VLOOKUP(T1215,Maps!E:F,2,0)</f>
        <v>#N/A</v>
      </c>
    </row>
    <row r="1216" spans="1:9" ht="14.25" customHeight="1" x14ac:dyDescent="0.35">
      <c r="A1216" s="7" t="str">
        <f t="array" ref="A1216">EXTRACTEVENT(N1216,V1216)</f>
        <v/>
      </c>
      <c r="B1216" s="7" t="str">
        <f t="shared" si="54"/>
        <v/>
      </c>
      <c r="C1216" s="7"/>
      <c r="D1216" s="7" t="str">
        <f t="shared" si="55"/>
        <v>E</v>
      </c>
      <c r="E1216" s="10">
        <f t="shared" si="56"/>
        <v>0</v>
      </c>
      <c r="F1216" s="7" t="e">
        <f t="array" ref="F1216">+TIPOARMA(H1216,I1216)</f>
        <v>#VALUE!</v>
      </c>
      <c r="G1216" s="7"/>
      <c r="H1216" s="7" t="e">
        <f>+VLOOKUP(Q1216,Maps!I:J,2,0)</f>
        <v>#N/A</v>
      </c>
      <c r="I1216" s="7" t="e">
        <f>+VLOOKUP(T1216,Maps!E:F,2,0)</f>
        <v>#N/A</v>
      </c>
    </row>
    <row r="1217" spans="1:9" ht="14.25" customHeight="1" x14ac:dyDescent="0.35">
      <c r="A1217" s="7" t="str">
        <f t="array" ref="A1217">EXTRACTEVENT(N1217,V1217)</f>
        <v/>
      </c>
      <c r="B1217" s="7" t="str">
        <f t="shared" si="54"/>
        <v/>
      </c>
      <c r="C1217" s="7"/>
      <c r="D1217" s="7" t="str">
        <f t="shared" si="55"/>
        <v>E</v>
      </c>
      <c r="E1217" s="10">
        <f t="shared" si="56"/>
        <v>0</v>
      </c>
      <c r="F1217" s="7" t="e">
        <f t="array" ref="F1217">+TIPOARMA(H1217,I1217)</f>
        <v>#VALUE!</v>
      </c>
      <c r="G1217" s="7"/>
      <c r="H1217" s="7" t="e">
        <f>+VLOOKUP(Q1217,Maps!I:J,2,0)</f>
        <v>#N/A</v>
      </c>
      <c r="I1217" s="7" t="e">
        <f>+VLOOKUP(T1217,Maps!E:F,2,0)</f>
        <v>#N/A</v>
      </c>
    </row>
    <row r="1218" spans="1:9" ht="14.25" customHeight="1" x14ac:dyDescent="0.35">
      <c r="A1218" s="7" t="str">
        <f t="array" ref="A1218">EXTRACTEVENT(N1218,V1218)</f>
        <v/>
      </c>
      <c r="B1218" s="7" t="str">
        <f t="shared" ref="B1218:B1281" si="57">+IF(V1218="TREINO","-",LEFT(N1218,1))</f>
        <v/>
      </c>
      <c r="C1218" s="7"/>
      <c r="D1218" s="7" t="str">
        <f t="shared" ref="D1218:D1281" si="58">+IF($V1218="TREINO","T",IF(V1218="NACIONAL","N","E"))</f>
        <v>E</v>
      </c>
      <c r="E1218" s="10">
        <f t="shared" ref="E1218:E1281" si="59">IFERROR(DATEVALUE(LEFT(M1218,10)),M1218)</f>
        <v>0</v>
      </c>
      <c r="F1218" s="7" t="e">
        <f t="array" ref="F1218">+TIPOARMA(H1218,I1218)</f>
        <v>#VALUE!</v>
      </c>
      <c r="G1218" s="7"/>
      <c r="H1218" s="7" t="e">
        <f>+VLOOKUP(Q1218,Maps!I:J,2,0)</f>
        <v>#N/A</v>
      </c>
      <c r="I1218" s="7" t="e">
        <f>+VLOOKUP(T1218,Maps!E:F,2,0)</f>
        <v>#N/A</v>
      </c>
    </row>
    <row r="1219" spans="1:9" ht="14.25" customHeight="1" x14ac:dyDescent="0.35">
      <c r="A1219" s="7" t="str">
        <f t="array" ref="A1219">EXTRACTEVENT(N1219,V1219)</f>
        <v/>
      </c>
      <c r="B1219" s="7" t="str">
        <f t="shared" si="57"/>
        <v/>
      </c>
      <c r="C1219" s="7"/>
      <c r="D1219" s="7" t="str">
        <f t="shared" si="58"/>
        <v>E</v>
      </c>
      <c r="E1219" s="10">
        <f t="shared" si="59"/>
        <v>0</v>
      </c>
      <c r="F1219" s="7" t="e">
        <f t="array" ref="F1219">+TIPOARMA(H1219,I1219)</f>
        <v>#VALUE!</v>
      </c>
      <c r="G1219" s="7"/>
      <c r="H1219" s="7" t="e">
        <f>+VLOOKUP(Q1219,Maps!I:J,2,0)</f>
        <v>#N/A</v>
      </c>
      <c r="I1219" s="7" t="e">
        <f>+VLOOKUP(T1219,Maps!E:F,2,0)</f>
        <v>#N/A</v>
      </c>
    </row>
    <row r="1220" spans="1:9" ht="14.25" customHeight="1" x14ac:dyDescent="0.35">
      <c r="A1220" s="7" t="str">
        <f t="array" ref="A1220">EXTRACTEVENT(N1220,V1220)</f>
        <v/>
      </c>
      <c r="B1220" s="7" t="str">
        <f t="shared" si="57"/>
        <v/>
      </c>
      <c r="C1220" s="7"/>
      <c r="D1220" s="7" t="str">
        <f t="shared" si="58"/>
        <v>E</v>
      </c>
      <c r="E1220" s="10">
        <f t="shared" si="59"/>
        <v>0</v>
      </c>
      <c r="F1220" s="7" t="e">
        <f t="array" ref="F1220">+TIPOARMA(H1220,I1220)</f>
        <v>#VALUE!</v>
      </c>
      <c r="G1220" s="7"/>
      <c r="H1220" s="7" t="e">
        <f>+VLOOKUP(Q1220,Maps!I:J,2,0)</f>
        <v>#N/A</v>
      </c>
      <c r="I1220" s="7" t="e">
        <f>+VLOOKUP(T1220,Maps!E:F,2,0)</f>
        <v>#N/A</v>
      </c>
    </row>
    <row r="1221" spans="1:9" ht="14.25" customHeight="1" x14ac:dyDescent="0.35">
      <c r="A1221" s="7" t="str">
        <f t="array" ref="A1221">EXTRACTEVENT(N1221,V1221)</f>
        <v/>
      </c>
      <c r="B1221" s="7" t="str">
        <f t="shared" si="57"/>
        <v/>
      </c>
      <c r="C1221" s="7"/>
      <c r="D1221" s="7" t="str">
        <f t="shared" si="58"/>
        <v>E</v>
      </c>
      <c r="E1221" s="10">
        <f t="shared" si="59"/>
        <v>0</v>
      </c>
      <c r="F1221" s="7" t="e">
        <f t="array" ref="F1221">+TIPOARMA(H1221,I1221)</f>
        <v>#VALUE!</v>
      </c>
      <c r="G1221" s="7"/>
      <c r="H1221" s="7" t="e">
        <f>+VLOOKUP(Q1221,Maps!I:J,2,0)</f>
        <v>#N/A</v>
      </c>
      <c r="I1221" s="7" t="e">
        <f>+VLOOKUP(T1221,Maps!E:F,2,0)</f>
        <v>#N/A</v>
      </c>
    </row>
    <row r="1222" spans="1:9" ht="14.25" customHeight="1" x14ac:dyDescent="0.35">
      <c r="A1222" s="7" t="str">
        <f t="array" ref="A1222">EXTRACTEVENT(N1222,V1222)</f>
        <v/>
      </c>
      <c r="B1222" s="7" t="str">
        <f t="shared" si="57"/>
        <v/>
      </c>
      <c r="C1222" s="7"/>
      <c r="D1222" s="7" t="str">
        <f t="shared" si="58"/>
        <v>E</v>
      </c>
      <c r="E1222" s="10">
        <f t="shared" si="59"/>
        <v>0</v>
      </c>
      <c r="F1222" s="7" t="e">
        <f t="array" ref="F1222">+TIPOARMA(H1222,I1222)</f>
        <v>#VALUE!</v>
      </c>
      <c r="G1222" s="7"/>
      <c r="H1222" s="7" t="e">
        <f>+VLOOKUP(Q1222,Maps!I:J,2,0)</f>
        <v>#N/A</v>
      </c>
      <c r="I1222" s="7" t="e">
        <f>+VLOOKUP(T1222,Maps!E:F,2,0)</f>
        <v>#N/A</v>
      </c>
    </row>
    <row r="1223" spans="1:9" ht="14.25" customHeight="1" x14ac:dyDescent="0.35">
      <c r="A1223" s="7" t="str">
        <f t="array" ref="A1223">EXTRACTEVENT(N1223,V1223)</f>
        <v/>
      </c>
      <c r="B1223" s="7" t="str">
        <f t="shared" si="57"/>
        <v/>
      </c>
      <c r="C1223" s="7"/>
      <c r="D1223" s="7" t="str">
        <f t="shared" si="58"/>
        <v>E</v>
      </c>
      <c r="E1223" s="10">
        <f t="shared" si="59"/>
        <v>0</v>
      </c>
      <c r="F1223" s="7" t="e">
        <f t="array" ref="F1223">+TIPOARMA(H1223,I1223)</f>
        <v>#VALUE!</v>
      </c>
      <c r="G1223" s="7"/>
      <c r="H1223" s="7" t="e">
        <f>+VLOOKUP(Q1223,Maps!I:J,2,0)</f>
        <v>#N/A</v>
      </c>
      <c r="I1223" s="7" t="e">
        <f>+VLOOKUP(T1223,Maps!E:F,2,0)</f>
        <v>#N/A</v>
      </c>
    </row>
    <row r="1224" spans="1:9" ht="14.25" customHeight="1" x14ac:dyDescent="0.35">
      <c r="A1224" s="7" t="str">
        <f t="array" ref="A1224">EXTRACTEVENT(N1224,V1224)</f>
        <v/>
      </c>
      <c r="B1224" s="7" t="str">
        <f t="shared" si="57"/>
        <v/>
      </c>
      <c r="C1224" s="7"/>
      <c r="D1224" s="7" t="str">
        <f t="shared" si="58"/>
        <v>E</v>
      </c>
      <c r="E1224" s="10">
        <f t="shared" si="59"/>
        <v>0</v>
      </c>
      <c r="F1224" s="7" t="e">
        <f t="array" ref="F1224">+TIPOARMA(H1224,I1224)</f>
        <v>#VALUE!</v>
      </c>
      <c r="G1224" s="7"/>
      <c r="H1224" s="7" t="e">
        <f>+VLOOKUP(Q1224,Maps!I:J,2,0)</f>
        <v>#N/A</v>
      </c>
      <c r="I1224" s="7" t="e">
        <f>+VLOOKUP(T1224,Maps!E:F,2,0)</f>
        <v>#N/A</v>
      </c>
    </row>
    <row r="1225" spans="1:9" ht="14.25" customHeight="1" x14ac:dyDescent="0.35">
      <c r="A1225" s="7" t="str">
        <f t="array" ref="A1225">EXTRACTEVENT(N1225,V1225)</f>
        <v/>
      </c>
      <c r="B1225" s="7" t="str">
        <f t="shared" si="57"/>
        <v/>
      </c>
      <c r="C1225" s="7"/>
      <c r="D1225" s="7" t="str">
        <f t="shared" si="58"/>
        <v>E</v>
      </c>
      <c r="E1225" s="10">
        <f t="shared" si="59"/>
        <v>0</v>
      </c>
      <c r="F1225" s="7" t="e">
        <f t="array" ref="F1225">+TIPOARMA(H1225,I1225)</f>
        <v>#VALUE!</v>
      </c>
      <c r="G1225" s="7"/>
      <c r="H1225" s="7" t="e">
        <f>+VLOOKUP(Q1225,Maps!I:J,2,0)</f>
        <v>#N/A</v>
      </c>
      <c r="I1225" s="7" t="e">
        <f>+VLOOKUP(T1225,Maps!E:F,2,0)</f>
        <v>#N/A</v>
      </c>
    </row>
    <row r="1226" spans="1:9" ht="14.25" customHeight="1" x14ac:dyDescent="0.35">
      <c r="A1226" s="7" t="str">
        <f t="array" ref="A1226">EXTRACTEVENT(N1226,V1226)</f>
        <v/>
      </c>
      <c r="B1226" s="7" t="str">
        <f t="shared" si="57"/>
        <v/>
      </c>
      <c r="C1226" s="7"/>
      <c r="D1226" s="7" t="str">
        <f t="shared" si="58"/>
        <v>E</v>
      </c>
      <c r="E1226" s="10">
        <f t="shared" si="59"/>
        <v>0</v>
      </c>
      <c r="F1226" s="7" t="e">
        <f t="array" ref="F1226">+TIPOARMA(H1226,I1226)</f>
        <v>#VALUE!</v>
      </c>
      <c r="G1226" s="7"/>
      <c r="H1226" s="7" t="e">
        <f>+VLOOKUP(Q1226,Maps!I:J,2,0)</f>
        <v>#N/A</v>
      </c>
      <c r="I1226" s="7" t="e">
        <f>+VLOOKUP(T1226,Maps!E:F,2,0)</f>
        <v>#N/A</v>
      </c>
    </row>
    <row r="1227" spans="1:9" ht="14.25" customHeight="1" x14ac:dyDescent="0.35">
      <c r="A1227" s="7" t="str">
        <f t="array" ref="A1227">EXTRACTEVENT(N1227,V1227)</f>
        <v/>
      </c>
      <c r="B1227" s="7" t="str">
        <f t="shared" si="57"/>
        <v/>
      </c>
      <c r="C1227" s="7"/>
      <c r="D1227" s="7" t="str">
        <f t="shared" si="58"/>
        <v>E</v>
      </c>
      <c r="E1227" s="10">
        <f t="shared" si="59"/>
        <v>0</v>
      </c>
      <c r="F1227" s="7" t="e">
        <f t="array" ref="F1227">+TIPOARMA(H1227,I1227)</f>
        <v>#VALUE!</v>
      </c>
      <c r="G1227" s="7"/>
      <c r="H1227" s="7" t="e">
        <f>+VLOOKUP(Q1227,Maps!I:J,2,0)</f>
        <v>#N/A</v>
      </c>
      <c r="I1227" s="7" t="e">
        <f>+VLOOKUP(T1227,Maps!E:F,2,0)</f>
        <v>#N/A</v>
      </c>
    </row>
    <row r="1228" spans="1:9" ht="14.25" customHeight="1" x14ac:dyDescent="0.35">
      <c r="A1228" s="7" t="str">
        <f t="array" ref="A1228">EXTRACTEVENT(N1228,V1228)</f>
        <v/>
      </c>
      <c r="B1228" s="7" t="str">
        <f t="shared" si="57"/>
        <v/>
      </c>
      <c r="C1228" s="7"/>
      <c r="D1228" s="7" t="str">
        <f t="shared" si="58"/>
        <v>E</v>
      </c>
      <c r="E1228" s="10">
        <f t="shared" si="59"/>
        <v>0</v>
      </c>
      <c r="F1228" s="7" t="e">
        <f t="array" ref="F1228">+TIPOARMA(H1228,I1228)</f>
        <v>#VALUE!</v>
      </c>
      <c r="G1228" s="7"/>
      <c r="H1228" s="7" t="e">
        <f>+VLOOKUP(Q1228,Maps!I:J,2,0)</f>
        <v>#N/A</v>
      </c>
      <c r="I1228" s="7" t="e">
        <f>+VLOOKUP(T1228,Maps!E:F,2,0)</f>
        <v>#N/A</v>
      </c>
    </row>
    <row r="1229" spans="1:9" ht="14.25" customHeight="1" x14ac:dyDescent="0.35">
      <c r="A1229" s="7" t="str">
        <f t="array" ref="A1229">EXTRACTEVENT(N1229,V1229)</f>
        <v/>
      </c>
      <c r="B1229" s="7" t="str">
        <f t="shared" si="57"/>
        <v/>
      </c>
      <c r="C1229" s="7"/>
      <c r="D1229" s="7" t="str">
        <f t="shared" si="58"/>
        <v>E</v>
      </c>
      <c r="E1229" s="10">
        <f t="shared" si="59"/>
        <v>0</v>
      </c>
      <c r="F1229" s="7" t="e">
        <f t="array" ref="F1229">+TIPOARMA(H1229,I1229)</f>
        <v>#VALUE!</v>
      </c>
      <c r="G1229" s="7"/>
      <c r="H1229" s="7" t="e">
        <f>+VLOOKUP(Q1229,Maps!I:J,2,0)</f>
        <v>#N/A</v>
      </c>
      <c r="I1229" s="7" t="e">
        <f>+VLOOKUP(T1229,Maps!E:F,2,0)</f>
        <v>#N/A</v>
      </c>
    </row>
    <row r="1230" spans="1:9" ht="14.25" customHeight="1" x14ac:dyDescent="0.35">
      <c r="A1230" s="7" t="str">
        <f t="array" ref="A1230">EXTRACTEVENT(N1230,V1230)</f>
        <v/>
      </c>
      <c r="B1230" s="7" t="str">
        <f t="shared" si="57"/>
        <v/>
      </c>
      <c r="C1230" s="7"/>
      <c r="D1230" s="7" t="str">
        <f t="shared" si="58"/>
        <v>E</v>
      </c>
      <c r="E1230" s="10">
        <f t="shared" si="59"/>
        <v>0</v>
      </c>
      <c r="F1230" s="7" t="e">
        <f t="array" ref="F1230">+TIPOARMA(H1230,I1230)</f>
        <v>#VALUE!</v>
      </c>
      <c r="G1230" s="7"/>
      <c r="H1230" s="7" t="e">
        <f>+VLOOKUP(Q1230,Maps!I:J,2,0)</f>
        <v>#N/A</v>
      </c>
      <c r="I1230" s="7" t="e">
        <f>+VLOOKUP(T1230,Maps!E:F,2,0)</f>
        <v>#N/A</v>
      </c>
    </row>
    <row r="1231" spans="1:9" ht="14.25" customHeight="1" x14ac:dyDescent="0.35">
      <c r="A1231" s="7" t="str">
        <f t="array" ref="A1231">EXTRACTEVENT(N1231,V1231)</f>
        <v/>
      </c>
      <c r="B1231" s="7" t="str">
        <f t="shared" si="57"/>
        <v/>
      </c>
      <c r="C1231" s="7"/>
      <c r="D1231" s="7" t="str">
        <f t="shared" si="58"/>
        <v>E</v>
      </c>
      <c r="E1231" s="10">
        <f t="shared" si="59"/>
        <v>0</v>
      </c>
      <c r="F1231" s="7" t="e">
        <f t="array" ref="F1231">+TIPOARMA(H1231,I1231)</f>
        <v>#VALUE!</v>
      </c>
      <c r="G1231" s="7"/>
      <c r="H1231" s="7" t="e">
        <f>+VLOOKUP(Q1231,Maps!I:J,2,0)</f>
        <v>#N/A</v>
      </c>
      <c r="I1231" s="7" t="e">
        <f>+VLOOKUP(T1231,Maps!E:F,2,0)</f>
        <v>#N/A</v>
      </c>
    </row>
    <row r="1232" spans="1:9" ht="14.25" customHeight="1" x14ac:dyDescent="0.35">
      <c r="A1232" s="7" t="str">
        <f t="array" ref="A1232">EXTRACTEVENT(N1232,V1232)</f>
        <v/>
      </c>
      <c r="B1232" s="7" t="str">
        <f t="shared" si="57"/>
        <v/>
      </c>
      <c r="C1232" s="7"/>
      <c r="D1232" s="7" t="str">
        <f t="shared" si="58"/>
        <v>E</v>
      </c>
      <c r="E1232" s="10">
        <f t="shared" si="59"/>
        <v>0</v>
      </c>
      <c r="F1232" s="7" t="e">
        <f t="array" ref="F1232">+TIPOARMA(H1232,I1232)</f>
        <v>#VALUE!</v>
      </c>
      <c r="G1232" s="7"/>
      <c r="H1232" s="7" t="e">
        <f>+VLOOKUP(Q1232,Maps!I:J,2,0)</f>
        <v>#N/A</v>
      </c>
      <c r="I1232" s="7" t="e">
        <f>+VLOOKUP(T1232,Maps!E:F,2,0)</f>
        <v>#N/A</v>
      </c>
    </row>
    <row r="1233" spans="1:9" ht="14.25" customHeight="1" x14ac:dyDescent="0.35">
      <c r="A1233" s="7" t="str">
        <f t="array" ref="A1233">EXTRACTEVENT(N1233,V1233)</f>
        <v/>
      </c>
      <c r="B1233" s="7" t="str">
        <f t="shared" si="57"/>
        <v/>
      </c>
      <c r="C1233" s="7"/>
      <c r="D1233" s="7" t="str">
        <f t="shared" si="58"/>
        <v>E</v>
      </c>
      <c r="E1233" s="10">
        <f t="shared" si="59"/>
        <v>0</v>
      </c>
      <c r="F1233" s="7" t="e">
        <f t="array" ref="F1233">+TIPOARMA(H1233,I1233)</f>
        <v>#VALUE!</v>
      </c>
      <c r="G1233" s="7"/>
      <c r="H1233" s="7" t="e">
        <f>+VLOOKUP(Q1233,Maps!I:J,2,0)</f>
        <v>#N/A</v>
      </c>
      <c r="I1233" s="7" t="e">
        <f>+VLOOKUP(T1233,Maps!E:F,2,0)</f>
        <v>#N/A</v>
      </c>
    </row>
    <row r="1234" spans="1:9" ht="14.25" customHeight="1" x14ac:dyDescent="0.35">
      <c r="A1234" s="7" t="str">
        <f t="array" ref="A1234">EXTRACTEVENT(N1234,V1234)</f>
        <v/>
      </c>
      <c r="B1234" s="7" t="str">
        <f t="shared" si="57"/>
        <v/>
      </c>
      <c r="C1234" s="7"/>
      <c r="D1234" s="7" t="str">
        <f t="shared" si="58"/>
        <v>E</v>
      </c>
      <c r="E1234" s="10">
        <f t="shared" si="59"/>
        <v>0</v>
      </c>
      <c r="F1234" s="7" t="e">
        <f t="array" ref="F1234">+TIPOARMA(H1234,I1234)</f>
        <v>#VALUE!</v>
      </c>
      <c r="G1234" s="7"/>
      <c r="H1234" s="7" t="e">
        <f>+VLOOKUP(Q1234,Maps!I:J,2,0)</f>
        <v>#N/A</v>
      </c>
      <c r="I1234" s="7" t="e">
        <f>+VLOOKUP(T1234,Maps!E:F,2,0)</f>
        <v>#N/A</v>
      </c>
    </row>
    <row r="1235" spans="1:9" ht="14.25" customHeight="1" x14ac:dyDescent="0.35">
      <c r="A1235" s="7" t="str">
        <f t="array" ref="A1235">EXTRACTEVENT(N1235,V1235)</f>
        <v/>
      </c>
      <c r="B1235" s="7" t="str">
        <f t="shared" si="57"/>
        <v/>
      </c>
      <c r="C1235" s="7"/>
      <c r="D1235" s="7" t="str">
        <f t="shared" si="58"/>
        <v>E</v>
      </c>
      <c r="E1235" s="10">
        <f t="shared" si="59"/>
        <v>0</v>
      </c>
      <c r="F1235" s="7" t="e">
        <f t="array" ref="F1235">+TIPOARMA(H1235,I1235)</f>
        <v>#VALUE!</v>
      </c>
      <c r="G1235" s="7"/>
      <c r="H1235" s="7" t="e">
        <f>+VLOOKUP(Q1235,Maps!I:J,2,0)</f>
        <v>#N/A</v>
      </c>
      <c r="I1235" s="7" t="e">
        <f>+VLOOKUP(T1235,Maps!E:F,2,0)</f>
        <v>#N/A</v>
      </c>
    </row>
    <row r="1236" spans="1:9" ht="14.25" customHeight="1" x14ac:dyDescent="0.35">
      <c r="A1236" s="7" t="str">
        <f t="array" ref="A1236">EXTRACTEVENT(N1236,V1236)</f>
        <v/>
      </c>
      <c r="B1236" s="7" t="str">
        <f t="shared" si="57"/>
        <v/>
      </c>
      <c r="C1236" s="7"/>
      <c r="D1236" s="7" t="str">
        <f t="shared" si="58"/>
        <v>E</v>
      </c>
      <c r="E1236" s="10">
        <f t="shared" si="59"/>
        <v>0</v>
      </c>
      <c r="F1236" s="7" t="e">
        <f t="array" ref="F1236">+TIPOARMA(H1236,I1236)</f>
        <v>#VALUE!</v>
      </c>
      <c r="G1236" s="7"/>
      <c r="H1236" s="7" t="e">
        <f>+VLOOKUP(Q1236,Maps!I:J,2,0)</f>
        <v>#N/A</v>
      </c>
      <c r="I1236" s="7" t="e">
        <f>+VLOOKUP(T1236,Maps!E:F,2,0)</f>
        <v>#N/A</v>
      </c>
    </row>
    <row r="1237" spans="1:9" ht="14.25" customHeight="1" x14ac:dyDescent="0.35">
      <c r="A1237" s="7" t="str">
        <f t="array" ref="A1237">EXTRACTEVENT(N1237,V1237)</f>
        <v/>
      </c>
      <c r="B1237" s="7" t="str">
        <f t="shared" si="57"/>
        <v/>
      </c>
      <c r="C1237" s="7"/>
      <c r="D1237" s="7" t="str">
        <f t="shared" si="58"/>
        <v>E</v>
      </c>
      <c r="E1237" s="10">
        <f t="shared" si="59"/>
        <v>0</v>
      </c>
      <c r="F1237" s="7" t="e">
        <f t="array" ref="F1237">+TIPOARMA(H1237,I1237)</f>
        <v>#VALUE!</v>
      </c>
      <c r="G1237" s="7"/>
      <c r="H1237" s="7" t="e">
        <f>+VLOOKUP(Q1237,Maps!I:J,2,0)</f>
        <v>#N/A</v>
      </c>
      <c r="I1237" s="7" t="e">
        <f>+VLOOKUP(T1237,Maps!E:F,2,0)</f>
        <v>#N/A</v>
      </c>
    </row>
    <row r="1238" spans="1:9" ht="14.25" customHeight="1" x14ac:dyDescent="0.35">
      <c r="A1238" s="7" t="str">
        <f t="array" ref="A1238">EXTRACTEVENT(N1238,V1238)</f>
        <v/>
      </c>
      <c r="B1238" s="7" t="str">
        <f t="shared" si="57"/>
        <v/>
      </c>
      <c r="C1238" s="7"/>
      <c r="D1238" s="7" t="str">
        <f t="shared" si="58"/>
        <v>E</v>
      </c>
      <c r="E1238" s="10">
        <f t="shared" si="59"/>
        <v>0</v>
      </c>
      <c r="F1238" s="7" t="e">
        <f t="array" ref="F1238">+TIPOARMA(H1238,I1238)</f>
        <v>#VALUE!</v>
      </c>
      <c r="G1238" s="7"/>
      <c r="H1238" s="7" t="e">
        <f>+VLOOKUP(Q1238,Maps!I:J,2,0)</f>
        <v>#N/A</v>
      </c>
      <c r="I1238" s="7" t="e">
        <f>+VLOOKUP(T1238,Maps!E:F,2,0)</f>
        <v>#N/A</v>
      </c>
    </row>
    <row r="1239" spans="1:9" ht="14.25" customHeight="1" x14ac:dyDescent="0.35">
      <c r="A1239" s="7" t="str">
        <f t="array" ref="A1239">EXTRACTEVENT(N1239,V1239)</f>
        <v/>
      </c>
      <c r="B1239" s="7" t="str">
        <f t="shared" si="57"/>
        <v/>
      </c>
      <c r="C1239" s="7"/>
      <c r="D1239" s="7" t="str">
        <f t="shared" si="58"/>
        <v>E</v>
      </c>
      <c r="E1239" s="10">
        <f t="shared" si="59"/>
        <v>0</v>
      </c>
      <c r="F1239" s="7" t="e">
        <f t="array" ref="F1239">+TIPOARMA(H1239,I1239)</f>
        <v>#VALUE!</v>
      </c>
      <c r="G1239" s="7"/>
      <c r="H1239" s="7" t="e">
        <f>+VLOOKUP(Q1239,Maps!I:J,2,0)</f>
        <v>#N/A</v>
      </c>
      <c r="I1239" s="7" t="e">
        <f>+VLOOKUP(T1239,Maps!E:F,2,0)</f>
        <v>#N/A</v>
      </c>
    </row>
    <row r="1240" spans="1:9" ht="14.25" customHeight="1" x14ac:dyDescent="0.35">
      <c r="A1240" s="7" t="str">
        <f t="array" ref="A1240">EXTRACTEVENT(N1240,V1240)</f>
        <v/>
      </c>
      <c r="B1240" s="7" t="str">
        <f t="shared" si="57"/>
        <v/>
      </c>
      <c r="C1240" s="7"/>
      <c r="D1240" s="7" t="str">
        <f t="shared" si="58"/>
        <v>E</v>
      </c>
      <c r="E1240" s="10">
        <f t="shared" si="59"/>
        <v>0</v>
      </c>
      <c r="F1240" s="7" t="e">
        <f t="array" ref="F1240">+TIPOARMA(H1240,I1240)</f>
        <v>#VALUE!</v>
      </c>
      <c r="G1240" s="7"/>
      <c r="H1240" s="7" t="e">
        <f>+VLOOKUP(Q1240,Maps!I:J,2,0)</f>
        <v>#N/A</v>
      </c>
      <c r="I1240" s="7" t="e">
        <f>+VLOOKUP(T1240,Maps!E:F,2,0)</f>
        <v>#N/A</v>
      </c>
    </row>
    <row r="1241" spans="1:9" ht="14.25" customHeight="1" x14ac:dyDescent="0.35">
      <c r="A1241" s="7" t="str">
        <f t="array" ref="A1241">EXTRACTEVENT(N1241,V1241)</f>
        <v/>
      </c>
      <c r="B1241" s="7" t="str">
        <f t="shared" si="57"/>
        <v/>
      </c>
      <c r="C1241" s="7"/>
      <c r="D1241" s="7" t="str">
        <f t="shared" si="58"/>
        <v>E</v>
      </c>
      <c r="E1241" s="10">
        <f t="shared" si="59"/>
        <v>0</v>
      </c>
      <c r="F1241" s="7" t="e">
        <f t="array" ref="F1241">+TIPOARMA(H1241,I1241)</f>
        <v>#VALUE!</v>
      </c>
      <c r="G1241" s="7"/>
      <c r="H1241" s="7" t="e">
        <f>+VLOOKUP(Q1241,Maps!I:J,2,0)</f>
        <v>#N/A</v>
      </c>
      <c r="I1241" s="7" t="e">
        <f>+VLOOKUP(T1241,Maps!E:F,2,0)</f>
        <v>#N/A</v>
      </c>
    </row>
    <row r="1242" spans="1:9" ht="14.25" customHeight="1" x14ac:dyDescent="0.35">
      <c r="A1242" s="7" t="str">
        <f t="array" ref="A1242">EXTRACTEVENT(N1242,V1242)</f>
        <v/>
      </c>
      <c r="B1242" s="7" t="str">
        <f t="shared" si="57"/>
        <v/>
      </c>
      <c r="C1242" s="7"/>
      <c r="D1242" s="7" t="str">
        <f t="shared" si="58"/>
        <v>E</v>
      </c>
      <c r="E1242" s="10">
        <f t="shared" si="59"/>
        <v>0</v>
      </c>
      <c r="F1242" s="7" t="e">
        <f t="array" ref="F1242">+TIPOARMA(H1242,I1242)</f>
        <v>#VALUE!</v>
      </c>
      <c r="G1242" s="7"/>
      <c r="H1242" s="7" t="e">
        <f>+VLOOKUP(Q1242,Maps!I:J,2,0)</f>
        <v>#N/A</v>
      </c>
      <c r="I1242" s="7" t="e">
        <f>+VLOOKUP(T1242,Maps!E:F,2,0)</f>
        <v>#N/A</v>
      </c>
    </row>
    <row r="1243" spans="1:9" ht="14.25" customHeight="1" x14ac:dyDescent="0.35">
      <c r="A1243" s="7" t="str">
        <f t="array" ref="A1243">EXTRACTEVENT(N1243,V1243)</f>
        <v/>
      </c>
      <c r="B1243" s="7" t="str">
        <f t="shared" si="57"/>
        <v/>
      </c>
      <c r="C1243" s="7"/>
      <c r="D1243" s="7" t="str">
        <f t="shared" si="58"/>
        <v>E</v>
      </c>
      <c r="E1243" s="10">
        <f t="shared" si="59"/>
        <v>0</v>
      </c>
      <c r="F1243" s="7" t="e">
        <f t="array" ref="F1243">+TIPOARMA(H1243,I1243)</f>
        <v>#VALUE!</v>
      </c>
      <c r="G1243" s="7"/>
      <c r="H1243" s="7" t="e">
        <f>+VLOOKUP(Q1243,Maps!I:J,2,0)</f>
        <v>#N/A</v>
      </c>
      <c r="I1243" s="7" t="e">
        <f>+VLOOKUP(T1243,Maps!E:F,2,0)</f>
        <v>#N/A</v>
      </c>
    </row>
    <row r="1244" spans="1:9" ht="14.25" customHeight="1" x14ac:dyDescent="0.35">
      <c r="A1244" s="7" t="str">
        <f t="array" ref="A1244">EXTRACTEVENT(N1244,V1244)</f>
        <v/>
      </c>
      <c r="B1244" s="7" t="str">
        <f t="shared" si="57"/>
        <v/>
      </c>
      <c r="C1244" s="7"/>
      <c r="D1244" s="7" t="str">
        <f t="shared" si="58"/>
        <v>E</v>
      </c>
      <c r="E1244" s="10">
        <f t="shared" si="59"/>
        <v>0</v>
      </c>
      <c r="F1244" s="7" t="e">
        <f t="array" ref="F1244">+TIPOARMA(H1244,I1244)</f>
        <v>#VALUE!</v>
      </c>
      <c r="G1244" s="7"/>
      <c r="H1244" s="7" t="e">
        <f>+VLOOKUP(Q1244,Maps!I:J,2,0)</f>
        <v>#N/A</v>
      </c>
      <c r="I1244" s="7" t="e">
        <f>+VLOOKUP(T1244,Maps!E:F,2,0)</f>
        <v>#N/A</v>
      </c>
    </row>
    <row r="1245" spans="1:9" ht="14.25" customHeight="1" x14ac:dyDescent="0.35">
      <c r="A1245" s="7" t="str">
        <f t="array" ref="A1245">EXTRACTEVENT(N1245,V1245)</f>
        <v/>
      </c>
      <c r="B1245" s="7" t="str">
        <f t="shared" si="57"/>
        <v/>
      </c>
      <c r="C1245" s="7"/>
      <c r="D1245" s="7" t="str">
        <f t="shared" si="58"/>
        <v>E</v>
      </c>
      <c r="E1245" s="10">
        <f t="shared" si="59"/>
        <v>0</v>
      </c>
      <c r="F1245" s="7" t="e">
        <f t="array" ref="F1245">+TIPOARMA(H1245,I1245)</f>
        <v>#VALUE!</v>
      </c>
      <c r="G1245" s="7"/>
      <c r="H1245" s="7" t="e">
        <f>+VLOOKUP(Q1245,Maps!I:J,2,0)</f>
        <v>#N/A</v>
      </c>
      <c r="I1245" s="7" t="e">
        <f>+VLOOKUP(T1245,Maps!E:F,2,0)</f>
        <v>#N/A</v>
      </c>
    </row>
    <row r="1246" spans="1:9" ht="14.25" customHeight="1" x14ac:dyDescent="0.35">
      <c r="A1246" s="7" t="str">
        <f t="array" ref="A1246">EXTRACTEVENT(N1246,V1246)</f>
        <v/>
      </c>
      <c r="B1246" s="7" t="str">
        <f t="shared" si="57"/>
        <v/>
      </c>
      <c r="C1246" s="7"/>
      <c r="D1246" s="7" t="str">
        <f t="shared" si="58"/>
        <v>E</v>
      </c>
      <c r="E1246" s="10">
        <f t="shared" si="59"/>
        <v>0</v>
      </c>
      <c r="F1246" s="7" t="e">
        <f t="array" ref="F1246">+TIPOARMA(H1246,I1246)</f>
        <v>#VALUE!</v>
      </c>
      <c r="G1246" s="7"/>
      <c r="H1246" s="7" t="e">
        <f>+VLOOKUP(Q1246,Maps!I:J,2,0)</f>
        <v>#N/A</v>
      </c>
      <c r="I1246" s="7" t="e">
        <f>+VLOOKUP(T1246,Maps!E:F,2,0)</f>
        <v>#N/A</v>
      </c>
    </row>
    <row r="1247" spans="1:9" ht="14.25" customHeight="1" x14ac:dyDescent="0.35">
      <c r="A1247" s="7" t="str">
        <f t="array" ref="A1247">EXTRACTEVENT(N1247,V1247)</f>
        <v/>
      </c>
      <c r="B1247" s="7" t="str">
        <f t="shared" si="57"/>
        <v/>
      </c>
      <c r="C1247" s="7"/>
      <c r="D1247" s="7" t="str">
        <f t="shared" si="58"/>
        <v>E</v>
      </c>
      <c r="E1247" s="10">
        <f t="shared" si="59"/>
        <v>0</v>
      </c>
      <c r="F1247" s="7" t="e">
        <f t="array" ref="F1247">+TIPOARMA(H1247,I1247)</f>
        <v>#VALUE!</v>
      </c>
      <c r="G1247" s="7"/>
      <c r="H1247" s="7" t="e">
        <f>+VLOOKUP(Q1247,Maps!I:J,2,0)</f>
        <v>#N/A</v>
      </c>
      <c r="I1247" s="7" t="e">
        <f>+VLOOKUP(T1247,Maps!E:F,2,0)</f>
        <v>#N/A</v>
      </c>
    </row>
    <row r="1248" spans="1:9" ht="14.25" customHeight="1" x14ac:dyDescent="0.35">
      <c r="A1248" s="7" t="str">
        <f t="array" ref="A1248">EXTRACTEVENT(N1248,V1248)</f>
        <v/>
      </c>
      <c r="B1248" s="7" t="str">
        <f t="shared" si="57"/>
        <v/>
      </c>
      <c r="C1248" s="7"/>
      <c r="D1248" s="7" t="str">
        <f t="shared" si="58"/>
        <v>E</v>
      </c>
      <c r="E1248" s="10">
        <f t="shared" si="59"/>
        <v>0</v>
      </c>
      <c r="F1248" s="7" t="e">
        <f t="array" ref="F1248">+TIPOARMA(H1248,I1248)</f>
        <v>#VALUE!</v>
      </c>
      <c r="G1248" s="7"/>
      <c r="H1248" s="7" t="e">
        <f>+VLOOKUP(Q1248,Maps!I:J,2,0)</f>
        <v>#N/A</v>
      </c>
      <c r="I1248" s="7" t="e">
        <f>+VLOOKUP(T1248,Maps!E:F,2,0)</f>
        <v>#N/A</v>
      </c>
    </row>
    <row r="1249" spans="1:9" ht="14.25" customHeight="1" x14ac:dyDescent="0.35">
      <c r="A1249" s="7" t="str">
        <f t="array" ref="A1249">EXTRACTEVENT(N1249,V1249)</f>
        <v/>
      </c>
      <c r="B1249" s="7" t="str">
        <f t="shared" si="57"/>
        <v/>
      </c>
      <c r="C1249" s="7"/>
      <c r="D1249" s="7" t="str">
        <f t="shared" si="58"/>
        <v>E</v>
      </c>
      <c r="E1249" s="10">
        <f t="shared" si="59"/>
        <v>0</v>
      </c>
      <c r="F1249" s="7" t="e">
        <f t="array" ref="F1249">+TIPOARMA(H1249,I1249)</f>
        <v>#VALUE!</v>
      </c>
      <c r="G1249" s="7"/>
      <c r="H1249" s="7" t="e">
        <f>+VLOOKUP(Q1249,Maps!I:J,2,0)</f>
        <v>#N/A</v>
      </c>
      <c r="I1249" s="7" t="e">
        <f>+VLOOKUP(T1249,Maps!E:F,2,0)</f>
        <v>#N/A</v>
      </c>
    </row>
    <row r="1250" spans="1:9" ht="14.25" customHeight="1" x14ac:dyDescent="0.35">
      <c r="A1250" s="7" t="str">
        <f t="array" ref="A1250">EXTRACTEVENT(N1250,V1250)</f>
        <v/>
      </c>
      <c r="B1250" s="7" t="str">
        <f t="shared" si="57"/>
        <v/>
      </c>
      <c r="C1250" s="7"/>
      <c r="D1250" s="7" t="str">
        <f t="shared" si="58"/>
        <v>E</v>
      </c>
      <c r="E1250" s="10">
        <f t="shared" si="59"/>
        <v>0</v>
      </c>
      <c r="F1250" s="7" t="e">
        <f t="array" ref="F1250">+TIPOARMA(H1250,I1250)</f>
        <v>#VALUE!</v>
      </c>
      <c r="G1250" s="7"/>
      <c r="H1250" s="7" t="e">
        <f>+VLOOKUP(Q1250,Maps!I:J,2,0)</f>
        <v>#N/A</v>
      </c>
      <c r="I1250" s="7" t="e">
        <f>+VLOOKUP(T1250,Maps!E:F,2,0)</f>
        <v>#N/A</v>
      </c>
    </row>
    <row r="1251" spans="1:9" ht="14.25" customHeight="1" x14ac:dyDescent="0.35">
      <c r="A1251" s="7" t="str">
        <f t="array" ref="A1251">EXTRACTEVENT(N1251,V1251)</f>
        <v/>
      </c>
      <c r="B1251" s="7" t="str">
        <f t="shared" si="57"/>
        <v/>
      </c>
      <c r="C1251" s="7"/>
      <c r="D1251" s="7" t="str">
        <f t="shared" si="58"/>
        <v>E</v>
      </c>
      <c r="E1251" s="10">
        <f t="shared" si="59"/>
        <v>0</v>
      </c>
      <c r="F1251" s="7" t="e">
        <f t="array" ref="F1251">+TIPOARMA(H1251,I1251)</f>
        <v>#VALUE!</v>
      </c>
      <c r="G1251" s="7"/>
      <c r="H1251" s="7" t="e">
        <f>+VLOOKUP(Q1251,Maps!I:J,2,0)</f>
        <v>#N/A</v>
      </c>
      <c r="I1251" s="7" t="e">
        <f>+VLOOKUP(T1251,Maps!E:F,2,0)</f>
        <v>#N/A</v>
      </c>
    </row>
    <row r="1252" spans="1:9" ht="14.25" customHeight="1" x14ac:dyDescent="0.35">
      <c r="A1252" s="7" t="str">
        <f t="array" ref="A1252">EXTRACTEVENT(N1252,V1252)</f>
        <v/>
      </c>
      <c r="B1252" s="7" t="str">
        <f t="shared" si="57"/>
        <v/>
      </c>
      <c r="C1252" s="7"/>
      <c r="D1252" s="7" t="str">
        <f t="shared" si="58"/>
        <v>E</v>
      </c>
      <c r="E1252" s="10">
        <f t="shared" si="59"/>
        <v>0</v>
      </c>
      <c r="F1252" s="7" t="e">
        <f t="array" ref="F1252">+TIPOARMA(H1252,I1252)</f>
        <v>#VALUE!</v>
      </c>
      <c r="G1252" s="7"/>
      <c r="H1252" s="7" t="e">
        <f>+VLOOKUP(Q1252,Maps!I:J,2,0)</f>
        <v>#N/A</v>
      </c>
      <c r="I1252" s="7" t="e">
        <f>+VLOOKUP(T1252,Maps!E:F,2,0)</f>
        <v>#N/A</v>
      </c>
    </row>
    <row r="1253" spans="1:9" ht="14.25" customHeight="1" x14ac:dyDescent="0.35">
      <c r="A1253" s="7" t="str">
        <f t="array" ref="A1253">EXTRACTEVENT(N1253,V1253)</f>
        <v/>
      </c>
      <c r="B1253" s="7" t="str">
        <f t="shared" si="57"/>
        <v/>
      </c>
      <c r="C1253" s="7"/>
      <c r="D1253" s="7" t="str">
        <f t="shared" si="58"/>
        <v>E</v>
      </c>
      <c r="E1253" s="10">
        <f t="shared" si="59"/>
        <v>0</v>
      </c>
      <c r="F1253" s="7" t="e">
        <f t="array" ref="F1253">+TIPOARMA(H1253,I1253)</f>
        <v>#VALUE!</v>
      </c>
      <c r="G1253" s="7"/>
      <c r="H1253" s="7" t="e">
        <f>+VLOOKUP(Q1253,Maps!I:J,2,0)</f>
        <v>#N/A</v>
      </c>
      <c r="I1253" s="7" t="e">
        <f>+VLOOKUP(T1253,Maps!E:F,2,0)</f>
        <v>#N/A</v>
      </c>
    </row>
    <row r="1254" spans="1:9" ht="14.25" customHeight="1" x14ac:dyDescent="0.35">
      <c r="A1254" s="7" t="str">
        <f t="array" ref="A1254">EXTRACTEVENT(N1254,V1254)</f>
        <v/>
      </c>
      <c r="B1254" s="7" t="str">
        <f t="shared" si="57"/>
        <v/>
      </c>
      <c r="C1254" s="7"/>
      <c r="D1254" s="7" t="str">
        <f t="shared" si="58"/>
        <v>E</v>
      </c>
      <c r="E1254" s="10">
        <f t="shared" si="59"/>
        <v>0</v>
      </c>
      <c r="F1254" s="7" t="e">
        <f t="array" ref="F1254">+TIPOARMA(H1254,I1254)</f>
        <v>#VALUE!</v>
      </c>
      <c r="G1254" s="7"/>
      <c r="H1254" s="7" t="e">
        <f>+VLOOKUP(Q1254,Maps!I:J,2,0)</f>
        <v>#N/A</v>
      </c>
      <c r="I1254" s="7" t="e">
        <f>+VLOOKUP(T1254,Maps!E:F,2,0)</f>
        <v>#N/A</v>
      </c>
    </row>
    <row r="1255" spans="1:9" ht="14.25" customHeight="1" x14ac:dyDescent="0.35">
      <c r="A1255" s="7" t="str">
        <f t="array" ref="A1255">EXTRACTEVENT(N1255,V1255)</f>
        <v/>
      </c>
      <c r="B1255" s="7" t="str">
        <f t="shared" si="57"/>
        <v/>
      </c>
      <c r="C1255" s="7"/>
      <c r="D1255" s="7" t="str">
        <f t="shared" si="58"/>
        <v>E</v>
      </c>
      <c r="E1255" s="10">
        <f t="shared" si="59"/>
        <v>0</v>
      </c>
      <c r="F1255" s="7" t="e">
        <f t="array" ref="F1255">+TIPOARMA(H1255,I1255)</f>
        <v>#VALUE!</v>
      </c>
      <c r="G1255" s="7"/>
      <c r="H1255" s="7" t="e">
        <f>+VLOOKUP(Q1255,Maps!I:J,2,0)</f>
        <v>#N/A</v>
      </c>
      <c r="I1255" s="7" t="e">
        <f>+VLOOKUP(T1255,Maps!E:F,2,0)</f>
        <v>#N/A</v>
      </c>
    </row>
    <row r="1256" spans="1:9" ht="14.25" customHeight="1" x14ac:dyDescent="0.35">
      <c r="A1256" s="7" t="str">
        <f t="array" ref="A1256">EXTRACTEVENT(N1256,V1256)</f>
        <v/>
      </c>
      <c r="B1256" s="7" t="str">
        <f t="shared" si="57"/>
        <v/>
      </c>
      <c r="C1256" s="7"/>
      <c r="D1256" s="7" t="str">
        <f t="shared" si="58"/>
        <v>E</v>
      </c>
      <c r="E1256" s="10">
        <f t="shared" si="59"/>
        <v>0</v>
      </c>
      <c r="F1256" s="7" t="e">
        <f t="array" ref="F1256">+TIPOARMA(H1256,I1256)</f>
        <v>#VALUE!</v>
      </c>
      <c r="G1256" s="7"/>
      <c r="H1256" s="7" t="e">
        <f>+VLOOKUP(Q1256,Maps!I:J,2,0)</f>
        <v>#N/A</v>
      </c>
      <c r="I1256" s="7" t="e">
        <f>+VLOOKUP(T1256,Maps!E:F,2,0)</f>
        <v>#N/A</v>
      </c>
    </row>
    <row r="1257" spans="1:9" ht="14.25" customHeight="1" x14ac:dyDescent="0.35">
      <c r="A1257" s="7" t="str">
        <f t="array" ref="A1257">EXTRACTEVENT(N1257,V1257)</f>
        <v/>
      </c>
      <c r="B1257" s="7" t="str">
        <f t="shared" si="57"/>
        <v/>
      </c>
      <c r="C1257" s="7"/>
      <c r="D1257" s="7" t="str">
        <f t="shared" si="58"/>
        <v>E</v>
      </c>
      <c r="E1257" s="10">
        <f t="shared" si="59"/>
        <v>0</v>
      </c>
      <c r="F1257" s="7" t="e">
        <f t="array" ref="F1257">+TIPOARMA(H1257,I1257)</f>
        <v>#VALUE!</v>
      </c>
      <c r="G1257" s="7"/>
      <c r="H1257" s="7" t="e">
        <f>+VLOOKUP(Q1257,Maps!I:J,2,0)</f>
        <v>#N/A</v>
      </c>
      <c r="I1257" s="7" t="e">
        <f>+VLOOKUP(T1257,Maps!E:F,2,0)</f>
        <v>#N/A</v>
      </c>
    </row>
    <row r="1258" spans="1:9" ht="14.25" customHeight="1" x14ac:dyDescent="0.35">
      <c r="A1258" s="7" t="str">
        <f t="array" ref="A1258">EXTRACTEVENT(N1258,V1258)</f>
        <v/>
      </c>
      <c r="B1258" s="7" t="str">
        <f t="shared" si="57"/>
        <v/>
      </c>
      <c r="C1258" s="7"/>
      <c r="D1258" s="7" t="str">
        <f t="shared" si="58"/>
        <v>E</v>
      </c>
      <c r="E1258" s="10">
        <f t="shared" si="59"/>
        <v>0</v>
      </c>
      <c r="F1258" s="7" t="e">
        <f t="array" ref="F1258">+TIPOARMA(H1258,I1258)</f>
        <v>#VALUE!</v>
      </c>
      <c r="G1258" s="7"/>
      <c r="H1258" s="7" t="e">
        <f>+VLOOKUP(Q1258,Maps!I:J,2,0)</f>
        <v>#N/A</v>
      </c>
      <c r="I1258" s="7" t="e">
        <f>+VLOOKUP(T1258,Maps!E:F,2,0)</f>
        <v>#N/A</v>
      </c>
    </row>
    <row r="1259" spans="1:9" ht="14.25" customHeight="1" x14ac:dyDescent="0.35">
      <c r="A1259" s="7" t="str">
        <f t="array" ref="A1259">EXTRACTEVENT(N1259,V1259)</f>
        <v/>
      </c>
      <c r="B1259" s="7" t="str">
        <f t="shared" si="57"/>
        <v/>
      </c>
      <c r="C1259" s="7"/>
      <c r="D1259" s="7" t="str">
        <f t="shared" si="58"/>
        <v>E</v>
      </c>
      <c r="E1259" s="10">
        <f t="shared" si="59"/>
        <v>0</v>
      </c>
      <c r="F1259" s="7" t="e">
        <f t="array" ref="F1259">+TIPOARMA(H1259,I1259)</f>
        <v>#VALUE!</v>
      </c>
      <c r="G1259" s="7"/>
      <c r="H1259" s="7" t="e">
        <f>+VLOOKUP(Q1259,Maps!I:J,2,0)</f>
        <v>#N/A</v>
      </c>
      <c r="I1259" s="7" t="e">
        <f>+VLOOKUP(T1259,Maps!E:F,2,0)</f>
        <v>#N/A</v>
      </c>
    </row>
    <row r="1260" spans="1:9" ht="14.25" customHeight="1" x14ac:dyDescent="0.35">
      <c r="A1260" s="7" t="str">
        <f t="array" ref="A1260">EXTRACTEVENT(N1260,V1260)</f>
        <v/>
      </c>
      <c r="B1260" s="7" t="str">
        <f t="shared" si="57"/>
        <v/>
      </c>
      <c r="C1260" s="7"/>
      <c r="D1260" s="7" t="str">
        <f t="shared" si="58"/>
        <v>E</v>
      </c>
      <c r="E1260" s="10">
        <f t="shared" si="59"/>
        <v>0</v>
      </c>
      <c r="F1260" s="7" t="e">
        <f t="array" ref="F1260">+TIPOARMA(H1260,I1260)</f>
        <v>#VALUE!</v>
      </c>
      <c r="G1260" s="7"/>
      <c r="H1260" s="7" t="e">
        <f>+VLOOKUP(Q1260,Maps!I:J,2,0)</f>
        <v>#N/A</v>
      </c>
      <c r="I1260" s="7" t="e">
        <f>+VLOOKUP(T1260,Maps!E:F,2,0)</f>
        <v>#N/A</v>
      </c>
    </row>
    <row r="1261" spans="1:9" ht="14.25" customHeight="1" x14ac:dyDescent="0.35">
      <c r="A1261" s="7" t="str">
        <f t="array" ref="A1261">EXTRACTEVENT(N1261,V1261)</f>
        <v/>
      </c>
      <c r="B1261" s="7" t="str">
        <f t="shared" si="57"/>
        <v/>
      </c>
      <c r="C1261" s="7"/>
      <c r="D1261" s="7" t="str">
        <f t="shared" si="58"/>
        <v>E</v>
      </c>
      <c r="E1261" s="10">
        <f t="shared" si="59"/>
        <v>0</v>
      </c>
      <c r="F1261" s="7" t="e">
        <f t="array" ref="F1261">+TIPOARMA(H1261,I1261)</f>
        <v>#VALUE!</v>
      </c>
      <c r="G1261" s="7"/>
      <c r="H1261" s="7" t="e">
        <f>+VLOOKUP(Q1261,Maps!I:J,2,0)</f>
        <v>#N/A</v>
      </c>
      <c r="I1261" s="7" t="e">
        <f>+VLOOKUP(T1261,Maps!E:F,2,0)</f>
        <v>#N/A</v>
      </c>
    </row>
    <row r="1262" spans="1:9" ht="14.25" customHeight="1" x14ac:dyDescent="0.35">
      <c r="A1262" s="7" t="str">
        <f t="array" ref="A1262">EXTRACTEVENT(N1262,V1262)</f>
        <v/>
      </c>
      <c r="B1262" s="7" t="str">
        <f t="shared" si="57"/>
        <v/>
      </c>
      <c r="C1262" s="7"/>
      <c r="D1262" s="7" t="str">
        <f t="shared" si="58"/>
        <v>E</v>
      </c>
      <c r="E1262" s="10">
        <f t="shared" si="59"/>
        <v>0</v>
      </c>
      <c r="F1262" s="7" t="e">
        <f t="array" ref="F1262">+TIPOARMA(H1262,I1262)</f>
        <v>#VALUE!</v>
      </c>
      <c r="G1262" s="7"/>
      <c r="H1262" s="7" t="e">
        <f>+VLOOKUP(Q1262,Maps!I:J,2,0)</f>
        <v>#N/A</v>
      </c>
      <c r="I1262" s="7" t="e">
        <f>+VLOOKUP(T1262,Maps!E:F,2,0)</f>
        <v>#N/A</v>
      </c>
    </row>
    <row r="1263" spans="1:9" ht="14.25" customHeight="1" x14ac:dyDescent="0.35">
      <c r="A1263" s="7" t="str">
        <f t="array" ref="A1263">EXTRACTEVENT(N1263,V1263)</f>
        <v/>
      </c>
      <c r="B1263" s="7" t="str">
        <f t="shared" si="57"/>
        <v/>
      </c>
      <c r="C1263" s="7"/>
      <c r="D1263" s="7" t="str">
        <f t="shared" si="58"/>
        <v>E</v>
      </c>
      <c r="E1263" s="10">
        <f t="shared" si="59"/>
        <v>0</v>
      </c>
      <c r="F1263" s="7" t="e">
        <f t="array" ref="F1263">+TIPOARMA(H1263,I1263)</f>
        <v>#VALUE!</v>
      </c>
      <c r="G1263" s="7"/>
      <c r="H1263" s="7" t="e">
        <f>+VLOOKUP(Q1263,Maps!I:J,2,0)</f>
        <v>#N/A</v>
      </c>
      <c r="I1263" s="7" t="e">
        <f>+VLOOKUP(T1263,Maps!E:F,2,0)</f>
        <v>#N/A</v>
      </c>
    </row>
    <row r="1264" spans="1:9" ht="14.25" customHeight="1" x14ac:dyDescent="0.35">
      <c r="A1264" s="7" t="str">
        <f t="array" ref="A1264">EXTRACTEVENT(N1264,V1264)</f>
        <v/>
      </c>
      <c r="B1264" s="7" t="str">
        <f t="shared" si="57"/>
        <v/>
      </c>
      <c r="C1264" s="7"/>
      <c r="D1264" s="7" t="str">
        <f t="shared" si="58"/>
        <v>E</v>
      </c>
      <c r="E1264" s="10">
        <f t="shared" si="59"/>
        <v>0</v>
      </c>
      <c r="F1264" s="7" t="e">
        <f t="array" ref="F1264">+TIPOARMA(H1264,I1264)</f>
        <v>#VALUE!</v>
      </c>
      <c r="G1264" s="7"/>
      <c r="H1264" s="7" t="e">
        <f>+VLOOKUP(Q1264,Maps!I:J,2,0)</f>
        <v>#N/A</v>
      </c>
      <c r="I1264" s="7" t="e">
        <f>+VLOOKUP(T1264,Maps!E:F,2,0)</f>
        <v>#N/A</v>
      </c>
    </row>
    <row r="1265" spans="1:9" ht="14.25" customHeight="1" x14ac:dyDescent="0.35">
      <c r="A1265" s="7" t="str">
        <f t="array" ref="A1265">EXTRACTEVENT(N1265,V1265)</f>
        <v/>
      </c>
      <c r="B1265" s="7" t="str">
        <f t="shared" si="57"/>
        <v/>
      </c>
      <c r="C1265" s="7"/>
      <c r="D1265" s="7" t="str">
        <f t="shared" si="58"/>
        <v>E</v>
      </c>
      <c r="E1265" s="10">
        <f t="shared" si="59"/>
        <v>0</v>
      </c>
      <c r="F1265" s="7" t="e">
        <f t="array" ref="F1265">+TIPOARMA(H1265,I1265)</f>
        <v>#VALUE!</v>
      </c>
      <c r="G1265" s="7"/>
      <c r="H1265" s="7" t="e">
        <f>+VLOOKUP(Q1265,Maps!I:J,2,0)</f>
        <v>#N/A</v>
      </c>
      <c r="I1265" s="7" t="e">
        <f>+VLOOKUP(T1265,Maps!E:F,2,0)</f>
        <v>#N/A</v>
      </c>
    </row>
    <row r="1266" spans="1:9" ht="14.25" customHeight="1" x14ac:dyDescent="0.35">
      <c r="A1266" s="7" t="str">
        <f t="array" ref="A1266">EXTRACTEVENT(N1266,V1266)</f>
        <v/>
      </c>
      <c r="B1266" s="7" t="str">
        <f t="shared" si="57"/>
        <v/>
      </c>
      <c r="C1266" s="7"/>
      <c r="D1266" s="7" t="str">
        <f t="shared" si="58"/>
        <v>E</v>
      </c>
      <c r="E1266" s="10">
        <f t="shared" si="59"/>
        <v>0</v>
      </c>
      <c r="F1266" s="7" t="e">
        <f t="array" ref="F1266">+TIPOARMA(H1266,I1266)</f>
        <v>#VALUE!</v>
      </c>
      <c r="G1266" s="7"/>
      <c r="H1266" s="7" t="e">
        <f>+VLOOKUP(Q1266,Maps!I:J,2,0)</f>
        <v>#N/A</v>
      </c>
      <c r="I1266" s="7" t="e">
        <f>+VLOOKUP(T1266,Maps!E:F,2,0)</f>
        <v>#N/A</v>
      </c>
    </row>
    <row r="1267" spans="1:9" ht="14.25" customHeight="1" x14ac:dyDescent="0.35">
      <c r="A1267" s="7" t="str">
        <f t="array" ref="A1267">EXTRACTEVENT(N1267,V1267)</f>
        <v/>
      </c>
      <c r="B1267" s="7" t="str">
        <f t="shared" si="57"/>
        <v/>
      </c>
      <c r="C1267" s="7"/>
      <c r="D1267" s="7" t="str">
        <f t="shared" si="58"/>
        <v>E</v>
      </c>
      <c r="E1267" s="10">
        <f t="shared" si="59"/>
        <v>0</v>
      </c>
      <c r="F1267" s="7" t="e">
        <f t="array" ref="F1267">+TIPOARMA(H1267,I1267)</f>
        <v>#VALUE!</v>
      </c>
      <c r="G1267" s="7"/>
      <c r="H1267" s="7" t="e">
        <f>+VLOOKUP(Q1267,Maps!I:J,2,0)</f>
        <v>#N/A</v>
      </c>
      <c r="I1267" s="7" t="e">
        <f>+VLOOKUP(T1267,Maps!E:F,2,0)</f>
        <v>#N/A</v>
      </c>
    </row>
    <row r="1268" spans="1:9" ht="14.25" customHeight="1" x14ac:dyDescent="0.35">
      <c r="A1268" s="7" t="str">
        <f t="array" ref="A1268">EXTRACTEVENT(N1268,V1268)</f>
        <v/>
      </c>
      <c r="B1268" s="7" t="str">
        <f t="shared" si="57"/>
        <v/>
      </c>
      <c r="C1268" s="7"/>
      <c r="D1268" s="7" t="str">
        <f t="shared" si="58"/>
        <v>E</v>
      </c>
      <c r="E1268" s="10">
        <f t="shared" si="59"/>
        <v>0</v>
      </c>
      <c r="F1268" s="7" t="e">
        <f t="array" ref="F1268">+TIPOARMA(H1268,I1268)</f>
        <v>#VALUE!</v>
      </c>
      <c r="G1268" s="7"/>
      <c r="H1268" s="7" t="e">
        <f>+VLOOKUP(Q1268,Maps!I:J,2,0)</f>
        <v>#N/A</v>
      </c>
      <c r="I1268" s="7" t="e">
        <f>+VLOOKUP(T1268,Maps!E:F,2,0)</f>
        <v>#N/A</v>
      </c>
    </row>
    <row r="1269" spans="1:9" ht="14.25" customHeight="1" x14ac:dyDescent="0.35">
      <c r="A1269" s="7" t="str">
        <f t="array" ref="A1269">EXTRACTEVENT(N1269,V1269)</f>
        <v/>
      </c>
      <c r="B1269" s="7" t="str">
        <f t="shared" si="57"/>
        <v/>
      </c>
      <c r="C1269" s="7"/>
      <c r="D1269" s="7" t="str">
        <f t="shared" si="58"/>
        <v>E</v>
      </c>
      <c r="E1269" s="10">
        <f t="shared" si="59"/>
        <v>0</v>
      </c>
      <c r="F1269" s="7" t="e">
        <f t="array" ref="F1269">+TIPOARMA(H1269,I1269)</f>
        <v>#VALUE!</v>
      </c>
      <c r="G1269" s="7"/>
      <c r="H1269" s="7" t="e">
        <f>+VLOOKUP(Q1269,Maps!I:J,2,0)</f>
        <v>#N/A</v>
      </c>
      <c r="I1269" s="7" t="e">
        <f>+VLOOKUP(T1269,Maps!E:F,2,0)</f>
        <v>#N/A</v>
      </c>
    </row>
    <row r="1270" spans="1:9" ht="14.25" customHeight="1" x14ac:dyDescent="0.35">
      <c r="A1270" s="7" t="str">
        <f t="array" ref="A1270">EXTRACTEVENT(N1270,V1270)</f>
        <v/>
      </c>
      <c r="B1270" s="7" t="str">
        <f t="shared" si="57"/>
        <v/>
      </c>
      <c r="C1270" s="7"/>
      <c r="D1270" s="7" t="str">
        <f t="shared" si="58"/>
        <v>E</v>
      </c>
      <c r="E1270" s="10">
        <f t="shared" si="59"/>
        <v>0</v>
      </c>
      <c r="F1270" s="7" t="e">
        <f t="array" ref="F1270">+TIPOARMA(H1270,I1270)</f>
        <v>#VALUE!</v>
      </c>
      <c r="G1270" s="7"/>
      <c r="H1270" s="7" t="e">
        <f>+VLOOKUP(Q1270,Maps!I:J,2,0)</f>
        <v>#N/A</v>
      </c>
      <c r="I1270" s="7" t="e">
        <f>+VLOOKUP(T1270,Maps!E:F,2,0)</f>
        <v>#N/A</v>
      </c>
    </row>
    <row r="1271" spans="1:9" ht="14.25" customHeight="1" x14ac:dyDescent="0.35">
      <c r="A1271" s="7" t="str">
        <f t="array" ref="A1271">EXTRACTEVENT(N1271,V1271)</f>
        <v/>
      </c>
      <c r="B1271" s="7" t="str">
        <f t="shared" si="57"/>
        <v/>
      </c>
      <c r="C1271" s="7"/>
      <c r="D1271" s="7" t="str">
        <f t="shared" si="58"/>
        <v>E</v>
      </c>
      <c r="E1271" s="10">
        <f t="shared" si="59"/>
        <v>0</v>
      </c>
      <c r="F1271" s="7" t="e">
        <f t="array" ref="F1271">+TIPOARMA(H1271,I1271)</f>
        <v>#VALUE!</v>
      </c>
      <c r="G1271" s="7"/>
      <c r="H1271" s="7" t="e">
        <f>+VLOOKUP(Q1271,Maps!I:J,2,0)</f>
        <v>#N/A</v>
      </c>
      <c r="I1271" s="7" t="e">
        <f>+VLOOKUP(T1271,Maps!E:F,2,0)</f>
        <v>#N/A</v>
      </c>
    </row>
    <row r="1272" spans="1:9" ht="14.25" customHeight="1" x14ac:dyDescent="0.35">
      <c r="A1272" s="7" t="str">
        <f t="array" ref="A1272">EXTRACTEVENT(N1272,V1272)</f>
        <v/>
      </c>
      <c r="B1272" s="7" t="str">
        <f t="shared" si="57"/>
        <v/>
      </c>
      <c r="C1272" s="7"/>
      <c r="D1272" s="7" t="str">
        <f t="shared" si="58"/>
        <v>E</v>
      </c>
      <c r="E1272" s="10">
        <f t="shared" si="59"/>
        <v>0</v>
      </c>
      <c r="F1272" s="7" t="e">
        <f t="array" ref="F1272">+TIPOARMA(H1272,I1272)</f>
        <v>#VALUE!</v>
      </c>
      <c r="G1272" s="7"/>
      <c r="H1272" s="7" t="e">
        <f>+VLOOKUP(Q1272,Maps!I:J,2,0)</f>
        <v>#N/A</v>
      </c>
      <c r="I1272" s="7" t="e">
        <f>+VLOOKUP(T1272,Maps!E:F,2,0)</f>
        <v>#N/A</v>
      </c>
    </row>
    <row r="1273" spans="1:9" ht="14.25" customHeight="1" x14ac:dyDescent="0.35">
      <c r="A1273" s="7" t="str">
        <f t="array" ref="A1273">EXTRACTEVENT(N1273,V1273)</f>
        <v/>
      </c>
      <c r="B1273" s="7" t="str">
        <f t="shared" si="57"/>
        <v/>
      </c>
      <c r="C1273" s="7"/>
      <c r="D1273" s="7" t="str">
        <f t="shared" si="58"/>
        <v>E</v>
      </c>
      <c r="E1273" s="10">
        <f t="shared" si="59"/>
        <v>0</v>
      </c>
      <c r="F1273" s="7" t="e">
        <f t="array" ref="F1273">+TIPOARMA(H1273,I1273)</f>
        <v>#VALUE!</v>
      </c>
      <c r="G1273" s="7"/>
      <c r="H1273" s="7" t="e">
        <f>+VLOOKUP(Q1273,Maps!I:J,2,0)</f>
        <v>#N/A</v>
      </c>
      <c r="I1273" s="7" t="e">
        <f>+VLOOKUP(T1273,Maps!E:F,2,0)</f>
        <v>#N/A</v>
      </c>
    </row>
    <row r="1274" spans="1:9" ht="14.25" customHeight="1" x14ac:dyDescent="0.35">
      <c r="A1274" s="7" t="str">
        <f t="array" ref="A1274">EXTRACTEVENT(N1274,V1274)</f>
        <v/>
      </c>
      <c r="B1274" s="7" t="str">
        <f t="shared" si="57"/>
        <v/>
      </c>
      <c r="C1274" s="7"/>
      <c r="D1274" s="7" t="str">
        <f t="shared" si="58"/>
        <v>E</v>
      </c>
      <c r="E1274" s="10">
        <f t="shared" si="59"/>
        <v>0</v>
      </c>
      <c r="F1274" s="7" t="e">
        <f t="array" ref="F1274">+TIPOARMA(H1274,I1274)</f>
        <v>#VALUE!</v>
      </c>
      <c r="G1274" s="7"/>
      <c r="H1274" s="7" t="e">
        <f>+VLOOKUP(Q1274,Maps!I:J,2,0)</f>
        <v>#N/A</v>
      </c>
      <c r="I1274" s="7" t="e">
        <f>+VLOOKUP(T1274,Maps!E:F,2,0)</f>
        <v>#N/A</v>
      </c>
    </row>
    <row r="1275" spans="1:9" ht="14.25" customHeight="1" x14ac:dyDescent="0.35">
      <c r="A1275" s="7" t="str">
        <f t="array" ref="A1275">EXTRACTEVENT(N1275,V1275)</f>
        <v/>
      </c>
      <c r="B1275" s="7" t="str">
        <f t="shared" si="57"/>
        <v/>
      </c>
      <c r="C1275" s="7"/>
      <c r="D1275" s="7" t="str">
        <f t="shared" si="58"/>
        <v>E</v>
      </c>
      <c r="E1275" s="10">
        <f t="shared" si="59"/>
        <v>0</v>
      </c>
      <c r="F1275" s="7" t="e">
        <f t="array" ref="F1275">+TIPOARMA(H1275,I1275)</f>
        <v>#VALUE!</v>
      </c>
      <c r="G1275" s="7"/>
      <c r="H1275" s="7" t="e">
        <f>+VLOOKUP(Q1275,Maps!I:J,2,0)</f>
        <v>#N/A</v>
      </c>
      <c r="I1275" s="7" t="e">
        <f>+VLOOKUP(T1275,Maps!E:F,2,0)</f>
        <v>#N/A</v>
      </c>
    </row>
    <row r="1276" spans="1:9" ht="14.25" customHeight="1" x14ac:dyDescent="0.35">
      <c r="A1276" s="7" t="str">
        <f t="array" ref="A1276">EXTRACTEVENT(N1276,V1276)</f>
        <v/>
      </c>
      <c r="B1276" s="7" t="str">
        <f t="shared" si="57"/>
        <v/>
      </c>
      <c r="C1276" s="7"/>
      <c r="D1276" s="7" t="str">
        <f t="shared" si="58"/>
        <v>E</v>
      </c>
      <c r="E1276" s="10">
        <f t="shared" si="59"/>
        <v>0</v>
      </c>
      <c r="F1276" s="7" t="e">
        <f t="array" ref="F1276">+TIPOARMA(H1276,I1276)</f>
        <v>#VALUE!</v>
      </c>
      <c r="G1276" s="7"/>
      <c r="H1276" s="7" t="e">
        <f>+VLOOKUP(Q1276,Maps!I:J,2,0)</f>
        <v>#N/A</v>
      </c>
      <c r="I1276" s="7" t="e">
        <f>+VLOOKUP(T1276,Maps!E:F,2,0)</f>
        <v>#N/A</v>
      </c>
    </row>
    <row r="1277" spans="1:9" ht="14.25" customHeight="1" x14ac:dyDescent="0.35">
      <c r="A1277" s="7" t="str">
        <f t="array" ref="A1277">EXTRACTEVENT(N1277,V1277)</f>
        <v/>
      </c>
      <c r="B1277" s="7" t="str">
        <f t="shared" si="57"/>
        <v/>
      </c>
      <c r="C1277" s="7"/>
      <c r="D1277" s="7" t="str">
        <f t="shared" si="58"/>
        <v>E</v>
      </c>
      <c r="E1277" s="10">
        <f t="shared" si="59"/>
        <v>0</v>
      </c>
      <c r="F1277" s="7" t="e">
        <f t="array" ref="F1277">+TIPOARMA(H1277,I1277)</f>
        <v>#VALUE!</v>
      </c>
      <c r="G1277" s="7"/>
      <c r="H1277" s="7" t="e">
        <f>+VLOOKUP(Q1277,Maps!I:J,2,0)</f>
        <v>#N/A</v>
      </c>
      <c r="I1277" s="7" t="e">
        <f>+VLOOKUP(T1277,Maps!E:F,2,0)</f>
        <v>#N/A</v>
      </c>
    </row>
    <row r="1278" spans="1:9" ht="14.25" customHeight="1" x14ac:dyDescent="0.35">
      <c r="A1278" s="7" t="str">
        <f t="array" ref="A1278">EXTRACTEVENT(N1278,V1278)</f>
        <v/>
      </c>
      <c r="B1278" s="7" t="str">
        <f t="shared" si="57"/>
        <v/>
      </c>
      <c r="C1278" s="7"/>
      <c r="D1278" s="7" t="str">
        <f t="shared" si="58"/>
        <v>E</v>
      </c>
      <c r="E1278" s="10">
        <f t="shared" si="59"/>
        <v>0</v>
      </c>
      <c r="F1278" s="7" t="e">
        <f t="array" ref="F1278">+TIPOARMA(H1278,I1278)</f>
        <v>#VALUE!</v>
      </c>
      <c r="G1278" s="7"/>
      <c r="H1278" s="7" t="e">
        <f>+VLOOKUP(Q1278,Maps!I:J,2,0)</f>
        <v>#N/A</v>
      </c>
      <c r="I1278" s="7" t="e">
        <f>+VLOOKUP(T1278,Maps!E:F,2,0)</f>
        <v>#N/A</v>
      </c>
    </row>
    <row r="1279" spans="1:9" ht="14.25" customHeight="1" x14ac:dyDescent="0.35">
      <c r="A1279" s="7" t="str">
        <f t="array" ref="A1279">EXTRACTEVENT(N1279,V1279)</f>
        <v/>
      </c>
      <c r="B1279" s="7" t="str">
        <f t="shared" si="57"/>
        <v/>
      </c>
      <c r="C1279" s="7"/>
      <c r="D1279" s="7" t="str">
        <f t="shared" si="58"/>
        <v>E</v>
      </c>
      <c r="E1279" s="10">
        <f t="shared" si="59"/>
        <v>0</v>
      </c>
      <c r="F1279" s="7" t="e">
        <f t="array" ref="F1279">+TIPOARMA(H1279,I1279)</f>
        <v>#VALUE!</v>
      </c>
      <c r="G1279" s="7"/>
      <c r="H1279" s="7" t="e">
        <f>+VLOOKUP(Q1279,Maps!I:J,2,0)</f>
        <v>#N/A</v>
      </c>
      <c r="I1279" s="7" t="e">
        <f>+VLOOKUP(T1279,Maps!E:F,2,0)</f>
        <v>#N/A</v>
      </c>
    </row>
    <row r="1280" spans="1:9" ht="14.25" customHeight="1" x14ac:dyDescent="0.35">
      <c r="A1280" s="7" t="str">
        <f t="array" ref="A1280">EXTRACTEVENT(N1280,V1280)</f>
        <v/>
      </c>
      <c r="B1280" s="7" t="str">
        <f t="shared" si="57"/>
        <v/>
      </c>
      <c r="C1280" s="7"/>
      <c r="D1280" s="7" t="str">
        <f t="shared" si="58"/>
        <v>E</v>
      </c>
      <c r="E1280" s="10">
        <f t="shared" si="59"/>
        <v>0</v>
      </c>
      <c r="F1280" s="7" t="e">
        <f t="array" ref="F1280">+TIPOARMA(H1280,I1280)</f>
        <v>#VALUE!</v>
      </c>
      <c r="G1280" s="7"/>
      <c r="H1280" s="7" t="e">
        <f>+VLOOKUP(Q1280,Maps!I:J,2,0)</f>
        <v>#N/A</v>
      </c>
      <c r="I1280" s="7" t="e">
        <f>+VLOOKUP(T1280,Maps!E:F,2,0)</f>
        <v>#N/A</v>
      </c>
    </row>
    <row r="1281" spans="1:9" ht="14.25" customHeight="1" x14ac:dyDescent="0.35">
      <c r="A1281" s="7" t="str">
        <f t="array" ref="A1281">EXTRACTEVENT(N1281,V1281)</f>
        <v/>
      </c>
      <c r="B1281" s="7" t="str">
        <f t="shared" si="57"/>
        <v/>
      </c>
      <c r="C1281" s="7"/>
      <c r="D1281" s="7" t="str">
        <f t="shared" si="58"/>
        <v>E</v>
      </c>
      <c r="E1281" s="10">
        <f t="shared" si="59"/>
        <v>0</v>
      </c>
      <c r="F1281" s="7" t="e">
        <f t="array" ref="F1281">+TIPOARMA(H1281,I1281)</f>
        <v>#VALUE!</v>
      </c>
      <c r="G1281" s="7"/>
      <c r="H1281" s="7" t="e">
        <f>+VLOOKUP(Q1281,Maps!I:J,2,0)</f>
        <v>#N/A</v>
      </c>
      <c r="I1281" s="7" t="e">
        <f>+VLOOKUP(T1281,Maps!E:F,2,0)</f>
        <v>#N/A</v>
      </c>
    </row>
    <row r="1282" spans="1:9" ht="14.25" customHeight="1" x14ac:dyDescent="0.35">
      <c r="A1282" s="7" t="str">
        <f t="array" ref="A1282">EXTRACTEVENT(N1282,V1282)</f>
        <v/>
      </c>
      <c r="B1282" s="7" t="str">
        <f t="shared" ref="B1282:B1345" si="60">+IF(V1282="TREINO","-",LEFT(N1282,1))</f>
        <v/>
      </c>
      <c r="C1282" s="7"/>
      <c r="D1282" s="7" t="str">
        <f t="shared" ref="D1282:D1345" si="61">+IF($V1282="TREINO","T",IF(V1282="NACIONAL","N","E"))</f>
        <v>E</v>
      </c>
      <c r="E1282" s="10">
        <f t="shared" ref="E1282:E1345" si="62">IFERROR(DATEVALUE(LEFT(M1282,10)),M1282)</f>
        <v>0</v>
      </c>
      <c r="F1282" s="7" t="e">
        <f t="array" ref="F1282">+TIPOARMA(H1282,I1282)</f>
        <v>#VALUE!</v>
      </c>
      <c r="G1282" s="7"/>
      <c r="H1282" s="7" t="e">
        <f>+VLOOKUP(Q1282,Maps!I:J,2,0)</f>
        <v>#N/A</v>
      </c>
      <c r="I1282" s="7" t="e">
        <f>+VLOOKUP(T1282,Maps!E:F,2,0)</f>
        <v>#N/A</v>
      </c>
    </row>
    <row r="1283" spans="1:9" ht="14.25" customHeight="1" x14ac:dyDescent="0.35">
      <c r="A1283" s="7" t="str">
        <f t="array" ref="A1283">EXTRACTEVENT(N1283,V1283)</f>
        <v/>
      </c>
      <c r="B1283" s="7" t="str">
        <f t="shared" si="60"/>
        <v/>
      </c>
      <c r="C1283" s="7"/>
      <c r="D1283" s="7" t="str">
        <f t="shared" si="61"/>
        <v>E</v>
      </c>
      <c r="E1283" s="10">
        <f t="shared" si="62"/>
        <v>0</v>
      </c>
      <c r="F1283" s="7" t="e">
        <f t="array" ref="F1283">+TIPOARMA(H1283,I1283)</f>
        <v>#VALUE!</v>
      </c>
      <c r="G1283" s="7"/>
      <c r="H1283" s="7" t="e">
        <f>+VLOOKUP(Q1283,Maps!I:J,2,0)</f>
        <v>#N/A</v>
      </c>
      <c r="I1283" s="7" t="e">
        <f>+VLOOKUP(T1283,Maps!E:F,2,0)</f>
        <v>#N/A</v>
      </c>
    </row>
    <row r="1284" spans="1:9" ht="14.25" customHeight="1" x14ac:dyDescent="0.35">
      <c r="A1284" s="7" t="str">
        <f t="array" ref="A1284">EXTRACTEVENT(N1284,V1284)</f>
        <v/>
      </c>
      <c r="B1284" s="7" t="str">
        <f t="shared" si="60"/>
        <v/>
      </c>
      <c r="C1284" s="7"/>
      <c r="D1284" s="7" t="str">
        <f t="shared" si="61"/>
        <v>E</v>
      </c>
      <c r="E1284" s="10">
        <f t="shared" si="62"/>
        <v>0</v>
      </c>
      <c r="F1284" s="7" t="e">
        <f t="array" ref="F1284">+TIPOARMA(H1284,I1284)</f>
        <v>#VALUE!</v>
      </c>
      <c r="G1284" s="7"/>
      <c r="H1284" s="7" t="e">
        <f>+VLOOKUP(Q1284,Maps!I:J,2,0)</f>
        <v>#N/A</v>
      </c>
      <c r="I1284" s="7" t="e">
        <f>+VLOOKUP(T1284,Maps!E:F,2,0)</f>
        <v>#N/A</v>
      </c>
    </row>
    <row r="1285" spans="1:9" ht="14.25" customHeight="1" x14ac:dyDescent="0.35">
      <c r="A1285" s="7" t="str">
        <f t="array" ref="A1285">EXTRACTEVENT(N1285,V1285)</f>
        <v/>
      </c>
      <c r="B1285" s="7" t="str">
        <f t="shared" si="60"/>
        <v/>
      </c>
      <c r="C1285" s="7"/>
      <c r="D1285" s="7" t="str">
        <f t="shared" si="61"/>
        <v>E</v>
      </c>
      <c r="E1285" s="10">
        <f t="shared" si="62"/>
        <v>0</v>
      </c>
      <c r="F1285" s="7" t="e">
        <f t="array" ref="F1285">+TIPOARMA(H1285,I1285)</f>
        <v>#VALUE!</v>
      </c>
      <c r="G1285" s="7"/>
      <c r="H1285" s="7" t="e">
        <f>+VLOOKUP(Q1285,Maps!I:J,2,0)</f>
        <v>#N/A</v>
      </c>
      <c r="I1285" s="7" t="e">
        <f>+VLOOKUP(T1285,Maps!E:F,2,0)</f>
        <v>#N/A</v>
      </c>
    </row>
    <row r="1286" spans="1:9" ht="14.25" customHeight="1" x14ac:dyDescent="0.35">
      <c r="A1286" s="7" t="str">
        <f t="array" ref="A1286">EXTRACTEVENT(N1286,V1286)</f>
        <v/>
      </c>
      <c r="B1286" s="7" t="str">
        <f t="shared" si="60"/>
        <v/>
      </c>
      <c r="C1286" s="7"/>
      <c r="D1286" s="7" t="str">
        <f t="shared" si="61"/>
        <v>E</v>
      </c>
      <c r="E1286" s="10">
        <f t="shared" si="62"/>
        <v>0</v>
      </c>
      <c r="F1286" s="7" t="e">
        <f t="array" ref="F1286">+TIPOARMA(H1286,I1286)</f>
        <v>#VALUE!</v>
      </c>
      <c r="G1286" s="7"/>
      <c r="H1286" s="7" t="e">
        <f>+VLOOKUP(Q1286,Maps!I:J,2,0)</f>
        <v>#N/A</v>
      </c>
      <c r="I1286" s="7" t="e">
        <f>+VLOOKUP(T1286,Maps!E:F,2,0)</f>
        <v>#N/A</v>
      </c>
    </row>
    <row r="1287" spans="1:9" ht="14.25" customHeight="1" x14ac:dyDescent="0.35">
      <c r="A1287" s="7" t="str">
        <f t="array" ref="A1287">EXTRACTEVENT(N1287,V1287)</f>
        <v/>
      </c>
      <c r="B1287" s="7" t="str">
        <f t="shared" si="60"/>
        <v/>
      </c>
      <c r="C1287" s="7"/>
      <c r="D1287" s="7" t="str">
        <f t="shared" si="61"/>
        <v>E</v>
      </c>
      <c r="E1287" s="10">
        <f t="shared" si="62"/>
        <v>0</v>
      </c>
      <c r="F1287" s="7" t="e">
        <f t="array" ref="F1287">+TIPOARMA(H1287,I1287)</f>
        <v>#VALUE!</v>
      </c>
      <c r="G1287" s="7"/>
      <c r="H1287" s="7" t="e">
        <f>+VLOOKUP(Q1287,Maps!I:J,2,0)</f>
        <v>#N/A</v>
      </c>
      <c r="I1287" s="7" t="e">
        <f>+VLOOKUP(T1287,Maps!E:F,2,0)</f>
        <v>#N/A</v>
      </c>
    </row>
    <row r="1288" spans="1:9" ht="14.25" customHeight="1" x14ac:dyDescent="0.35">
      <c r="A1288" s="7" t="str">
        <f t="array" ref="A1288">EXTRACTEVENT(N1288,V1288)</f>
        <v/>
      </c>
      <c r="B1288" s="7" t="str">
        <f t="shared" si="60"/>
        <v/>
      </c>
      <c r="C1288" s="7"/>
      <c r="D1288" s="7" t="str">
        <f t="shared" si="61"/>
        <v>E</v>
      </c>
      <c r="E1288" s="10">
        <f t="shared" si="62"/>
        <v>0</v>
      </c>
      <c r="F1288" s="7" t="e">
        <f t="array" ref="F1288">+TIPOARMA(H1288,I1288)</f>
        <v>#VALUE!</v>
      </c>
      <c r="G1288" s="7"/>
      <c r="H1288" s="7" t="e">
        <f>+VLOOKUP(Q1288,Maps!I:J,2,0)</f>
        <v>#N/A</v>
      </c>
      <c r="I1288" s="7" t="e">
        <f>+VLOOKUP(T1288,Maps!E:F,2,0)</f>
        <v>#N/A</v>
      </c>
    </row>
    <row r="1289" spans="1:9" ht="14.25" customHeight="1" x14ac:dyDescent="0.35">
      <c r="A1289" s="7" t="str">
        <f t="array" ref="A1289">EXTRACTEVENT(N1289,V1289)</f>
        <v/>
      </c>
      <c r="B1289" s="7" t="str">
        <f t="shared" si="60"/>
        <v/>
      </c>
      <c r="C1289" s="7"/>
      <c r="D1289" s="7" t="str">
        <f t="shared" si="61"/>
        <v>E</v>
      </c>
      <c r="E1289" s="10">
        <f t="shared" si="62"/>
        <v>0</v>
      </c>
      <c r="F1289" s="7" t="e">
        <f t="array" ref="F1289">+TIPOARMA(H1289,I1289)</f>
        <v>#VALUE!</v>
      </c>
      <c r="G1289" s="7"/>
      <c r="H1289" s="7" t="e">
        <f>+VLOOKUP(Q1289,Maps!I:J,2,0)</f>
        <v>#N/A</v>
      </c>
      <c r="I1289" s="7" t="e">
        <f>+VLOOKUP(T1289,Maps!E:F,2,0)</f>
        <v>#N/A</v>
      </c>
    </row>
    <row r="1290" spans="1:9" ht="14.25" customHeight="1" x14ac:dyDescent="0.35">
      <c r="A1290" s="7" t="str">
        <f t="array" ref="A1290">EXTRACTEVENT(N1290,V1290)</f>
        <v/>
      </c>
      <c r="B1290" s="7" t="str">
        <f t="shared" si="60"/>
        <v/>
      </c>
      <c r="C1290" s="7"/>
      <c r="D1290" s="7" t="str">
        <f t="shared" si="61"/>
        <v>E</v>
      </c>
      <c r="E1290" s="10">
        <f t="shared" si="62"/>
        <v>0</v>
      </c>
      <c r="F1290" s="7" t="e">
        <f t="array" ref="F1290">+TIPOARMA(H1290,I1290)</f>
        <v>#VALUE!</v>
      </c>
      <c r="G1290" s="7"/>
      <c r="H1290" s="7" t="e">
        <f>+VLOOKUP(Q1290,Maps!I:J,2,0)</f>
        <v>#N/A</v>
      </c>
      <c r="I1290" s="7" t="e">
        <f>+VLOOKUP(T1290,Maps!E:F,2,0)</f>
        <v>#N/A</v>
      </c>
    </row>
    <row r="1291" spans="1:9" ht="14.25" customHeight="1" x14ac:dyDescent="0.35">
      <c r="A1291" s="7" t="str">
        <f t="array" ref="A1291">EXTRACTEVENT(N1291,V1291)</f>
        <v/>
      </c>
      <c r="B1291" s="7" t="str">
        <f t="shared" si="60"/>
        <v/>
      </c>
      <c r="C1291" s="7"/>
      <c r="D1291" s="7" t="str">
        <f t="shared" si="61"/>
        <v>E</v>
      </c>
      <c r="E1291" s="10">
        <f t="shared" si="62"/>
        <v>0</v>
      </c>
      <c r="F1291" s="7" t="e">
        <f t="array" ref="F1291">+TIPOARMA(H1291,I1291)</f>
        <v>#VALUE!</v>
      </c>
      <c r="G1291" s="7"/>
      <c r="H1291" s="7" t="e">
        <f>+VLOOKUP(Q1291,Maps!I:J,2,0)</f>
        <v>#N/A</v>
      </c>
      <c r="I1291" s="7" t="e">
        <f>+VLOOKUP(T1291,Maps!E:F,2,0)</f>
        <v>#N/A</v>
      </c>
    </row>
    <row r="1292" spans="1:9" ht="14.25" customHeight="1" x14ac:dyDescent="0.35">
      <c r="A1292" s="7" t="str">
        <f t="array" ref="A1292">EXTRACTEVENT(N1292,V1292)</f>
        <v/>
      </c>
      <c r="B1292" s="7" t="str">
        <f t="shared" si="60"/>
        <v/>
      </c>
      <c r="C1292" s="7"/>
      <c r="D1292" s="7" t="str">
        <f t="shared" si="61"/>
        <v>E</v>
      </c>
      <c r="E1292" s="10">
        <f t="shared" si="62"/>
        <v>0</v>
      </c>
      <c r="F1292" s="7" t="e">
        <f t="array" ref="F1292">+TIPOARMA(H1292,I1292)</f>
        <v>#VALUE!</v>
      </c>
      <c r="G1292" s="7"/>
      <c r="H1292" s="7" t="e">
        <f>+VLOOKUP(Q1292,Maps!I:J,2,0)</f>
        <v>#N/A</v>
      </c>
      <c r="I1292" s="7" t="e">
        <f>+VLOOKUP(T1292,Maps!E:F,2,0)</f>
        <v>#N/A</v>
      </c>
    </row>
    <row r="1293" spans="1:9" ht="14.25" customHeight="1" x14ac:dyDescent="0.35">
      <c r="A1293" s="7" t="str">
        <f t="array" ref="A1293">EXTRACTEVENT(N1293,V1293)</f>
        <v/>
      </c>
      <c r="B1293" s="7" t="str">
        <f t="shared" si="60"/>
        <v/>
      </c>
      <c r="C1293" s="7"/>
      <c r="D1293" s="7" t="str">
        <f t="shared" si="61"/>
        <v>E</v>
      </c>
      <c r="E1293" s="10">
        <f t="shared" si="62"/>
        <v>0</v>
      </c>
      <c r="F1293" s="7" t="e">
        <f t="array" ref="F1293">+TIPOARMA(H1293,I1293)</f>
        <v>#VALUE!</v>
      </c>
      <c r="G1293" s="7"/>
      <c r="H1293" s="7" t="e">
        <f>+VLOOKUP(Q1293,Maps!I:J,2,0)</f>
        <v>#N/A</v>
      </c>
      <c r="I1293" s="7" t="e">
        <f>+VLOOKUP(T1293,Maps!E:F,2,0)</f>
        <v>#N/A</v>
      </c>
    </row>
    <row r="1294" spans="1:9" ht="14.25" customHeight="1" x14ac:dyDescent="0.35">
      <c r="A1294" s="7" t="str">
        <f t="array" ref="A1294">EXTRACTEVENT(N1294,V1294)</f>
        <v/>
      </c>
      <c r="B1294" s="7" t="str">
        <f t="shared" si="60"/>
        <v/>
      </c>
      <c r="C1294" s="7"/>
      <c r="D1294" s="7" t="str">
        <f t="shared" si="61"/>
        <v>E</v>
      </c>
      <c r="E1294" s="10">
        <f t="shared" si="62"/>
        <v>0</v>
      </c>
      <c r="F1294" s="7" t="e">
        <f t="array" ref="F1294">+TIPOARMA(H1294,I1294)</f>
        <v>#VALUE!</v>
      </c>
      <c r="G1294" s="7"/>
      <c r="H1294" s="7" t="e">
        <f>+VLOOKUP(Q1294,Maps!I:J,2,0)</f>
        <v>#N/A</v>
      </c>
      <c r="I1294" s="7" t="e">
        <f>+VLOOKUP(T1294,Maps!E:F,2,0)</f>
        <v>#N/A</v>
      </c>
    </row>
    <row r="1295" spans="1:9" ht="14.25" customHeight="1" x14ac:dyDescent="0.35">
      <c r="A1295" s="7" t="str">
        <f t="array" ref="A1295">EXTRACTEVENT(N1295,V1295)</f>
        <v/>
      </c>
      <c r="B1295" s="7" t="str">
        <f t="shared" si="60"/>
        <v/>
      </c>
      <c r="C1295" s="7"/>
      <c r="D1295" s="7" t="str">
        <f t="shared" si="61"/>
        <v>E</v>
      </c>
      <c r="E1295" s="10">
        <f t="shared" si="62"/>
        <v>0</v>
      </c>
      <c r="F1295" s="7" t="e">
        <f t="array" ref="F1295">+TIPOARMA(H1295,I1295)</f>
        <v>#VALUE!</v>
      </c>
      <c r="G1295" s="7"/>
      <c r="H1295" s="7" t="e">
        <f>+VLOOKUP(Q1295,Maps!I:J,2,0)</f>
        <v>#N/A</v>
      </c>
      <c r="I1295" s="7" t="e">
        <f>+VLOOKUP(T1295,Maps!E:F,2,0)</f>
        <v>#N/A</v>
      </c>
    </row>
    <row r="1296" spans="1:9" ht="14.25" customHeight="1" x14ac:dyDescent="0.35">
      <c r="A1296" s="7" t="str">
        <f t="array" ref="A1296">EXTRACTEVENT(N1296,V1296)</f>
        <v/>
      </c>
      <c r="B1296" s="7" t="str">
        <f t="shared" si="60"/>
        <v/>
      </c>
      <c r="C1296" s="7"/>
      <c r="D1296" s="7" t="str">
        <f t="shared" si="61"/>
        <v>E</v>
      </c>
      <c r="E1296" s="10">
        <f t="shared" si="62"/>
        <v>0</v>
      </c>
      <c r="F1296" s="7" t="e">
        <f t="array" ref="F1296">+TIPOARMA(H1296,I1296)</f>
        <v>#VALUE!</v>
      </c>
      <c r="G1296" s="7"/>
      <c r="H1296" s="7" t="e">
        <f>+VLOOKUP(Q1296,Maps!I:J,2,0)</f>
        <v>#N/A</v>
      </c>
      <c r="I1296" s="7" t="e">
        <f>+VLOOKUP(T1296,Maps!E:F,2,0)</f>
        <v>#N/A</v>
      </c>
    </row>
    <row r="1297" spans="1:9" ht="14.25" customHeight="1" x14ac:dyDescent="0.35">
      <c r="A1297" s="7" t="str">
        <f t="array" ref="A1297">EXTRACTEVENT(N1297,V1297)</f>
        <v/>
      </c>
      <c r="B1297" s="7" t="str">
        <f t="shared" si="60"/>
        <v/>
      </c>
      <c r="C1297" s="7"/>
      <c r="D1297" s="7" t="str">
        <f t="shared" si="61"/>
        <v>E</v>
      </c>
      <c r="E1297" s="10">
        <f t="shared" si="62"/>
        <v>0</v>
      </c>
      <c r="F1297" s="7" t="e">
        <f t="array" ref="F1297">+TIPOARMA(H1297,I1297)</f>
        <v>#VALUE!</v>
      </c>
      <c r="G1297" s="7"/>
      <c r="H1297" s="7" t="e">
        <f>+VLOOKUP(Q1297,Maps!I:J,2,0)</f>
        <v>#N/A</v>
      </c>
      <c r="I1297" s="7" t="e">
        <f>+VLOOKUP(T1297,Maps!E:F,2,0)</f>
        <v>#N/A</v>
      </c>
    </row>
    <row r="1298" spans="1:9" ht="14.25" customHeight="1" x14ac:dyDescent="0.35">
      <c r="A1298" s="7" t="str">
        <f t="array" ref="A1298">EXTRACTEVENT(N1298,V1298)</f>
        <v/>
      </c>
      <c r="B1298" s="7" t="str">
        <f t="shared" si="60"/>
        <v/>
      </c>
      <c r="C1298" s="7"/>
      <c r="D1298" s="7" t="str">
        <f t="shared" si="61"/>
        <v>E</v>
      </c>
      <c r="E1298" s="10">
        <f t="shared" si="62"/>
        <v>0</v>
      </c>
      <c r="F1298" s="7" t="e">
        <f t="array" ref="F1298">+TIPOARMA(H1298,I1298)</f>
        <v>#VALUE!</v>
      </c>
      <c r="G1298" s="7"/>
      <c r="H1298" s="7" t="e">
        <f>+VLOOKUP(Q1298,Maps!I:J,2,0)</f>
        <v>#N/A</v>
      </c>
      <c r="I1298" s="7" t="e">
        <f>+VLOOKUP(T1298,Maps!E:F,2,0)</f>
        <v>#N/A</v>
      </c>
    </row>
    <row r="1299" spans="1:9" ht="14.25" customHeight="1" x14ac:dyDescent="0.35">
      <c r="A1299" s="7" t="str">
        <f t="array" ref="A1299">EXTRACTEVENT(N1299,V1299)</f>
        <v/>
      </c>
      <c r="B1299" s="7" t="str">
        <f t="shared" si="60"/>
        <v/>
      </c>
      <c r="C1299" s="7"/>
      <c r="D1299" s="7" t="str">
        <f t="shared" si="61"/>
        <v>E</v>
      </c>
      <c r="E1299" s="10">
        <f t="shared" si="62"/>
        <v>0</v>
      </c>
      <c r="F1299" s="7" t="e">
        <f t="array" ref="F1299">+TIPOARMA(H1299,I1299)</f>
        <v>#VALUE!</v>
      </c>
      <c r="G1299" s="7"/>
      <c r="H1299" s="7" t="e">
        <f>+VLOOKUP(Q1299,Maps!I:J,2,0)</f>
        <v>#N/A</v>
      </c>
      <c r="I1299" s="7" t="e">
        <f>+VLOOKUP(T1299,Maps!E:F,2,0)</f>
        <v>#N/A</v>
      </c>
    </row>
    <row r="1300" spans="1:9" ht="14.25" customHeight="1" x14ac:dyDescent="0.35">
      <c r="A1300" s="7" t="str">
        <f t="array" ref="A1300">EXTRACTEVENT(N1300,V1300)</f>
        <v/>
      </c>
      <c r="B1300" s="7" t="str">
        <f t="shared" si="60"/>
        <v/>
      </c>
      <c r="C1300" s="7"/>
      <c r="D1300" s="7" t="str">
        <f t="shared" si="61"/>
        <v>E</v>
      </c>
      <c r="E1300" s="10">
        <f t="shared" si="62"/>
        <v>0</v>
      </c>
      <c r="F1300" s="7" t="e">
        <f t="array" ref="F1300">+TIPOARMA(H1300,I1300)</f>
        <v>#VALUE!</v>
      </c>
      <c r="G1300" s="7"/>
      <c r="H1300" s="7" t="e">
        <f>+VLOOKUP(Q1300,Maps!I:J,2,0)</f>
        <v>#N/A</v>
      </c>
      <c r="I1300" s="7" t="e">
        <f>+VLOOKUP(T1300,Maps!E:F,2,0)</f>
        <v>#N/A</v>
      </c>
    </row>
    <row r="1301" spans="1:9" ht="14.25" customHeight="1" x14ac:dyDescent="0.35">
      <c r="A1301" s="7" t="str">
        <f t="array" ref="A1301">EXTRACTEVENT(N1301,V1301)</f>
        <v/>
      </c>
      <c r="B1301" s="7" t="str">
        <f t="shared" si="60"/>
        <v/>
      </c>
      <c r="C1301" s="7"/>
      <c r="D1301" s="7" t="str">
        <f t="shared" si="61"/>
        <v>E</v>
      </c>
      <c r="E1301" s="10">
        <f t="shared" si="62"/>
        <v>0</v>
      </c>
      <c r="F1301" s="7" t="e">
        <f t="array" ref="F1301">+TIPOARMA(H1301,I1301)</f>
        <v>#VALUE!</v>
      </c>
      <c r="G1301" s="7"/>
      <c r="H1301" s="7" t="e">
        <f>+VLOOKUP(Q1301,Maps!I:J,2,0)</f>
        <v>#N/A</v>
      </c>
      <c r="I1301" s="7" t="e">
        <f>+VLOOKUP(T1301,Maps!E:F,2,0)</f>
        <v>#N/A</v>
      </c>
    </row>
    <row r="1302" spans="1:9" ht="14.25" customHeight="1" x14ac:dyDescent="0.35">
      <c r="A1302" s="7" t="str">
        <f t="array" ref="A1302">EXTRACTEVENT(N1302,V1302)</f>
        <v/>
      </c>
      <c r="B1302" s="7" t="str">
        <f t="shared" si="60"/>
        <v/>
      </c>
      <c r="C1302" s="7"/>
      <c r="D1302" s="7" t="str">
        <f t="shared" si="61"/>
        <v>E</v>
      </c>
      <c r="E1302" s="10">
        <f t="shared" si="62"/>
        <v>0</v>
      </c>
      <c r="F1302" s="7" t="e">
        <f t="array" ref="F1302">+TIPOARMA(H1302,I1302)</f>
        <v>#VALUE!</v>
      </c>
      <c r="G1302" s="7"/>
      <c r="H1302" s="7" t="e">
        <f>+VLOOKUP(Q1302,Maps!I:J,2,0)</f>
        <v>#N/A</v>
      </c>
      <c r="I1302" s="7" t="e">
        <f>+VLOOKUP(T1302,Maps!E:F,2,0)</f>
        <v>#N/A</v>
      </c>
    </row>
    <row r="1303" spans="1:9" ht="14.25" customHeight="1" x14ac:dyDescent="0.35">
      <c r="A1303" s="7" t="str">
        <f t="array" ref="A1303">EXTRACTEVENT(N1303,V1303)</f>
        <v/>
      </c>
      <c r="B1303" s="7" t="str">
        <f t="shared" si="60"/>
        <v/>
      </c>
      <c r="C1303" s="7"/>
      <c r="D1303" s="7" t="str">
        <f t="shared" si="61"/>
        <v>E</v>
      </c>
      <c r="E1303" s="10">
        <f t="shared" si="62"/>
        <v>0</v>
      </c>
      <c r="F1303" s="7" t="e">
        <f t="array" ref="F1303">+TIPOARMA(H1303,I1303)</f>
        <v>#VALUE!</v>
      </c>
      <c r="G1303" s="7"/>
      <c r="H1303" s="7" t="e">
        <f>+VLOOKUP(Q1303,Maps!I:J,2,0)</f>
        <v>#N/A</v>
      </c>
      <c r="I1303" s="7" t="e">
        <f>+VLOOKUP(T1303,Maps!E:F,2,0)</f>
        <v>#N/A</v>
      </c>
    </row>
    <row r="1304" spans="1:9" ht="14.25" customHeight="1" x14ac:dyDescent="0.35">
      <c r="A1304" s="7" t="str">
        <f t="array" ref="A1304">EXTRACTEVENT(N1304,V1304)</f>
        <v/>
      </c>
      <c r="B1304" s="7" t="str">
        <f t="shared" si="60"/>
        <v/>
      </c>
      <c r="C1304" s="7"/>
      <c r="D1304" s="7" t="str">
        <f t="shared" si="61"/>
        <v>E</v>
      </c>
      <c r="E1304" s="10">
        <f t="shared" si="62"/>
        <v>0</v>
      </c>
      <c r="F1304" s="7" t="e">
        <f t="array" ref="F1304">+TIPOARMA(H1304,I1304)</f>
        <v>#VALUE!</v>
      </c>
      <c r="G1304" s="7"/>
      <c r="H1304" s="7" t="e">
        <f>+VLOOKUP(Q1304,Maps!I:J,2,0)</f>
        <v>#N/A</v>
      </c>
      <c r="I1304" s="7" t="e">
        <f>+VLOOKUP(T1304,Maps!E:F,2,0)</f>
        <v>#N/A</v>
      </c>
    </row>
    <row r="1305" spans="1:9" ht="14.25" customHeight="1" x14ac:dyDescent="0.35">
      <c r="A1305" s="7" t="str">
        <f t="array" ref="A1305">EXTRACTEVENT(N1305,V1305)</f>
        <v/>
      </c>
      <c r="B1305" s="7" t="str">
        <f t="shared" si="60"/>
        <v/>
      </c>
      <c r="C1305" s="7"/>
      <c r="D1305" s="7" t="str">
        <f t="shared" si="61"/>
        <v>E</v>
      </c>
      <c r="E1305" s="10">
        <f t="shared" si="62"/>
        <v>0</v>
      </c>
      <c r="F1305" s="7" t="e">
        <f t="array" ref="F1305">+TIPOARMA(H1305,I1305)</f>
        <v>#VALUE!</v>
      </c>
      <c r="G1305" s="7"/>
      <c r="H1305" s="7" t="e">
        <f>+VLOOKUP(Q1305,Maps!I:J,2,0)</f>
        <v>#N/A</v>
      </c>
      <c r="I1305" s="7" t="e">
        <f>+VLOOKUP(T1305,Maps!E:F,2,0)</f>
        <v>#N/A</v>
      </c>
    </row>
    <row r="1306" spans="1:9" ht="14.25" customHeight="1" x14ac:dyDescent="0.35">
      <c r="A1306" s="7" t="str">
        <f t="array" ref="A1306">EXTRACTEVENT(N1306,V1306)</f>
        <v/>
      </c>
      <c r="B1306" s="7" t="str">
        <f t="shared" si="60"/>
        <v/>
      </c>
      <c r="C1306" s="7"/>
      <c r="D1306" s="7" t="str">
        <f t="shared" si="61"/>
        <v>E</v>
      </c>
      <c r="E1306" s="10">
        <f t="shared" si="62"/>
        <v>0</v>
      </c>
      <c r="F1306" s="7" t="e">
        <f t="array" ref="F1306">+TIPOARMA(H1306,I1306)</f>
        <v>#VALUE!</v>
      </c>
      <c r="G1306" s="7"/>
      <c r="H1306" s="7" t="e">
        <f>+VLOOKUP(Q1306,Maps!I:J,2,0)</f>
        <v>#N/A</v>
      </c>
      <c r="I1306" s="7" t="e">
        <f>+VLOOKUP(T1306,Maps!E:F,2,0)</f>
        <v>#N/A</v>
      </c>
    </row>
    <row r="1307" spans="1:9" ht="14.25" customHeight="1" x14ac:dyDescent="0.35">
      <c r="A1307" s="7" t="str">
        <f t="array" ref="A1307">EXTRACTEVENT(N1307,V1307)</f>
        <v/>
      </c>
      <c r="B1307" s="7" t="str">
        <f t="shared" si="60"/>
        <v/>
      </c>
      <c r="C1307" s="7"/>
      <c r="D1307" s="7" t="str">
        <f t="shared" si="61"/>
        <v>E</v>
      </c>
      <c r="E1307" s="10">
        <f t="shared" si="62"/>
        <v>0</v>
      </c>
      <c r="F1307" s="7" t="e">
        <f t="array" ref="F1307">+TIPOARMA(H1307,I1307)</f>
        <v>#VALUE!</v>
      </c>
      <c r="G1307" s="7"/>
      <c r="H1307" s="7" t="e">
        <f>+VLOOKUP(Q1307,Maps!I:J,2,0)</f>
        <v>#N/A</v>
      </c>
      <c r="I1307" s="7" t="e">
        <f>+VLOOKUP(T1307,Maps!E:F,2,0)</f>
        <v>#N/A</v>
      </c>
    </row>
    <row r="1308" spans="1:9" ht="14.25" customHeight="1" x14ac:dyDescent="0.35">
      <c r="A1308" s="7" t="str">
        <f t="array" ref="A1308">EXTRACTEVENT(N1308,V1308)</f>
        <v/>
      </c>
      <c r="B1308" s="7" t="str">
        <f t="shared" si="60"/>
        <v/>
      </c>
      <c r="C1308" s="7"/>
      <c r="D1308" s="7" t="str">
        <f t="shared" si="61"/>
        <v>E</v>
      </c>
      <c r="E1308" s="10">
        <f t="shared" si="62"/>
        <v>0</v>
      </c>
      <c r="F1308" s="7" t="e">
        <f t="array" ref="F1308">+TIPOARMA(H1308,I1308)</f>
        <v>#VALUE!</v>
      </c>
      <c r="G1308" s="7"/>
      <c r="H1308" s="7" t="e">
        <f>+VLOOKUP(Q1308,Maps!I:J,2,0)</f>
        <v>#N/A</v>
      </c>
      <c r="I1308" s="7" t="e">
        <f>+VLOOKUP(T1308,Maps!E:F,2,0)</f>
        <v>#N/A</v>
      </c>
    </row>
    <row r="1309" spans="1:9" ht="14.25" customHeight="1" x14ac:dyDescent="0.35">
      <c r="A1309" s="7" t="str">
        <f t="array" ref="A1309">EXTRACTEVENT(N1309,V1309)</f>
        <v/>
      </c>
      <c r="B1309" s="7" t="str">
        <f t="shared" si="60"/>
        <v/>
      </c>
      <c r="C1309" s="7"/>
      <c r="D1309" s="7" t="str">
        <f t="shared" si="61"/>
        <v>E</v>
      </c>
      <c r="E1309" s="10">
        <f t="shared" si="62"/>
        <v>0</v>
      </c>
      <c r="F1309" s="7" t="e">
        <f t="array" ref="F1309">+TIPOARMA(H1309,I1309)</f>
        <v>#VALUE!</v>
      </c>
      <c r="G1309" s="7"/>
      <c r="H1309" s="7" t="e">
        <f>+VLOOKUP(Q1309,Maps!I:J,2,0)</f>
        <v>#N/A</v>
      </c>
      <c r="I1309" s="7" t="e">
        <f>+VLOOKUP(T1309,Maps!E:F,2,0)</f>
        <v>#N/A</v>
      </c>
    </row>
    <row r="1310" spans="1:9" ht="14.25" customHeight="1" x14ac:dyDescent="0.35">
      <c r="A1310" s="7" t="str">
        <f t="array" ref="A1310">EXTRACTEVENT(N1310,V1310)</f>
        <v/>
      </c>
      <c r="B1310" s="7" t="str">
        <f t="shared" si="60"/>
        <v/>
      </c>
      <c r="C1310" s="7"/>
      <c r="D1310" s="7" t="str">
        <f t="shared" si="61"/>
        <v>E</v>
      </c>
      <c r="E1310" s="10">
        <f t="shared" si="62"/>
        <v>0</v>
      </c>
      <c r="F1310" s="7" t="e">
        <f t="array" ref="F1310">+TIPOARMA(H1310,I1310)</f>
        <v>#VALUE!</v>
      </c>
      <c r="G1310" s="7"/>
      <c r="H1310" s="7" t="e">
        <f>+VLOOKUP(Q1310,Maps!I:J,2,0)</f>
        <v>#N/A</v>
      </c>
      <c r="I1310" s="7" t="e">
        <f>+VLOOKUP(T1310,Maps!E:F,2,0)</f>
        <v>#N/A</v>
      </c>
    </row>
    <row r="1311" spans="1:9" ht="14.25" customHeight="1" x14ac:dyDescent="0.35">
      <c r="A1311" s="7" t="str">
        <f t="array" ref="A1311">EXTRACTEVENT(N1311,V1311)</f>
        <v/>
      </c>
      <c r="B1311" s="7" t="str">
        <f t="shared" si="60"/>
        <v/>
      </c>
      <c r="C1311" s="7"/>
      <c r="D1311" s="7" t="str">
        <f t="shared" si="61"/>
        <v>E</v>
      </c>
      <c r="E1311" s="10">
        <f t="shared" si="62"/>
        <v>0</v>
      </c>
      <c r="F1311" s="7" t="e">
        <f t="array" ref="F1311">+TIPOARMA(H1311,I1311)</f>
        <v>#VALUE!</v>
      </c>
      <c r="G1311" s="7"/>
      <c r="H1311" s="7" t="e">
        <f>+VLOOKUP(Q1311,Maps!I:J,2,0)</f>
        <v>#N/A</v>
      </c>
      <c r="I1311" s="7" t="e">
        <f>+VLOOKUP(T1311,Maps!E:F,2,0)</f>
        <v>#N/A</v>
      </c>
    </row>
    <row r="1312" spans="1:9" ht="14.25" customHeight="1" x14ac:dyDescent="0.35">
      <c r="A1312" s="7" t="str">
        <f t="array" ref="A1312">EXTRACTEVENT(N1312,V1312)</f>
        <v/>
      </c>
      <c r="B1312" s="7" t="str">
        <f t="shared" si="60"/>
        <v/>
      </c>
      <c r="C1312" s="7"/>
      <c r="D1312" s="7" t="str">
        <f t="shared" si="61"/>
        <v>E</v>
      </c>
      <c r="E1312" s="10">
        <f t="shared" si="62"/>
        <v>0</v>
      </c>
      <c r="F1312" s="7" t="e">
        <f t="array" ref="F1312">+TIPOARMA(H1312,I1312)</f>
        <v>#VALUE!</v>
      </c>
      <c r="G1312" s="7"/>
      <c r="H1312" s="7" t="e">
        <f>+VLOOKUP(Q1312,Maps!I:J,2,0)</f>
        <v>#N/A</v>
      </c>
      <c r="I1312" s="7" t="e">
        <f>+VLOOKUP(T1312,Maps!E:F,2,0)</f>
        <v>#N/A</v>
      </c>
    </row>
    <row r="1313" spans="1:9" ht="14.25" customHeight="1" x14ac:dyDescent="0.35">
      <c r="A1313" s="7" t="str">
        <f t="array" ref="A1313">EXTRACTEVENT(N1313,V1313)</f>
        <v/>
      </c>
      <c r="B1313" s="7" t="str">
        <f t="shared" si="60"/>
        <v/>
      </c>
      <c r="C1313" s="7"/>
      <c r="D1313" s="7" t="str">
        <f t="shared" si="61"/>
        <v>E</v>
      </c>
      <c r="E1313" s="10">
        <f t="shared" si="62"/>
        <v>0</v>
      </c>
      <c r="F1313" s="7" t="e">
        <f t="array" ref="F1313">+TIPOARMA(H1313,I1313)</f>
        <v>#VALUE!</v>
      </c>
      <c r="G1313" s="7"/>
      <c r="H1313" s="7" t="e">
        <f>+VLOOKUP(Q1313,Maps!I:J,2,0)</f>
        <v>#N/A</v>
      </c>
      <c r="I1313" s="7" t="e">
        <f>+VLOOKUP(T1313,Maps!E:F,2,0)</f>
        <v>#N/A</v>
      </c>
    </row>
    <row r="1314" spans="1:9" ht="14.25" customHeight="1" x14ac:dyDescent="0.35">
      <c r="A1314" s="7" t="str">
        <f t="array" ref="A1314">EXTRACTEVENT(N1314,V1314)</f>
        <v/>
      </c>
      <c r="B1314" s="7" t="str">
        <f t="shared" si="60"/>
        <v/>
      </c>
      <c r="C1314" s="7"/>
      <c r="D1314" s="7" t="str">
        <f t="shared" si="61"/>
        <v>E</v>
      </c>
      <c r="E1314" s="10">
        <f t="shared" si="62"/>
        <v>0</v>
      </c>
      <c r="F1314" s="7" t="e">
        <f t="array" ref="F1314">+TIPOARMA(H1314,I1314)</f>
        <v>#VALUE!</v>
      </c>
      <c r="G1314" s="7"/>
      <c r="H1314" s="7" t="e">
        <f>+VLOOKUP(Q1314,Maps!I:J,2,0)</f>
        <v>#N/A</v>
      </c>
      <c r="I1314" s="7" t="e">
        <f>+VLOOKUP(T1314,Maps!E:F,2,0)</f>
        <v>#N/A</v>
      </c>
    </row>
    <row r="1315" spans="1:9" ht="14.25" customHeight="1" x14ac:dyDescent="0.35">
      <c r="A1315" s="7" t="str">
        <f t="array" ref="A1315">EXTRACTEVENT(N1315,V1315)</f>
        <v/>
      </c>
      <c r="B1315" s="7" t="str">
        <f t="shared" si="60"/>
        <v/>
      </c>
      <c r="C1315" s="7"/>
      <c r="D1315" s="7" t="str">
        <f t="shared" si="61"/>
        <v>E</v>
      </c>
      <c r="E1315" s="10">
        <f t="shared" si="62"/>
        <v>0</v>
      </c>
      <c r="F1315" s="7" t="e">
        <f t="array" ref="F1315">+TIPOARMA(H1315,I1315)</f>
        <v>#VALUE!</v>
      </c>
      <c r="G1315" s="7"/>
      <c r="H1315" s="7" t="e">
        <f>+VLOOKUP(Q1315,Maps!I:J,2,0)</f>
        <v>#N/A</v>
      </c>
      <c r="I1315" s="7" t="e">
        <f>+VLOOKUP(T1315,Maps!E:F,2,0)</f>
        <v>#N/A</v>
      </c>
    </row>
    <row r="1316" spans="1:9" ht="14.25" customHeight="1" x14ac:dyDescent="0.35">
      <c r="A1316" s="7" t="str">
        <f t="array" ref="A1316">EXTRACTEVENT(N1316,V1316)</f>
        <v/>
      </c>
      <c r="B1316" s="7" t="str">
        <f t="shared" si="60"/>
        <v/>
      </c>
      <c r="C1316" s="7"/>
      <c r="D1316" s="7" t="str">
        <f t="shared" si="61"/>
        <v>E</v>
      </c>
      <c r="E1316" s="10">
        <f t="shared" si="62"/>
        <v>0</v>
      </c>
      <c r="F1316" s="7" t="e">
        <f t="array" ref="F1316">+TIPOARMA(H1316,I1316)</f>
        <v>#VALUE!</v>
      </c>
      <c r="G1316" s="7"/>
      <c r="H1316" s="7" t="e">
        <f>+VLOOKUP(Q1316,Maps!I:J,2,0)</f>
        <v>#N/A</v>
      </c>
      <c r="I1316" s="7" t="e">
        <f>+VLOOKUP(T1316,Maps!E:F,2,0)</f>
        <v>#N/A</v>
      </c>
    </row>
    <row r="1317" spans="1:9" ht="14.25" customHeight="1" x14ac:dyDescent="0.35">
      <c r="A1317" s="7" t="str">
        <f t="array" ref="A1317">EXTRACTEVENT(N1317,V1317)</f>
        <v/>
      </c>
      <c r="B1317" s="7" t="str">
        <f t="shared" si="60"/>
        <v/>
      </c>
      <c r="C1317" s="7"/>
      <c r="D1317" s="7" t="str">
        <f t="shared" si="61"/>
        <v>E</v>
      </c>
      <c r="E1317" s="10">
        <f t="shared" si="62"/>
        <v>0</v>
      </c>
      <c r="F1317" s="7" t="e">
        <f t="array" ref="F1317">+TIPOARMA(H1317,I1317)</f>
        <v>#VALUE!</v>
      </c>
      <c r="G1317" s="7"/>
      <c r="H1317" s="7" t="e">
        <f>+VLOOKUP(Q1317,Maps!I:J,2,0)</f>
        <v>#N/A</v>
      </c>
      <c r="I1317" s="7" t="e">
        <f>+VLOOKUP(T1317,Maps!E:F,2,0)</f>
        <v>#N/A</v>
      </c>
    </row>
    <row r="1318" spans="1:9" ht="14.25" customHeight="1" x14ac:dyDescent="0.35">
      <c r="A1318" s="7" t="str">
        <f t="array" ref="A1318">EXTRACTEVENT(N1318,V1318)</f>
        <v/>
      </c>
      <c r="B1318" s="7" t="str">
        <f t="shared" si="60"/>
        <v/>
      </c>
      <c r="C1318" s="7"/>
      <c r="D1318" s="7" t="str">
        <f t="shared" si="61"/>
        <v>E</v>
      </c>
      <c r="E1318" s="10">
        <f t="shared" si="62"/>
        <v>0</v>
      </c>
      <c r="F1318" s="7" t="e">
        <f t="array" ref="F1318">+TIPOARMA(H1318,I1318)</f>
        <v>#VALUE!</v>
      </c>
      <c r="G1318" s="7"/>
      <c r="H1318" s="7" t="e">
        <f>+VLOOKUP(Q1318,Maps!I:J,2,0)</f>
        <v>#N/A</v>
      </c>
      <c r="I1318" s="7" t="e">
        <f>+VLOOKUP(T1318,Maps!E:F,2,0)</f>
        <v>#N/A</v>
      </c>
    </row>
    <row r="1319" spans="1:9" ht="14.25" customHeight="1" x14ac:dyDescent="0.35">
      <c r="A1319" s="7" t="str">
        <f t="array" ref="A1319">EXTRACTEVENT(N1319,V1319)</f>
        <v/>
      </c>
      <c r="B1319" s="7" t="str">
        <f t="shared" si="60"/>
        <v/>
      </c>
      <c r="C1319" s="7"/>
      <c r="D1319" s="7" t="str">
        <f t="shared" si="61"/>
        <v>E</v>
      </c>
      <c r="E1319" s="10">
        <f t="shared" si="62"/>
        <v>0</v>
      </c>
      <c r="F1319" s="7" t="e">
        <f t="array" ref="F1319">+TIPOARMA(H1319,I1319)</f>
        <v>#VALUE!</v>
      </c>
      <c r="G1319" s="7"/>
      <c r="H1319" s="7" t="e">
        <f>+VLOOKUP(Q1319,Maps!I:J,2,0)</f>
        <v>#N/A</v>
      </c>
      <c r="I1319" s="7" t="e">
        <f>+VLOOKUP(T1319,Maps!E:F,2,0)</f>
        <v>#N/A</v>
      </c>
    </row>
    <row r="1320" spans="1:9" ht="14.25" customHeight="1" x14ac:dyDescent="0.35">
      <c r="A1320" s="7" t="str">
        <f t="array" ref="A1320">EXTRACTEVENT(N1320,V1320)</f>
        <v/>
      </c>
      <c r="B1320" s="7" t="str">
        <f t="shared" si="60"/>
        <v/>
      </c>
      <c r="C1320" s="7"/>
      <c r="D1320" s="7" t="str">
        <f t="shared" si="61"/>
        <v>E</v>
      </c>
      <c r="E1320" s="10">
        <f t="shared" si="62"/>
        <v>0</v>
      </c>
      <c r="F1320" s="7" t="e">
        <f t="array" ref="F1320">+TIPOARMA(H1320,I1320)</f>
        <v>#VALUE!</v>
      </c>
      <c r="G1320" s="7"/>
      <c r="H1320" s="7" t="e">
        <f>+VLOOKUP(Q1320,Maps!I:J,2,0)</f>
        <v>#N/A</v>
      </c>
      <c r="I1320" s="7" t="e">
        <f>+VLOOKUP(T1320,Maps!E:F,2,0)</f>
        <v>#N/A</v>
      </c>
    </row>
    <row r="1321" spans="1:9" ht="14.25" customHeight="1" x14ac:dyDescent="0.35">
      <c r="A1321" s="7" t="str">
        <f t="array" ref="A1321">EXTRACTEVENT(N1321,V1321)</f>
        <v/>
      </c>
      <c r="B1321" s="7" t="str">
        <f t="shared" si="60"/>
        <v/>
      </c>
      <c r="C1321" s="7"/>
      <c r="D1321" s="7" t="str">
        <f t="shared" si="61"/>
        <v>E</v>
      </c>
      <c r="E1321" s="10">
        <f t="shared" si="62"/>
        <v>0</v>
      </c>
      <c r="F1321" s="7" t="e">
        <f t="array" ref="F1321">+TIPOARMA(H1321,I1321)</f>
        <v>#VALUE!</v>
      </c>
      <c r="G1321" s="7"/>
      <c r="H1321" s="7" t="e">
        <f>+VLOOKUP(Q1321,Maps!I:J,2,0)</f>
        <v>#N/A</v>
      </c>
      <c r="I1321" s="7" t="e">
        <f>+VLOOKUP(T1321,Maps!E:F,2,0)</f>
        <v>#N/A</v>
      </c>
    </row>
    <row r="1322" spans="1:9" ht="14.25" customHeight="1" x14ac:dyDescent="0.35">
      <c r="A1322" s="7" t="str">
        <f t="array" ref="A1322">EXTRACTEVENT(N1322,V1322)</f>
        <v/>
      </c>
      <c r="B1322" s="7" t="str">
        <f t="shared" si="60"/>
        <v/>
      </c>
      <c r="C1322" s="7"/>
      <c r="D1322" s="7" t="str">
        <f t="shared" si="61"/>
        <v>E</v>
      </c>
      <c r="E1322" s="10">
        <f t="shared" si="62"/>
        <v>0</v>
      </c>
      <c r="F1322" s="7" t="e">
        <f t="array" ref="F1322">+TIPOARMA(H1322,I1322)</f>
        <v>#VALUE!</v>
      </c>
      <c r="G1322" s="7"/>
      <c r="H1322" s="7" t="e">
        <f>+VLOOKUP(Q1322,Maps!I:J,2,0)</f>
        <v>#N/A</v>
      </c>
      <c r="I1322" s="7" t="e">
        <f>+VLOOKUP(T1322,Maps!E:F,2,0)</f>
        <v>#N/A</v>
      </c>
    </row>
    <row r="1323" spans="1:9" ht="14.25" customHeight="1" x14ac:dyDescent="0.35">
      <c r="A1323" s="7" t="str">
        <f t="array" ref="A1323">EXTRACTEVENT(N1323,V1323)</f>
        <v/>
      </c>
      <c r="B1323" s="7" t="str">
        <f t="shared" si="60"/>
        <v/>
      </c>
      <c r="C1323" s="7"/>
      <c r="D1323" s="7" t="str">
        <f t="shared" si="61"/>
        <v>E</v>
      </c>
      <c r="E1323" s="10">
        <f t="shared" si="62"/>
        <v>0</v>
      </c>
      <c r="F1323" s="7" t="e">
        <f t="array" ref="F1323">+TIPOARMA(H1323,I1323)</f>
        <v>#VALUE!</v>
      </c>
      <c r="G1323" s="7"/>
      <c r="H1323" s="7" t="e">
        <f>+VLOOKUP(Q1323,Maps!I:J,2,0)</f>
        <v>#N/A</v>
      </c>
      <c r="I1323" s="7" t="e">
        <f>+VLOOKUP(T1323,Maps!E:F,2,0)</f>
        <v>#N/A</v>
      </c>
    </row>
    <row r="1324" spans="1:9" ht="14.25" customHeight="1" x14ac:dyDescent="0.35">
      <c r="A1324" s="7" t="str">
        <f t="array" ref="A1324">EXTRACTEVENT(N1324,V1324)</f>
        <v/>
      </c>
      <c r="B1324" s="7" t="str">
        <f t="shared" si="60"/>
        <v/>
      </c>
      <c r="C1324" s="7"/>
      <c r="D1324" s="7" t="str">
        <f t="shared" si="61"/>
        <v>E</v>
      </c>
      <c r="E1324" s="10">
        <f t="shared" si="62"/>
        <v>0</v>
      </c>
      <c r="F1324" s="7" t="e">
        <f t="array" ref="F1324">+TIPOARMA(H1324,I1324)</f>
        <v>#VALUE!</v>
      </c>
      <c r="G1324" s="7"/>
      <c r="H1324" s="7" t="e">
        <f>+VLOOKUP(Q1324,Maps!I:J,2,0)</f>
        <v>#N/A</v>
      </c>
      <c r="I1324" s="7" t="e">
        <f>+VLOOKUP(T1324,Maps!E:F,2,0)</f>
        <v>#N/A</v>
      </c>
    </row>
    <row r="1325" spans="1:9" ht="14.25" customHeight="1" x14ac:dyDescent="0.35">
      <c r="A1325" s="7" t="str">
        <f t="array" ref="A1325">EXTRACTEVENT(N1325,V1325)</f>
        <v/>
      </c>
      <c r="B1325" s="7" t="str">
        <f t="shared" si="60"/>
        <v/>
      </c>
      <c r="C1325" s="7"/>
      <c r="D1325" s="7" t="str">
        <f t="shared" si="61"/>
        <v>E</v>
      </c>
      <c r="E1325" s="10">
        <f t="shared" si="62"/>
        <v>0</v>
      </c>
      <c r="F1325" s="7" t="e">
        <f t="array" ref="F1325">+TIPOARMA(H1325,I1325)</f>
        <v>#VALUE!</v>
      </c>
      <c r="G1325" s="7"/>
      <c r="H1325" s="7" t="e">
        <f>+VLOOKUP(Q1325,Maps!I:J,2,0)</f>
        <v>#N/A</v>
      </c>
      <c r="I1325" s="7" t="e">
        <f>+VLOOKUP(T1325,Maps!E:F,2,0)</f>
        <v>#N/A</v>
      </c>
    </row>
    <row r="1326" spans="1:9" ht="14.25" customHeight="1" x14ac:dyDescent="0.35">
      <c r="A1326" s="7" t="str">
        <f t="array" ref="A1326">EXTRACTEVENT(N1326,V1326)</f>
        <v/>
      </c>
      <c r="B1326" s="7" t="str">
        <f t="shared" si="60"/>
        <v/>
      </c>
      <c r="C1326" s="7"/>
      <c r="D1326" s="7" t="str">
        <f t="shared" si="61"/>
        <v>E</v>
      </c>
      <c r="E1326" s="10">
        <f t="shared" si="62"/>
        <v>0</v>
      </c>
      <c r="F1326" s="7" t="e">
        <f t="array" ref="F1326">+TIPOARMA(H1326,I1326)</f>
        <v>#VALUE!</v>
      </c>
      <c r="G1326" s="7"/>
      <c r="H1326" s="7" t="e">
        <f>+VLOOKUP(Q1326,Maps!I:J,2,0)</f>
        <v>#N/A</v>
      </c>
      <c r="I1326" s="7" t="e">
        <f>+VLOOKUP(T1326,Maps!E:F,2,0)</f>
        <v>#N/A</v>
      </c>
    </row>
    <row r="1327" spans="1:9" ht="14.25" customHeight="1" x14ac:dyDescent="0.35">
      <c r="A1327" s="7" t="str">
        <f t="array" ref="A1327">EXTRACTEVENT(N1327,V1327)</f>
        <v/>
      </c>
      <c r="B1327" s="7" t="str">
        <f t="shared" si="60"/>
        <v/>
      </c>
      <c r="C1327" s="7"/>
      <c r="D1327" s="7" t="str">
        <f t="shared" si="61"/>
        <v>E</v>
      </c>
      <c r="E1327" s="10">
        <f t="shared" si="62"/>
        <v>0</v>
      </c>
      <c r="F1327" s="7" t="e">
        <f t="array" ref="F1327">+TIPOARMA(H1327,I1327)</f>
        <v>#VALUE!</v>
      </c>
      <c r="G1327" s="7"/>
      <c r="H1327" s="7" t="e">
        <f>+VLOOKUP(Q1327,Maps!I:J,2,0)</f>
        <v>#N/A</v>
      </c>
      <c r="I1327" s="7" t="e">
        <f>+VLOOKUP(T1327,Maps!E:F,2,0)</f>
        <v>#N/A</v>
      </c>
    </row>
    <row r="1328" spans="1:9" ht="14.25" customHeight="1" x14ac:dyDescent="0.35">
      <c r="A1328" s="7" t="str">
        <f t="array" ref="A1328">EXTRACTEVENT(N1328,V1328)</f>
        <v/>
      </c>
      <c r="B1328" s="7" t="str">
        <f t="shared" si="60"/>
        <v/>
      </c>
      <c r="C1328" s="7"/>
      <c r="D1328" s="7" t="str">
        <f t="shared" si="61"/>
        <v>E</v>
      </c>
      <c r="E1328" s="10">
        <f t="shared" si="62"/>
        <v>0</v>
      </c>
      <c r="F1328" s="7" t="e">
        <f t="array" ref="F1328">+TIPOARMA(H1328,I1328)</f>
        <v>#VALUE!</v>
      </c>
      <c r="G1328" s="7"/>
      <c r="H1328" s="7" t="e">
        <f>+VLOOKUP(Q1328,Maps!I:J,2,0)</f>
        <v>#N/A</v>
      </c>
      <c r="I1328" s="7" t="e">
        <f>+VLOOKUP(T1328,Maps!E:F,2,0)</f>
        <v>#N/A</v>
      </c>
    </row>
    <row r="1329" spans="1:9" ht="14.25" customHeight="1" x14ac:dyDescent="0.35">
      <c r="A1329" s="7" t="str">
        <f t="array" ref="A1329">EXTRACTEVENT(N1329,V1329)</f>
        <v/>
      </c>
      <c r="B1329" s="7" t="str">
        <f t="shared" si="60"/>
        <v/>
      </c>
      <c r="C1329" s="7"/>
      <c r="D1329" s="7" t="str">
        <f t="shared" si="61"/>
        <v>E</v>
      </c>
      <c r="E1329" s="10">
        <f t="shared" si="62"/>
        <v>0</v>
      </c>
      <c r="F1329" s="7" t="e">
        <f t="array" ref="F1329">+TIPOARMA(H1329,I1329)</f>
        <v>#VALUE!</v>
      </c>
      <c r="G1329" s="7"/>
      <c r="H1329" s="7" t="e">
        <f>+VLOOKUP(Q1329,Maps!I:J,2,0)</f>
        <v>#N/A</v>
      </c>
      <c r="I1329" s="7" t="e">
        <f>+VLOOKUP(T1329,Maps!E:F,2,0)</f>
        <v>#N/A</v>
      </c>
    </row>
    <row r="1330" spans="1:9" ht="14.25" customHeight="1" x14ac:dyDescent="0.35">
      <c r="A1330" s="7" t="str">
        <f t="array" ref="A1330">EXTRACTEVENT(N1330,V1330)</f>
        <v/>
      </c>
      <c r="B1330" s="7" t="str">
        <f t="shared" si="60"/>
        <v/>
      </c>
      <c r="C1330" s="7"/>
      <c r="D1330" s="7" t="str">
        <f t="shared" si="61"/>
        <v>E</v>
      </c>
      <c r="E1330" s="10">
        <f t="shared" si="62"/>
        <v>0</v>
      </c>
      <c r="F1330" s="7" t="e">
        <f t="array" ref="F1330">+TIPOARMA(H1330,I1330)</f>
        <v>#VALUE!</v>
      </c>
      <c r="G1330" s="7"/>
      <c r="H1330" s="7" t="e">
        <f>+VLOOKUP(Q1330,Maps!I:J,2,0)</f>
        <v>#N/A</v>
      </c>
      <c r="I1330" s="7" t="e">
        <f>+VLOOKUP(T1330,Maps!E:F,2,0)</f>
        <v>#N/A</v>
      </c>
    </row>
    <row r="1331" spans="1:9" ht="14.25" customHeight="1" x14ac:dyDescent="0.35">
      <c r="A1331" s="7" t="str">
        <f t="array" ref="A1331">EXTRACTEVENT(N1331,V1331)</f>
        <v/>
      </c>
      <c r="B1331" s="7" t="str">
        <f t="shared" si="60"/>
        <v/>
      </c>
      <c r="C1331" s="7"/>
      <c r="D1331" s="7" t="str">
        <f t="shared" si="61"/>
        <v>E</v>
      </c>
      <c r="E1331" s="10">
        <f t="shared" si="62"/>
        <v>0</v>
      </c>
      <c r="F1331" s="7" t="e">
        <f t="array" ref="F1331">+TIPOARMA(H1331,I1331)</f>
        <v>#VALUE!</v>
      </c>
      <c r="G1331" s="7"/>
      <c r="H1331" s="7" t="e">
        <f>+VLOOKUP(Q1331,Maps!I:J,2,0)</f>
        <v>#N/A</v>
      </c>
      <c r="I1331" s="7" t="e">
        <f>+VLOOKUP(T1331,Maps!E:F,2,0)</f>
        <v>#N/A</v>
      </c>
    </row>
    <row r="1332" spans="1:9" ht="14.25" customHeight="1" x14ac:dyDescent="0.35">
      <c r="A1332" s="7" t="str">
        <f t="array" ref="A1332">EXTRACTEVENT(N1332,V1332)</f>
        <v/>
      </c>
      <c r="B1332" s="7" t="str">
        <f t="shared" si="60"/>
        <v/>
      </c>
      <c r="C1332" s="7"/>
      <c r="D1332" s="7" t="str">
        <f t="shared" si="61"/>
        <v>E</v>
      </c>
      <c r="E1332" s="10">
        <f t="shared" si="62"/>
        <v>0</v>
      </c>
      <c r="F1332" s="7" t="e">
        <f t="array" ref="F1332">+TIPOARMA(H1332,I1332)</f>
        <v>#VALUE!</v>
      </c>
      <c r="G1332" s="7"/>
      <c r="H1332" s="7" t="e">
        <f>+VLOOKUP(Q1332,Maps!I:J,2,0)</f>
        <v>#N/A</v>
      </c>
      <c r="I1332" s="7" t="e">
        <f>+VLOOKUP(T1332,Maps!E:F,2,0)</f>
        <v>#N/A</v>
      </c>
    </row>
    <row r="1333" spans="1:9" ht="14.25" customHeight="1" x14ac:dyDescent="0.35">
      <c r="A1333" s="7" t="str">
        <f t="array" ref="A1333">EXTRACTEVENT(N1333,V1333)</f>
        <v/>
      </c>
      <c r="B1333" s="7" t="str">
        <f t="shared" si="60"/>
        <v/>
      </c>
      <c r="C1333" s="7"/>
      <c r="D1333" s="7" t="str">
        <f t="shared" si="61"/>
        <v>E</v>
      </c>
      <c r="E1333" s="10">
        <f t="shared" si="62"/>
        <v>0</v>
      </c>
      <c r="F1333" s="7" t="e">
        <f t="array" ref="F1333">+TIPOARMA(H1333,I1333)</f>
        <v>#VALUE!</v>
      </c>
      <c r="G1333" s="7"/>
      <c r="H1333" s="7" t="e">
        <f>+VLOOKUP(Q1333,Maps!I:J,2,0)</f>
        <v>#N/A</v>
      </c>
      <c r="I1333" s="7" t="e">
        <f>+VLOOKUP(T1333,Maps!E:F,2,0)</f>
        <v>#N/A</v>
      </c>
    </row>
    <row r="1334" spans="1:9" ht="14.25" customHeight="1" x14ac:dyDescent="0.35">
      <c r="A1334" s="7" t="str">
        <f t="array" ref="A1334">EXTRACTEVENT(N1334,V1334)</f>
        <v/>
      </c>
      <c r="B1334" s="7" t="str">
        <f t="shared" si="60"/>
        <v/>
      </c>
      <c r="C1334" s="7"/>
      <c r="D1334" s="7" t="str">
        <f t="shared" si="61"/>
        <v>E</v>
      </c>
      <c r="E1334" s="10">
        <f t="shared" si="62"/>
        <v>0</v>
      </c>
      <c r="F1334" s="7" t="e">
        <f t="array" ref="F1334">+TIPOARMA(H1334,I1334)</f>
        <v>#VALUE!</v>
      </c>
      <c r="G1334" s="7"/>
      <c r="H1334" s="7" t="e">
        <f>+VLOOKUP(Q1334,Maps!I:J,2,0)</f>
        <v>#N/A</v>
      </c>
      <c r="I1334" s="7" t="e">
        <f>+VLOOKUP(T1334,Maps!E:F,2,0)</f>
        <v>#N/A</v>
      </c>
    </row>
    <row r="1335" spans="1:9" ht="14.25" customHeight="1" x14ac:dyDescent="0.35">
      <c r="A1335" s="7" t="str">
        <f t="array" ref="A1335">EXTRACTEVENT(N1335,V1335)</f>
        <v/>
      </c>
      <c r="B1335" s="7" t="str">
        <f t="shared" si="60"/>
        <v/>
      </c>
      <c r="C1335" s="7"/>
      <c r="D1335" s="7" t="str">
        <f t="shared" si="61"/>
        <v>E</v>
      </c>
      <c r="E1335" s="10">
        <f t="shared" si="62"/>
        <v>0</v>
      </c>
      <c r="F1335" s="7" t="e">
        <f t="array" ref="F1335">+TIPOARMA(H1335,I1335)</f>
        <v>#VALUE!</v>
      </c>
      <c r="G1335" s="7"/>
      <c r="H1335" s="7" t="e">
        <f>+VLOOKUP(Q1335,Maps!I:J,2,0)</f>
        <v>#N/A</v>
      </c>
      <c r="I1335" s="7" t="e">
        <f>+VLOOKUP(T1335,Maps!E:F,2,0)</f>
        <v>#N/A</v>
      </c>
    </row>
    <row r="1336" spans="1:9" ht="14.25" customHeight="1" x14ac:dyDescent="0.35">
      <c r="A1336" s="7" t="str">
        <f t="array" ref="A1336">EXTRACTEVENT(N1336,V1336)</f>
        <v/>
      </c>
      <c r="B1336" s="7" t="str">
        <f t="shared" si="60"/>
        <v/>
      </c>
      <c r="C1336" s="7"/>
      <c r="D1336" s="7" t="str">
        <f t="shared" si="61"/>
        <v>E</v>
      </c>
      <c r="E1336" s="10">
        <f t="shared" si="62"/>
        <v>0</v>
      </c>
      <c r="F1336" s="7" t="e">
        <f t="array" ref="F1336">+TIPOARMA(H1336,I1336)</f>
        <v>#VALUE!</v>
      </c>
      <c r="G1336" s="7"/>
      <c r="H1336" s="7" t="e">
        <f>+VLOOKUP(Q1336,Maps!I:J,2,0)</f>
        <v>#N/A</v>
      </c>
      <c r="I1336" s="7" t="e">
        <f>+VLOOKUP(T1336,Maps!E:F,2,0)</f>
        <v>#N/A</v>
      </c>
    </row>
    <row r="1337" spans="1:9" ht="14.25" customHeight="1" x14ac:dyDescent="0.35">
      <c r="A1337" s="7" t="str">
        <f t="array" ref="A1337">EXTRACTEVENT(N1337,V1337)</f>
        <v/>
      </c>
      <c r="B1337" s="7" t="str">
        <f t="shared" si="60"/>
        <v/>
      </c>
      <c r="C1337" s="7"/>
      <c r="D1337" s="7" t="str">
        <f t="shared" si="61"/>
        <v>E</v>
      </c>
      <c r="E1337" s="10">
        <f t="shared" si="62"/>
        <v>0</v>
      </c>
      <c r="F1337" s="7" t="e">
        <f t="array" ref="F1337">+TIPOARMA(H1337,I1337)</f>
        <v>#VALUE!</v>
      </c>
      <c r="G1337" s="7"/>
      <c r="H1337" s="7" t="e">
        <f>+VLOOKUP(Q1337,Maps!I:J,2,0)</f>
        <v>#N/A</v>
      </c>
      <c r="I1337" s="7" t="e">
        <f>+VLOOKUP(T1337,Maps!E:F,2,0)</f>
        <v>#N/A</v>
      </c>
    </row>
    <row r="1338" spans="1:9" ht="14.25" customHeight="1" x14ac:dyDescent="0.35">
      <c r="A1338" s="7" t="str">
        <f t="array" ref="A1338">EXTRACTEVENT(N1338,V1338)</f>
        <v/>
      </c>
      <c r="B1338" s="7" t="str">
        <f t="shared" si="60"/>
        <v/>
      </c>
      <c r="C1338" s="7"/>
      <c r="D1338" s="7" t="str">
        <f t="shared" si="61"/>
        <v>E</v>
      </c>
      <c r="E1338" s="10">
        <f t="shared" si="62"/>
        <v>0</v>
      </c>
      <c r="F1338" s="7" t="e">
        <f t="array" ref="F1338">+TIPOARMA(H1338,I1338)</f>
        <v>#VALUE!</v>
      </c>
      <c r="G1338" s="7"/>
      <c r="H1338" s="7" t="e">
        <f>+VLOOKUP(Q1338,Maps!I:J,2,0)</f>
        <v>#N/A</v>
      </c>
      <c r="I1338" s="7" t="e">
        <f>+VLOOKUP(T1338,Maps!E:F,2,0)</f>
        <v>#N/A</v>
      </c>
    </row>
    <row r="1339" spans="1:9" ht="14.25" customHeight="1" x14ac:dyDescent="0.35">
      <c r="A1339" s="7" t="str">
        <f t="array" ref="A1339">EXTRACTEVENT(N1339,V1339)</f>
        <v/>
      </c>
      <c r="B1339" s="7" t="str">
        <f t="shared" si="60"/>
        <v/>
      </c>
      <c r="C1339" s="7"/>
      <c r="D1339" s="7" t="str">
        <f t="shared" si="61"/>
        <v>E</v>
      </c>
      <c r="E1339" s="10">
        <f t="shared" si="62"/>
        <v>0</v>
      </c>
      <c r="F1339" s="7" t="e">
        <f t="array" ref="F1339">+TIPOARMA(H1339,I1339)</f>
        <v>#VALUE!</v>
      </c>
      <c r="G1339" s="7"/>
      <c r="H1339" s="7" t="e">
        <f>+VLOOKUP(Q1339,Maps!I:J,2,0)</f>
        <v>#N/A</v>
      </c>
      <c r="I1339" s="7" t="e">
        <f>+VLOOKUP(T1339,Maps!E:F,2,0)</f>
        <v>#N/A</v>
      </c>
    </row>
    <row r="1340" spans="1:9" ht="14.25" customHeight="1" x14ac:dyDescent="0.35">
      <c r="A1340" s="7" t="str">
        <f t="array" ref="A1340">EXTRACTEVENT(N1340,V1340)</f>
        <v/>
      </c>
      <c r="B1340" s="7" t="str">
        <f t="shared" si="60"/>
        <v/>
      </c>
      <c r="C1340" s="7"/>
      <c r="D1340" s="7" t="str">
        <f t="shared" si="61"/>
        <v>E</v>
      </c>
      <c r="E1340" s="10">
        <f t="shared" si="62"/>
        <v>0</v>
      </c>
      <c r="F1340" s="7" t="e">
        <f t="array" ref="F1340">+TIPOARMA(H1340,I1340)</f>
        <v>#VALUE!</v>
      </c>
      <c r="G1340" s="7"/>
      <c r="H1340" s="7" t="e">
        <f>+VLOOKUP(Q1340,Maps!I:J,2,0)</f>
        <v>#N/A</v>
      </c>
      <c r="I1340" s="7" t="e">
        <f>+VLOOKUP(T1340,Maps!E:F,2,0)</f>
        <v>#N/A</v>
      </c>
    </row>
    <row r="1341" spans="1:9" ht="14.25" customHeight="1" x14ac:dyDescent="0.35">
      <c r="A1341" s="7" t="str">
        <f t="array" ref="A1341">EXTRACTEVENT(N1341,V1341)</f>
        <v/>
      </c>
      <c r="B1341" s="7" t="str">
        <f t="shared" si="60"/>
        <v/>
      </c>
      <c r="C1341" s="7"/>
      <c r="D1341" s="7" t="str">
        <f t="shared" si="61"/>
        <v>E</v>
      </c>
      <c r="E1341" s="10">
        <f t="shared" si="62"/>
        <v>0</v>
      </c>
      <c r="F1341" s="7" t="e">
        <f t="array" ref="F1341">+TIPOARMA(H1341,I1341)</f>
        <v>#VALUE!</v>
      </c>
      <c r="G1341" s="7"/>
      <c r="H1341" s="7" t="e">
        <f>+VLOOKUP(Q1341,Maps!I:J,2,0)</f>
        <v>#N/A</v>
      </c>
      <c r="I1341" s="7" t="e">
        <f>+VLOOKUP(T1341,Maps!E:F,2,0)</f>
        <v>#N/A</v>
      </c>
    </row>
    <row r="1342" spans="1:9" ht="14.25" customHeight="1" x14ac:dyDescent="0.35">
      <c r="A1342" s="7" t="str">
        <f t="array" ref="A1342">EXTRACTEVENT(N1342,V1342)</f>
        <v/>
      </c>
      <c r="B1342" s="7" t="str">
        <f t="shared" si="60"/>
        <v/>
      </c>
      <c r="C1342" s="7"/>
      <c r="D1342" s="7" t="str">
        <f t="shared" si="61"/>
        <v>E</v>
      </c>
      <c r="E1342" s="10">
        <f t="shared" si="62"/>
        <v>0</v>
      </c>
      <c r="F1342" s="7" t="e">
        <f t="array" ref="F1342">+TIPOARMA(H1342,I1342)</f>
        <v>#VALUE!</v>
      </c>
      <c r="G1342" s="7"/>
      <c r="H1342" s="7" t="e">
        <f>+VLOOKUP(Q1342,Maps!I:J,2,0)</f>
        <v>#N/A</v>
      </c>
      <c r="I1342" s="7" t="e">
        <f>+VLOOKUP(T1342,Maps!E:F,2,0)</f>
        <v>#N/A</v>
      </c>
    </row>
    <row r="1343" spans="1:9" ht="14.25" customHeight="1" x14ac:dyDescent="0.35">
      <c r="A1343" s="7" t="str">
        <f t="array" ref="A1343">EXTRACTEVENT(N1343,V1343)</f>
        <v/>
      </c>
      <c r="B1343" s="7" t="str">
        <f t="shared" si="60"/>
        <v/>
      </c>
      <c r="C1343" s="7"/>
      <c r="D1343" s="7" t="str">
        <f t="shared" si="61"/>
        <v>E</v>
      </c>
      <c r="E1343" s="10">
        <f t="shared" si="62"/>
        <v>0</v>
      </c>
      <c r="F1343" s="7" t="e">
        <f t="array" ref="F1343">+TIPOARMA(H1343,I1343)</f>
        <v>#VALUE!</v>
      </c>
      <c r="G1343" s="7"/>
      <c r="H1343" s="7" t="e">
        <f>+VLOOKUP(Q1343,Maps!I:J,2,0)</f>
        <v>#N/A</v>
      </c>
      <c r="I1343" s="7" t="e">
        <f>+VLOOKUP(T1343,Maps!E:F,2,0)</f>
        <v>#N/A</v>
      </c>
    </row>
    <row r="1344" spans="1:9" ht="14.25" customHeight="1" x14ac:dyDescent="0.35">
      <c r="A1344" s="7" t="str">
        <f t="array" ref="A1344">EXTRACTEVENT(N1344,V1344)</f>
        <v/>
      </c>
      <c r="B1344" s="7" t="str">
        <f t="shared" si="60"/>
        <v/>
      </c>
      <c r="C1344" s="7"/>
      <c r="D1344" s="7" t="str">
        <f t="shared" si="61"/>
        <v>E</v>
      </c>
      <c r="E1344" s="10">
        <f t="shared" si="62"/>
        <v>0</v>
      </c>
      <c r="F1344" s="7" t="e">
        <f t="array" ref="F1344">+TIPOARMA(H1344,I1344)</f>
        <v>#VALUE!</v>
      </c>
      <c r="G1344" s="7"/>
      <c r="H1344" s="7" t="e">
        <f>+VLOOKUP(Q1344,Maps!I:J,2,0)</f>
        <v>#N/A</v>
      </c>
      <c r="I1344" s="7" t="e">
        <f>+VLOOKUP(T1344,Maps!E:F,2,0)</f>
        <v>#N/A</v>
      </c>
    </row>
    <row r="1345" spans="1:9" ht="14.25" customHeight="1" x14ac:dyDescent="0.35">
      <c r="A1345" s="7" t="str">
        <f t="array" ref="A1345">EXTRACTEVENT(N1345,V1345)</f>
        <v/>
      </c>
      <c r="B1345" s="7" t="str">
        <f t="shared" si="60"/>
        <v/>
      </c>
      <c r="C1345" s="7"/>
      <c r="D1345" s="7" t="str">
        <f t="shared" si="61"/>
        <v>E</v>
      </c>
      <c r="E1345" s="10">
        <f t="shared" si="62"/>
        <v>0</v>
      </c>
      <c r="F1345" s="7" t="e">
        <f t="array" ref="F1345">+TIPOARMA(H1345,I1345)</f>
        <v>#VALUE!</v>
      </c>
      <c r="G1345" s="7"/>
      <c r="H1345" s="7" t="e">
        <f>+VLOOKUP(Q1345,Maps!I:J,2,0)</f>
        <v>#N/A</v>
      </c>
      <c r="I1345" s="7" t="e">
        <f>+VLOOKUP(T1345,Maps!E:F,2,0)</f>
        <v>#N/A</v>
      </c>
    </row>
    <row r="1346" spans="1:9" ht="14.25" customHeight="1" x14ac:dyDescent="0.35">
      <c r="A1346" s="7" t="str">
        <f t="array" ref="A1346">EXTRACTEVENT(N1346,V1346)</f>
        <v/>
      </c>
      <c r="B1346" s="7" t="str">
        <f t="shared" ref="B1346:B1409" si="63">+IF(V1346="TREINO","-",LEFT(N1346,1))</f>
        <v/>
      </c>
      <c r="C1346" s="7"/>
      <c r="D1346" s="7" t="str">
        <f t="shared" ref="D1346:D1409" si="64">+IF($V1346="TREINO","T",IF(V1346="NACIONAL","N","E"))</f>
        <v>E</v>
      </c>
      <c r="E1346" s="10">
        <f t="shared" ref="E1346:E1409" si="65">IFERROR(DATEVALUE(LEFT(M1346,10)),M1346)</f>
        <v>0</v>
      </c>
      <c r="F1346" s="7" t="e">
        <f t="array" ref="F1346">+TIPOARMA(H1346,I1346)</f>
        <v>#VALUE!</v>
      </c>
      <c r="G1346" s="7"/>
      <c r="H1346" s="7" t="e">
        <f>+VLOOKUP(Q1346,Maps!I:J,2,0)</f>
        <v>#N/A</v>
      </c>
      <c r="I1346" s="7" t="e">
        <f>+VLOOKUP(T1346,Maps!E:F,2,0)</f>
        <v>#N/A</v>
      </c>
    </row>
    <row r="1347" spans="1:9" ht="14.25" customHeight="1" x14ac:dyDescent="0.35">
      <c r="A1347" s="7" t="str">
        <f t="array" ref="A1347">EXTRACTEVENT(N1347,V1347)</f>
        <v/>
      </c>
      <c r="B1347" s="7" t="str">
        <f t="shared" si="63"/>
        <v/>
      </c>
      <c r="C1347" s="7"/>
      <c r="D1347" s="7" t="str">
        <f t="shared" si="64"/>
        <v>E</v>
      </c>
      <c r="E1347" s="10">
        <f t="shared" si="65"/>
        <v>0</v>
      </c>
      <c r="F1347" s="7" t="e">
        <f t="array" ref="F1347">+TIPOARMA(H1347,I1347)</f>
        <v>#VALUE!</v>
      </c>
      <c r="G1347" s="7"/>
      <c r="H1347" s="7" t="e">
        <f>+VLOOKUP(Q1347,Maps!I:J,2,0)</f>
        <v>#N/A</v>
      </c>
      <c r="I1347" s="7" t="e">
        <f>+VLOOKUP(T1347,Maps!E:F,2,0)</f>
        <v>#N/A</v>
      </c>
    </row>
    <row r="1348" spans="1:9" ht="14.25" customHeight="1" x14ac:dyDescent="0.35">
      <c r="A1348" s="7" t="str">
        <f t="array" ref="A1348">EXTRACTEVENT(N1348,V1348)</f>
        <v/>
      </c>
      <c r="B1348" s="7" t="str">
        <f t="shared" si="63"/>
        <v/>
      </c>
      <c r="C1348" s="7"/>
      <c r="D1348" s="7" t="str">
        <f t="shared" si="64"/>
        <v>E</v>
      </c>
      <c r="E1348" s="10">
        <f t="shared" si="65"/>
        <v>0</v>
      </c>
      <c r="F1348" s="7" t="e">
        <f t="array" ref="F1348">+TIPOARMA(H1348,I1348)</f>
        <v>#VALUE!</v>
      </c>
      <c r="G1348" s="7"/>
      <c r="H1348" s="7" t="e">
        <f>+VLOOKUP(Q1348,Maps!I:J,2,0)</f>
        <v>#N/A</v>
      </c>
      <c r="I1348" s="7" t="e">
        <f>+VLOOKUP(T1348,Maps!E:F,2,0)</f>
        <v>#N/A</v>
      </c>
    </row>
    <row r="1349" spans="1:9" ht="14.25" customHeight="1" x14ac:dyDescent="0.35">
      <c r="A1349" s="7" t="str">
        <f t="array" ref="A1349">EXTRACTEVENT(N1349,V1349)</f>
        <v/>
      </c>
      <c r="B1349" s="7" t="str">
        <f t="shared" si="63"/>
        <v/>
      </c>
      <c r="C1349" s="7"/>
      <c r="D1349" s="7" t="str">
        <f t="shared" si="64"/>
        <v>E</v>
      </c>
      <c r="E1349" s="10">
        <f t="shared" si="65"/>
        <v>0</v>
      </c>
      <c r="F1349" s="7" t="e">
        <f t="array" ref="F1349">+TIPOARMA(H1349,I1349)</f>
        <v>#VALUE!</v>
      </c>
      <c r="G1349" s="7"/>
      <c r="H1349" s="7" t="e">
        <f>+VLOOKUP(Q1349,Maps!I:J,2,0)</f>
        <v>#N/A</v>
      </c>
      <c r="I1349" s="7" t="e">
        <f>+VLOOKUP(T1349,Maps!E:F,2,0)</f>
        <v>#N/A</v>
      </c>
    </row>
    <row r="1350" spans="1:9" ht="14.25" customHeight="1" x14ac:dyDescent="0.35">
      <c r="A1350" s="7" t="str">
        <f t="array" ref="A1350">EXTRACTEVENT(N1350,V1350)</f>
        <v/>
      </c>
      <c r="B1350" s="7" t="str">
        <f t="shared" si="63"/>
        <v/>
      </c>
      <c r="C1350" s="7"/>
      <c r="D1350" s="7" t="str">
        <f t="shared" si="64"/>
        <v>E</v>
      </c>
      <c r="E1350" s="10">
        <f t="shared" si="65"/>
        <v>0</v>
      </c>
      <c r="F1350" s="7" t="e">
        <f t="array" ref="F1350">+TIPOARMA(H1350,I1350)</f>
        <v>#VALUE!</v>
      </c>
      <c r="G1350" s="7"/>
      <c r="H1350" s="7" t="e">
        <f>+VLOOKUP(Q1350,Maps!I:J,2,0)</f>
        <v>#N/A</v>
      </c>
      <c r="I1350" s="7" t="e">
        <f>+VLOOKUP(T1350,Maps!E:F,2,0)</f>
        <v>#N/A</v>
      </c>
    </row>
    <row r="1351" spans="1:9" ht="14.25" customHeight="1" x14ac:dyDescent="0.35">
      <c r="A1351" s="7" t="str">
        <f t="array" ref="A1351">EXTRACTEVENT(N1351,V1351)</f>
        <v/>
      </c>
      <c r="B1351" s="7" t="str">
        <f t="shared" si="63"/>
        <v/>
      </c>
      <c r="C1351" s="7"/>
      <c r="D1351" s="7" t="str">
        <f t="shared" si="64"/>
        <v>E</v>
      </c>
      <c r="E1351" s="10">
        <f t="shared" si="65"/>
        <v>0</v>
      </c>
      <c r="F1351" s="7" t="e">
        <f t="array" ref="F1351">+TIPOARMA(H1351,I1351)</f>
        <v>#VALUE!</v>
      </c>
      <c r="G1351" s="7"/>
      <c r="H1351" s="7" t="e">
        <f>+VLOOKUP(Q1351,Maps!I:J,2,0)</f>
        <v>#N/A</v>
      </c>
      <c r="I1351" s="7" t="e">
        <f>+VLOOKUP(T1351,Maps!E:F,2,0)</f>
        <v>#N/A</v>
      </c>
    </row>
    <row r="1352" spans="1:9" ht="14.25" customHeight="1" x14ac:dyDescent="0.35">
      <c r="A1352" s="7" t="str">
        <f t="array" ref="A1352">EXTRACTEVENT(N1352,V1352)</f>
        <v/>
      </c>
      <c r="B1352" s="7" t="str">
        <f t="shared" si="63"/>
        <v/>
      </c>
      <c r="C1352" s="7"/>
      <c r="D1352" s="7" t="str">
        <f t="shared" si="64"/>
        <v>E</v>
      </c>
      <c r="E1352" s="10">
        <f t="shared" si="65"/>
        <v>0</v>
      </c>
      <c r="F1352" s="7" t="e">
        <f t="array" ref="F1352">+TIPOARMA(H1352,I1352)</f>
        <v>#VALUE!</v>
      </c>
      <c r="G1352" s="7"/>
      <c r="H1352" s="7" t="e">
        <f>+VLOOKUP(Q1352,Maps!I:J,2,0)</f>
        <v>#N/A</v>
      </c>
      <c r="I1352" s="7" t="e">
        <f>+VLOOKUP(T1352,Maps!E:F,2,0)</f>
        <v>#N/A</v>
      </c>
    </row>
    <row r="1353" spans="1:9" ht="14.25" customHeight="1" x14ac:dyDescent="0.35">
      <c r="A1353" s="7" t="str">
        <f t="array" ref="A1353">EXTRACTEVENT(N1353,V1353)</f>
        <v/>
      </c>
      <c r="B1353" s="7" t="str">
        <f t="shared" si="63"/>
        <v/>
      </c>
      <c r="C1353" s="7"/>
      <c r="D1353" s="7" t="str">
        <f t="shared" si="64"/>
        <v>E</v>
      </c>
      <c r="E1353" s="10">
        <f t="shared" si="65"/>
        <v>0</v>
      </c>
      <c r="F1353" s="7" t="e">
        <f t="array" ref="F1353">+TIPOARMA(H1353,I1353)</f>
        <v>#VALUE!</v>
      </c>
      <c r="G1353" s="7"/>
      <c r="H1353" s="7" t="e">
        <f>+VLOOKUP(Q1353,Maps!I:J,2,0)</f>
        <v>#N/A</v>
      </c>
      <c r="I1353" s="7" t="e">
        <f>+VLOOKUP(T1353,Maps!E:F,2,0)</f>
        <v>#N/A</v>
      </c>
    </row>
    <row r="1354" spans="1:9" ht="14.25" customHeight="1" x14ac:dyDescent="0.35">
      <c r="A1354" s="7" t="str">
        <f t="array" ref="A1354">EXTRACTEVENT(N1354,V1354)</f>
        <v/>
      </c>
      <c r="B1354" s="7" t="str">
        <f t="shared" si="63"/>
        <v/>
      </c>
      <c r="C1354" s="7"/>
      <c r="D1354" s="7" t="str">
        <f t="shared" si="64"/>
        <v>E</v>
      </c>
      <c r="E1354" s="10">
        <f t="shared" si="65"/>
        <v>0</v>
      </c>
      <c r="F1354" s="7" t="e">
        <f t="array" ref="F1354">+TIPOARMA(H1354,I1354)</f>
        <v>#VALUE!</v>
      </c>
      <c r="G1354" s="7"/>
      <c r="H1354" s="7" t="e">
        <f>+VLOOKUP(Q1354,Maps!I:J,2,0)</f>
        <v>#N/A</v>
      </c>
      <c r="I1354" s="7" t="e">
        <f>+VLOOKUP(T1354,Maps!E:F,2,0)</f>
        <v>#N/A</v>
      </c>
    </row>
    <row r="1355" spans="1:9" ht="14.25" customHeight="1" x14ac:dyDescent="0.35">
      <c r="A1355" s="7" t="str">
        <f t="array" ref="A1355">EXTRACTEVENT(N1355,V1355)</f>
        <v/>
      </c>
      <c r="B1355" s="7" t="str">
        <f t="shared" si="63"/>
        <v/>
      </c>
      <c r="C1355" s="7"/>
      <c r="D1355" s="7" t="str">
        <f t="shared" si="64"/>
        <v>E</v>
      </c>
      <c r="E1355" s="10">
        <f t="shared" si="65"/>
        <v>0</v>
      </c>
      <c r="F1355" s="7" t="e">
        <f t="array" ref="F1355">+TIPOARMA(H1355,I1355)</f>
        <v>#VALUE!</v>
      </c>
      <c r="G1355" s="7"/>
      <c r="H1355" s="7" t="e">
        <f>+VLOOKUP(Q1355,Maps!I:J,2,0)</f>
        <v>#N/A</v>
      </c>
      <c r="I1355" s="7" t="e">
        <f>+VLOOKUP(T1355,Maps!E:F,2,0)</f>
        <v>#N/A</v>
      </c>
    </row>
    <row r="1356" spans="1:9" ht="14.25" customHeight="1" x14ac:dyDescent="0.35">
      <c r="A1356" s="7" t="str">
        <f t="array" ref="A1356">EXTRACTEVENT(N1356,V1356)</f>
        <v/>
      </c>
      <c r="B1356" s="7" t="str">
        <f t="shared" si="63"/>
        <v/>
      </c>
      <c r="C1356" s="7"/>
      <c r="D1356" s="7" t="str">
        <f t="shared" si="64"/>
        <v>E</v>
      </c>
      <c r="E1356" s="10">
        <f t="shared" si="65"/>
        <v>0</v>
      </c>
      <c r="F1356" s="7" t="e">
        <f t="array" ref="F1356">+TIPOARMA(H1356,I1356)</f>
        <v>#VALUE!</v>
      </c>
      <c r="G1356" s="7"/>
      <c r="H1356" s="7" t="e">
        <f>+VLOOKUP(Q1356,Maps!I:J,2,0)</f>
        <v>#N/A</v>
      </c>
      <c r="I1356" s="7" t="e">
        <f>+VLOOKUP(T1356,Maps!E:F,2,0)</f>
        <v>#N/A</v>
      </c>
    </row>
    <row r="1357" spans="1:9" ht="14.25" customHeight="1" x14ac:dyDescent="0.35">
      <c r="A1357" s="7" t="str">
        <f t="array" ref="A1357">EXTRACTEVENT(N1357,V1357)</f>
        <v/>
      </c>
      <c r="B1357" s="7" t="str">
        <f t="shared" si="63"/>
        <v/>
      </c>
      <c r="C1357" s="7"/>
      <c r="D1357" s="7" t="str">
        <f t="shared" si="64"/>
        <v>E</v>
      </c>
      <c r="E1357" s="10">
        <f t="shared" si="65"/>
        <v>0</v>
      </c>
      <c r="F1357" s="7" t="e">
        <f t="array" ref="F1357">+TIPOARMA(H1357,I1357)</f>
        <v>#VALUE!</v>
      </c>
      <c r="G1357" s="7"/>
      <c r="H1357" s="7" t="e">
        <f>+VLOOKUP(Q1357,Maps!I:J,2,0)</f>
        <v>#N/A</v>
      </c>
      <c r="I1357" s="7" t="e">
        <f>+VLOOKUP(T1357,Maps!E:F,2,0)</f>
        <v>#N/A</v>
      </c>
    </row>
    <row r="1358" spans="1:9" ht="14.25" customHeight="1" x14ac:dyDescent="0.35">
      <c r="A1358" s="7" t="str">
        <f t="array" ref="A1358">EXTRACTEVENT(N1358,V1358)</f>
        <v/>
      </c>
      <c r="B1358" s="7" t="str">
        <f t="shared" si="63"/>
        <v/>
      </c>
      <c r="C1358" s="7"/>
      <c r="D1358" s="7" t="str">
        <f t="shared" si="64"/>
        <v>E</v>
      </c>
      <c r="E1358" s="10">
        <f t="shared" si="65"/>
        <v>0</v>
      </c>
      <c r="F1358" s="7" t="e">
        <f t="array" ref="F1358">+TIPOARMA(H1358,I1358)</f>
        <v>#VALUE!</v>
      </c>
      <c r="G1358" s="7"/>
      <c r="H1358" s="7" t="e">
        <f>+VLOOKUP(Q1358,Maps!I:J,2,0)</f>
        <v>#N/A</v>
      </c>
      <c r="I1358" s="7" t="e">
        <f>+VLOOKUP(T1358,Maps!E:F,2,0)</f>
        <v>#N/A</v>
      </c>
    </row>
    <row r="1359" spans="1:9" ht="14.25" customHeight="1" x14ac:dyDescent="0.35">
      <c r="A1359" s="7" t="str">
        <f t="array" ref="A1359">EXTRACTEVENT(N1359,V1359)</f>
        <v/>
      </c>
      <c r="B1359" s="7" t="str">
        <f t="shared" si="63"/>
        <v/>
      </c>
      <c r="C1359" s="7"/>
      <c r="D1359" s="7" t="str">
        <f t="shared" si="64"/>
        <v>E</v>
      </c>
      <c r="E1359" s="10">
        <f t="shared" si="65"/>
        <v>0</v>
      </c>
      <c r="F1359" s="7" t="e">
        <f t="array" ref="F1359">+TIPOARMA(H1359,I1359)</f>
        <v>#VALUE!</v>
      </c>
      <c r="G1359" s="7"/>
      <c r="H1359" s="7" t="e">
        <f>+VLOOKUP(Q1359,Maps!I:J,2,0)</f>
        <v>#N/A</v>
      </c>
      <c r="I1359" s="7" t="e">
        <f>+VLOOKUP(T1359,Maps!E:F,2,0)</f>
        <v>#N/A</v>
      </c>
    </row>
    <row r="1360" spans="1:9" ht="14.25" customHeight="1" x14ac:dyDescent="0.35">
      <c r="A1360" s="7" t="str">
        <f t="array" ref="A1360">EXTRACTEVENT(N1360,V1360)</f>
        <v/>
      </c>
      <c r="B1360" s="7" t="str">
        <f t="shared" si="63"/>
        <v/>
      </c>
      <c r="C1360" s="7"/>
      <c r="D1360" s="7" t="str">
        <f t="shared" si="64"/>
        <v>E</v>
      </c>
      <c r="E1360" s="10">
        <f t="shared" si="65"/>
        <v>0</v>
      </c>
      <c r="F1360" s="7" t="e">
        <f t="array" ref="F1360">+TIPOARMA(H1360,I1360)</f>
        <v>#VALUE!</v>
      </c>
      <c r="G1360" s="7"/>
      <c r="H1360" s="7" t="e">
        <f>+VLOOKUP(Q1360,Maps!I:J,2,0)</f>
        <v>#N/A</v>
      </c>
      <c r="I1360" s="7" t="e">
        <f>+VLOOKUP(T1360,Maps!E:F,2,0)</f>
        <v>#N/A</v>
      </c>
    </row>
    <row r="1361" spans="1:9" ht="14.25" customHeight="1" x14ac:dyDescent="0.35">
      <c r="A1361" s="7" t="str">
        <f t="array" ref="A1361">EXTRACTEVENT(N1361,V1361)</f>
        <v/>
      </c>
      <c r="B1361" s="7" t="str">
        <f t="shared" si="63"/>
        <v/>
      </c>
      <c r="C1361" s="7"/>
      <c r="D1361" s="7" t="str">
        <f t="shared" si="64"/>
        <v>E</v>
      </c>
      <c r="E1361" s="10">
        <f t="shared" si="65"/>
        <v>0</v>
      </c>
      <c r="F1361" s="7" t="e">
        <f t="array" ref="F1361">+TIPOARMA(H1361,I1361)</f>
        <v>#VALUE!</v>
      </c>
      <c r="G1361" s="7"/>
      <c r="H1361" s="7" t="e">
        <f>+VLOOKUP(Q1361,Maps!I:J,2,0)</f>
        <v>#N/A</v>
      </c>
      <c r="I1361" s="7" t="e">
        <f>+VLOOKUP(T1361,Maps!E:F,2,0)</f>
        <v>#N/A</v>
      </c>
    </row>
    <row r="1362" spans="1:9" ht="14.25" customHeight="1" x14ac:dyDescent="0.35">
      <c r="A1362" s="7" t="str">
        <f t="array" ref="A1362">EXTRACTEVENT(N1362,V1362)</f>
        <v/>
      </c>
      <c r="B1362" s="7" t="str">
        <f t="shared" si="63"/>
        <v/>
      </c>
      <c r="C1362" s="7"/>
      <c r="D1362" s="7" t="str">
        <f t="shared" si="64"/>
        <v>E</v>
      </c>
      <c r="E1362" s="10">
        <f t="shared" si="65"/>
        <v>0</v>
      </c>
      <c r="F1362" s="7" t="e">
        <f t="array" ref="F1362">+TIPOARMA(H1362,I1362)</f>
        <v>#VALUE!</v>
      </c>
      <c r="G1362" s="7"/>
      <c r="H1362" s="7" t="e">
        <f>+VLOOKUP(Q1362,Maps!I:J,2,0)</f>
        <v>#N/A</v>
      </c>
      <c r="I1362" s="7" t="e">
        <f>+VLOOKUP(T1362,Maps!E:F,2,0)</f>
        <v>#N/A</v>
      </c>
    </row>
    <row r="1363" spans="1:9" ht="14.25" customHeight="1" x14ac:dyDescent="0.35">
      <c r="A1363" s="7" t="str">
        <f t="array" ref="A1363">EXTRACTEVENT(N1363,V1363)</f>
        <v/>
      </c>
      <c r="B1363" s="7" t="str">
        <f t="shared" si="63"/>
        <v/>
      </c>
      <c r="C1363" s="7"/>
      <c r="D1363" s="7" t="str">
        <f t="shared" si="64"/>
        <v>E</v>
      </c>
      <c r="E1363" s="10">
        <f t="shared" si="65"/>
        <v>0</v>
      </c>
      <c r="F1363" s="7" t="e">
        <f t="array" ref="F1363">+TIPOARMA(H1363,I1363)</f>
        <v>#VALUE!</v>
      </c>
      <c r="G1363" s="7"/>
      <c r="H1363" s="7" t="e">
        <f>+VLOOKUP(Q1363,Maps!I:J,2,0)</f>
        <v>#N/A</v>
      </c>
      <c r="I1363" s="7" t="e">
        <f>+VLOOKUP(T1363,Maps!E:F,2,0)</f>
        <v>#N/A</v>
      </c>
    </row>
    <row r="1364" spans="1:9" ht="14.25" customHeight="1" x14ac:dyDescent="0.35">
      <c r="A1364" s="7" t="str">
        <f t="array" ref="A1364">EXTRACTEVENT(N1364,V1364)</f>
        <v/>
      </c>
      <c r="B1364" s="7" t="str">
        <f t="shared" si="63"/>
        <v/>
      </c>
      <c r="C1364" s="7"/>
      <c r="D1364" s="7" t="str">
        <f t="shared" si="64"/>
        <v>E</v>
      </c>
      <c r="E1364" s="10">
        <f t="shared" si="65"/>
        <v>0</v>
      </c>
      <c r="F1364" s="7" t="e">
        <f t="array" ref="F1364">+TIPOARMA(H1364,I1364)</f>
        <v>#VALUE!</v>
      </c>
      <c r="G1364" s="7"/>
      <c r="H1364" s="7" t="e">
        <f>+VLOOKUP(Q1364,Maps!I:J,2,0)</f>
        <v>#N/A</v>
      </c>
      <c r="I1364" s="7" t="e">
        <f>+VLOOKUP(T1364,Maps!E:F,2,0)</f>
        <v>#N/A</v>
      </c>
    </row>
    <row r="1365" spans="1:9" ht="14.25" customHeight="1" x14ac:dyDescent="0.35">
      <c r="A1365" s="7" t="str">
        <f t="array" ref="A1365">EXTRACTEVENT(N1365,V1365)</f>
        <v/>
      </c>
      <c r="B1365" s="7" t="str">
        <f t="shared" si="63"/>
        <v/>
      </c>
      <c r="C1365" s="7"/>
      <c r="D1365" s="7" t="str">
        <f t="shared" si="64"/>
        <v>E</v>
      </c>
      <c r="E1365" s="10">
        <f t="shared" si="65"/>
        <v>0</v>
      </c>
      <c r="F1365" s="7" t="e">
        <f t="array" ref="F1365">+TIPOARMA(H1365,I1365)</f>
        <v>#VALUE!</v>
      </c>
      <c r="G1365" s="7"/>
      <c r="H1365" s="7" t="e">
        <f>+VLOOKUP(Q1365,Maps!I:J,2,0)</f>
        <v>#N/A</v>
      </c>
      <c r="I1365" s="7" t="e">
        <f>+VLOOKUP(T1365,Maps!E:F,2,0)</f>
        <v>#N/A</v>
      </c>
    </row>
    <row r="1366" spans="1:9" ht="14.25" customHeight="1" x14ac:dyDescent="0.35">
      <c r="A1366" s="7" t="str">
        <f t="array" ref="A1366">EXTRACTEVENT(N1366,V1366)</f>
        <v/>
      </c>
      <c r="B1366" s="7" t="str">
        <f t="shared" si="63"/>
        <v/>
      </c>
      <c r="C1366" s="7"/>
      <c r="D1366" s="7" t="str">
        <f t="shared" si="64"/>
        <v>E</v>
      </c>
      <c r="E1366" s="10">
        <f t="shared" si="65"/>
        <v>0</v>
      </c>
      <c r="F1366" s="7" t="e">
        <f t="array" ref="F1366">+TIPOARMA(H1366,I1366)</f>
        <v>#VALUE!</v>
      </c>
      <c r="G1366" s="7"/>
      <c r="H1366" s="7" t="e">
        <f>+VLOOKUP(Q1366,Maps!I:J,2,0)</f>
        <v>#N/A</v>
      </c>
      <c r="I1366" s="7" t="e">
        <f>+VLOOKUP(T1366,Maps!E:F,2,0)</f>
        <v>#N/A</v>
      </c>
    </row>
    <row r="1367" spans="1:9" ht="14.25" customHeight="1" x14ac:dyDescent="0.35">
      <c r="A1367" s="7" t="str">
        <f t="array" ref="A1367">EXTRACTEVENT(N1367,V1367)</f>
        <v/>
      </c>
      <c r="B1367" s="7" t="str">
        <f t="shared" si="63"/>
        <v/>
      </c>
      <c r="C1367" s="7"/>
      <c r="D1367" s="7" t="str">
        <f t="shared" si="64"/>
        <v>E</v>
      </c>
      <c r="E1367" s="10">
        <f t="shared" si="65"/>
        <v>0</v>
      </c>
      <c r="F1367" s="7" t="e">
        <f t="array" ref="F1367">+TIPOARMA(H1367,I1367)</f>
        <v>#VALUE!</v>
      </c>
      <c r="G1367" s="7"/>
      <c r="H1367" s="7" t="e">
        <f>+VLOOKUP(Q1367,Maps!I:J,2,0)</f>
        <v>#N/A</v>
      </c>
      <c r="I1367" s="7" t="e">
        <f>+VLOOKUP(T1367,Maps!E:F,2,0)</f>
        <v>#N/A</v>
      </c>
    </row>
    <row r="1368" spans="1:9" ht="14.25" customHeight="1" x14ac:dyDescent="0.35">
      <c r="A1368" s="7" t="str">
        <f t="array" ref="A1368">EXTRACTEVENT(N1368,V1368)</f>
        <v/>
      </c>
      <c r="B1368" s="7" t="str">
        <f t="shared" si="63"/>
        <v/>
      </c>
      <c r="C1368" s="7"/>
      <c r="D1368" s="7" t="str">
        <f t="shared" si="64"/>
        <v>E</v>
      </c>
      <c r="E1368" s="10">
        <f t="shared" si="65"/>
        <v>0</v>
      </c>
      <c r="F1368" s="7" t="e">
        <f t="array" ref="F1368">+TIPOARMA(H1368,I1368)</f>
        <v>#VALUE!</v>
      </c>
      <c r="G1368" s="7"/>
      <c r="H1368" s="7" t="e">
        <f>+VLOOKUP(Q1368,Maps!I:J,2,0)</f>
        <v>#N/A</v>
      </c>
      <c r="I1368" s="7" t="e">
        <f>+VLOOKUP(T1368,Maps!E:F,2,0)</f>
        <v>#N/A</v>
      </c>
    </row>
    <row r="1369" spans="1:9" ht="14.25" customHeight="1" x14ac:dyDescent="0.35">
      <c r="A1369" s="7" t="str">
        <f t="array" ref="A1369">EXTRACTEVENT(N1369,V1369)</f>
        <v/>
      </c>
      <c r="B1369" s="7" t="str">
        <f t="shared" si="63"/>
        <v/>
      </c>
      <c r="C1369" s="7"/>
      <c r="D1369" s="7" t="str">
        <f t="shared" si="64"/>
        <v>E</v>
      </c>
      <c r="E1369" s="10">
        <f t="shared" si="65"/>
        <v>0</v>
      </c>
      <c r="F1369" s="7" t="e">
        <f t="array" ref="F1369">+TIPOARMA(H1369,I1369)</f>
        <v>#VALUE!</v>
      </c>
      <c r="G1369" s="7"/>
      <c r="H1369" s="7" t="e">
        <f>+VLOOKUP(Q1369,Maps!I:J,2,0)</f>
        <v>#N/A</v>
      </c>
      <c r="I1369" s="7" t="e">
        <f>+VLOOKUP(T1369,Maps!E:F,2,0)</f>
        <v>#N/A</v>
      </c>
    </row>
    <row r="1370" spans="1:9" ht="14.25" customHeight="1" x14ac:dyDescent="0.35">
      <c r="A1370" s="7" t="str">
        <f t="array" ref="A1370">EXTRACTEVENT(N1370,V1370)</f>
        <v/>
      </c>
      <c r="B1370" s="7" t="str">
        <f t="shared" si="63"/>
        <v/>
      </c>
      <c r="C1370" s="7"/>
      <c r="D1370" s="7" t="str">
        <f t="shared" si="64"/>
        <v>E</v>
      </c>
      <c r="E1370" s="10">
        <f t="shared" si="65"/>
        <v>0</v>
      </c>
      <c r="F1370" s="7" t="e">
        <f t="array" ref="F1370">+TIPOARMA(H1370,I1370)</f>
        <v>#VALUE!</v>
      </c>
      <c r="G1370" s="7"/>
      <c r="H1370" s="7" t="e">
        <f>+VLOOKUP(Q1370,Maps!I:J,2,0)</f>
        <v>#N/A</v>
      </c>
      <c r="I1370" s="7" t="e">
        <f>+VLOOKUP(T1370,Maps!E:F,2,0)</f>
        <v>#N/A</v>
      </c>
    </row>
    <row r="1371" spans="1:9" ht="14.25" customHeight="1" x14ac:dyDescent="0.35">
      <c r="A1371" s="7" t="str">
        <f t="array" ref="A1371">EXTRACTEVENT(N1371,V1371)</f>
        <v/>
      </c>
      <c r="B1371" s="7" t="str">
        <f t="shared" si="63"/>
        <v/>
      </c>
      <c r="C1371" s="7"/>
      <c r="D1371" s="7" t="str">
        <f t="shared" si="64"/>
        <v>E</v>
      </c>
      <c r="E1371" s="10">
        <f t="shared" si="65"/>
        <v>0</v>
      </c>
      <c r="F1371" s="7" t="e">
        <f t="array" ref="F1371">+TIPOARMA(H1371,I1371)</f>
        <v>#VALUE!</v>
      </c>
      <c r="G1371" s="7"/>
      <c r="H1371" s="7" t="e">
        <f>+VLOOKUP(Q1371,Maps!I:J,2,0)</f>
        <v>#N/A</v>
      </c>
      <c r="I1371" s="7" t="e">
        <f>+VLOOKUP(T1371,Maps!E:F,2,0)</f>
        <v>#N/A</v>
      </c>
    </row>
    <row r="1372" spans="1:9" ht="14.25" customHeight="1" x14ac:dyDescent="0.35">
      <c r="A1372" s="7" t="str">
        <f t="array" ref="A1372">EXTRACTEVENT(N1372,V1372)</f>
        <v/>
      </c>
      <c r="B1372" s="7" t="str">
        <f t="shared" si="63"/>
        <v/>
      </c>
      <c r="C1372" s="7"/>
      <c r="D1372" s="7" t="str">
        <f t="shared" si="64"/>
        <v>E</v>
      </c>
      <c r="E1372" s="10">
        <f t="shared" si="65"/>
        <v>0</v>
      </c>
      <c r="F1372" s="7" t="e">
        <f t="array" ref="F1372">+TIPOARMA(H1372,I1372)</f>
        <v>#VALUE!</v>
      </c>
      <c r="G1372" s="7"/>
      <c r="H1372" s="7" t="e">
        <f>+VLOOKUP(Q1372,Maps!I:J,2,0)</f>
        <v>#N/A</v>
      </c>
      <c r="I1372" s="7" t="e">
        <f>+VLOOKUP(T1372,Maps!E:F,2,0)</f>
        <v>#N/A</v>
      </c>
    </row>
    <row r="1373" spans="1:9" ht="14.25" customHeight="1" x14ac:dyDescent="0.35">
      <c r="A1373" s="7" t="str">
        <f t="array" ref="A1373">EXTRACTEVENT(N1373,V1373)</f>
        <v/>
      </c>
      <c r="B1373" s="7" t="str">
        <f t="shared" si="63"/>
        <v/>
      </c>
      <c r="C1373" s="7"/>
      <c r="D1373" s="7" t="str">
        <f t="shared" si="64"/>
        <v>E</v>
      </c>
      <c r="E1373" s="10">
        <f t="shared" si="65"/>
        <v>0</v>
      </c>
      <c r="F1373" s="7" t="e">
        <f t="array" ref="F1373">+TIPOARMA(H1373,I1373)</f>
        <v>#VALUE!</v>
      </c>
      <c r="G1373" s="7"/>
      <c r="H1373" s="7" t="e">
        <f>+VLOOKUP(Q1373,Maps!I:J,2,0)</f>
        <v>#N/A</v>
      </c>
      <c r="I1373" s="7" t="e">
        <f>+VLOOKUP(T1373,Maps!E:F,2,0)</f>
        <v>#N/A</v>
      </c>
    </row>
    <row r="1374" spans="1:9" ht="14.25" customHeight="1" x14ac:dyDescent="0.35">
      <c r="A1374" s="7" t="str">
        <f t="array" ref="A1374">EXTRACTEVENT(N1374,V1374)</f>
        <v/>
      </c>
      <c r="B1374" s="7" t="str">
        <f t="shared" si="63"/>
        <v/>
      </c>
      <c r="C1374" s="7"/>
      <c r="D1374" s="7" t="str">
        <f t="shared" si="64"/>
        <v>E</v>
      </c>
      <c r="E1374" s="10">
        <f t="shared" si="65"/>
        <v>0</v>
      </c>
      <c r="F1374" s="7" t="e">
        <f t="array" ref="F1374">+TIPOARMA(H1374,I1374)</f>
        <v>#VALUE!</v>
      </c>
      <c r="G1374" s="7"/>
      <c r="H1374" s="7" t="e">
        <f>+VLOOKUP(Q1374,Maps!I:J,2,0)</f>
        <v>#N/A</v>
      </c>
      <c r="I1374" s="7" t="e">
        <f>+VLOOKUP(T1374,Maps!E:F,2,0)</f>
        <v>#N/A</v>
      </c>
    </row>
    <row r="1375" spans="1:9" ht="14.25" customHeight="1" x14ac:dyDescent="0.35">
      <c r="A1375" s="7" t="str">
        <f t="array" ref="A1375">EXTRACTEVENT(N1375,V1375)</f>
        <v/>
      </c>
      <c r="B1375" s="7" t="str">
        <f t="shared" si="63"/>
        <v/>
      </c>
      <c r="C1375" s="7"/>
      <c r="D1375" s="7" t="str">
        <f t="shared" si="64"/>
        <v>E</v>
      </c>
      <c r="E1375" s="10">
        <f t="shared" si="65"/>
        <v>0</v>
      </c>
      <c r="F1375" s="7" t="e">
        <f t="array" ref="F1375">+TIPOARMA(H1375,I1375)</f>
        <v>#VALUE!</v>
      </c>
      <c r="G1375" s="7"/>
      <c r="H1375" s="7" t="e">
        <f>+VLOOKUP(Q1375,Maps!I:J,2,0)</f>
        <v>#N/A</v>
      </c>
      <c r="I1375" s="7" t="e">
        <f>+VLOOKUP(T1375,Maps!E:F,2,0)</f>
        <v>#N/A</v>
      </c>
    </row>
    <row r="1376" spans="1:9" ht="14.25" customHeight="1" x14ac:dyDescent="0.35">
      <c r="A1376" s="7" t="str">
        <f t="array" ref="A1376">EXTRACTEVENT(N1376,V1376)</f>
        <v/>
      </c>
      <c r="B1376" s="7" t="str">
        <f t="shared" si="63"/>
        <v/>
      </c>
      <c r="C1376" s="7"/>
      <c r="D1376" s="7" t="str">
        <f t="shared" si="64"/>
        <v>E</v>
      </c>
      <c r="E1376" s="10">
        <f t="shared" si="65"/>
        <v>0</v>
      </c>
      <c r="F1376" s="7" t="e">
        <f t="array" ref="F1376">+TIPOARMA(H1376,I1376)</f>
        <v>#VALUE!</v>
      </c>
      <c r="G1376" s="7"/>
      <c r="H1376" s="7" t="e">
        <f>+VLOOKUP(Q1376,Maps!I:J,2,0)</f>
        <v>#N/A</v>
      </c>
      <c r="I1376" s="7" t="e">
        <f>+VLOOKUP(T1376,Maps!E:F,2,0)</f>
        <v>#N/A</v>
      </c>
    </row>
    <row r="1377" spans="1:9" ht="14.25" customHeight="1" x14ac:dyDescent="0.35">
      <c r="A1377" s="7" t="str">
        <f t="array" ref="A1377">EXTRACTEVENT(N1377,V1377)</f>
        <v/>
      </c>
      <c r="B1377" s="7" t="str">
        <f t="shared" si="63"/>
        <v/>
      </c>
      <c r="C1377" s="7"/>
      <c r="D1377" s="7" t="str">
        <f t="shared" si="64"/>
        <v>E</v>
      </c>
      <c r="E1377" s="10">
        <f t="shared" si="65"/>
        <v>0</v>
      </c>
      <c r="F1377" s="7" t="e">
        <f t="array" ref="F1377">+TIPOARMA(H1377,I1377)</f>
        <v>#VALUE!</v>
      </c>
      <c r="G1377" s="7"/>
      <c r="H1377" s="7" t="e">
        <f>+VLOOKUP(Q1377,Maps!I:J,2,0)</f>
        <v>#N/A</v>
      </c>
      <c r="I1377" s="7" t="e">
        <f>+VLOOKUP(T1377,Maps!E:F,2,0)</f>
        <v>#N/A</v>
      </c>
    </row>
    <row r="1378" spans="1:9" ht="14.25" customHeight="1" x14ac:dyDescent="0.35">
      <c r="A1378" s="7" t="str">
        <f t="array" ref="A1378">EXTRACTEVENT(N1378,V1378)</f>
        <v/>
      </c>
      <c r="B1378" s="7" t="str">
        <f t="shared" si="63"/>
        <v/>
      </c>
      <c r="C1378" s="7"/>
      <c r="D1378" s="7" t="str">
        <f t="shared" si="64"/>
        <v>E</v>
      </c>
      <c r="E1378" s="10">
        <f t="shared" si="65"/>
        <v>0</v>
      </c>
      <c r="F1378" s="7" t="e">
        <f t="array" ref="F1378">+TIPOARMA(H1378,I1378)</f>
        <v>#VALUE!</v>
      </c>
      <c r="G1378" s="7"/>
      <c r="H1378" s="7" t="e">
        <f>+VLOOKUP(Q1378,Maps!I:J,2,0)</f>
        <v>#N/A</v>
      </c>
      <c r="I1378" s="7" t="e">
        <f>+VLOOKUP(T1378,Maps!E:F,2,0)</f>
        <v>#N/A</v>
      </c>
    </row>
    <row r="1379" spans="1:9" ht="14.25" customHeight="1" x14ac:dyDescent="0.35">
      <c r="A1379" s="7" t="str">
        <f t="array" ref="A1379">EXTRACTEVENT(N1379,V1379)</f>
        <v/>
      </c>
      <c r="B1379" s="7" t="str">
        <f t="shared" si="63"/>
        <v/>
      </c>
      <c r="C1379" s="7"/>
      <c r="D1379" s="7" t="str">
        <f t="shared" si="64"/>
        <v>E</v>
      </c>
      <c r="E1379" s="10">
        <f t="shared" si="65"/>
        <v>0</v>
      </c>
      <c r="F1379" s="7" t="e">
        <f t="array" ref="F1379">+TIPOARMA(H1379,I1379)</f>
        <v>#VALUE!</v>
      </c>
      <c r="G1379" s="7"/>
      <c r="H1379" s="7" t="e">
        <f>+VLOOKUP(Q1379,Maps!I:J,2,0)</f>
        <v>#N/A</v>
      </c>
      <c r="I1379" s="7" t="e">
        <f>+VLOOKUP(T1379,Maps!E:F,2,0)</f>
        <v>#N/A</v>
      </c>
    </row>
    <row r="1380" spans="1:9" ht="14.25" customHeight="1" x14ac:dyDescent="0.35">
      <c r="A1380" s="7" t="str">
        <f t="array" ref="A1380">EXTRACTEVENT(N1380,V1380)</f>
        <v/>
      </c>
      <c r="B1380" s="7" t="str">
        <f t="shared" si="63"/>
        <v/>
      </c>
      <c r="C1380" s="7"/>
      <c r="D1380" s="7" t="str">
        <f t="shared" si="64"/>
        <v>E</v>
      </c>
      <c r="E1380" s="10">
        <f t="shared" si="65"/>
        <v>0</v>
      </c>
      <c r="F1380" s="7" t="e">
        <f t="array" ref="F1380">+TIPOARMA(H1380,I1380)</f>
        <v>#VALUE!</v>
      </c>
      <c r="G1380" s="7"/>
      <c r="H1380" s="7" t="e">
        <f>+VLOOKUP(Q1380,Maps!I:J,2,0)</f>
        <v>#N/A</v>
      </c>
      <c r="I1380" s="7" t="e">
        <f>+VLOOKUP(T1380,Maps!E:F,2,0)</f>
        <v>#N/A</v>
      </c>
    </row>
    <row r="1381" spans="1:9" ht="14.25" customHeight="1" x14ac:dyDescent="0.35">
      <c r="A1381" s="7" t="str">
        <f t="array" ref="A1381">EXTRACTEVENT(N1381,V1381)</f>
        <v/>
      </c>
      <c r="B1381" s="7" t="str">
        <f t="shared" si="63"/>
        <v/>
      </c>
      <c r="C1381" s="7"/>
      <c r="D1381" s="7" t="str">
        <f t="shared" si="64"/>
        <v>E</v>
      </c>
      <c r="E1381" s="10">
        <f t="shared" si="65"/>
        <v>0</v>
      </c>
      <c r="F1381" s="7" t="e">
        <f t="array" ref="F1381">+TIPOARMA(H1381,I1381)</f>
        <v>#VALUE!</v>
      </c>
      <c r="G1381" s="7"/>
      <c r="H1381" s="7" t="e">
        <f>+VLOOKUP(Q1381,Maps!I:J,2,0)</f>
        <v>#N/A</v>
      </c>
      <c r="I1381" s="7" t="e">
        <f>+VLOOKUP(T1381,Maps!E:F,2,0)</f>
        <v>#N/A</v>
      </c>
    </row>
    <row r="1382" spans="1:9" ht="14.25" customHeight="1" x14ac:dyDescent="0.35">
      <c r="A1382" s="7" t="str">
        <f t="array" ref="A1382">EXTRACTEVENT(N1382,V1382)</f>
        <v/>
      </c>
      <c r="B1382" s="7" t="str">
        <f t="shared" si="63"/>
        <v/>
      </c>
      <c r="C1382" s="7"/>
      <c r="D1382" s="7" t="str">
        <f t="shared" si="64"/>
        <v>E</v>
      </c>
      <c r="E1382" s="10">
        <f t="shared" si="65"/>
        <v>0</v>
      </c>
      <c r="F1382" s="7" t="e">
        <f t="array" ref="F1382">+TIPOARMA(H1382,I1382)</f>
        <v>#VALUE!</v>
      </c>
      <c r="G1382" s="7"/>
      <c r="H1382" s="7" t="e">
        <f>+VLOOKUP(Q1382,Maps!I:J,2,0)</f>
        <v>#N/A</v>
      </c>
      <c r="I1382" s="7" t="e">
        <f>+VLOOKUP(T1382,Maps!E:F,2,0)</f>
        <v>#N/A</v>
      </c>
    </row>
    <row r="1383" spans="1:9" ht="14.25" customHeight="1" x14ac:dyDescent="0.35">
      <c r="A1383" s="7" t="str">
        <f t="array" ref="A1383">EXTRACTEVENT(N1383,V1383)</f>
        <v/>
      </c>
      <c r="B1383" s="7" t="str">
        <f t="shared" si="63"/>
        <v/>
      </c>
      <c r="C1383" s="7"/>
      <c r="D1383" s="7" t="str">
        <f t="shared" si="64"/>
        <v>E</v>
      </c>
      <c r="E1383" s="10">
        <f t="shared" si="65"/>
        <v>0</v>
      </c>
      <c r="F1383" s="7" t="e">
        <f t="array" ref="F1383">+TIPOARMA(H1383,I1383)</f>
        <v>#VALUE!</v>
      </c>
      <c r="G1383" s="7"/>
      <c r="H1383" s="7" t="e">
        <f>+VLOOKUP(Q1383,Maps!I:J,2,0)</f>
        <v>#N/A</v>
      </c>
      <c r="I1383" s="7" t="e">
        <f>+VLOOKUP(T1383,Maps!E:F,2,0)</f>
        <v>#N/A</v>
      </c>
    </row>
    <row r="1384" spans="1:9" ht="14.25" customHeight="1" x14ac:dyDescent="0.35">
      <c r="A1384" s="7" t="str">
        <f t="array" ref="A1384">EXTRACTEVENT(N1384,V1384)</f>
        <v/>
      </c>
      <c r="B1384" s="7" t="str">
        <f t="shared" si="63"/>
        <v/>
      </c>
      <c r="C1384" s="7"/>
      <c r="D1384" s="7" t="str">
        <f t="shared" si="64"/>
        <v>E</v>
      </c>
      <c r="E1384" s="10">
        <f t="shared" si="65"/>
        <v>0</v>
      </c>
      <c r="F1384" s="7" t="e">
        <f t="array" ref="F1384">+TIPOARMA(H1384,I1384)</f>
        <v>#VALUE!</v>
      </c>
      <c r="G1384" s="7"/>
      <c r="H1384" s="7" t="e">
        <f>+VLOOKUP(Q1384,Maps!I:J,2,0)</f>
        <v>#N/A</v>
      </c>
      <c r="I1384" s="7" t="e">
        <f>+VLOOKUP(T1384,Maps!E:F,2,0)</f>
        <v>#N/A</v>
      </c>
    </row>
    <row r="1385" spans="1:9" ht="14.25" customHeight="1" x14ac:dyDescent="0.35">
      <c r="A1385" s="7" t="str">
        <f t="array" ref="A1385">EXTRACTEVENT(N1385,V1385)</f>
        <v/>
      </c>
      <c r="B1385" s="7" t="str">
        <f t="shared" si="63"/>
        <v/>
      </c>
      <c r="C1385" s="7"/>
      <c r="D1385" s="7" t="str">
        <f t="shared" si="64"/>
        <v>E</v>
      </c>
      <c r="E1385" s="10">
        <f t="shared" si="65"/>
        <v>0</v>
      </c>
      <c r="F1385" s="7" t="e">
        <f t="array" ref="F1385">+TIPOARMA(H1385,I1385)</f>
        <v>#VALUE!</v>
      </c>
      <c r="G1385" s="7"/>
      <c r="H1385" s="7" t="e">
        <f>+VLOOKUP(Q1385,Maps!I:J,2,0)</f>
        <v>#N/A</v>
      </c>
      <c r="I1385" s="7" t="e">
        <f>+VLOOKUP(T1385,Maps!E:F,2,0)</f>
        <v>#N/A</v>
      </c>
    </row>
    <row r="1386" spans="1:9" ht="14.25" customHeight="1" x14ac:dyDescent="0.35">
      <c r="A1386" s="7" t="str">
        <f t="array" ref="A1386">EXTRACTEVENT(N1386,V1386)</f>
        <v/>
      </c>
      <c r="B1386" s="7" t="str">
        <f t="shared" si="63"/>
        <v/>
      </c>
      <c r="C1386" s="7"/>
      <c r="D1386" s="7" t="str">
        <f t="shared" si="64"/>
        <v>E</v>
      </c>
      <c r="E1386" s="10">
        <f t="shared" si="65"/>
        <v>0</v>
      </c>
      <c r="F1386" s="7" t="e">
        <f t="array" ref="F1386">+TIPOARMA(H1386,I1386)</f>
        <v>#VALUE!</v>
      </c>
      <c r="G1386" s="7"/>
      <c r="H1386" s="7" t="e">
        <f>+VLOOKUP(Q1386,Maps!I:J,2,0)</f>
        <v>#N/A</v>
      </c>
      <c r="I1386" s="7" t="e">
        <f>+VLOOKUP(T1386,Maps!E:F,2,0)</f>
        <v>#N/A</v>
      </c>
    </row>
    <row r="1387" spans="1:9" ht="14.25" customHeight="1" x14ac:dyDescent="0.35">
      <c r="A1387" s="7" t="str">
        <f t="array" ref="A1387">EXTRACTEVENT(N1387,V1387)</f>
        <v/>
      </c>
      <c r="B1387" s="7" t="str">
        <f t="shared" si="63"/>
        <v/>
      </c>
      <c r="C1387" s="7"/>
      <c r="D1387" s="7" t="str">
        <f t="shared" si="64"/>
        <v>E</v>
      </c>
      <c r="E1387" s="10">
        <f t="shared" si="65"/>
        <v>0</v>
      </c>
      <c r="F1387" s="7" t="e">
        <f t="array" ref="F1387">+TIPOARMA(H1387,I1387)</f>
        <v>#VALUE!</v>
      </c>
      <c r="G1387" s="7"/>
      <c r="H1387" s="7" t="e">
        <f>+VLOOKUP(Q1387,Maps!I:J,2,0)</f>
        <v>#N/A</v>
      </c>
      <c r="I1387" s="7" t="e">
        <f>+VLOOKUP(T1387,Maps!E:F,2,0)</f>
        <v>#N/A</v>
      </c>
    </row>
    <row r="1388" spans="1:9" ht="14.25" customHeight="1" x14ac:dyDescent="0.35">
      <c r="A1388" s="7" t="str">
        <f t="array" ref="A1388">EXTRACTEVENT(N1388,V1388)</f>
        <v/>
      </c>
      <c r="B1388" s="7" t="str">
        <f t="shared" si="63"/>
        <v/>
      </c>
      <c r="C1388" s="7"/>
      <c r="D1388" s="7" t="str">
        <f t="shared" si="64"/>
        <v>E</v>
      </c>
      <c r="E1388" s="10">
        <f t="shared" si="65"/>
        <v>0</v>
      </c>
      <c r="F1388" s="7" t="e">
        <f t="array" ref="F1388">+TIPOARMA(H1388,I1388)</f>
        <v>#VALUE!</v>
      </c>
      <c r="G1388" s="7"/>
      <c r="H1388" s="7" t="e">
        <f>+VLOOKUP(Q1388,Maps!I:J,2,0)</f>
        <v>#N/A</v>
      </c>
      <c r="I1388" s="7" t="e">
        <f>+VLOOKUP(T1388,Maps!E:F,2,0)</f>
        <v>#N/A</v>
      </c>
    </row>
    <row r="1389" spans="1:9" ht="14.25" customHeight="1" x14ac:dyDescent="0.35">
      <c r="A1389" s="7" t="str">
        <f t="array" ref="A1389">EXTRACTEVENT(N1389,V1389)</f>
        <v/>
      </c>
      <c r="B1389" s="7" t="str">
        <f t="shared" si="63"/>
        <v/>
      </c>
      <c r="C1389" s="7"/>
      <c r="D1389" s="7" t="str">
        <f t="shared" si="64"/>
        <v>E</v>
      </c>
      <c r="E1389" s="10">
        <f t="shared" si="65"/>
        <v>0</v>
      </c>
      <c r="F1389" s="7" t="e">
        <f t="array" ref="F1389">+TIPOARMA(H1389,I1389)</f>
        <v>#VALUE!</v>
      </c>
      <c r="G1389" s="7"/>
      <c r="H1389" s="7" t="e">
        <f>+VLOOKUP(Q1389,Maps!I:J,2,0)</f>
        <v>#N/A</v>
      </c>
      <c r="I1389" s="7" t="e">
        <f>+VLOOKUP(T1389,Maps!E:F,2,0)</f>
        <v>#N/A</v>
      </c>
    </row>
    <row r="1390" spans="1:9" ht="14.25" customHeight="1" x14ac:dyDescent="0.35">
      <c r="A1390" s="7" t="str">
        <f t="array" ref="A1390">EXTRACTEVENT(N1390,V1390)</f>
        <v/>
      </c>
      <c r="B1390" s="7" t="str">
        <f t="shared" si="63"/>
        <v/>
      </c>
      <c r="C1390" s="7"/>
      <c r="D1390" s="7" t="str">
        <f t="shared" si="64"/>
        <v>E</v>
      </c>
      <c r="E1390" s="10">
        <f t="shared" si="65"/>
        <v>0</v>
      </c>
      <c r="F1390" s="7" t="e">
        <f t="array" ref="F1390">+TIPOARMA(H1390,I1390)</f>
        <v>#VALUE!</v>
      </c>
      <c r="G1390" s="7"/>
      <c r="H1390" s="7" t="e">
        <f>+VLOOKUP(Q1390,Maps!I:J,2,0)</f>
        <v>#N/A</v>
      </c>
      <c r="I1390" s="7" t="e">
        <f>+VLOOKUP(T1390,Maps!E:F,2,0)</f>
        <v>#N/A</v>
      </c>
    </row>
    <row r="1391" spans="1:9" ht="14.25" customHeight="1" x14ac:dyDescent="0.35">
      <c r="A1391" s="7" t="str">
        <f t="array" ref="A1391">EXTRACTEVENT(N1391,V1391)</f>
        <v/>
      </c>
      <c r="B1391" s="7" t="str">
        <f t="shared" si="63"/>
        <v/>
      </c>
      <c r="C1391" s="7"/>
      <c r="D1391" s="7" t="str">
        <f t="shared" si="64"/>
        <v>E</v>
      </c>
      <c r="E1391" s="10">
        <f t="shared" si="65"/>
        <v>0</v>
      </c>
      <c r="F1391" s="7" t="e">
        <f t="array" ref="F1391">+TIPOARMA(H1391,I1391)</f>
        <v>#VALUE!</v>
      </c>
      <c r="G1391" s="7"/>
      <c r="H1391" s="7" t="e">
        <f>+VLOOKUP(Q1391,Maps!I:J,2,0)</f>
        <v>#N/A</v>
      </c>
      <c r="I1391" s="7" t="e">
        <f>+VLOOKUP(T1391,Maps!E:F,2,0)</f>
        <v>#N/A</v>
      </c>
    </row>
    <row r="1392" spans="1:9" ht="14.25" customHeight="1" x14ac:dyDescent="0.35">
      <c r="A1392" s="7" t="str">
        <f t="array" ref="A1392">EXTRACTEVENT(N1392,V1392)</f>
        <v/>
      </c>
      <c r="B1392" s="7" t="str">
        <f t="shared" si="63"/>
        <v/>
      </c>
      <c r="C1392" s="7"/>
      <c r="D1392" s="7" t="str">
        <f t="shared" si="64"/>
        <v>E</v>
      </c>
      <c r="E1392" s="10">
        <f t="shared" si="65"/>
        <v>0</v>
      </c>
      <c r="F1392" s="7" t="e">
        <f t="array" ref="F1392">+TIPOARMA(H1392,I1392)</f>
        <v>#VALUE!</v>
      </c>
      <c r="G1392" s="7"/>
      <c r="H1392" s="7" t="e">
        <f>+VLOOKUP(Q1392,Maps!I:J,2,0)</f>
        <v>#N/A</v>
      </c>
      <c r="I1392" s="7" t="e">
        <f>+VLOOKUP(T1392,Maps!E:F,2,0)</f>
        <v>#N/A</v>
      </c>
    </row>
    <row r="1393" spans="1:9" ht="14.25" customHeight="1" x14ac:dyDescent="0.35">
      <c r="A1393" s="7" t="str">
        <f t="array" ref="A1393">EXTRACTEVENT(N1393,V1393)</f>
        <v/>
      </c>
      <c r="B1393" s="7" t="str">
        <f t="shared" si="63"/>
        <v/>
      </c>
      <c r="C1393" s="7"/>
      <c r="D1393" s="7" t="str">
        <f t="shared" si="64"/>
        <v>E</v>
      </c>
      <c r="E1393" s="10">
        <f t="shared" si="65"/>
        <v>0</v>
      </c>
      <c r="F1393" s="7" t="e">
        <f t="array" ref="F1393">+TIPOARMA(H1393,I1393)</f>
        <v>#VALUE!</v>
      </c>
      <c r="G1393" s="7"/>
      <c r="H1393" s="7" t="e">
        <f>+VLOOKUP(Q1393,Maps!I:J,2,0)</f>
        <v>#N/A</v>
      </c>
      <c r="I1393" s="7" t="e">
        <f>+VLOOKUP(T1393,Maps!E:F,2,0)</f>
        <v>#N/A</v>
      </c>
    </row>
    <row r="1394" spans="1:9" ht="14.25" customHeight="1" x14ac:dyDescent="0.35">
      <c r="A1394" s="7" t="str">
        <f t="array" ref="A1394">EXTRACTEVENT(N1394,V1394)</f>
        <v/>
      </c>
      <c r="B1394" s="7" t="str">
        <f t="shared" si="63"/>
        <v/>
      </c>
      <c r="C1394" s="7"/>
      <c r="D1394" s="7" t="str">
        <f t="shared" si="64"/>
        <v>E</v>
      </c>
      <c r="E1394" s="10">
        <f t="shared" si="65"/>
        <v>0</v>
      </c>
      <c r="F1394" s="7" t="e">
        <f t="array" ref="F1394">+TIPOARMA(H1394,I1394)</f>
        <v>#VALUE!</v>
      </c>
      <c r="G1394" s="7"/>
      <c r="H1394" s="7" t="e">
        <f>+VLOOKUP(Q1394,Maps!I:J,2,0)</f>
        <v>#N/A</v>
      </c>
      <c r="I1394" s="7" t="e">
        <f>+VLOOKUP(T1394,Maps!E:F,2,0)</f>
        <v>#N/A</v>
      </c>
    </row>
    <row r="1395" spans="1:9" ht="14.25" customHeight="1" x14ac:dyDescent="0.35">
      <c r="A1395" s="7" t="str">
        <f t="array" ref="A1395">EXTRACTEVENT(N1395,V1395)</f>
        <v/>
      </c>
      <c r="B1395" s="7" t="str">
        <f t="shared" si="63"/>
        <v/>
      </c>
      <c r="C1395" s="7"/>
      <c r="D1395" s="7" t="str">
        <f t="shared" si="64"/>
        <v>E</v>
      </c>
      <c r="E1395" s="10">
        <f t="shared" si="65"/>
        <v>0</v>
      </c>
      <c r="F1395" s="7" t="e">
        <f t="array" ref="F1395">+TIPOARMA(H1395,I1395)</f>
        <v>#VALUE!</v>
      </c>
      <c r="G1395" s="7"/>
      <c r="H1395" s="7" t="e">
        <f>+VLOOKUP(Q1395,Maps!I:J,2,0)</f>
        <v>#N/A</v>
      </c>
      <c r="I1395" s="7" t="e">
        <f>+VLOOKUP(T1395,Maps!E:F,2,0)</f>
        <v>#N/A</v>
      </c>
    </row>
    <row r="1396" spans="1:9" ht="14.25" customHeight="1" x14ac:dyDescent="0.35">
      <c r="A1396" s="7" t="str">
        <f t="array" ref="A1396">EXTRACTEVENT(N1396,V1396)</f>
        <v/>
      </c>
      <c r="B1396" s="7" t="str">
        <f t="shared" si="63"/>
        <v/>
      </c>
      <c r="C1396" s="7"/>
      <c r="D1396" s="7" t="str">
        <f t="shared" si="64"/>
        <v>E</v>
      </c>
      <c r="E1396" s="10">
        <f t="shared" si="65"/>
        <v>0</v>
      </c>
      <c r="F1396" s="7" t="e">
        <f t="array" ref="F1396">+TIPOARMA(H1396,I1396)</f>
        <v>#VALUE!</v>
      </c>
      <c r="G1396" s="7"/>
      <c r="H1396" s="7" t="e">
        <f>+VLOOKUP(Q1396,Maps!I:J,2,0)</f>
        <v>#N/A</v>
      </c>
      <c r="I1396" s="7" t="e">
        <f>+VLOOKUP(T1396,Maps!E:F,2,0)</f>
        <v>#N/A</v>
      </c>
    </row>
    <row r="1397" spans="1:9" ht="14.25" customHeight="1" x14ac:dyDescent="0.35">
      <c r="A1397" s="7" t="str">
        <f t="array" ref="A1397">EXTRACTEVENT(N1397,V1397)</f>
        <v/>
      </c>
      <c r="B1397" s="7" t="str">
        <f t="shared" si="63"/>
        <v/>
      </c>
      <c r="C1397" s="7"/>
      <c r="D1397" s="7" t="str">
        <f t="shared" si="64"/>
        <v>E</v>
      </c>
      <c r="E1397" s="10">
        <f t="shared" si="65"/>
        <v>0</v>
      </c>
      <c r="F1397" s="7" t="e">
        <f t="array" ref="F1397">+TIPOARMA(H1397,I1397)</f>
        <v>#VALUE!</v>
      </c>
      <c r="G1397" s="7"/>
      <c r="H1397" s="7" t="e">
        <f>+VLOOKUP(Q1397,Maps!I:J,2,0)</f>
        <v>#N/A</v>
      </c>
      <c r="I1397" s="7" t="e">
        <f>+VLOOKUP(T1397,Maps!E:F,2,0)</f>
        <v>#N/A</v>
      </c>
    </row>
    <row r="1398" spans="1:9" ht="14.25" customHeight="1" x14ac:dyDescent="0.35">
      <c r="A1398" s="7" t="str">
        <f t="array" ref="A1398">EXTRACTEVENT(N1398,V1398)</f>
        <v/>
      </c>
      <c r="B1398" s="7" t="str">
        <f t="shared" si="63"/>
        <v/>
      </c>
      <c r="C1398" s="7"/>
      <c r="D1398" s="7" t="str">
        <f t="shared" si="64"/>
        <v>E</v>
      </c>
      <c r="E1398" s="10">
        <f t="shared" si="65"/>
        <v>0</v>
      </c>
      <c r="F1398" s="7" t="e">
        <f t="array" ref="F1398">+TIPOARMA(H1398,I1398)</f>
        <v>#VALUE!</v>
      </c>
      <c r="G1398" s="7"/>
      <c r="H1398" s="7" t="e">
        <f>+VLOOKUP(Q1398,Maps!I:J,2,0)</f>
        <v>#N/A</v>
      </c>
      <c r="I1398" s="7" t="e">
        <f>+VLOOKUP(T1398,Maps!E:F,2,0)</f>
        <v>#N/A</v>
      </c>
    </row>
    <row r="1399" spans="1:9" ht="14.25" customHeight="1" x14ac:dyDescent="0.35">
      <c r="A1399" s="7" t="str">
        <f t="array" ref="A1399">EXTRACTEVENT(N1399,V1399)</f>
        <v/>
      </c>
      <c r="B1399" s="7" t="str">
        <f t="shared" si="63"/>
        <v/>
      </c>
      <c r="C1399" s="7"/>
      <c r="D1399" s="7" t="str">
        <f t="shared" si="64"/>
        <v>E</v>
      </c>
      <c r="E1399" s="10">
        <f t="shared" si="65"/>
        <v>0</v>
      </c>
      <c r="F1399" s="7" t="e">
        <f t="array" ref="F1399">+TIPOARMA(H1399,I1399)</f>
        <v>#VALUE!</v>
      </c>
      <c r="G1399" s="7"/>
      <c r="H1399" s="7" t="e">
        <f>+VLOOKUP(Q1399,Maps!I:J,2,0)</f>
        <v>#N/A</v>
      </c>
      <c r="I1399" s="7" t="e">
        <f>+VLOOKUP(T1399,Maps!E:F,2,0)</f>
        <v>#N/A</v>
      </c>
    </row>
    <row r="1400" spans="1:9" ht="14.25" customHeight="1" x14ac:dyDescent="0.35">
      <c r="A1400" s="7" t="str">
        <f t="array" ref="A1400">EXTRACTEVENT(N1400,V1400)</f>
        <v/>
      </c>
      <c r="B1400" s="7" t="str">
        <f t="shared" si="63"/>
        <v/>
      </c>
      <c r="C1400" s="7"/>
      <c r="D1400" s="7" t="str">
        <f t="shared" si="64"/>
        <v>E</v>
      </c>
      <c r="E1400" s="10">
        <f t="shared" si="65"/>
        <v>0</v>
      </c>
      <c r="F1400" s="7" t="e">
        <f t="array" ref="F1400">+TIPOARMA(H1400,I1400)</f>
        <v>#VALUE!</v>
      </c>
      <c r="G1400" s="7"/>
      <c r="H1400" s="7" t="e">
        <f>+VLOOKUP(Q1400,Maps!I:J,2,0)</f>
        <v>#N/A</v>
      </c>
      <c r="I1400" s="7" t="e">
        <f>+VLOOKUP(T1400,Maps!E:F,2,0)</f>
        <v>#N/A</v>
      </c>
    </row>
    <row r="1401" spans="1:9" ht="14.25" customHeight="1" x14ac:dyDescent="0.35">
      <c r="A1401" s="7" t="str">
        <f t="array" ref="A1401">EXTRACTEVENT(N1401,V1401)</f>
        <v/>
      </c>
      <c r="B1401" s="7" t="str">
        <f t="shared" si="63"/>
        <v/>
      </c>
      <c r="C1401" s="7"/>
      <c r="D1401" s="7" t="str">
        <f t="shared" si="64"/>
        <v>E</v>
      </c>
      <c r="E1401" s="10">
        <f t="shared" si="65"/>
        <v>0</v>
      </c>
      <c r="F1401" s="7" t="e">
        <f t="array" ref="F1401">+TIPOARMA(H1401,I1401)</f>
        <v>#VALUE!</v>
      </c>
      <c r="G1401" s="7"/>
      <c r="H1401" s="7" t="e">
        <f>+VLOOKUP(Q1401,Maps!I:J,2,0)</f>
        <v>#N/A</v>
      </c>
      <c r="I1401" s="7" t="e">
        <f>+VLOOKUP(T1401,Maps!E:F,2,0)</f>
        <v>#N/A</v>
      </c>
    </row>
    <row r="1402" spans="1:9" ht="14.25" customHeight="1" x14ac:dyDescent="0.35">
      <c r="A1402" s="7" t="str">
        <f t="array" ref="A1402">EXTRACTEVENT(N1402,V1402)</f>
        <v/>
      </c>
      <c r="B1402" s="7" t="str">
        <f t="shared" si="63"/>
        <v/>
      </c>
      <c r="C1402" s="7"/>
      <c r="D1402" s="7" t="str">
        <f t="shared" si="64"/>
        <v>E</v>
      </c>
      <c r="E1402" s="10">
        <f t="shared" si="65"/>
        <v>0</v>
      </c>
      <c r="F1402" s="7" t="e">
        <f t="array" ref="F1402">+TIPOARMA(H1402,I1402)</f>
        <v>#VALUE!</v>
      </c>
      <c r="G1402" s="7"/>
      <c r="H1402" s="7" t="e">
        <f>+VLOOKUP(Q1402,Maps!I:J,2,0)</f>
        <v>#N/A</v>
      </c>
      <c r="I1402" s="7" t="e">
        <f>+VLOOKUP(T1402,Maps!E:F,2,0)</f>
        <v>#N/A</v>
      </c>
    </row>
    <row r="1403" spans="1:9" ht="14.25" customHeight="1" x14ac:dyDescent="0.35">
      <c r="A1403" s="7" t="str">
        <f t="array" ref="A1403">EXTRACTEVENT(N1403,V1403)</f>
        <v/>
      </c>
      <c r="B1403" s="7" t="str">
        <f t="shared" si="63"/>
        <v/>
      </c>
      <c r="C1403" s="7"/>
      <c r="D1403" s="7" t="str">
        <f t="shared" si="64"/>
        <v>E</v>
      </c>
      <c r="E1403" s="10">
        <f t="shared" si="65"/>
        <v>0</v>
      </c>
      <c r="F1403" s="7" t="e">
        <f t="array" ref="F1403">+TIPOARMA(H1403,I1403)</f>
        <v>#VALUE!</v>
      </c>
      <c r="G1403" s="7"/>
      <c r="H1403" s="7" t="e">
        <f>+VLOOKUP(Q1403,Maps!I:J,2,0)</f>
        <v>#N/A</v>
      </c>
      <c r="I1403" s="7" t="e">
        <f>+VLOOKUP(T1403,Maps!E:F,2,0)</f>
        <v>#N/A</v>
      </c>
    </row>
    <row r="1404" spans="1:9" ht="14.25" customHeight="1" x14ac:dyDescent="0.35">
      <c r="A1404" s="7" t="str">
        <f t="array" ref="A1404">EXTRACTEVENT(N1404,V1404)</f>
        <v/>
      </c>
      <c r="B1404" s="7" t="str">
        <f t="shared" si="63"/>
        <v/>
      </c>
      <c r="C1404" s="7"/>
      <c r="D1404" s="7" t="str">
        <f t="shared" si="64"/>
        <v>E</v>
      </c>
      <c r="E1404" s="10">
        <f t="shared" si="65"/>
        <v>0</v>
      </c>
      <c r="F1404" s="7" t="e">
        <f t="array" ref="F1404">+TIPOARMA(H1404,I1404)</f>
        <v>#VALUE!</v>
      </c>
      <c r="G1404" s="7"/>
      <c r="H1404" s="7" t="e">
        <f>+VLOOKUP(Q1404,Maps!I:J,2,0)</f>
        <v>#N/A</v>
      </c>
      <c r="I1404" s="7" t="e">
        <f>+VLOOKUP(T1404,Maps!E:F,2,0)</f>
        <v>#N/A</v>
      </c>
    </row>
    <row r="1405" spans="1:9" ht="14.25" customHeight="1" x14ac:dyDescent="0.35">
      <c r="A1405" s="7" t="str">
        <f t="array" ref="A1405">EXTRACTEVENT(N1405,V1405)</f>
        <v/>
      </c>
      <c r="B1405" s="7" t="str">
        <f t="shared" si="63"/>
        <v/>
      </c>
      <c r="C1405" s="7"/>
      <c r="D1405" s="7" t="str">
        <f t="shared" si="64"/>
        <v>E</v>
      </c>
      <c r="E1405" s="10">
        <f t="shared" si="65"/>
        <v>0</v>
      </c>
      <c r="F1405" s="7" t="e">
        <f t="array" ref="F1405">+TIPOARMA(H1405,I1405)</f>
        <v>#VALUE!</v>
      </c>
      <c r="G1405" s="7"/>
      <c r="H1405" s="7" t="e">
        <f>+VLOOKUP(Q1405,Maps!I:J,2,0)</f>
        <v>#N/A</v>
      </c>
      <c r="I1405" s="7" t="e">
        <f>+VLOOKUP(T1405,Maps!E:F,2,0)</f>
        <v>#N/A</v>
      </c>
    </row>
    <row r="1406" spans="1:9" ht="14.25" customHeight="1" x14ac:dyDescent="0.35">
      <c r="A1406" s="7" t="str">
        <f t="array" ref="A1406">EXTRACTEVENT(N1406,V1406)</f>
        <v/>
      </c>
      <c r="B1406" s="7" t="str">
        <f t="shared" si="63"/>
        <v/>
      </c>
      <c r="C1406" s="7"/>
      <c r="D1406" s="7" t="str">
        <f t="shared" si="64"/>
        <v>E</v>
      </c>
      <c r="E1406" s="10">
        <f t="shared" si="65"/>
        <v>0</v>
      </c>
      <c r="F1406" s="7" t="e">
        <f t="array" ref="F1406">+TIPOARMA(H1406,I1406)</f>
        <v>#VALUE!</v>
      </c>
      <c r="G1406" s="7"/>
      <c r="H1406" s="7" t="e">
        <f>+VLOOKUP(Q1406,Maps!I:J,2,0)</f>
        <v>#N/A</v>
      </c>
      <c r="I1406" s="7" t="e">
        <f>+VLOOKUP(T1406,Maps!E:F,2,0)</f>
        <v>#N/A</v>
      </c>
    </row>
    <row r="1407" spans="1:9" ht="14.25" customHeight="1" x14ac:dyDescent="0.35">
      <c r="A1407" s="7" t="str">
        <f t="array" ref="A1407">EXTRACTEVENT(N1407,V1407)</f>
        <v/>
      </c>
      <c r="B1407" s="7" t="str">
        <f t="shared" si="63"/>
        <v/>
      </c>
      <c r="C1407" s="7"/>
      <c r="D1407" s="7" t="str">
        <f t="shared" si="64"/>
        <v>E</v>
      </c>
      <c r="E1407" s="10">
        <f t="shared" si="65"/>
        <v>0</v>
      </c>
      <c r="F1407" s="7" t="e">
        <f t="array" ref="F1407">+TIPOARMA(H1407,I1407)</f>
        <v>#VALUE!</v>
      </c>
      <c r="G1407" s="7"/>
      <c r="H1407" s="7" t="e">
        <f>+VLOOKUP(Q1407,Maps!I:J,2,0)</f>
        <v>#N/A</v>
      </c>
      <c r="I1407" s="7" t="e">
        <f>+VLOOKUP(T1407,Maps!E:F,2,0)</f>
        <v>#N/A</v>
      </c>
    </row>
    <row r="1408" spans="1:9" ht="14.25" customHeight="1" x14ac:dyDescent="0.35">
      <c r="A1408" s="7" t="str">
        <f t="array" ref="A1408">EXTRACTEVENT(N1408,V1408)</f>
        <v/>
      </c>
      <c r="B1408" s="7" t="str">
        <f t="shared" si="63"/>
        <v/>
      </c>
      <c r="C1408" s="7"/>
      <c r="D1408" s="7" t="str">
        <f t="shared" si="64"/>
        <v>E</v>
      </c>
      <c r="E1408" s="10">
        <f t="shared" si="65"/>
        <v>0</v>
      </c>
      <c r="F1408" s="7" t="e">
        <f t="array" ref="F1408">+TIPOARMA(H1408,I1408)</f>
        <v>#VALUE!</v>
      </c>
      <c r="G1408" s="7"/>
      <c r="H1408" s="7" t="e">
        <f>+VLOOKUP(Q1408,Maps!I:J,2,0)</f>
        <v>#N/A</v>
      </c>
      <c r="I1408" s="7" t="e">
        <f>+VLOOKUP(T1408,Maps!E:F,2,0)</f>
        <v>#N/A</v>
      </c>
    </row>
    <row r="1409" spans="1:9" ht="14.25" customHeight="1" x14ac:dyDescent="0.35">
      <c r="A1409" s="7" t="str">
        <f t="array" ref="A1409">EXTRACTEVENT(N1409,V1409)</f>
        <v/>
      </c>
      <c r="B1409" s="7" t="str">
        <f t="shared" si="63"/>
        <v/>
      </c>
      <c r="C1409" s="7"/>
      <c r="D1409" s="7" t="str">
        <f t="shared" si="64"/>
        <v>E</v>
      </c>
      <c r="E1409" s="10">
        <f t="shared" si="65"/>
        <v>0</v>
      </c>
      <c r="F1409" s="7" t="e">
        <f t="array" ref="F1409">+TIPOARMA(H1409,I1409)</f>
        <v>#VALUE!</v>
      </c>
      <c r="G1409" s="7"/>
      <c r="H1409" s="7" t="e">
        <f>+VLOOKUP(Q1409,Maps!I:J,2,0)</f>
        <v>#N/A</v>
      </c>
      <c r="I1409" s="7" t="e">
        <f>+VLOOKUP(T1409,Maps!E:F,2,0)</f>
        <v>#N/A</v>
      </c>
    </row>
    <row r="1410" spans="1:9" ht="14.25" customHeight="1" x14ac:dyDescent="0.35">
      <c r="A1410" s="7" t="str">
        <f t="array" ref="A1410">EXTRACTEVENT(N1410,V1410)</f>
        <v/>
      </c>
      <c r="B1410" s="7" t="str">
        <f t="shared" ref="B1410:B1473" si="66">+IF(V1410="TREINO","-",LEFT(N1410,1))</f>
        <v/>
      </c>
      <c r="C1410" s="7"/>
      <c r="D1410" s="7" t="str">
        <f t="shared" ref="D1410:D1473" si="67">+IF($V1410="TREINO","T",IF(V1410="NACIONAL","N","E"))</f>
        <v>E</v>
      </c>
      <c r="E1410" s="10">
        <f t="shared" ref="E1410:E1473" si="68">IFERROR(DATEVALUE(LEFT(M1410,10)),M1410)</f>
        <v>0</v>
      </c>
      <c r="F1410" s="7" t="e">
        <f t="array" ref="F1410">+TIPOARMA(H1410,I1410)</f>
        <v>#VALUE!</v>
      </c>
      <c r="G1410" s="7"/>
      <c r="H1410" s="7" t="e">
        <f>+VLOOKUP(Q1410,Maps!I:J,2,0)</f>
        <v>#N/A</v>
      </c>
      <c r="I1410" s="7" t="e">
        <f>+VLOOKUP(T1410,Maps!E:F,2,0)</f>
        <v>#N/A</v>
      </c>
    </row>
    <row r="1411" spans="1:9" ht="14.25" customHeight="1" x14ac:dyDescent="0.35">
      <c r="A1411" s="7" t="str">
        <f t="array" ref="A1411">EXTRACTEVENT(N1411,V1411)</f>
        <v/>
      </c>
      <c r="B1411" s="7" t="str">
        <f t="shared" si="66"/>
        <v/>
      </c>
      <c r="C1411" s="7"/>
      <c r="D1411" s="7" t="str">
        <f t="shared" si="67"/>
        <v>E</v>
      </c>
      <c r="E1411" s="10">
        <f t="shared" si="68"/>
        <v>0</v>
      </c>
      <c r="F1411" s="7" t="e">
        <f t="array" ref="F1411">+TIPOARMA(H1411,I1411)</f>
        <v>#VALUE!</v>
      </c>
      <c r="G1411" s="7"/>
      <c r="H1411" s="7" t="e">
        <f>+VLOOKUP(Q1411,Maps!I:J,2,0)</f>
        <v>#N/A</v>
      </c>
      <c r="I1411" s="7" t="e">
        <f>+VLOOKUP(T1411,Maps!E:F,2,0)</f>
        <v>#N/A</v>
      </c>
    </row>
    <row r="1412" spans="1:9" ht="14.25" customHeight="1" x14ac:dyDescent="0.35">
      <c r="A1412" s="7" t="str">
        <f t="array" ref="A1412">EXTRACTEVENT(N1412,V1412)</f>
        <v/>
      </c>
      <c r="B1412" s="7" t="str">
        <f t="shared" si="66"/>
        <v/>
      </c>
      <c r="C1412" s="7"/>
      <c r="D1412" s="7" t="str">
        <f t="shared" si="67"/>
        <v>E</v>
      </c>
      <c r="E1412" s="10">
        <f t="shared" si="68"/>
        <v>0</v>
      </c>
      <c r="F1412" s="7" t="e">
        <f t="array" ref="F1412">+TIPOARMA(H1412,I1412)</f>
        <v>#VALUE!</v>
      </c>
      <c r="G1412" s="7"/>
      <c r="H1412" s="7" t="e">
        <f>+VLOOKUP(Q1412,Maps!I:J,2,0)</f>
        <v>#N/A</v>
      </c>
      <c r="I1412" s="7" t="e">
        <f>+VLOOKUP(T1412,Maps!E:F,2,0)</f>
        <v>#N/A</v>
      </c>
    </row>
    <row r="1413" spans="1:9" ht="14.25" customHeight="1" x14ac:dyDescent="0.35">
      <c r="A1413" s="7" t="str">
        <f t="array" ref="A1413">EXTRACTEVENT(N1413,V1413)</f>
        <v/>
      </c>
      <c r="B1413" s="7" t="str">
        <f t="shared" si="66"/>
        <v/>
      </c>
      <c r="C1413" s="7"/>
      <c r="D1413" s="7" t="str">
        <f t="shared" si="67"/>
        <v>E</v>
      </c>
      <c r="E1413" s="10">
        <f t="shared" si="68"/>
        <v>0</v>
      </c>
      <c r="F1413" s="7" t="e">
        <f t="array" ref="F1413">+TIPOARMA(H1413,I1413)</f>
        <v>#VALUE!</v>
      </c>
      <c r="G1413" s="7"/>
      <c r="H1413" s="7" t="e">
        <f>+VLOOKUP(Q1413,Maps!I:J,2,0)</f>
        <v>#N/A</v>
      </c>
      <c r="I1413" s="7" t="e">
        <f>+VLOOKUP(T1413,Maps!E:F,2,0)</f>
        <v>#N/A</v>
      </c>
    </row>
    <row r="1414" spans="1:9" ht="14.25" customHeight="1" x14ac:dyDescent="0.35">
      <c r="A1414" s="7" t="str">
        <f t="array" ref="A1414">EXTRACTEVENT(N1414,V1414)</f>
        <v/>
      </c>
      <c r="B1414" s="7" t="str">
        <f t="shared" si="66"/>
        <v/>
      </c>
      <c r="C1414" s="7"/>
      <c r="D1414" s="7" t="str">
        <f t="shared" si="67"/>
        <v>E</v>
      </c>
      <c r="E1414" s="10">
        <f t="shared" si="68"/>
        <v>0</v>
      </c>
      <c r="F1414" s="7" t="e">
        <f t="array" ref="F1414">+TIPOARMA(H1414,I1414)</f>
        <v>#VALUE!</v>
      </c>
      <c r="G1414" s="7"/>
      <c r="H1414" s="7" t="e">
        <f>+VLOOKUP(Q1414,Maps!I:J,2,0)</f>
        <v>#N/A</v>
      </c>
      <c r="I1414" s="7" t="e">
        <f>+VLOOKUP(T1414,Maps!E:F,2,0)</f>
        <v>#N/A</v>
      </c>
    </row>
    <row r="1415" spans="1:9" ht="14.25" customHeight="1" x14ac:dyDescent="0.35">
      <c r="A1415" s="7" t="str">
        <f t="array" ref="A1415">EXTRACTEVENT(N1415,V1415)</f>
        <v/>
      </c>
      <c r="B1415" s="7" t="str">
        <f t="shared" si="66"/>
        <v/>
      </c>
      <c r="C1415" s="7"/>
      <c r="D1415" s="7" t="str">
        <f t="shared" si="67"/>
        <v>E</v>
      </c>
      <c r="E1415" s="10">
        <f t="shared" si="68"/>
        <v>0</v>
      </c>
      <c r="F1415" s="7" t="e">
        <f t="array" ref="F1415">+TIPOARMA(H1415,I1415)</f>
        <v>#VALUE!</v>
      </c>
      <c r="G1415" s="7"/>
      <c r="H1415" s="7" t="e">
        <f>+VLOOKUP(Q1415,Maps!I:J,2,0)</f>
        <v>#N/A</v>
      </c>
      <c r="I1415" s="7" t="e">
        <f>+VLOOKUP(T1415,Maps!E:F,2,0)</f>
        <v>#N/A</v>
      </c>
    </row>
    <row r="1416" spans="1:9" ht="14.25" customHeight="1" x14ac:dyDescent="0.35">
      <c r="A1416" s="7" t="str">
        <f t="array" ref="A1416">EXTRACTEVENT(N1416,V1416)</f>
        <v/>
      </c>
      <c r="B1416" s="7" t="str">
        <f t="shared" si="66"/>
        <v/>
      </c>
      <c r="C1416" s="7"/>
      <c r="D1416" s="7" t="str">
        <f t="shared" si="67"/>
        <v>E</v>
      </c>
      <c r="E1416" s="10">
        <f t="shared" si="68"/>
        <v>0</v>
      </c>
      <c r="F1416" s="7" t="e">
        <f t="array" ref="F1416">+TIPOARMA(H1416,I1416)</f>
        <v>#VALUE!</v>
      </c>
      <c r="G1416" s="7"/>
      <c r="H1416" s="7" t="e">
        <f>+VLOOKUP(Q1416,Maps!I:J,2,0)</f>
        <v>#N/A</v>
      </c>
      <c r="I1416" s="7" t="e">
        <f>+VLOOKUP(T1416,Maps!E:F,2,0)</f>
        <v>#N/A</v>
      </c>
    </row>
    <row r="1417" spans="1:9" ht="14.25" customHeight="1" x14ac:dyDescent="0.35">
      <c r="A1417" s="7" t="str">
        <f t="array" ref="A1417">EXTRACTEVENT(N1417,V1417)</f>
        <v/>
      </c>
      <c r="B1417" s="7" t="str">
        <f t="shared" si="66"/>
        <v/>
      </c>
      <c r="C1417" s="7"/>
      <c r="D1417" s="7" t="str">
        <f t="shared" si="67"/>
        <v>E</v>
      </c>
      <c r="E1417" s="10">
        <f t="shared" si="68"/>
        <v>0</v>
      </c>
      <c r="F1417" s="7" t="e">
        <f t="array" ref="F1417">+TIPOARMA(H1417,I1417)</f>
        <v>#VALUE!</v>
      </c>
      <c r="G1417" s="7"/>
      <c r="H1417" s="7" t="e">
        <f>+VLOOKUP(Q1417,Maps!I:J,2,0)</f>
        <v>#N/A</v>
      </c>
      <c r="I1417" s="7" t="e">
        <f>+VLOOKUP(T1417,Maps!E:F,2,0)</f>
        <v>#N/A</v>
      </c>
    </row>
    <row r="1418" spans="1:9" ht="14.25" customHeight="1" x14ac:dyDescent="0.35">
      <c r="A1418" s="7" t="str">
        <f t="array" ref="A1418">EXTRACTEVENT(N1418,V1418)</f>
        <v/>
      </c>
      <c r="B1418" s="7" t="str">
        <f t="shared" si="66"/>
        <v/>
      </c>
      <c r="C1418" s="7"/>
      <c r="D1418" s="7" t="str">
        <f t="shared" si="67"/>
        <v>E</v>
      </c>
      <c r="E1418" s="10">
        <f t="shared" si="68"/>
        <v>0</v>
      </c>
      <c r="F1418" s="7" t="e">
        <f t="array" ref="F1418">+TIPOARMA(H1418,I1418)</f>
        <v>#VALUE!</v>
      </c>
      <c r="G1418" s="7"/>
      <c r="H1418" s="7" t="e">
        <f>+VLOOKUP(Q1418,Maps!I:J,2,0)</f>
        <v>#N/A</v>
      </c>
      <c r="I1418" s="7" t="e">
        <f>+VLOOKUP(T1418,Maps!E:F,2,0)</f>
        <v>#N/A</v>
      </c>
    </row>
    <row r="1419" spans="1:9" ht="14.25" customHeight="1" x14ac:dyDescent="0.35">
      <c r="A1419" s="7" t="str">
        <f t="array" ref="A1419">EXTRACTEVENT(N1419,V1419)</f>
        <v/>
      </c>
      <c r="B1419" s="7" t="str">
        <f t="shared" si="66"/>
        <v/>
      </c>
      <c r="C1419" s="7"/>
      <c r="D1419" s="7" t="str">
        <f t="shared" si="67"/>
        <v>E</v>
      </c>
      <c r="E1419" s="10">
        <f t="shared" si="68"/>
        <v>0</v>
      </c>
      <c r="F1419" s="7" t="e">
        <f t="array" ref="F1419">+TIPOARMA(H1419,I1419)</f>
        <v>#VALUE!</v>
      </c>
      <c r="G1419" s="7"/>
      <c r="H1419" s="7" t="e">
        <f>+VLOOKUP(Q1419,Maps!I:J,2,0)</f>
        <v>#N/A</v>
      </c>
      <c r="I1419" s="7" t="e">
        <f>+VLOOKUP(T1419,Maps!E:F,2,0)</f>
        <v>#N/A</v>
      </c>
    </row>
    <row r="1420" spans="1:9" ht="14.25" customHeight="1" x14ac:dyDescent="0.35">
      <c r="A1420" s="7" t="str">
        <f t="array" ref="A1420">EXTRACTEVENT(N1420,V1420)</f>
        <v/>
      </c>
      <c r="B1420" s="7" t="str">
        <f t="shared" si="66"/>
        <v/>
      </c>
      <c r="C1420" s="7"/>
      <c r="D1420" s="7" t="str">
        <f t="shared" si="67"/>
        <v>E</v>
      </c>
      <c r="E1420" s="10">
        <f t="shared" si="68"/>
        <v>0</v>
      </c>
      <c r="F1420" s="7" t="e">
        <f t="array" ref="F1420">+TIPOARMA(H1420,I1420)</f>
        <v>#VALUE!</v>
      </c>
      <c r="G1420" s="7"/>
      <c r="H1420" s="7" t="e">
        <f>+VLOOKUP(Q1420,Maps!I:J,2,0)</f>
        <v>#N/A</v>
      </c>
      <c r="I1420" s="7" t="e">
        <f>+VLOOKUP(T1420,Maps!E:F,2,0)</f>
        <v>#N/A</v>
      </c>
    </row>
    <row r="1421" spans="1:9" ht="14.25" customHeight="1" x14ac:dyDescent="0.35">
      <c r="A1421" s="7" t="str">
        <f t="array" ref="A1421">EXTRACTEVENT(N1421,V1421)</f>
        <v/>
      </c>
      <c r="B1421" s="7" t="str">
        <f t="shared" si="66"/>
        <v/>
      </c>
      <c r="C1421" s="7"/>
      <c r="D1421" s="7" t="str">
        <f t="shared" si="67"/>
        <v>E</v>
      </c>
      <c r="E1421" s="10">
        <f t="shared" si="68"/>
        <v>0</v>
      </c>
      <c r="F1421" s="7" t="e">
        <f t="array" ref="F1421">+TIPOARMA(H1421,I1421)</f>
        <v>#VALUE!</v>
      </c>
      <c r="G1421" s="7"/>
      <c r="H1421" s="7" t="e">
        <f>+VLOOKUP(Q1421,Maps!I:J,2,0)</f>
        <v>#N/A</v>
      </c>
      <c r="I1421" s="7" t="e">
        <f>+VLOOKUP(T1421,Maps!E:F,2,0)</f>
        <v>#N/A</v>
      </c>
    </row>
    <row r="1422" spans="1:9" ht="14.25" customHeight="1" x14ac:dyDescent="0.35">
      <c r="A1422" s="7" t="str">
        <f t="array" ref="A1422">EXTRACTEVENT(N1422,V1422)</f>
        <v/>
      </c>
      <c r="B1422" s="7" t="str">
        <f t="shared" si="66"/>
        <v/>
      </c>
      <c r="C1422" s="7"/>
      <c r="D1422" s="7" t="str">
        <f t="shared" si="67"/>
        <v>E</v>
      </c>
      <c r="E1422" s="10">
        <f t="shared" si="68"/>
        <v>0</v>
      </c>
      <c r="F1422" s="7" t="e">
        <f t="array" ref="F1422">+TIPOARMA(H1422,I1422)</f>
        <v>#VALUE!</v>
      </c>
      <c r="G1422" s="7"/>
      <c r="H1422" s="7" t="e">
        <f>+VLOOKUP(Q1422,Maps!I:J,2,0)</f>
        <v>#N/A</v>
      </c>
      <c r="I1422" s="7" t="e">
        <f>+VLOOKUP(T1422,Maps!E:F,2,0)</f>
        <v>#N/A</v>
      </c>
    </row>
    <row r="1423" spans="1:9" ht="14.25" customHeight="1" x14ac:dyDescent="0.35">
      <c r="A1423" s="7" t="str">
        <f t="array" ref="A1423">EXTRACTEVENT(N1423,V1423)</f>
        <v/>
      </c>
      <c r="B1423" s="7" t="str">
        <f t="shared" si="66"/>
        <v/>
      </c>
      <c r="C1423" s="7"/>
      <c r="D1423" s="7" t="str">
        <f t="shared" si="67"/>
        <v>E</v>
      </c>
      <c r="E1423" s="10">
        <f t="shared" si="68"/>
        <v>0</v>
      </c>
      <c r="F1423" s="7" t="e">
        <f t="array" ref="F1423">+TIPOARMA(H1423,I1423)</f>
        <v>#VALUE!</v>
      </c>
      <c r="G1423" s="7"/>
      <c r="H1423" s="7" t="e">
        <f>+VLOOKUP(Q1423,Maps!I:J,2,0)</f>
        <v>#N/A</v>
      </c>
      <c r="I1423" s="7" t="e">
        <f>+VLOOKUP(T1423,Maps!E:F,2,0)</f>
        <v>#N/A</v>
      </c>
    </row>
    <row r="1424" spans="1:9" ht="14.25" customHeight="1" x14ac:dyDescent="0.35">
      <c r="A1424" s="7" t="str">
        <f t="array" ref="A1424">EXTRACTEVENT(N1424,V1424)</f>
        <v/>
      </c>
      <c r="B1424" s="7" t="str">
        <f t="shared" si="66"/>
        <v/>
      </c>
      <c r="C1424" s="7"/>
      <c r="D1424" s="7" t="str">
        <f t="shared" si="67"/>
        <v>E</v>
      </c>
      <c r="E1424" s="10">
        <f t="shared" si="68"/>
        <v>0</v>
      </c>
      <c r="F1424" s="7" t="e">
        <f t="array" ref="F1424">+TIPOARMA(H1424,I1424)</f>
        <v>#VALUE!</v>
      </c>
      <c r="G1424" s="7"/>
      <c r="H1424" s="7" t="e">
        <f>+VLOOKUP(Q1424,Maps!I:J,2,0)</f>
        <v>#N/A</v>
      </c>
      <c r="I1424" s="7" t="e">
        <f>+VLOOKUP(T1424,Maps!E:F,2,0)</f>
        <v>#N/A</v>
      </c>
    </row>
    <row r="1425" spans="1:9" ht="14.25" customHeight="1" x14ac:dyDescent="0.35">
      <c r="A1425" s="7" t="str">
        <f t="array" ref="A1425">EXTRACTEVENT(N1425,V1425)</f>
        <v/>
      </c>
      <c r="B1425" s="7" t="str">
        <f t="shared" si="66"/>
        <v/>
      </c>
      <c r="C1425" s="7"/>
      <c r="D1425" s="7" t="str">
        <f t="shared" si="67"/>
        <v>E</v>
      </c>
      <c r="E1425" s="10">
        <f t="shared" si="68"/>
        <v>0</v>
      </c>
      <c r="F1425" s="7" t="e">
        <f t="array" ref="F1425">+TIPOARMA(H1425,I1425)</f>
        <v>#VALUE!</v>
      </c>
      <c r="G1425" s="7"/>
      <c r="H1425" s="7" t="e">
        <f>+VLOOKUP(Q1425,Maps!I:J,2,0)</f>
        <v>#N/A</v>
      </c>
      <c r="I1425" s="7" t="e">
        <f>+VLOOKUP(T1425,Maps!E:F,2,0)</f>
        <v>#N/A</v>
      </c>
    </row>
    <row r="1426" spans="1:9" ht="14.25" customHeight="1" x14ac:dyDescent="0.35">
      <c r="A1426" s="7" t="str">
        <f t="array" ref="A1426">EXTRACTEVENT(N1426,V1426)</f>
        <v/>
      </c>
      <c r="B1426" s="7" t="str">
        <f t="shared" si="66"/>
        <v/>
      </c>
      <c r="C1426" s="7"/>
      <c r="D1426" s="7" t="str">
        <f t="shared" si="67"/>
        <v>E</v>
      </c>
      <c r="E1426" s="10">
        <f t="shared" si="68"/>
        <v>0</v>
      </c>
      <c r="F1426" s="7" t="e">
        <f t="array" ref="F1426">+TIPOARMA(H1426,I1426)</f>
        <v>#VALUE!</v>
      </c>
      <c r="G1426" s="7"/>
      <c r="H1426" s="7" t="e">
        <f>+VLOOKUP(Q1426,Maps!I:J,2,0)</f>
        <v>#N/A</v>
      </c>
      <c r="I1426" s="7" t="e">
        <f>+VLOOKUP(T1426,Maps!E:F,2,0)</f>
        <v>#N/A</v>
      </c>
    </row>
    <row r="1427" spans="1:9" ht="14.25" customHeight="1" x14ac:dyDescent="0.35">
      <c r="A1427" s="7" t="str">
        <f t="array" ref="A1427">EXTRACTEVENT(N1427,V1427)</f>
        <v/>
      </c>
      <c r="B1427" s="7" t="str">
        <f t="shared" si="66"/>
        <v/>
      </c>
      <c r="C1427" s="7"/>
      <c r="D1427" s="7" t="str">
        <f t="shared" si="67"/>
        <v>E</v>
      </c>
      <c r="E1427" s="10">
        <f t="shared" si="68"/>
        <v>0</v>
      </c>
      <c r="F1427" s="7" t="e">
        <f t="array" ref="F1427">+TIPOARMA(H1427,I1427)</f>
        <v>#VALUE!</v>
      </c>
      <c r="G1427" s="7"/>
      <c r="H1427" s="7" t="e">
        <f>+VLOOKUP(Q1427,Maps!I:J,2,0)</f>
        <v>#N/A</v>
      </c>
      <c r="I1427" s="7" t="e">
        <f>+VLOOKUP(T1427,Maps!E:F,2,0)</f>
        <v>#N/A</v>
      </c>
    </row>
    <row r="1428" spans="1:9" ht="14.25" customHeight="1" x14ac:dyDescent="0.35">
      <c r="A1428" s="7" t="str">
        <f t="array" ref="A1428">EXTRACTEVENT(N1428,V1428)</f>
        <v/>
      </c>
      <c r="B1428" s="7" t="str">
        <f t="shared" si="66"/>
        <v/>
      </c>
      <c r="C1428" s="7"/>
      <c r="D1428" s="7" t="str">
        <f t="shared" si="67"/>
        <v>E</v>
      </c>
      <c r="E1428" s="10">
        <f t="shared" si="68"/>
        <v>0</v>
      </c>
      <c r="F1428" s="7" t="e">
        <f t="array" ref="F1428">+TIPOARMA(H1428,I1428)</f>
        <v>#VALUE!</v>
      </c>
      <c r="G1428" s="7"/>
      <c r="H1428" s="7" t="e">
        <f>+VLOOKUP(Q1428,Maps!I:J,2,0)</f>
        <v>#N/A</v>
      </c>
      <c r="I1428" s="7" t="e">
        <f>+VLOOKUP(T1428,Maps!E:F,2,0)</f>
        <v>#N/A</v>
      </c>
    </row>
    <row r="1429" spans="1:9" ht="14.25" customHeight="1" x14ac:dyDescent="0.35">
      <c r="A1429" s="7" t="str">
        <f t="array" ref="A1429">EXTRACTEVENT(N1429,V1429)</f>
        <v/>
      </c>
      <c r="B1429" s="7" t="str">
        <f t="shared" si="66"/>
        <v/>
      </c>
      <c r="C1429" s="7"/>
      <c r="D1429" s="7" t="str">
        <f t="shared" si="67"/>
        <v>E</v>
      </c>
      <c r="E1429" s="10">
        <f t="shared" si="68"/>
        <v>0</v>
      </c>
      <c r="F1429" s="7" t="e">
        <f t="array" ref="F1429">+TIPOARMA(H1429,I1429)</f>
        <v>#VALUE!</v>
      </c>
      <c r="G1429" s="7"/>
      <c r="H1429" s="7" t="e">
        <f>+VLOOKUP(Q1429,Maps!I:J,2,0)</f>
        <v>#N/A</v>
      </c>
      <c r="I1429" s="7" t="e">
        <f>+VLOOKUP(T1429,Maps!E:F,2,0)</f>
        <v>#N/A</v>
      </c>
    </row>
    <row r="1430" spans="1:9" ht="14.25" customHeight="1" x14ac:dyDescent="0.35">
      <c r="A1430" s="7" t="str">
        <f t="array" ref="A1430">EXTRACTEVENT(N1430,V1430)</f>
        <v/>
      </c>
      <c r="B1430" s="7" t="str">
        <f t="shared" si="66"/>
        <v/>
      </c>
      <c r="C1430" s="7"/>
      <c r="D1430" s="7" t="str">
        <f t="shared" si="67"/>
        <v>E</v>
      </c>
      <c r="E1430" s="10">
        <f t="shared" si="68"/>
        <v>0</v>
      </c>
      <c r="F1430" s="7" t="e">
        <f t="array" ref="F1430">+TIPOARMA(H1430,I1430)</f>
        <v>#VALUE!</v>
      </c>
      <c r="G1430" s="7"/>
      <c r="H1430" s="7" t="e">
        <f>+VLOOKUP(Q1430,Maps!I:J,2,0)</f>
        <v>#N/A</v>
      </c>
      <c r="I1430" s="7" t="e">
        <f>+VLOOKUP(T1430,Maps!E:F,2,0)</f>
        <v>#N/A</v>
      </c>
    </row>
    <row r="1431" spans="1:9" ht="14.25" customHeight="1" x14ac:dyDescent="0.35">
      <c r="A1431" s="7" t="str">
        <f t="array" ref="A1431">EXTRACTEVENT(N1431,V1431)</f>
        <v/>
      </c>
      <c r="B1431" s="7" t="str">
        <f t="shared" si="66"/>
        <v/>
      </c>
      <c r="C1431" s="7"/>
      <c r="D1431" s="7" t="str">
        <f t="shared" si="67"/>
        <v>E</v>
      </c>
      <c r="E1431" s="10">
        <f t="shared" si="68"/>
        <v>0</v>
      </c>
      <c r="F1431" s="7" t="e">
        <f t="array" ref="F1431">+TIPOARMA(H1431,I1431)</f>
        <v>#VALUE!</v>
      </c>
      <c r="G1431" s="7"/>
      <c r="H1431" s="7" t="e">
        <f>+VLOOKUP(Q1431,Maps!I:J,2,0)</f>
        <v>#N/A</v>
      </c>
      <c r="I1431" s="7" t="e">
        <f>+VLOOKUP(T1431,Maps!E:F,2,0)</f>
        <v>#N/A</v>
      </c>
    </row>
    <row r="1432" spans="1:9" ht="14.25" customHeight="1" x14ac:dyDescent="0.35">
      <c r="A1432" s="7" t="str">
        <f t="array" ref="A1432">EXTRACTEVENT(N1432,V1432)</f>
        <v/>
      </c>
      <c r="B1432" s="7" t="str">
        <f t="shared" si="66"/>
        <v/>
      </c>
      <c r="C1432" s="7"/>
      <c r="D1432" s="7" t="str">
        <f t="shared" si="67"/>
        <v>E</v>
      </c>
      <c r="E1432" s="10">
        <f t="shared" si="68"/>
        <v>0</v>
      </c>
      <c r="F1432" s="7" t="e">
        <f t="array" ref="F1432">+TIPOARMA(H1432,I1432)</f>
        <v>#VALUE!</v>
      </c>
      <c r="G1432" s="7"/>
      <c r="H1432" s="7" t="e">
        <f>+VLOOKUP(Q1432,Maps!I:J,2,0)</f>
        <v>#N/A</v>
      </c>
      <c r="I1432" s="7" t="e">
        <f>+VLOOKUP(T1432,Maps!E:F,2,0)</f>
        <v>#N/A</v>
      </c>
    </row>
    <row r="1433" spans="1:9" ht="14.25" customHeight="1" x14ac:dyDescent="0.35">
      <c r="A1433" s="7" t="str">
        <f t="array" ref="A1433">EXTRACTEVENT(N1433,V1433)</f>
        <v/>
      </c>
      <c r="B1433" s="7" t="str">
        <f t="shared" si="66"/>
        <v/>
      </c>
      <c r="C1433" s="7"/>
      <c r="D1433" s="7" t="str">
        <f t="shared" si="67"/>
        <v>E</v>
      </c>
      <c r="E1433" s="10">
        <f t="shared" si="68"/>
        <v>0</v>
      </c>
      <c r="F1433" s="7" t="e">
        <f t="array" ref="F1433">+TIPOARMA(H1433,I1433)</f>
        <v>#VALUE!</v>
      </c>
      <c r="G1433" s="7"/>
      <c r="H1433" s="7" t="e">
        <f>+VLOOKUP(Q1433,Maps!I:J,2,0)</f>
        <v>#N/A</v>
      </c>
      <c r="I1433" s="7" t="e">
        <f>+VLOOKUP(T1433,Maps!E:F,2,0)</f>
        <v>#N/A</v>
      </c>
    </row>
    <row r="1434" spans="1:9" ht="14.25" customHeight="1" x14ac:dyDescent="0.35">
      <c r="A1434" s="7" t="str">
        <f t="array" ref="A1434">EXTRACTEVENT(N1434,V1434)</f>
        <v/>
      </c>
      <c r="B1434" s="7" t="str">
        <f t="shared" si="66"/>
        <v/>
      </c>
      <c r="C1434" s="7"/>
      <c r="D1434" s="7" t="str">
        <f t="shared" si="67"/>
        <v>E</v>
      </c>
      <c r="E1434" s="10">
        <f t="shared" si="68"/>
        <v>0</v>
      </c>
      <c r="F1434" s="7" t="e">
        <f t="array" ref="F1434">+TIPOARMA(H1434,I1434)</f>
        <v>#VALUE!</v>
      </c>
      <c r="G1434" s="7"/>
      <c r="H1434" s="7" t="e">
        <f>+VLOOKUP(Q1434,Maps!I:J,2,0)</f>
        <v>#N/A</v>
      </c>
      <c r="I1434" s="7" t="e">
        <f>+VLOOKUP(T1434,Maps!E:F,2,0)</f>
        <v>#N/A</v>
      </c>
    </row>
    <row r="1435" spans="1:9" ht="14.25" customHeight="1" x14ac:dyDescent="0.35">
      <c r="A1435" s="7" t="str">
        <f t="array" ref="A1435">EXTRACTEVENT(N1435,V1435)</f>
        <v/>
      </c>
      <c r="B1435" s="7" t="str">
        <f t="shared" si="66"/>
        <v/>
      </c>
      <c r="C1435" s="7"/>
      <c r="D1435" s="7" t="str">
        <f t="shared" si="67"/>
        <v>E</v>
      </c>
      <c r="E1435" s="10">
        <f t="shared" si="68"/>
        <v>0</v>
      </c>
      <c r="F1435" s="7" t="e">
        <f t="array" ref="F1435">+TIPOARMA(H1435,I1435)</f>
        <v>#VALUE!</v>
      </c>
      <c r="G1435" s="7"/>
      <c r="H1435" s="7" t="e">
        <f>+VLOOKUP(Q1435,Maps!I:J,2,0)</f>
        <v>#N/A</v>
      </c>
      <c r="I1435" s="7" t="e">
        <f>+VLOOKUP(T1435,Maps!E:F,2,0)</f>
        <v>#N/A</v>
      </c>
    </row>
    <row r="1436" spans="1:9" ht="14.25" customHeight="1" x14ac:dyDescent="0.35">
      <c r="A1436" s="7" t="str">
        <f t="array" ref="A1436">EXTRACTEVENT(N1436,V1436)</f>
        <v/>
      </c>
      <c r="B1436" s="7" t="str">
        <f t="shared" si="66"/>
        <v/>
      </c>
      <c r="C1436" s="7"/>
      <c r="D1436" s="7" t="str">
        <f t="shared" si="67"/>
        <v>E</v>
      </c>
      <c r="E1436" s="10">
        <f t="shared" si="68"/>
        <v>0</v>
      </c>
      <c r="F1436" s="7" t="e">
        <f t="array" ref="F1436">+TIPOARMA(H1436,I1436)</f>
        <v>#VALUE!</v>
      </c>
      <c r="G1436" s="7"/>
      <c r="H1436" s="7" t="e">
        <f>+VLOOKUP(Q1436,Maps!I:J,2,0)</f>
        <v>#N/A</v>
      </c>
      <c r="I1436" s="7" t="e">
        <f>+VLOOKUP(T1436,Maps!E:F,2,0)</f>
        <v>#N/A</v>
      </c>
    </row>
    <row r="1437" spans="1:9" ht="14.25" customHeight="1" x14ac:dyDescent="0.35">
      <c r="A1437" s="7" t="str">
        <f t="array" ref="A1437">EXTRACTEVENT(N1437,V1437)</f>
        <v/>
      </c>
      <c r="B1437" s="7" t="str">
        <f t="shared" si="66"/>
        <v/>
      </c>
      <c r="C1437" s="7"/>
      <c r="D1437" s="7" t="str">
        <f t="shared" si="67"/>
        <v>E</v>
      </c>
      <c r="E1437" s="10">
        <f t="shared" si="68"/>
        <v>0</v>
      </c>
      <c r="F1437" s="7" t="e">
        <f t="array" ref="F1437">+TIPOARMA(H1437,I1437)</f>
        <v>#VALUE!</v>
      </c>
      <c r="G1437" s="7"/>
      <c r="H1437" s="7" t="e">
        <f>+VLOOKUP(Q1437,Maps!I:J,2,0)</f>
        <v>#N/A</v>
      </c>
      <c r="I1437" s="7" t="e">
        <f>+VLOOKUP(T1437,Maps!E:F,2,0)</f>
        <v>#N/A</v>
      </c>
    </row>
    <row r="1438" spans="1:9" ht="14.25" customHeight="1" x14ac:dyDescent="0.35">
      <c r="A1438" s="7" t="str">
        <f t="array" ref="A1438">EXTRACTEVENT(N1438,V1438)</f>
        <v/>
      </c>
      <c r="B1438" s="7" t="str">
        <f t="shared" si="66"/>
        <v/>
      </c>
      <c r="C1438" s="7"/>
      <c r="D1438" s="7" t="str">
        <f t="shared" si="67"/>
        <v>E</v>
      </c>
      <c r="E1438" s="10">
        <f t="shared" si="68"/>
        <v>0</v>
      </c>
      <c r="F1438" s="7" t="e">
        <f t="array" ref="F1438">+TIPOARMA(H1438,I1438)</f>
        <v>#VALUE!</v>
      </c>
      <c r="G1438" s="7"/>
      <c r="H1438" s="7" t="e">
        <f>+VLOOKUP(Q1438,Maps!I:J,2,0)</f>
        <v>#N/A</v>
      </c>
      <c r="I1438" s="7" t="e">
        <f>+VLOOKUP(T1438,Maps!E:F,2,0)</f>
        <v>#N/A</v>
      </c>
    </row>
    <row r="1439" spans="1:9" ht="14.25" customHeight="1" x14ac:dyDescent="0.35">
      <c r="A1439" s="7" t="str">
        <f t="array" ref="A1439">EXTRACTEVENT(N1439,V1439)</f>
        <v/>
      </c>
      <c r="B1439" s="7" t="str">
        <f t="shared" si="66"/>
        <v/>
      </c>
      <c r="C1439" s="7"/>
      <c r="D1439" s="7" t="str">
        <f t="shared" si="67"/>
        <v>E</v>
      </c>
      <c r="E1439" s="10">
        <f t="shared" si="68"/>
        <v>0</v>
      </c>
      <c r="F1439" s="7" t="e">
        <f t="array" ref="F1439">+TIPOARMA(H1439,I1439)</f>
        <v>#VALUE!</v>
      </c>
      <c r="G1439" s="7"/>
      <c r="H1439" s="7" t="e">
        <f>+VLOOKUP(Q1439,Maps!I:J,2,0)</f>
        <v>#N/A</v>
      </c>
      <c r="I1439" s="7" t="e">
        <f>+VLOOKUP(T1439,Maps!E:F,2,0)</f>
        <v>#N/A</v>
      </c>
    </row>
    <row r="1440" spans="1:9" ht="14.25" customHeight="1" x14ac:dyDescent="0.35">
      <c r="A1440" s="7" t="str">
        <f t="array" ref="A1440">EXTRACTEVENT(N1440,V1440)</f>
        <v/>
      </c>
      <c r="B1440" s="7" t="str">
        <f t="shared" si="66"/>
        <v/>
      </c>
      <c r="C1440" s="7"/>
      <c r="D1440" s="7" t="str">
        <f t="shared" si="67"/>
        <v>E</v>
      </c>
      <c r="E1440" s="10">
        <f t="shared" si="68"/>
        <v>0</v>
      </c>
      <c r="F1440" s="7" t="e">
        <f t="array" ref="F1440">+TIPOARMA(H1440,I1440)</f>
        <v>#VALUE!</v>
      </c>
      <c r="G1440" s="7"/>
      <c r="H1440" s="7" t="e">
        <f>+VLOOKUP(Q1440,Maps!I:J,2,0)</f>
        <v>#N/A</v>
      </c>
      <c r="I1440" s="7" t="e">
        <f>+VLOOKUP(T1440,Maps!E:F,2,0)</f>
        <v>#N/A</v>
      </c>
    </row>
    <row r="1441" spans="1:9" ht="14.25" customHeight="1" x14ac:dyDescent="0.35">
      <c r="A1441" s="7" t="str">
        <f t="array" ref="A1441">EXTRACTEVENT(N1441,V1441)</f>
        <v/>
      </c>
      <c r="B1441" s="7" t="str">
        <f t="shared" si="66"/>
        <v/>
      </c>
      <c r="C1441" s="7"/>
      <c r="D1441" s="7" t="str">
        <f t="shared" si="67"/>
        <v>E</v>
      </c>
      <c r="E1441" s="10">
        <f t="shared" si="68"/>
        <v>0</v>
      </c>
      <c r="F1441" s="7" t="e">
        <f t="array" ref="F1441">+TIPOARMA(H1441,I1441)</f>
        <v>#VALUE!</v>
      </c>
      <c r="G1441" s="7"/>
      <c r="H1441" s="7" t="e">
        <f>+VLOOKUP(Q1441,Maps!I:J,2,0)</f>
        <v>#N/A</v>
      </c>
      <c r="I1441" s="7" t="e">
        <f>+VLOOKUP(T1441,Maps!E:F,2,0)</f>
        <v>#N/A</v>
      </c>
    </row>
    <row r="1442" spans="1:9" ht="14.25" customHeight="1" x14ac:dyDescent="0.35">
      <c r="A1442" s="7" t="str">
        <f t="array" ref="A1442">EXTRACTEVENT(N1442,V1442)</f>
        <v/>
      </c>
      <c r="B1442" s="7" t="str">
        <f t="shared" si="66"/>
        <v/>
      </c>
      <c r="C1442" s="7"/>
      <c r="D1442" s="7" t="str">
        <f t="shared" si="67"/>
        <v>E</v>
      </c>
      <c r="E1442" s="10">
        <f t="shared" si="68"/>
        <v>0</v>
      </c>
      <c r="F1442" s="7" t="e">
        <f t="array" ref="F1442">+TIPOARMA(H1442,I1442)</f>
        <v>#VALUE!</v>
      </c>
      <c r="G1442" s="7"/>
      <c r="H1442" s="7" t="e">
        <f>+VLOOKUP(Q1442,Maps!I:J,2,0)</f>
        <v>#N/A</v>
      </c>
      <c r="I1442" s="7" t="e">
        <f>+VLOOKUP(T1442,Maps!E:F,2,0)</f>
        <v>#N/A</v>
      </c>
    </row>
    <row r="1443" spans="1:9" ht="14.25" customHeight="1" x14ac:dyDescent="0.35">
      <c r="A1443" s="7" t="str">
        <f t="array" ref="A1443">EXTRACTEVENT(N1443,V1443)</f>
        <v/>
      </c>
      <c r="B1443" s="7" t="str">
        <f t="shared" si="66"/>
        <v/>
      </c>
      <c r="C1443" s="7"/>
      <c r="D1443" s="7" t="str">
        <f t="shared" si="67"/>
        <v>E</v>
      </c>
      <c r="E1443" s="10">
        <f t="shared" si="68"/>
        <v>0</v>
      </c>
      <c r="F1443" s="7" t="e">
        <f t="array" ref="F1443">+TIPOARMA(H1443,I1443)</f>
        <v>#VALUE!</v>
      </c>
      <c r="G1443" s="7"/>
      <c r="H1443" s="7" t="e">
        <f>+VLOOKUP(Q1443,Maps!I:J,2,0)</f>
        <v>#N/A</v>
      </c>
      <c r="I1443" s="7" t="e">
        <f>+VLOOKUP(T1443,Maps!E:F,2,0)</f>
        <v>#N/A</v>
      </c>
    </row>
    <row r="1444" spans="1:9" ht="14.25" customHeight="1" x14ac:dyDescent="0.35">
      <c r="A1444" s="7" t="str">
        <f t="array" ref="A1444">EXTRACTEVENT(N1444,V1444)</f>
        <v/>
      </c>
      <c r="B1444" s="7" t="str">
        <f t="shared" si="66"/>
        <v/>
      </c>
      <c r="C1444" s="7"/>
      <c r="D1444" s="7" t="str">
        <f t="shared" si="67"/>
        <v>E</v>
      </c>
      <c r="E1444" s="10">
        <f t="shared" si="68"/>
        <v>0</v>
      </c>
      <c r="F1444" s="7" t="e">
        <f t="array" ref="F1444">+TIPOARMA(H1444,I1444)</f>
        <v>#VALUE!</v>
      </c>
      <c r="G1444" s="7"/>
      <c r="H1444" s="7" t="e">
        <f>+VLOOKUP(Q1444,Maps!I:J,2,0)</f>
        <v>#N/A</v>
      </c>
      <c r="I1444" s="7" t="e">
        <f>+VLOOKUP(T1444,Maps!E:F,2,0)</f>
        <v>#N/A</v>
      </c>
    </row>
    <row r="1445" spans="1:9" ht="14.25" customHeight="1" x14ac:dyDescent="0.35">
      <c r="A1445" s="7" t="str">
        <f t="array" ref="A1445">EXTRACTEVENT(N1445,V1445)</f>
        <v/>
      </c>
      <c r="B1445" s="7" t="str">
        <f t="shared" si="66"/>
        <v/>
      </c>
      <c r="C1445" s="7"/>
      <c r="D1445" s="7" t="str">
        <f t="shared" si="67"/>
        <v>E</v>
      </c>
      <c r="E1445" s="10">
        <f t="shared" si="68"/>
        <v>0</v>
      </c>
      <c r="F1445" s="7" t="e">
        <f t="array" ref="F1445">+TIPOARMA(H1445,I1445)</f>
        <v>#VALUE!</v>
      </c>
      <c r="G1445" s="7"/>
      <c r="H1445" s="7" t="e">
        <f>+VLOOKUP(Q1445,Maps!I:J,2,0)</f>
        <v>#N/A</v>
      </c>
      <c r="I1445" s="7" t="e">
        <f>+VLOOKUP(T1445,Maps!E:F,2,0)</f>
        <v>#N/A</v>
      </c>
    </row>
    <row r="1446" spans="1:9" ht="14.25" customHeight="1" x14ac:dyDescent="0.35">
      <c r="A1446" s="7" t="str">
        <f t="array" ref="A1446">EXTRACTEVENT(N1446,V1446)</f>
        <v/>
      </c>
      <c r="B1446" s="7" t="str">
        <f t="shared" si="66"/>
        <v/>
      </c>
      <c r="C1446" s="7"/>
      <c r="D1446" s="7" t="str">
        <f t="shared" si="67"/>
        <v>E</v>
      </c>
      <c r="E1446" s="10">
        <f t="shared" si="68"/>
        <v>0</v>
      </c>
      <c r="F1446" s="7" t="e">
        <f t="array" ref="F1446">+TIPOARMA(H1446,I1446)</f>
        <v>#VALUE!</v>
      </c>
      <c r="G1446" s="7"/>
      <c r="H1446" s="7" t="e">
        <f>+VLOOKUP(Q1446,Maps!I:J,2,0)</f>
        <v>#N/A</v>
      </c>
      <c r="I1446" s="7" t="e">
        <f>+VLOOKUP(T1446,Maps!E:F,2,0)</f>
        <v>#N/A</v>
      </c>
    </row>
    <row r="1447" spans="1:9" ht="14.25" customHeight="1" x14ac:dyDescent="0.35">
      <c r="A1447" s="7" t="str">
        <f t="array" ref="A1447">EXTRACTEVENT(N1447,V1447)</f>
        <v/>
      </c>
      <c r="B1447" s="7" t="str">
        <f t="shared" si="66"/>
        <v/>
      </c>
      <c r="C1447" s="7"/>
      <c r="D1447" s="7" t="str">
        <f t="shared" si="67"/>
        <v>E</v>
      </c>
      <c r="E1447" s="10">
        <f t="shared" si="68"/>
        <v>0</v>
      </c>
      <c r="F1447" s="7" t="e">
        <f t="array" ref="F1447">+TIPOARMA(H1447,I1447)</f>
        <v>#VALUE!</v>
      </c>
      <c r="G1447" s="7"/>
      <c r="H1447" s="7" t="e">
        <f>+VLOOKUP(Q1447,Maps!I:J,2,0)</f>
        <v>#N/A</v>
      </c>
      <c r="I1447" s="7" t="e">
        <f>+VLOOKUP(T1447,Maps!E:F,2,0)</f>
        <v>#N/A</v>
      </c>
    </row>
    <row r="1448" spans="1:9" ht="14.25" customHeight="1" x14ac:dyDescent="0.35">
      <c r="A1448" s="7" t="str">
        <f t="array" ref="A1448">EXTRACTEVENT(N1448,V1448)</f>
        <v/>
      </c>
      <c r="B1448" s="7" t="str">
        <f t="shared" si="66"/>
        <v/>
      </c>
      <c r="C1448" s="7"/>
      <c r="D1448" s="7" t="str">
        <f t="shared" si="67"/>
        <v>E</v>
      </c>
      <c r="E1448" s="10">
        <f t="shared" si="68"/>
        <v>0</v>
      </c>
      <c r="F1448" s="7" t="e">
        <f t="array" ref="F1448">+TIPOARMA(H1448,I1448)</f>
        <v>#VALUE!</v>
      </c>
      <c r="G1448" s="7"/>
      <c r="H1448" s="7" t="e">
        <f>+VLOOKUP(Q1448,Maps!I:J,2,0)</f>
        <v>#N/A</v>
      </c>
      <c r="I1448" s="7" t="e">
        <f>+VLOOKUP(T1448,Maps!E:F,2,0)</f>
        <v>#N/A</v>
      </c>
    </row>
    <row r="1449" spans="1:9" ht="14.25" customHeight="1" x14ac:dyDescent="0.35">
      <c r="A1449" s="7" t="str">
        <f t="array" ref="A1449">EXTRACTEVENT(N1449,V1449)</f>
        <v/>
      </c>
      <c r="B1449" s="7" t="str">
        <f t="shared" si="66"/>
        <v/>
      </c>
      <c r="C1449" s="7"/>
      <c r="D1449" s="7" t="str">
        <f t="shared" si="67"/>
        <v>E</v>
      </c>
      <c r="E1449" s="10">
        <f t="shared" si="68"/>
        <v>0</v>
      </c>
      <c r="F1449" s="7" t="e">
        <f t="array" ref="F1449">+TIPOARMA(H1449,I1449)</f>
        <v>#VALUE!</v>
      </c>
      <c r="G1449" s="7"/>
      <c r="H1449" s="7" t="e">
        <f>+VLOOKUP(Q1449,Maps!I:J,2,0)</f>
        <v>#N/A</v>
      </c>
      <c r="I1449" s="7" t="e">
        <f>+VLOOKUP(T1449,Maps!E:F,2,0)</f>
        <v>#N/A</v>
      </c>
    </row>
    <row r="1450" spans="1:9" ht="14.25" customHeight="1" x14ac:dyDescent="0.35">
      <c r="A1450" s="7" t="str">
        <f t="array" ref="A1450">EXTRACTEVENT(N1450,V1450)</f>
        <v/>
      </c>
      <c r="B1450" s="7" t="str">
        <f t="shared" si="66"/>
        <v/>
      </c>
      <c r="C1450" s="7"/>
      <c r="D1450" s="7" t="str">
        <f t="shared" si="67"/>
        <v>E</v>
      </c>
      <c r="E1450" s="10">
        <f t="shared" si="68"/>
        <v>0</v>
      </c>
      <c r="F1450" s="7" t="e">
        <f t="array" ref="F1450">+TIPOARMA(H1450,I1450)</f>
        <v>#VALUE!</v>
      </c>
      <c r="G1450" s="7"/>
      <c r="H1450" s="7" t="e">
        <f>+VLOOKUP(Q1450,Maps!I:J,2,0)</f>
        <v>#N/A</v>
      </c>
      <c r="I1450" s="7" t="e">
        <f>+VLOOKUP(T1450,Maps!E:F,2,0)</f>
        <v>#N/A</v>
      </c>
    </row>
    <row r="1451" spans="1:9" ht="14.25" customHeight="1" x14ac:dyDescent="0.35">
      <c r="A1451" s="7" t="str">
        <f t="array" ref="A1451">EXTRACTEVENT(N1451,V1451)</f>
        <v/>
      </c>
      <c r="B1451" s="7" t="str">
        <f t="shared" si="66"/>
        <v/>
      </c>
      <c r="C1451" s="7"/>
      <c r="D1451" s="7" t="str">
        <f t="shared" si="67"/>
        <v>E</v>
      </c>
      <c r="E1451" s="10">
        <f t="shared" si="68"/>
        <v>0</v>
      </c>
      <c r="F1451" s="7" t="e">
        <f t="array" ref="F1451">+TIPOARMA(H1451,I1451)</f>
        <v>#VALUE!</v>
      </c>
      <c r="G1451" s="7"/>
      <c r="H1451" s="7" t="e">
        <f>+VLOOKUP(Q1451,Maps!I:J,2,0)</f>
        <v>#N/A</v>
      </c>
      <c r="I1451" s="7" t="e">
        <f>+VLOOKUP(T1451,Maps!E:F,2,0)</f>
        <v>#N/A</v>
      </c>
    </row>
    <row r="1452" spans="1:9" ht="14.25" customHeight="1" x14ac:dyDescent="0.35">
      <c r="A1452" s="7" t="str">
        <f t="array" ref="A1452">EXTRACTEVENT(N1452,V1452)</f>
        <v/>
      </c>
      <c r="B1452" s="7" t="str">
        <f t="shared" si="66"/>
        <v/>
      </c>
      <c r="C1452" s="7"/>
      <c r="D1452" s="7" t="str">
        <f t="shared" si="67"/>
        <v>E</v>
      </c>
      <c r="E1452" s="10">
        <f t="shared" si="68"/>
        <v>0</v>
      </c>
      <c r="F1452" s="7" t="e">
        <f t="array" ref="F1452">+TIPOARMA(H1452,I1452)</f>
        <v>#VALUE!</v>
      </c>
      <c r="G1452" s="7"/>
      <c r="H1452" s="7" t="e">
        <f>+VLOOKUP(Q1452,Maps!I:J,2,0)</f>
        <v>#N/A</v>
      </c>
      <c r="I1452" s="7" t="e">
        <f>+VLOOKUP(T1452,Maps!E:F,2,0)</f>
        <v>#N/A</v>
      </c>
    </row>
    <row r="1453" spans="1:9" ht="14.25" customHeight="1" x14ac:dyDescent="0.35">
      <c r="A1453" s="7" t="str">
        <f t="array" ref="A1453">EXTRACTEVENT(N1453,V1453)</f>
        <v/>
      </c>
      <c r="B1453" s="7" t="str">
        <f t="shared" si="66"/>
        <v/>
      </c>
      <c r="C1453" s="7"/>
      <c r="D1453" s="7" t="str">
        <f t="shared" si="67"/>
        <v>E</v>
      </c>
      <c r="E1453" s="10">
        <f t="shared" si="68"/>
        <v>0</v>
      </c>
      <c r="F1453" s="7" t="e">
        <f t="array" ref="F1453">+TIPOARMA(H1453,I1453)</f>
        <v>#VALUE!</v>
      </c>
      <c r="G1453" s="7"/>
      <c r="H1453" s="7" t="e">
        <f>+VLOOKUP(Q1453,Maps!I:J,2,0)</f>
        <v>#N/A</v>
      </c>
      <c r="I1453" s="7" t="e">
        <f>+VLOOKUP(T1453,Maps!E:F,2,0)</f>
        <v>#N/A</v>
      </c>
    </row>
    <row r="1454" spans="1:9" ht="14.25" customHeight="1" x14ac:dyDescent="0.35">
      <c r="A1454" s="7" t="str">
        <f t="array" ref="A1454">EXTRACTEVENT(N1454,V1454)</f>
        <v/>
      </c>
      <c r="B1454" s="7" t="str">
        <f t="shared" si="66"/>
        <v/>
      </c>
      <c r="C1454" s="7"/>
      <c r="D1454" s="7" t="str">
        <f t="shared" si="67"/>
        <v>E</v>
      </c>
      <c r="E1454" s="10">
        <f t="shared" si="68"/>
        <v>0</v>
      </c>
      <c r="F1454" s="7" t="e">
        <f t="array" ref="F1454">+TIPOARMA(H1454,I1454)</f>
        <v>#VALUE!</v>
      </c>
      <c r="G1454" s="7"/>
      <c r="H1454" s="7" t="e">
        <f>+VLOOKUP(Q1454,Maps!I:J,2,0)</f>
        <v>#N/A</v>
      </c>
      <c r="I1454" s="7" t="e">
        <f>+VLOOKUP(T1454,Maps!E:F,2,0)</f>
        <v>#N/A</v>
      </c>
    </row>
    <row r="1455" spans="1:9" ht="14.25" customHeight="1" x14ac:dyDescent="0.35">
      <c r="A1455" s="7" t="str">
        <f t="array" ref="A1455">EXTRACTEVENT(N1455,V1455)</f>
        <v/>
      </c>
      <c r="B1455" s="7" t="str">
        <f t="shared" si="66"/>
        <v/>
      </c>
      <c r="C1455" s="7"/>
      <c r="D1455" s="7" t="str">
        <f t="shared" si="67"/>
        <v>E</v>
      </c>
      <c r="E1455" s="10">
        <f t="shared" si="68"/>
        <v>0</v>
      </c>
      <c r="F1455" s="7" t="e">
        <f t="array" ref="F1455">+TIPOARMA(H1455,I1455)</f>
        <v>#VALUE!</v>
      </c>
      <c r="G1455" s="7"/>
      <c r="H1455" s="7" t="e">
        <f>+VLOOKUP(Q1455,Maps!I:J,2,0)</f>
        <v>#N/A</v>
      </c>
      <c r="I1455" s="7" t="e">
        <f>+VLOOKUP(T1455,Maps!E:F,2,0)</f>
        <v>#N/A</v>
      </c>
    </row>
    <row r="1456" spans="1:9" ht="14.25" customHeight="1" x14ac:dyDescent="0.35">
      <c r="A1456" s="7" t="str">
        <f t="array" ref="A1456">EXTRACTEVENT(N1456,V1456)</f>
        <v/>
      </c>
      <c r="B1456" s="7" t="str">
        <f t="shared" si="66"/>
        <v/>
      </c>
      <c r="C1456" s="7"/>
      <c r="D1456" s="7" t="str">
        <f t="shared" si="67"/>
        <v>E</v>
      </c>
      <c r="E1456" s="10">
        <f t="shared" si="68"/>
        <v>0</v>
      </c>
      <c r="F1456" s="7" t="e">
        <f t="array" ref="F1456">+TIPOARMA(H1456,I1456)</f>
        <v>#VALUE!</v>
      </c>
      <c r="G1456" s="7"/>
      <c r="H1456" s="7" t="e">
        <f>+VLOOKUP(Q1456,Maps!I:J,2,0)</f>
        <v>#N/A</v>
      </c>
      <c r="I1456" s="7" t="e">
        <f>+VLOOKUP(T1456,Maps!E:F,2,0)</f>
        <v>#N/A</v>
      </c>
    </row>
    <row r="1457" spans="1:9" ht="14.25" customHeight="1" x14ac:dyDescent="0.35">
      <c r="A1457" s="7" t="str">
        <f t="array" ref="A1457">EXTRACTEVENT(N1457,V1457)</f>
        <v/>
      </c>
      <c r="B1457" s="7" t="str">
        <f t="shared" si="66"/>
        <v/>
      </c>
      <c r="C1457" s="7"/>
      <c r="D1457" s="7" t="str">
        <f t="shared" si="67"/>
        <v>E</v>
      </c>
      <c r="E1457" s="10">
        <f t="shared" si="68"/>
        <v>0</v>
      </c>
      <c r="F1457" s="7" t="e">
        <f t="array" ref="F1457">+TIPOARMA(H1457,I1457)</f>
        <v>#VALUE!</v>
      </c>
      <c r="G1457" s="7"/>
      <c r="H1457" s="7" t="e">
        <f>+VLOOKUP(Q1457,Maps!I:J,2,0)</f>
        <v>#N/A</v>
      </c>
      <c r="I1457" s="7" t="e">
        <f>+VLOOKUP(T1457,Maps!E:F,2,0)</f>
        <v>#N/A</v>
      </c>
    </row>
    <row r="1458" spans="1:9" ht="14.25" customHeight="1" x14ac:dyDescent="0.35">
      <c r="A1458" s="7" t="str">
        <f t="array" ref="A1458">EXTRACTEVENT(N1458,V1458)</f>
        <v/>
      </c>
      <c r="B1458" s="7" t="str">
        <f t="shared" si="66"/>
        <v/>
      </c>
      <c r="C1458" s="7"/>
      <c r="D1458" s="7" t="str">
        <f t="shared" si="67"/>
        <v>E</v>
      </c>
      <c r="E1458" s="10">
        <f t="shared" si="68"/>
        <v>0</v>
      </c>
      <c r="F1458" s="7" t="e">
        <f t="array" ref="F1458">+TIPOARMA(H1458,I1458)</f>
        <v>#VALUE!</v>
      </c>
      <c r="G1458" s="7"/>
      <c r="H1458" s="7" t="e">
        <f>+VLOOKUP(Q1458,Maps!I:J,2,0)</f>
        <v>#N/A</v>
      </c>
      <c r="I1458" s="7" t="e">
        <f>+VLOOKUP(T1458,Maps!E:F,2,0)</f>
        <v>#N/A</v>
      </c>
    </row>
    <row r="1459" spans="1:9" ht="14.25" customHeight="1" x14ac:dyDescent="0.35">
      <c r="A1459" s="7" t="str">
        <f t="array" ref="A1459">EXTRACTEVENT(N1459,V1459)</f>
        <v/>
      </c>
      <c r="B1459" s="7" t="str">
        <f t="shared" si="66"/>
        <v/>
      </c>
      <c r="C1459" s="7"/>
      <c r="D1459" s="7" t="str">
        <f t="shared" si="67"/>
        <v>E</v>
      </c>
      <c r="E1459" s="10">
        <f t="shared" si="68"/>
        <v>0</v>
      </c>
      <c r="F1459" s="7" t="e">
        <f t="array" ref="F1459">+TIPOARMA(H1459,I1459)</f>
        <v>#VALUE!</v>
      </c>
      <c r="G1459" s="7"/>
      <c r="H1459" s="7" t="e">
        <f>+VLOOKUP(Q1459,Maps!I:J,2,0)</f>
        <v>#N/A</v>
      </c>
      <c r="I1459" s="7" t="e">
        <f>+VLOOKUP(T1459,Maps!E:F,2,0)</f>
        <v>#N/A</v>
      </c>
    </row>
    <row r="1460" spans="1:9" ht="14.25" customHeight="1" x14ac:dyDescent="0.35">
      <c r="A1460" s="7" t="str">
        <f t="array" ref="A1460">EXTRACTEVENT(N1460,V1460)</f>
        <v/>
      </c>
      <c r="B1460" s="7" t="str">
        <f t="shared" si="66"/>
        <v/>
      </c>
      <c r="C1460" s="7"/>
      <c r="D1460" s="7" t="str">
        <f t="shared" si="67"/>
        <v>E</v>
      </c>
      <c r="E1460" s="10">
        <f t="shared" si="68"/>
        <v>0</v>
      </c>
      <c r="F1460" s="7" t="e">
        <f t="array" ref="F1460">+TIPOARMA(H1460,I1460)</f>
        <v>#VALUE!</v>
      </c>
      <c r="G1460" s="7"/>
      <c r="H1460" s="7" t="e">
        <f>+VLOOKUP(Q1460,Maps!I:J,2,0)</f>
        <v>#N/A</v>
      </c>
      <c r="I1460" s="7" t="e">
        <f>+VLOOKUP(T1460,Maps!E:F,2,0)</f>
        <v>#N/A</v>
      </c>
    </row>
    <row r="1461" spans="1:9" ht="14.25" customHeight="1" x14ac:dyDescent="0.35">
      <c r="A1461" s="7" t="str">
        <f t="array" ref="A1461">EXTRACTEVENT(N1461,V1461)</f>
        <v/>
      </c>
      <c r="B1461" s="7" t="str">
        <f t="shared" si="66"/>
        <v/>
      </c>
      <c r="C1461" s="7"/>
      <c r="D1461" s="7" t="str">
        <f t="shared" si="67"/>
        <v>E</v>
      </c>
      <c r="E1461" s="10">
        <f t="shared" si="68"/>
        <v>0</v>
      </c>
      <c r="F1461" s="7" t="e">
        <f t="array" ref="F1461">+TIPOARMA(H1461,I1461)</f>
        <v>#VALUE!</v>
      </c>
      <c r="G1461" s="7"/>
      <c r="H1461" s="7" t="e">
        <f>+VLOOKUP(Q1461,Maps!I:J,2,0)</f>
        <v>#N/A</v>
      </c>
      <c r="I1461" s="7" t="e">
        <f>+VLOOKUP(T1461,Maps!E:F,2,0)</f>
        <v>#N/A</v>
      </c>
    </row>
    <row r="1462" spans="1:9" ht="14.25" customHeight="1" x14ac:dyDescent="0.35">
      <c r="A1462" s="7" t="str">
        <f t="array" ref="A1462">EXTRACTEVENT(N1462,V1462)</f>
        <v/>
      </c>
      <c r="B1462" s="7" t="str">
        <f t="shared" si="66"/>
        <v/>
      </c>
      <c r="C1462" s="7"/>
      <c r="D1462" s="7" t="str">
        <f t="shared" si="67"/>
        <v>E</v>
      </c>
      <c r="E1462" s="10">
        <f t="shared" si="68"/>
        <v>0</v>
      </c>
      <c r="F1462" s="7" t="e">
        <f t="array" ref="F1462">+TIPOARMA(H1462,I1462)</f>
        <v>#VALUE!</v>
      </c>
      <c r="G1462" s="7"/>
      <c r="H1462" s="7" t="e">
        <f>+VLOOKUP(Q1462,Maps!I:J,2,0)</f>
        <v>#N/A</v>
      </c>
      <c r="I1462" s="7" t="e">
        <f>+VLOOKUP(T1462,Maps!E:F,2,0)</f>
        <v>#N/A</v>
      </c>
    </row>
    <row r="1463" spans="1:9" ht="14.25" customHeight="1" x14ac:dyDescent="0.35">
      <c r="A1463" s="7" t="str">
        <f t="array" ref="A1463">EXTRACTEVENT(N1463,V1463)</f>
        <v/>
      </c>
      <c r="B1463" s="7" t="str">
        <f t="shared" si="66"/>
        <v/>
      </c>
      <c r="C1463" s="7"/>
      <c r="D1463" s="7" t="str">
        <f t="shared" si="67"/>
        <v>E</v>
      </c>
      <c r="E1463" s="10">
        <f t="shared" si="68"/>
        <v>0</v>
      </c>
      <c r="F1463" s="7" t="e">
        <f t="array" ref="F1463">+TIPOARMA(H1463,I1463)</f>
        <v>#VALUE!</v>
      </c>
      <c r="G1463" s="7"/>
      <c r="H1463" s="7" t="e">
        <f>+VLOOKUP(Q1463,Maps!I:J,2,0)</f>
        <v>#N/A</v>
      </c>
      <c r="I1463" s="7" t="e">
        <f>+VLOOKUP(T1463,Maps!E:F,2,0)</f>
        <v>#N/A</v>
      </c>
    </row>
    <row r="1464" spans="1:9" ht="14.25" customHeight="1" x14ac:dyDescent="0.35">
      <c r="A1464" s="7" t="str">
        <f t="array" ref="A1464">EXTRACTEVENT(N1464,V1464)</f>
        <v/>
      </c>
      <c r="B1464" s="7" t="str">
        <f t="shared" si="66"/>
        <v/>
      </c>
      <c r="C1464" s="7"/>
      <c r="D1464" s="7" t="str">
        <f t="shared" si="67"/>
        <v>E</v>
      </c>
      <c r="E1464" s="10">
        <f t="shared" si="68"/>
        <v>0</v>
      </c>
      <c r="F1464" s="7" t="e">
        <f t="array" ref="F1464">+TIPOARMA(H1464,I1464)</f>
        <v>#VALUE!</v>
      </c>
      <c r="G1464" s="7"/>
      <c r="H1464" s="7" t="e">
        <f>+VLOOKUP(Q1464,Maps!I:J,2,0)</f>
        <v>#N/A</v>
      </c>
      <c r="I1464" s="7" t="e">
        <f>+VLOOKUP(T1464,Maps!E:F,2,0)</f>
        <v>#N/A</v>
      </c>
    </row>
    <row r="1465" spans="1:9" ht="14.25" customHeight="1" x14ac:dyDescent="0.35">
      <c r="A1465" s="7" t="str">
        <f t="array" ref="A1465">EXTRACTEVENT(N1465,V1465)</f>
        <v/>
      </c>
      <c r="B1465" s="7" t="str">
        <f t="shared" si="66"/>
        <v/>
      </c>
      <c r="C1465" s="7"/>
      <c r="D1465" s="7" t="str">
        <f t="shared" si="67"/>
        <v>E</v>
      </c>
      <c r="E1465" s="10">
        <f t="shared" si="68"/>
        <v>0</v>
      </c>
      <c r="F1465" s="7" t="e">
        <f t="array" ref="F1465">+TIPOARMA(H1465,I1465)</f>
        <v>#VALUE!</v>
      </c>
      <c r="G1465" s="7"/>
      <c r="H1465" s="7" t="e">
        <f>+VLOOKUP(Q1465,Maps!I:J,2,0)</f>
        <v>#N/A</v>
      </c>
      <c r="I1465" s="7" t="e">
        <f>+VLOOKUP(T1465,Maps!E:F,2,0)</f>
        <v>#N/A</v>
      </c>
    </row>
    <row r="1466" spans="1:9" ht="14.25" customHeight="1" x14ac:dyDescent="0.35">
      <c r="A1466" s="7" t="str">
        <f t="array" ref="A1466">EXTRACTEVENT(N1466,V1466)</f>
        <v/>
      </c>
      <c r="B1466" s="7" t="str">
        <f t="shared" si="66"/>
        <v/>
      </c>
      <c r="C1466" s="7"/>
      <c r="D1466" s="7" t="str">
        <f t="shared" si="67"/>
        <v>E</v>
      </c>
      <c r="E1466" s="10">
        <f t="shared" si="68"/>
        <v>0</v>
      </c>
      <c r="F1466" s="7" t="e">
        <f t="array" ref="F1466">+TIPOARMA(H1466,I1466)</f>
        <v>#VALUE!</v>
      </c>
      <c r="G1466" s="7"/>
      <c r="H1466" s="7" t="e">
        <f>+VLOOKUP(Q1466,Maps!I:J,2,0)</f>
        <v>#N/A</v>
      </c>
      <c r="I1466" s="7" t="e">
        <f>+VLOOKUP(T1466,Maps!E:F,2,0)</f>
        <v>#N/A</v>
      </c>
    </row>
    <row r="1467" spans="1:9" ht="14.25" customHeight="1" x14ac:dyDescent="0.35">
      <c r="A1467" s="7" t="str">
        <f t="array" ref="A1467">EXTRACTEVENT(N1467,V1467)</f>
        <v/>
      </c>
      <c r="B1467" s="7" t="str">
        <f t="shared" si="66"/>
        <v/>
      </c>
      <c r="C1467" s="7"/>
      <c r="D1467" s="7" t="str">
        <f t="shared" si="67"/>
        <v>E</v>
      </c>
      <c r="E1467" s="10">
        <f t="shared" si="68"/>
        <v>0</v>
      </c>
      <c r="F1467" s="7" t="e">
        <f t="array" ref="F1467">+TIPOARMA(H1467,I1467)</f>
        <v>#VALUE!</v>
      </c>
      <c r="G1467" s="7"/>
      <c r="H1467" s="7" t="e">
        <f>+VLOOKUP(Q1467,Maps!I:J,2,0)</f>
        <v>#N/A</v>
      </c>
      <c r="I1467" s="7" t="e">
        <f>+VLOOKUP(T1467,Maps!E:F,2,0)</f>
        <v>#N/A</v>
      </c>
    </row>
    <row r="1468" spans="1:9" ht="14.25" customHeight="1" x14ac:dyDescent="0.35">
      <c r="A1468" s="7" t="str">
        <f t="array" ref="A1468">EXTRACTEVENT(N1468,V1468)</f>
        <v/>
      </c>
      <c r="B1468" s="7" t="str">
        <f t="shared" si="66"/>
        <v/>
      </c>
      <c r="C1468" s="7"/>
      <c r="D1468" s="7" t="str">
        <f t="shared" si="67"/>
        <v>E</v>
      </c>
      <c r="E1468" s="10">
        <f t="shared" si="68"/>
        <v>0</v>
      </c>
      <c r="F1468" s="7" t="e">
        <f t="array" ref="F1468">+TIPOARMA(H1468,I1468)</f>
        <v>#VALUE!</v>
      </c>
      <c r="G1468" s="7"/>
      <c r="H1468" s="7" t="e">
        <f>+VLOOKUP(Q1468,Maps!I:J,2,0)</f>
        <v>#N/A</v>
      </c>
      <c r="I1468" s="7" t="e">
        <f>+VLOOKUP(T1468,Maps!E:F,2,0)</f>
        <v>#N/A</v>
      </c>
    </row>
    <row r="1469" spans="1:9" ht="14.25" customHeight="1" x14ac:dyDescent="0.35">
      <c r="A1469" s="7" t="str">
        <f t="array" ref="A1469">EXTRACTEVENT(N1469,V1469)</f>
        <v/>
      </c>
      <c r="B1469" s="7" t="str">
        <f t="shared" si="66"/>
        <v/>
      </c>
      <c r="C1469" s="7"/>
      <c r="D1469" s="7" t="str">
        <f t="shared" si="67"/>
        <v>E</v>
      </c>
      <c r="E1469" s="10">
        <f t="shared" si="68"/>
        <v>0</v>
      </c>
      <c r="F1469" s="7" t="e">
        <f t="array" ref="F1469">+TIPOARMA(H1469,I1469)</f>
        <v>#VALUE!</v>
      </c>
      <c r="G1469" s="7"/>
      <c r="H1469" s="7" t="e">
        <f>+VLOOKUP(Q1469,Maps!I:J,2,0)</f>
        <v>#N/A</v>
      </c>
      <c r="I1469" s="7" t="e">
        <f>+VLOOKUP(T1469,Maps!E:F,2,0)</f>
        <v>#N/A</v>
      </c>
    </row>
    <row r="1470" spans="1:9" ht="14.25" customHeight="1" x14ac:dyDescent="0.35">
      <c r="A1470" s="7" t="str">
        <f t="array" ref="A1470">EXTRACTEVENT(N1470,V1470)</f>
        <v/>
      </c>
      <c r="B1470" s="7" t="str">
        <f t="shared" si="66"/>
        <v/>
      </c>
      <c r="C1470" s="7"/>
      <c r="D1470" s="7" t="str">
        <f t="shared" si="67"/>
        <v>E</v>
      </c>
      <c r="E1470" s="10">
        <f t="shared" si="68"/>
        <v>0</v>
      </c>
      <c r="F1470" s="7" t="e">
        <f t="array" ref="F1470">+TIPOARMA(H1470,I1470)</f>
        <v>#VALUE!</v>
      </c>
      <c r="G1470" s="7"/>
      <c r="H1470" s="7" t="e">
        <f>+VLOOKUP(Q1470,Maps!I:J,2,0)</f>
        <v>#N/A</v>
      </c>
      <c r="I1470" s="7" t="e">
        <f>+VLOOKUP(T1470,Maps!E:F,2,0)</f>
        <v>#N/A</v>
      </c>
    </row>
    <row r="1471" spans="1:9" ht="14.25" customHeight="1" x14ac:dyDescent="0.35">
      <c r="A1471" s="7" t="str">
        <f t="array" ref="A1471">EXTRACTEVENT(N1471,V1471)</f>
        <v/>
      </c>
      <c r="B1471" s="7" t="str">
        <f t="shared" si="66"/>
        <v/>
      </c>
      <c r="C1471" s="7"/>
      <c r="D1471" s="7" t="str">
        <f t="shared" si="67"/>
        <v>E</v>
      </c>
      <c r="E1471" s="10">
        <f t="shared" si="68"/>
        <v>0</v>
      </c>
      <c r="F1471" s="7" t="e">
        <f t="array" ref="F1471">+TIPOARMA(H1471,I1471)</f>
        <v>#VALUE!</v>
      </c>
      <c r="G1471" s="7"/>
      <c r="H1471" s="7" t="e">
        <f>+VLOOKUP(Q1471,Maps!I:J,2,0)</f>
        <v>#N/A</v>
      </c>
      <c r="I1471" s="7" t="e">
        <f>+VLOOKUP(T1471,Maps!E:F,2,0)</f>
        <v>#N/A</v>
      </c>
    </row>
    <row r="1472" spans="1:9" ht="14.25" customHeight="1" x14ac:dyDescent="0.35">
      <c r="A1472" s="7" t="str">
        <f t="array" ref="A1472">EXTRACTEVENT(N1472,V1472)</f>
        <v/>
      </c>
      <c r="B1472" s="7" t="str">
        <f t="shared" si="66"/>
        <v/>
      </c>
      <c r="C1472" s="7"/>
      <c r="D1472" s="7" t="str">
        <f t="shared" si="67"/>
        <v>E</v>
      </c>
      <c r="E1472" s="10">
        <f t="shared" si="68"/>
        <v>0</v>
      </c>
      <c r="F1472" s="7" t="e">
        <f t="array" ref="F1472">+TIPOARMA(H1472,I1472)</f>
        <v>#VALUE!</v>
      </c>
      <c r="G1472" s="7"/>
      <c r="H1472" s="7" t="e">
        <f>+VLOOKUP(Q1472,Maps!I:J,2,0)</f>
        <v>#N/A</v>
      </c>
      <c r="I1472" s="7" t="e">
        <f>+VLOOKUP(T1472,Maps!E:F,2,0)</f>
        <v>#N/A</v>
      </c>
    </row>
    <row r="1473" spans="1:9" ht="14.25" customHeight="1" x14ac:dyDescent="0.35">
      <c r="A1473" s="7" t="str">
        <f t="array" ref="A1473">EXTRACTEVENT(N1473,V1473)</f>
        <v/>
      </c>
      <c r="B1473" s="7" t="str">
        <f t="shared" si="66"/>
        <v/>
      </c>
      <c r="C1473" s="7"/>
      <c r="D1473" s="7" t="str">
        <f t="shared" si="67"/>
        <v>E</v>
      </c>
      <c r="E1473" s="10">
        <f t="shared" si="68"/>
        <v>0</v>
      </c>
      <c r="F1473" s="7" t="e">
        <f t="array" ref="F1473">+TIPOARMA(H1473,I1473)</f>
        <v>#VALUE!</v>
      </c>
      <c r="G1473" s="7"/>
      <c r="H1473" s="7" t="e">
        <f>+VLOOKUP(Q1473,Maps!I:J,2,0)</f>
        <v>#N/A</v>
      </c>
      <c r="I1473" s="7" t="e">
        <f>+VLOOKUP(T1473,Maps!E:F,2,0)</f>
        <v>#N/A</v>
      </c>
    </row>
    <row r="1474" spans="1:9" ht="14.25" customHeight="1" x14ac:dyDescent="0.35">
      <c r="A1474" s="7" t="str">
        <f t="array" ref="A1474">EXTRACTEVENT(N1474,V1474)</f>
        <v/>
      </c>
      <c r="B1474" s="7" t="str">
        <f t="shared" ref="B1474:B1500" si="69">+IF(V1474="TREINO","-",LEFT(N1474,1))</f>
        <v/>
      </c>
      <c r="C1474" s="7"/>
      <c r="D1474" s="7" t="str">
        <f t="shared" ref="D1474:D1500" si="70">+IF($V1474="TREINO","T",IF(V1474="NACIONAL","N","E"))</f>
        <v>E</v>
      </c>
      <c r="E1474" s="10">
        <f t="shared" ref="E1474:E1500" si="71">IFERROR(DATEVALUE(LEFT(M1474,10)),M1474)</f>
        <v>0</v>
      </c>
      <c r="F1474" s="7" t="e">
        <f t="array" ref="F1474">+TIPOARMA(H1474,I1474)</f>
        <v>#VALUE!</v>
      </c>
      <c r="G1474" s="7"/>
      <c r="H1474" s="7" t="e">
        <f>+VLOOKUP(Q1474,Maps!I:J,2,0)</f>
        <v>#N/A</v>
      </c>
      <c r="I1474" s="7" t="e">
        <f>+VLOOKUP(T1474,Maps!E:F,2,0)</f>
        <v>#N/A</v>
      </c>
    </row>
    <row r="1475" spans="1:9" ht="14.25" customHeight="1" x14ac:dyDescent="0.35">
      <c r="A1475" s="7" t="str">
        <f t="array" ref="A1475">EXTRACTEVENT(N1475,V1475)</f>
        <v/>
      </c>
      <c r="B1475" s="7" t="str">
        <f t="shared" si="69"/>
        <v/>
      </c>
      <c r="C1475" s="7"/>
      <c r="D1475" s="7" t="str">
        <f t="shared" si="70"/>
        <v>E</v>
      </c>
      <c r="E1475" s="10">
        <f t="shared" si="71"/>
        <v>0</v>
      </c>
      <c r="F1475" s="7" t="e">
        <f t="array" ref="F1475">+TIPOARMA(H1475,I1475)</f>
        <v>#VALUE!</v>
      </c>
      <c r="G1475" s="7"/>
      <c r="H1475" s="7" t="e">
        <f>+VLOOKUP(Q1475,Maps!I:J,2,0)</f>
        <v>#N/A</v>
      </c>
      <c r="I1475" s="7" t="e">
        <f>+VLOOKUP(T1475,Maps!E:F,2,0)</f>
        <v>#N/A</v>
      </c>
    </row>
    <row r="1476" spans="1:9" ht="14.25" customHeight="1" x14ac:dyDescent="0.35">
      <c r="A1476" s="7" t="str">
        <f t="array" ref="A1476">EXTRACTEVENT(N1476,V1476)</f>
        <v/>
      </c>
      <c r="B1476" s="7" t="str">
        <f t="shared" si="69"/>
        <v/>
      </c>
      <c r="C1476" s="7"/>
      <c r="D1476" s="7" t="str">
        <f t="shared" si="70"/>
        <v>E</v>
      </c>
      <c r="E1476" s="10">
        <f t="shared" si="71"/>
        <v>0</v>
      </c>
      <c r="F1476" s="7" t="e">
        <f t="array" ref="F1476">+TIPOARMA(H1476,I1476)</f>
        <v>#VALUE!</v>
      </c>
      <c r="G1476" s="7"/>
      <c r="H1476" s="7" t="e">
        <f>+VLOOKUP(Q1476,Maps!I:J,2,0)</f>
        <v>#N/A</v>
      </c>
      <c r="I1476" s="7" t="e">
        <f>+VLOOKUP(T1476,Maps!E:F,2,0)</f>
        <v>#N/A</v>
      </c>
    </row>
    <row r="1477" spans="1:9" ht="14.25" customHeight="1" x14ac:dyDescent="0.35">
      <c r="A1477" s="7" t="str">
        <f t="array" ref="A1477">EXTRACTEVENT(N1477,V1477)</f>
        <v/>
      </c>
      <c r="B1477" s="7" t="str">
        <f t="shared" si="69"/>
        <v/>
      </c>
      <c r="C1477" s="7"/>
      <c r="D1477" s="7" t="str">
        <f t="shared" si="70"/>
        <v>E</v>
      </c>
      <c r="E1477" s="10">
        <f t="shared" si="71"/>
        <v>0</v>
      </c>
      <c r="F1477" s="7" t="e">
        <f t="array" ref="F1477">+TIPOARMA(H1477,I1477)</f>
        <v>#VALUE!</v>
      </c>
      <c r="G1477" s="7"/>
      <c r="H1477" s="7" t="e">
        <f>+VLOOKUP(Q1477,Maps!I:J,2,0)</f>
        <v>#N/A</v>
      </c>
      <c r="I1477" s="7" t="e">
        <f>+VLOOKUP(T1477,Maps!E:F,2,0)</f>
        <v>#N/A</v>
      </c>
    </row>
    <row r="1478" spans="1:9" ht="14.25" customHeight="1" x14ac:dyDescent="0.35">
      <c r="A1478" s="7" t="str">
        <f t="array" ref="A1478">EXTRACTEVENT(N1478,V1478)</f>
        <v/>
      </c>
      <c r="B1478" s="7" t="str">
        <f t="shared" si="69"/>
        <v/>
      </c>
      <c r="C1478" s="7"/>
      <c r="D1478" s="7" t="str">
        <f t="shared" si="70"/>
        <v>E</v>
      </c>
      <c r="E1478" s="10">
        <f t="shared" si="71"/>
        <v>0</v>
      </c>
      <c r="F1478" s="7" t="e">
        <f t="array" ref="F1478">+TIPOARMA(H1478,I1478)</f>
        <v>#VALUE!</v>
      </c>
      <c r="G1478" s="7"/>
      <c r="H1478" s="7" t="e">
        <f>+VLOOKUP(Q1478,Maps!I:J,2,0)</f>
        <v>#N/A</v>
      </c>
      <c r="I1478" s="7" t="e">
        <f>+VLOOKUP(T1478,Maps!E:F,2,0)</f>
        <v>#N/A</v>
      </c>
    </row>
    <row r="1479" spans="1:9" ht="14.25" customHeight="1" x14ac:dyDescent="0.35">
      <c r="A1479" s="7" t="str">
        <f t="array" ref="A1479">EXTRACTEVENT(N1479,V1479)</f>
        <v/>
      </c>
      <c r="B1479" s="7" t="str">
        <f t="shared" si="69"/>
        <v/>
      </c>
      <c r="C1479" s="7"/>
      <c r="D1479" s="7" t="str">
        <f t="shared" si="70"/>
        <v>E</v>
      </c>
      <c r="E1479" s="10">
        <f t="shared" si="71"/>
        <v>0</v>
      </c>
      <c r="F1479" s="7" t="e">
        <f t="array" ref="F1479">+TIPOARMA(H1479,I1479)</f>
        <v>#VALUE!</v>
      </c>
      <c r="G1479" s="7"/>
      <c r="H1479" s="7" t="e">
        <f>+VLOOKUP(Q1479,Maps!I:J,2,0)</f>
        <v>#N/A</v>
      </c>
      <c r="I1479" s="7" t="e">
        <f>+VLOOKUP(T1479,Maps!E:F,2,0)</f>
        <v>#N/A</v>
      </c>
    </row>
    <row r="1480" spans="1:9" ht="14.25" customHeight="1" x14ac:dyDescent="0.35">
      <c r="A1480" s="7" t="str">
        <f t="array" ref="A1480">EXTRACTEVENT(N1480,V1480)</f>
        <v/>
      </c>
      <c r="B1480" s="7" t="str">
        <f t="shared" si="69"/>
        <v/>
      </c>
      <c r="C1480" s="7"/>
      <c r="D1480" s="7" t="str">
        <f t="shared" si="70"/>
        <v>E</v>
      </c>
      <c r="E1480" s="10">
        <f t="shared" si="71"/>
        <v>0</v>
      </c>
      <c r="F1480" s="7" t="e">
        <f t="array" ref="F1480">+TIPOARMA(H1480,I1480)</f>
        <v>#VALUE!</v>
      </c>
      <c r="G1480" s="7"/>
      <c r="H1480" s="7" t="e">
        <f>+VLOOKUP(Q1480,Maps!I:J,2,0)</f>
        <v>#N/A</v>
      </c>
      <c r="I1480" s="7" t="e">
        <f>+VLOOKUP(T1480,Maps!E:F,2,0)</f>
        <v>#N/A</v>
      </c>
    </row>
    <row r="1481" spans="1:9" ht="14.25" customHeight="1" x14ac:dyDescent="0.35">
      <c r="A1481" s="7" t="str">
        <f t="array" ref="A1481">EXTRACTEVENT(N1481,V1481)</f>
        <v/>
      </c>
      <c r="B1481" s="7" t="str">
        <f t="shared" si="69"/>
        <v/>
      </c>
      <c r="C1481" s="7"/>
      <c r="D1481" s="7" t="str">
        <f t="shared" si="70"/>
        <v>E</v>
      </c>
      <c r="E1481" s="10">
        <f t="shared" si="71"/>
        <v>0</v>
      </c>
      <c r="F1481" s="7" t="e">
        <f t="array" ref="F1481">+TIPOARMA(H1481,I1481)</f>
        <v>#VALUE!</v>
      </c>
      <c r="G1481" s="7"/>
      <c r="H1481" s="7" t="e">
        <f>+VLOOKUP(Q1481,Maps!I:J,2,0)</f>
        <v>#N/A</v>
      </c>
      <c r="I1481" s="7" t="e">
        <f>+VLOOKUP(T1481,Maps!E:F,2,0)</f>
        <v>#N/A</v>
      </c>
    </row>
    <row r="1482" spans="1:9" ht="14.25" customHeight="1" x14ac:dyDescent="0.35">
      <c r="A1482" s="7" t="str">
        <f t="array" ref="A1482">EXTRACTEVENT(N1482,V1482)</f>
        <v/>
      </c>
      <c r="B1482" s="7" t="str">
        <f t="shared" si="69"/>
        <v/>
      </c>
      <c r="C1482" s="7"/>
      <c r="D1482" s="7" t="str">
        <f t="shared" si="70"/>
        <v>E</v>
      </c>
      <c r="E1482" s="10">
        <f t="shared" si="71"/>
        <v>0</v>
      </c>
      <c r="F1482" s="7" t="e">
        <f t="array" ref="F1482">+TIPOARMA(H1482,I1482)</f>
        <v>#VALUE!</v>
      </c>
      <c r="G1482" s="7"/>
      <c r="H1482" s="7" t="e">
        <f>+VLOOKUP(Q1482,Maps!I:J,2,0)</f>
        <v>#N/A</v>
      </c>
      <c r="I1482" s="7" t="e">
        <f>+VLOOKUP(T1482,Maps!E:F,2,0)</f>
        <v>#N/A</v>
      </c>
    </row>
    <row r="1483" spans="1:9" ht="14.25" customHeight="1" x14ac:dyDescent="0.35">
      <c r="A1483" s="7" t="str">
        <f t="array" ref="A1483">EXTRACTEVENT(N1483,V1483)</f>
        <v/>
      </c>
      <c r="B1483" s="7" t="str">
        <f t="shared" si="69"/>
        <v/>
      </c>
      <c r="C1483" s="7"/>
      <c r="D1483" s="7" t="str">
        <f t="shared" si="70"/>
        <v>E</v>
      </c>
      <c r="E1483" s="10">
        <f t="shared" si="71"/>
        <v>0</v>
      </c>
      <c r="F1483" s="7" t="e">
        <f t="array" ref="F1483">+TIPOARMA(H1483,I1483)</f>
        <v>#VALUE!</v>
      </c>
      <c r="G1483" s="7"/>
      <c r="H1483" s="7" t="e">
        <f>+VLOOKUP(Q1483,Maps!I:J,2,0)</f>
        <v>#N/A</v>
      </c>
      <c r="I1483" s="7" t="e">
        <f>+VLOOKUP(T1483,Maps!E:F,2,0)</f>
        <v>#N/A</v>
      </c>
    </row>
    <row r="1484" spans="1:9" ht="14.25" customHeight="1" x14ac:dyDescent="0.35">
      <c r="A1484" s="7" t="str">
        <f t="array" ref="A1484">EXTRACTEVENT(N1484,V1484)</f>
        <v/>
      </c>
      <c r="B1484" s="7" t="str">
        <f t="shared" si="69"/>
        <v/>
      </c>
      <c r="C1484" s="7"/>
      <c r="D1484" s="7" t="str">
        <f t="shared" si="70"/>
        <v>E</v>
      </c>
      <c r="E1484" s="10">
        <f t="shared" si="71"/>
        <v>0</v>
      </c>
      <c r="F1484" s="7" t="e">
        <f t="array" ref="F1484">+TIPOARMA(H1484,I1484)</f>
        <v>#VALUE!</v>
      </c>
      <c r="G1484" s="7"/>
      <c r="H1484" s="7" t="e">
        <f>+VLOOKUP(Q1484,Maps!I:J,2,0)</f>
        <v>#N/A</v>
      </c>
      <c r="I1484" s="7" t="e">
        <f>+VLOOKUP(T1484,Maps!E:F,2,0)</f>
        <v>#N/A</v>
      </c>
    </row>
    <row r="1485" spans="1:9" ht="14.25" customHeight="1" x14ac:dyDescent="0.35">
      <c r="A1485" s="7" t="str">
        <f t="array" ref="A1485">EXTRACTEVENT(N1485,V1485)</f>
        <v/>
      </c>
      <c r="B1485" s="7" t="str">
        <f t="shared" si="69"/>
        <v/>
      </c>
      <c r="C1485" s="7"/>
      <c r="D1485" s="7" t="str">
        <f t="shared" si="70"/>
        <v>E</v>
      </c>
      <c r="E1485" s="10">
        <f t="shared" si="71"/>
        <v>0</v>
      </c>
      <c r="F1485" s="7" t="e">
        <f t="array" ref="F1485">+TIPOARMA(H1485,I1485)</f>
        <v>#VALUE!</v>
      </c>
      <c r="G1485" s="7"/>
      <c r="H1485" s="7" t="e">
        <f>+VLOOKUP(Q1485,Maps!I:J,2,0)</f>
        <v>#N/A</v>
      </c>
      <c r="I1485" s="7" t="e">
        <f>+VLOOKUP(T1485,Maps!E:F,2,0)</f>
        <v>#N/A</v>
      </c>
    </row>
    <row r="1486" spans="1:9" ht="14.25" customHeight="1" x14ac:dyDescent="0.35">
      <c r="A1486" s="7" t="str">
        <f t="array" ref="A1486">EXTRACTEVENT(N1486,V1486)</f>
        <v/>
      </c>
      <c r="B1486" s="7" t="str">
        <f t="shared" si="69"/>
        <v/>
      </c>
      <c r="C1486" s="7"/>
      <c r="D1486" s="7" t="str">
        <f t="shared" si="70"/>
        <v>E</v>
      </c>
      <c r="E1486" s="10">
        <f t="shared" si="71"/>
        <v>0</v>
      </c>
      <c r="F1486" s="7" t="e">
        <f t="array" ref="F1486">+TIPOARMA(H1486,I1486)</f>
        <v>#VALUE!</v>
      </c>
      <c r="G1486" s="7"/>
      <c r="H1486" s="7" t="e">
        <f>+VLOOKUP(Q1486,Maps!I:J,2,0)</f>
        <v>#N/A</v>
      </c>
      <c r="I1486" s="7" t="e">
        <f>+VLOOKUP(T1486,Maps!E:F,2,0)</f>
        <v>#N/A</v>
      </c>
    </row>
    <row r="1487" spans="1:9" ht="14.25" customHeight="1" x14ac:dyDescent="0.35">
      <c r="A1487" s="7" t="str">
        <f t="array" ref="A1487">EXTRACTEVENT(N1487,V1487)</f>
        <v/>
      </c>
      <c r="B1487" s="7" t="str">
        <f t="shared" si="69"/>
        <v/>
      </c>
      <c r="C1487" s="7"/>
      <c r="D1487" s="7" t="str">
        <f t="shared" si="70"/>
        <v>E</v>
      </c>
      <c r="E1487" s="10">
        <f t="shared" si="71"/>
        <v>0</v>
      </c>
      <c r="F1487" s="7" t="e">
        <f t="array" ref="F1487">+TIPOARMA(H1487,I1487)</f>
        <v>#VALUE!</v>
      </c>
      <c r="G1487" s="7"/>
      <c r="H1487" s="7" t="e">
        <f>+VLOOKUP(Q1487,Maps!I:J,2,0)</f>
        <v>#N/A</v>
      </c>
      <c r="I1487" s="7" t="e">
        <f>+VLOOKUP(T1487,Maps!E:F,2,0)</f>
        <v>#N/A</v>
      </c>
    </row>
    <row r="1488" spans="1:9" ht="14.25" customHeight="1" x14ac:dyDescent="0.35">
      <c r="A1488" s="7" t="str">
        <f t="array" ref="A1488">EXTRACTEVENT(N1488,V1488)</f>
        <v/>
      </c>
      <c r="B1488" s="7" t="str">
        <f t="shared" si="69"/>
        <v/>
      </c>
      <c r="C1488" s="7"/>
      <c r="D1488" s="7" t="str">
        <f t="shared" si="70"/>
        <v>E</v>
      </c>
      <c r="E1488" s="10">
        <f t="shared" si="71"/>
        <v>0</v>
      </c>
      <c r="F1488" s="7" t="e">
        <f t="array" ref="F1488">+TIPOARMA(H1488,I1488)</f>
        <v>#VALUE!</v>
      </c>
      <c r="G1488" s="7"/>
      <c r="H1488" s="7" t="e">
        <f>+VLOOKUP(Q1488,Maps!I:J,2,0)</f>
        <v>#N/A</v>
      </c>
      <c r="I1488" s="7" t="e">
        <f>+VLOOKUP(T1488,Maps!E:F,2,0)</f>
        <v>#N/A</v>
      </c>
    </row>
    <row r="1489" spans="1:9" ht="14.25" customHeight="1" x14ac:dyDescent="0.35">
      <c r="A1489" s="7" t="str">
        <f t="array" ref="A1489">EXTRACTEVENT(N1489,V1489)</f>
        <v/>
      </c>
      <c r="B1489" s="7" t="str">
        <f t="shared" si="69"/>
        <v/>
      </c>
      <c r="C1489" s="7"/>
      <c r="D1489" s="7" t="str">
        <f t="shared" si="70"/>
        <v>E</v>
      </c>
      <c r="E1489" s="10">
        <f t="shared" si="71"/>
        <v>0</v>
      </c>
      <c r="F1489" s="7" t="e">
        <f t="array" ref="F1489">+TIPOARMA(H1489,I1489)</f>
        <v>#VALUE!</v>
      </c>
      <c r="G1489" s="7"/>
      <c r="H1489" s="7" t="e">
        <f>+VLOOKUP(Q1489,Maps!I:J,2,0)</f>
        <v>#N/A</v>
      </c>
      <c r="I1489" s="7" t="e">
        <f>+VLOOKUP(T1489,Maps!E:F,2,0)</f>
        <v>#N/A</v>
      </c>
    </row>
    <row r="1490" spans="1:9" ht="14.25" customHeight="1" x14ac:dyDescent="0.35">
      <c r="A1490" s="7" t="str">
        <f t="array" ref="A1490">EXTRACTEVENT(N1490,V1490)</f>
        <v/>
      </c>
      <c r="B1490" s="7" t="str">
        <f t="shared" si="69"/>
        <v/>
      </c>
      <c r="C1490" s="7"/>
      <c r="D1490" s="7" t="str">
        <f t="shared" si="70"/>
        <v>E</v>
      </c>
      <c r="E1490" s="10">
        <f t="shared" si="71"/>
        <v>0</v>
      </c>
      <c r="F1490" s="7" t="e">
        <f t="array" ref="F1490">+TIPOARMA(H1490,I1490)</f>
        <v>#VALUE!</v>
      </c>
      <c r="G1490" s="7"/>
      <c r="H1490" s="7" t="e">
        <f>+VLOOKUP(Q1490,Maps!I:J,2,0)</f>
        <v>#N/A</v>
      </c>
      <c r="I1490" s="7" t="e">
        <f>+VLOOKUP(T1490,Maps!E:F,2,0)</f>
        <v>#N/A</v>
      </c>
    </row>
    <row r="1491" spans="1:9" ht="14.25" customHeight="1" x14ac:dyDescent="0.35">
      <c r="A1491" s="7" t="str">
        <f t="array" ref="A1491">EXTRACTEVENT(N1491,V1491)</f>
        <v/>
      </c>
      <c r="B1491" s="7" t="str">
        <f t="shared" si="69"/>
        <v/>
      </c>
      <c r="C1491" s="7"/>
      <c r="D1491" s="7" t="str">
        <f t="shared" si="70"/>
        <v>E</v>
      </c>
      <c r="E1491" s="10">
        <f t="shared" si="71"/>
        <v>0</v>
      </c>
      <c r="F1491" s="7" t="e">
        <f t="array" ref="F1491">+TIPOARMA(H1491,I1491)</f>
        <v>#VALUE!</v>
      </c>
      <c r="G1491" s="7"/>
      <c r="H1491" s="7" t="e">
        <f>+VLOOKUP(Q1491,Maps!I:J,2,0)</f>
        <v>#N/A</v>
      </c>
      <c r="I1491" s="7" t="e">
        <f>+VLOOKUP(T1491,Maps!E:F,2,0)</f>
        <v>#N/A</v>
      </c>
    </row>
    <row r="1492" spans="1:9" ht="14.25" customHeight="1" x14ac:dyDescent="0.35">
      <c r="A1492" s="7" t="str">
        <f t="array" ref="A1492">EXTRACTEVENT(N1492,V1492)</f>
        <v/>
      </c>
      <c r="B1492" s="7" t="str">
        <f t="shared" si="69"/>
        <v/>
      </c>
      <c r="C1492" s="7"/>
      <c r="D1492" s="7" t="str">
        <f t="shared" si="70"/>
        <v>E</v>
      </c>
      <c r="E1492" s="10">
        <f t="shared" si="71"/>
        <v>0</v>
      </c>
      <c r="F1492" s="7" t="e">
        <f t="array" ref="F1492">+TIPOARMA(H1492,I1492)</f>
        <v>#VALUE!</v>
      </c>
      <c r="G1492" s="7"/>
      <c r="H1492" s="7" t="e">
        <f>+VLOOKUP(Q1492,Maps!I:J,2,0)</f>
        <v>#N/A</v>
      </c>
      <c r="I1492" s="7" t="e">
        <f>+VLOOKUP(T1492,Maps!E:F,2,0)</f>
        <v>#N/A</v>
      </c>
    </row>
    <row r="1493" spans="1:9" ht="14.25" customHeight="1" x14ac:dyDescent="0.35">
      <c r="A1493" s="7" t="str">
        <f t="array" ref="A1493">EXTRACTEVENT(N1493,V1493)</f>
        <v/>
      </c>
      <c r="B1493" s="7" t="str">
        <f t="shared" si="69"/>
        <v/>
      </c>
      <c r="C1493" s="7"/>
      <c r="D1493" s="7" t="str">
        <f t="shared" si="70"/>
        <v>E</v>
      </c>
      <c r="E1493" s="10">
        <f t="shared" si="71"/>
        <v>0</v>
      </c>
      <c r="F1493" s="7" t="e">
        <f t="array" ref="F1493">+TIPOARMA(H1493,I1493)</f>
        <v>#VALUE!</v>
      </c>
      <c r="G1493" s="7"/>
      <c r="H1493" s="7" t="e">
        <f>+VLOOKUP(Q1493,Maps!I:J,2,0)</f>
        <v>#N/A</v>
      </c>
      <c r="I1493" s="7" t="e">
        <f>+VLOOKUP(T1493,Maps!E:F,2,0)</f>
        <v>#N/A</v>
      </c>
    </row>
    <row r="1494" spans="1:9" ht="14.25" customHeight="1" x14ac:dyDescent="0.35">
      <c r="A1494" s="7" t="str">
        <f t="array" ref="A1494">EXTRACTEVENT(N1494,V1494)</f>
        <v/>
      </c>
      <c r="B1494" s="7" t="str">
        <f t="shared" si="69"/>
        <v/>
      </c>
      <c r="C1494" s="7"/>
      <c r="D1494" s="7" t="str">
        <f t="shared" si="70"/>
        <v>E</v>
      </c>
      <c r="E1494" s="10">
        <f t="shared" si="71"/>
        <v>0</v>
      </c>
      <c r="F1494" s="7" t="e">
        <f t="array" ref="F1494">+TIPOARMA(H1494,I1494)</f>
        <v>#VALUE!</v>
      </c>
      <c r="G1494" s="7"/>
      <c r="H1494" s="7" t="e">
        <f>+VLOOKUP(Q1494,Maps!I:J,2,0)</f>
        <v>#N/A</v>
      </c>
      <c r="I1494" s="7" t="e">
        <f>+VLOOKUP(T1494,Maps!E:F,2,0)</f>
        <v>#N/A</v>
      </c>
    </row>
    <row r="1495" spans="1:9" ht="14.25" customHeight="1" x14ac:dyDescent="0.35">
      <c r="A1495" s="7" t="str">
        <f t="array" ref="A1495">EXTRACTEVENT(N1495,V1495)</f>
        <v/>
      </c>
      <c r="B1495" s="7" t="str">
        <f t="shared" si="69"/>
        <v/>
      </c>
      <c r="C1495" s="7"/>
      <c r="D1495" s="7" t="str">
        <f t="shared" si="70"/>
        <v>E</v>
      </c>
      <c r="E1495" s="10">
        <f t="shared" si="71"/>
        <v>0</v>
      </c>
      <c r="F1495" s="7" t="e">
        <f t="array" ref="F1495">+TIPOARMA(H1495,I1495)</f>
        <v>#VALUE!</v>
      </c>
      <c r="G1495" s="7"/>
      <c r="H1495" s="7" t="e">
        <f>+VLOOKUP(Q1495,Maps!I:J,2,0)</f>
        <v>#N/A</v>
      </c>
      <c r="I1495" s="7" t="e">
        <f>+VLOOKUP(T1495,Maps!E:F,2,0)</f>
        <v>#N/A</v>
      </c>
    </row>
    <row r="1496" spans="1:9" ht="14.25" customHeight="1" x14ac:dyDescent="0.35">
      <c r="A1496" s="7" t="str">
        <f t="array" ref="A1496">EXTRACTEVENT(N1496,V1496)</f>
        <v/>
      </c>
      <c r="B1496" s="7" t="str">
        <f t="shared" si="69"/>
        <v/>
      </c>
      <c r="C1496" s="7"/>
      <c r="D1496" s="7" t="str">
        <f t="shared" si="70"/>
        <v>E</v>
      </c>
      <c r="E1496" s="10">
        <f t="shared" si="71"/>
        <v>0</v>
      </c>
      <c r="F1496" s="7" t="e">
        <f t="array" ref="F1496">+TIPOARMA(H1496,I1496)</f>
        <v>#VALUE!</v>
      </c>
      <c r="G1496" s="7"/>
      <c r="H1496" s="7" t="e">
        <f>+VLOOKUP(Q1496,Maps!I:J,2,0)</f>
        <v>#N/A</v>
      </c>
      <c r="I1496" s="7" t="e">
        <f>+VLOOKUP(T1496,Maps!E:F,2,0)</f>
        <v>#N/A</v>
      </c>
    </row>
    <row r="1497" spans="1:9" ht="14.25" customHeight="1" x14ac:dyDescent="0.35">
      <c r="A1497" s="7" t="str">
        <f t="array" ref="A1497">EXTRACTEVENT(N1497,V1497)</f>
        <v/>
      </c>
      <c r="B1497" s="7" t="str">
        <f t="shared" si="69"/>
        <v/>
      </c>
      <c r="C1497" s="7"/>
      <c r="D1497" s="7" t="str">
        <f t="shared" si="70"/>
        <v>E</v>
      </c>
      <c r="E1497" s="10">
        <f t="shared" si="71"/>
        <v>0</v>
      </c>
      <c r="F1497" s="7" t="e">
        <f t="array" ref="F1497">+TIPOARMA(H1497,I1497)</f>
        <v>#VALUE!</v>
      </c>
      <c r="G1497" s="7"/>
      <c r="H1497" s="7" t="e">
        <f>+VLOOKUP(Q1497,Maps!I:J,2,0)</f>
        <v>#N/A</v>
      </c>
      <c r="I1497" s="7" t="e">
        <f>+VLOOKUP(T1497,Maps!E:F,2,0)</f>
        <v>#N/A</v>
      </c>
    </row>
    <row r="1498" spans="1:9" ht="14.25" customHeight="1" x14ac:dyDescent="0.35">
      <c r="A1498" s="7" t="str">
        <f t="array" ref="A1498">EXTRACTEVENT(N1498,V1498)</f>
        <v/>
      </c>
      <c r="B1498" s="7" t="str">
        <f t="shared" si="69"/>
        <v/>
      </c>
      <c r="C1498" s="7"/>
      <c r="D1498" s="7" t="str">
        <f t="shared" si="70"/>
        <v>E</v>
      </c>
      <c r="E1498" s="10">
        <f t="shared" si="71"/>
        <v>0</v>
      </c>
      <c r="F1498" s="7" t="e">
        <f t="array" ref="F1498">+TIPOARMA(H1498,I1498)</f>
        <v>#VALUE!</v>
      </c>
      <c r="G1498" s="7"/>
      <c r="H1498" s="7" t="e">
        <f>+VLOOKUP(Q1498,Maps!I:J,2,0)</f>
        <v>#N/A</v>
      </c>
      <c r="I1498" s="7" t="e">
        <f>+VLOOKUP(T1498,Maps!E:F,2,0)</f>
        <v>#N/A</v>
      </c>
    </row>
    <row r="1499" spans="1:9" ht="14.25" customHeight="1" x14ac:dyDescent="0.35">
      <c r="A1499" s="7" t="str">
        <f t="array" ref="A1499">EXTRACTEVENT(N1499,V1499)</f>
        <v/>
      </c>
      <c r="B1499" s="7" t="str">
        <f t="shared" si="69"/>
        <v/>
      </c>
      <c r="C1499" s="7"/>
      <c r="D1499" s="7" t="str">
        <f t="shared" si="70"/>
        <v>E</v>
      </c>
      <c r="E1499" s="10">
        <f t="shared" si="71"/>
        <v>0</v>
      </c>
      <c r="F1499" s="7" t="e">
        <f t="array" ref="F1499">+TIPOARMA(H1499,I1499)</f>
        <v>#VALUE!</v>
      </c>
      <c r="G1499" s="7"/>
      <c r="H1499" s="7" t="e">
        <f>+VLOOKUP(Q1499,Maps!I:J,2,0)</f>
        <v>#N/A</v>
      </c>
      <c r="I1499" s="7" t="e">
        <f>+VLOOKUP(T1499,Maps!E:F,2,0)</f>
        <v>#N/A</v>
      </c>
    </row>
    <row r="1500" spans="1:9" ht="14.25" customHeight="1" x14ac:dyDescent="0.35">
      <c r="A1500" s="7" t="str">
        <f t="array" ref="A1500">EXTRACTEVENT(N1500,V1500)</f>
        <v/>
      </c>
      <c r="B1500" s="7" t="str">
        <f t="shared" si="69"/>
        <v/>
      </c>
      <c r="C1500" s="7"/>
      <c r="D1500" s="7" t="str">
        <f t="shared" si="70"/>
        <v>E</v>
      </c>
      <c r="E1500" s="10">
        <f t="shared" si="71"/>
        <v>0</v>
      </c>
      <c r="F1500" s="7" t="e">
        <f t="array" ref="F1500">+TIPOARMA(H1500,I1500)</f>
        <v>#VALUE!</v>
      </c>
      <c r="G1500" s="7"/>
      <c r="H1500" s="7" t="e">
        <f>+VLOOKUP(Q1500,Maps!I:J,2,0)</f>
        <v>#N/A</v>
      </c>
      <c r="I1500" s="7" t="e">
        <f>+VLOOKUP(T1500,Maps!E:F,2,0)</f>
        <v>#N/A</v>
      </c>
    </row>
  </sheetData>
  <autoFilter ref="A1:V1500" xr:uid="{00000000-0009-0000-0000-000006000000}"/>
  <pageMargins left="0.7" right="0.7" top="0.75" bottom="0.75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topLeftCell="B1" zoomScaleNormal="100" workbookViewId="0">
      <selection activeCell="I18" sqref="I18"/>
    </sheetView>
  </sheetViews>
  <sheetFormatPr defaultColWidth="14.453125" defaultRowHeight="14.5" x14ac:dyDescent="0.35"/>
  <cols>
    <col min="1" max="1" width="44.453125" customWidth="1"/>
    <col min="2" max="2" width="11" customWidth="1"/>
    <col min="3" max="3" width="9.08984375" customWidth="1"/>
    <col min="4" max="4" width="8.7265625" customWidth="1"/>
    <col min="5" max="5" width="19.26953125" customWidth="1"/>
    <col min="6" max="6" width="11" customWidth="1"/>
    <col min="7" max="8" width="8.7265625" customWidth="1"/>
    <col min="9" max="10" width="17.7265625" customWidth="1"/>
    <col min="11" max="11" width="8.7265625" customWidth="1"/>
    <col min="12" max="12" width="23.26953125" customWidth="1"/>
    <col min="13" max="16" width="8.7265625" customWidth="1"/>
    <col min="17" max="17" width="13.81640625" customWidth="1"/>
    <col min="18" max="18" width="13.6328125" customWidth="1"/>
    <col min="19" max="24" width="8.7265625" customWidth="1"/>
  </cols>
  <sheetData>
    <row r="1" spans="1:19" ht="14.25" customHeight="1" x14ac:dyDescent="0.35">
      <c r="A1" s="47" t="s">
        <v>96</v>
      </c>
      <c r="B1" s="47" t="s">
        <v>570</v>
      </c>
      <c r="C1" s="37" t="s">
        <v>1</v>
      </c>
      <c r="E1" s="37" t="s">
        <v>571</v>
      </c>
      <c r="F1" s="47" t="s">
        <v>12</v>
      </c>
      <c r="I1" s="47" t="s">
        <v>572</v>
      </c>
      <c r="J1" s="47" t="s">
        <v>573</v>
      </c>
      <c r="L1" t="s">
        <v>574</v>
      </c>
      <c r="M1" t="s">
        <v>575</v>
      </c>
      <c r="P1" t="s">
        <v>576</v>
      </c>
      <c r="Q1" t="s">
        <v>577</v>
      </c>
      <c r="R1" s="64" t="s">
        <v>578</v>
      </c>
      <c r="S1" s="64"/>
    </row>
    <row r="2" spans="1:19" ht="14.25" customHeight="1" x14ac:dyDescent="0.35">
      <c r="A2" t="s">
        <v>457</v>
      </c>
      <c r="B2" s="48" t="s">
        <v>78</v>
      </c>
      <c r="C2" s="7" t="s">
        <v>115</v>
      </c>
      <c r="E2" s="7">
        <v>0.38</v>
      </c>
      <c r="F2" s="49" t="s">
        <v>579</v>
      </c>
      <c r="I2" s="48" t="s">
        <v>580</v>
      </c>
      <c r="J2" s="48" t="s">
        <v>15</v>
      </c>
      <c r="L2" t="str">
        <f t="shared" ref="L2:L29" si="0">+R2&amp;"|"&amp;S2</f>
        <v>Carabina/Fuzil|5.56MM</v>
      </c>
      <c r="M2" t="s">
        <v>74</v>
      </c>
      <c r="P2" s="50" t="s">
        <v>402</v>
      </c>
      <c r="Q2" s="50" t="s">
        <v>15</v>
      </c>
      <c r="R2" s="51" t="s">
        <v>15</v>
      </c>
      <c r="S2" s="51" t="s">
        <v>560</v>
      </c>
    </row>
    <row r="3" spans="1:19" ht="14.25" customHeight="1" x14ac:dyDescent="0.35">
      <c r="A3" t="s">
        <v>397</v>
      </c>
      <c r="B3" s="48" t="s">
        <v>79</v>
      </c>
      <c r="C3" s="7" t="s">
        <v>115</v>
      </c>
      <c r="E3" s="7">
        <v>0.55600000000000005</v>
      </c>
      <c r="F3" s="7" t="s">
        <v>560</v>
      </c>
      <c r="I3" s="48" t="s">
        <v>28</v>
      </c>
      <c r="J3" s="48" t="s">
        <v>28</v>
      </c>
      <c r="L3" t="str">
        <f t="shared" si="0"/>
        <v>Carabina/Fuzil|.357 Mag</v>
      </c>
      <c r="M3" t="s">
        <v>73</v>
      </c>
      <c r="P3" s="50" t="s">
        <v>560</v>
      </c>
      <c r="Q3" s="50" t="s">
        <v>28</v>
      </c>
      <c r="R3" s="51" t="s">
        <v>15</v>
      </c>
      <c r="S3" s="51" t="s">
        <v>581</v>
      </c>
    </row>
    <row r="4" spans="1:19" ht="14.25" customHeight="1" x14ac:dyDescent="0.35">
      <c r="A4" t="s">
        <v>540</v>
      </c>
      <c r="B4" s="48" t="s">
        <v>81</v>
      </c>
      <c r="C4" s="7" t="s">
        <v>128</v>
      </c>
      <c r="E4" s="7" t="s">
        <v>543</v>
      </c>
      <c r="F4" s="7" t="s">
        <v>581</v>
      </c>
      <c r="I4" s="48" t="s">
        <v>51</v>
      </c>
      <c r="J4" s="48" t="s">
        <v>51</v>
      </c>
      <c r="L4" t="str">
        <f t="shared" si="0"/>
        <v>Carabina/Fuzil|9mm</v>
      </c>
      <c r="M4" t="s">
        <v>71</v>
      </c>
      <c r="P4" s="50" t="s">
        <v>581</v>
      </c>
      <c r="Q4" s="50" t="s">
        <v>51</v>
      </c>
      <c r="R4" s="51" t="s">
        <v>15</v>
      </c>
      <c r="S4" s="59" t="s">
        <v>29</v>
      </c>
    </row>
    <row r="5" spans="1:19" ht="14.25" customHeight="1" x14ac:dyDescent="0.35">
      <c r="A5" t="s">
        <v>346</v>
      </c>
      <c r="B5" s="48" t="s">
        <v>77</v>
      </c>
      <c r="C5" s="7" t="s">
        <v>106</v>
      </c>
      <c r="E5" s="7" t="s">
        <v>359</v>
      </c>
      <c r="F5" s="7" t="s">
        <v>402</v>
      </c>
      <c r="I5" t="s">
        <v>352</v>
      </c>
      <c r="J5" s="48" t="s">
        <v>15</v>
      </c>
      <c r="L5" t="str">
        <f t="shared" si="0"/>
        <v>Pistola|.38 SPL</v>
      </c>
      <c r="M5" t="s">
        <v>72</v>
      </c>
      <c r="P5" s="50" t="s">
        <v>582</v>
      </c>
      <c r="Q5" s="50" t="s">
        <v>452</v>
      </c>
      <c r="R5" s="51" t="s">
        <v>28</v>
      </c>
      <c r="S5" s="51" t="s">
        <v>402</v>
      </c>
    </row>
    <row r="6" spans="1:19" ht="14.25" customHeight="1" x14ac:dyDescent="0.35">
      <c r="A6" t="s">
        <v>551</v>
      </c>
      <c r="B6" s="48" t="s">
        <v>83</v>
      </c>
      <c r="C6" s="7" t="s">
        <v>115</v>
      </c>
      <c r="E6" s="7" t="s">
        <v>402</v>
      </c>
      <c r="F6" s="7" t="s">
        <v>402</v>
      </c>
      <c r="I6" t="s">
        <v>404</v>
      </c>
      <c r="J6" s="48" t="s">
        <v>15</v>
      </c>
      <c r="L6" t="str">
        <f t="shared" si="0"/>
        <v>Pistola|.38 Super</v>
      </c>
      <c r="M6" t="s">
        <v>71</v>
      </c>
      <c r="P6" s="50" t="s">
        <v>579</v>
      </c>
      <c r="Q6" s="50"/>
      <c r="R6" s="51" t="s">
        <v>28</v>
      </c>
      <c r="S6" s="51" t="s">
        <v>582</v>
      </c>
    </row>
    <row r="7" spans="1:19" ht="14.25" customHeight="1" x14ac:dyDescent="0.35">
      <c r="A7" t="s">
        <v>156</v>
      </c>
      <c r="B7" t="s">
        <v>76</v>
      </c>
      <c r="C7" s="7" t="s">
        <v>106</v>
      </c>
      <c r="E7" s="7" t="s">
        <v>399</v>
      </c>
      <c r="F7" s="7" t="s">
        <v>582</v>
      </c>
      <c r="I7" s="52" t="s">
        <v>452</v>
      </c>
      <c r="J7" s="48" t="s">
        <v>452</v>
      </c>
      <c r="L7" t="str">
        <f t="shared" si="0"/>
        <v>Pistola|.380 ACP</v>
      </c>
      <c r="M7" t="s">
        <v>72</v>
      </c>
      <c r="P7" s="50" t="s">
        <v>356</v>
      </c>
      <c r="Q7" s="50"/>
      <c r="R7" s="51" t="s">
        <v>28</v>
      </c>
      <c r="S7" s="51" t="s">
        <v>579</v>
      </c>
    </row>
    <row r="8" spans="1:19" ht="14.25" customHeight="1" x14ac:dyDescent="0.35">
      <c r="A8" t="s">
        <v>170</v>
      </c>
      <c r="B8" t="s">
        <v>76</v>
      </c>
      <c r="C8" s="7" t="s">
        <v>106</v>
      </c>
      <c r="E8" s="7" t="s">
        <v>541</v>
      </c>
      <c r="F8" s="7" t="s">
        <v>579</v>
      </c>
      <c r="J8" s="48"/>
      <c r="L8" t="str">
        <f t="shared" si="0"/>
        <v>Pistola|.45 ACP</v>
      </c>
      <c r="M8" t="s">
        <v>72</v>
      </c>
      <c r="P8" s="50" t="s">
        <v>29</v>
      </c>
      <c r="Q8" s="50"/>
      <c r="R8" s="51" t="s">
        <v>28</v>
      </c>
      <c r="S8" s="51" t="s">
        <v>356</v>
      </c>
    </row>
    <row r="9" spans="1:19" ht="14.25" customHeight="1" x14ac:dyDescent="0.35">
      <c r="A9" t="s">
        <v>77</v>
      </c>
      <c r="B9" t="s">
        <v>76</v>
      </c>
      <c r="C9" s="7" t="s">
        <v>106</v>
      </c>
      <c r="E9" s="7" t="s">
        <v>356</v>
      </c>
      <c r="F9" s="7" t="s">
        <v>356</v>
      </c>
      <c r="L9" t="str">
        <f t="shared" si="0"/>
        <v>Pistola|9mm</v>
      </c>
      <c r="M9" t="s">
        <v>71</v>
      </c>
      <c r="P9" s="50" t="s">
        <v>583</v>
      </c>
      <c r="Q9" s="50"/>
      <c r="R9" s="51" t="s">
        <v>28</v>
      </c>
      <c r="S9" s="51" t="s">
        <v>29</v>
      </c>
    </row>
    <row r="10" spans="1:19" ht="14.25" customHeight="1" x14ac:dyDescent="0.35">
      <c r="A10" t="s">
        <v>309</v>
      </c>
      <c r="B10" t="s">
        <v>82</v>
      </c>
      <c r="C10" s="7" t="s">
        <v>115</v>
      </c>
      <c r="E10" s="7" t="s">
        <v>364</v>
      </c>
      <c r="F10" s="7" t="s">
        <v>581</v>
      </c>
      <c r="L10" t="str">
        <f t="shared" si="0"/>
        <v>Revólver|.38 SPL</v>
      </c>
      <c r="M10" t="s">
        <v>72</v>
      </c>
      <c r="P10" s="50"/>
      <c r="Q10" s="50"/>
      <c r="R10" s="51" t="s">
        <v>51</v>
      </c>
      <c r="S10" s="51" t="s">
        <v>402</v>
      </c>
    </row>
    <row r="11" spans="1:19" ht="14.25" customHeight="1" x14ac:dyDescent="0.35">
      <c r="C11" s="7"/>
      <c r="E11" s="7" t="s">
        <v>562</v>
      </c>
      <c r="F11" s="7" t="s">
        <v>581</v>
      </c>
      <c r="L11" t="str">
        <f t="shared" si="0"/>
        <v>Revólver|.357 Mag</v>
      </c>
      <c r="M11" t="s">
        <v>75</v>
      </c>
      <c r="P11" s="50"/>
      <c r="Q11" s="50"/>
      <c r="R11" s="51" t="s">
        <v>51</v>
      </c>
      <c r="S11" s="51" t="s">
        <v>581</v>
      </c>
    </row>
    <row r="12" spans="1:19" ht="14.25" customHeight="1" x14ac:dyDescent="0.35">
      <c r="C12" s="7"/>
      <c r="E12" s="7" t="s">
        <v>20</v>
      </c>
      <c r="F12" s="7" t="s">
        <v>581</v>
      </c>
      <c r="L12" t="str">
        <f t="shared" si="0"/>
        <v>Espingarda|Cal 12</v>
      </c>
      <c r="P12" s="50"/>
      <c r="Q12" s="50"/>
      <c r="R12" s="51" t="s">
        <v>452</v>
      </c>
      <c r="S12" s="51" t="s">
        <v>583</v>
      </c>
    </row>
    <row r="13" spans="1:19" ht="14.25" customHeight="1" x14ac:dyDescent="0.35">
      <c r="C13" s="7"/>
      <c r="E13" s="7" t="s">
        <v>55</v>
      </c>
      <c r="F13" s="7" t="s">
        <v>402</v>
      </c>
      <c r="L13" t="str">
        <f t="shared" si="0"/>
        <v>|</v>
      </c>
      <c r="P13" s="50"/>
      <c r="Q13" s="50"/>
      <c r="R13" s="51"/>
      <c r="S13" s="51"/>
    </row>
    <row r="14" spans="1:19" ht="14.25" customHeight="1" x14ac:dyDescent="0.35">
      <c r="C14" s="7"/>
      <c r="E14" s="7" t="s">
        <v>360</v>
      </c>
      <c r="F14" s="7" t="s">
        <v>579</v>
      </c>
      <c r="L14" t="str">
        <f t="shared" si="0"/>
        <v>|</v>
      </c>
      <c r="P14" s="50"/>
      <c r="Q14" s="50"/>
      <c r="R14" s="51"/>
      <c r="S14" s="51"/>
    </row>
    <row r="15" spans="1:19" ht="14.25" customHeight="1" x14ac:dyDescent="0.35">
      <c r="C15" s="7"/>
      <c r="E15" s="7" t="s">
        <v>552</v>
      </c>
      <c r="F15" s="7" t="s">
        <v>579</v>
      </c>
      <c r="L15" t="str">
        <f t="shared" si="0"/>
        <v>|</v>
      </c>
      <c r="P15" s="50"/>
      <c r="Q15" s="50"/>
      <c r="R15" s="51"/>
      <c r="S15" s="51"/>
    </row>
    <row r="16" spans="1:19" ht="14.25" customHeight="1" x14ac:dyDescent="0.35">
      <c r="C16" s="7"/>
      <c r="E16" s="7" t="s">
        <v>36</v>
      </c>
      <c r="F16" s="7" t="s">
        <v>356</v>
      </c>
      <c r="L16" t="str">
        <f t="shared" si="0"/>
        <v>|</v>
      </c>
      <c r="P16" s="50"/>
      <c r="Q16" s="50"/>
      <c r="R16" s="51"/>
      <c r="S16" s="51"/>
    </row>
    <row r="17" spans="3:19" ht="14.25" customHeight="1" x14ac:dyDescent="0.35">
      <c r="C17" s="7"/>
      <c r="E17" s="7" t="s">
        <v>560</v>
      </c>
      <c r="F17" s="7" t="s">
        <v>560</v>
      </c>
      <c r="L17" t="str">
        <f t="shared" si="0"/>
        <v>|</v>
      </c>
      <c r="P17" s="50"/>
      <c r="Q17" s="50"/>
      <c r="R17" s="51"/>
      <c r="S17" s="51"/>
    </row>
    <row r="18" spans="3:19" ht="14.25" customHeight="1" x14ac:dyDescent="0.35">
      <c r="C18" s="7"/>
      <c r="E18" s="7" t="s">
        <v>542</v>
      </c>
      <c r="F18" s="7" t="s">
        <v>560</v>
      </c>
      <c r="L18" t="str">
        <f t="shared" si="0"/>
        <v>|</v>
      </c>
      <c r="P18" s="50"/>
      <c r="Q18" s="50"/>
      <c r="R18" s="51"/>
      <c r="S18" s="51"/>
    </row>
    <row r="19" spans="3:19" ht="14.25" customHeight="1" x14ac:dyDescent="0.35">
      <c r="C19" s="7"/>
      <c r="E19" s="7" t="s">
        <v>564</v>
      </c>
      <c r="F19" s="7" t="s">
        <v>560</v>
      </c>
      <c r="L19" t="str">
        <f t="shared" si="0"/>
        <v>|</v>
      </c>
      <c r="P19" s="50"/>
      <c r="Q19" s="50"/>
      <c r="R19" s="51"/>
      <c r="S19" s="51"/>
    </row>
    <row r="20" spans="3:19" ht="14.25" customHeight="1" x14ac:dyDescent="0.35">
      <c r="C20" s="7"/>
      <c r="E20" s="7" t="s">
        <v>29</v>
      </c>
      <c r="F20" s="7" t="s">
        <v>29</v>
      </c>
      <c r="L20" t="str">
        <f t="shared" si="0"/>
        <v>|</v>
      </c>
      <c r="P20" s="50"/>
      <c r="Q20" s="50"/>
      <c r="R20" s="51"/>
      <c r="S20" s="51"/>
    </row>
    <row r="21" spans="3:19" ht="14.25" customHeight="1" x14ac:dyDescent="0.35">
      <c r="C21" s="7"/>
      <c r="E21" s="7" t="s">
        <v>544</v>
      </c>
      <c r="F21" s="7" t="s">
        <v>29</v>
      </c>
      <c r="L21" t="str">
        <f t="shared" si="0"/>
        <v>|</v>
      </c>
      <c r="P21" s="50"/>
      <c r="Q21" s="50"/>
      <c r="R21" s="51"/>
      <c r="S21" s="51"/>
    </row>
    <row r="22" spans="3:19" ht="14.25" customHeight="1" x14ac:dyDescent="0.35">
      <c r="C22" s="7"/>
      <c r="E22" s="7" t="s">
        <v>554</v>
      </c>
      <c r="F22" s="7" t="s">
        <v>29</v>
      </c>
      <c r="L22" t="str">
        <f t="shared" si="0"/>
        <v>|</v>
      </c>
      <c r="P22" s="50"/>
      <c r="Q22" s="50"/>
      <c r="R22" s="51"/>
      <c r="S22" s="51"/>
    </row>
    <row r="23" spans="3:19" ht="14.25" customHeight="1" x14ac:dyDescent="0.35">
      <c r="C23" s="7"/>
      <c r="E23" s="7" t="s">
        <v>581</v>
      </c>
      <c r="F23" s="7" t="s">
        <v>581</v>
      </c>
      <c r="L23" t="str">
        <f t="shared" si="0"/>
        <v>|</v>
      </c>
      <c r="P23" s="50"/>
      <c r="Q23" s="50"/>
    </row>
    <row r="24" spans="3:19" ht="14.25" customHeight="1" x14ac:dyDescent="0.35">
      <c r="C24" s="7"/>
      <c r="E24" s="7" t="s">
        <v>584</v>
      </c>
      <c r="F24" s="7" t="s">
        <v>582</v>
      </c>
      <c r="L24" t="str">
        <f t="shared" si="0"/>
        <v>|</v>
      </c>
      <c r="P24" s="50"/>
      <c r="Q24" s="50"/>
    </row>
    <row r="25" spans="3:19" ht="14.25" customHeight="1" x14ac:dyDescent="0.35">
      <c r="C25" s="7"/>
      <c r="E25" s="7" t="s">
        <v>579</v>
      </c>
      <c r="F25" s="7" t="s">
        <v>579</v>
      </c>
      <c r="L25" t="str">
        <f t="shared" si="0"/>
        <v>|</v>
      </c>
      <c r="P25" s="50"/>
      <c r="Q25" s="50"/>
    </row>
    <row r="26" spans="3:19" ht="14.25" customHeight="1" x14ac:dyDescent="0.35">
      <c r="C26" s="7"/>
      <c r="E26" s="7" t="s">
        <v>585</v>
      </c>
      <c r="F26" s="7" t="s">
        <v>560</v>
      </c>
      <c r="L26" t="str">
        <f t="shared" si="0"/>
        <v>|</v>
      </c>
      <c r="P26" s="50"/>
      <c r="Q26" s="50"/>
    </row>
    <row r="27" spans="3:19" ht="14.25" customHeight="1" x14ac:dyDescent="0.35">
      <c r="C27" s="7"/>
      <c r="E27" s="1" t="s">
        <v>545</v>
      </c>
      <c r="F27" s="1" t="s">
        <v>583</v>
      </c>
      <c r="L27" t="str">
        <f t="shared" si="0"/>
        <v>|</v>
      </c>
      <c r="P27" s="50"/>
      <c r="Q27" s="50"/>
    </row>
    <row r="28" spans="3:19" ht="14.25" customHeight="1" x14ac:dyDescent="0.35">
      <c r="C28" s="7"/>
      <c r="E28" s="7" t="s">
        <v>454</v>
      </c>
      <c r="F28" s="7" t="s">
        <v>583</v>
      </c>
      <c r="L28" t="str">
        <f t="shared" si="0"/>
        <v>|</v>
      </c>
      <c r="P28" s="50"/>
      <c r="Q28" s="50"/>
    </row>
    <row r="29" spans="3:19" ht="14.25" customHeight="1" x14ac:dyDescent="0.35">
      <c r="C29" s="7"/>
      <c r="E29" s="7" t="s">
        <v>582</v>
      </c>
      <c r="F29" s="7" t="s">
        <v>582</v>
      </c>
      <c r="L29" t="str">
        <f t="shared" si="0"/>
        <v>|</v>
      </c>
      <c r="P29" s="50"/>
      <c r="Q29" s="50"/>
    </row>
    <row r="30" spans="3:19" ht="14.25" customHeight="1" x14ac:dyDescent="0.35">
      <c r="C30" s="7"/>
      <c r="F30" s="7"/>
      <c r="P30" s="50"/>
      <c r="Q30" s="50"/>
    </row>
    <row r="31" spans="3:19" ht="14.25" customHeight="1" x14ac:dyDescent="0.35">
      <c r="C31" s="7"/>
      <c r="F31" s="7"/>
      <c r="P31" s="50"/>
      <c r="Q31" s="50"/>
    </row>
    <row r="32" spans="3:19" ht="14.25" customHeight="1" x14ac:dyDescent="0.35">
      <c r="C32" s="7"/>
      <c r="F32" s="7"/>
      <c r="P32" s="50"/>
      <c r="Q32" s="50"/>
    </row>
    <row r="33" spans="3:17" ht="14.25" customHeight="1" x14ac:dyDescent="0.35">
      <c r="C33" s="7"/>
      <c r="F33" s="7"/>
      <c r="P33" s="50"/>
      <c r="Q33" s="50"/>
    </row>
    <row r="34" spans="3:17" ht="14.25" customHeight="1" x14ac:dyDescent="0.35">
      <c r="C34" s="7"/>
      <c r="F34" s="7"/>
      <c r="P34" s="50"/>
      <c r="Q34" s="50"/>
    </row>
    <row r="35" spans="3:17" ht="14.25" customHeight="1" x14ac:dyDescent="0.35">
      <c r="C35" s="7"/>
      <c r="F35" s="7"/>
    </row>
    <row r="36" spans="3:17" ht="14.25" customHeight="1" x14ac:dyDescent="0.35">
      <c r="C36" s="7"/>
      <c r="F36" s="7"/>
    </row>
    <row r="37" spans="3:17" ht="14.25" customHeight="1" x14ac:dyDescent="0.35">
      <c r="C37" s="7"/>
      <c r="F37" s="7"/>
    </row>
    <row r="38" spans="3:17" ht="14.25" customHeight="1" x14ac:dyDescent="0.35">
      <c r="C38" s="7"/>
      <c r="F38" s="7"/>
    </row>
    <row r="39" spans="3:17" ht="14.25" customHeight="1" x14ac:dyDescent="0.35">
      <c r="C39" s="7"/>
      <c r="F39" s="7"/>
    </row>
    <row r="40" spans="3:17" ht="14.25" customHeight="1" x14ac:dyDescent="0.35">
      <c r="C40" s="7"/>
      <c r="F40" s="7"/>
    </row>
    <row r="41" spans="3:17" ht="14.25" customHeight="1" x14ac:dyDescent="0.35">
      <c r="C41" s="7"/>
      <c r="F41" s="7"/>
    </row>
    <row r="42" spans="3:17" ht="14.25" customHeight="1" x14ac:dyDescent="0.35">
      <c r="C42" s="7"/>
      <c r="F42" s="7"/>
    </row>
    <row r="43" spans="3:17" ht="14.25" customHeight="1" x14ac:dyDescent="0.35">
      <c r="C43" s="7"/>
      <c r="F43" s="7"/>
    </row>
    <row r="44" spans="3:17" ht="14.25" customHeight="1" x14ac:dyDescent="0.35">
      <c r="C44" s="7"/>
      <c r="F44" s="7"/>
    </row>
    <row r="45" spans="3:17" ht="14.25" customHeight="1" x14ac:dyDescent="0.35">
      <c r="C45" s="7"/>
      <c r="F45" s="7"/>
    </row>
    <row r="46" spans="3:17" ht="14.25" customHeight="1" x14ac:dyDescent="0.35">
      <c r="C46" s="7"/>
      <c r="F46" s="7"/>
    </row>
    <row r="47" spans="3:17" ht="14.25" customHeight="1" x14ac:dyDescent="0.35">
      <c r="C47" s="7"/>
      <c r="F47" s="7"/>
    </row>
    <row r="48" spans="3:17" ht="14.25" customHeight="1" x14ac:dyDescent="0.35">
      <c r="C48" s="7"/>
      <c r="F48" s="7"/>
    </row>
    <row r="49" spans="3:6" ht="14.25" customHeight="1" x14ac:dyDescent="0.35">
      <c r="C49" s="7"/>
      <c r="F49" s="7"/>
    </row>
    <row r="50" spans="3:6" ht="14.25" customHeight="1" x14ac:dyDescent="0.35">
      <c r="C50" s="7"/>
      <c r="F50" s="7"/>
    </row>
    <row r="51" spans="3:6" ht="14.25" customHeight="1" x14ac:dyDescent="0.35">
      <c r="C51" s="7"/>
      <c r="F51" s="7"/>
    </row>
    <row r="52" spans="3:6" ht="14.25" customHeight="1" x14ac:dyDescent="0.35">
      <c r="C52" s="7"/>
      <c r="F52" s="7"/>
    </row>
    <row r="53" spans="3:6" ht="14.25" customHeight="1" x14ac:dyDescent="0.35">
      <c r="C53" s="7"/>
      <c r="F53" s="7"/>
    </row>
    <row r="54" spans="3:6" ht="14.25" customHeight="1" x14ac:dyDescent="0.35">
      <c r="C54" s="7"/>
      <c r="F54" s="7"/>
    </row>
    <row r="55" spans="3:6" ht="14.25" customHeight="1" x14ac:dyDescent="0.35">
      <c r="C55" s="7"/>
      <c r="F55" s="7"/>
    </row>
    <row r="56" spans="3:6" ht="14.25" customHeight="1" x14ac:dyDescent="0.35">
      <c r="C56" s="7"/>
      <c r="F56" s="7"/>
    </row>
    <row r="57" spans="3:6" ht="14.25" customHeight="1" x14ac:dyDescent="0.35">
      <c r="C57" s="7"/>
      <c r="F57" s="7"/>
    </row>
    <row r="58" spans="3:6" ht="14.25" customHeight="1" x14ac:dyDescent="0.35">
      <c r="C58" s="7"/>
      <c r="F58" s="7"/>
    </row>
    <row r="59" spans="3:6" ht="14.25" customHeight="1" x14ac:dyDescent="0.35">
      <c r="C59" s="7"/>
      <c r="F59" s="7"/>
    </row>
    <row r="60" spans="3:6" ht="14.25" customHeight="1" x14ac:dyDescent="0.35">
      <c r="C60" s="7"/>
      <c r="F60" s="7"/>
    </row>
    <row r="61" spans="3:6" ht="14.25" customHeight="1" x14ac:dyDescent="0.35">
      <c r="C61" s="7"/>
      <c r="F61" s="7"/>
    </row>
    <row r="62" spans="3:6" ht="14.25" customHeight="1" x14ac:dyDescent="0.35">
      <c r="C62" s="7"/>
      <c r="F62" s="7"/>
    </row>
    <row r="63" spans="3:6" ht="14.25" customHeight="1" x14ac:dyDescent="0.35">
      <c r="C63" s="7"/>
      <c r="F63" s="7"/>
    </row>
    <row r="64" spans="3:6" ht="14.25" customHeight="1" x14ac:dyDescent="0.35">
      <c r="C64" s="7"/>
      <c r="F64" s="7"/>
    </row>
    <row r="65" spans="3:6" ht="14.25" customHeight="1" x14ac:dyDescent="0.35">
      <c r="C65" s="7"/>
      <c r="F65" s="7"/>
    </row>
    <row r="66" spans="3:6" ht="14.25" customHeight="1" x14ac:dyDescent="0.35">
      <c r="C66" s="7"/>
      <c r="F66" s="7"/>
    </row>
    <row r="67" spans="3:6" ht="14.25" customHeight="1" x14ac:dyDescent="0.35">
      <c r="C67" s="7"/>
      <c r="F67" s="7"/>
    </row>
    <row r="68" spans="3:6" ht="14.25" customHeight="1" x14ac:dyDescent="0.35">
      <c r="C68" s="7"/>
      <c r="F68" s="7"/>
    </row>
    <row r="69" spans="3:6" ht="14.25" customHeight="1" x14ac:dyDescent="0.35">
      <c r="C69" s="7"/>
      <c r="F69" s="7"/>
    </row>
    <row r="70" spans="3:6" ht="14.25" customHeight="1" x14ac:dyDescent="0.35">
      <c r="C70" s="7"/>
      <c r="F70" s="7"/>
    </row>
    <row r="71" spans="3:6" ht="14.25" customHeight="1" x14ac:dyDescent="0.35">
      <c r="C71" s="7"/>
      <c r="F71" s="7"/>
    </row>
    <row r="72" spans="3:6" ht="14.25" customHeight="1" x14ac:dyDescent="0.35">
      <c r="C72" s="7"/>
      <c r="F72" s="7"/>
    </row>
    <row r="73" spans="3:6" ht="14.25" customHeight="1" x14ac:dyDescent="0.35">
      <c r="C73" s="7"/>
      <c r="F73" s="7"/>
    </row>
    <row r="74" spans="3:6" ht="14.25" customHeight="1" x14ac:dyDescent="0.35">
      <c r="C74" s="7"/>
      <c r="F74" s="7"/>
    </row>
    <row r="75" spans="3:6" ht="14.25" customHeight="1" x14ac:dyDescent="0.35">
      <c r="C75" s="7"/>
      <c r="F75" s="7"/>
    </row>
    <row r="76" spans="3:6" ht="14.25" customHeight="1" x14ac:dyDescent="0.35">
      <c r="C76" s="7"/>
      <c r="F76" s="7"/>
    </row>
    <row r="77" spans="3:6" ht="14.25" customHeight="1" x14ac:dyDescent="0.35">
      <c r="C77" s="7"/>
      <c r="F77" s="7"/>
    </row>
    <row r="78" spans="3:6" ht="14.25" customHeight="1" x14ac:dyDescent="0.35">
      <c r="C78" s="7"/>
      <c r="F78" s="7"/>
    </row>
    <row r="79" spans="3:6" ht="14.25" customHeight="1" x14ac:dyDescent="0.35">
      <c r="C79" s="7"/>
      <c r="F79" s="7"/>
    </row>
    <row r="80" spans="3:6" ht="14.25" customHeight="1" x14ac:dyDescent="0.35">
      <c r="C80" s="7"/>
      <c r="F80" s="7"/>
    </row>
    <row r="81" spans="3:6" ht="14.25" customHeight="1" x14ac:dyDescent="0.35">
      <c r="C81" s="7"/>
      <c r="F81" s="7"/>
    </row>
    <row r="82" spans="3:6" ht="14.25" customHeight="1" x14ac:dyDescent="0.35">
      <c r="C82" s="7"/>
      <c r="F82" s="7"/>
    </row>
    <row r="83" spans="3:6" ht="14.25" customHeight="1" x14ac:dyDescent="0.35">
      <c r="C83" s="7"/>
      <c r="F83" s="7"/>
    </row>
    <row r="84" spans="3:6" ht="14.25" customHeight="1" x14ac:dyDescent="0.35">
      <c r="C84" s="7"/>
      <c r="F84" s="7"/>
    </row>
    <row r="85" spans="3:6" ht="14.25" customHeight="1" x14ac:dyDescent="0.35">
      <c r="C85" s="7"/>
      <c r="F85" s="7"/>
    </row>
    <row r="86" spans="3:6" ht="14.25" customHeight="1" x14ac:dyDescent="0.35">
      <c r="C86" s="7"/>
      <c r="F86" s="7"/>
    </row>
    <row r="87" spans="3:6" ht="14.25" customHeight="1" x14ac:dyDescent="0.35">
      <c r="C87" s="7"/>
      <c r="F87" s="7"/>
    </row>
    <row r="88" spans="3:6" ht="14.25" customHeight="1" x14ac:dyDescent="0.35">
      <c r="C88" s="7"/>
      <c r="F88" s="7"/>
    </row>
    <row r="89" spans="3:6" ht="14.25" customHeight="1" x14ac:dyDescent="0.35">
      <c r="C89" s="7"/>
      <c r="F89" s="7"/>
    </row>
    <row r="90" spans="3:6" ht="14.25" customHeight="1" x14ac:dyDescent="0.35">
      <c r="C90" s="7"/>
      <c r="F90" s="7"/>
    </row>
    <row r="91" spans="3:6" ht="14.25" customHeight="1" x14ac:dyDescent="0.35">
      <c r="C91" s="7"/>
      <c r="F91" s="7"/>
    </row>
    <row r="92" spans="3:6" ht="14.25" customHeight="1" x14ac:dyDescent="0.35">
      <c r="C92" s="7"/>
      <c r="F92" s="7"/>
    </row>
    <row r="93" spans="3:6" ht="14.25" customHeight="1" x14ac:dyDescent="0.35">
      <c r="C93" s="7"/>
      <c r="F93" s="7"/>
    </row>
    <row r="94" spans="3:6" ht="14.25" customHeight="1" x14ac:dyDescent="0.35">
      <c r="C94" s="7"/>
      <c r="F94" s="7"/>
    </row>
    <row r="95" spans="3:6" ht="14.25" customHeight="1" x14ac:dyDescent="0.35">
      <c r="C95" s="7"/>
      <c r="F95" s="7"/>
    </row>
    <row r="96" spans="3:6" ht="14.25" customHeight="1" x14ac:dyDescent="0.35">
      <c r="C96" s="7"/>
      <c r="F96" s="7"/>
    </row>
    <row r="97" spans="3:6" ht="14.25" customHeight="1" x14ac:dyDescent="0.35">
      <c r="C97" s="7"/>
      <c r="F97" s="7"/>
    </row>
    <row r="98" spans="3:6" ht="14.25" customHeight="1" x14ac:dyDescent="0.35">
      <c r="C98" s="7"/>
      <c r="F98" s="7"/>
    </row>
    <row r="99" spans="3:6" ht="14.25" customHeight="1" x14ac:dyDescent="0.35">
      <c r="C99" s="7"/>
      <c r="F99" s="7"/>
    </row>
    <row r="100" spans="3:6" ht="14.25" customHeight="1" x14ac:dyDescent="0.35">
      <c r="C100" s="7"/>
      <c r="F100" s="7"/>
    </row>
    <row r="101" spans="3:6" ht="14.25" customHeight="1" x14ac:dyDescent="0.35">
      <c r="C101" s="7"/>
      <c r="F101" s="7"/>
    </row>
    <row r="102" spans="3:6" ht="14.25" customHeight="1" x14ac:dyDescent="0.35">
      <c r="C102" s="7"/>
      <c r="F102" s="7"/>
    </row>
    <row r="103" spans="3:6" ht="14.25" customHeight="1" x14ac:dyDescent="0.35">
      <c r="C103" s="7"/>
      <c r="F103" s="7"/>
    </row>
    <row r="104" spans="3:6" ht="14.25" customHeight="1" x14ac:dyDescent="0.35">
      <c r="C104" s="7"/>
      <c r="F104" s="7"/>
    </row>
    <row r="105" spans="3:6" ht="14.25" customHeight="1" x14ac:dyDescent="0.35">
      <c r="C105" s="7"/>
      <c r="F105" s="7"/>
    </row>
    <row r="106" spans="3:6" ht="14.25" customHeight="1" x14ac:dyDescent="0.35">
      <c r="C106" s="7"/>
      <c r="F106" s="7"/>
    </row>
    <row r="107" spans="3:6" ht="14.25" customHeight="1" x14ac:dyDescent="0.35">
      <c r="C107" s="7"/>
      <c r="F107" s="7"/>
    </row>
    <row r="108" spans="3:6" ht="14.25" customHeight="1" x14ac:dyDescent="0.35">
      <c r="C108" s="7"/>
      <c r="F108" s="7"/>
    </row>
    <row r="109" spans="3:6" ht="14.25" customHeight="1" x14ac:dyDescent="0.35">
      <c r="C109" s="7"/>
      <c r="F109" s="7"/>
    </row>
    <row r="110" spans="3:6" ht="14.25" customHeight="1" x14ac:dyDescent="0.35">
      <c r="C110" s="7"/>
      <c r="F110" s="7"/>
    </row>
    <row r="111" spans="3:6" ht="14.25" customHeight="1" x14ac:dyDescent="0.35">
      <c r="C111" s="7"/>
      <c r="F111" s="7"/>
    </row>
    <row r="112" spans="3:6" ht="14.25" customHeight="1" x14ac:dyDescent="0.35">
      <c r="C112" s="7"/>
      <c r="F112" s="7"/>
    </row>
    <row r="113" spans="3:6" ht="14.25" customHeight="1" x14ac:dyDescent="0.35">
      <c r="C113" s="7"/>
      <c r="F113" s="7"/>
    </row>
    <row r="114" spans="3:6" ht="14.25" customHeight="1" x14ac:dyDescent="0.35">
      <c r="C114" s="7"/>
      <c r="F114" s="7"/>
    </row>
    <row r="115" spans="3:6" ht="14.25" customHeight="1" x14ac:dyDescent="0.35">
      <c r="C115" s="7"/>
      <c r="F115" s="7"/>
    </row>
    <row r="116" spans="3:6" ht="14.25" customHeight="1" x14ac:dyDescent="0.35">
      <c r="C116" s="7"/>
      <c r="F116" s="7"/>
    </row>
    <row r="117" spans="3:6" ht="14.25" customHeight="1" x14ac:dyDescent="0.35">
      <c r="C117" s="7"/>
      <c r="F117" s="7"/>
    </row>
    <row r="118" spans="3:6" ht="14.25" customHeight="1" x14ac:dyDescent="0.35">
      <c r="C118" s="7"/>
      <c r="F118" s="7"/>
    </row>
    <row r="119" spans="3:6" ht="14.25" customHeight="1" x14ac:dyDescent="0.35">
      <c r="C119" s="7"/>
      <c r="F119" s="7"/>
    </row>
    <row r="120" spans="3:6" ht="14.25" customHeight="1" x14ac:dyDescent="0.35">
      <c r="C120" s="7"/>
      <c r="F120" s="7"/>
    </row>
    <row r="121" spans="3:6" ht="14.25" customHeight="1" x14ac:dyDescent="0.35">
      <c r="C121" s="7"/>
      <c r="F121" s="7"/>
    </row>
    <row r="122" spans="3:6" ht="14.25" customHeight="1" x14ac:dyDescent="0.35">
      <c r="C122" s="7"/>
      <c r="F122" s="7"/>
    </row>
    <row r="123" spans="3:6" ht="14.25" customHeight="1" x14ac:dyDescent="0.35">
      <c r="C123" s="7"/>
      <c r="F123" s="7"/>
    </row>
    <row r="124" spans="3:6" ht="14.25" customHeight="1" x14ac:dyDescent="0.35">
      <c r="C124" s="7"/>
      <c r="F124" s="7"/>
    </row>
    <row r="125" spans="3:6" ht="14.25" customHeight="1" x14ac:dyDescent="0.35">
      <c r="C125" s="7"/>
      <c r="F125" s="7"/>
    </row>
    <row r="126" spans="3:6" ht="14.25" customHeight="1" x14ac:dyDescent="0.35">
      <c r="C126" s="7"/>
      <c r="F126" s="7"/>
    </row>
    <row r="127" spans="3:6" ht="14.25" customHeight="1" x14ac:dyDescent="0.35">
      <c r="C127" s="7"/>
      <c r="F127" s="7"/>
    </row>
    <row r="128" spans="3:6" ht="14.25" customHeight="1" x14ac:dyDescent="0.35">
      <c r="C128" s="7"/>
      <c r="F128" s="7"/>
    </row>
    <row r="129" spans="3:6" ht="14.25" customHeight="1" x14ac:dyDescent="0.35">
      <c r="C129" s="7"/>
      <c r="F129" s="7"/>
    </row>
    <row r="130" spans="3:6" ht="14.25" customHeight="1" x14ac:dyDescent="0.35">
      <c r="C130" s="7"/>
      <c r="F130" s="7"/>
    </row>
    <row r="131" spans="3:6" ht="14.25" customHeight="1" x14ac:dyDescent="0.35">
      <c r="C131" s="7"/>
      <c r="F131" s="7"/>
    </row>
    <row r="132" spans="3:6" ht="14.25" customHeight="1" x14ac:dyDescent="0.35">
      <c r="C132" s="7"/>
      <c r="F132" s="7"/>
    </row>
    <row r="133" spans="3:6" ht="14.25" customHeight="1" x14ac:dyDescent="0.35">
      <c r="C133" s="7"/>
      <c r="F133" s="7"/>
    </row>
    <row r="134" spans="3:6" ht="14.25" customHeight="1" x14ac:dyDescent="0.35">
      <c r="C134" s="7"/>
      <c r="F134" s="7"/>
    </row>
    <row r="135" spans="3:6" ht="14.25" customHeight="1" x14ac:dyDescent="0.35">
      <c r="C135" s="7"/>
      <c r="F135" s="7"/>
    </row>
    <row r="136" spans="3:6" ht="14.25" customHeight="1" x14ac:dyDescent="0.35">
      <c r="C136" s="7"/>
      <c r="F136" s="7"/>
    </row>
    <row r="137" spans="3:6" ht="14.25" customHeight="1" x14ac:dyDescent="0.35">
      <c r="C137" s="7"/>
      <c r="F137" s="7"/>
    </row>
    <row r="138" spans="3:6" ht="14.25" customHeight="1" x14ac:dyDescent="0.35">
      <c r="C138" s="7"/>
      <c r="F138" s="7"/>
    </row>
    <row r="139" spans="3:6" ht="14.25" customHeight="1" x14ac:dyDescent="0.35">
      <c r="C139" s="7"/>
      <c r="F139" s="7"/>
    </row>
    <row r="140" spans="3:6" ht="14.25" customHeight="1" x14ac:dyDescent="0.35">
      <c r="C140" s="7"/>
      <c r="F140" s="7"/>
    </row>
    <row r="141" spans="3:6" ht="14.25" customHeight="1" x14ac:dyDescent="0.35">
      <c r="C141" s="7"/>
      <c r="F141" s="7"/>
    </row>
    <row r="142" spans="3:6" ht="14.25" customHeight="1" x14ac:dyDescent="0.35">
      <c r="C142" s="7"/>
      <c r="F142" s="7"/>
    </row>
    <row r="143" spans="3:6" ht="14.25" customHeight="1" x14ac:dyDescent="0.35">
      <c r="C143" s="7"/>
      <c r="F143" s="7"/>
    </row>
    <row r="144" spans="3:6" ht="14.25" customHeight="1" x14ac:dyDescent="0.35">
      <c r="C144" s="7"/>
      <c r="F144" s="7"/>
    </row>
    <row r="145" spans="3:6" ht="14.25" customHeight="1" x14ac:dyDescent="0.35">
      <c r="C145" s="7"/>
      <c r="F145" s="7"/>
    </row>
    <row r="146" spans="3:6" ht="14.25" customHeight="1" x14ac:dyDescent="0.35">
      <c r="C146" s="7"/>
      <c r="F146" s="7"/>
    </row>
    <row r="147" spans="3:6" ht="14.25" customHeight="1" x14ac:dyDescent="0.35">
      <c r="C147" s="7"/>
      <c r="F147" s="7"/>
    </row>
    <row r="148" spans="3:6" ht="14.25" customHeight="1" x14ac:dyDescent="0.35">
      <c r="C148" s="7"/>
      <c r="F148" s="7"/>
    </row>
    <row r="149" spans="3:6" ht="14.25" customHeight="1" x14ac:dyDescent="0.35">
      <c r="C149" s="7"/>
      <c r="F149" s="7"/>
    </row>
    <row r="150" spans="3:6" ht="14.25" customHeight="1" x14ac:dyDescent="0.35">
      <c r="C150" s="7"/>
      <c r="F150" s="7"/>
    </row>
    <row r="151" spans="3:6" ht="14.25" customHeight="1" x14ac:dyDescent="0.35">
      <c r="C151" s="7"/>
      <c r="F151" s="7"/>
    </row>
    <row r="152" spans="3:6" ht="14.25" customHeight="1" x14ac:dyDescent="0.35">
      <c r="C152" s="7"/>
      <c r="F152" s="7"/>
    </row>
    <row r="153" spans="3:6" ht="14.25" customHeight="1" x14ac:dyDescent="0.35">
      <c r="C153" s="7"/>
      <c r="F153" s="7"/>
    </row>
    <row r="154" spans="3:6" ht="14.25" customHeight="1" x14ac:dyDescent="0.35">
      <c r="C154" s="7"/>
      <c r="F154" s="7"/>
    </row>
    <row r="155" spans="3:6" ht="14.25" customHeight="1" x14ac:dyDescent="0.35">
      <c r="C155" s="7"/>
      <c r="F155" s="7"/>
    </row>
    <row r="156" spans="3:6" ht="14.25" customHeight="1" x14ac:dyDescent="0.35">
      <c r="C156" s="7"/>
      <c r="F156" s="7"/>
    </row>
    <row r="157" spans="3:6" ht="14.25" customHeight="1" x14ac:dyDescent="0.35">
      <c r="C157" s="7"/>
      <c r="F157" s="7"/>
    </row>
    <row r="158" spans="3:6" ht="14.25" customHeight="1" x14ac:dyDescent="0.35">
      <c r="C158" s="7"/>
      <c r="F158" s="7"/>
    </row>
    <row r="159" spans="3:6" ht="14.25" customHeight="1" x14ac:dyDescent="0.35">
      <c r="C159" s="7"/>
      <c r="F159" s="7"/>
    </row>
    <row r="160" spans="3:6" ht="14.25" customHeight="1" x14ac:dyDescent="0.35">
      <c r="C160" s="7"/>
      <c r="F160" s="7"/>
    </row>
    <row r="161" spans="3:6" ht="14.25" customHeight="1" x14ac:dyDescent="0.35">
      <c r="C161" s="7"/>
      <c r="F161" s="7"/>
    </row>
    <row r="162" spans="3:6" ht="14.25" customHeight="1" x14ac:dyDescent="0.35">
      <c r="C162" s="7"/>
      <c r="F162" s="7"/>
    </row>
    <row r="163" spans="3:6" ht="14.25" customHeight="1" x14ac:dyDescent="0.35">
      <c r="C163" s="7"/>
      <c r="F163" s="7"/>
    </row>
    <row r="164" spans="3:6" ht="14.25" customHeight="1" x14ac:dyDescent="0.35">
      <c r="C164" s="7"/>
      <c r="F164" s="7"/>
    </row>
    <row r="165" spans="3:6" ht="14.25" customHeight="1" x14ac:dyDescent="0.35">
      <c r="C165" s="7"/>
      <c r="F165" s="7"/>
    </row>
    <row r="166" spans="3:6" ht="14.25" customHeight="1" x14ac:dyDescent="0.35">
      <c r="C166" s="7"/>
      <c r="F166" s="7"/>
    </row>
    <row r="167" spans="3:6" ht="14.25" customHeight="1" x14ac:dyDescent="0.35">
      <c r="C167" s="7"/>
      <c r="F167" s="7"/>
    </row>
    <row r="168" spans="3:6" ht="14.25" customHeight="1" x14ac:dyDescent="0.35">
      <c r="C168" s="7"/>
      <c r="F168" s="7"/>
    </row>
    <row r="169" spans="3:6" ht="14.25" customHeight="1" x14ac:dyDescent="0.35">
      <c r="C169" s="7"/>
      <c r="F169" s="7"/>
    </row>
    <row r="170" spans="3:6" ht="14.25" customHeight="1" x14ac:dyDescent="0.35">
      <c r="C170" s="7"/>
      <c r="F170" s="7"/>
    </row>
    <row r="171" spans="3:6" ht="14.25" customHeight="1" x14ac:dyDescent="0.35">
      <c r="C171" s="7"/>
      <c r="F171" s="7"/>
    </row>
    <row r="172" spans="3:6" ht="14.25" customHeight="1" x14ac:dyDescent="0.35">
      <c r="C172" s="7"/>
      <c r="F172" s="7"/>
    </row>
    <row r="173" spans="3:6" ht="14.25" customHeight="1" x14ac:dyDescent="0.35">
      <c r="C173" s="7"/>
      <c r="F173" s="7"/>
    </row>
    <row r="174" spans="3:6" ht="14.25" customHeight="1" x14ac:dyDescent="0.35">
      <c r="C174" s="7"/>
      <c r="F174" s="7"/>
    </row>
    <row r="175" spans="3:6" ht="14.25" customHeight="1" x14ac:dyDescent="0.35">
      <c r="C175" s="7"/>
      <c r="F175" s="7"/>
    </row>
    <row r="176" spans="3:6" ht="14.25" customHeight="1" x14ac:dyDescent="0.35">
      <c r="C176" s="7"/>
      <c r="F176" s="7"/>
    </row>
    <row r="177" spans="3:6" ht="14.25" customHeight="1" x14ac:dyDescent="0.35">
      <c r="C177" s="7"/>
      <c r="F177" s="7"/>
    </row>
    <row r="178" spans="3:6" ht="14.25" customHeight="1" x14ac:dyDescent="0.35">
      <c r="C178" s="7"/>
      <c r="F178" s="7"/>
    </row>
    <row r="179" spans="3:6" ht="14.25" customHeight="1" x14ac:dyDescent="0.35">
      <c r="C179" s="7"/>
      <c r="F179" s="7"/>
    </row>
    <row r="180" spans="3:6" ht="14.25" customHeight="1" x14ac:dyDescent="0.35">
      <c r="C180" s="7"/>
      <c r="F180" s="7"/>
    </row>
    <row r="181" spans="3:6" ht="14.25" customHeight="1" x14ac:dyDescent="0.35">
      <c r="C181" s="7"/>
      <c r="F181" s="7"/>
    </row>
    <row r="182" spans="3:6" ht="14.25" customHeight="1" x14ac:dyDescent="0.35">
      <c r="C182" s="7"/>
      <c r="F182" s="7"/>
    </row>
    <row r="183" spans="3:6" ht="14.25" customHeight="1" x14ac:dyDescent="0.35">
      <c r="C183" s="7"/>
      <c r="F183" s="7"/>
    </row>
    <row r="184" spans="3:6" ht="14.25" customHeight="1" x14ac:dyDescent="0.35">
      <c r="C184" s="7"/>
      <c r="F184" s="7"/>
    </row>
    <row r="185" spans="3:6" ht="14.25" customHeight="1" x14ac:dyDescent="0.35">
      <c r="C185" s="7"/>
      <c r="F185" s="7"/>
    </row>
    <row r="186" spans="3:6" ht="14.25" customHeight="1" x14ac:dyDescent="0.35">
      <c r="C186" s="7"/>
      <c r="F186" s="7"/>
    </row>
    <row r="187" spans="3:6" ht="14.25" customHeight="1" x14ac:dyDescent="0.35">
      <c r="C187" s="7"/>
      <c r="F187" s="7"/>
    </row>
    <row r="188" spans="3:6" ht="14.25" customHeight="1" x14ac:dyDescent="0.35">
      <c r="C188" s="7"/>
      <c r="F188" s="7"/>
    </row>
    <row r="189" spans="3:6" ht="14.25" customHeight="1" x14ac:dyDescent="0.35">
      <c r="C189" s="7"/>
      <c r="F189" s="7"/>
    </row>
    <row r="190" spans="3:6" ht="14.25" customHeight="1" x14ac:dyDescent="0.35">
      <c r="C190" s="7"/>
      <c r="F190" s="7"/>
    </row>
    <row r="191" spans="3:6" ht="14.25" customHeight="1" x14ac:dyDescent="0.35">
      <c r="C191" s="7"/>
      <c r="F191" s="7"/>
    </row>
    <row r="192" spans="3:6" ht="14.25" customHeight="1" x14ac:dyDescent="0.35">
      <c r="C192" s="7"/>
      <c r="F192" s="7"/>
    </row>
    <row r="193" spans="3:6" ht="14.25" customHeight="1" x14ac:dyDescent="0.35">
      <c r="C193" s="7"/>
      <c r="F193" s="7"/>
    </row>
    <row r="194" spans="3:6" ht="14.25" customHeight="1" x14ac:dyDescent="0.35">
      <c r="C194" s="7"/>
      <c r="F194" s="7"/>
    </row>
    <row r="195" spans="3:6" ht="14.25" customHeight="1" x14ac:dyDescent="0.35">
      <c r="C195" s="7"/>
      <c r="F195" s="7"/>
    </row>
    <row r="196" spans="3:6" ht="14.25" customHeight="1" x14ac:dyDescent="0.35">
      <c r="C196" s="7"/>
      <c r="F196" s="7"/>
    </row>
    <row r="197" spans="3:6" ht="14.25" customHeight="1" x14ac:dyDescent="0.35">
      <c r="C197" s="7"/>
      <c r="F197" s="7"/>
    </row>
    <row r="198" spans="3:6" ht="14.25" customHeight="1" x14ac:dyDescent="0.35">
      <c r="C198" s="7"/>
      <c r="F198" s="7"/>
    </row>
    <row r="199" spans="3:6" ht="14.25" customHeight="1" x14ac:dyDescent="0.35">
      <c r="C199" s="7"/>
      <c r="F199" s="7"/>
    </row>
    <row r="200" spans="3:6" ht="14.25" customHeight="1" x14ac:dyDescent="0.35">
      <c r="C200" s="7"/>
      <c r="F200" s="7"/>
    </row>
    <row r="201" spans="3:6" ht="14.25" customHeight="1" x14ac:dyDescent="0.35">
      <c r="C201" s="7"/>
      <c r="F201" s="7"/>
    </row>
    <row r="202" spans="3:6" ht="14.25" customHeight="1" x14ac:dyDescent="0.35">
      <c r="C202" s="7"/>
      <c r="F202" s="7"/>
    </row>
    <row r="203" spans="3:6" ht="14.25" customHeight="1" x14ac:dyDescent="0.35">
      <c r="C203" s="7"/>
      <c r="F203" s="7"/>
    </row>
    <row r="204" spans="3:6" ht="14.25" customHeight="1" x14ac:dyDescent="0.35">
      <c r="C204" s="7"/>
      <c r="F204" s="7"/>
    </row>
    <row r="205" spans="3:6" ht="14.25" customHeight="1" x14ac:dyDescent="0.35">
      <c r="C205" s="7"/>
      <c r="F205" s="7"/>
    </row>
    <row r="206" spans="3:6" ht="14.25" customHeight="1" x14ac:dyDescent="0.35">
      <c r="C206" s="7"/>
      <c r="F206" s="7"/>
    </row>
    <row r="207" spans="3:6" ht="14.25" customHeight="1" x14ac:dyDescent="0.35">
      <c r="C207" s="7"/>
      <c r="F207" s="7"/>
    </row>
    <row r="208" spans="3:6" ht="14.25" customHeight="1" x14ac:dyDescent="0.35">
      <c r="C208" s="7"/>
      <c r="F208" s="7"/>
    </row>
    <row r="209" spans="3:6" ht="14.25" customHeight="1" x14ac:dyDescent="0.35">
      <c r="C209" s="7"/>
      <c r="F209" s="7"/>
    </row>
    <row r="210" spans="3:6" ht="14.25" customHeight="1" x14ac:dyDescent="0.35">
      <c r="C210" s="7"/>
      <c r="F210" s="7"/>
    </row>
    <row r="211" spans="3:6" ht="14.25" customHeight="1" x14ac:dyDescent="0.35">
      <c r="C211" s="7"/>
      <c r="F211" s="7"/>
    </row>
    <row r="212" spans="3:6" ht="14.25" customHeight="1" x14ac:dyDescent="0.35">
      <c r="C212" s="7"/>
      <c r="F212" s="7"/>
    </row>
    <row r="213" spans="3:6" ht="14.25" customHeight="1" x14ac:dyDescent="0.35">
      <c r="C213" s="7"/>
      <c r="F213" s="7"/>
    </row>
    <row r="214" spans="3:6" ht="14.25" customHeight="1" x14ac:dyDescent="0.35">
      <c r="C214" s="7"/>
      <c r="F214" s="7"/>
    </row>
    <row r="215" spans="3:6" ht="14.25" customHeight="1" x14ac:dyDescent="0.35">
      <c r="C215" s="7"/>
      <c r="F215" s="7"/>
    </row>
    <row r="216" spans="3:6" ht="14.25" customHeight="1" x14ac:dyDescent="0.35">
      <c r="C216" s="7"/>
      <c r="F216" s="7"/>
    </row>
    <row r="217" spans="3:6" ht="14.25" customHeight="1" x14ac:dyDescent="0.35">
      <c r="C217" s="7"/>
      <c r="F217" s="7"/>
    </row>
    <row r="218" spans="3:6" ht="14.25" customHeight="1" x14ac:dyDescent="0.35">
      <c r="C218" s="7"/>
      <c r="F218" s="7"/>
    </row>
    <row r="219" spans="3:6" ht="14.25" customHeight="1" x14ac:dyDescent="0.35">
      <c r="C219" s="7"/>
      <c r="F219" s="7"/>
    </row>
    <row r="220" spans="3:6" ht="14.25" customHeight="1" x14ac:dyDescent="0.35">
      <c r="C220" s="7"/>
      <c r="F220" s="7"/>
    </row>
    <row r="221" spans="3:6" ht="14.25" customHeight="1" x14ac:dyDescent="0.35">
      <c r="C221" s="7"/>
      <c r="F221" s="7"/>
    </row>
    <row r="222" spans="3:6" ht="14.25" customHeight="1" x14ac:dyDescent="0.35">
      <c r="C222" s="7"/>
      <c r="F222" s="7"/>
    </row>
    <row r="223" spans="3:6" ht="14.25" customHeight="1" x14ac:dyDescent="0.35">
      <c r="C223" s="7"/>
      <c r="F223" s="7"/>
    </row>
    <row r="224" spans="3:6" ht="14.25" customHeight="1" x14ac:dyDescent="0.35">
      <c r="C224" s="7"/>
      <c r="F224" s="7"/>
    </row>
    <row r="225" spans="3:6" ht="14.25" customHeight="1" x14ac:dyDescent="0.35">
      <c r="C225" s="7"/>
      <c r="F225" s="7"/>
    </row>
    <row r="226" spans="3:6" ht="14.25" customHeight="1" x14ac:dyDescent="0.35">
      <c r="C226" s="7"/>
      <c r="F226" s="7"/>
    </row>
    <row r="227" spans="3:6" ht="14.25" customHeight="1" x14ac:dyDescent="0.35">
      <c r="C227" s="7"/>
      <c r="F227" s="7"/>
    </row>
    <row r="228" spans="3:6" ht="14.25" customHeight="1" x14ac:dyDescent="0.35">
      <c r="C228" s="7"/>
      <c r="F228" s="7"/>
    </row>
    <row r="229" spans="3:6" ht="14.25" customHeight="1" x14ac:dyDescent="0.35">
      <c r="C229" s="7"/>
      <c r="F229" s="7"/>
    </row>
    <row r="230" spans="3:6" ht="14.25" customHeight="1" x14ac:dyDescent="0.35">
      <c r="C230" s="7"/>
      <c r="F230" s="7"/>
    </row>
    <row r="231" spans="3:6" ht="14.25" customHeight="1" x14ac:dyDescent="0.35">
      <c r="C231" s="7"/>
      <c r="F231" s="7"/>
    </row>
    <row r="232" spans="3:6" ht="14.25" customHeight="1" x14ac:dyDescent="0.35">
      <c r="C232" s="7"/>
      <c r="F232" s="7"/>
    </row>
    <row r="233" spans="3:6" ht="14.25" customHeight="1" x14ac:dyDescent="0.35">
      <c r="C233" s="7"/>
      <c r="F233" s="7"/>
    </row>
    <row r="234" spans="3:6" ht="14.25" customHeight="1" x14ac:dyDescent="0.35">
      <c r="C234" s="7"/>
      <c r="F234" s="7"/>
    </row>
    <row r="235" spans="3:6" ht="14.25" customHeight="1" x14ac:dyDescent="0.35">
      <c r="C235" s="7"/>
      <c r="F235" s="7"/>
    </row>
    <row r="236" spans="3:6" ht="14.25" customHeight="1" x14ac:dyDescent="0.35">
      <c r="C236" s="7"/>
      <c r="F236" s="7"/>
    </row>
    <row r="237" spans="3:6" ht="14.25" customHeight="1" x14ac:dyDescent="0.35">
      <c r="C237" s="7"/>
      <c r="F237" s="7"/>
    </row>
    <row r="238" spans="3:6" ht="14.25" customHeight="1" x14ac:dyDescent="0.35">
      <c r="C238" s="7"/>
      <c r="F238" s="7"/>
    </row>
    <row r="239" spans="3:6" ht="14.25" customHeight="1" x14ac:dyDescent="0.35">
      <c r="C239" s="7"/>
      <c r="F239" s="7"/>
    </row>
    <row r="240" spans="3:6" ht="14.25" customHeight="1" x14ac:dyDescent="0.35">
      <c r="C240" s="7"/>
      <c r="F240" s="7"/>
    </row>
    <row r="241" spans="3:6" ht="14.25" customHeight="1" x14ac:dyDescent="0.35">
      <c r="C241" s="7"/>
      <c r="F241" s="7"/>
    </row>
    <row r="242" spans="3:6" ht="14.25" customHeight="1" x14ac:dyDescent="0.35">
      <c r="C242" s="7"/>
      <c r="F242" s="7"/>
    </row>
    <row r="243" spans="3:6" ht="14.25" customHeight="1" x14ac:dyDescent="0.35">
      <c r="C243" s="7"/>
      <c r="F243" s="7"/>
    </row>
    <row r="244" spans="3:6" ht="14.25" customHeight="1" x14ac:dyDescent="0.35">
      <c r="C244" s="7"/>
      <c r="F244" s="7"/>
    </row>
    <row r="245" spans="3:6" ht="14.25" customHeight="1" x14ac:dyDescent="0.35">
      <c r="C245" s="7"/>
      <c r="F245" s="7"/>
    </row>
    <row r="246" spans="3:6" ht="14.25" customHeight="1" x14ac:dyDescent="0.35">
      <c r="C246" s="7"/>
      <c r="F246" s="7"/>
    </row>
    <row r="247" spans="3:6" ht="14.25" customHeight="1" x14ac:dyDescent="0.35">
      <c r="C247" s="7"/>
      <c r="F247" s="7"/>
    </row>
    <row r="248" spans="3:6" ht="14.25" customHeight="1" x14ac:dyDescent="0.35">
      <c r="C248" s="7"/>
      <c r="F248" s="7"/>
    </row>
    <row r="249" spans="3:6" ht="14.25" customHeight="1" x14ac:dyDescent="0.35">
      <c r="C249" s="7"/>
      <c r="F249" s="7"/>
    </row>
    <row r="250" spans="3:6" ht="14.25" customHeight="1" x14ac:dyDescent="0.35">
      <c r="C250" s="7"/>
      <c r="F250" s="7"/>
    </row>
    <row r="251" spans="3:6" ht="14.25" customHeight="1" x14ac:dyDescent="0.35">
      <c r="C251" s="7"/>
      <c r="F251" s="7"/>
    </row>
    <row r="252" spans="3:6" ht="14.25" customHeight="1" x14ac:dyDescent="0.35">
      <c r="C252" s="7"/>
      <c r="F252" s="7"/>
    </row>
    <row r="253" spans="3:6" ht="14.25" customHeight="1" x14ac:dyDescent="0.35">
      <c r="C253" s="7"/>
      <c r="F253" s="7"/>
    </row>
    <row r="254" spans="3:6" ht="14.25" customHeight="1" x14ac:dyDescent="0.35">
      <c r="C254" s="7"/>
      <c r="F254" s="7"/>
    </row>
    <row r="255" spans="3:6" ht="14.25" customHeight="1" x14ac:dyDescent="0.35">
      <c r="C255" s="7"/>
      <c r="F255" s="7"/>
    </row>
    <row r="256" spans="3:6" ht="14.25" customHeight="1" x14ac:dyDescent="0.35">
      <c r="C256" s="7"/>
      <c r="F256" s="7"/>
    </row>
    <row r="257" spans="3:6" ht="14.25" customHeight="1" x14ac:dyDescent="0.35">
      <c r="C257" s="7"/>
      <c r="F257" s="7"/>
    </row>
    <row r="258" spans="3:6" ht="14.25" customHeight="1" x14ac:dyDescent="0.35">
      <c r="C258" s="7"/>
      <c r="F258" s="7"/>
    </row>
    <row r="259" spans="3:6" ht="14.25" customHeight="1" x14ac:dyDescent="0.35">
      <c r="C259" s="7"/>
      <c r="F259" s="7"/>
    </row>
    <row r="260" spans="3:6" ht="14.25" customHeight="1" x14ac:dyDescent="0.35">
      <c r="C260" s="7"/>
      <c r="F260" s="7"/>
    </row>
    <row r="261" spans="3:6" ht="14.25" customHeight="1" x14ac:dyDescent="0.35">
      <c r="C261" s="7"/>
      <c r="F261" s="7"/>
    </row>
    <row r="262" spans="3:6" ht="14.25" customHeight="1" x14ac:dyDescent="0.35">
      <c r="C262" s="7"/>
      <c r="F262" s="7"/>
    </row>
    <row r="263" spans="3:6" ht="14.25" customHeight="1" x14ac:dyDescent="0.35">
      <c r="C263" s="7"/>
      <c r="F263" s="7"/>
    </row>
    <row r="264" spans="3:6" ht="14.25" customHeight="1" x14ac:dyDescent="0.35">
      <c r="C264" s="7"/>
      <c r="F264" s="7"/>
    </row>
    <row r="265" spans="3:6" ht="14.25" customHeight="1" x14ac:dyDescent="0.35">
      <c r="C265" s="7"/>
      <c r="F265" s="7"/>
    </row>
    <row r="266" spans="3:6" ht="14.25" customHeight="1" x14ac:dyDescent="0.35">
      <c r="C266" s="7"/>
      <c r="F266" s="7"/>
    </row>
    <row r="267" spans="3:6" ht="14.25" customHeight="1" x14ac:dyDescent="0.35">
      <c r="C267" s="7"/>
      <c r="F267" s="7"/>
    </row>
    <row r="268" spans="3:6" ht="14.25" customHeight="1" x14ac:dyDescent="0.35">
      <c r="C268" s="7"/>
      <c r="F268" s="7"/>
    </row>
    <row r="269" spans="3:6" ht="14.25" customHeight="1" x14ac:dyDescent="0.35">
      <c r="C269" s="7"/>
      <c r="F269" s="7"/>
    </row>
    <row r="270" spans="3:6" ht="14.25" customHeight="1" x14ac:dyDescent="0.35">
      <c r="C270" s="7"/>
      <c r="F270" s="7"/>
    </row>
    <row r="271" spans="3:6" ht="14.25" customHeight="1" x14ac:dyDescent="0.35">
      <c r="C271" s="7"/>
      <c r="F271" s="7"/>
    </row>
    <row r="272" spans="3:6" ht="14.25" customHeight="1" x14ac:dyDescent="0.35">
      <c r="C272" s="7"/>
      <c r="F272" s="7"/>
    </row>
    <row r="273" spans="3:6" ht="14.25" customHeight="1" x14ac:dyDescent="0.35">
      <c r="C273" s="7"/>
      <c r="F273" s="7"/>
    </row>
    <row r="274" spans="3:6" ht="14.25" customHeight="1" x14ac:dyDescent="0.35">
      <c r="C274" s="7"/>
      <c r="F274" s="7"/>
    </row>
    <row r="275" spans="3:6" ht="14.25" customHeight="1" x14ac:dyDescent="0.35">
      <c r="C275" s="7"/>
      <c r="F275" s="7"/>
    </row>
    <row r="276" spans="3:6" ht="14.25" customHeight="1" x14ac:dyDescent="0.35">
      <c r="C276" s="7"/>
      <c r="F276" s="7"/>
    </row>
    <row r="277" spans="3:6" ht="14.25" customHeight="1" x14ac:dyDescent="0.35">
      <c r="C277" s="7"/>
      <c r="F277" s="7"/>
    </row>
    <row r="278" spans="3:6" ht="14.25" customHeight="1" x14ac:dyDescent="0.35">
      <c r="C278" s="7"/>
      <c r="F278" s="7"/>
    </row>
    <row r="279" spans="3:6" ht="14.25" customHeight="1" x14ac:dyDescent="0.35">
      <c r="C279" s="7"/>
      <c r="F279" s="7"/>
    </row>
    <row r="280" spans="3:6" ht="14.25" customHeight="1" x14ac:dyDescent="0.35">
      <c r="C280" s="7"/>
      <c r="F280" s="7"/>
    </row>
    <row r="281" spans="3:6" ht="14.25" customHeight="1" x14ac:dyDescent="0.35">
      <c r="C281" s="7"/>
      <c r="F281" s="7"/>
    </row>
    <row r="282" spans="3:6" ht="14.25" customHeight="1" x14ac:dyDescent="0.35">
      <c r="C282" s="7"/>
      <c r="F282" s="7"/>
    </row>
    <row r="283" spans="3:6" ht="14.25" customHeight="1" x14ac:dyDescent="0.35">
      <c r="C283" s="7"/>
      <c r="F283" s="7"/>
    </row>
    <row r="284" spans="3:6" ht="14.25" customHeight="1" x14ac:dyDescent="0.35">
      <c r="C284" s="7"/>
      <c r="F284" s="7"/>
    </row>
    <row r="285" spans="3:6" ht="14.25" customHeight="1" x14ac:dyDescent="0.35">
      <c r="C285" s="7"/>
      <c r="F285" s="7"/>
    </row>
    <row r="286" spans="3:6" ht="14.25" customHeight="1" x14ac:dyDescent="0.35">
      <c r="C286" s="7"/>
      <c r="F286" s="7"/>
    </row>
    <row r="287" spans="3:6" ht="14.25" customHeight="1" x14ac:dyDescent="0.35">
      <c r="C287" s="7"/>
      <c r="F287" s="7"/>
    </row>
    <row r="288" spans="3:6" ht="14.25" customHeight="1" x14ac:dyDescent="0.35">
      <c r="C288" s="7"/>
      <c r="F288" s="7"/>
    </row>
    <row r="289" spans="3:6" ht="14.25" customHeight="1" x14ac:dyDescent="0.35">
      <c r="C289" s="7"/>
      <c r="F289" s="7"/>
    </row>
    <row r="290" spans="3:6" ht="14.25" customHeight="1" x14ac:dyDescent="0.35">
      <c r="C290" s="7"/>
      <c r="F290" s="7"/>
    </row>
    <row r="291" spans="3:6" ht="14.25" customHeight="1" x14ac:dyDescent="0.35">
      <c r="C291" s="7"/>
      <c r="F291" s="7"/>
    </row>
    <row r="292" spans="3:6" ht="14.25" customHeight="1" x14ac:dyDescent="0.35">
      <c r="C292" s="7"/>
      <c r="F292" s="7"/>
    </row>
    <row r="293" spans="3:6" ht="14.25" customHeight="1" x14ac:dyDescent="0.35">
      <c r="C293" s="7"/>
      <c r="F293" s="7"/>
    </row>
    <row r="294" spans="3:6" ht="14.25" customHeight="1" x14ac:dyDescent="0.35">
      <c r="C294" s="7"/>
      <c r="F294" s="7"/>
    </row>
    <row r="295" spans="3:6" ht="14.25" customHeight="1" x14ac:dyDescent="0.35">
      <c r="C295" s="7"/>
      <c r="F295" s="7"/>
    </row>
    <row r="296" spans="3:6" ht="14.25" customHeight="1" x14ac:dyDescent="0.35">
      <c r="C296" s="7"/>
      <c r="F296" s="7"/>
    </row>
    <row r="297" spans="3:6" ht="14.25" customHeight="1" x14ac:dyDescent="0.35">
      <c r="C297" s="7"/>
      <c r="F297" s="7"/>
    </row>
    <row r="298" spans="3:6" ht="14.25" customHeight="1" x14ac:dyDescent="0.35">
      <c r="C298" s="7"/>
      <c r="F298" s="7"/>
    </row>
    <row r="299" spans="3:6" ht="14.25" customHeight="1" x14ac:dyDescent="0.35">
      <c r="C299" s="7"/>
      <c r="F299" s="7"/>
    </row>
    <row r="300" spans="3:6" ht="14.25" customHeight="1" x14ac:dyDescent="0.35">
      <c r="C300" s="7"/>
      <c r="F300" s="7"/>
    </row>
    <row r="301" spans="3:6" ht="14.25" customHeight="1" x14ac:dyDescent="0.35">
      <c r="C301" s="7"/>
      <c r="F301" s="7"/>
    </row>
    <row r="302" spans="3:6" ht="14.25" customHeight="1" x14ac:dyDescent="0.35">
      <c r="C302" s="7"/>
      <c r="F302" s="7"/>
    </row>
    <row r="303" spans="3:6" ht="14.25" customHeight="1" x14ac:dyDescent="0.35">
      <c r="C303" s="7"/>
      <c r="F303" s="7"/>
    </row>
    <row r="304" spans="3:6" ht="14.25" customHeight="1" x14ac:dyDescent="0.35">
      <c r="C304" s="7"/>
      <c r="F304" s="7"/>
    </row>
    <row r="305" spans="3:6" ht="14.25" customHeight="1" x14ac:dyDescent="0.35">
      <c r="C305" s="7"/>
      <c r="F305" s="7"/>
    </row>
    <row r="306" spans="3:6" ht="14.25" customHeight="1" x14ac:dyDescent="0.35">
      <c r="C306" s="7"/>
      <c r="F306" s="7"/>
    </row>
    <row r="307" spans="3:6" ht="14.25" customHeight="1" x14ac:dyDescent="0.35">
      <c r="C307" s="7"/>
      <c r="F307" s="7"/>
    </row>
    <row r="308" spans="3:6" ht="14.25" customHeight="1" x14ac:dyDescent="0.35">
      <c r="C308" s="7"/>
      <c r="F308" s="7"/>
    </row>
    <row r="309" spans="3:6" ht="14.25" customHeight="1" x14ac:dyDescent="0.35">
      <c r="C309" s="7"/>
      <c r="F309" s="7"/>
    </row>
    <row r="310" spans="3:6" ht="14.25" customHeight="1" x14ac:dyDescent="0.35">
      <c r="C310" s="7"/>
      <c r="F310" s="7"/>
    </row>
    <row r="311" spans="3:6" ht="14.25" customHeight="1" x14ac:dyDescent="0.35">
      <c r="C311" s="7"/>
      <c r="F311" s="7"/>
    </row>
    <row r="312" spans="3:6" ht="14.25" customHeight="1" x14ac:dyDescent="0.35">
      <c r="C312" s="7"/>
      <c r="F312" s="7"/>
    </row>
    <row r="313" spans="3:6" ht="14.25" customHeight="1" x14ac:dyDescent="0.35">
      <c r="C313" s="7"/>
      <c r="F313" s="7"/>
    </row>
    <row r="314" spans="3:6" ht="14.25" customHeight="1" x14ac:dyDescent="0.35">
      <c r="C314" s="7"/>
      <c r="F314" s="7"/>
    </row>
    <row r="315" spans="3:6" ht="14.25" customHeight="1" x14ac:dyDescent="0.35">
      <c r="C315" s="7"/>
      <c r="F315" s="7"/>
    </row>
    <row r="316" spans="3:6" ht="14.25" customHeight="1" x14ac:dyDescent="0.35">
      <c r="C316" s="7"/>
      <c r="F316" s="7"/>
    </row>
    <row r="317" spans="3:6" ht="14.25" customHeight="1" x14ac:dyDescent="0.35">
      <c r="C317" s="7"/>
      <c r="F317" s="7"/>
    </row>
    <row r="318" spans="3:6" ht="14.25" customHeight="1" x14ac:dyDescent="0.35">
      <c r="C318" s="7"/>
      <c r="F318" s="7"/>
    </row>
    <row r="319" spans="3:6" ht="14.25" customHeight="1" x14ac:dyDescent="0.35">
      <c r="C319" s="7"/>
      <c r="F319" s="7"/>
    </row>
    <row r="320" spans="3:6" ht="14.25" customHeight="1" x14ac:dyDescent="0.35">
      <c r="C320" s="7"/>
      <c r="F320" s="7"/>
    </row>
    <row r="321" spans="3:6" ht="14.25" customHeight="1" x14ac:dyDescent="0.35">
      <c r="C321" s="7"/>
      <c r="F321" s="7"/>
    </row>
    <row r="322" spans="3:6" ht="14.25" customHeight="1" x14ac:dyDescent="0.35">
      <c r="C322" s="7"/>
      <c r="F322" s="7"/>
    </row>
    <row r="323" spans="3:6" ht="14.25" customHeight="1" x14ac:dyDescent="0.35">
      <c r="C323" s="7"/>
      <c r="F323" s="7"/>
    </row>
    <row r="324" spans="3:6" ht="14.25" customHeight="1" x14ac:dyDescent="0.35">
      <c r="C324" s="7"/>
      <c r="F324" s="7"/>
    </row>
    <row r="325" spans="3:6" ht="14.25" customHeight="1" x14ac:dyDescent="0.35">
      <c r="C325" s="7"/>
      <c r="F325" s="7"/>
    </row>
    <row r="326" spans="3:6" ht="14.25" customHeight="1" x14ac:dyDescent="0.35">
      <c r="C326" s="7"/>
      <c r="F326" s="7"/>
    </row>
    <row r="327" spans="3:6" ht="14.25" customHeight="1" x14ac:dyDescent="0.35">
      <c r="C327" s="7"/>
      <c r="F327" s="7"/>
    </row>
    <row r="328" spans="3:6" ht="14.25" customHeight="1" x14ac:dyDescent="0.35">
      <c r="C328" s="7"/>
      <c r="F328" s="7"/>
    </row>
    <row r="329" spans="3:6" ht="14.25" customHeight="1" x14ac:dyDescent="0.35">
      <c r="C329" s="7"/>
      <c r="F329" s="7"/>
    </row>
    <row r="330" spans="3:6" ht="14.25" customHeight="1" x14ac:dyDescent="0.35">
      <c r="C330" s="7"/>
      <c r="F330" s="7"/>
    </row>
    <row r="331" spans="3:6" ht="14.25" customHeight="1" x14ac:dyDescent="0.35">
      <c r="C331" s="7"/>
      <c r="F331" s="7"/>
    </row>
    <row r="332" spans="3:6" ht="14.25" customHeight="1" x14ac:dyDescent="0.35">
      <c r="C332" s="7"/>
      <c r="F332" s="7"/>
    </row>
    <row r="333" spans="3:6" ht="14.25" customHeight="1" x14ac:dyDescent="0.35">
      <c r="C333" s="7"/>
      <c r="F333" s="7"/>
    </row>
    <row r="334" spans="3:6" ht="14.25" customHeight="1" x14ac:dyDescent="0.35">
      <c r="C334" s="7"/>
      <c r="F334" s="7"/>
    </row>
    <row r="335" spans="3:6" ht="14.25" customHeight="1" x14ac:dyDescent="0.35">
      <c r="C335" s="7"/>
      <c r="F335" s="7"/>
    </row>
    <row r="336" spans="3:6" ht="14.25" customHeight="1" x14ac:dyDescent="0.35">
      <c r="C336" s="7"/>
      <c r="F336" s="7"/>
    </row>
    <row r="337" spans="3:6" ht="14.25" customHeight="1" x14ac:dyDescent="0.35">
      <c r="C337" s="7"/>
      <c r="F337" s="7"/>
    </row>
    <row r="338" spans="3:6" ht="14.25" customHeight="1" x14ac:dyDescent="0.35">
      <c r="C338" s="7"/>
      <c r="F338" s="7"/>
    </row>
    <row r="339" spans="3:6" ht="14.25" customHeight="1" x14ac:dyDescent="0.35">
      <c r="C339" s="7"/>
      <c r="F339" s="7"/>
    </row>
    <row r="340" spans="3:6" ht="14.25" customHeight="1" x14ac:dyDescent="0.35">
      <c r="C340" s="7"/>
      <c r="F340" s="7"/>
    </row>
    <row r="341" spans="3:6" ht="14.25" customHeight="1" x14ac:dyDescent="0.35">
      <c r="C341" s="7"/>
      <c r="F341" s="7"/>
    </row>
    <row r="342" spans="3:6" ht="14.25" customHeight="1" x14ac:dyDescent="0.35">
      <c r="C342" s="7"/>
      <c r="F342" s="7"/>
    </row>
    <row r="343" spans="3:6" ht="14.25" customHeight="1" x14ac:dyDescent="0.35">
      <c r="C343" s="7"/>
      <c r="F343" s="7"/>
    </row>
    <row r="344" spans="3:6" ht="14.25" customHeight="1" x14ac:dyDescent="0.35">
      <c r="C344" s="7"/>
      <c r="F344" s="7"/>
    </row>
    <row r="345" spans="3:6" ht="14.25" customHeight="1" x14ac:dyDescent="0.35">
      <c r="C345" s="7"/>
      <c r="F345" s="7"/>
    </row>
    <row r="346" spans="3:6" ht="14.25" customHeight="1" x14ac:dyDescent="0.35">
      <c r="C346" s="7"/>
      <c r="F346" s="7"/>
    </row>
    <row r="347" spans="3:6" ht="14.25" customHeight="1" x14ac:dyDescent="0.35">
      <c r="C347" s="7"/>
      <c r="F347" s="7"/>
    </row>
    <row r="348" spans="3:6" ht="14.25" customHeight="1" x14ac:dyDescent="0.35">
      <c r="C348" s="7"/>
      <c r="F348" s="7"/>
    </row>
    <row r="349" spans="3:6" ht="14.25" customHeight="1" x14ac:dyDescent="0.35">
      <c r="C349" s="7"/>
      <c r="F349" s="7"/>
    </row>
    <row r="350" spans="3:6" ht="14.25" customHeight="1" x14ac:dyDescent="0.35">
      <c r="C350" s="7"/>
      <c r="F350" s="7"/>
    </row>
    <row r="351" spans="3:6" ht="14.25" customHeight="1" x14ac:dyDescent="0.35">
      <c r="C351" s="7"/>
      <c r="F351" s="7"/>
    </row>
    <row r="352" spans="3:6" ht="14.25" customHeight="1" x14ac:dyDescent="0.35">
      <c r="C352" s="7"/>
      <c r="F352" s="7"/>
    </row>
    <row r="353" spans="3:6" ht="14.25" customHeight="1" x14ac:dyDescent="0.35">
      <c r="C353" s="7"/>
      <c r="F353" s="7"/>
    </row>
    <row r="354" spans="3:6" ht="14.25" customHeight="1" x14ac:dyDescent="0.35">
      <c r="C354" s="7"/>
      <c r="F354" s="7"/>
    </row>
    <row r="355" spans="3:6" ht="14.25" customHeight="1" x14ac:dyDescent="0.35">
      <c r="C355" s="7"/>
      <c r="F355" s="7"/>
    </row>
    <row r="356" spans="3:6" ht="14.25" customHeight="1" x14ac:dyDescent="0.35">
      <c r="C356" s="7"/>
      <c r="F356" s="7"/>
    </row>
    <row r="357" spans="3:6" ht="14.25" customHeight="1" x14ac:dyDescent="0.35">
      <c r="C357" s="7"/>
      <c r="F357" s="7"/>
    </row>
    <row r="358" spans="3:6" ht="14.25" customHeight="1" x14ac:dyDescent="0.35">
      <c r="C358" s="7"/>
      <c r="F358" s="7"/>
    </row>
    <row r="359" spans="3:6" ht="14.25" customHeight="1" x14ac:dyDescent="0.35">
      <c r="C359" s="7"/>
      <c r="F359" s="7"/>
    </row>
    <row r="360" spans="3:6" ht="14.25" customHeight="1" x14ac:dyDescent="0.35">
      <c r="C360" s="7"/>
      <c r="F360" s="7"/>
    </row>
    <row r="361" spans="3:6" ht="14.25" customHeight="1" x14ac:dyDescent="0.35">
      <c r="C361" s="7"/>
      <c r="F361" s="7"/>
    </row>
    <row r="362" spans="3:6" ht="14.25" customHeight="1" x14ac:dyDescent="0.35">
      <c r="C362" s="7"/>
      <c r="F362" s="7"/>
    </row>
    <row r="363" spans="3:6" ht="14.25" customHeight="1" x14ac:dyDescent="0.35">
      <c r="C363" s="7"/>
      <c r="F363" s="7"/>
    </row>
    <row r="364" spans="3:6" ht="14.25" customHeight="1" x14ac:dyDescent="0.35">
      <c r="C364" s="7"/>
      <c r="F364" s="7"/>
    </row>
    <row r="365" spans="3:6" ht="14.25" customHeight="1" x14ac:dyDescent="0.35">
      <c r="C365" s="7"/>
      <c r="F365" s="7"/>
    </row>
    <row r="366" spans="3:6" ht="14.25" customHeight="1" x14ac:dyDescent="0.35">
      <c r="C366" s="7"/>
      <c r="F366" s="7"/>
    </row>
    <row r="367" spans="3:6" ht="14.25" customHeight="1" x14ac:dyDescent="0.35">
      <c r="C367" s="7"/>
      <c r="F367" s="7"/>
    </row>
    <row r="368" spans="3:6" ht="14.25" customHeight="1" x14ac:dyDescent="0.35">
      <c r="C368" s="7"/>
      <c r="F368" s="7"/>
    </row>
    <row r="369" spans="3:6" ht="14.25" customHeight="1" x14ac:dyDescent="0.35">
      <c r="C369" s="7"/>
      <c r="F369" s="7"/>
    </row>
    <row r="370" spans="3:6" ht="14.25" customHeight="1" x14ac:dyDescent="0.35">
      <c r="C370" s="7"/>
      <c r="F370" s="7"/>
    </row>
    <row r="371" spans="3:6" ht="14.25" customHeight="1" x14ac:dyDescent="0.35">
      <c r="C371" s="7"/>
      <c r="F371" s="7"/>
    </row>
    <row r="372" spans="3:6" ht="14.25" customHeight="1" x14ac:dyDescent="0.35">
      <c r="C372" s="7"/>
      <c r="F372" s="7"/>
    </row>
    <row r="373" spans="3:6" ht="14.25" customHeight="1" x14ac:dyDescent="0.35">
      <c r="C373" s="7"/>
      <c r="F373" s="7"/>
    </row>
    <row r="374" spans="3:6" ht="14.25" customHeight="1" x14ac:dyDescent="0.35">
      <c r="C374" s="7"/>
      <c r="F374" s="7"/>
    </row>
    <row r="375" spans="3:6" ht="14.25" customHeight="1" x14ac:dyDescent="0.35">
      <c r="C375" s="7"/>
      <c r="F375" s="7"/>
    </row>
    <row r="376" spans="3:6" ht="14.25" customHeight="1" x14ac:dyDescent="0.35">
      <c r="C376" s="7"/>
      <c r="F376" s="7"/>
    </row>
    <row r="377" spans="3:6" ht="14.25" customHeight="1" x14ac:dyDescent="0.35">
      <c r="C377" s="7"/>
      <c r="F377" s="7"/>
    </row>
    <row r="378" spans="3:6" ht="14.25" customHeight="1" x14ac:dyDescent="0.35">
      <c r="C378" s="7"/>
      <c r="F378" s="7"/>
    </row>
    <row r="379" spans="3:6" ht="14.25" customHeight="1" x14ac:dyDescent="0.35">
      <c r="C379" s="7"/>
      <c r="F379" s="7"/>
    </row>
    <row r="380" spans="3:6" ht="14.25" customHeight="1" x14ac:dyDescent="0.35">
      <c r="C380" s="7"/>
      <c r="F380" s="7"/>
    </row>
    <row r="381" spans="3:6" ht="14.25" customHeight="1" x14ac:dyDescent="0.35">
      <c r="C381" s="7"/>
      <c r="F381" s="7"/>
    </row>
    <row r="382" spans="3:6" ht="14.25" customHeight="1" x14ac:dyDescent="0.35">
      <c r="C382" s="7"/>
      <c r="F382" s="7"/>
    </row>
    <row r="383" spans="3:6" ht="14.25" customHeight="1" x14ac:dyDescent="0.35">
      <c r="C383" s="7"/>
      <c r="F383" s="7"/>
    </row>
    <row r="384" spans="3:6" ht="14.25" customHeight="1" x14ac:dyDescent="0.35">
      <c r="C384" s="7"/>
      <c r="F384" s="7"/>
    </row>
    <row r="385" spans="3:6" ht="14.25" customHeight="1" x14ac:dyDescent="0.35">
      <c r="C385" s="7"/>
      <c r="F385" s="7"/>
    </row>
    <row r="386" spans="3:6" ht="14.25" customHeight="1" x14ac:dyDescent="0.35">
      <c r="C386" s="7"/>
      <c r="F386" s="7"/>
    </row>
    <row r="387" spans="3:6" ht="14.25" customHeight="1" x14ac:dyDescent="0.35">
      <c r="C387" s="7"/>
      <c r="F387" s="7"/>
    </row>
    <row r="388" spans="3:6" ht="14.25" customHeight="1" x14ac:dyDescent="0.35">
      <c r="C388" s="7"/>
      <c r="F388" s="7"/>
    </row>
    <row r="389" spans="3:6" ht="14.25" customHeight="1" x14ac:dyDescent="0.35">
      <c r="C389" s="7"/>
      <c r="F389" s="7"/>
    </row>
    <row r="390" spans="3:6" ht="14.25" customHeight="1" x14ac:dyDescent="0.35">
      <c r="C390" s="7"/>
      <c r="F390" s="7"/>
    </row>
    <row r="391" spans="3:6" ht="14.25" customHeight="1" x14ac:dyDescent="0.35">
      <c r="C391" s="7"/>
      <c r="F391" s="7"/>
    </row>
    <row r="392" spans="3:6" ht="14.25" customHeight="1" x14ac:dyDescent="0.35">
      <c r="C392" s="7"/>
      <c r="F392" s="7"/>
    </row>
    <row r="393" spans="3:6" ht="14.25" customHeight="1" x14ac:dyDescent="0.35">
      <c r="C393" s="7"/>
      <c r="F393" s="7"/>
    </row>
    <row r="394" spans="3:6" ht="14.25" customHeight="1" x14ac:dyDescent="0.35">
      <c r="C394" s="7"/>
      <c r="F394" s="7"/>
    </row>
    <row r="395" spans="3:6" ht="14.25" customHeight="1" x14ac:dyDescent="0.35">
      <c r="C395" s="7"/>
      <c r="F395" s="7"/>
    </row>
    <row r="396" spans="3:6" ht="14.25" customHeight="1" x14ac:dyDescent="0.35">
      <c r="C396" s="7"/>
      <c r="F396" s="7"/>
    </row>
    <row r="397" spans="3:6" ht="14.25" customHeight="1" x14ac:dyDescent="0.35">
      <c r="C397" s="7"/>
      <c r="F397" s="7"/>
    </row>
    <row r="398" spans="3:6" ht="14.25" customHeight="1" x14ac:dyDescent="0.35">
      <c r="C398" s="7"/>
      <c r="F398" s="7"/>
    </row>
    <row r="399" spans="3:6" ht="14.25" customHeight="1" x14ac:dyDescent="0.35">
      <c r="C399" s="7"/>
      <c r="F399" s="7"/>
    </row>
    <row r="400" spans="3:6" ht="14.25" customHeight="1" x14ac:dyDescent="0.35">
      <c r="C400" s="7"/>
      <c r="F400" s="7"/>
    </row>
    <row r="401" spans="3:6" ht="14.25" customHeight="1" x14ac:dyDescent="0.35">
      <c r="C401" s="7"/>
      <c r="F401" s="7"/>
    </row>
    <row r="402" spans="3:6" ht="14.25" customHeight="1" x14ac:dyDescent="0.35">
      <c r="C402" s="7"/>
      <c r="F402" s="7"/>
    </row>
    <row r="403" spans="3:6" ht="14.25" customHeight="1" x14ac:dyDescent="0.35">
      <c r="C403" s="7"/>
      <c r="F403" s="7"/>
    </row>
    <row r="404" spans="3:6" ht="14.25" customHeight="1" x14ac:dyDescent="0.35">
      <c r="C404" s="7"/>
      <c r="F404" s="7"/>
    </row>
    <row r="405" spans="3:6" ht="14.25" customHeight="1" x14ac:dyDescent="0.35">
      <c r="C405" s="7"/>
      <c r="F405" s="7"/>
    </row>
    <row r="406" spans="3:6" ht="14.25" customHeight="1" x14ac:dyDescent="0.35">
      <c r="C406" s="7"/>
      <c r="F406" s="7"/>
    </row>
    <row r="407" spans="3:6" ht="14.25" customHeight="1" x14ac:dyDescent="0.35">
      <c r="C407" s="7"/>
      <c r="F407" s="7"/>
    </row>
    <row r="408" spans="3:6" ht="14.25" customHeight="1" x14ac:dyDescent="0.35">
      <c r="C408" s="7"/>
      <c r="F408" s="7"/>
    </row>
    <row r="409" spans="3:6" ht="14.25" customHeight="1" x14ac:dyDescent="0.35">
      <c r="C409" s="7"/>
      <c r="F409" s="7"/>
    </row>
    <row r="410" spans="3:6" ht="14.25" customHeight="1" x14ac:dyDescent="0.35">
      <c r="C410" s="7"/>
      <c r="F410" s="7"/>
    </row>
    <row r="411" spans="3:6" ht="14.25" customHeight="1" x14ac:dyDescent="0.35">
      <c r="C411" s="7"/>
      <c r="F411" s="7"/>
    </row>
    <row r="412" spans="3:6" ht="14.25" customHeight="1" x14ac:dyDescent="0.35">
      <c r="C412" s="7"/>
      <c r="F412" s="7"/>
    </row>
    <row r="413" spans="3:6" ht="14.25" customHeight="1" x14ac:dyDescent="0.35">
      <c r="C413" s="7"/>
      <c r="F413" s="7"/>
    </row>
    <row r="414" spans="3:6" ht="14.25" customHeight="1" x14ac:dyDescent="0.35">
      <c r="C414" s="7"/>
      <c r="F414" s="7"/>
    </row>
    <row r="415" spans="3:6" ht="14.25" customHeight="1" x14ac:dyDescent="0.35">
      <c r="C415" s="7"/>
      <c r="F415" s="7"/>
    </row>
    <row r="416" spans="3:6" ht="14.25" customHeight="1" x14ac:dyDescent="0.35">
      <c r="C416" s="7"/>
      <c r="F416" s="7"/>
    </row>
    <row r="417" spans="3:6" ht="14.25" customHeight="1" x14ac:dyDescent="0.35">
      <c r="C417" s="7"/>
      <c r="F417" s="7"/>
    </row>
    <row r="418" spans="3:6" ht="14.25" customHeight="1" x14ac:dyDescent="0.35">
      <c r="C418" s="7"/>
      <c r="F418" s="7"/>
    </row>
    <row r="419" spans="3:6" ht="14.25" customHeight="1" x14ac:dyDescent="0.35">
      <c r="C419" s="7"/>
      <c r="F419" s="7"/>
    </row>
    <row r="420" spans="3:6" ht="14.25" customHeight="1" x14ac:dyDescent="0.35">
      <c r="C420" s="7"/>
      <c r="F420" s="7"/>
    </row>
    <row r="421" spans="3:6" ht="14.25" customHeight="1" x14ac:dyDescent="0.35">
      <c r="C421" s="7"/>
      <c r="F421" s="7"/>
    </row>
    <row r="422" spans="3:6" ht="14.25" customHeight="1" x14ac:dyDescent="0.35">
      <c r="C422" s="7"/>
      <c r="F422" s="7"/>
    </row>
    <row r="423" spans="3:6" ht="14.25" customHeight="1" x14ac:dyDescent="0.35">
      <c r="C423" s="7"/>
      <c r="F423" s="7"/>
    </row>
    <row r="424" spans="3:6" ht="14.25" customHeight="1" x14ac:dyDescent="0.35">
      <c r="C424" s="7"/>
      <c r="F424" s="7"/>
    </row>
    <row r="425" spans="3:6" ht="14.25" customHeight="1" x14ac:dyDescent="0.35">
      <c r="C425" s="7"/>
      <c r="F425" s="7"/>
    </row>
    <row r="426" spans="3:6" ht="14.25" customHeight="1" x14ac:dyDescent="0.35">
      <c r="C426" s="7"/>
      <c r="F426" s="7"/>
    </row>
    <row r="427" spans="3:6" ht="14.25" customHeight="1" x14ac:dyDescent="0.35">
      <c r="C427" s="7"/>
      <c r="F427" s="7"/>
    </row>
    <row r="428" spans="3:6" ht="14.25" customHeight="1" x14ac:dyDescent="0.35">
      <c r="C428" s="7"/>
      <c r="F428" s="7"/>
    </row>
    <row r="429" spans="3:6" ht="14.25" customHeight="1" x14ac:dyDescent="0.35">
      <c r="C429" s="7"/>
      <c r="F429" s="7"/>
    </row>
    <row r="430" spans="3:6" ht="14.25" customHeight="1" x14ac:dyDescent="0.35">
      <c r="C430" s="7"/>
      <c r="F430" s="7"/>
    </row>
    <row r="431" spans="3:6" ht="14.25" customHeight="1" x14ac:dyDescent="0.35">
      <c r="C431" s="7"/>
      <c r="F431" s="7"/>
    </row>
    <row r="432" spans="3:6" ht="14.25" customHeight="1" x14ac:dyDescent="0.35">
      <c r="C432" s="7"/>
      <c r="F432" s="7"/>
    </row>
    <row r="433" spans="3:6" ht="14.25" customHeight="1" x14ac:dyDescent="0.35">
      <c r="C433" s="7"/>
      <c r="F433" s="7"/>
    </row>
    <row r="434" spans="3:6" ht="14.25" customHeight="1" x14ac:dyDescent="0.35">
      <c r="C434" s="7"/>
      <c r="F434" s="7"/>
    </row>
    <row r="435" spans="3:6" ht="14.25" customHeight="1" x14ac:dyDescent="0.35">
      <c r="C435" s="7"/>
      <c r="F435" s="7"/>
    </row>
    <row r="436" spans="3:6" ht="14.25" customHeight="1" x14ac:dyDescent="0.35">
      <c r="C436" s="7"/>
      <c r="F436" s="7"/>
    </row>
    <row r="437" spans="3:6" ht="14.25" customHeight="1" x14ac:dyDescent="0.35">
      <c r="C437" s="7"/>
      <c r="F437" s="7"/>
    </row>
    <row r="438" spans="3:6" ht="14.25" customHeight="1" x14ac:dyDescent="0.35">
      <c r="C438" s="7"/>
      <c r="F438" s="7"/>
    </row>
    <row r="439" spans="3:6" ht="14.25" customHeight="1" x14ac:dyDescent="0.35">
      <c r="C439" s="7"/>
      <c r="F439" s="7"/>
    </row>
    <row r="440" spans="3:6" ht="14.25" customHeight="1" x14ac:dyDescent="0.35">
      <c r="C440" s="7"/>
      <c r="F440" s="7"/>
    </row>
    <row r="441" spans="3:6" ht="14.25" customHeight="1" x14ac:dyDescent="0.35">
      <c r="C441" s="7"/>
      <c r="F441" s="7"/>
    </row>
    <row r="442" spans="3:6" ht="14.25" customHeight="1" x14ac:dyDescent="0.35">
      <c r="C442" s="7"/>
      <c r="F442" s="7"/>
    </row>
    <row r="443" spans="3:6" ht="14.25" customHeight="1" x14ac:dyDescent="0.35">
      <c r="C443" s="7"/>
      <c r="F443" s="7"/>
    </row>
    <row r="444" spans="3:6" ht="14.25" customHeight="1" x14ac:dyDescent="0.35">
      <c r="C444" s="7"/>
      <c r="F444" s="7"/>
    </row>
    <row r="445" spans="3:6" ht="14.25" customHeight="1" x14ac:dyDescent="0.35">
      <c r="C445" s="7"/>
      <c r="F445" s="7"/>
    </row>
    <row r="446" spans="3:6" ht="14.25" customHeight="1" x14ac:dyDescent="0.35">
      <c r="C446" s="7"/>
      <c r="F446" s="7"/>
    </row>
    <row r="447" spans="3:6" ht="14.25" customHeight="1" x14ac:dyDescent="0.35">
      <c r="C447" s="7"/>
      <c r="F447" s="7"/>
    </row>
    <row r="448" spans="3:6" ht="14.25" customHeight="1" x14ac:dyDescent="0.35">
      <c r="C448" s="7"/>
      <c r="F448" s="7"/>
    </row>
    <row r="449" spans="3:6" ht="14.25" customHeight="1" x14ac:dyDescent="0.35">
      <c r="C449" s="7"/>
      <c r="F449" s="7"/>
    </row>
    <row r="450" spans="3:6" ht="14.25" customHeight="1" x14ac:dyDescent="0.35">
      <c r="C450" s="7"/>
      <c r="F450" s="7"/>
    </row>
    <row r="451" spans="3:6" ht="14.25" customHeight="1" x14ac:dyDescent="0.35">
      <c r="C451" s="7"/>
      <c r="F451" s="7"/>
    </row>
    <row r="452" spans="3:6" ht="14.25" customHeight="1" x14ac:dyDescent="0.35">
      <c r="C452" s="7"/>
      <c r="F452" s="7"/>
    </row>
    <row r="453" spans="3:6" ht="14.25" customHeight="1" x14ac:dyDescent="0.35">
      <c r="C453" s="7"/>
      <c r="F453" s="7"/>
    </row>
    <row r="454" spans="3:6" ht="14.25" customHeight="1" x14ac:dyDescent="0.35">
      <c r="C454" s="7"/>
      <c r="F454" s="7"/>
    </row>
    <row r="455" spans="3:6" ht="14.25" customHeight="1" x14ac:dyDescent="0.35">
      <c r="C455" s="7"/>
      <c r="F455" s="7"/>
    </row>
    <row r="456" spans="3:6" ht="14.25" customHeight="1" x14ac:dyDescent="0.35">
      <c r="C456" s="7"/>
      <c r="F456" s="7"/>
    </row>
    <row r="457" spans="3:6" ht="14.25" customHeight="1" x14ac:dyDescent="0.35">
      <c r="C457" s="7"/>
      <c r="F457" s="7"/>
    </row>
    <row r="458" spans="3:6" ht="14.25" customHeight="1" x14ac:dyDescent="0.35">
      <c r="C458" s="7"/>
      <c r="F458" s="7"/>
    </row>
    <row r="459" spans="3:6" ht="14.25" customHeight="1" x14ac:dyDescent="0.35">
      <c r="C459" s="7"/>
      <c r="F459" s="7"/>
    </row>
    <row r="460" spans="3:6" ht="14.25" customHeight="1" x14ac:dyDescent="0.35">
      <c r="C460" s="7"/>
      <c r="F460" s="7"/>
    </row>
    <row r="461" spans="3:6" ht="14.25" customHeight="1" x14ac:dyDescent="0.35">
      <c r="C461" s="7"/>
      <c r="F461" s="7"/>
    </row>
    <row r="462" spans="3:6" ht="14.25" customHeight="1" x14ac:dyDescent="0.35">
      <c r="C462" s="7"/>
      <c r="F462" s="7"/>
    </row>
    <row r="463" spans="3:6" ht="14.25" customHeight="1" x14ac:dyDescent="0.35">
      <c r="C463" s="7"/>
      <c r="F463" s="7"/>
    </row>
    <row r="464" spans="3:6" ht="14.25" customHeight="1" x14ac:dyDescent="0.35">
      <c r="C464" s="7"/>
      <c r="F464" s="7"/>
    </row>
    <row r="465" spans="3:6" ht="14.25" customHeight="1" x14ac:dyDescent="0.35">
      <c r="C465" s="7"/>
      <c r="F465" s="7"/>
    </row>
    <row r="466" spans="3:6" ht="14.25" customHeight="1" x14ac:dyDescent="0.35">
      <c r="C466" s="7"/>
      <c r="F466" s="7"/>
    </row>
    <row r="467" spans="3:6" ht="14.25" customHeight="1" x14ac:dyDescent="0.35">
      <c r="C467" s="7"/>
      <c r="F467" s="7"/>
    </row>
    <row r="468" spans="3:6" ht="14.25" customHeight="1" x14ac:dyDescent="0.35">
      <c r="C468" s="7"/>
      <c r="F468" s="7"/>
    </row>
    <row r="469" spans="3:6" ht="14.25" customHeight="1" x14ac:dyDescent="0.35">
      <c r="C469" s="7"/>
      <c r="F469" s="7"/>
    </row>
    <row r="470" spans="3:6" ht="14.25" customHeight="1" x14ac:dyDescent="0.35">
      <c r="C470" s="7"/>
      <c r="F470" s="7"/>
    </row>
    <row r="471" spans="3:6" ht="14.25" customHeight="1" x14ac:dyDescent="0.35">
      <c r="C471" s="7"/>
      <c r="F471" s="7"/>
    </row>
    <row r="472" spans="3:6" ht="14.25" customHeight="1" x14ac:dyDescent="0.35">
      <c r="C472" s="7"/>
      <c r="F472" s="7"/>
    </row>
    <row r="473" spans="3:6" ht="14.25" customHeight="1" x14ac:dyDescent="0.35">
      <c r="C473" s="7"/>
      <c r="F473" s="7"/>
    </row>
    <row r="474" spans="3:6" ht="14.25" customHeight="1" x14ac:dyDescent="0.35">
      <c r="C474" s="7"/>
      <c r="F474" s="7"/>
    </row>
    <row r="475" spans="3:6" ht="14.25" customHeight="1" x14ac:dyDescent="0.35">
      <c r="C475" s="7"/>
      <c r="F475" s="7"/>
    </row>
    <row r="476" spans="3:6" ht="14.25" customHeight="1" x14ac:dyDescent="0.35">
      <c r="C476" s="7"/>
      <c r="F476" s="7"/>
    </row>
    <row r="477" spans="3:6" ht="14.25" customHeight="1" x14ac:dyDescent="0.35">
      <c r="C477" s="7"/>
      <c r="F477" s="7"/>
    </row>
    <row r="478" spans="3:6" ht="14.25" customHeight="1" x14ac:dyDescent="0.35">
      <c r="C478" s="7"/>
      <c r="F478" s="7"/>
    </row>
    <row r="479" spans="3:6" ht="14.25" customHeight="1" x14ac:dyDescent="0.35">
      <c r="C479" s="7"/>
      <c r="F479" s="7"/>
    </row>
    <row r="480" spans="3:6" ht="14.25" customHeight="1" x14ac:dyDescent="0.35">
      <c r="C480" s="7"/>
      <c r="F480" s="7"/>
    </row>
    <row r="481" spans="3:6" ht="14.25" customHeight="1" x14ac:dyDescent="0.35">
      <c r="C481" s="7"/>
      <c r="F481" s="7"/>
    </row>
    <row r="482" spans="3:6" ht="14.25" customHeight="1" x14ac:dyDescent="0.35">
      <c r="C482" s="7"/>
      <c r="F482" s="7"/>
    </row>
    <row r="483" spans="3:6" ht="14.25" customHeight="1" x14ac:dyDescent="0.35">
      <c r="C483" s="7"/>
      <c r="F483" s="7"/>
    </row>
    <row r="484" spans="3:6" ht="14.25" customHeight="1" x14ac:dyDescent="0.35">
      <c r="C484" s="7"/>
      <c r="F484" s="7"/>
    </row>
    <row r="485" spans="3:6" ht="14.25" customHeight="1" x14ac:dyDescent="0.35">
      <c r="C485" s="7"/>
      <c r="F485" s="7"/>
    </row>
    <row r="486" spans="3:6" ht="14.25" customHeight="1" x14ac:dyDescent="0.35">
      <c r="C486" s="7"/>
      <c r="F486" s="7"/>
    </row>
    <row r="487" spans="3:6" ht="14.25" customHeight="1" x14ac:dyDescent="0.35">
      <c r="C487" s="7"/>
      <c r="F487" s="7"/>
    </row>
    <row r="488" spans="3:6" ht="14.25" customHeight="1" x14ac:dyDescent="0.35">
      <c r="C488" s="7"/>
      <c r="F488" s="7"/>
    </row>
    <row r="489" spans="3:6" ht="14.25" customHeight="1" x14ac:dyDescent="0.35">
      <c r="C489" s="7"/>
      <c r="F489" s="7"/>
    </row>
    <row r="490" spans="3:6" ht="14.25" customHeight="1" x14ac:dyDescent="0.35">
      <c r="C490" s="7"/>
      <c r="F490" s="7"/>
    </row>
    <row r="491" spans="3:6" ht="14.25" customHeight="1" x14ac:dyDescent="0.35">
      <c r="C491" s="7"/>
      <c r="F491" s="7"/>
    </row>
    <row r="492" spans="3:6" ht="14.25" customHeight="1" x14ac:dyDescent="0.35">
      <c r="C492" s="7"/>
      <c r="F492" s="7"/>
    </row>
    <row r="493" spans="3:6" ht="14.25" customHeight="1" x14ac:dyDescent="0.35">
      <c r="C493" s="7"/>
      <c r="F493" s="7"/>
    </row>
    <row r="494" spans="3:6" ht="14.25" customHeight="1" x14ac:dyDescent="0.35">
      <c r="C494" s="7"/>
      <c r="F494" s="7"/>
    </row>
    <row r="495" spans="3:6" ht="14.25" customHeight="1" x14ac:dyDescent="0.35">
      <c r="C495" s="7"/>
      <c r="F495" s="7"/>
    </row>
    <row r="496" spans="3:6" ht="14.25" customHeight="1" x14ac:dyDescent="0.35">
      <c r="C496" s="7"/>
      <c r="F496" s="7"/>
    </row>
    <row r="497" spans="3:6" ht="14.25" customHeight="1" x14ac:dyDescent="0.35">
      <c r="C497" s="7"/>
      <c r="F497" s="7"/>
    </row>
    <row r="498" spans="3:6" ht="14.25" customHeight="1" x14ac:dyDescent="0.35">
      <c r="C498" s="7"/>
      <c r="F498" s="7"/>
    </row>
    <row r="499" spans="3:6" ht="14.25" customHeight="1" x14ac:dyDescent="0.35">
      <c r="C499" s="7"/>
      <c r="F499" s="7"/>
    </row>
    <row r="500" spans="3:6" ht="14.25" customHeight="1" x14ac:dyDescent="0.35">
      <c r="C500" s="7"/>
      <c r="F500" s="7"/>
    </row>
    <row r="501" spans="3:6" ht="14.25" customHeight="1" x14ac:dyDescent="0.35">
      <c r="C501" s="7"/>
      <c r="F501" s="7"/>
    </row>
    <row r="502" spans="3:6" ht="14.25" customHeight="1" x14ac:dyDescent="0.35">
      <c r="C502" s="7"/>
      <c r="F502" s="7"/>
    </row>
    <row r="503" spans="3:6" ht="14.25" customHeight="1" x14ac:dyDescent="0.35">
      <c r="C503" s="7"/>
      <c r="F503" s="7"/>
    </row>
    <row r="504" spans="3:6" ht="14.25" customHeight="1" x14ac:dyDescent="0.35">
      <c r="C504" s="7"/>
      <c r="F504" s="7"/>
    </row>
    <row r="505" spans="3:6" ht="14.25" customHeight="1" x14ac:dyDescent="0.35">
      <c r="C505" s="7"/>
      <c r="F505" s="7"/>
    </row>
    <row r="506" spans="3:6" ht="14.25" customHeight="1" x14ac:dyDescent="0.35">
      <c r="C506" s="7"/>
      <c r="F506" s="7"/>
    </row>
    <row r="507" spans="3:6" ht="14.25" customHeight="1" x14ac:dyDescent="0.35">
      <c r="C507" s="7"/>
      <c r="F507" s="7"/>
    </row>
    <row r="508" spans="3:6" ht="14.25" customHeight="1" x14ac:dyDescent="0.35">
      <c r="C508" s="7"/>
      <c r="F508" s="7"/>
    </row>
    <row r="509" spans="3:6" ht="14.25" customHeight="1" x14ac:dyDescent="0.35">
      <c r="C509" s="7"/>
      <c r="F509" s="7"/>
    </row>
    <row r="510" spans="3:6" ht="14.25" customHeight="1" x14ac:dyDescent="0.35">
      <c r="C510" s="7"/>
      <c r="F510" s="7"/>
    </row>
    <row r="511" spans="3:6" ht="14.25" customHeight="1" x14ac:dyDescent="0.35">
      <c r="C511" s="7"/>
      <c r="F511" s="7"/>
    </row>
    <row r="512" spans="3:6" ht="14.25" customHeight="1" x14ac:dyDescent="0.35">
      <c r="C512" s="7"/>
      <c r="F512" s="7"/>
    </row>
    <row r="513" spans="3:6" ht="14.25" customHeight="1" x14ac:dyDescent="0.35">
      <c r="C513" s="7"/>
      <c r="F513" s="7"/>
    </row>
    <row r="514" spans="3:6" ht="14.25" customHeight="1" x14ac:dyDescent="0.35">
      <c r="C514" s="7"/>
      <c r="F514" s="7"/>
    </row>
    <row r="515" spans="3:6" ht="14.25" customHeight="1" x14ac:dyDescent="0.35">
      <c r="C515" s="7"/>
      <c r="F515" s="7"/>
    </row>
    <row r="516" spans="3:6" ht="14.25" customHeight="1" x14ac:dyDescent="0.35">
      <c r="C516" s="7"/>
      <c r="F516" s="7"/>
    </row>
    <row r="517" spans="3:6" ht="14.25" customHeight="1" x14ac:dyDescent="0.35">
      <c r="C517" s="7"/>
      <c r="F517" s="7"/>
    </row>
    <row r="518" spans="3:6" ht="14.25" customHeight="1" x14ac:dyDescent="0.35">
      <c r="C518" s="7"/>
      <c r="F518" s="7"/>
    </row>
    <row r="519" spans="3:6" ht="14.25" customHeight="1" x14ac:dyDescent="0.35">
      <c r="C519" s="7"/>
      <c r="F519" s="7"/>
    </row>
    <row r="520" spans="3:6" ht="14.25" customHeight="1" x14ac:dyDescent="0.35">
      <c r="C520" s="7"/>
      <c r="F520" s="7"/>
    </row>
    <row r="521" spans="3:6" ht="14.25" customHeight="1" x14ac:dyDescent="0.35">
      <c r="C521" s="7"/>
      <c r="F521" s="7"/>
    </row>
    <row r="522" spans="3:6" ht="14.25" customHeight="1" x14ac:dyDescent="0.35">
      <c r="C522" s="7"/>
      <c r="F522" s="7"/>
    </row>
    <row r="523" spans="3:6" ht="14.25" customHeight="1" x14ac:dyDescent="0.35">
      <c r="C523" s="7"/>
      <c r="F523" s="7"/>
    </row>
    <row r="524" spans="3:6" ht="14.25" customHeight="1" x14ac:dyDescent="0.35">
      <c r="C524" s="7"/>
      <c r="F524" s="7"/>
    </row>
    <row r="525" spans="3:6" ht="14.25" customHeight="1" x14ac:dyDescent="0.35">
      <c r="C525" s="7"/>
      <c r="F525" s="7"/>
    </row>
    <row r="526" spans="3:6" ht="14.25" customHeight="1" x14ac:dyDescent="0.35">
      <c r="C526" s="7"/>
      <c r="F526" s="7"/>
    </row>
    <row r="527" spans="3:6" ht="14.25" customHeight="1" x14ac:dyDescent="0.35">
      <c r="C527" s="7"/>
      <c r="F527" s="7"/>
    </row>
    <row r="528" spans="3:6" ht="14.25" customHeight="1" x14ac:dyDescent="0.35">
      <c r="C528" s="7"/>
      <c r="F528" s="7"/>
    </row>
    <row r="529" spans="3:6" ht="14.25" customHeight="1" x14ac:dyDescent="0.35">
      <c r="C529" s="7"/>
      <c r="F529" s="7"/>
    </row>
    <row r="530" spans="3:6" ht="14.25" customHeight="1" x14ac:dyDescent="0.35">
      <c r="C530" s="7"/>
      <c r="F530" s="7"/>
    </row>
    <row r="531" spans="3:6" ht="14.25" customHeight="1" x14ac:dyDescent="0.35">
      <c r="C531" s="7"/>
      <c r="F531" s="7"/>
    </row>
    <row r="532" spans="3:6" ht="14.25" customHeight="1" x14ac:dyDescent="0.35">
      <c r="C532" s="7"/>
      <c r="F532" s="7"/>
    </row>
    <row r="533" spans="3:6" ht="14.25" customHeight="1" x14ac:dyDescent="0.35">
      <c r="C533" s="7"/>
      <c r="F533" s="7"/>
    </row>
    <row r="534" spans="3:6" ht="14.25" customHeight="1" x14ac:dyDescent="0.35">
      <c r="C534" s="7"/>
      <c r="F534" s="7"/>
    </row>
    <row r="535" spans="3:6" ht="14.25" customHeight="1" x14ac:dyDescent="0.35">
      <c r="C535" s="7"/>
      <c r="F535" s="7"/>
    </row>
    <row r="536" spans="3:6" ht="14.25" customHeight="1" x14ac:dyDescent="0.35">
      <c r="C536" s="7"/>
      <c r="F536" s="7"/>
    </row>
    <row r="537" spans="3:6" ht="14.25" customHeight="1" x14ac:dyDescent="0.35">
      <c r="C537" s="7"/>
      <c r="F537" s="7"/>
    </row>
    <row r="538" spans="3:6" ht="14.25" customHeight="1" x14ac:dyDescent="0.35">
      <c r="C538" s="7"/>
      <c r="F538" s="7"/>
    </row>
    <row r="539" spans="3:6" ht="14.25" customHeight="1" x14ac:dyDescent="0.35">
      <c r="C539" s="7"/>
      <c r="F539" s="7"/>
    </row>
    <row r="540" spans="3:6" ht="14.25" customHeight="1" x14ac:dyDescent="0.35">
      <c r="C540" s="7"/>
      <c r="F540" s="7"/>
    </row>
    <row r="541" spans="3:6" ht="14.25" customHeight="1" x14ac:dyDescent="0.35">
      <c r="C541" s="7"/>
      <c r="F541" s="7"/>
    </row>
    <row r="542" spans="3:6" ht="14.25" customHeight="1" x14ac:dyDescent="0.35">
      <c r="C542" s="7"/>
      <c r="F542" s="7"/>
    </row>
    <row r="543" spans="3:6" ht="14.25" customHeight="1" x14ac:dyDescent="0.35">
      <c r="C543" s="7"/>
      <c r="F543" s="7"/>
    </row>
    <row r="544" spans="3:6" ht="14.25" customHeight="1" x14ac:dyDescent="0.35">
      <c r="C544" s="7"/>
      <c r="F544" s="7"/>
    </row>
    <row r="545" spans="3:6" ht="14.25" customHeight="1" x14ac:dyDescent="0.35">
      <c r="C545" s="7"/>
      <c r="F545" s="7"/>
    </row>
    <row r="546" spans="3:6" ht="14.25" customHeight="1" x14ac:dyDescent="0.35">
      <c r="C546" s="7"/>
      <c r="F546" s="7"/>
    </row>
    <row r="547" spans="3:6" ht="14.25" customHeight="1" x14ac:dyDescent="0.35">
      <c r="C547" s="7"/>
      <c r="F547" s="7"/>
    </row>
    <row r="548" spans="3:6" ht="14.25" customHeight="1" x14ac:dyDescent="0.35">
      <c r="C548" s="7"/>
      <c r="F548" s="7"/>
    </row>
    <row r="549" spans="3:6" ht="14.25" customHeight="1" x14ac:dyDescent="0.35">
      <c r="C549" s="7"/>
      <c r="F549" s="7"/>
    </row>
    <row r="550" spans="3:6" ht="14.25" customHeight="1" x14ac:dyDescent="0.35">
      <c r="C550" s="7"/>
      <c r="F550" s="7"/>
    </row>
    <row r="551" spans="3:6" ht="14.25" customHeight="1" x14ac:dyDescent="0.35">
      <c r="C551" s="7"/>
      <c r="F551" s="7"/>
    </row>
    <row r="552" spans="3:6" ht="14.25" customHeight="1" x14ac:dyDescent="0.35">
      <c r="C552" s="7"/>
      <c r="F552" s="7"/>
    </row>
    <row r="553" spans="3:6" ht="14.25" customHeight="1" x14ac:dyDescent="0.35">
      <c r="C553" s="7"/>
      <c r="F553" s="7"/>
    </row>
    <row r="554" spans="3:6" ht="14.25" customHeight="1" x14ac:dyDescent="0.35">
      <c r="C554" s="7"/>
      <c r="F554" s="7"/>
    </row>
    <row r="555" spans="3:6" ht="14.25" customHeight="1" x14ac:dyDescent="0.35">
      <c r="C555" s="7"/>
      <c r="F555" s="7"/>
    </row>
    <row r="556" spans="3:6" ht="14.25" customHeight="1" x14ac:dyDescent="0.35">
      <c r="C556" s="7"/>
      <c r="F556" s="7"/>
    </row>
    <row r="557" spans="3:6" ht="14.25" customHeight="1" x14ac:dyDescent="0.35">
      <c r="C557" s="7"/>
      <c r="F557" s="7"/>
    </row>
    <row r="558" spans="3:6" ht="14.25" customHeight="1" x14ac:dyDescent="0.35">
      <c r="C558" s="7"/>
      <c r="F558" s="7"/>
    </row>
    <row r="559" spans="3:6" ht="14.25" customHeight="1" x14ac:dyDescent="0.35">
      <c r="C559" s="7"/>
      <c r="F559" s="7"/>
    </row>
    <row r="560" spans="3:6" ht="14.25" customHeight="1" x14ac:dyDescent="0.35">
      <c r="C560" s="7"/>
      <c r="F560" s="7"/>
    </row>
    <row r="561" spans="3:6" ht="14.25" customHeight="1" x14ac:dyDescent="0.35">
      <c r="C561" s="7"/>
      <c r="F561" s="7"/>
    </row>
    <row r="562" spans="3:6" ht="14.25" customHeight="1" x14ac:dyDescent="0.35">
      <c r="C562" s="7"/>
      <c r="F562" s="7"/>
    </row>
    <row r="563" spans="3:6" ht="14.25" customHeight="1" x14ac:dyDescent="0.35">
      <c r="C563" s="7"/>
      <c r="F563" s="7"/>
    </row>
    <row r="564" spans="3:6" ht="14.25" customHeight="1" x14ac:dyDescent="0.35">
      <c r="C564" s="7"/>
      <c r="F564" s="7"/>
    </row>
    <row r="565" spans="3:6" ht="14.25" customHeight="1" x14ac:dyDescent="0.35">
      <c r="C565" s="7"/>
      <c r="F565" s="7"/>
    </row>
    <row r="566" spans="3:6" ht="14.25" customHeight="1" x14ac:dyDescent="0.35">
      <c r="C566" s="7"/>
      <c r="F566" s="7"/>
    </row>
    <row r="567" spans="3:6" ht="14.25" customHeight="1" x14ac:dyDescent="0.35">
      <c r="C567" s="7"/>
      <c r="F567" s="7"/>
    </row>
    <row r="568" spans="3:6" ht="14.25" customHeight="1" x14ac:dyDescent="0.35">
      <c r="C568" s="7"/>
      <c r="F568" s="7"/>
    </row>
    <row r="569" spans="3:6" ht="14.25" customHeight="1" x14ac:dyDescent="0.35">
      <c r="C569" s="7"/>
      <c r="F569" s="7"/>
    </row>
    <row r="570" spans="3:6" ht="14.25" customHeight="1" x14ac:dyDescent="0.35">
      <c r="C570" s="7"/>
      <c r="F570" s="7"/>
    </row>
    <row r="571" spans="3:6" ht="14.25" customHeight="1" x14ac:dyDescent="0.35">
      <c r="C571" s="7"/>
      <c r="F571" s="7"/>
    </row>
    <row r="572" spans="3:6" ht="14.25" customHeight="1" x14ac:dyDescent="0.35">
      <c r="C572" s="7"/>
      <c r="F572" s="7"/>
    </row>
    <row r="573" spans="3:6" ht="14.25" customHeight="1" x14ac:dyDescent="0.35">
      <c r="C573" s="7"/>
      <c r="F573" s="7"/>
    </row>
    <row r="574" spans="3:6" ht="14.25" customHeight="1" x14ac:dyDescent="0.35">
      <c r="C574" s="7"/>
      <c r="F574" s="7"/>
    </row>
    <row r="575" spans="3:6" ht="14.25" customHeight="1" x14ac:dyDescent="0.35">
      <c r="C575" s="7"/>
      <c r="F575" s="7"/>
    </row>
    <row r="576" spans="3:6" ht="14.25" customHeight="1" x14ac:dyDescent="0.35">
      <c r="C576" s="7"/>
      <c r="F576" s="7"/>
    </row>
    <row r="577" spans="3:6" ht="14.25" customHeight="1" x14ac:dyDescent="0.35">
      <c r="C577" s="7"/>
      <c r="F577" s="7"/>
    </row>
    <row r="578" spans="3:6" ht="14.25" customHeight="1" x14ac:dyDescent="0.35">
      <c r="C578" s="7"/>
      <c r="F578" s="7"/>
    </row>
    <row r="579" spans="3:6" ht="14.25" customHeight="1" x14ac:dyDescent="0.35">
      <c r="C579" s="7"/>
      <c r="F579" s="7"/>
    </row>
    <row r="580" spans="3:6" ht="14.25" customHeight="1" x14ac:dyDescent="0.35">
      <c r="C580" s="7"/>
      <c r="F580" s="7"/>
    </row>
    <row r="581" spans="3:6" ht="14.25" customHeight="1" x14ac:dyDescent="0.35">
      <c r="C581" s="7"/>
      <c r="F581" s="7"/>
    </row>
    <row r="582" spans="3:6" ht="14.25" customHeight="1" x14ac:dyDescent="0.35">
      <c r="C582" s="7"/>
      <c r="F582" s="7"/>
    </row>
    <row r="583" spans="3:6" ht="14.25" customHeight="1" x14ac:dyDescent="0.35">
      <c r="C583" s="7"/>
      <c r="F583" s="7"/>
    </row>
    <row r="584" spans="3:6" ht="14.25" customHeight="1" x14ac:dyDescent="0.35">
      <c r="C584" s="7"/>
      <c r="F584" s="7"/>
    </row>
    <row r="585" spans="3:6" ht="14.25" customHeight="1" x14ac:dyDescent="0.35">
      <c r="C585" s="7"/>
      <c r="F585" s="7"/>
    </row>
    <row r="586" spans="3:6" ht="14.25" customHeight="1" x14ac:dyDescent="0.35">
      <c r="C586" s="7"/>
      <c r="F586" s="7"/>
    </row>
    <row r="587" spans="3:6" ht="14.25" customHeight="1" x14ac:dyDescent="0.35">
      <c r="C587" s="7"/>
      <c r="F587" s="7"/>
    </row>
    <row r="588" spans="3:6" ht="14.25" customHeight="1" x14ac:dyDescent="0.35">
      <c r="C588" s="7"/>
      <c r="F588" s="7"/>
    </row>
    <row r="589" spans="3:6" ht="14.25" customHeight="1" x14ac:dyDescent="0.35">
      <c r="C589" s="7"/>
      <c r="F589" s="7"/>
    </row>
    <row r="590" spans="3:6" ht="14.25" customHeight="1" x14ac:dyDescent="0.35">
      <c r="C590" s="7"/>
      <c r="F590" s="7"/>
    </row>
    <row r="591" spans="3:6" ht="14.25" customHeight="1" x14ac:dyDescent="0.35">
      <c r="C591" s="7"/>
      <c r="F591" s="7"/>
    </row>
    <row r="592" spans="3:6" ht="14.25" customHeight="1" x14ac:dyDescent="0.35">
      <c r="C592" s="7"/>
      <c r="F592" s="7"/>
    </row>
    <row r="593" spans="3:6" ht="14.25" customHeight="1" x14ac:dyDescent="0.35">
      <c r="C593" s="7"/>
      <c r="F593" s="7"/>
    </row>
    <row r="594" spans="3:6" ht="14.25" customHeight="1" x14ac:dyDescent="0.35">
      <c r="C594" s="7"/>
      <c r="F594" s="7"/>
    </row>
    <row r="595" spans="3:6" ht="14.25" customHeight="1" x14ac:dyDescent="0.35">
      <c r="C595" s="7"/>
      <c r="F595" s="7"/>
    </row>
    <row r="596" spans="3:6" ht="14.25" customHeight="1" x14ac:dyDescent="0.35">
      <c r="C596" s="7"/>
      <c r="F596" s="7"/>
    </row>
    <row r="597" spans="3:6" ht="14.25" customHeight="1" x14ac:dyDescent="0.35">
      <c r="C597" s="7"/>
      <c r="F597" s="7"/>
    </row>
    <row r="598" spans="3:6" ht="14.25" customHeight="1" x14ac:dyDescent="0.35">
      <c r="C598" s="7"/>
      <c r="F598" s="7"/>
    </row>
    <row r="599" spans="3:6" ht="14.25" customHeight="1" x14ac:dyDescent="0.35">
      <c r="C599" s="7"/>
      <c r="F599" s="7"/>
    </row>
    <row r="600" spans="3:6" ht="14.25" customHeight="1" x14ac:dyDescent="0.35">
      <c r="C600" s="7"/>
      <c r="F600" s="7"/>
    </row>
    <row r="601" spans="3:6" ht="14.25" customHeight="1" x14ac:dyDescent="0.35">
      <c r="C601" s="7"/>
      <c r="F601" s="7"/>
    </row>
    <row r="602" spans="3:6" ht="14.25" customHeight="1" x14ac:dyDescent="0.35">
      <c r="C602" s="7"/>
      <c r="F602" s="7"/>
    </row>
    <row r="603" spans="3:6" ht="14.25" customHeight="1" x14ac:dyDescent="0.35">
      <c r="C603" s="7"/>
      <c r="F603" s="7"/>
    </row>
    <row r="604" spans="3:6" ht="14.25" customHeight="1" x14ac:dyDescent="0.35">
      <c r="C604" s="7"/>
      <c r="F604" s="7"/>
    </row>
    <row r="605" spans="3:6" ht="14.25" customHeight="1" x14ac:dyDescent="0.35">
      <c r="C605" s="7"/>
      <c r="F605" s="7"/>
    </row>
    <row r="606" spans="3:6" ht="14.25" customHeight="1" x14ac:dyDescent="0.35">
      <c r="C606" s="7"/>
      <c r="F606" s="7"/>
    </row>
    <row r="607" spans="3:6" ht="14.25" customHeight="1" x14ac:dyDescent="0.35">
      <c r="C607" s="7"/>
      <c r="F607" s="7"/>
    </row>
    <row r="608" spans="3:6" ht="14.25" customHeight="1" x14ac:dyDescent="0.35">
      <c r="C608" s="7"/>
      <c r="F608" s="7"/>
    </row>
    <row r="609" spans="3:6" ht="14.25" customHeight="1" x14ac:dyDescent="0.35">
      <c r="C609" s="7"/>
      <c r="F609" s="7"/>
    </row>
    <row r="610" spans="3:6" ht="14.25" customHeight="1" x14ac:dyDescent="0.35">
      <c r="C610" s="7"/>
      <c r="F610" s="7"/>
    </row>
    <row r="611" spans="3:6" ht="14.25" customHeight="1" x14ac:dyDescent="0.35">
      <c r="C611" s="7"/>
      <c r="F611" s="7"/>
    </row>
    <row r="612" spans="3:6" ht="14.25" customHeight="1" x14ac:dyDescent="0.35">
      <c r="C612" s="7"/>
      <c r="F612" s="7"/>
    </row>
    <row r="613" spans="3:6" ht="14.25" customHeight="1" x14ac:dyDescent="0.35">
      <c r="C613" s="7"/>
      <c r="F613" s="7"/>
    </row>
    <row r="614" spans="3:6" ht="14.25" customHeight="1" x14ac:dyDescent="0.35">
      <c r="C614" s="7"/>
      <c r="F614" s="7"/>
    </row>
    <row r="615" spans="3:6" ht="14.25" customHeight="1" x14ac:dyDescent="0.35">
      <c r="C615" s="7"/>
      <c r="F615" s="7"/>
    </row>
    <row r="616" spans="3:6" ht="14.25" customHeight="1" x14ac:dyDescent="0.35">
      <c r="C616" s="7"/>
      <c r="F616" s="7"/>
    </row>
    <row r="617" spans="3:6" ht="14.25" customHeight="1" x14ac:dyDescent="0.35">
      <c r="C617" s="7"/>
      <c r="F617" s="7"/>
    </row>
    <row r="618" spans="3:6" ht="14.25" customHeight="1" x14ac:dyDescent="0.35">
      <c r="C618" s="7"/>
      <c r="F618" s="7"/>
    </row>
    <row r="619" spans="3:6" ht="14.25" customHeight="1" x14ac:dyDescent="0.35">
      <c r="C619" s="7"/>
      <c r="F619" s="7"/>
    </row>
    <row r="620" spans="3:6" ht="14.25" customHeight="1" x14ac:dyDescent="0.35">
      <c r="C620" s="7"/>
      <c r="F620" s="7"/>
    </row>
    <row r="621" spans="3:6" ht="14.25" customHeight="1" x14ac:dyDescent="0.35">
      <c r="C621" s="7"/>
      <c r="F621" s="7"/>
    </row>
    <row r="622" spans="3:6" ht="14.25" customHeight="1" x14ac:dyDescent="0.35">
      <c r="C622" s="7"/>
      <c r="F622" s="7"/>
    </row>
    <row r="623" spans="3:6" ht="14.25" customHeight="1" x14ac:dyDescent="0.35">
      <c r="C623" s="7"/>
      <c r="F623" s="7"/>
    </row>
    <row r="624" spans="3:6" ht="14.25" customHeight="1" x14ac:dyDescent="0.35">
      <c r="C624" s="7"/>
      <c r="F624" s="7"/>
    </row>
    <row r="625" spans="3:6" ht="14.25" customHeight="1" x14ac:dyDescent="0.35">
      <c r="C625" s="7"/>
      <c r="F625" s="7"/>
    </row>
    <row r="626" spans="3:6" ht="14.25" customHeight="1" x14ac:dyDescent="0.35">
      <c r="C626" s="7"/>
      <c r="F626" s="7"/>
    </row>
    <row r="627" spans="3:6" ht="14.25" customHeight="1" x14ac:dyDescent="0.35">
      <c r="C627" s="7"/>
      <c r="F627" s="7"/>
    </row>
    <row r="628" spans="3:6" ht="14.25" customHeight="1" x14ac:dyDescent="0.35">
      <c r="C628" s="7"/>
      <c r="F628" s="7"/>
    </row>
    <row r="629" spans="3:6" ht="14.25" customHeight="1" x14ac:dyDescent="0.35">
      <c r="C629" s="7"/>
      <c r="F629" s="7"/>
    </row>
    <row r="630" spans="3:6" ht="14.25" customHeight="1" x14ac:dyDescent="0.35">
      <c r="C630" s="7"/>
      <c r="F630" s="7"/>
    </row>
    <row r="631" spans="3:6" ht="14.25" customHeight="1" x14ac:dyDescent="0.35">
      <c r="C631" s="7"/>
      <c r="F631" s="7"/>
    </row>
    <row r="632" spans="3:6" ht="14.25" customHeight="1" x14ac:dyDescent="0.35">
      <c r="C632" s="7"/>
      <c r="F632" s="7"/>
    </row>
    <row r="633" spans="3:6" ht="14.25" customHeight="1" x14ac:dyDescent="0.35">
      <c r="C633" s="7"/>
      <c r="F633" s="7"/>
    </row>
    <row r="634" spans="3:6" ht="14.25" customHeight="1" x14ac:dyDescent="0.35">
      <c r="C634" s="7"/>
      <c r="F634" s="7"/>
    </row>
    <row r="635" spans="3:6" ht="14.25" customHeight="1" x14ac:dyDescent="0.35">
      <c r="C635" s="7"/>
      <c r="F635" s="7"/>
    </row>
    <row r="636" spans="3:6" ht="14.25" customHeight="1" x14ac:dyDescent="0.35">
      <c r="C636" s="7"/>
      <c r="F636" s="7"/>
    </row>
    <row r="637" spans="3:6" ht="14.25" customHeight="1" x14ac:dyDescent="0.35">
      <c r="C637" s="7"/>
      <c r="F637" s="7"/>
    </row>
    <row r="638" spans="3:6" ht="14.25" customHeight="1" x14ac:dyDescent="0.35">
      <c r="C638" s="7"/>
      <c r="F638" s="7"/>
    </row>
    <row r="639" spans="3:6" ht="14.25" customHeight="1" x14ac:dyDescent="0.35">
      <c r="C639" s="7"/>
      <c r="F639" s="7"/>
    </row>
    <row r="640" spans="3:6" ht="14.25" customHeight="1" x14ac:dyDescent="0.35">
      <c r="C640" s="7"/>
      <c r="F640" s="7"/>
    </row>
    <row r="641" spans="3:6" ht="14.25" customHeight="1" x14ac:dyDescent="0.35">
      <c r="C641" s="7"/>
      <c r="F641" s="7"/>
    </row>
    <row r="642" spans="3:6" ht="14.25" customHeight="1" x14ac:dyDescent="0.35">
      <c r="C642" s="7"/>
      <c r="F642" s="7"/>
    </row>
    <row r="643" spans="3:6" ht="14.25" customHeight="1" x14ac:dyDescent="0.35">
      <c r="C643" s="7"/>
      <c r="F643" s="7"/>
    </row>
    <row r="644" spans="3:6" ht="14.25" customHeight="1" x14ac:dyDescent="0.35">
      <c r="C644" s="7"/>
      <c r="F644" s="7"/>
    </row>
    <row r="645" spans="3:6" ht="14.25" customHeight="1" x14ac:dyDescent="0.35">
      <c r="C645" s="7"/>
      <c r="F645" s="7"/>
    </row>
    <row r="646" spans="3:6" ht="14.25" customHeight="1" x14ac:dyDescent="0.35">
      <c r="C646" s="7"/>
      <c r="F646" s="7"/>
    </row>
    <row r="647" spans="3:6" ht="14.25" customHeight="1" x14ac:dyDescent="0.35">
      <c r="C647" s="7"/>
      <c r="F647" s="7"/>
    </row>
    <row r="648" spans="3:6" ht="14.25" customHeight="1" x14ac:dyDescent="0.35">
      <c r="C648" s="7"/>
      <c r="F648" s="7"/>
    </row>
    <row r="649" spans="3:6" ht="14.25" customHeight="1" x14ac:dyDescent="0.35">
      <c r="C649" s="7"/>
      <c r="F649" s="7"/>
    </row>
    <row r="650" spans="3:6" ht="14.25" customHeight="1" x14ac:dyDescent="0.35">
      <c r="C650" s="7"/>
      <c r="F650" s="7"/>
    </row>
    <row r="651" spans="3:6" ht="14.25" customHeight="1" x14ac:dyDescent="0.35">
      <c r="C651" s="7"/>
      <c r="F651" s="7"/>
    </row>
    <row r="652" spans="3:6" ht="14.25" customHeight="1" x14ac:dyDescent="0.35">
      <c r="C652" s="7"/>
      <c r="F652" s="7"/>
    </row>
    <row r="653" spans="3:6" ht="14.25" customHeight="1" x14ac:dyDescent="0.35">
      <c r="C653" s="7"/>
      <c r="F653" s="7"/>
    </row>
    <row r="654" spans="3:6" ht="14.25" customHeight="1" x14ac:dyDescent="0.35">
      <c r="C654" s="7"/>
      <c r="F654" s="7"/>
    </row>
    <row r="655" spans="3:6" ht="14.25" customHeight="1" x14ac:dyDescent="0.35">
      <c r="C655" s="7"/>
      <c r="F655" s="7"/>
    </row>
    <row r="656" spans="3:6" ht="14.25" customHeight="1" x14ac:dyDescent="0.35">
      <c r="C656" s="7"/>
      <c r="F656" s="7"/>
    </row>
    <row r="657" spans="3:6" ht="14.25" customHeight="1" x14ac:dyDescent="0.35">
      <c r="C657" s="7"/>
      <c r="F657" s="7"/>
    </row>
    <row r="658" spans="3:6" ht="14.25" customHeight="1" x14ac:dyDescent="0.35">
      <c r="C658" s="7"/>
      <c r="F658" s="7"/>
    </row>
    <row r="659" spans="3:6" ht="14.25" customHeight="1" x14ac:dyDescent="0.35">
      <c r="C659" s="7"/>
      <c r="F659" s="7"/>
    </row>
    <row r="660" spans="3:6" ht="14.25" customHeight="1" x14ac:dyDescent="0.35">
      <c r="C660" s="7"/>
      <c r="F660" s="7"/>
    </row>
    <row r="661" spans="3:6" ht="14.25" customHeight="1" x14ac:dyDescent="0.35">
      <c r="C661" s="7"/>
      <c r="F661" s="7"/>
    </row>
    <row r="662" spans="3:6" ht="14.25" customHeight="1" x14ac:dyDescent="0.35">
      <c r="C662" s="7"/>
      <c r="F662" s="7"/>
    </row>
    <row r="663" spans="3:6" ht="14.25" customHeight="1" x14ac:dyDescent="0.35">
      <c r="C663" s="7"/>
      <c r="F663" s="7"/>
    </row>
    <row r="664" spans="3:6" ht="14.25" customHeight="1" x14ac:dyDescent="0.35">
      <c r="C664" s="7"/>
      <c r="F664" s="7"/>
    </row>
    <row r="665" spans="3:6" ht="14.25" customHeight="1" x14ac:dyDescent="0.35">
      <c r="C665" s="7"/>
      <c r="F665" s="7"/>
    </row>
    <row r="666" spans="3:6" ht="14.25" customHeight="1" x14ac:dyDescent="0.35">
      <c r="C666" s="7"/>
      <c r="F666" s="7"/>
    </row>
    <row r="667" spans="3:6" ht="14.25" customHeight="1" x14ac:dyDescent="0.35">
      <c r="C667" s="7"/>
      <c r="F667" s="7"/>
    </row>
    <row r="668" spans="3:6" ht="14.25" customHeight="1" x14ac:dyDescent="0.35">
      <c r="C668" s="7"/>
      <c r="F668" s="7"/>
    </row>
    <row r="669" spans="3:6" ht="14.25" customHeight="1" x14ac:dyDescent="0.35">
      <c r="C669" s="7"/>
      <c r="F669" s="7"/>
    </row>
    <row r="670" spans="3:6" ht="14.25" customHeight="1" x14ac:dyDescent="0.35">
      <c r="C670" s="7"/>
      <c r="F670" s="7"/>
    </row>
    <row r="671" spans="3:6" ht="14.25" customHeight="1" x14ac:dyDescent="0.35">
      <c r="C671" s="7"/>
      <c r="F671" s="7"/>
    </row>
    <row r="672" spans="3:6" ht="14.25" customHeight="1" x14ac:dyDescent="0.35">
      <c r="C672" s="7"/>
      <c r="F672" s="7"/>
    </row>
    <row r="673" spans="3:6" ht="14.25" customHeight="1" x14ac:dyDescent="0.35">
      <c r="C673" s="7"/>
      <c r="F673" s="7"/>
    </row>
    <row r="674" spans="3:6" ht="14.25" customHeight="1" x14ac:dyDescent="0.35">
      <c r="C674" s="7"/>
      <c r="F674" s="7"/>
    </row>
    <row r="675" spans="3:6" ht="14.25" customHeight="1" x14ac:dyDescent="0.35">
      <c r="C675" s="7"/>
      <c r="F675" s="7"/>
    </row>
    <row r="676" spans="3:6" ht="14.25" customHeight="1" x14ac:dyDescent="0.35">
      <c r="C676" s="7"/>
      <c r="F676" s="7"/>
    </row>
    <row r="677" spans="3:6" ht="14.25" customHeight="1" x14ac:dyDescent="0.35">
      <c r="C677" s="7"/>
      <c r="F677" s="7"/>
    </row>
    <row r="678" spans="3:6" ht="14.25" customHeight="1" x14ac:dyDescent="0.35">
      <c r="C678" s="7"/>
      <c r="F678" s="7"/>
    </row>
    <row r="679" spans="3:6" ht="14.25" customHeight="1" x14ac:dyDescent="0.35">
      <c r="C679" s="7"/>
      <c r="F679" s="7"/>
    </row>
    <row r="680" spans="3:6" ht="14.25" customHeight="1" x14ac:dyDescent="0.35">
      <c r="C680" s="7"/>
      <c r="F680" s="7"/>
    </row>
    <row r="681" spans="3:6" ht="14.25" customHeight="1" x14ac:dyDescent="0.35">
      <c r="C681" s="7"/>
      <c r="F681" s="7"/>
    </row>
    <row r="682" spans="3:6" ht="14.25" customHeight="1" x14ac:dyDescent="0.35">
      <c r="C682" s="7"/>
      <c r="F682" s="7"/>
    </row>
    <row r="683" spans="3:6" ht="14.25" customHeight="1" x14ac:dyDescent="0.35">
      <c r="C683" s="7"/>
      <c r="F683" s="7"/>
    </row>
    <row r="684" spans="3:6" ht="14.25" customHeight="1" x14ac:dyDescent="0.35">
      <c r="C684" s="7"/>
      <c r="F684" s="7"/>
    </row>
    <row r="685" spans="3:6" ht="14.25" customHeight="1" x14ac:dyDescent="0.35">
      <c r="C685" s="7"/>
      <c r="F685" s="7"/>
    </row>
    <row r="686" spans="3:6" ht="14.25" customHeight="1" x14ac:dyDescent="0.35">
      <c r="C686" s="7"/>
      <c r="F686" s="7"/>
    </row>
    <row r="687" spans="3:6" ht="14.25" customHeight="1" x14ac:dyDescent="0.35">
      <c r="C687" s="7"/>
      <c r="F687" s="7"/>
    </row>
    <row r="688" spans="3:6" ht="14.25" customHeight="1" x14ac:dyDescent="0.35">
      <c r="C688" s="7"/>
      <c r="F688" s="7"/>
    </row>
    <row r="689" spans="3:6" ht="14.25" customHeight="1" x14ac:dyDescent="0.35">
      <c r="C689" s="7"/>
      <c r="F689" s="7"/>
    </row>
    <row r="690" spans="3:6" ht="14.25" customHeight="1" x14ac:dyDescent="0.35">
      <c r="C690" s="7"/>
      <c r="F690" s="7"/>
    </row>
    <row r="691" spans="3:6" ht="14.25" customHeight="1" x14ac:dyDescent="0.35">
      <c r="C691" s="7"/>
      <c r="F691" s="7"/>
    </row>
    <row r="692" spans="3:6" ht="14.25" customHeight="1" x14ac:dyDescent="0.35">
      <c r="C692" s="7"/>
      <c r="F692" s="7"/>
    </row>
    <row r="693" spans="3:6" ht="14.25" customHeight="1" x14ac:dyDescent="0.35">
      <c r="C693" s="7"/>
      <c r="F693" s="7"/>
    </row>
    <row r="694" spans="3:6" ht="14.25" customHeight="1" x14ac:dyDescent="0.35">
      <c r="C694" s="7"/>
      <c r="F694" s="7"/>
    </row>
    <row r="695" spans="3:6" ht="14.25" customHeight="1" x14ac:dyDescent="0.35">
      <c r="C695" s="7"/>
      <c r="F695" s="7"/>
    </row>
    <row r="696" spans="3:6" ht="14.25" customHeight="1" x14ac:dyDescent="0.35">
      <c r="C696" s="7"/>
      <c r="F696" s="7"/>
    </row>
    <row r="697" spans="3:6" ht="14.25" customHeight="1" x14ac:dyDescent="0.35">
      <c r="C697" s="7"/>
      <c r="F697" s="7"/>
    </row>
    <row r="698" spans="3:6" ht="14.25" customHeight="1" x14ac:dyDescent="0.35">
      <c r="C698" s="7"/>
      <c r="F698" s="7"/>
    </row>
    <row r="699" spans="3:6" ht="14.25" customHeight="1" x14ac:dyDescent="0.35">
      <c r="C699" s="7"/>
      <c r="F699" s="7"/>
    </row>
    <row r="700" spans="3:6" ht="14.25" customHeight="1" x14ac:dyDescent="0.35">
      <c r="C700" s="7"/>
      <c r="F700" s="7"/>
    </row>
    <row r="701" spans="3:6" ht="14.25" customHeight="1" x14ac:dyDescent="0.35">
      <c r="C701" s="7"/>
      <c r="F701" s="7"/>
    </row>
    <row r="702" spans="3:6" ht="14.25" customHeight="1" x14ac:dyDescent="0.35">
      <c r="C702" s="7"/>
      <c r="F702" s="7"/>
    </row>
    <row r="703" spans="3:6" ht="14.25" customHeight="1" x14ac:dyDescent="0.35">
      <c r="C703" s="7"/>
      <c r="F703" s="7"/>
    </row>
    <row r="704" spans="3:6" ht="14.25" customHeight="1" x14ac:dyDescent="0.35">
      <c r="C704" s="7"/>
      <c r="F704" s="7"/>
    </row>
    <row r="705" spans="3:6" ht="14.25" customHeight="1" x14ac:dyDescent="0.35">
      <c r="C705" s="7"/>
      <c r="F705" s="7"/>
    </row>
    <row r="706" spans="3:6" ht="14.25" customHeight="1" x14ac:dyDescent="0.35">
      <c r="C706" s="7"/>
      <c r="F706" s="7"/>
    </row>
    <row r="707" spans="3:6" ht="14.25" customHeight="1" x14ac:dyDescent="0.35">
      <c r="C707" s="7"/>
      <c r="F707" s="7"/>
    </row>
    <row r="708" spans="3:6" ht="14.25" customHeight="1" x14ac:dyDescent="0.35">
      <c r="C708" s="7"/>
      <c r="F708" s="7"/>
    </row>
    <row r="709" spans="3:6" ht="14.25" customHeight="1" x14ac:dyDescent="0.35">
      <c r="C709" s="7"/>
      <c r="F709" s="7"/>
    </row>
    <row r="710" spans="3:6" ht="14.25" customHeight="1" x14ac:dyDescent="0.35">
      <c r="C710" s="7"/>
      <c r="F710" s="7"/>
    </row>
    <row r="711" spans="3:6" ht="14.25" customHeight="1" x14ac:dyDescent="0.35">
      <c r="C711" s="7"/>
      <c r="F711" s="7"/>
    </row>
    <row r="712" spans="3:6" ht="14.25" customHeight="1" x14ac:dyDescent="0.35">
      <c r="C712" s="7"/>
      <c r="F712" s="7"/>
    </row>
    <row r="713" spans="3:6" ht="14.25" customHeight="1" x14ac:dyDescent="0.35">
      <c r="C713" s="7"/>
      <c r="F713" s="7"/>
    </row>
    <row r="714" spans="3:6" ht="14.25" customHeight="1" x14ac:dyDescent="0.35">
      <c r="C714" s="7"/>
      <c r="F714" s="7"/>
    </row>
    <row r="715" spans="3:6" ht="14.25" customHeight="1" x14ac:dyDescent="0.35">
      <c r="C715" s="7"/>
      <c r="F715" s="7"/>
    </row>
    <row r="716" spans="3:6" ht="14.25" customHeight="1" x14ac:dyDescent="0.35">
      <c r="C716" s="7"/>
      <c r="F716" s="7"/>
    </row>
    <row r="717" spans="3:6" ht="14.25" customHeight="1" x14ac:dyDescent="0.35">
      <c r="C717" s="7"/>
      <c r="F717" s="7"/>
    </row>
    <row r="718" spans="3:6" ht="14.25" customHeight="1" x14ac:dyDescent="0.35">
      <c r="C718" s="7"/>
      <c r="F718" s="7"/>
    </row>
    <row r="719" spans="3:6" ht="14.25" customHeight="1" x14ac:dyDescent="0.35">
      <c r="C719" s="7"/>
      <c r="F719" s="7"/>
    </row>
    <row r="720" spans="3:6" ht="14.25" customHeight="1" x14ac:dyDescent="0.35">
      <c r="C720" s="7"/>
      <c r="F720" s="7"/>
    </row>
    <row r="721" spans="3:6" ht="14.25" customHeight="1" x14ac:dyDescent="0.35">
      <c r="C721" s="7"/>
      <c r="F721" s="7"/>
    </row>
    <row r="722" spans="3:6" ht="14.25" customHeight="1" x14ac:dyDescent="0.35">
      <c r="C722" s="7"/>
      <c r="F722" s="7"/>
    </row>
    <row r="723" spans="3:6" ht="14.25" customHeight="1" x14ac:dyDescent="0.35">
      <c r="C723" s="7"/>
      <c r="F723" s="7"/>
    </row>
    <row r="724" spans="3:6" ht="14.25" customHeight="1" x14ac:dyDescent="0.35">
      <c r="C724" s="7"/>
      <c r="F724" s="7"/>
    </row>
    <row r="725" spans="3:6" ht="14.25" customHeight="1" x14ac:dyDescent="0.35">
      <c r="C725" s="7"/>
      <c r="F725" s="7"/>
    </row>
    <row r="726" spans="3:6" ht="14.25" customHeight="1" x14ac:dyDescent="0.35">
      <c r="C726" s="7"/>
      <c r="F726" s="7"/>
    </row>
    <row r="727" spans="3:6" ht="14.25" customHeight="1" x14ac:dyDescent="0.35">
      <c r="C727" s="7"/>
      <c r="F727" s="7"/>
    </row>
    <row r="728" spans="3:6" ht="14.25" customHeight="1" x14ac:dyDescent="0.35">
      <c r="C728" s="7"/>
      <c r="F728" s="7"/>
    </row>
    <row r="729" spans="3:6" ht="14.25" customHeight="1" x14ac:dyDescent="0.35">
      <c r="C729" s="7"/>
      <c r="F729" s="7"/>
    </row>
    <row r="730" spans="3:6" ht="14.25" customHeight="1" x14ac:dyDescent="0.35">
      <c r="C730" s="7"/>
      <c r="F730" s="7"/>
    </row>
    <row r="731" spans="3:6" ht="14.25" customHeight="1" x14ac:dyDescent="0.35">
      <c r="C731" s="7"/>
      <c r="F731" s="7"/>
    </row>
    <row r="732" spans="3:6" ht="14.25" customHeight="1" x14ac:dyDescent="0.35">
      <c r="C732" s="7"/>
      <c r="F732" s="7"/>
    </row>
    <row r="733" spans="3:6" ht="14.25" customHeight="1" x14ac:dyDescent="0.35">
      <c r="C733" s="7"/>
      <c r="F733" s="7"/>
    </row>
    <row r="734" spans="3:6" ht="14.25" customHeight="1" x14ac:dyDescent="0.35">
      <c r="C734" s="7"/>
      <c r="F734" s="7"/>
    </row>
    <row r="735" spans="3:6" ht="14.25" customHeight="1" x14ac:dyDescent="0.35">
      <c r="C735" s="7"/>
      <c r="F735" s="7"/>
    </row>
    <row r="736" spans="3:6" ht="14.25" customHeight="1" x14ac:dyDescent="0.35">
      <c r="C736" s="7"/>
      <c r="F736" s="7"/>
    </row>
    <row r="737" spans="3:6" ht="14.25" customHeight="1" x14ac:dyDescent="0.35">
      <c r="C737" s="7"/>
      <c r="F737" s="7"/>
    </row>
    <row r="738" spans="3:6" ht="14.25" customHeight="1" x14ac:dyDescent="0.35">
      <c r="C738" s="7"/>
      <c r="F738" s="7"/>
    </row>
    <row r="739" spans="3:6" ht="14.25" customHeight="1" x14ac:dyDescent="0.35">
      <c r="C739" s="7"/>
      <c r="F739" s="7"/>
    </row>
    <row r="740" spans="3:6" ht="14.25" customHeight="1" x14ac:dyDescent="0.35">
      <c r="C740" s="7"/>
      <c r="F740" s="7"/>
    </row>
    <row r="741" spans="3:6" ht="14.25" customHeight="1" x14ac:dyDescent="0.35">
      <c r="C741" s="7"/>
      <c r="F741" s="7"/>
    </row>
    <row r="742" spans="3:6" ht="14.25" customHeight="1" x14ac:dyDescent="0.35">
      <c r="C742" s="7"/>
      <c r="F742" s="7"/>
    </row>
    <row r="743" spans="3:6" ht="14.25" customHeight="1" x14ac:dyDescent="0.35">
      <c r="C743" s="7"/>
      <c r="F743" s="7"/>
    </row>
    <row r="744" spans="3:6" ht="14.25" customHeight="1" x14ac:dyDescent="0.35">
      <c r="C744" s="7"/>
      <c r="F744" s="7"/>
    </row>
    <row r="745" spans="3:6" ht="14.25" customHeight="1" x14ac:dyDescent="0.35">
      <c r="C745" s="7"/>
      <c r="F745" s="7"/>
    </row>
    <row r="746" spans="3:6" ht="14.25" customHeight="1" x14ac:dyDescent="0.35">
      <c r="C746" s="7"/>
      <c r="F746" s="7"/>
    </row>
    <row r="747" spans="3:6" ht="14.25" customHeight="1" x14ac:dyDescent="0.35">
      <c r="C747" s="7"/>
      <c r="F747" s="7"/>
    </row>
    <row r="748" spans="3:6" ht="14.25" customHeight="1" x14ac:dyDescent="0.35">
      <c r="C748" s="7"/>
      <c r="F748" s="7"/>
    </row>
    <row r="749" spans="3:6" ht="14.25" customHeight="1" x14ac:dyDescent="0.35">
      <c r="C749" s="7"/>
      <c r="F749" s="7"/>
    </row>
    <row r="750" spans="3:6" ht="14.25" customHeight="1" x14ac:dyDescent="0.35">
      <c r="C750" s="7"/>
      <c r="F750" s="7"/>
    </row>
    <row r="751" spans="3:6" ht="14.25" customHeight="1" x14ac:dyDescent="0.35">
      <c r="C751" s="7"/>
      <c r="F751" s="7"/>
    </row>
    <row r="752" spans="3:6" ht="14.25" customHeight="1" x14ac:dyDescent="0.35">
      <c r="C752" s="7"/>
      <c r="F752" s="7"/>
    </row>
    <row r="753" spans="3:6" ht="14.25" customHeight="1" x14ac:dyDescent="0.35">
      <c r="C753" s="7"/>
      <c r="F753" s="7"/>
    </row>
    <row r="754" spans="3:6" ht="14.25" customHeight="1" x14ac:dyDescent="0.35">
      <c r="C754" s="7"/>
      <c r="F754" s="7"/>
    </row>
    <row r="755" spans="3:6" ht="14.25" customHeight="1" x14ac:dyDescent="0.35">
      <c r="C755" s="7"/>
      <c r="F755" s="7"/>
    </row>
    <row r="756" spans="3:6" ht="14.25" customHeight="1" x14ac:dyDescent="0.35">
      <c r="C756" s="7"/>
      <c r="F756" s="7"/>
    </row>
    <row r="757" spans="3:6" ht="14.25" customHeight="1" x14ac:dyDescent="0.35">
      <c r="C757" s="7"/>
      <c r="F757" s="7"/>
    </row>
    <row r="758" spans="3:6" ht="14.25" customHeight="1" x14ac:dyDescent="0.35">
      <c r="C758" s="7"/>
      <c r="F758" s="7"/>
    </row>
    <row r="759" spans="3:6" ht="14.25" customHeight="1" x14ac:dyDescent="0.35">
      <c r="C759" s="7"/>
      <c r="F759" s="7"/>
    </row>
    <row r="760" spans="3:6" ht="14.25" customHeight="1" x14ac:dyDescent="0.35">
      <c r="C760" s="7"/>
      <c r="F760" s="7"/>
    </row>
    <row r="761" spans="3:6" ht="14.25" customHeight="1" x14ac:dyDescent="0.35">
      <c r="C761" s="7"/>
      <c r="F761" s="7"/>
    </row>
    <row r="762" spans="3:6" ht="14.25" customHeight="1" x14ac:dyDescent="0.35">
      <c r="C762" s="7"/>
      <c r="F762" s="7"/>
    </row>
    <row r="763" spans="3:6" ht="14.25" customHeight="1" x14ac:dyDescent="0.35">
      <c r="C763" s="7"/>
      <c r="F763" s="7"/>
    </row>
    <row r="764" spans="3:6" ht="14.25" customHeight="1" x14ac:dyDescent="0.35">
      <c r="C764" s="7"/>
      <c r="F764" s="7"/>
    </row>
    <row r="765" spans="3:6" ht="14.25" customHeight="1" x14ac:dyDescent="0.35">
      <c r="C765" s="7"/>
      <c r="F765" s="7"/>
    </row>
    <row r="766" spans="3:6" ht="14.25" customHeight="1" x14ac:dyDescent="0.35">
      <c r="C766" s="7"/>
      <c r="F766" s="7"/>
    </row>
    <row r="767" spans="3:6" ht="14.25" customHeight="1" x14ac:dyDescent="0.35">
      <c r="C767" s="7"/>
      <c r="F767" s="7"/>
    </row>
    <row r="768" spans="3:6" ht="14.25" customHeight="1" x14ac:dyDescent="0.35">
      <c r="C768" s="7"/>
      <c r="F768" s="7"/>
    </row>
    <row r="769" spans="3:6" ht="14.25" customHeight="1" x14ac:dyDescent="0.35">
      <c r="C769" s="7"/>
      <c r="F769" s="7"/>
    </row>
    <row r="770" spans="3:6" ht="14.25" customHeight="1" x14ac:dyDescent="0.35">
      <c r="C770" s="7"/>
      <c r="F770" s="7"/>
    </row>
    <row r="771" spans="3:6" ht="14.25" customHeight="1" x14ac:dyDescent="0.35">
      <c r="C771" s="7"/>
      <c r="F771" s="7"/>
    </row>
    <row r="772" spans="3:6" ht="14.25" customHeight="1" x14ac:dyDescent="0.35">
      <c r="C772" s="7"/>
      <c r="F772" s="7"/>
    </row>
    <row r="773" spans="3:6" ht="14.25" customHeight="1" x14ac:dyDescent="0.35">
      <c r="C773" s="7"/>
      <c r="F773" s="7"/>
    </row>
    <row r="774" spans="3:6" ht="14.25" customHeight="1" x14ac:dyDescent="0.35">
      <c r="C774" s="7"/>
      <c r="F774" s="7"/>
    </row>
    <row r="775" spans="3:6" ht="14.25" customHeight="1" x14ac:dyDescent="0.35">
      <c r="C775" s="7"/>
      <c r="F775" s="7"/>
    </row>
    <row r="776" spans="3:6" ht="14.25" customHeight="1" x14ac:dyDescent="0.35">
      <c r="C776" s="7"/>
      <c r="F776" s="7"/>
    </row>
    <row r="777" spans="3:6" ht="14.25" customHeight="1" x14ac:dyDescent="0.35">
      <c r="C777" s="7"/>
      <c r="F777" s="7"/>
    </row>
    <row r="778" spans="3:6" ht="14.25" customHeight="1" x14ac:dyDescent="0.35">
      <c r="C778" s="7"/>
      <c r="F778" s="7"/>
    </row>
    <row r="779" spans="3:6" ht="14.25" customHeight="1" x14ac:dyDescent="0.35">
      <c r="C779" s="7"/>
      <c r="F779" s="7"/>
    </row>
    <row r="780" spans="3:6" ht="14.25" customHeight="1" x14ac:dyDescent="0.35">
      <c r="C780" s="7"/>
      <c r="F780" s="7"/>
    </row>
    <row r="781" spans="3:6" ht="14.25" customHeight="1" x14ac:dyDescent="0.35">
      <c r="C781" s="7"/>
      <c r="F781" s="7"/>
    </row>
    <row r="782" spans="3:6" ht="14.25" customHeight="1" x14ac:dyDescent="0.35">
      <c r="C782" s="7"/>
      <c r="F782" s="7"/>
    </row>
    <row r="783" spans="3:6" ht="14.25" customHeight="1" x14ac:dyDescent="0.35">
      <c r="C783" s="7"/>
      <c r="F783" s="7"/>
    </row>
    <row r="784" spans="3:6" ht="14.25" customHeight="1" x14ac:dyDescent="0.35">
      <c r="C784" s="7"/>
      <c r="F784" s="7"/>
    </row>
    <row r="785" spans="3:6" ht="14.25" customHeight="1" x14ac:dyDescent="0.35">
      <c r="C785" s="7"/>
      <c r="F785" s="7"/>
    </row>
    <row r="786" spans="3:6" ht="14.25" customHeight="1" x14ac:dyDescent="0.35">
      <c r="C786" s="7"/>
      <c r="F786" s="7"/>
    </row>
    <row r="787" spans="3:6" ht="14.25" customHeight="1" x14ac:dyDescent="0.35">
      <c r="C787" s="7"/>
      <c r="F787" s="7"/>
    </row>
    <row r="788" spans="3:6" ht="14.25" customHeight="1" x14ac:dyDescent="0.35">
      <c r="C788" s="7"/>
      <c r="F788" s="7"/>
    </row>
    <row r="789" spans="3:6" ht="14.25" customHeight="1" x14ac:dyDescent="0.35">
      <c r="C789" s="7"/>
      <c r="F789" s="7"/>
    </row>
    <row r="790" spans="3:6" ht="14.25" customHeight="1" x14ac:dyDescent="0.35">
      <c r="C790" s="7"/>
      <c r="F790" s="7"/>
    </row>
    <row r="791" spans="3:6" ht="14.25" customHeight="1" x14ac:dyDescent="0.35">
      <c r="C791" s="7"/>
      <c r="F791" s="7"/>
    </row>
    <row r="792" spans="3:6" ht="14.25" customHeight="1" x14ac:dyDescent="0.35">
      <c r="C792" s="7"/>
      <c r="F792" s="7"/>
    </row>
    <row r="793" spans="3:6" ht="14.25" customHeight="1" x14ac:dyDescent="0.35">
      <c r="C793" s="7"/>
      <c r="F793" s="7"/>
    </row>
    <row r="794" spans="3:6" ht="14.25" customHeight="1" x14ac:dyDescent="0.35">
      <c r="C794" s="7"/>
      <c r="F794" s="7"/>
    </row>
    <row r="795" spans="3:6" ht="14.25" customHeight="1" x14ac:dyDescent="0.35">
      <c r="C795" s="7"/>
      <c r="F795" s="7"/>
    </row>
    <row r="796" spans="3:6" ht="14.25" customHeight="1" x14ac:dyDescent="0.35">
      <c r="C796" s="7"/>
      <c r="F796" s="7"/>
    </row>
    <row r="797" spans="3:6" ht="14.25" customHeight="1" x14ac:dyDescent="0.35">
      <c r="C797" s="7"/>
      <c r="F797" s="7"/>
    </row>
    <row r="798" spans="3:6" ht="14.25" customHeight="1" x14ac:dyDescent="0.35">
      <c r="C798" s="7"/>
      <c r="F798" s="7"/>
    </row>
    <row r="799" spans="3:6" ht="14.25" customHeight="1" x14ac:dyDescent="0.35">
      <c r="C799" s="7"/>
      <c r="F799" s="7"/>
    </row>
    <row r="800" spans="3:6" ht="14.25" customHeight="1" x14ac:dyDescent="0.35">
      <c r="C800" s="7"/>
      <c r="F800" s="7"/>
    </row>
    <row r="801" spans="3:6" ht="14.25" customHeight="1" x14ac:dyDescent="0.35">
      <c r="C801" s="7"/>
      <c r="F801" s="7"/>
    </row>
    <row r="802" spans="3:6" ht="14.25" customHeight="1" x14ac:dyDescent="0.35">
      <c r="C802" s="7"/>
      <c r="F802" s="7"/>
    </row>
    <row r="803" spans="3:6" ht="14.25" customHeight="1" x14ac:dyDescent="0.35">
      <c r="C803" s="7"/>
      <c r="F803" s="7"/>
    </row>
    <row r="804" spans="3:6" ht="14.25" customHeight="1" x14ac:dyDescent="0.35">
      <c r="C804" s="7"/>
      <c r="F804" s="7"/>
    </row>
    <row r="805" spans="3:6" ht="14.25" customHeight="1" x14ac:dyDescent="0.35">
      <c r="C805" s="7"/>
      <c r="F805" s="7"/>
    </row>
    <row r="806" spans="3:6" ht="14.25" customHeight="1" x14ac:dyDescent="0.35">
      <c r="C806" s="7"/>
      <c r="F806" s="7"/>
    </row>
    <row r="807" spans="3:6" ht="14.25" customHeight="1" x14ac:dyDescent="0.35">
      <c r="C807" s="7"/>
      <c r="F807" s="7"/>
    </row>
    <row r="808" spans="3:6" ht="14.25" customHeight="1" x14ac:dyDescent="0.35">
      <c r="C808" s="7"/>
      <c r="F808" s="7"/>
    </row>
    <row r="809" spans="3:6" ht="14.25" customHeight="1" x14ac:dyDescent="0.35">
      <c r="C809" s="7"/>
      <c r="F809" s="7"/>
    </row>
    <row r="810" spans="3:6" ht="14.25" customHeight="1" x14ac:dyDescent="0.35">
      <c r="C810" s="7"/>
      <c r="F810" s="7"/>
    </row>
    <row r="811" spans="3:6" ht="14.25" customHeight="1" x14ac:dyDescent="0.35">
      <c r="C811" s="7"/>
      <c r="F811" s="7"/>
    </row>
    <row r="812" spans="3:6" ht="14.25" customHeight="1" x14ac:dyDescent="0.35">
      <c r="C812" s="7"/>
      <c r="F812" s="7"/>
    </row>
    <row r="813" spans="3:6" ht="14.25" customHeight="1" x14ac:dyDescent="0.35">
      <c r="C813" s="7"/>
      <c r="F813" s="7"/>
    </row>
    <row r="814" spans="3:6" ht="14.25" customHeight="1" x14ac:dyDescent="0.35">
      <c r="C814" s="7"/>
      <c r="F814" s="7"/>
    </row>
    <row r="815" spans="3:6" ht="14.25" customHeight="1" x14ac:dyDescent="0.35">
      <c r="C815" s="7"/>
      <c r="F815" s="7"/>
    </row>
    <row r="816" spans="3:6" ht="14.25" customHeight="1" x14ac:dyDescent="0.35">
      <c r="C816" s="7"/>
      <c r="F816" s="7"/>
    </row>
    <row r="817" spans="3:6" ht="14.25" customHeight="1" x14ac:dyDescent="0.35">
      <c r="C817" s="7"/>
      <c r="F817" s="7"/>
    </row>
    <row r="818" spans="3:6" ht="14.25" customHeight="1" x14ac:dyDescent="0.35">
      <c r="C818" s="7"/>
      <c r="F818" s="7"/>
    </row>
    <row r="819" spans="3:6" ht="14.25" customHeight="1" x14ac:dyDescent="0.35">
      <c r="C819" s="7"/>
      <c r="F819" s="7"/>
    </row>
    <row r="820" spans="3:6" ht="14.25" customHeight="1" x14ac:dyDescent="0.35">
      <c r="C820" s="7"/>
      <c r="F820" s="7"/>
    </row>
    <row r="821" spans="3:6" ht="14.25" customHeight="1" x14ac:dyDescent="0.35">
      <c r="C821" s="7"/>
      <c r="F821" s="7"/>
    </row>
    <row r="822" spans="3:6" ht="14.25" customHeight="1" x14ac:dyDescent="0.35">
      <c r="C822" s="7"/>
      <c r="F822" s="7"/>
    </row>
    <row r="823" spans="3:6" ht="14.25" customHeight="1" x14ac:dyDescent="0.35">
      <c r="C823" s="7"/>
      <c r="F823" s="7"/>
    </row>
    <row r="824" spans="3:6" ht="14.25" customHeight="1" x14ac:dyDescent="0.35">
      <c r="C824" s="7"/>
      <c r="F824" s="7"/>
    </row>
    <row r="825" spans="3:6" ht="14.25" customHeight="1" x14ac:dyDescent="0.35">
      <c r="C825" s="7"/>
      <c r="F825" s="7"/>
    </row>
    <row r="826" spans="3:6" ht="14.25" customHeight="1" x14ac:dyDescent="0.35">
      <c r="C826" s="7"/>
      <c r="F826" s="7"/>
    </row>
    <row r="827" spans="3:6" ht="14.25" customHeight="1" x14ac:dyDescent="0.35">
      <c r="C827" s="7"/>
      <c r="F827" s="7"/>
    </row>
    <row r="828" spans="3:6" ht="14.25" customHeight="1" x14ac:dyDescent="0.35">
      <c r="C828" s="7"/>
      <c r="F828" s="7"/>
    </row>
    <row r="829" spans="3:6" ht="14.25" customHeight="1" x14ac:dyDescent="0.35">
      <c r="C829" s="7"/>
      <c r="F829" s="7"/>
    </row>
    <row r="830" spans="3:6" ht="14.25" customHeight="1" x14ac:dyDescent="0.35">
      <c r="C830" s="7"/>
      <c r="F830" s="7"/>
    </row>
    <row r="831" spans="3:6" ht="14.25" customHeight="1" x14ac:dyDescent="0.35">
      <c r="C831" s="7"/>
      <c r="F831" s="7"/>
    </row>
    <row r="832" spans="3:6" ht="14.25" customHeight="1" x14ac:dyDescent="0.35">
      <c r="C832" s="7"/>
      <c r="F832" s="7"/>
    </row>
    <row r="833" spans="3:6" ht="14.25" customHeight="1" x14ac:dyDescent="0.35">
      <c r="C833" s="7"/>
      <c r="F833" s="7"/>
    </row>
    <row r="834" spans="3:6" ht="14.25" customHeight="1" x14ac:dyDescent="0.35">
      <c r="C834" s="7"/>
      <c r="F834" s="7"/>
    </row>
    <row r="835" spans="3:6" ht="14.25" customHeight="1" x14ac:dyDescent="0.35">
      <c r="C835" s="7"/>
      <c r="F835" s="7"/>
    </row>
    <row r="836" spans="3:6" ht="14.25" customHeight="1" x14ac:dyDescent="0.35">
      <c r="C836" s="7"/>
      <c r="F836" s="7"/>
    </row>
    <row r="837" spans="3:6" ht="14.25" customHeight="1" x14ac:dyDescent="0.35">
      <c r="C837" s="7"/>
      <c r="F837" s="7"/>
    </row>
    <row r="838" spans="3:6" ht="14.25" customHeight="1" x14ac:dyDescent="0.35">
      <c r="C838" s="7"/>
      <c r="F838" s="7"/>
    </row>
    <row r="839" spans="3:6" ht="14.25" customHeight="1" x14ac:dyDescent="0.35">
      <c r="C839" s="7"/>
      <c r="F839" s="7"/>
    </row>
    <row r="840" spans="3:6" ht="14.25" customHeight="1" x14ac:dyDescent="0.35">
      <c r="C840" s="7"/>
      <c r="F840" s="7"/>
    </row>
    <row r="841" spans="3:6" ht="14.25" customHeight="1" x14ac:dyDescent="0.35">
      <c r="C841" s="7"/>
      <c r="F841" s="7"/>
    </row>
    <row r="842" spans="3:6" ht="14.25" customHeight="1" x14ac:dyDescent="0.35">
      <c r="C842" s="7"/>
      <c r="F842" s="7"/>
    </row>
    <row r="843" spans="3:6" ht="14.25" customHeight="1" x14ac:dyDescent="0.35">
      <c r="C843" s="7"/>
      <c r="F843" s="7"/>
    </row>
    <row r="844" spans="3:6" ht="14.25" customHeight="1" x14ac:dyDescent="0.35">
      <c r="C844" s="7"/>
      <c r="F844" s="7"/>
    </row>
    <row r="845" spans="3:6" ht="14.25" customHeight="1" x14ac:dyDescent="0.35">
      <c r="C845" s="7"/>
      <c r="F845" s="7"/>
    </row>
    <row r="846" spans="3:6" ht="14.25" customHeight="1" x14ac:dyDescent="0.35">
      <c r="C846" s="7"/>
      <c r="F846" s="7"/>
    </row>
    <row r="847" spans="3:6" ht="14.25" customHeight="1" x14ac:dyDescent="0.35">
      <c r="C847" s="7"/>
      <c r="F847" s="7"/>
    </row>
    <row r="848" spans="3:6" ht="14.25" customHeight="1" x14ac:dyDescent="0.35">
      <c r="C848" s="7"/>
      <c r="F848" s="7"/>
    </row>
    <row r="849" spans="3:6" ht="14.25" customHeight="1" x14ac:dyDescent="0.35">
      <c r="C849" s="7"/>
      <c r="F849" s="7"/>
    </row>
    <row r="850" spans="3:6" ht="14.25" customHeight="1" x14ac:dyDescent="0.35">
      <c r="C850" s="7"/>
      <c r="F850" s="7"/>
    </row>
    <row r="851" spans="3:6" ht="14.25" customHeight="1" x14ac:dyDescent="0.35">
      <c r="C851" s="7"/>
      <c r="F851" s="7"/>
    </row>
    <row r="852" spans="3:6" ht="14.25" customHeight="1" x14ac:dyDescent="0.35">
      <c r="C852" s="7"/>
      <c r="F852" s="7"/>
    </row>
    <row r="853" spans="3:6" ht="14.25" customHeight="1" x14ac:dyDescent="0.35">
      <c r="C853" s="7"/>
      <c r="F853" s="7"/>
    </row>
    <row r="854" spans="3:6" ht="14.25" customHeight="1" x14ac:dyDescent="0.35">
      <c r="C854" s="7"/>
      <c r="F854" s="7"/>
    </row>
    <row r="855" spans="3:6" ht="14.25" customHeight="1" x14ac:dyDescent="0.35">
      <c r="C855" s="7"/>
      <c r="F855" s="7"/>
    </row>
    <row r="856" spans="3:6" ht="14.25" customHeight="1" x14ac:dyDescent="0.35">
      <c r="C856" s="7"/>
      <c r="F856" s="7"/>
    </row>
    <row r="857" spans="3:6" ht="14.25" customHeight="1" x14ac:dyDescent="0.35">
      <c r="C857" s="7"/>
      <c r="F857" s="7"/>
    </row>
    <row r="858" spans="3:6" ht="14.25" customHeight="1" x14ac:dyDescent="0.35">
      <c r="C858" s="7"/>
      <c r="F858" s="7"/>
    </row>
    <row r="859" spans="3:6" ht="14.25" customHeight="1" x14ac:dyDescent="0.35">
      <c r="C859" s="7"/>
      <c r="F859" s="7"/>
    </row>
    <row r="860" spans="3:6" ht="14.25" customHeight="1" x14ac:dyDescent="0.35">
      <c r="C860" s="7"/>
      <c r="F860" s="7"/>
    </row>
    <row r="861" spans="3:6" ht="14.25" customHeight="1" x14ac:dyDescent="0.35">
      <c r="C861" s="7"/>
      <c r="F861" s="7"/>
    </row>
    <row r="862" spans="3:6" ht="14.25" customHeight="1" x14ac:dyDescent="0.35">
      <c r="C862" s="7"/>
      <c r="F862" s="7"/>
    </row>
    <row r="863" spans="3:6" ht="14.25" customHeight="1" x14ac:dyDescent="0.35">
      <c r="C863" s="7"/>
      <c r="F863" s="7"/>
    </row>
    <row r="864" spans="3:6" ht="14.25" customHeight="1" x14ac:dyDescent="0.35">
      <c r="C864" s="7"/>
      <c r="F864" s="7"/>
    </row>
    <row r="865" spans="3:6" ht="14.25" customHeight="1" x14ac:dyDescent="0.35">
      <c r="C865" s="7"/>
      <c r="F865" s="7"/>
    </row>
    <row r="866" spans="3:6" ht="14.25" customHeight="1" x14ac:dyDescent="0.35">
      <c r="C866" s="7"/>
      <c r="F866" s="7"/>
    </row>
    <row r="867" spans="3:6" ht="14.25" customHeight="1" x14ac:dyDescent="0.35">
      <c r="C867" s="7"/>
      <c r="F867" s="7"/>
    </row>
    <row r="868" spans="3:6" ht="14.25" customHeight="1" x14ac:dyDescent="0.35">
      <c r="C868" s="7"/>
      <c r="F868" s="7"/>
    </row>
    <row r="869" spans="3:6" ht="14.25" customHeight="1" x14ac:dyDescent="0.35">
      <c r="C869" s="7"/>
      <c r="F869" s="7"/>
    </row>
    <row r="870" spans="3:6" ht="14.25" customHeight="1" x14ac:dyDescent="0.35">
      <c r="C870" s="7"/>
      <c r="F870" s="7"/>
    </row>
    <row r="871" spans="3:6" ht="14.25" customHeight="1" x14ac:dyDescent="0.35">
      <c r="C871" s="7"/>
      <c r="F871" s="7"/>
    </row>
    <row r="872" spans="3:6" ht="14.25" customHeight="1" x14ac:dyDescent="0.35">
      <c r="C872" s="7"/>
      <c r="F872" s="7"/>
    </row>
    <row r="873" spans="3:6" ht="14.25" customHeight="1" x14ac:dyDescent="0.35">
      <c r="C873" s="7"/>
      <c r="F873" s="7"/>
    </row>
    <row r="874" spans="3:6" ht="14.25" customHeight="1" x14ac:dyDescent="0.35">
      <c r="C874" s="7"/>
      <c r="F874" s="7"/>
    </row>
    <row r="875" spans="3:6" ht="14.25" customHeight="1" x14ac:dyDescent="0.35">
      <c r="C875" s="7"/>
      <c r="F875" s="7"/>
    </row>
    <row r="876" spans="3:6" ht="14.25" customHeight="1" x14ac:dyDescent="0.35">
      <c r="C876" s="7"/>
      <c r="F876" s="7"/>
    </row>
    <row r="877" spans="3:6" ht="14.25" customHeight="1" x14ac:dyDescent="0.35">
      <c r="C877" s="7"/>
      <c r="F877" s="7"/>
    </row>
    <row r="878" spans="3:6" ht="14.25" customHeight="1" x14ac:dyDescent="0.35">
      <c r="C878" s="7"/>
      <c r="F878" s="7"/>
    </row>
    <row r="879" spans="3:6" ht="14.25" customHeight="1" x14ac:dyDescent="0.35">
      <c r="C879" s="7"/>
      <c r="F879" s="7"/>
    </row>
    <row r="880" spans="3:6" ht="14.25" customHeight="1" x14ac:dyDescent="0.35">
      <c r="C880" s="7"/>
      <c r="F880" s="7"/>
    </row>
    <row r="881" spans="3:6" ht="14.25" customHeight="1" x14ac:dyDescent="0.35">
      <c r="C881" s="7"/>
      <c r="F881" s="7"/>
    </row>
    <row r="882" spans="3:6" ht="14.25" customHeight="1" x14ac:dyDescent="0.35">
      <c r="C882" s="7"/>
      <c r="F882" s="7"/>
    </row>
    <row r="883" spans="3:6" ht="14.25" customHeight="1" x14ac:dyDescent="0.35">
      <c r="C883" s="7"/>
      <c r="F883" s="7"/>
    </row>
    <row r="884" spans="3:6" ht="14.25" customHeight="1" x14ac:dyDescent="0.35">
      <c r="C884" s="7"/>
      <c r="F884" s="7"/>
    </row>
    <row r="885" spans="3:6" ht="14.25" customHeight="1" x14ac:dyDescent="0.35">
      <c r="C885" s="7"/>
      <c r="F885" s="7"/>
    </row>
    <row r="886" spans="3:6" ht="14.25" customHeight="1" x14ac:dyDescent="0.35">
      <c r="C886" s="7"/>
      <c r="F886" s="7"/>
    </row>
    <row r="887" spans="3:6" ht="14.25" customHeight="1" x14ac:dyDescent="0.35">
      <c r="C887" s="7"/>
      <c r="F887" s="7"/>
    </row>
    <row r="888" spans="3:6" ht="14.25" customHeight="1" x14ac:dyDescent="0.35">
      <c r="C888" s="7"/>
      <c r="F888" s="7"/>
    </row>
    <row r="889" spans="3:6" ht="14.25" customHeight="1" x14ac:dyDescent="0.35">
      <c r="C889" s="7"/>
      <c r="F889" s="7"/>
    </row>
    <row r="890" spans="3:6" ht="14.25" customHeight="1" x14ac:dyDescent="0.35">
      <c r="C890" s="7"/>
      <c r="F890" s="7"/>
    </row>
    <row r="891" spans="3:6" ht="14.25" customHeight="1" x14ac:dyDescent="0.35">
      <c r="C891" s="7"/>
      <c r="F891" s="7"/>
    </row>
    <row r="892" spans="3:6" ht="14.25" customHeight="1" x14ac:dyDescent="0.35">
      <c r="C892" s="7"/>
      <c r="F892" s="7"/>
    </row>
    <row r="893" spans="3:6" ht="14.25" customHeight="1" x14ac:dyDescent="0.35">
      <c r="C893" s="7"/>
      <c r="F893" s="7"/>
    </row>
    <row r="894" spans="3:6" ht="14.25" customHeight="1" x14ac:dyDescent="0.35">
      <c r="C894" s="7"/>
      <c r="F894" s="7"/>
    </row>
    <row r="895" spans="3:6" ht="14.25" customHeight="1" x14ac:dyDescent="0.35">
      <c r="C895" s="7"/>
      <c r="F895" s="7"/>
    </row>
    <row r="896" spans="3:6" ht="14.25" customHeight="1" x14ac:dyDescent="0.35">
      <c r="C896" s="7"/>
      <c r="F896" s="7"/>
    </row>
    <row r="897" spans="3:6" ht="14.25" customHeight="1" x14ac:dyDescent="0.35">
      <c r="C897" s="7"/>
      <c r="F897" s="7"/>
    </row>
    <row r="898" spans="3:6" ht="14.25" customHeight="1" x14ac:dyDescent="0.35">
      <c r="C898" s="7"/>
      <c r="F898" s="7"/>
    </row>
    <row r="899" spans="3:6" ht="14.25" customHeight="1" x14ac:dyDescent="0.35">
      <c r="C899" s="7"/>
      <c r="F899" s="7"/>
    </row>
    <row r="900" spans="3:6" ht="14.25" customHeight="1" x14ac:dyDescent="0.35">
      <c r="C900" s="7"/>
      <c r="F900" s="7"/>
    </row>
    <row r="901" spans="3:6" ht="14.25" customHeight="1" x14ac:dyDescent="0.35">
      <c r="C901" s="7"/>
      <c r="F901" s="7"/>
    </row>
    <row r="902" spans="3:6" ht="14.25" customHeight="1" x14ac:dyDescent="0.35">
      <c r="C902" s="7"/>
      <c r="F902" s="7"/>
    </row>
    <row r="903" spans="3:6" ht="14.25" customHeight="1" x14ac:dyDescent="0.35">
      <c r="C903" s="7"/>
      <c r="F903" s="7"/>
    </row>
    <row r="904" spans="3:6" ht="14.25" customHeight="1" x14ac:dyDescent="0.35">
      <c r="C904" s="7"/>
      <c r="F904" s="7"/>
    </row>
    <row r="905" spans="3:6" ht="14.25" customHeight="1" x14ac:dyDescent="0.35">
      <c r="C905" s="7"/>
      <c r="F905" s="7"/>
    </row>
    <row r="906" spans="3:6" ht="14.25" customHeight="1" x14ac:dyDescent="0.35">
      <c r="C906" s="7"/>
      <c r="F906" s="7"/>
    </row>
    <row r="907" spans="3:6" ht="14.25" customHeight="1" x14ac:dyDescent="0.35">
      <c r="C907" s="7"/>
      <c r="F907" s="7"/>
    </row>
    <row r="908" spans="3:6" ht="14.25" customHeight="1" x14ac:dyDescent="0.35">
      <c r="C908" s="7"/>
      <c r="F908" s="7"/>
    </row>
    <row r="909" spans="3:6" ht="14.25" customHeight="1" x14ac:dyDescent="0.35">
      <c r="C909" s="7"/>
      <c r="F909" s="7"/>
    </row>
    <row r="910" spans="3:6" ht="14.25" customHeight="1" x14ac:dyDescent="0.35">
      <c r="C910" s="7"/>
      <c r="F910" s="7"/>
    </row>
    <row r="911" spans="3:6" ht="14.25" customHeight="1" x14ac:dyDescent="0.35">
      <c r="C911" s="7"/>
      <c r="F911" s="7"/>
    </row>
    <row r="912" spans="3:6" ht="14.25" customHeight="1" x14ac:dyDescent="0.35">
      <c r="C912" s="7"/>
      <c r="F912" s="7"/>
    </row>
    <row r="913" spans="3:6" ht="14.25" customHeight="1" x14ac:dyDescent="0.35">
      <c r="C913" s="7"/>
      <c r="F913" s="7"/>
    </row>
    <row r="914" spans="3:6" ht="14.25" customHeight="1" x14ac:dyDescent="0.35">
      <c r="C914" s="7"/>
      <c r="F914" s="7"/>
    </row>
    <row r="915" spans="3:6" ht="14.25" customHeight="1" x14ac:dyDescent="0.35">
      <c r="C915" s="7"/>
      <c r="F915" s="7"/>
    </row>
    <row r="916" spans="3:6" ht="14.25" customHeight="1" x14ac:dyDescent="0.35">
      <c r="C916" s="7"/>
      <c r="F916" s="7"/>
    </row>
    <row r="917" spans="3:6" ht="14.25" customHeight="1" x14ac:dyDescent="0.35">
      <c r="C917" s="7"/>
      <c r="F917" s="7"/>
    </row>
    <row r="918" spans="3:6" ht="14.25" customHeight="1" x14ac:dyDescent="0.35">
      <c r="C918" s="7"/>
      <c r="F918" s="7"/>
    </row>
    <row r="919" spans="3:6" ht="14.25" customHeight="1" x14ac:dyDescent="0.35">
      <c r="C919" s="7"/>
      <c r="F919" s="7"/>
    </row>
    <row r="920" spans="3:6" ht="14.25" customHeight="1" x14ac:dyDescent="0.35">
      <c r="C920" s="7"/>
      <c r="F920" s="7"/>
    </row>
    <row r="921" spans="3:6" ht="14.25" customHeight="1" x14ac:dyDescent="0.35">
      <c r="C921" s="7"/>
      <c r="F921" s="7"/>
    </row>
    <row r="922" spans="3:6" ht="14.25" customHeight="1" x14ac:dyDescent="0.35">
      <c r="C922" s="7"/>
      <c r="F922" s="7"/>
    </row>
    <row r="923" spans="3:6" ht="14.25" customHeight="1" x14ac:dyDescent="0.35">
      <c r="C923" s="7"/>
      <c r="F923" s="7"/>
    </row>
    <row r="924" spans="3:6" ht="14.25" customHeight="1" x14ac:dyDescent="0.35">
      <c r="C924" s="7"/>
      <c r="F924" s="7"/>
    </row>
    <row r="925" spans="3:6" ht="14.25" customHeight="1" x14ac:dyDescent="0.35">
      <c r="C925" s="7"/>
      <c r="F925" s="7"/>
    </row>
    <row r="926" spans="3:6" ht="14.25" customHeight="1" x14ac:dyDescent="0.35">
      <c r="C926" s="7"/>
      <c r="F926" s="7"/>
    </row>
    <row r="927" spans="3:6" ht="14.25" customHeight="1" x14ac:dyDescent="0.35">
      <c r="C927" s="7"/>
      <c r="F927" s="7"/>
    </row>
    <row r="928" spans="3:6" ht="14.25" customHeight="1" x14ac:dyDescent="0.35">
      <c r="C928" s="7"/>
      <c r="F928" s="7"/>
    </row>
    <row r="929" spans="3:6" ht="14.25" customHeight="1" x14ac:dyDescent="0.35">
      <c r="C929" s="7"/>
      <c r="F929" s="7"/>
    </row>
    <row r="930" spans="3:6" ht="14.25" customHeight="1" x14ac:dyDescent="0.35">
      <c r="C930" s="7"/>
      <c r="F930" s="7"/>
    </row>
    <row r="931" spans="3:6" ht="14.25" customHeight="1" x14ac:dyDescent="0.35">
      <c r="C931" s="7"/>
      <c r="F931" s="7"/>
    </row>
    <row r="932" spans="3:6" ht="14.25" customHeight="1" x14ac:dyDescent="0.35">
      <c r="C932" s="7"/>
      <c r="F932" s="7"/>
    </row>
    <row r="933" spans="3:6" ht="14.25" customHeight="1" x14ac:dyDescent="0.35">
      <c r="C933" s="7"/>
      <c r="F933" s="7"/>
    </row>
    <row r="934" spans="3:6" ht="14.25" customHeight="1" x14ac:dyDescent="0.35">
      <c r="C934" s="7"/>
      <c r="F934" s="7"/>
    </row>
    <row r="935" spans="3:6" ht="14.25" customHeight="1" x14ac:dyDescent="0.35">
      <c r="C935" s="7"/>
      <c r="F935" s="7"/>
    </row>
    <row r="936" spans="3:6" ht="14.25" customHeight="1" x14ac:dyDescent="0.35">
      <c r="C936" s="7"/>
      <c r="F936" s="7"/>
    </row>
    <row r="937" spans="3:6" ht="14.25" customHeight="1" x14ac:dyDescent="0.35">
      <c r="C937" s="7"/>
      <c r="F937" s="7"/>
    </row>
    <row r="938" spans="3:6" ht="14.25" customHeight="1" x14ac:dyDescent="0.35">
      <c r="C938" s="7"/>
      <c r="F938" s="7"/>
    </row>
    <row r="939" spans="3:6" ht="14.25" customHeight="1" x14ac:dyDescent="0.35">
      <c r="C939" s="7"/>
      <c r="F939" s="7"/>
    </row>
    <row r="940" spans="3:6" ht="14.25" customHeight="1" x14ac:dyDescent="0.35">
      <c r="C940" s="7"/>
      <c r="F940" s="7"/>
    </row>
    <row r="941" spans="3:6" ht="14.25" customHeight="1" x14ac:dyDescent="0.35">
      <c r="C941" s="7"/>
      <c r="F941" s="7"/>
    </row>
    <row r="942" spans="3:6" ht="14.25" customHeight="1" x14ac:dyDescent="0.35">
      <c r="C942" s="7"/>
      <c r="F942" s="7"/>
    </row>
    <row r="943" spans="3:6" ht="14.25" customHeight="1" x14ac:dyDescent="0.35">
      <c r="C943" s="7"/>
      <c r="F943" s="7"/>
    </row>
    <row r="944" spans="3:6" ht="14.25" customHeight="1" x14ac:dyDescent="0.35">
      <c r="C944" s="7"/>
      <c r="F944" s="7"/>
    </row>
    <row r="945" spans="3:6" ht="14.25" customHeight="1" x14ac:dyDescent="0.35">
      <c r="C945" s="7"/>
      <c r="F945" s="7"/>
    </row>
    <row r="946" spans="3:6" ht="14.25" customHeight="1" x14ac:dyDescent="0.35">
      <c r="C946" s="7"/>
      <c r="F946" s="7"/>
    </row>
    <row r="947" spans="3:6" ht="14.25" customHeight="1" x14ac:dyDescent="0.35">
      <c r="C947" s="7"/>
      <c r="F947" s="7"/>
    </row>
    <row r="948" spans="3:6" ht="14.25" customHeight="1" x14ac:dyDescent="0.35">
      <c r="C948" s="7"/>
      <c r="F948" s="7"/>
    </row>
    <row r="949" spans="3:6" ht="14.25" customHeight="1" x14ac:dyDescent="0.35">
      <c r="C949" s="7"/>
      <c r="F949" s="7"/>
    </row>
    <row r="950" spans="3:6" ht="14.25" customHeight="1" x14ac:dyDescent="0.35">
      <c r="C950" s="7"/>
      <c r="F950" s="7"/>
    </row>
    <row r="951" spans="3:6" ht="14.25" customHeight="1" x14ac:dyDescent="0.35">
      <c r="C951" s="7"/>
      <c r="F951" s="7"/>
    </row>
    <row r="952" spans="3:6" ht="14.25" customHeight="1" x14ac:dyDescent="0.35">
      <c r="C952" s="7"/>
      <c r="F952" s="7"/>
    </row>
    <row r="953" spans="3:6" ht="14.25" customHeight="1" x14ac:dyDescent="0.35">
      <c r="C953" s="7"/>
      <c r="F953" s="7"/>
    </row>
    <row r="954" spans="3:6" ht="14.25" customHeight="1" x14ac:dyDescent="0.35">
      <c r="C954" s="7"/>
      <c r="F954" s="7"/>
    </row>
    <row r="955" spans="3:6" ht="14.25" customHeight="1" x14ac:dyDescent="0.35">
      <c r="C955" s="7"/>
      <c r="F955" s="7"/>
    </row>
    <row r="956" spans="3:6" ht="14.25" customHeight="1" x14ac:dyDescent="0.35">
      <c r="C956" s="7"/>
      <c r="F956" s="7"/>
    </row>
    <row r="957" spans="3:6" ht="14.25" customHeight="1" x14ac:dyDescent="0.35">
      <c r="C957" s="7"/>
      <c r="F957" s="7"/>
    </row>
    <row r="958" spans="3:6" ht="14.25" customHeight="1" x14ac:dyDescent="0.35">
      <c r="C958" s="7"/>
      <c r="F958" s="7"/>
    </row>
    <row r="959" spans="3:6" ht="14.25" customHeight="1" x14ac:dyDescent="0.35">
      <c r="C959" s="7"/>
      <c r="F959" s="7"/>
    </row>
    <row r="960" spans="3:6" ht="14.25" customHeight="1" x14ac:dyDescent="0.35">
      <c r="C960" s="7"/>
      <c r="F960" s="7"/>
    </row>
    <row r="961" spans="3:6" ht="14.25" customHeight="1" x14ac:dyDescent="0.35">
      <c r="C961" s="7"/>
      <c r="F961" s="7"/>
    </row>
    <row r="962" spans="3:6" ht="14.25" customHeight="1" x14ac:dyDescent="0.35">
      <c r="C962" s="7"/>
      <c r="F962" s="7"/>
    </row>
    <row r="963" spans="3:6" ht="14.25" customHeight="1" x14ac:dyDescent="0.35">
      <c r="C963" s="7"/>
      <c r="F963" s="7"/>
    </row>
    <row r="964" spans="3:6" ht="14.25" customHeight="1" x14ac:dyDescent="0.35">
      <c r="C964" s="7"/>
      <c r="F964" s="7"/>
    </row>
    <row r="965" spans="3:6" ht="14.25" customHeight="1" x14ac:dyDescent="0.35">
      <c r="C965" s="7"/>
      <c r="F965" s="7"/>
    </row>
    <row r="966" spans="3:6" ht="14.25" customHeight="1" x14ac:dyDescent="0.35">
      <c r="C966" s="7"/>
      <c r="F966" s="7"/>
    </row>
    <row r="967" spans="3:6" ht="14.25" customHeight="1" x14ac:dyDescent="0.35">
      <c r="C967" s="7"/>
      <c r="F967" s="7"/>
    </row>
    <row r="968" spans="3:6" ht="14.25" customHeight="1" x14ac:dyDescent="0.35">
      <c r="C968" s="7"/>
      <c r="F968" s="7"/>
    </row>
    <row r="969" spans="3:6" ht="14.25" customHeight="1" x14ac:dyDescent="0.35">
      <c r="C969" s="7"/>
      <c r="F969" s="7"/>
    </row>
    <row r="970" spans="3:6" ht="14.25" customHeight="1" x14ac:dyDescent="0.35">
      <c r="C970" s="7"/>
      <c r="F970" s="7"/>
    </row>
    <row r="971" spans="3:6" ht="14.25" customHeight="1" x14ac:dyDescent="0.35">
      <c r="C971" s="7"/>
      <c r="F971" s="7"/>
    </row>
    <row r="972" spans="3:6" ht="14.25" customHeight="1" x14ac:dyDescent="0.35">
      <c r="C972" s="7"/>
      <c r="F972" s="7"/>
    </row>
    <row r="973" spans="3:6" ht="14.25" customHeight="1" x14ac:dyDescent="0.35">
      <c r="C973" s="7"/>
      <c r="F973" s="7"/>
    </row>
    <row r="974" spans="3:6" ht="14.25" customHeight="1" x14ac:dyDescent="0.35">
      <c r="C974" s="7"/>
      <c r="F974" s="7"/>
    </row>
    <row r="975" spans="3:6" ht="14.25" customHeight="1" x14ac:dyDescent="0.35">
      <c r="C975" s="7"/>
      <c r="F975" s="7"/>
    </row>
    <row r="976" spans="3:6" ht="14.25" customHeight="1" x14ac:dyDescent="0.35">
      <c r="C976" s="7"/>
      <c r="F976" s="7"/>
    </row>
    <row r="977" spans="3:6" ht="14.25" customHeight="1" x14ac:dyDescent="0.35">
      <c r="C977" s="7"/>
      <c r="F977" s="7"/>
    </row>
    <row r="978" spans="3:6" ht="14.25" customHeight="1" x14ac:dyDescent="0.35">
      <c r="C978" s="7"/>
      <c r="F978" s="7"/>
    </row>
    <row r="979" spans="3:6" ht="14.25" customHeight="1" x14ac:dyDescent="0.35">
      <c r="C979" s="7"/>
      <c r="F979" s="7"/>
    </row>
    <row r="980" spans="3:6" ht="14.25" customHeight="1" x14ac:dyDescent="0.35">
      <c r="C980" s="7"/>
      <c r="F980" s="7"/>
    </row>
    <row r="981" spans="3:6" ht="14.25" customHeight="1" x14ac:dyDescent="0.35">
      <c r="C981" s="7"/>
      <c r="F981" s="7"/>
    </row>
    <row r="982" spans="3:6" ht="14.25" customHeight="1" x14ac:dyDescent="0.35">
      <c r="C982" s="7"/>
      <c r="F982" s="7"/>
    </row>
    <row r="983" spans="3:6" ht="14.25" customHeight="1" x14ac:dyDescent="0.35">
      <c r="C983" s="7"/>
      <c r="F983" s="7"/>
    </row>
    <row r="984" spans="3:6" ht="14.25" customHeight="1" x14ac:dyDescent="0.35">
      <c r="C984" s="7"/>
      <c r="F984" s="7"/>
    </row>
    <row r="985" spans="3:6" ht="14.25" customHeight="1" x14ac:dyDescent="0.35">
      <c r="C985" s="7"/>
      <c r="F985" s="7"/>
    </row>
    <row r="986" spans="3:6" ht="14.25" customHeight="1" x14ac:dyDescent="0.35">
      <c r="C986" s="7"/>
      <c r="F986" s="7"/>
    </row>
    <row r="987" spans="3:6" ht="14.25" customHeight="1" x14ac:dyDescent="0.35">
      <c r="C987" s="7"/>
      <c r="F987" s="7"/>
    </row>
    <row r="988" spans="3:6" ht="14.25" customHeight="1" x14ac:dyDescent="0.35">
      <c r="C988" s="7"/>
      <c r="F988" s="7"/>
    </row>
    <row r="989" spans="3:6" ht="14.25" customHeight="1" x14ac:dyDescent="0.35">
      <c r="C989" s="7"/>
      <c r="F989" s="7"/>
    </row>
    <row r="990" spans="3:6" ht="14.25" customHeight="1" x14ac:dyDescent="0.35">
      <c r="C990" s="7"/>
      <c r="F990" s="7"/>
    </row>
    <row r="991" spans="3:6" ht="14.25" customHeight="1" x14ac:dyDescent="0.35">
      <c r="C991" s="7"/>
      <c r="F991" s="7"/>
    </row>
    <row r="992" spans="3:6" ht="14.25" customHeight="1" x14ac:dyDescent="0.35">
      <c r="C992" s="7"/>
      <c r="F992" s="7"/>
    </row>
    <row r="993" spans="3:6" ht="14.25" customHeight="1" x14ac:dyDescent="0.35">
      <c r="C993" s="7"/>
      <c r="F993" s="7"/>
    </row>
    <row r="994" spans="3:6" ht="14.25" customHeight="1" x14ac:dyDescent="0.35">
      <c r="C994" s="7"/>
      <c r="F994" s="7"/>
    </row>
    <row r="995" spans="3:6" ht="14.25" customHeight="1" x14ac:dyDescent="0.35">
      <c r="C995" s="7"/>
      <c r="F995" s="7"/>
    </row>
    <row r="996" spans="3:6" ht="14.25" customHeight="1" x14ac:dyDescent="0.35">
      <c r="C996" s="7"/>
      <c r="F996" s="7"/>
    </row>
    <row r="997" spans="3:6" ht="14.25" customHeight="1" x14ac:dyDescent="0.35">
      <c r="C997" s="7"/>
      <c r="F997" s="7"/>
    </row>
    <row r="998" spans="3:6" ht="14.25" customHeight="1" x14ac:dyDescent="0.35">
      <c r="C998" s="7"/>
      <c r="F998" s="7"/>
    </row>
    <row r="999" spans="3:6" ht="14.25" customHeight="1" x14ac:dyDescent="0.35">
      <c r="C999" s="7"/>
      <c r="F999" s="7"/>
    </row>
    <row r="1000" spans="3:6" ht="14.25" customHeight="1" x14ac:dyDescent="0.35">
      <c r="C1000" s="7"/>
      <c r="F1000" s="7"/>
    </row>
  </sheetData>
  <mergeCells count="1">
    <mergeCell ref="R1:S1"/>
  </mergeCells>
  <pageMargins left="0.7" right="0.7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Resumo</vt:lpstr>
      <vt:lpstr>Armas</vt:lpstr>
      <vt:lpstr>Limpeza</vt:lpstr>
      <vt:lpstr>CRAFs</vt:lpstr>
      <vt:lpstr>BASE</vt:lpstr>
      <vt:lpstr>Modelo_Atire</vt:lpstr>
      <vt:lpstr>Modelo_SH</vt:lpstr>
      <vt:lpstr>Maps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Luiz Felipe Ranoya Santos</dc:creator>
  <dc:description/>
  <cp:lastModifiedBy>Luiz Felipe Ranoya Santos</cp:lastModifiedBy>
  <cp:revision>0</cp:revision>
  <dcterms:created xsi:type="dcterms:W3CDTF">2015-06-05T18:17:20Z</dcterms:created>
  <dcterms:modified xsi:type="dcterms:W3CDTF">2026-07-06T04:18:53Z</dcterms:modified>
  <dc:language>pt-BR</dc:language>
</cp:coreProperties>
</file>